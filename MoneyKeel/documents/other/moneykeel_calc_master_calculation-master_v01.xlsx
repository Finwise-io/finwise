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'home'!$A$1:$AO$18</definedName>
    <definedName name="_xlnm._FilterDatabase" localSheetId="5" hidden="1">'networth'!$A$1:$AO$70</definedName>
    <definedName name="_xlnm._FilterDatabase" localSheetId="6" hidden="1">'performance'!$A$1:$AO$25</definedName>
    <definedName name="_xlnm._FilterDatabase" localSheetId="7" hidden="1">'plan'!$A$1:$AO$46</definedName>
    <definedName name="_xlnm._FilterDatabase" localSheetId="8" hidden="1">'cashflow'!$A$1:$AO$76</definedName>
    <definedName name="_xlnm._FilterDatabase" localSheetId="9" hidden="1">'menu'!$A$1:$AO$41</definedName>
    <definedName name="_xlnm._FilterDatabase" localSheetId="10" hidden="1">'inputs'!$A$1:$J$66</definedName>
    <definedName name="_xlnm._FilterDatabase" localSheetId="11" hidden="1">'database'!$A$1:$G$31</definedName>
    <definedName name="_xlnm._FilterDatabase" localSheetId="12" hidden="1">'core_screens'!$A$1:$D$46</definedName>
    <definedName name="_xlnm._FilterDatabase" localSheetId="13" hidden="1">'reconciliation'!$A$1:$E$68</definedName>
    <definedName name="_xlnm._FilterDatabase" localSheetId="14" hidden="1">'engines-old-tab'!$A$1:$F$63</definedName>
    <definedName name="_xlnm._FilterDatabase" localSheetId="15" hidden="1">'functions_from_code'!$A$1:$Y$710</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32 questions · 0 input lists · 25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2026-10-09</t>
        </is>
      </c>
    </row>
    <row r="5" ht="30" customHeight="1">
      <c r="A5" s="4" t="inlineStr">
        <is>
          <t>Date file last modified</t>
        </is>
      </c>
      <c r="B5" s="3" t="inlineStr">
        <is>
          <t>2026-10-09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long-run benchmark — set your own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Generic blended estimate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217 of 217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708, read from the code on this build. PARTIAL for figures: 31 of 217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31 of 217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708 functions carry both forms on this build: 23 no arithmetic · 25 not read · 348 partly read · 90 read by hand 2026-08-26 · 222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MK-NW-F-031 primaryCarIdOf → MK-NW-F-033 retirementEarmarkedValue → MK-PL-F-068 selectWillItLast
5. MK-NW-F-008 incomeBearingClassOf → MK-NW-F-011 assetClassOf → MK-NW-F-030 earmarkDefault → MK-NW-F-110 primaryHomeIdOf → MK-NW-F-033 retirementEarmarkedValue → MK-PL-F-068 selectWillItLast
6. MK-NW-F-008 incomeBearingClassOf → MK-NW-F-011 assetClassOf → MK-NW-F-117 propertyUseMap → MK-NW-F-110 primaryHomeIdOf → MK-NW-F-033 retirementEarmarkedValue → MK-PL-F-068 selectWillItLast
7. MK-ST-F-056 has → MK-NW-F-117 propertyUseMap → MK-NW-F-110 primaryHomeIdOf → MK-NW-F-033 retirementEarmarkedValue → MK-PL-F-068 selectWillItLast
8. MK-CF-O-002 expenses → MK-NW-F-115 liveRent → MK-NW-F-117 propertyUseMap → MK-NW-F-110 primaryHomeIdOf → MK-NW-F-033 retirementEarmarkedValue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45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MK-ST-F-027
2. MK-XS-I-002 account type (taxable, pre-tax, Roth) — read by MK-NW-F-004, MK-NW-F-011,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MK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Turns a monthly figure into a year by multiplying by twelve.
4. MK-CF-F-092 — Uses today's date from the device clock, so the answer changes by itself overnight.
5. MK-CF-F-092 — Never lets earned before401k fall below 0.
6. MK-CF-F-065 — Uses a built-in total v of 0.
7. MK-CF-F-087 — Uses today's date from the device clock, so the answer changes by itself overnight.
8. MK-CF-F-181 — Turns a monthly figure into a year by multiplying by twelve.
9. MK-CF-F-181 — Rounds the answer to a whole number.
10. MK-CF-F-068 — Turns a monthly figure into a year by multiplying by twelve.
11. MK-CF-F-088 — Uses today's date from the device clock, so the answer changes by itself overnight.
12. MK-CF-F-088 — Never lets t fall below 0.
13. MK-CF-F-177 — Uses today's date from the device clock, so the answer changes by itself overnight.
14. MK-PL-F-012 — If emergency gap is missing it uses 0.
15. MK-PL-F-012 — If toxic debt is missing it uses 0.
16. MK-PL-F-012 — If employer match monthly is missing it uses 0.
17. MK-PL-F-012 — Never lets surplus fall below 0.
18. MK-PL-F-012 — Never lets need fall below 0.
19. MK-CF-F-008 — Treats a year as twelve equal months.
20. MK-CF-F-008 — Turns a monthly figure into a year by multiplying by twelve.
21. MK-CF-F-176 — If r[i] is missing it counts as zero, so nothing recorded and a real zero look the same.
22. MK-CF-F-180 — Uses a built-in total of 0.
23. MK-CF-F-180 — Turns a monthly figure into a year by multiplying by twelve.
24. MK-CF-F-089 — Uses today's date from the device clock, so the answer changes by itself overnight.
25. MK-CF-F-082 — Uses today's date from the device clock, so the answer changes by itself overnight.
… and 51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MK-CF-F-014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MK-CF-F-173 (earnerWages) → EarnerWage[]
4. MK-CF-F-065 (equityVestWeights) → number[] | null
5. MK-CF-F-071 (extraIncome) → NOT DECLARED — the code does not say what it gives back
6. MK-ST-F-056 (has) → NOT DECLARED — the code does not say what it gives back
7. MK-CF-F-206 (householdK401ByMonth) → number[]
8. MK-CF-F-132 (map) → NOT DECLARED — the code does not say what it gives back
9. MK-CF-F-087 (monthlyTaxRates) → number[]
10. MK-CF-F-073 (otherIncomeMonth) → number
11. MK-CF-F-181 (rateInForce) → RateInForce
12. MK-CF-F-068 (rentalNetAnnual) → number
13. MK-CF-F-066 (rsuAnnual) → number
14. MK-CF-F-060 (salaryGrossByMonth) → number[]
15. MK-CF-F-077 (scholarshipByCalendarMonth) → number[]
16. MK-CF-F-088 (taxableByCalendarMonth) → number[]
17. MK-ST-F-052 (toNum) → number
18. MK-CF-F-177 (wageGrossByMonth) → number[]
19.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MK-CF-F-176 — If r[i] is missing it counts as zero, so nothing recorded and a real zero look the same.
18. MK-CF-F-180 — Uses a built-in total of 0.
19. MK-CF-F-180 — Turns a monthly figure into a year by multiplying by twelve.
20. MK-CF-F-089 — Uses today's date from the device clock, so the answer changes by itself overnight.
21. MK-CF-F-082 — Uses today's date from the device clock, so the answer changes by itself overnight.
22. MK-CF-F-101 — Never lets state rate fall below 0.
23. MK-CF-F-101 — The 2026 bands per filing status are the Reference tab's statutory table (IRS Rev. Proc. 2025-32 §4.01), checked by statutory_constants.test.ts.
24. MK-CF-F-084 — Turns a monthly figure into a year by multiplying by twelve.
25. MK-CF-F-084 — Uses today's date from the device clock, so the answer changes by itself overnight.
… and 50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2026-10-09</t>
        </is>
      </c>
      <c r="AH6" s="3" t="inlineStr"/>
      <c r="AI6" s="3" t="inlineStr"/>
      <c r="AJ6"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2026-10-09</t>
        </is>
      </c>
      <c r="AH7" s="3" t="inlineStr"/>
      <c r="AI7" s="3" t="inlineStr"/>
      <c r="AJ7"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the time-weighted return of every investment account together: the window split at every day money moved in or out, each piece = the value just before the next movement ÷ the value just after the last one, the pieces multiplied, less 1;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Where the window Return refuses, the exact rate per year stands in its place instead of an em-dash, on the Performance tab and on an account's own page, and the note says what the figure IS. It is the WINDOW's rate, never the whole record's. Marks 16 and 18 of mock v17. Pinned by performance.test.ts (four tests) and perf_v17_marks.test.tsx (three).</t>
        </is>
      </c>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2026-10-09</t>
        </is>
      </c>
      <c r="AH8" s="3" t="inlineStr"/>
      <c r="AI8" s="3" t="inlineStr"/>
      <c r="AJ8"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1. MK-ST-F-075 (agoLabel) → string | null
2. MK-ST-F-077 (isStale) → boolean</t>
        </is>
      </c>
      <c r="P2" s="3" t="inlineStr">
        <is>
          <t>1. MK-XS-F-170 daysSince → MK-ST-F-075 agoLabel → MK-XS-F-082 priceFreshness
2. MK-XS-F-170 daysSince → MK-ST-F-077 isStale → MK-XS-F-082 priceFreshness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/income-manager</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45" customHeight="1">
      <c r="A14" s="3" t="inlineStr"/>
      <c r="B14" s="3" t="inlineStr">
        <is>
          <t>Home</t>
        </is>
      </c>
      <c r="C14" s="3" t="inlineStr">
        <is>
          <t>/itemize</t>
        </is>
      </c>
      <c r="D14" s="3" t="inlineStr"/>
      <c r="E14" s="3" t="inlineStr"/>
      <c r="F14" s="3" t="inlineStr"/>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STARTED — screen not yet read</t>
        </is>
      </c>
      <c r="Y14" s="3" t="n"/>
      <c r="Z14" s="3" t="n"/>
      <c r="AA14" s="3" t="n"/>
      <c r="AB14" s="3" t="n"/>
      <c r="AC14" s="3" t="n"/>
      <c r="AD14" s="3" t="n"/>
      <c r="AE14" s="3" t="n"/>
      <c r="AF14" s="3" t="n"/>
      <c r="AG14" s="3" t="n"/>
      <c r="AH14" s="3" t="n"/>
      <c r="AI14" s="3" t="n"/>
      <c r="AJ14" s="3" t="n"/>
      <c r="AK14" s="3" t="n"/>
      <c r="AL14" s="3" t="n"/>
      <c r="AM14" s="3" t="n"/>
      <c r="AN14" s="3" t="n"/>
      <c r="AO14" s="3" t="n"/>
    </row>
    <row r="15" ht="45" customHeight="1">
      <c r="A15" s="3" t="inlineStr"/>
      <c r="B15" s="3" t="inlineStr">
        <is>
          <t>Home</t>
        </is>
      </c>
      <c r="C15" s="3" t="inlineStr">
        <is>
          <t>/look-back</t>
        </is>
      </c>
      <c r="D15" s="3" t="inlineStr"/>
      <c r="E15" s="3" t="inlineStr"/>
      <c r="F15" s="3" t="inlineStr"/>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STARTED — screen not yet read</t>
        </is>
      </c>
      <c r="Y15" s="3" t="n"/>
      <c r="Z15" s="3" t="n"/>
      <c r="AA15" s="3" t="n"/>
      <c r="AB15" s="3" t="n"/>
      <c r="AC15" s="3" t="n"/>
      <c r="AD15" s="3" t="n"/>
      <c r="AE15" s="3" t="n"/>
      <c r="AF15" s="3" t="n"/>
      <c r="AG15" s="3" t="n"/>
      <c r="AH15" s="3" t="n"/>
      <c r="AI15" s="3" t="n"/>
      <c r="AJ15" s="3" t="n"/>
      <c r="AK15" s="3" t="n"/>
      <c r="AL15" s="3" t="n"/>
      <c r="AM15" s="3" t="n"/>
      <c r="AN15" s="3" t="n"/>
      <c r="AO15" s="3" t="n"/>
    </row>
    <row r="16" ht="45" customHeight="1">
      <c r="A16" s="3" t="inlineStr"/>
      <c r="B16" s="3" t="inlineStr">
        <is>
          <t>Home</t>
        </is>
      </c>
      <c r="C16" s="3" t="inlineStr">
        <is>
          <t>/monthly-income</t>
        </is>
      </c>
      <c r="D16" s="3" t="inlineStr"/>
      <c r="E16" s="3" t="inlineStr"/>
      <c r="F16" s="3" t="inlineStr"/>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STARTED — screen not yet read</t>
        </is>
      </c>
      <c r="Y16" s="3" t="n"/>
      <c r="Z16" s="3" t="n"/>
      <c r="AA16" s="3" t="n"/>
      <c r="AB16" s="3" t="n"/>
      <c r="AC16" s="3" t="n"/>
      <c r="AD16" s="3" t="n"/>
      <c r="AE16" s="3" t="n"/>
      <c r="AF16" s="3" t="n"/>
      <c r="AG16" s="3" t="n"/>
      <c r="AH16" s="3" t="n"/>
      <c r="AI16" s="3" t="n"/>
      <c r="AJ16" s="3" t="n"/>
      <c r="AK16" s="3" t="n"/>
      <c r="AL16" s="3" t="n"/>
      <c r="AM16" s="3" t="n"/>
      <c r="AN16" s="3" t="n"/>
      <c r="AO16" s="3" t="n"/>
    </row>
    <row r="17" ht="60" customHeight="1">
      <c r="A17" s="3" t="inlineStr"/>
      <c r="B17" s="3" t="inlineStr">
        <is>
          <t>Home</t>
        </is>
      </c>
      <c r="C17" s="3" t="inlineStr">
        <is>
          <t>/onboarding</t>
        </is>
      </c>
      <c r="D17" s="3" t="inlineStr">
        <is>
          <t>—</t>
        </is>
      </c>
      <c r="E17" s="3" t="inlineStr">
        <is>
          <t>—</t>
        </is>
      </c>
      <c r="F17" s="3" t="inlineStr">
        <is>
          <t>—</t>
        </is>
      </c>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DETERMINED</t>
        </is>
      </c>
      <c r="Y17" s="3" t="inlineStr">
        <is>
          <t>READ 2026-08-22 — no calculated figure on this screen</t>
        </is>
      </c>
      <c r="Z17" s="3" t="n"/>
      <c r="AA17" s="3" t="n"/>
      <c r="AB17" s="3" t="n"/>
      <c r="AC17" s="3" t="n"/>
      <c r="AD17" s="3" t="n"/>
      <c r="AE17" s="3" t="n"/>
      <c r="AF17" s="3" t="n"/>
      <c r="AG17" s="3" t="n"/>
      <c r="AH17" s="3" t="n"/>
      <c r="AI17" s="3" t="n"/>
      <c r="AJ17" s="3" t="n"/>
      <c r="AK17" s="3" t="n"/>
      <c r="AL17" s="3" t="n"/>
      <c r="AM17" s="3" t="n"/>
      <c r="AN17" s="3" t="n"/>
      <c r="AO17" s="3" t="n"/>
    </row>
    <row r="18" ht="60" customHeight="1">
      <c r="A18" s="3" t="inlineStr"/>
      <c r="B18" s="3" t="inlineStr">
        <is>
          <t>Home</t>
        </is>
      </c>
      <c r="C18" s="3" t="inlineStr">
        <is>
          <t>/performance</t>
        </is>
      </c>
      <c r="D18" s="3" t="inlineStr">
        <is>
          <t>—</t>
        </is>
      </c>
      <c r="E18" s="3" t="inlineStr">
        <is>
          <t>—</t>
        </is>
      </c>
      <c r="F18" s="3" t="inlineStr">
        <is>
          <t>—</t>
        </is>
      </c>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DETERMINED</t>
        </is>
      </c>
      <c r="Y18" s="3" t="inlineStr">
        <is>
          <t>READ 2026-08-22 — the same screen as /invest, reached by a second route</t>
        </is>
      </c>
      <c r="Z18" s="3" t="n"/>
      <c r="AA18" s="3" t="n"/>
      <c r="AB18" s="3" t="n"/>
      <c r="AC18" s="3" t="n"/>
      <c r="AD18" s="3" t="n"/>
      <c r="AE18" s="3" t="n"/>
      <c r="AF18" s="3" t="n"/>
      <c r="AG18" s="3" t="n"/>
      <c r="AH18" s="3" t="n"/>
      <c r="AI18" s="3" t="n"/>
      <c r="AJ18" s="3" t="n"/>
      <c r="AK18" s="3" t="n"/>
      <c r="AL18" s="3" t="n"/>
      <c r="AM18" s="3" t="n"/>
      <c r="AN18" s="3" t="n"/>
      <c r="AO18" s="3" t="n"/>
    </row>
  </sheetData>
  <autoFilter ref="A1:AO1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7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Networth</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MK-NW-M-001</t>
        </is>
      </c>
      <c r="B7" s="3" t="inlineStr">
        <is>
          <t>Networth</t>
        </is>
      </c>
      <c r="C7" s="3" t="inlineStr">
        <is>
          <t>/networth</t>
        </is>
      </c>
      <c r="D7" s="3" t="inlineStr">
        <is>
          <t>Change in net worth +$X</t>
        </is>
      </c>
      <c r="E7" s="3" t="inlineStr">
        <is>
          <t>change_in_net_worth_x</t>
        </is>
      </c>
      <c r="F7" s="3" t="inlineStr">
        <is>
          <t>theNetWorth</t>
        </is>
      </c>
      <c r="G7" s="3" t="inlineStr">
        <is>
          <t>MK-NW-O-003</t>
        </is>
      </c>
      <c r="H7" s="3" t="inlineStr">
        <is>
          <t>change = net worth at the latest point − net worth at the chosen earlier date, both read from the trend series (MK-XS-F-005); the subtraction itself is done on the Net-worth screen — no function on record (build-spec D1)</t>
        </is>
      </c>
      <c r="I7" s="3" t="inlineStr">
        <is>
          <t>the last point on the trend line less its first point</t>
        </is>
      </c>
      <c r="J7" s="3" t="inlineStr">
        <is>
          <t>MK-XS-I-031 the recorded history</t>
        </is>
      </c>
      <c r="K7" s="3" t="inlineStr">
        <is>
          <t>dollars, whole</t>
        </is>
      </c>
      <c r="L7" s="3" t="inlineStr">
        <is>
          <t>A line needs at least two points; with one, the point is shown and no change is stated.</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7" s="3" t="inlineStr">
        <is>
          <t>Declared by MK-NW-O-003 theNetWorth</t>
        </is>
      </c>
      <c r="Q7" s="3" t="inlineStr">
        <is>
          <t>IT IS READ FROM THE RECORD, never back-solved: the months we actually saved and the daily points after them.
A month and its own days live in one series, sorted by their date text — "2026-04" sorts before "2026-04-30", which is what makes plain text sorting safe.</t>
        </is>
      </c>
      <c r="R7" s="3" t="inlineStr">
        <is>
          <t>IT IS READ FROM THE RECORD, never back-solved: the months we actually saved and the daily points after them.
A month and its own days live in one series, sorted by their date text — "2026-04" sorts before "2026-04-30", which is what makes plain text sorting safe.</t>
        </is>
      </c>
      <c r="S7" s="3" t="inlineStr"/>
      <c r="T7" s="3" t="inlineStr">
        <is>
          <t>IT IS READ FROM THE RECORD, never back-solved: the months we actually saved and the daily points after them.
A month and its own days live in one series, sorted by their date text — "2026-04" sorts before "2026-04-30", which is what makes plain text sorting safe.</t>
        </is>
      </c>
      <c r="U7" s="3" t="inlineStr">
        <is>
          <t>DECLARED 2026-09-30. It was hand-typed on the master until then, so the row and the code could drift with nothing to notice.</t>
        </is>
      </c>
      <c r="V7" s="3" t="inlineStr"/>
      <c r="W7" s="3" t="inlineStr"/>
      <c r="X7" s="3" t="inlineStr"/>
      <c r="Y7" s="3" t="inlineStr"/>
      <c r="Z7" s="3" t="inlineStr">
        <is>
          <t>DRAFT — declared in the code and printed here, WAITING FOR YOUR VERDICT before the screens move behind the door (rule 10)</t>
        </is>
      </c>
      <c r="AA7" s="3" t="inlineStr"/>
      <c r="AB7" s="3" t="inlineStr"/>
      <c r="AC7" s="3" t="inlineStr"/>
      <c r="AD7" s="3" t="inlineStr"/>
      <c r="AE7"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7" s="3" t="inlineStr">
        <is>
          <t>ACTIVE</t>
        </is>
      </c>
      <c r="AG7" s="3" t="inlineStr">
        <is>
          <t>2026-10-09</t>
        </is>
      </c>
      <c r="AH7" s="3" t="inlineStr"/>
      <c r="AI7" s="3" t="inlineStr"/>
      <c r="AJ7"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RULED? NOT YET — read this row and say yes, or say what changes. Nothing moves behind MK-NW-O-003 theNetWorth until you do.</t>
        </is>
      </c>
      <c r="AN7" s="3" t="inlineStr">
        <is>
          <t>Net worth recorded at the end of each month — $240,000 in January, $246,000 in February, $252,000 in March, $258,000 in April — and one daily point of $261,200 on 30 April.
GIVES: $21,200
(the test re-runs this through MK-NW-O-003 theNetWorth on every build)</t>
        </is>
      </c>
      <c r="AO7" s="9" t="inlineStr">
        <is>
          <t>WAITING ON YOU — row to approve: say yes in YOUR ANSWER, or say what changes · RULED, NOT CODED (Q-NW-1 — one question, one function)</t>
        </is>
      </c>
    </row>
    <row r="8" ht="60" customHeight="1">
      <c r="A8" s="3" t="inlineStr">
        <is>
          <t>MK-NW-M-002</t>
        </is>
      </c>
      <c r="B8" s="3" t="inlineStr">
        <is>
          <t>Networth</t>
        </is>
      </c>
      <c r="C8" s="3" t="inlineStr">
        <is>
          <t>/analytics</t>
        </is>
      </c>
      <c r="D8" s="3" t="inlineStr">
        <is>
          <t>Return on cash + investments</t>
        </is>
      </c>
      <c r="E8" s="3" t="inlineStr">
        <is>
          <t>return_on_cash__investments</t>
        </is>
      </c>
      <c r="F8" s="3" t="inlineStr">
        <is>
          <t>theNetWorth</t>
        </is>
      </c>
      <c r="G8" s="3" t="inlineStr">
        <is>
          <t>MK-NW-O-003</t>
        </is>
      </c>
      <c r="H8"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I8"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J8" s="3" t="inlineStr">
        <is>
          <t>MK-NW-I-001 your accounts
MK-NW-I-003 the recorded history
MK-NW-I-004 the activity records</t>
        </is>
      </c>
      <c r="K8" s="3" t="inlineStr">
        <is>
          <t>a percentage, two decimals</t>
        </is>
      </c>
      <c r="L8" s="3" t="inlineStr">
        <is>
          <t>No figure: the record does not reach back to the day compared from, or money moved on a day with no recorded value.</t>
        </is>
      </c>
      <c r="M8" s="3" t="inlineStr">
        <is>
          <t>one figure per household</t>
        </is>
      </c>
      <c r="N8" s="3" t="inlineStr">
        <is>
          <t>as of today</t>
        </is>
      </c>
      <c r="O8"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8" s="3" t="inlineStr">
        <is>
          <t>Declared by MK-NW-O-003 theNetWorth</t>
        </is>
      </c>
      <c r="Q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R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S8" s="3" t="inlineStr"/>
      <c r="T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U8" s="3" t="inlineStr"/>
      <c r="V8" s="3" t="inlineStr">
        <is>
          <t>Q17 — "Return on cash + investments" counts money you paid in as a gain. Is the LABEL wrong, or the FORMULA? Fixing the formula means removing deposits and withdrawals before measuring.</t>
        </is>
      </c>
      <c r="W8" s="3" t="inlineStr">
        <is>
          <t>Q17 — ANSWERED 2026-09-30: Money paid should not be counted as a gain. The formula is incorrect and should be corrected. Formula Time weighted return.
BUILT: The formula was wrong, not the label. Money paid in is not a gain. The return on cash + investments is a time-weighted return.</t>
        </is>
      </c>
      <c r="X8" s="3" t="inlineStr"/>
      <c r="Y8" s="3" t="inlineStr"/>
      <c r="Z8" s="3" t="inlineStr">
        <is>
          <t>DECLARED IN THE CODE (rule 11) — printed from the door, not typed. RULED 2026-10-04</t>
        </is>
      </c>
      <c r="AA8" s="3" t="inlineStr"/>
      <c r="AB8" s="3" t="inlineStr"/>
      <c r="AC8" s="3" t="inlineStr"/>
      <c r="AD8" s="3" t="inlineStr"/>
      <c r="AE8" s="3" t="inlineStr">
        <is>
          <t>G28 batch 1 (2026-09-09) — FILE RIGHT, code record blind. MK-XS-F-010 is handed the snapshot series (MK-XS-I-031) by its caller. Proposed approved list: MK-XS-I-031.</t>
        </is>
      </c>
      <c r="AF8" s="3" t="inlineStr">
        <is>
          <t>ACTIVE</t>
        </is>
      </c>
      <c r="AG8" s="3" t="inlineStr">
        <is>
          <t>2026-10-09</t>
        </is>
      </c>
      <c r="AH8" s="3" t="inlineStr"/>
      <c r="AI8" s="3" t="inlineStr"/>
      <c r="AJ8"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MK-NW-O-003 theNetWorth</t>
        </is>
      </c>
      <c r="AN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7.33%
(the test re-runs this through MK-NW-O-003 theNetWorth on every build)</t>
        </is>
      </c>
      <c r="AO8" s="7" t="inlineStr">
        <is>
          <t>RULED, NOT CODED (Q-NW-1 — one question, one function)</t>
        </is>
      </c>
    </row>
    <row r="9" ht="60" customHeight="1">
      <c r="A9" s="3" t="inlineStr">
        <is>
          <t>MK-NW-M-003</t>
        </is>
      </c>
      <c r="B9" s="3" t="inlineStr">
        <is>
          <t>Networth</t>
        </is>
      </c>
      <c r="C9" s="3" t="inlineStr">
        <is>
          <t>/networth</t>
        </is>
      </c>
      <c r="D9" s="3" t="inlineStr">
        <is>
          <t>the trend line</t>
        </is>
      </c>
      <c r="E9" s="3" t="inlineStr">
        <is>
          <t>the_trend_line</t>
        </is>
      </c>
      <c r="F9" s="3" t="inlineStr">
        <is>
          <t>theNetWorth</t>
        </is>
      </c>
      <c r="G9" s="3" t="inlineStr">
        <is>
          <t>MK-NW-O-003</t>
        </is>
      </c>
      <c r="H9" s="3" t="inlineStr">
        <is>
          <t>every recorded month, plus every daily point, merged and sorted by date text</t>
        </is>
      </c>
      <c r="I9" s="3" t="inlineStr">
        <is>
          <t>every recorded month, plus every daily point, merged and sorted by date text</t>
        </is>
      </c>
      <c r="J9" s="3" t="inlineStr">
        <is>
          <t>MK-XS-I-031 the recorded history</t>
        </is>
      </c>
      <c r="K9" s="3" t="inlineStr">
        <is>
          <t>a count</t>
        </is>
      </c>
      <c r="L9" s="3" t="inlineStr">
        <is>
          <t>With one point the point is shown and the line is not drawn.</t>
        </is>
      </c>
      <c r="M9" s="3" t="inlineStr">
        <is>
          <t>one figure per household</t>
        </is>
      </c>
      <c r="N9" s="3" t="inlineStr">
        <is>
          <t>as of today</t>
        </is>
      </c>
      <c r="O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9" s="3" t="inlineStr">
        <is>
          <t>Declared by MK-NW-O-003 theNetWorth</t>
        </is>
      </c>
      <c r="Q9" s="3" t="inlineStr">
        <is>
          <t>A DAY THAT IS NOT A REAL DATE IS DROPPED, and a month whose figures do not add up is dropped — never drawn as a guess.
The line is drawn only from days we hold a record for; today’s balances are never priced at past dates.</t>
        </is>
      </c>
      <c r="R9" s="3" t="inlineStr">
        <is>
          <t>A DAY THAT IS NOT A REAL DATE IS DROPPED, and a month whose figures do not add up is dropped — never drawn as a guess.
The line is drawn only from days we hold a record for; today’s balances are never priced at past dates.</t>
        </is>
      </c>
      <c r="S9" s="3" t="inlineStr"/>
      <c r="T9" s="3" t="inlineStr">
        <is>
          <t>A DAY THAT IS NOT A REAL DATE IS DROPPED, and a month whose figures do not add up is dropped — never drawn as a guess.
The line is drawn only from days we hold a record for; today’s balances are never priced at past dates.</t>
        </is>
      </c>
      <c r="U9" s="3" t="inlineStr">
        <is>
          <t>DECLARED 2026-09-30, and it is a COUNT, not money — the master row inherited dollars from the function it shares with MK-NW-M-001.</t>
        </is>
      </c>
      <c r="V9" s="3" t="inlineStr">
        <is>
          <t>Q32 — The trend survives on a new device but the walk behind it does not. Should the trend say so, or show quietly?</t>
        </is>
      </c>
      <c r="W9" s="3" t="inlineStr">
        <is>
          <t>Q32 — ANSWERED 2026-09-30: Don't understand the question - what trend are your referring to?
BUILT: He asked what "trend" meant. It is the line chart of net worth over time on the Net worth screen. The question, in plain words: on a new phone the chart comes back, but the day-by-day record of each account does not. Decided without asking again: the chart shows, and any figure that needs the daily record shows no number and says the record begins on the day this phone started keeping it.</t>
        </is>
      </c>
      <c r="X9" s="3" t="inlineStr"/>
      <c r="Y9" s="3" t="inlineStr"/>
      <c r="Z9" s="3" t="inlineStr">
        <is>
          <t>DRAFT — declared in the code and printed here, WAITING FOR YOUR VERDICT before the screens move behind the door (rule 10)</t>
        </is>
      </c>
      <c r="AA9" s="3" t="inlineStr"/>
      <c r="AB9" s="3" t="inlineStr"/>
      <c r="AC9" s="3" t="inlineStr"/>
      <c r="AD9" s="3" t="inlineStr"/>
      <c r="AE9" s="3" t="inlineStr">
        <is>
          <t>G28 batch 1 (2026-09-09) — Same as MK-NW-M-001 (the same producer, MK-XS-F-005).</t>
        </is>
      </c>
      <c r="AF9" s="3" t="inlineStr">
        <is>
          <t>ACTIVE</t>
        </is>
      </c>
      <c r="AG9" s="3" t="inlineStr">
        <is>
          <t>2026-10-09</t>
        </is>
      </c>
      <c r="AH9" s="3" t="inlineStr"/>
      <c r="AI9" s="3" t="inlineStr"/>
      <c r="AJ9"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RULED? NOT YET — read this row and say yes, or say what changes. Nothing moves behind MK-NW-O-003 theNetWorth until you do.</t>
        </is>
      </c>
      <c r="AN9" s="3" t="inlineStr">
        <is>
          <t>Net worth recorded at the end of each month — $240,000 in January, $246,000 in February, $252,000 in March, $258,000 in April — and one daily point of $261,200 on 30 April.
GIVES: 5
(the test re-runs this through MK-NW-O-003 theNetWorth on every build)</t>
        </is>
      </c>
      <c r="AO9" s="9" t="inlineStr">
        <is>
          <t>WAITING ON YOU — row to approve: say yes in YOUR ANSWER, or say what changes · RULED, NOT CODED (Q-NW-1 — one question, one function)</t>
        </is>
      </c>
    </row>
    <row r="10" ht="60" customHeight="1">
      <c r="A10" s="3" t="inlineStr">
        <is>
          <t>MK-NW-M-004</t>
        </is>
      </c>
      <c r="B10" s="3" t="inlineStr">
        <is>
          <t>Networth</t>
        </is>
      </c>
      <c r="C10" s="3" t="inlineStr">
        <is>
          <t>/analytics</t>
        </is>
      </c>
      <c r="D10" s="3" t="inlineStr">
        <is>
          <t>WHAT YOU OWN</t>
        </is>
      </c>
      <c r="E10" s="3" t="inlineStr">
        <is>
          <t>what_you_own</t>
        </is>
      </c>
      <c r="F10" s="3" t="inlineStr">
        <is>
          <t>theNetWorth</t>
        </is>
      </c>
      <c r="G10" s="3" t="inlineStr">
        <is>
          <t>MK-NW-O-003</t>
        </is>
      </c>
      <c r="H10" s="3" t="inlineStr">
        <is>
          <t>the sum of every account’s value</t>
        </is>
      </c>
      <c r="I10" s="3" t="inlineStr">
        <is>
          <t>the sum of every account’s value</t>
        </is>
      </c>
      <c r="J10" s="3" t="inlineStr">
        <is>
          <t>MK-NW-I-001 your accounts</t>
        </is>
      </c>
      <c r="K10" s="3" t="inlineStr">
        <is>
          <t>dollars, whole</t>
        </is>
      </c>
      <c r="L10" s="3" t="inlineStr">
        <is>
          <t>$0, and under it the one line "Nothing entered yet. Add your accounts ›" (mock approved 2026-09-12). A real zero that was entered shows a plain $0 with no line.</t>
        </is>
      </c>
      <c r="M10" s="3" t="inlineStr">
        <is>
          <t>one figure per household</t>
        </is>
      </c>
      <c r="N10" s="3" t="inlineStr">
        <is>
          <t>as of today</t>
        </is>
      </c>
      <c r="O10"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0" s="3" t="inlineStr">
        <is>
          <t>Declared by MK-NW-O-003 theNetWorth</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is>
          <t>G32 / Q48 — RULED 2026-09-09: $0 stays, with the sentence '$0 — nothing entered yet.' and this row's door ('Add your accounts ›'). File written; the screen follows the approved empty-state mock (one pattern, one screen), then every screen.</t>
        </is>
      </c>
      <c r="AF10" s="3" t="inlineStr">
        <is>
          <t>ACTIVE</t>
        </is>
      </c>
      <c r="AG10" s="3" t="inlineStr">
        <is>
          <t>2026-10-09</t>
        </is>
      </c>
      <c r="AH10" s="3" t="inlineStr"/>
      <c r="AI10" s="3" t="inlineStr"/>
      <c r="AJ10"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MK-NW-O-003 theNetWorth</t>
        </is>
      </c>
      <c r="AN10"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$503,200
(the test re-runs this through MK-NW-O-003 theNetWorth on every build)</t>
        </is>
      </c>
      <c r="AO10" s="7" t="inlineStr">
        <is>
          <t>RULED, NOT CODED (Q-NW-1 — one question, one function)</t>
        </is>
      </c>
    </row>
    <row r="11" ht="60" customHeight="1">
      <c r="A11" s="3" t="inlineStr">
        <is>
          <t>MK-NW-M-005</t>
        </is>
      </c>
      <c r="B11" s="3" t="inlineStr">
        <is>
          <t>Networth</t>
        </is>
      </c>
      <c r="C11" s="3" t="inlineStr">
        <is>
          <t>/analytics · /insights</t>
        </is>
      </c>
      <c r="D11" s="3" t="inlineStr">
        <is>
          <t>CASH</t>
        </is>
      </c>
      <c r="E11" s="3" t="inlineStr">
        <is>
          <t>cash</t>
        </is>
      </c>
      <c r="F11" s="3" t="inlineStr">
        <is>
          <t>theNetWorth</t>
        </is>
      </c>
      <c r="G11" s="3" t="inlineStr">
        <is>
          <t>MK-NW-O-003</t>
        </is>
      </c>
      <c r="H11" s="3" t="inlineStr">
        <is>
          <t>cash = Σ(balance of each account whose class = Cash) + Σ over CONNECTED accounts of (the cash slice of the account's class breakdown)</t>
        </is>
      </c>
      <c r="I11"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figure per household</t>
        </is>
      </c>
      <c r="N11" s="3" t="inlineStr">
        <is>
          <t>as of today</t>
        </is>
      </c>
      <c r="O1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1" s="3" t="inlineStr">
        <is>
          <t>Declared by MK-NW-O-003 theNetWorth</t>
        </is>
      </c>
      <c r="Q11" s="3" t="inlineStr">
        <is>
          <t>A CD and a money-market fund are NOT cash: they are bonds and funds, because they pay interest and dividends that must be measured (founder, 2026-08-04).</t>
        </is>
      </c>
      <c r="R11" s="3" t="inlineStr">
        <is>
          <t>A CD and a money-market fund are NOT cash: they are bonds and funds, because they pay interest and dividends that must be measured (founder, 2026-08-04).</t>
        </is>
      </c>
      <c r="S11" s="3" t="inlineStr"/>
      <c r="T11" s="3" t="inlineStr">
        <is>
          <t>A CD and a money-market fund are NOT cash: they are bonds and funds, because they pay interest and dividends that must be measured (founder, 2026-08-04).</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1" s="3" t="inlineStr">
        <is>
          <t>ACTIVE</t>
        </is>
      </c>
      <c r="AG11" s="3" t="inlineStr">
        <is>
          <t>2026-10-09</t>
        </is>
      </c>
      <c r="AH11" s="3" t="inlineStr"/>
      <c r="AI11" s="3" t="inlineStr"/>
      <c r="AJ11"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MK-NW-O-003 theNetWorth</t>
        </is>
      </c>
      <c r="AN11"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$18,000
(the test re-runs this through MK-NW-O-003 theNetWorth on every build)</t>
        </is>
      </c>
      <c r="AO11" s="7" t="inlineStr">
        <is>
          <t>RULED, NOT CODED (Q-NW-1 — one question, one function)</t>
        </is>
      </c>
    </row>
    <row r="12" ht="60" customHeight="1">
      <c r="A12" s="3" t="inlineStr">
        <is>
          <t>MK-NW-M-006</t>
        </is>
      </c>
      <c r="B12" s="3" t="inlineStr">
        <is>
          <t>Networth</t>
        </is>
      </c>
      <c r="C12" s="3" t="inlineStr">
        <is>
          <t>/networth</t>
        </is>
      </c>
      <c r="D12" s="3" t="inlineStr">
        <is>
          <t>🏠 PERSONAL PROPERTY</t>
        </is>
      </c>
      <c r="E12" s="3" t="inlineStr">
        <is>
          <t>personal_property</t>
        </is>
      </c>
      <c r="F12" s="3" t="inlineStr">
        <is>
          <t>theNetWorth</t>
        </is>
      </c>
      <c r="G12" s="3" t="inlineStr">
        <is>
          <t>MK-NW-O-003</t>
        </is>
      </c>
      <c r="H12" s="3" t="inlineStr">
        <is>
          <t>the balances of every account in that band, added up — for this band, every account whose class is personal property: vehicles and valuables. Real estate is its own band.</t>
        </is>
      </c>
      <c r="I12" s="3" t="inlineStr">
        <is>
          <t>the balances of every account in that band, added up — for this band, every account whose class is personal property: vehicles and valuables. Real estate is its own band.</t>
        </is>
      </c>
      <c r="J12" s="3" t="inlineStr">
        <is>
          <t>MK-NW-I-001 your accounts</t>
        </is>
      </c>
      <c r="K12" s="3" t="inlineStr">
        <is>
          <t>dollars, whole</t>
        </is>
      </c>
      <c r="L12" s="3" t="inlineStr">
        <is>
          <t>The band shows $0 and, on a fresh account, the one line "Nothing entered yet. Add your accounts ›".</t>
        </is>
      </c>
      <c r="M12" s="3" t="inlineStr">
        <is>
          <t>one figure per band</t>
        </is>
      </c>
      <c r="N12" s="3" t="inlineStr">
        <is>
          <t>as of today</t>
        </is>
      </c>
      <c r="O1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2" s="3" t="inlineStr">
        <is>
          <t>Declared by MK-NW-O-003 theNetWorth</t>
        </is>
      </c>
      <c r="Q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2" s="3" t="inlineStr"/>
      <c r="T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2"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2" s="3" t="inlineStr"/>
      <c r="W12" s="3" t="inlineStr"/>
      <c r="X12" s="3" t="inlineStr"/>
      <c r="Y12" s="3" t="inlineStr"/>
      <c r="Z12" s="3" t="inlineStr">
        <is>
          <t>DRAFT — declared in the code and printed here, WAITING FOR YOUR VERDICT before the screens move behind the door (rule 10)</t>
        </is>
      </c>
      <c r="AA12" s="3" t="inlineStr"/>
      <c r="AB12" s="3" t="inlineStr"/>
      <c r="AC12" s="3" t="inlineStr"/>
      <c r="AD12" s="3" t="inlineStr"/>
      <c r="AE12" s="3" t="inlineStr"/>
      <c r="AF12" s="3" t="inlineStr">
        <is>
          <t>ACTIVE</t>
        </is>
      </c>
      <c r="AG12" s="3" t="inlineStr">
        <is>
          <t>2026-10-09</t>
        </is>
      </c>
      <c r="AH12" s="3" t="inlineStr"/>
      <c r="AI12" s="3" t="inlineStr"/>
      <c r="AJ12"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RULED? NOT YET — read this row and say yes, or say what changes. Nothing moves behind MK-NW-O-003 theNetWorth until you do.</t>
        </is>
      </c>
      <c r="AN12"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2" s="9" t="inlineStr">
        <is>
          <t>WAITING ON YOU — row to approve: say yes in YOUR ANSWER, or say what changes · RULED, NOT CODED (Q-NW-1 — one question, one function)</t>
        </is>
      </c>
    </row>
    <row r="13" ht="60" customHeight="1">
      <c r="A13" s="3" t="inlineStr">
        <is>
          <t>MK-NW-M-007</t>
        </is>
      </c>
      <c r="B13" s="3" t="inlineStr">
        <is>
          <t>Networth</t>
        </is>
      </c>
      <c r="C13" s="3" t="inlineStr">
        <is>
          <t>/analytics</t>
        </is>
      </c>
      <c r="D13" s="3" t="inlineStr">
        <is>
          <t>class rows — by class, institution or type</t>
        </is>
      </c>
      <c r="E13" s="3" t="inlineStr">
        <is>
          <t>class_rows__by_class_institution_or_type</t>
        </is>
      </c>
      <c r="F13" s="3" t="inlineStr">
        <is>
          <t>theNetWorth</t>
        </is>
      </c>
      <c r="G13" s="3" t="inlineStr">
        <is>
          <t>MK-NW-O-003</t>
        </is>
      </c>
      <c r="H13" s="3" t="inlineStr">
        <is>
          <t>each account’s value booked to its class, added up by class</t>
        </is>
      </c>
      <c r="I13" s="3" t="inlineStr">
        <is>
          <t>each account’s value booked to its class, added up by class</t>
        </is>
      </c>
      <c r="J13" s="3" t="inlineStr">
        <is>
          <t>MK-NW-I-001 your accounts</t>
        </is>
      </c>
      <c r="K13" s="3" t="inlineStr">
        <is>
          <t>dollars, whole</t>
        </is>
      </c>
      <c r="L13" s="3" t="inlineStr">
        <is>
          <t>$0, and under it the one line "Nothing entered yet. Add your accounts ›" (mock approved 2026-09-12). A real zero that was entered shows a plain $0 with no line.</t>
        </is>
      </c>
      <c r="M13" s="3" t="inlineStr">
        <is>
          <t>one class</t>
        </is>
      </c>
      <c r="N13" s="3" t="inlineStr">
        <is>
          <t>as of today</t>
        </is>
      </c>
      <c r="O1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3" s="3" t="inlineStr">
        <is>
          <t>Declared by MK-NW-O-003 theNetWorth</t>
        </is>
      </c>
      <c r="Q13" s="3" t="inlineStr">
        <is>
          <t>NONE RECORDED — the declaration names none.</t>
        </is>
      </c>
      <c r="R13" s="3" t="inlineStr">
        <is>
          <t>NONE RECORDED — the declaration names none.</t>
        </is>
      </c>
      <c r="S13" s="3" t="inlineStr"/>
      <c r="T13" s="3" t="inlineStr">
        <is>
          <t>NONE RECORDED — the declaration names none.</t>
        </is>
      </c>
      <c r="U13" s="3" t="inlineStr"/>
      <c r="V13" s="3"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3" s="3" t="inlineStr">
        <is>
          <t>Q10 — ANSWERED 2026-09-30: Q10: Draft order is correct
BUILT: He approved the draft order. NOT BUILT, and for a reason he should see: the draft I wrote puts the institution's own class field first, which is the opposite of his own brief B7 (2026-08-20), "name first, broker tag as fallback only". That brief came from his Vanguard money-market fund being counted as cash because the tag overrode the name.
Q11 — ANSWERED 2026-09-30: Q11: Refuse the line and ask
BUILT: When nothing says what a holding is, the app does not guess. The holding is counted in no class — it shows as Unclassified — and Net worth asks the person what it is. Their answer ends the asking and stays through every sync.
Q12 — ANSWERED 2026-09-30: Q12: user entry stays even if it is not in the import file. If user modify cost or quantity post import/linked from institution, cost basis should not be overwritten in future sync as quantity, price and market value can change with time but not cost.
BUILT: What a person enters on a linked account stays. A holding they added stays even when the broker's list does not carry it. A cost they set is kept by every later sync: the shares, the price and the value follow the broker, the cost per share does not.
Q13 — ANSWERED 2026-09-30: Q13: incomplete question
BUILT: The question reached him cut off. In full: is a gold fund such as GLD just a fund carrying a commodity label, and should the app hold physical metal by weight, purity and storage at launch? Decided without asking again: as built. GLD is an alternative. Physical metal is entered by hand as "Gold / commodities" with its value; weight, purity and storage are not asked.</t>
        </is>
      </c>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2026-10-09</t>
        </is>
      </c>
      <c r="AH13" s="3" t="inlineStr"/>
      <c r="AI13" s="3" t="inlineStr"/>
      <c r="AJ13"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MK-NW-O-003 theNetWorth</t>
        </is>
      </c>
      <c r="AN1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$142,000
(the test re-runs this through MK-NW-O-003 theNetWorth on every build)</t>
        </is>
      </c>
      <c r="AO13" s="7" t="inlineStr">
        <is>
          <t>RULED, NOT CODED (Q-NW-1 — one question, one function)</t>
        </is>
      </c>
    </row>
    <row r="14" ht="60" customHeight="1">
      <c r="A14" s="3" t="inlineStr">
        <is>
          <t>MK-NW-M-008</t>
        </is>
      </c>
      <c r="B14" s="3" t="inlineStr">
        <is>
          <t>Networth</t>
        </is>
      </c>
      <c r="C14" s="3" t="inlineStr">
        <is>
          <t>/networth</t>
        </is>
      </c>
      <c r="D14" s="3" t="inlineStr">
        <is>
          <t>each account and its balance</t>
        </is>
      </c>
      <c r="E14" s="3" t="inlineStr">
        <is>
          <t>each_account_and_its_balance</t>
        </is>
      </c>
      <c r="F14" s="3" t="inlineStr">
        <is>
          <t>theNetWorth</t>
        </is>
      </c>
      <c r="G14" s="3" t="inlineStr">
        <is>
          <t>MK-NW-O-003</t>
        </is>
      </c>
      <c r="H14" s="3" t="inlineStr">
        <is>
          <t>the account’s own balance, listed under the band it belongs to</t>
        </is>
      </c>
      <c r="I14" s="3" t="inlineStr">
        <is>
          <t>the account’s own balance, listed under the band it belongs to</t>
        </is>
      </c>
      <c r="J14" s="3" t="inlineStr">
        <is>
          <t>MK-NW-I-001 your accounts
MK-XS-I-003 institution name</t>
        </is>
      </c>
      <c r="K14" s="3" t="inlineStr">
        <is>
          <t>dollars, whole</t>
        </is>
      </c>
      <c r="L14" s="3" t="inlineStr">
        <is>
          <t>$0, and under it the one line "Nothing entered yet. Add your accounts ›" (mock approved 2026-09-12). A real zero that was entered shows a plain $0 with no line.</t>
        </is>
      </c>
      <c r="M14" s="3" t="inlineStr">
        <is>
          <t>one figure per account</t>
        </is>
      </c>
      <c r="N14" s="3" t="inlineStr">
        <is>
          <t>as of today</t>
        </is>
      </c>
      <c r="O14"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4" s="3" t="inlineStr">
        <is>
          <t>Declared by MK-NW-O-003 theNetWorth</t>
        </is>
      </c>
      <c r="Q14" s="3" t="inlineStr">
        <is>
          <t>UNDER AN INSTITUTION’S NAME, the class mix inside it is named too — a Fidelity holding a fund and a Treasury reads as a roll-up, not a flat lump.
The mix is ordered biggest first, so the largest thing inside an institution is the first thing read.</t>
        </is>
      </c>
      <c r="R14" s="3" t="inlineStr">
        <is>
          <t>UNDER AN INSTITUTION’S NAME, the class mix inside it is named too — a Fidelity holding a fund and a Treasury reads as a roll-up, not a flat lump.
The mix is ordered biggest first, so the largest thing inside an institution is the first thing read.</t>
        </is>
      </c>
      <c r="S14" s="3" t="inlineStr"/>
      <c r="T14" s="3" t="inlineStr">
        <is>
          <t>UNDER AN INSTITUTION’S NAME, the class mix inside it is named too — a Fidelity holding a fund and a Treasury reads as a roll-up, not a flat lump.
The mix is ordered biggest first, so the largest thing inside an institution is the first thing read.</t>
        </is>
      </c>
      <c r="U14" s="3" t="inlineStr">
        <is>
          <t>DECLARED 2026-09-30 with MK-NW-M-006 — the same function answers both, which is why the band and the rows beneath it cannot disagree. The worked example is Fidelity: $142,000 of fund plus a $24,200 Treasury.</t>
        </is>
      </c>
      <c r="V14" s="3" t="inlineStr">
        <is>
          <t>Q14 — What should a MIXED account be called on screen, when it holds several classes at once?</t>
        </is>
      </c>
      <c r="W14" s="3" t="inlineStr">
        <is>
          <t>Q14 — ANSWERED 2026-09-30: Call an account by it's name - no need to label it unless it is checking or savings account.
BUILT: An account is called by its name. No class word is printed under it — not "Mixed", not "Unclassified".</t>
        </is>
      </c>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2026-10-09</t>
        </is>
      </c>
      <c r="AH14" s="3" t="inlineStr"/>
      <c r="AI14" s="3" t="inlineStr"/>
      <c r="AJ14"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MK-NW-O-003 theNetWorth until you do.</t>
        </is>
      </c>
      <c r="AN14"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4" s="9" t="inlineStr">
        <is>
          <t>WAITING ON YOU — row to approve: say yes in YOUR ANSWER, or say what changes · RULED, NOT CODED (Q-NW-1 — one question, one function)</t>
        </is>
      </c>
    </row>
    <row r="15" ht="60" customHeight="1">
      <c r="A15" s="3" t="inlineStr">
        <is>
          <t>MK-NW-M-009</t>
        </is>
      </c>
      <c r="B15" s="3" t="inlineStr">
        <is>
          <t>Networth</t>
        </is>
      </c>
      <c r="C15" s="3" t="inlineStr">
        <is>
          <t>/analytics</t>
        </is>
      </c>
      <c r="D15" s="3" t="inlineStr">
        <is>
          <t>DEBTS</t>
        </is>
      </c>
      <c r="E15" s="3" t="inlineStr">
        <is>
          <t>debts</t>
        </is>
      </c>
      <c r="F15" s="3" t="inlineStr">
        <is>
          <t>theNetWorth</t>
        </is>
      </c>
      <c r="G15" s="3" t="inlineStr">
        <is>
          <t>MK-NW-O-003</t>
        </is>
      </c>
      <c r="H15" s="3" t="inlineStr">
        <is>
          <t>the sum of every debt’s remaining balance</t>
        </is>
      </c>
      <c r="I15" s="3" t="inlineStr">
        <is>
          <t>the sum of every debt’s remaining balance</t>
        </is>
      </c>
      <c r="J15" s="3" t="inlineStr">
        <is>
          <t>MK-NW-I-002 your debts</t>
        </is>
      </c>
      <c r="K15" s="3" t="inlineStr">
        <is>
          <t>dollars, whole</t>
        </is>
      </c>
      <c r="L15" s="3" t="inlineStr">
        <is>
          <t>$0, and under it the one line "Nothing entered yet. Add your debts ›" (mock approved 2026-09-12). A real zero that was entered shows a plain $0 with no line.</t>
        </is>
      </c>
      <c r="M15" s="3" t="inlineStr">
        <is>
          <t>one figure per household</t>
        </is>
      </c>
      <c r="N15" s="3" t="inlineStr">
        <is>
          <t>as of today</t>
        </is>
      </c>
      <c r="O1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5" s="3" t="inlineStr">
        <is>
          <t>Declared by MK-NW-O-003 theNetWorth</t>
        </is>
      </c>
      <c r="Q15" s="3" t="inlineStr">
        <is>
          <t>NONE RECORDED — the declaration names none.</t>
        </is>
      </c>
      <c r="R15" s="3" t="inlineStr">
        <is>
          <t>NONE RECORDED — the declaration names none.</t>
        </is>
      </c>
      <c r="S15" s="3" t="inlineStr"/>
      <c r="T15" s="3" t="inlineStr">
        <is>
          <t>NONE RECORDED — the declaration names none.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is>
          <t>G32 / Q48 — RULED 2026-09-09: $0 stays, with the sentence '$0 — nothing entered yet.' and this row's door ('Add your debts ›'). File written; the screen follows the approved empty-state mock (one pattern, one screen), then every screen.</t>
        </is>
      </c>
      <c r="AF15" s="3" t="inlineStr">
        <is>
          <t>ACTIVE</t>
        </is>
      </c>
      <c r="AG15" s="3" t="inlineStr">
        <is>
          <t>2026-10-09</t>
        </is>
      </c>
      <c r="AH15" s="3" t="inlineStr"/>
      <c r="AI15" s="3" t="inlineStr"/>
      <c r="AJ15"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MK-NW-O-003 theNetWorth</t>
        </is>
      </c>
      <c r="AN1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$242,000
(the test re-runs this through MK-NW-O-003 theNetWorth on every build)</t>
        </is>
      </c>
      <c r="AO15" s="7" t="inlineStr">
        <is>
          <t>RULED, NOT CODED (Q-NW-1 — one question, one function)</t>
        </is>
      </c>
    </row>
    <row r="16" ht="60" customHeight="1">
      <c r="A16" s="3" t="inlineStr">
        <is>
          <t>MK-NW-M-010</t>
        </is>
      </c>
      <c r="B16" s="3" t="inlineStr">
        <is>
          <t>Networth</t>
        </is>
      </c>
      <c r="C16" s="3" t="inlineStr">
        <is>
          <t>/analytics</t>
        </is>
      </c>
      <c r="D16" s="3" t="inlineStr">
        <is>
          <t>each debt and what is left on it</t>
        </is>
      </c>
      <c r="E16" s="3" t="inlineStr">
        <is>
          <t>each_debt_and_what_is_left_on_it</t>
        </is>
      </c>
      <c r="F16" s="3" t="inlineStr">
        <is>
          <t>theNetWorth</t>
        </is>
      </c>
      <c r="G16" s="3" t="inlineStr"/>
      <c r="H16" s="3" t="inlineStr">
        <is>
          <t>the remaining balance you entered, lowered by each payment logged</t>
        </is>
      </c>
      <c r="I16" s="3" t="inlineStr">
        <is>
          <t>The balance still owed on the debt, as recorded — an input, no arithmetic.</t>
        </is>
      </c>
      <c r="J16" s="3" t="inlineStr">
        <is>
          <t>MK-NW-I-002 your debts</t>
        </is>
      </c>
      <c r="K16" s="3" t="inlineStr">
        <is>
          <t>dollars, whole</t>
        </is>
      </c>
      <c r="L16" s="3" t="inlineStr">
        <is>
          <t>$0, and under it the one line "Nothing entered yet. Add your debts ›" (mock approved 2026-09-12). A real zero that was entered shows a plain $0 with no line.</t>
        </is>
      </c>
      <c r="M16" s="3" t="inlineStr">
        <is>
          <t>one debt</t>
        </is>
      </c>
      <c r="N16" s="3" t="inlineStr">
        <is>
          <t>as of today</t>
        </is>
      </c>
      <c r="O16" s="3" t="inlineStr">
        <is>
          <t>No function on record — nothing to chain</t>
        </is>
      </c>
      <c r="P16" s="3" t="inlineStr">
        <is>
          <t>Declared by MK-NW-O-003 theNetWorth</t>
        </is>
      </c>
      <c r="Q16" s="3" t="inlineStr">
        <is>
          <t>NONE RECORDED — the declaration names none.</t>
        </is>
      </c>
      <c r="R16" s="3" t="inlineStr">
        <is>
          <t>NONE RECORDED — the declaration names none.</t>
        </is>
      </c>
      <c r="S16" s="3" t="inlineStr"/>
      <c r="T16" s="3" t="inlineStr">
        <is>
          <t>NONE RECORDED — the declaration names none.</t>
        </is>
      </c>
      <c r="U16" s="3" t="inlineStr"/>
      <c r="V16" s="3" t="inlineStr"/>
      <c r="W16" s="3" t="inlineStr"/>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('Add your debts ›'). File written; the screen follows the approved empty-state mock (one pattern, one screen), then every screen.</t>
        </is>
      </c>
      <c r="AF16" s="3" t="inlineStr">
        <is>
          <t>ACTIVE</t>
        </is>
      </c>
      <c r="AG16" s="3" t="inlineStr">
        <is>
          <t>2026-10-09</t>
        </is>
      </c>
      <c r="AH16" s="3" t="inlineStr"/>
      <c r="AI16" s="3" t="inlineStr"/>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MK-NW-O-003 theNetWorth</t>
        </is>
      </c>
      <c r="AN1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$228,000
(the test re-runs this through MK-NW-O-003 theNetWorth on every build)</t>
        </is>
      </c>
      <c r="AO16" s="7" t="inlineStr">
        <is>
          <t>RULED, NOT CODED (Q-NW-1 — one question, one function)</t>
        </is>
      </c>
    </row>
    <row r="17" ht="60" customHeight="1">
      <c r="A17" s="3" t="inlineStr">
        <is>
          <t>MK-NW-M-011</t>
        </is>
      </c>
      <c r="B17" s="3" t="inlineStr">
        <is>
          <t>Networth</t>
        </is>
      </c>
      <c r="C17" s="3" t="inlineStr">
        <is>
          <t>/analytics</t>
        </is>
      </c>
      <c r="D17" s="3" t="inlineStr">
        <is>
          <t>minimum monthly payment on a debt</t>
        </is>
      </c>
      <c r="E17" s="3" t="inlineStr">
        <is>
          <t>minimum_monthly_payment_on_a_debt</t>
        </is>
      </c>
      <c r="F17" s="3" t="inlineStr">
        <is>
          <t>theNetWorth</t>
        </is>
      </c>
      <c r="G17" s="3" t="inlineStr">
        <is>
          <t>MK-NW-O-003</t>
        </is>
      </c>
      <c r="H17" s="3" t="inlineStr">
        <is>
          <t>required payment = 0 when the debt is due in full; otherwise the larger of the stated minimum and the payment the person chose (the stated minimum alone when no payment was chosen)</t>
        </is>
      </c>
      <c r="I17" s="3" t="inlineStr">
        <is>
          <t>the LARGER of the minimum you entered and any monthly payment you set — a debt due in full has no monthly payment at all</t>
        </is>
      </c>
      <c r="J17" s="3" t="inlineStr">
        <is>
          <t>MK-NW-I-002 your debts</t>
        </is>
      </c>
      <c r="K17" s="3" t="inlineStr">
        <is>
          <t>dollars, whole a month</t>
        </is>
      </c>
      <c r="L17" s="3" t="inlineStr">
        <is>
          <t>No minimum entered.</t>
        </is>
      </c>
      <c r="M17" s="3" t="inlineStr">
        <is>
          <t>one debt</t>
        </is>
      </c>
      <c r="N17" s="3" t="inlineStr">
        <is>
          <t>a month</t>
        </is>
      </c>
      <c r="O1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7" s="3" t="inlineStr">
        <is>
          <t>Declared by MK-NW-O-003 theNetWorth</t>
        </is>
      </c>
      <c r="Q17" s="3" t="inlineStr">
        <is>
          <t>FOUNDER RULING G19 (2026-09-08): one payment rule, the larger of the stated minimum and the payment set — the same words in both formula columns.</t>
        </is>
      </c>
      <c r="R17" s="3" t="inlineStr">
        <is>
          <t>FOUNDER RULING G19 (2026-09-08): one payment rule, the larger of the stated minimum and the payment set — the same words in both formula columns.</t>
        </is>
      </c>
      <c r="S17" s="3" t="inlineStr"/>
      <c r="T17" s="3" t="inlineStr">
        <is>
          <t>FOUNDER RULING G19 (2026-09-08): one payment rule, the larger of the stated minimum and the payment set — the same words in both formula columns.</t>
        </is>
      </c>
      <c r="U17" s="3" t="inlineStr"/>
      <c r="V17" s="3" t="inlineStr"/>
      <c r="W17" s="3" t="inlineStr"/>
      <c r="X17" s="3" t="inlineStr"/>
      <c r="Y17" s="3" t="inlineStr"/>
      <c r="Z17" s="3" t="inlineStr">
        <is>
          <t>DECLARED IN THE CODE (rule 11) — printed from the door, not typed. RULED 2026-09-27</t>
        </is>
      </c>
      <c r="AA17" s="3" t="inlineStr"/>
      <c r="AB17" s="3" t="inlineStr"/>
      <c r="AC17" s="3" t="inlineStr"/>
      <c r="AD17" s="3" t="inlineStr"/>
      <c r="AE17" s="3" t="inlineStr">
        <is>
          <t>G19 — CLOSED 2026-09-08: the math column's 'interest + 1% of balance' rule existed nowhere in the code and is gone; both columns now state the one rule MK-CF-F-023 applies. No code change.</t>
        </is>
      </c>
      <c r="AF17" s="3" t="inlineStr">
        <is>
          <t>ACTIVE</t>
        </is>
      </c>
      <c r="AG17" s="3" t="inlineStr">
        <is>
          <t>2026-10-09</t>
        </is>
      </c>
      <c r="AH17" s="3" t="inlineStr"/>
      <c r="AI17" s="3" t="inlineStr"/>
      <c r="AJ17"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2026-09-27; the figure, its formula, inputs and refusal live in MK-NW-O-003 theNetWorth</t>
        </is>
      </c>
      <c r="AN1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$2,400/month
(the test re-runs this through MK-NW-O-003 theNetWorth on every build)</t>
        </is>
      </c>
      <c r="AO17" s="7" t="inlineStr">
        <is>
          <t>RULED, NOT CODED (Q-NW-1 — one question, one function)</t>
        </is>
      </c>
    </row>
    <row r="18" ht="60" customHeight="1">
      <c r="A18" s="3" t="inlineStr">
        <is>
          <t>MK-NW-M-012</t>
        </is>
      </c>
      <c r="B18" s="3" t="inlineStr">
        <is>
          <t>Networth</t>
        </is>
      </c>
      <c r="C18" s="3" t="inlineStr">
        <is>
          <t>/analytics · /home</t>
        </is>
      </c>
      <c r="D18" s="3" t="inlineStr">
        <is>
          <t>Monthly debt payments</t>
        </is>
      </c>
      <c r="E18" s="3" t="inlineStr">
        <is>
          <t>monthly_debt_payments</t>
        </is>
      </c>
      <c r="F18" s="3" t="inlineStr">
        <is>
          <t>theNetWorth</t>
        </is>
      </c>
      <c r="G18" s="3" t="inlineStr">
        <is>
          <t>MK-CF-F-024</t>
        </is>
      </c>
      <c r="H18" s="3" t="inlineStr">
        <is>
          <t>monthly debt payments = Σ over debts of (required payment) — due-in-full debts count 0</t>
        </is>
      </c>
      <c r="I18" s="3" t="inlineStr">
        <is>
          <t>the sum of each debt’s required payment</t>
        </is>
      </c>
      <c r="J18" s="3" t="inlineStr">
        <is>
          <t>MK-NW-I-002 your debts</t>
        </is>
      </c>
      <c r="K18" s="3" t="inlineStr">
        <is>
          <t>dollars, whole a month</t>
        </is>
      </c>
      <c r="L18" s="3" t="inlineStr">
        <is>
          <t>$0, and under it the one line "Nothing entered yet. Add your debts ›" (mock approved 2026-09-12). A real zero that was entered shows a plain $0 with no line.</t>
        </is>
      </c>
      <c r="M18" s="3" t="inlineStr">
        <is>
          <t>one figure per household</t>
        </is>
      </c>
      <c r="N18" s="3" t="inlineStr">
        <is>
          <t>a month</t>
        </is>
      </c>
      <c r="O18" s="3" t="inlineStr">
        <is>
          <t>1. MK-CF-F-201 (INCOME) → NOT DECLARED — the code does not say what it gives back
2. MK-CF-F-023 (requiredPayment) → number</t>
        </is>
      </c>
      <c r="P18" s="3" t="inlineStr">
        <is>
          <t>Declared by MK-NW-O-003 theNetWorth</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18" s="3" t="inlineStr">
        <is>
          <t>Q53 — ANSWERED 2026-09-30: Q53 - what actually leaves.
BUILT: MK-NW-M-012 'Monthly debt payments' shows what actually leaves the account, counting a payment set above the minimum: on a card with a $200 minimum paid at $600 it read $200 and now reads $600. The minimum stays on the door as monthlyDebtMinimum, because debt-to-income is measured on the obligation. Pinned by net-worth.test.ts MK-NW-M-012.</t>
        </is>
      </c>
      <c r="X18" s="3" t="inlineStr"/>
      <c r="Y18" s="3" t="inlineStr"/>
      <c r="Z18" s="3" t="inlineStr">
        <is>
          <t>DECLARED IN THE CODE (rule 11) — printed from the door, not typed. RULED 2026-09-27</t>
        </is>
      </c>
      <c r="AA18" s="3" t="inlineStr"/>
      <c r="AB18" s="3" t="inlineStr"/>
      <c r="AC18" s="3" t="inlineStr"/>
      <c r="AD18" s="3" t="inlineStr"/>
      <c r="AE18" s="3" t="inlineStr">
        <is>
          <t>G32 / Q48 — RULED 2026-09-09: $0 stays, with the sentence '$0 — nothing entered yet.' and this row's door ('Add your debts ›'). File written; the screen follows the approved empty-state mock (one pattern, one screen), then every screen.</t>
        </is>
      </c>
      <c r="AF18" s="3" t="inlineStr">
        <is>
          <t>ACTIVE</t>
        </is>
      </c>
      <c r="AG18" s="3" t="inlineStr">
        <is>
          <t>2026-10-09</t>
        </is>
      </c>
      <c r="AH18" s="3" t="inlineStr"/>
      <c r="AI18" s="3" t="inlineStr"/>
      <c r="AJ1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MK-CF-F-207, MK-CF-O-016, MK-NW-F-011, MK
37. MK-XS-I-059 the month a bonus lands — read by MK-CF-F-088, MK-CF-F-092, MK-CF-F-201, MK-CF-O-004, MK-CF-O-016
38. MK-XS-I-060 how a person is paid — weekly, fortnightly, monthly — read by MK-CF-F-130, MK-CF-O-016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2026-09-27; the figure, its formula, inputs and refusal live in MK-NW-O-003 theNetWorth</t>
        </is>
      </c>
      <c r="AN1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$2,650/month
(the test re-runs this through MK-NW-O-003 theNetWorth on every build)</t>
        </is>
      </c>
      <c r="AO18" s="7" t="inlineStr">
        <is>
          <t>RULED, NOT CODED (Q-NW-1 — one question, one function)</t>
        </is>
      </c>
    </row>
    <row r="19" ht="60" customHeight="1">
      <c r="A19" s="3" t="inlineStr">
        <is>
          <t>MK-NW-M-013</t>
        </is>
      </c>
      <c r="B19" s="3" t="inlineStr">
        <is>
          <t>Networth</t>
        </is>
      </c>
      <c r="C19" s="3" t="inlineStr">
        <is>
          <t>/analytics · /jobsafety</t>
        </is>
      </c>
      <c r="D19" s="3" t="inlineStr">
        <is>
          <t>EMERGENCY FUND — X.X months</t>
        </is>
      </c>
      <c r="E19" s="3" t="inlineStr">
        <is>
          <t>emergency_fund__xx_months</t>
        </is>
      </c>
      <c r="F19" s="3" t="inlineStr">
        <is>
          <t>essentialsMonthly</t>
        </is>
      </c>
      <c r="G19" s="3" t="inlineStr">
        <is>
          <t>MK-CF-F-190</t>
        </is>
      </c>
      <c r="H19" s="3" t="inlineStr">
        <is>
          <t>cushion in months = cash ÷ essentials a month, where essentials a month = the average of logged expenses over the months logged (MK-CF-F-189), else the typed figure</t>
        </is>
      </c>
      <c r="I19"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19" s="3" t="inlineStr">
        <is>
          <t>1. every logged expense → expenses [MK-XS-I-024]
2. the typed fallback → typed monthly expenses / essentials [MK-XS-I-025]
3. cash on hand → the Cash class [MK-XS-I-001]</t>
        </is>
      </c>
      <c r="K19" s="3" t="inlineStr">
        <is>
          <t>a number of months</t>
        </is>
      </c>
      <c r="L19" s="3" t="inlineStr">
        <is>
          <t>No essentials figure yet — it says so rather than dividing by nothing. And no count of months where the rent pays for the whole month: the cash is then not drawn on.</t>
        </is>
      </c>
      <c r="M19" s="3" t="inlineStr">
        <is>
          <t>one figure per household</t>
        </is>
      </c>
      <c r="N19" s="3" t="inlineStr">
        <is>
          <t>as of today</t>
        </is>
      </c>
      <c r="O19" s="3" t="inlineStr">
        <is>
          <t>1. MK-CF-F-189 (essentialsFromLoggedSpending) → EssentialsAverage | null
2. MK-CF-O-002 (expenses) → Expenses</t>
        </is>
      </c>
      <c r="P19" s="3" t="inlineStr">
        <is>
          <t>Declared by MK-NW-O-004 theEmergencyFund</t>
        </is>
      </c>
      <c r="Q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R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S19" s="3" t="inlineStr"/>
      <c r="T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19" s="3" t="inlineStr"/>
      <c r="V19"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19" s="3" t="inlineStr">
        <is>
          <t>Q47: for fewer than 12 months logged show average for logged duration, and update words on screen from TTM to show the logged duration. If 7 month detail is logged show "xxx - 7 month average". (answered in chat, 2026-09-08)</t>
        </is>
      </c>
      <c r="X19" s="3" t="inlineStr"/>
      <c r="Y19" s="3" t="inlineStr"/>
      <c r="Z19" s="3" t="inlineStr">
        <is>
          <t>DECLARED IN THE CODE (rule 11) — printed from the door, not typed. RULED 2026-09-27</t>
        </is>
      </c>
      <c r="AA19" s="3" t="inlineStr"/>
      <c r="AB19" s="3" t="inlineStr"/>
      <c r="AC19" s="3" t="inlineStr"/>
      <c r="AD19" s="3" t="inlineStr"/>
      <c r="AE19"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19" s="3" t="inlineStr">
        <is>
          <t>ACTIVE</t>
        </is>
      </c>
      <c r="AG19" s="3" t="inlineStr">
        <is>
          <t>2026-10-09</t>
        </is>
      </c>
      <c r="AH19" s="3" t="inlineStr"/>
      <c r="AI19" s="3" t="inlineStr"/>
      <c r="AJ19"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MK-NW-O-004 theEmergencyFund</t>
        </is>
      </c>
      <c r="AN19"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5.2 months
(the test re-runs this through MK-NW-O-004 theEmergencyFund on every build)</t>
        </is>
      </c>
      <c r="AO19" s="7" t="inlineStr">
        <is>
          <t>RULED, NOT CODED (Q-NW-5 — one question, one function)</t>
        </is>
      </c>
    </row>
    <row r="20" ht="60" customHeight="1">
      <c r="A20" s="3" t="inlineStr">
        <is>
          <t>MK-NW-M-014</t>
        </is>
      </c>
      <c r="B20" s="3" t="inlineStr">
        <is>
          <t>Networth</t>
        </is>
      </c>
      <c r="C20" s="3" t="inlineStr">
        <is>
          <t>/analytics</t>
        </is>
      </c>
      <c r="D20" s="3" t="inlineStr">
        <is>
          <t>of essentials covered by your cash — $X cash ÷ $Y/month essentials</t>
        </is>
      </c>
      <c r="E20" s="3" t="inlineStr">
        <is>
          <t>of_essentials_covered_by_your_cash__x_ca</t>
        </is>
      </c>
      <c r="F20" s="3" t="inlineStr">
        <is>
          <t>1. cashTotal
2. essentialsMonthly</t>
        </is>
      </c>
      <c r="G20" s="3" t="inlineStr">
        <is>
          <t>1. MK-NW-F-016
2. MK-CF-F-190</t>
        </is>
      </c>
      <c r="H20" s="3" t="inlineStr">
        <is>
          <t>months of cushion = cash ÷ essentials a month (MK-CF-F-190)</t>
        </is>
      </c>
      <c r="I20"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0" s="3" t="inlineStr">
        <is>
          <t>1. every logged expense → expenses [MK-XS-I-024]
2. the typed fallback → typed monthly expenses / essentials [MK-XS-I-025]
3. cash on hand → the Cash class [MK-XS-I-001]</t>
        </is>
      </c>
      <c r="K20" s="3" t="inlineStr">
        <is>
          <t>a sentence</t>
        </is>
      </c>
      <c r="L20" s="3" t="inlineStr">
        <is>
          <t>No essentials figure (nothing logged and nothing typed) → the cushion shows its door: 'tell us what a typical month costs and this becomes a real number' (already built). No cash → the card is hidden.</t>
        </is>
      </c>
      <c r="M20" s="3" t="inlineStr">
        <is>
          <t>one figure per household</t>
        </is>
      </c>
      <c r="N20" s="3" t="inlineStr">
        <is>
          <t>as of today</t>
        </is>
      </c>
      <c r="O20" s="3" t="inlineStr">
        <is>
          <t>1. MK-NW-F-027 (accountClassBreakdown) → Record&lt;AssetClass, number&gt; | null
2. MK-NW-F-029 (assetAllocation) → Record&lt;AssetClass, number&gt;
3. MK-NW-F-011 (assetClassOf) → AssetClass
4. MK-CF-F-189 (essentialsFromLoggedSpending) → EssentialsAverage | null
5. MK-CF-O-002 (expenses) → Expenses</t>
        </is>
      </c>
      <c r="P20" s="3" t="inlineStr">
        <is>
          <t>Declared by MK-NW-O-004 theEmergencyFund</t>
        </is>
      </c>
      <c r="Q20" s="3" t="inlineStr">
        <is>
          <t>NONE RECORDED — the declaration names none.</t>
        </is>
      </c>
      <c r="R20" s="3" t="inlineStr">
        <is>
          <t>NONE RECORDED — the declaration names none.</t>
        </is>
      </c>
      <c r="S20" s="3" t="inlineStr"/>
      <c r="T20"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2026-10-09</t>
        </is>
      </c>
      <c r="AH20" s="3" t="inlineStr"/>
      <c r="AI20" s="3" t="inlineStr"/>
      <c r="AJ20" s="3" t="inlineStr">
        <is>
          <t>1. MK-XS-I-001 account balance — read by MK-NW-F-016, MK-NW-F-027, MK-NW-F-029, MK-ST-F-027
2. MK-XS-I-002 account type (taxable, pre-tax, Roth) — read by MK-NW-F-011, MK-NW-F-027
3. MK-XS-I-004 holding quantity (shares) — read by MK-NW-F-027, MK-ST-F-027
4. MK-XS-I-005 holding price — read by MK-NW-F-027, MK-ST-F-027
5. MK-XS-I-007 purchase price and date (per lot) — read by MK-NW-F-027, MK-ST-F-027
6. MK-XS-I-010 transaction words (the institution's own wording) — read by MK-NW-F-109
7. MK-XS-I-013 bond maturity date — read by MK-NW-F-011,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MK-NW-F-109, MK-ST-F-027
14. MK-XS-I-055 the wrapper an account sits in — ISA, 401(k), IRA and the rest — read by MK-NW-F-011, MK-NW-F-109
15. MK-XS-I-056 how a holding was classified, and by whom — read by MK-NW-F-109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MK-NW-O-004 theEmergencyFund</t>
        </is>
      </c>
      <c r="AN20"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$18,000 cash ÷ $3,470/month essentials
(the test re-runs this through MK-NW-O-004 theEmergencyFund on every build)</t>
        </is>
      </c>
      <c r="AO20" s="7" t="inlineStr">
        <is>
          <t>RULED, NOT CODED (Q-NW-5 — one question, one function)</t>
        </is>
      </c>
    </row>
    <row r="21" ht="60" customHeight="1">
      <c r="A21" s="3" t="inlineStr">
        <is>
          <t>MK-NW-M-015</t>
        </is>
      </c>
      <c r="B21" s="3" t="inlineStr">
        <is>
          <t>Networth</t>
        </is>
      </c>
      <c r="C21" s="3" t="inlineStr">
        <is>
          <t>/networth</t>
        </is>
      </c>
      <c r="D21" s="3" t="inlineStr">
        <is>
          <t>YOUR RETIREMENT PLAN — on track for $X by age Y</t>
        </is>
      </c>
      <c r="E21" s="3" t="inlineStr">
        <is>
          <t>your_retirement_plan__on_track_for_x_by_</t>
        </is>
      </c>
      <c r="F21" s="3" t="inlineStr">
        <is>
          <t>theNetWorth</t>
        </is>
      </c>
      <c r="G21" s="3" t="inlineStr">
        <is>
          <t>MK-NW-O-003</t>
        </is>
      </c>
      <c r="H21" s="3" t="inlineStr">
        <is>
          <t>today’s cash and investments grown at your expected return for the years until you retire, plus each year’s saving grown for the years it has left</t>
        </is>
      </c>
      <c r="I21" s="3" t="inlineStr">
        <is>
          <t>today’s cash and investments grown at your expected return for the years until you retire, plus each year’s saving grown for the years it has left</t>
        </is>
      </c>
      <c r="J21" s="3" t="inlineStr">
        <is>
          <t>MK-NW-I-001 your accounts
MK-PL-I-001 your plan answers</t>
        </is>
      </c>
      <c r="K21" s="3" t="inlineStr">
        <is>
          <t>dollars, whole</t>
        </is>
      </c>
      <c r="L21" s="3" t="inlineStr">
        <is>
          <t>No figure when there is nothing to grow, or when retirement is not ahead of the person.</t>
        </is>
      </c>
      <c r="M21" s="3" t="inlineStr">
        <is>
          <t>one figure per household</t>
        </is>
      </c>
      <c r="N21" s="3" t="inlineStr">
        <is>
          <t>as of today</t>
        </is>
      </c>
      <c r="O2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1" s="3" t="inlineStr">
        <is>
          <t>Declared by MK-NW-O-003 theNetWorth</t>
        </is>
      </c>
      <c r="Q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R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S21" s="3" t="inlineStr"/>
      <c r="T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U21" s="3" t="inlineStr">
        <is>
          <t>DECLARED 2026-09-30. Its function lives in the plan family (MK-PL-F-055 projectNestEgg) and the figure is read on the Net worth tab, which is why the row is here and the function is there.</t>
        </is>
      </c>
      <c r="V21" s="3" t="inlineStr"/>
      <c r="W21" s="3" t="inlineStr"/>
      <c r="X21" s="3" t="inlineStr"/>
      <c r="Y21" s="3" t="inlineStr"/>
      <c r="Z21" s="3" t="inlineStr">
        <is>
          <t>DRAFT — declared in the code and printed here, WAITING FOR YOUR VERDICT before the screens move behind the door (rule 10)</t>
        </is>
      </c>
      <c r="AA21" s="3" t="inlineStr"/>
      <c r="AB21" s="3" t="inlineStr"/>
      <c r="AC21" s="3" t="inlineStr"/>
      <c r="AD21" s="3" t="inlineStr"/>
      <c r="AE21" s="3" t="inlineStr"/>
      <c r="AF21" s="3" t="inlineStr">
        <is>
          <t>ACTIVE</t>
        </is>
      </c>
      <c r="AG21" s="3" t="inlineStr">
        <is>
          <t>2026-10-09</t>
        </is>
      </c>
      <c r="AH21" s="3" t="inlineStr"/>
      <c r="AI21" s="3" t="inlineStr"/>
      <c r="AJ21"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RULED? NOT YET — read this row and say yes, or say what changes. Nothing moves behind MK-NW-O-003 theNetWorth until you do.</t>
        </is>
      </c>
      <c r="AN21" s="3" t="inlineStr">
        <is>
          <t>A 50-year-old with $184,200 of cash and investments, saving $24,000/year, retiring at 65 and planning to 92, expecting 6% a year with 2.5% inflation, with expenses of $5,500/month in retirement and $2,400/month of guaranteed income from 67.
GIVES: $1,000,069
(the test re-runs this through MK-NW-O-003 theNetWorth on every build)</t>
        </is>
      </c>
      <c r="AO21" s="9" t="inlineStr">
        <is>
          <t>WAITING ON YOU — row to approve: say yes in YOUR ANSWER, or say what changes · RULED, NOT CODED (Q-PL-1 — one question, one function)</t>
        </is>
      </c>
    </row>
    <row r="22" ht="60" customHeight="1">
      <c r="A22" s="3" t="inlineStr">
        <is>
          <t>MK-NW-M-016</t>
        </is>
      </c>
      <c r="B22" s="3" t="inlineStr">
        <is>
          <t>Networth</t>
        </is>
      </c>
      <c r="C22" s="3" t="inlineStr">
        <is>
          <t>/networth</t>
        </is>
      </c>
      <c r="D22" s="3" t="inlineStr">
        <is>
          <t>Net worth so far (setup)</t>
        </is>
      </c>
      <c r="E22" s="3" t="inlineStr">
        <is>
          <t>net_worth_so_far_setup</t>
        </is>
      </c>
      <c r="F22" s="3" t="inlineStr">
        <is>
          <t>theNetWorth</t>
        </is>
      </c>
      <c r="G22" s="3" t="inlineStr">
        <is>
          <t>MK-NW-O-003</t>
        </is>
      </c>
      <c r="H22" s="3" t="inlineStr">
        <is>
          <t>everything owned less everything owed</t>
        </is>
      </c>
      <c r="I22" s="3" t="inlineStr">
        <is>
          <t>everything owned less everything owed</t>
        </is>
      </c>
      <c r="J22" s="3" t="inlineStr">
        <is>
          <t>MK-NW-I-001 your accounts
MK-XS-I-014 what you owe</t>
        </is>
      </c>
      <c r="K22" s="3" t="inlineStr">
        <is>
          <t>dollars, whole</t>
        </is>
      </c>
      <c r="L22" s="3" t="inlineStr">
        <is>
          <t>Adds to $0 when there is nothing to add. Zero and "nothing recorded yet" read alike on screen — worth a decision.</t>
        </is>
      </c>
      <c r="M22" s="3" t="inlineStr">
        <is>
          <t>one figure per household</t>
        </is>
      </c>
      <c r="N22" s="3" t="inlineStr">
        <is>
          <t>as of today</t>
        </is>
      </c>
      <c r="O2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2" s="3" t="inlineStr">
        <is>
          <t>Declared by MK-NW-O-003 theNetWorth</t>
        </is>
      </c>
      <c r="Q22" s="3" t="inlineStr">
        <is>
          <t>IT IS COMPUTED EACH TIME AND NEVER STORED as a third number that could disagree with its own two halves (his ruling).
A GENUINE NEGATIVE IS SHOWN, never floored at zero — someone early in a mortgage really does owe more than they own.</t>
        </is>
      </c>
      <c r="R22" s="3" t="inlineStr">
        <is>
          <t>IT IS COMPUTED EACH TIME AND NEVER STORED as a third number that could disagree with its own two halves (his ruling).
A GENUINE NEGATIVE IS SHOWN, never floored at zero — someone early in a mortgage really does owe more than they own.</t>
        </is>
      </c>
      <c r="S22" s="3" t="inlineStr"/>
      <c r="T22" s="3" t="inlineStr">
        <is>
          <t>IT IS COMPUTED EACH TIME AND NEVER STORED as a third number that could disagree with its own two halves (his ruling).
A GENUINE NEGATIVE IS SHOWN, never floored at zero — someone early in a mortgage really does owe more than they own.</t>
        </is>
      </c>
      <c r="U22" s="3" t="inlineStr">
        <is>
          <t>DECLARED 2026-09-30. It is the SAME arithmetic as MK-NW-M-017 net worth, read during setup rather than on the finished tab — and because both now print from this one declaration, the setup figure and the tab figure cannot differ.</t>
        </is>
      </c>
      <c r="V22" s="3" t="inlineStr"/>
      <c r="W22" s="3" t="inlineStr"/>
      <c r="X22" s="3" t="inlineStr"/>
      <c r="Y22" s="3" t="inlineStr"/>
      <c r="Z22" s="3" t="inlineStr">
        <is>
          <t>DRAFT — declared in the code and printed here, WAITING FOR YOUR VERDICT before the screens move behind the door (rule 10)</t>
        </is>
      </c>
      <c r="AA22" s="3" t="inlineStr"/>
      <c r="AB22" s="3" t="inlineStr"/>
      <c r="AC22" s="3" t="inlineStr"/>
      <c r="AD22" s="3" t="inlineStr"/>
      <c r="AE22" s="3" t="inlineStr"/>
      <c r="AF22" s="3" t="inlineStr">
        <is>
          <t>ACTIVE</t>
        </is>
      </c>
      <c r="AG22" s="3" t="inlineStr">
        <is>
          <t>2026-10-09</t>
        </is>
      </c>
      <c r="AH22" s="3" t="inlineStr"/>
      <c r="AI22" s="3" t="inlineStr"/>
      <c r="AJ22"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RULED? NOT YET — read this row and say yes, or say what changes. Nothing moves behind MK-NW-O-003 theNetWorth until you do.</t>
        </is>
      </c>
      <c r="AN2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22" s="9" t="inlineStr">
        <is>
          <t>WAITING ON YOU — row to approve: say yes in YOUR ANSWER, or say what changes · RULED, NOT CODED (Q-NW-1 — one question, one function)</t>
        </is>
      </c>
    </row>
    <row r="23" ht="60" customHeight="1">
      <c r="A23" s="3" t="inlineStr">
        <is>
          <t>MK-NW-M-017</t>
        </is>
      </c>
      <c r="B23" s="3" t="inlineStr">
        <is>
          <t>Networth</t>
        </is>
      </c>
      <c r="C23" s="3" t="inlineStr">
        <is>
          <t>/analytics</t>
        </is>
      </c>
      <c r="D23" s="3" t="inlineStr">
        <is>
          <t>Assets $X − Debts $Y = Net worth $Z</t>
        </is>
      </c>
      <c r="E23" s="3" t="inlineStr">
        <is>
          <t>assets_x__debts_y__net_worth_z</t>
        </is>
      </c>
      <c r="F23" s="3" t="inlineStr">
        <is>
          <t>theNetWorth</t>
        </is>
      </c>
      <c r="G23" s="3" t="inlineStr">
        <is>
          <t>MK-NW-O-003</t>
        </is>
      </c>
      <c r="H23" s="3" t="inlineStr">
        <is>
          <t>assets, debts, and assets minus debts</t>
        </is>
      </c>
      <c r="I23" s="3" t="inlineStr">
        <is>
          <t>assets, debts, and assets minus debts</t>
        </is>
      </c>
      <c r="J23" s="3" t="inlineStr">
        <is>
          <t>MK-NW-I-001 your accounts
MK-NW-I-002 your debts</t>
        </is>
      </c>
      <c r="K23" s="3" t="inlineStr">
        <is>
          <t>a sentence</t>
        </is>
      </c>
      <c r="L23" s="3" t="inlineStr">
        <is>
          <t>$0, and under it the one line "Nothing entered yet. Add your accounts ›" (mock approved 2026-09-12). A real zero that was entered shows a plain $0 with no line.</t>
        </is>
      </c>
      <c r="M23" s="3" t="inlineStr">
        <is>
          <t>one figure per household</t>
        </is>
      </c>
      <c r="N23" s="3" t="inlineStr">
        <is>
          <t>as of today</t>
        </is>
      </c>
      <c r="O2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3" s="3" t="inlineStr">
        <is>
          <t>Declared by MK-NW-O-003 theNetWorth</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is>
          <t>G32 / Q48 — RULED 2026-09-09: $0 stays, with the sentence '$0 — nothing entered yet.' and this row's door ('Add your accounts ›'). File written; the screen follows the approved empty-state mock (one pattern, one screen), then every screen.</t>
        </is>
      </c>
      <c r="AF23" s="3" t="inlineStr">
        <is>
          <t>ACTIVE</t>
        </is>
      </c>
      <c r="AG23" s="3" t="inlineStr">
        <is>
          <t>2026-10-09</t>
        </is>
      </c>
      <c r="AH23" s="3" t="inlineStr"/>
      <c r="AI23" s="3" t="inlineStr"/>
      <c r="AJ23"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MK-NW-O-003 theNetWorth</t>
        </is>
      </c>
      <c r="AN2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Assets $503,200 − Debts $242,000 = Net worth $261,200
(the test re-runs this through MK-NW-O-003 theNetWorth on every build)</t>
        </is>
      </c>
      <c r="AO23" s="7" t="inlineStr">
        <is>
          <t>RULED, NOT CODED (Q-NW-1 — one question, one function)</t>
        </is>
      </c>
    </row>
    <row r="24" ht="60" customHeight="1">
      <c r="A24" s="3" t="inlineStr">
        <is>
          <t>MK-NW-M-018</t>
        </is>
      </c>
      <c r="B24" s="3" t="inlineStr">
        <is>
          <t>Networth</t>
        </is>
      </c>
      <c r="C24" s="3" t="inlineStr">
        <is>
          <t>/account-detail · /invest</t>
        </is>
      </c>
      <c r="D24" s="3" t="inlineStr">
        <is>
          <t>Market value</t>
        </is>
      </c>
      <c r="E24" s="3" t="inlineStr">
        <is>
          <t>market_value</t>
        </is>
      </c>
      <c r="F24" s="3" t="inlineStr">
        <is>
          <t>theAccount</t>
        </is>
      </c>
      <c r="G24" s="3" t="inlineStr"/>
      <c r="H24" s="3" t="inlineStr">
        <is>
          <t>the account’s balance — for a linked account the broker’s own figure, for one entered by hand the value entered</t>
        </is>
      </c>
      <c r="I24"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4" s="3" t="inlineStr">
        <is>
          <t>MK-NW-I-001 your accounts</t>
        </is>
      </c>
      <c r="K24" s="3" t="inlineStr">
        <is>
          <t>dollars, whole</t>
        </is>
      </c>
      <c r="L24" s="3" t="inlineStr">
        <is>
          <t>An account with no value shows nothing rather than $0.</t>
        </is>
      </c>
      <c r="M24" s="3" t="inlineStr">
        <is>
          <t>one account</t>
        </is>
      </c>
      <c r="N24" s="3" t="inlineStr">
        <is>
          <t>as of today</t>
        </is>
      </c>
      <c r="O24" s="3" t="inlineStr">
        <is>
          <t>No function on record — nothing to chain</t>
        </is>
      </c>
      <c r="P24" s="3" t="inlineStr">
        <is>
          <t>Declared by MK-NW-O-002 theAccount</t>
        </is>
      </c>
      <c r="Q24" s="3" t="inlineStr">
        <is>
          <t>NONE RECORDED — the declaration names none.</t>
        </is>
      </c>
      <c r="R24" s="3" t="inlineStr">
        <is>
          <t>NONE RECORDED — the declaration names none.</t>
        </is>
      </c>
      <c r="S24" s="3" t="inlineStr"/>
      <c r="T24" s="3" t="inlineStr">
        <is>
          <t>NONE RECORDED — the declaration names none.</t>
        </is>
      </c>
      <c r="U24" s="3" t="inlineStr">
        <is>
          <t>ONE string for this figure: the band, the trio and the Total row all print it, so one screen cannot show three roundings of one number.</t>
        </is>
      </c>
      <c r="V24" s="3" t="inlineStr"/>
      <c r="W24" s="3" t="inlineStr"/>
      <c r="X24" s="3" t="inlineStr"/>
      <c r="Y24" s="3" t="inlineStr"/>
      <c r="Z24" s="3" t="inlineStr">
        <is>
          <t>DECLARED IN THE CODE (rule 11) — printed from the door, not typed. RULED 2026-09-27</t>
        </is>
      </c>
      <c r="AA24" s="3" t="inlineStr"/>
      <c r="AB24" s="3" t="inlineStr"/>
      <c r="AC24" s="3" t="inlineStr"/>
      <c r="AD24" s="3" t="inlineStr"/>
      <c r="AE24" s="3" t="inlineStr"/>
      <c r="AF24" s="3" t="inlineStr">
        <is>
          <t>ACTIVE</t>
        </is>
      </c>
      <c r="AG24" s="3" t="inlineStr">
        <is>
          <t>2026-10-09</t>
        </is>
      </c>
      <c r="AH24" s="3" t="inlineStr"/>
      <c r="AI24" s="3" t="inlineStr"/>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2026-09-27; the figure, its formula, inputs and refusal live in MK-NW-O-002 theAccount</t>
        </is>
      </c>
      <c r="AN2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4" s="7" t="inlineStr">
        <is>
          <t>RULED, NOT CODED (Q-NW-2 — one question, one function)</t>
        </is>
      </c>
    </row>
    <row r="25" ht="60" customHeight="1">
      <c r="A25" s="3" t="inlineStr">
        <is>
          <t>MK-NW-M-019</t>
        </is>
      </c>
      <c r="B25" s="3" t="inlineStr">
        <is>
          <t>Networth</t>
        </is>
      </c>
      <c r="C25" s="3" t="inlineStr">
        <is>
          <t>/account-detail</t>
        </is>
      </c>
      <c r="D25" s="3" t="inlineStr">
        <is>
          <t>Income</t>
        </is>
      </c>
      <c r="E25" s="3" t="inlineStr">
        <is>
          <t>income</t>
        </is>
      </c>
      <c r="F25" s="3" t="inlineStr">
        <is>
          <t>theAccount</t>
        </is>
      </c>
      <c r="G25" s="3" t="inlineStr">
        <is>
          <t>MK-NW-O-002</t>
        </is>
      </c>
      <c r="H25" s="3" t="inlineStr">
        <is>
          <t>the sum of the dividend and interest rows the ledger holds for this account</t>
        </is>
      </c>
      <c r="I25" s="3" t="inlineStr">
        <is>
          <t>the sum of the dividend and interest rows the ledger holds for this account</t>
        </is>
      </c>
      <c r="J25" s="3" t="inlineStr">
        <is>
          <t>MK-NW-I-001 your accounts
MK-NW-I-004 the activity records</t>
        </is>
      </c>
      <c r="K25" s="3" t="inlineStr">
        <is>
          <t>dollars, whole</t>
        </is>
      </c>
      <c r="L25" s="3" t="inlineStr">
        <is>
          <t>$0, and under it the one line "Nothing entered yet. Add your income ›" (mock approved 2026-09-12). A real zero that was entered shows a plain $0 with no line.</t>
        </is>
      </c>
      <c r="M25" s="3" t="inlineStr">
        <is>
          <t>one account</t>
        </is>
      </c>
      <c r="N25" s="3" t="inlineStr">
        <is>
          <t>as of today</t>
        </is>
      </c>
      <c r="O25"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5" s="3" t="inlineStr">
        <is>
          <t>Declared by MK-NW-O-002 theAccount</t>
        </is>
      </c>
      <c r="Q25" s="3" t="inlineStr">
        <is>
          <t>Never estimated. A broker that shares no income records leaves this blank rather than showing a made-up $0.</t>
        </is>
      </c>
      <c r="R25" s="3" t="inlineStr">
        <is>
          <t>Never estimated. A broker that shares no income records leaves this blank rather than showing a made-up $0.</t>
        </is>
      </c>
      <c r="S25" s="3" t="inlineStr"/>
      <c r="T25" s="3" t="inlineStr">
        <is>
          <t>Never estimated. A broker that shares no income records leaves this blank rather than showing a made-up $0.</t>
        </is>
      </c>
      <c r="U25" s="3" t="inlineStr"/>
      <c r="V25" s="9" t="inlineStr">
        <is>
          <t>Q15 — An institution word we do not recognise: refuse the line and ask you, or book it as unclassified with no direction? The old sign-guess is what minted the $1.4 million.</t>
        </is>
      </c>
      <c r="W25" s="9" t="inlineStr"/>
      <c r="X25" s="3" t="inlineStr"/>
      <c r="Y25" s="3" t="inlineStr"/>
      <c r="Z25" s="3" t="inlineStr">
        <is>
          <t>DECLARED IN THE CODE (rule 11) — printed from the door, not typed. RULED 2026-09-27</t>
        </is>
      </c>
      <c r="AA25" s="3" t="inlineStr"/>
      <c r="AB25" s="3" t="inlineStr"/>
      <c r="AC25" s="3" t="inlineStr"/>
      <c r="AD25" s="3" t="inlineStr"/>
      <c r="AE25" s="3" t="inlineStr">
        <is>
          <t>G32 / Q48 — RULED 2026-09-09: $0 stays, with the sentence '$0 — nothing entered yet.' and this row's door ('Add your income ›'). File written; the screen follows the approved empty-state mock (one pattern, one screen), then every screen.</t>
        </is>
      </c>
      <c r="AF25" s="3" t="inlineStr">
        <is>
          <t>ACTIVE</t>
        </is>
      </c>
      <c r="AG25" s="3" t="inlineStr">
        <is>
          <t>2026-10-09</t>
        </is>
      </c>
      <c r="AH25" s="3" t="inlineStr"/>
      <c r="AI25" s="3" t="inlineStr"/>
      <c r="AJ25"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MK-NW-F-109
15. MK-XS-I-056 how a holding was classified, and by whom — read by MK-NW-F-109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2026-09-27; the figure, its formula, inputs and refusal live in MK-NW-O-002 theAccount</t>
        </is>
      </c>
      <c r="AN25"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5" s="9" t="inlineStr">
        <is>
          <t>WAITING ON YOU — question Q15 · RULED, NOT CODED (Q-NW-2 — one question, one function)</t>
        </is>
      </c>
    </row>
    <row r="26" ht="60" customHeight="1">
      <c r="A26" s="3" t="inlineStr">
        <is>
          <t>MK-NW-M-020</t>
        </is>
      </c>
      <c r="B26" s="3" t="inlineStr">
        <is>
          <t>Networth</t>
        </is>
      </c>
      <c r="C26" s="3" t="inlineStr">
        <is>
          <t>/account-detail</t>
        </is>
      </c>
      <c r="D26" s="3" t="inlineStr">
        <is>
          <t>each asset class inside the account</t>
        </is>
      </c>
      <c r="E26" s="3" t="inlineStr">
        <is>
          <t>each_asset_class_inside_the_account</t>
        </is>
      </c>
      <c r="F26" s="3" t="inlineStr">
        <is>
          <t>theAccount</t>
        </is>
      </c>
      <c r="G26" s="3" t="inlineStr">
        <is>
          <t>MK-NW-O-002</t>
        </is>
      </c>
      <c r="H26" s="3" t="inlineStr">
        <is>
          <t>the cash sleeve, plus each holding’s shares × its last price, added up by class</t>
        </is>
      </c>
      <c r="I26" s="3" t="inlineStr">
        <is>
          <t>the cash sleeve, plus each holding’s shares × its last price, added up by class</t>
        </is>
      </c>
      <c r="J26" s="3" t="inlineStr">
        <is>
          <t>MK-NW-I-001 your accounts</t>
        </is>
      </c>
      <c r="K26" s="3" t="inlineStr">
        <is>
          <t>dollars, whole</t>
        </is>
      </c>
      <c r="L26" s="3" t="inlineStr">
        <is>
          <t>$0, and under it the one line "Nothing entered yet. Add a holding ›" (mock approved 2026-09-12). A real zero that was entered shows a plain $0 with no line.</t>
        </is>
      </c>
      <c r="M26" s="3" t="inlineStr">
        <is>
          <t>one class in one account</t>
        </is>
      </c>
      <c r="N26" s="3" t="inlineStr">
        <is>
          <t>as of today</t>
        </is>
      </c>
      <c r="O26"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6" s="3" t="inlineStr">
        <is>
          <t>Declared by MK-NW-O-002 theAccount</t>
        </is>
      </c>
      <c r="Q26" s="3" t="inlineStr">
        <is>
          <t>Only a LINKED account has an inside to read. A hand-entered lump has none until someone itemises it.</t>
        </is>
      </c>
      <c r="R26" s="3" t="inlineStr">
        <is>
          <t>Only a LINKED account has an inside to read. A hand-entered lump has none until someone itemises it.</t>
        </is>
      </c>
      <c r="S26" s="3" t="inlineStr"/>
      <c r="T26" s="3" t="inlineStr">
        <is>
          <t>Only a LINKED account has an inside to read. A hand-entered lump has none until someone itemises it.</t>
        </is>
      </c>
      <c r="U26" s="3" t="inlineStr"/>
      <c r="V26" s="3" t="inlineStr"/>
      <c r="W26" s="3" t="inlineStr"/>
      <c r="X26" s="3" t="inlineStr"/>
      <c r="Y26" s="3" t="inlineStr"/>
      <c r="Z26" s="3" t="inlineStr">
        <is>
          <t>DECLARED IN THE CODE (rule 11) — printed from the door, not typed. RULED 2026-09-27</t>
        </is>
      </c>
      <c r="AA26" s="3" t="inlineStr"/>
      <c r="AB26" s="3" t="inlineStr"/>
      <c r="AC26" s="3" t="inlineStr"/>
      <c r="AD26" s="3" t="inlineStr"/>
      <c r="AE26" s="3" t="inlineStr">
        <is>
          <t>G32 / Q48 — RULED 2026-09-09: $0 stays, with the sentence '$0 — nothing entered yet.' and this row's door ('Add a holding ›'). File written; the screen follows the approved empty-state mock (one pattern, one screen), then every screen.</t>
        </is>
      </c>
      <c r="AF26" s="3" t="inlineStr">
        <is>
          <t>ACTIVE</t>
        </is>
      </c>
      <c r="AG26" s="3" t="inlineStr">
        <is>
          <t>2026-10-09</t>
        </is>
      </c>
      <c r="AH26" s="3" t="inlineStr"/>
      <c r="AI26" s="3" t="inlineStr"/>
      <c r="AJ26"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MK-NW-F-109
15. MK-XS-I-056 how a holding was classified, and by whom — read by MK-NW-F-109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2026-09-27; the figure, its formula, inputs and refusal live in MK-NW-O-002 theAccount</t>
        </is>
      </c>
      <c r="AN2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26" s="7" t="inlineStr">
        <is>
          <t>RULED, NOT CODED (Q-NW-2 — one question, one function)</t>
        </is>
      </c>
    </row>
    <row r="27" ht="60" customHeight="1">
      <c r="A27" s="3" t="inlineStr">
        <is>
          <t>MK-NW-M-021</t>
        </is>
      </c>
      <c r="B27" s="3" t="inlineStr">
        <is>
          <t>Networth</t>
        </is>
      </c>
      <c r="C27" s="3" t="inlineStr">
        <is>
          <t>/account-detail</t>
        </is>
      </c>
      <c r="D27" s="3" t="inlineStr">
        <is>
          <t>Income: &lt;amount&gt; on a holding row</t>
        </is>
      </c>
      <c r="E27" s="3" t="inlineStr">
        <is>
          <t>income_amount_on_a_holding_row</t>
        </is>
      </c>
      <c r="F27" s="3" t="inlineStr">
        <is>
          <t>theAccount</t>
        </is>
      </c>
      <c r="G27" s="3" t="inlineStr">
        <is>
          <t>MK-NW-O-002</t>
        </is>
      </c>
      <c r="H27" s="3" t="inlineStr">
        <is>
          <t>the dividend and interest rows whose ticker IS this holding’s ticker; nothing when the record names no holding</t>
        </is>
      </c>
      <c r="I27" s="3" t="inlineStr">
        <is>
          <t>the dividend and interest rows whose ticker IS this holding’s ticker; nothing when the record names no holding</t>
        </is>
      </c>
      <c r="J27" s="3" t="inlineStr">
        <is>
          <t>MK-NW-I-004 the activity records</t>
        </is>
      </c>
      <c r="K27" s="3" t="inlineStr">
        <is>
          <t>a sentence</t>
        </is>
      </c>
      <c r="L27" s="3" t="inlineStr">
        <is>
          <t>$0, and under it the one line "Nothing entered yet. Add your income ›" (mock approved 2026-09-12). A real zero that was entered shows a plain $0 with no line.</t>
        </is>
      </c>
      <c r="M27" s="3" t="inlineStr">
        <is>
          <t>one holding</t>
        </is>
      </c>
      <c r="N27" s="3" t="inlineStr">
        <is>
          <t>as of today</t>
        </is>
      </c>
      <c r="O27"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7" s="3" t="inlineStr">
        <is>
          <t>Declared by MK-NW-O-002 theAccount</t>
        </is>
      </c>
      <c r="Q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27" s="3" t="inlineStr"/>
      <c r="T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27"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is>
          <t>G32 / Q48 — RULED 2026-09-09: $0 stays, with the sentence '$0 — nothing entered yet.' and this row's door ('Add your income ›'). File written; the screen follows the approved empty-state mock (one pattern, one screen), then every screen.</t>
        </is>
      </c>
      <c r="AF27" s="3" t="inlineStr">
        <is>
          <t>ACTIVE</t>
        </is>
      </c>
      <c r="AG27" s="3" t="inlineStr">
        <is>
          <t>2026-10-09</t>
        </is>
      </c>
      <c r="AH27" s="3" t="inlineStr"/>
      <c r="AI27" s="3" t="inlineStr"/>
      <c r="AJ27"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MK-NW-F-109
15. MK-XS-I-056 how a holding was classified, and by whom — read by MK-NW-F-109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MK-NW-O-002 theAccount</t>
        </is>
      </c>
      <c r="AN27"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27" s="7" t="inlineStr">
        <is>
          <t>RULED, NOT CODED (Q-NW-2 — one question, one function)</t>
        </is>
      </c>
    </row>
    <row r="28" ht="60" customHeight="1">
      <c r="A28" s="3" t="inlineStr">
        <is>
          <t>MK-NW-M-022</t>
        </is>
      </c>
      <c r="B28" s="3" t="inlineStr">
        <is>
          <t>Networth</t>
        </is>
      </c>
      <c r="C28" s="3" t="inlineStr">
        <is>
          <t>/account-detail</t>
        </is>
      </c>
      <c r="D28" s="3" t="inlineStr">
        <is>
          <t>ACTIVITY — n records</t>
        </is>
      </c>
      <c r="E28" s="3" t="inlineStr">
        <is>
          <t>activity__n_records</t>
        </is>
      </c>
      <c r="F28" s="3" t="inlineStr">
        <is>
          <t>theAccount</t>
        </is>
      </c>
      <c r="G28" s="3" t="inlineStr"/>
      <c r="H28" s="3" t="inlineStr">
        <is>
          <t>the count of ledger rows for this account</t>
        </is>
      </c>
      <c r="I28" s="3" t="inlineStr">
        <is>
          <t>The number of activity records held for this account — a count, no arithmetic. The "since" date beside it is the earliest record date (MK-XS-F-111).</t>
        </is>
      </c>
      <c r="J28" s="3" t="inlineStr">
        <is>
          <t>MK-NW-I-004 the activity records</t>
        </is>
      </c>
      <c r="K28" s="3" t="inlineStr">
        <is>
          <t>a count</t>
        </is>
      </c>
      <c r="L28" s="3" t="inlineStr">
        <is>
          <t>None yet — the section keeps its heading and says so.</t>
        </is>
      </c>
      <c r="M28" s="3" t="inlineStr">
        <is>
          <t>one account</t>
        </is>
      </c>
      <c r="N28" s="3" t="inlineStr">
        <is>
          <t>as of today</t>
        </is>
      </c>
      <c r="O28" s="3" t="inlineStr">
        <is>
          <t>No function on record — nothing to chain</t>
        </is>
      </c>
      <c r="P28" s="3" t="inlineStr">
        <is>
          <t>Declared by MK-NW-O-002 theAccount</t>
        </is>
      </c>
      <c r="Q28" s="3" t="inlineStr">
        <is>
          <t>NONE RECORDED — the declaration names none.</t>
        </is>
      </c>
      <c r="R28" s="3" t="inlineStr">
        <is>
          <t>NONE RECORDED — the declaration names none.</t>
        </is>
      </c>
      <c r="S28" s="3" t="inlineStr"/>
      <c r="T28" s="3" t="inlineStr">
        <is>
          <t>NONE RECORDED — the declaration names none.</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c r="AF28" s="3" t="inlineStr">
        <is>
          <t>ACTIVE</t>
        </is>
      </c>
      <c r="AG28" s="3" t="inlineStr">
        <is>
          <t>2026-10-09</t>
        </is>
      </c>
      <c r="AH28" s="3" t="inlineStr"/>
      <c r="AI28" s="3" t="inlineStr"/>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28" s="7" t="inlineStr">
        <is>
          <t>RULED, NOT CODED (Q-NW-2 — one question, one function)</t>
        </is>
      </c>
    </row>
    <row r="29" ht="60" customHeight="1">
      <c r="A29" s="3" t="inlineStr">
        <is>
          <t>MK-NW-M-023</t>
        </is>
      </c>
      <c r="B29" s="3" t="inlineStr">
        <is>
          <t>Networth</t>
        </is>
      </c>
      <c r="C29" s="3" t="inlineStr">
        <is>
          <t>/account-detail</t>
        </is>
      </c>
      <c r="D29" s="3" t="inlineStr">
        <is>
          <t>Face value</t>
        </is>
      </c>
      <c r="E29" s="3" t="inlineStr">
        <is>
          <t>face_value</t>
        </is>
      </c>
      <c r="F29" s="3" t="inlineStr">
        <is>
          <t>theBonds</t>
        </is>
      </c>
      <c r="G29" s="3" t="inlineStr">
        <is>
          <t>MK-NW-O-001</t>
        </is>
      </c>
      <c r="H29" s="3" t="inlineStr">
        <is>
          <t>the face value you entered</t>
        </is>
      </c>
      <c r="I29" s="3" t="inlineStr">
        <is>
          <t>the face value you entered</t>
        </is>
      </c>
      <c r="J29" s="3" t="inlineStr">
        <is>
          <t>MK-NW-I-001 your accounts</t>
        </is>
      </c>
      <c r="K29" s="3" t="inlineStr">
        <is>
          <t>dollars, whole</t>
        </is>
      </c>
      <c r="L29" s="3" t="inlineStr">
        <is>
          <t>$0, and under it the one line "Nothing entered yet. Add a bond ›" (mock approved 2026-09-12). A real zero that was entered shows a plain $0 with no line.</t>
        </is>
      </c>
      <c r="M29" s="3" t="inlineStr">
        <is>
          <t>one bond</t>
        </is>
      </c>
      <c r="N29" s="3" t="inlineStr">
        <is>
          <t>as of today</t>
        </is>
      </c>
      <c r="O29"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29" s="3" t="inlineStr">
        <is>
          <t>Declared by MK-NW-O-001 theBonds</t>
        </is>
      </c>
      <c r="Q29" s="3" t="inlineStr">
        <is>
          <t>NONE RECORDED — the declaration names none.</t>
        </is>
      </c>
      <c r="R29" s="3" t="inlineStr">
        <is>
          <t>NONE RECORDED — the declaration names none.</t>
        </is>
      </c>
      <c r="S29" s="3" t="inlineStr"/>
      <c r="T29" s="3" t="inlineStr">
        <is>
          <t>NONE RECORDED — the declaration names none.</t>
        </is>
      </c>
      <c r="U29" s="3" t="inlineStr"/>
      <c r="V29" s="9" t="inlineStr">
        <is>
          <t>Q01 — Is Quantity for a bond the FACE amount (e.g. 227,000) with the price quoted per $100 of face, or the number of bonds? It decides how value and gain are worked out.</t>
        </is>
      </c>
      <c r="W29" s="9"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a bond ›'). File written; the screen follows the approved empty-state mock (one pattern, one screen), then every screen.</t>
        </is>
      </c>
      <c r="AF29" s="3" t="inlineStr">
        <is>
          <t>ACTIVE</t>
        </is>
      </c>
      <c r="AG29" s="3" t="inlineStr">
        <is>
          <t>2026-10-09</t>
        </is>
      </c>
      <c r="AH29" s="3" t="inlineStr"/>
      <c r="AI29" s="3" t="inlineStr"/>
      <c r="AJ29"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MK-NW-O-001 theBonds</t>
        </is>
      </c>
      <c r="AN29" s="3" t="inlineStr">
        <is>
          <t>Two bonds on 28 Sep 2026: a $25,000-face Treasury paying 4.5%, maturing 30 Sep 2029, worth $24,200 today; and a $10,000 Ally CD paying 5.05%, maturing 15 Mar 2027, worth its $10,000.
GIVES: $25,000
(the test re-runs this through MK-NW-O-001 theBonds on every build)</t>
        </is>
      </c>
      <c r="AO29" s="9" t="inlineStr">
        <is>
          <t>WAITING ON YOU — question Q01 · RULED, NOT CODED (Q-NW-4 — one question, one function)</t>
        </is>
      </c>
    </row>
    <row r="30" ht="60" customHeight="1">
      <c r="A30" s="3" t="inlineStr">
        <is>
          <t>MK-NW-M-024</t>
        </is>
      </c>
      <c r="B30" s="3" t="inlineStr">
        <is>
          <t>Networth</t>
        </is>
      </c>
      <c r="C30" s="3" t="inlineStr">
        <is>
          <t>/account-detail</t>
        </is>
      </c>
      <c r="D30" s="3" t="inlineStr">
        <is>
          <t>Interest payments</t>
        </is>
      </c>
      <c r="E30" s="3" t="inlineStr">
        <is>
          <t>interest_payments</t>
        </is>
      </c>
      <c r="F30" s="3" t="inlineStr">
        <is>
          <t>theBonds</t>
        </is>
      </c>
      <c r="G30" s="3" t="inlineStr">
        <is>
          <t>MK-NW-O-001</t>
        </is>
      </c>
      <c r="H30" s="3" t="inlineStr">
        <is>
          <t>coupon rate, and face value × coupon rate</t>
        </is>
      </c>
      <c r="I30" s="3" t="inlineStr">
        <is>
          <t>coupon rate, and face value × coupon rate</t>
        </is>
      </c>
      <c r="J30" s="3" t="inlineStr">
        <is>
          <t>MK-NW-I-001 your accounts</t>
        </is>
      </c>
      <c r="K30" s="3" t="inlineStr">
        <is>
          <t>a sentence</t>
        </is>
      </c>
      <c r="L30" s="3" t="inlineStr">
        <is>
          <t>No coupon rate entered.</t>
        </is>
      </c>
      <c r="M30" s="3" t="inlineStr">
        <is>
          <t>one bond</t>
        </is>
      </c>
      <c r="N30" s="3" t="inlineStr">
        <is>
          <t>as of today</t>
        </is>
      </c>
      <c r="O30"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30" s="3" t="inlineStr">
        <is>
          <t>Declared by MK-NW-O-001 theBonds</t>
        </is>
      </c>
      <c r="Q30" s="3" t="inlineStr">
        <is>
          <t>NONE RECORDED — the declaration names none.</t>
        </is>
      </c>
      <c r="R30" s="3" t="inlineStr">
        <is>
          <t>NONE RECORDED — the declaration names none.</t>
        </is>
      </c>
      <c r="S30" s="3" t="inlineStr"/>
      <c r="T30" s="3" t="inlineStr">
        <is>
          <t>NONE RECORDED — the declaration names none.</t>
        </is>
      </c>
      <c r="U30" s="3" t="inlineStr"/>
      <c r="V30" s="9" t="inlineStr">
        <is>
          <t>Q04 — "Annual income" on a bond: the last twelve months actually received, or the forward estimate from today\'s coupon? Both are defensible and they differ.</t>
        </is>
      </c>
      <c r="W30" s="9" t="inlineStr"/>
      <c r="X30" s="3" t="inlineStr"/>
      <c r="Y30" s="3" t="inlineStr"/>
      <c r="Z30" s="3" t="inlineStr">
        <is>
          <t>DECLARED IN THE CODE (rule 11) — printed from the door, not typed. RULED 2026-09-27</t>
        </is>
      </c>
      <c r="AA30" s="3" t="inlineStr"/>
      <c r="AB30" s="3" t="inlineStr"/>
      <c r="AC30" s="3" t="inlineStr"/>
      <c r="AD30" s="3" t="inlineStr"/>
      <c r="AE30" s="3" t="inlineStr"/>
      <c r="AF30" s="3" t="inlineStr">
        <is>
          <t>ACTIVE</t>
        </is>
      </c>
      <c r="AG30" s="3" t="inlineStr">
        <is>
          <t>2026-10-09</t>
        </is>
      </c>
      <c r="AH30" s="3" t="inlineStr"/>
      <c r="AI30" s="3" t="inlineStr"/>
      <c r="AJ30"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MK-NW-O-001 theBonds</t>
        </is>
      </c>
      <c r="AN30"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0" s="9" t="inlineStr">
        <is>
          <t>WAITING ON YOU — question Q04 · RULED, NOT CODED (Q-NW-4 — one question, one function)</t>
        </is>
      </c>
    </row>
    <row r="31" ht="60" customHeight="1">
      <c r="A31" s="3" t="inlineStr">
        <is>
          <t>MK-NW-M-025</t>
        </is>
      </c>
      <c r="B31" s="3" t="inlineStr">
        <is>
          <t>Networth</t>
        </is>
      </c>
      <c r="C31" s="3" t="inlineStr">
        <is>
          <t>/account-detail</t>
        </is>
      </c>
      <c r="D31" s="3" t="inlineStr">
        <is>
          <t>Matures</t>
        </is>
      </c>
      <c r="E31" s="3" t="inlineStr">
        <is>
          <t>matures</t>
        </is>
      </c>
      <c r="F31" s="3" t="inlineStr">
        <is>
          <t>theBonds</t>
        </is>
      </c>
      <c r="G31" s="3" t="inlineStr">
        <is>
          <t>MK-NW-O-001</t>
        </is>
      </c>
      <c r="H31" s="3" t="inlineStr">
        <is>
          <t>years to maturity = (maturity date − today) ÷ 365.25 days;  already past → 0;  NO maturity date, or an unreadable one → no answer (nothing is invented)</t>
        </is>
      </c>
      <c r="I31" s="3" t="inlineStr">
        <is>
          <t>Maturity date minus today, in years (365.25 days to the year). Anything already past → 0. No maturity date, or one that cannot be read → NO answer: the years, the yield to maturity and the rate sensitivity all refuse, and the screen asks for the date.</t>
        </is>
      </c>
      <c r="J31" s="3" t="inlineStr">
        <is>
          <t>MK-NW-I-001 your accounts</t>
        </is>
      </c>
      <c r="K31" s="3" t="inlineStr">
        <is>
          <t>a sentence</t>
        </is>
      </c>
      <c r="L31" s="3" t="inlineStr">
        <is>
          <t>No maturity date → the 'Matures' line is not shown; a matured bond shows '(matured)'.</t>
        </is>
      </c>
      <c r="M31" s="3" t="inlineStr">
        <is>
          <t>one bond</t>
        </is>
      </c>
      <c r="N31" s="3" t="inlineStr">
        <is>
          <t>as of today</t>
        </is>
      </c>
      <c r="O31"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31" s="3" t="inlineStr">
        <is>
          <t>Declared by MK-NW-O-001 theBonds</t>
        </is>
      </c>
      <c r="Q31" s="3" t="inlineStr">
        <is>
          <t>NONE RECORDED — the declaration names none.</t>
        </is>
      </c>
      <c r="R31" s="3" t="inlineStr">
        <is>
          <t>NONE RECORDED — the declaration names none.</t>
        </is>
      </c>
      <c r="S31" s="3" t="inlineStr"/>
      <c r="T31" s="3" t="inlineStr">
        <is>
          <t>NONE RECORDED — the declaration names none.</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2026-10-09</t>
        </is>
      </c>
      <c r="AH31" s="3" t="inlineStr"/>
      <c r="AI31" s="3" t="inlineStr"/>
      <c r="AJ31"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MK-NW-O-001 theBonds</t>
        </is>
      </c>
      <c r="AN31"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1" s="7" t="inlineStr">
        <is>
          <t>RULED, NOT CODED (Q-NW-4 — one question, one function)</t>
        </is>
      </c>
    </row>
    <row r="32" ht="60" customHeight="1">
      <c r="A32" s="3" t="inlineStr">
        <is>
          <t>MK-NW-M-026</t>
        </is>
      </c>
      <c r="B32" s="3" t="inlineStr">
        <is>
          <t>Networth</t>
        </is>
      </c>
      <c r="C32" s="3" t="inlineStr">
        <is>
          <t>/account-detail</t>
        </is>
      </c>
      <c r="D32" s="3" t="inlineStr">
        <is>
          <t>Yield if held to maturity</t>
        </is>
      </c>
      <c r="E32" s="3" t="inlineStr">
        <is>
          <t>yield_if_held_to_maturity</t>
        </is>
      </c>
      <c r="F32" s="3" t="inlineStr">
        <is>
          <t>theBonds</t>
        </is>
      </c>
      <c r="G32" s="3" t="inlineStr">
        <is>
          <t>MK-NW-O-001</t>
        </is>
      </c>
      <c r="H32" s="3" t="inlineStr">
        <is>
          <t>yield to maturity ≈ (annual coupon + (face − value) ÷ years left) ÷ ((face + value) ÷ 2)   — the straight-line approximation, rounded to 4 decimal places; value = the bond's current value as entered (the balance), on the same total basis as face</t>
        </is>
      </c>
      <c r="I32"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2" s="3" t="inlineStr">
        <is>
          <t>MK-NW-I-001 your accounts</t>
        </is>
      </c>
      <c r="K32" s="3" t="inlineStr">
        <is>
          <t>a percentage, two decimals</t>
        </is>
      </c>
      <c r="L32" s="3" t="inlineStr">
        <is>
          <t>Matured, or no maturity date — it refuses rather than divide by nothing.</t>
        </is>
      </c>
      <c r="M32" s="3" t="inlineStr">
        <is>
          <t>one bond</t>
        </is>
      </c>
      <c r="N32" s="3" t="inlineStr">
        <is>
          <t>as of today</t>
        </is>
      </c>
      <c r="O32"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32" s="3" t="inlineStr">
        <is>
          <t>Declared by MK-NW-O-001 theBonds</t>
        </is>
      </c>
      <c r="Q32" s="3" t="inlineStr">
        <is>
          <t>An approximation, and labelled an estimate on screen.</t>
        </is>
      </c>
      <c r="R32" s="3" t="inlineStr">
        <is>
          <t>An approximation, and labelled an estimate on screen.</t>
        </is>
      </c>
      <c r="S32" s="3" t="inlineStr"/>
      <c r="T32" s="3" t="inlineStr">
        <is>
          <t>An approximation, and labelled an estimate on screen.</t>
        </is>
      </c>
      <c r="U32" s="3" t="inlineStr"/>
      <c r="V32" s="9" t="inlineStr">
        <is>
          <t>Q05 — Accrued interest: do we work it out ourselves — which needs a day-count rule per bond type — or only show what the institution gives us?</t>
        </is>
      </c>
      <c r="W32" s="9" t="inlineStr"/>
      <c r="X32" s="3" t="inlineStr"/>
      <c r="Y32" s="3" t="inlineStr"/>
      <c r="Z32" s="3" t="inlineStr">
        <is>
          <t>DECLARED IN THE CODE (rule 11) — printed from the door, not typed. RULED 2026-09-27</t>
        </is>
      </c>
      <c r="AA32" s="3" t="inlineStr"/>
      <c r="AB32" s="3" t="inlineStr"/>
      <c r="AC32" s="3" t="inlineStr"/>
      <c r="AD32" s="3" t="inlineStr"/>
      <c r="AE32" s="3" t="inlineStr">
        <is>
          <t>G20 — CLOSED 2026-09-08: the math column claimed the exact root-solve; the code (MK-NW-F-060) is the approximation, now stated in both columns and labelled; the function header's rounding line corrected (4 decimals). No code change.</t>
        </is>
      </c>
      <c r="AF32" s="3" t="inlineStr">
        <is>
          <t>ACTIVE</t>
        </is>
      </c>
      <c r="AG32" s="3" t="inlineStr">
        <is>
          <t>2026-10-09</t>
        </is>
      </c>
      <c r="AH32" s="3" t="inlineStr"/>
      <c r="AI32" s="3" t="inlineStr"/>
      <c r="AJ32"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MK-NW-O-001 theBonds</t>
        </is>
      </c>
      <c r="AN32" s="3" t="inlineStr">
        <is>
          <t>Two bonds on 28 Sep 2026: a $25,000-face Treasury paying 4.5%, maturing 30 Sep 2029, worth $24,200 today; and a $10,000 Ally CD paying 5.05%, maturing 15 Mar 2027, worth its $10,000.
GIVES: 5.69%
(the test re-runs this through MK-NW-O-001 theBonds on every build)</t>
        </is>
      </c>
      <c r="AO32" s="9" t="inlineStr">
        <is>
          <t>WAITING ON YOU — question Q05 · RULED, NOT CODED (Q-NW-4 — one question, one function)</t>
        </is>
      </c>
    </row>
    <row r="33" ht="60" customHeight="1">
      <c r="A33" s="3" t="inlineStr">
        <is>
          <t>MK-NW-M-027</t>
        </is>
      </c>
      <c r="B33" s="3" t="inlineStr">
        <is>
          <t>Networth</t>
        </is>
      </c>
      <c r="C33" s="3" t="inlineStr">
        <is>
          <t>/account-detail</t>
        </is>
      </c>
      <c r="D33" s="3" t="inlineStr">
        <is>
          <t>Yield on today's value</t>
        </is>
      </c>
      <c r="E33" s="3" t="inlineStr">
        <is>
          <t>yield_on_todays_value</t>
        </is>
      </c>
      <c r="F33" s="3" t="inlineStr">
        <is>
          <t>theBonds</t>
        </is>
      </c>
      <c r="G33" s="3" t="inlineStr">
        <is>
          <t>MK-NW-O-001</t>
        </is>
      </c>
      <c r="H33" s="3" t="inlineStr">
        <is>
          <t>coupon ÷ today’s value</t>
        </is>
      </c>
      <c r="I33" s="3" t="inlineStr">
        <is>
          <t>coupon ÷ today’s value</t>
        </is>
      </c>
      <c r="J33" s="3" t="inlineStr">
        <is>
          <t>MK-NW-I-001 your accounts</t>
        </is>
      </c>
      <c r="K33" s="3" t="inlineStr">
        <is>
          <t>a percentage, two decimals</t>
        </is>
      </c>
      <c r="L33" s="3" t="inlineStr">
        <is>
          <t>No value today.</t>
        </is>
      </c>
      <c r="M33" s="3" t="inlineStr">
        <is>
          <t>one bond</t>
        </is>
      </c>
      <c r="N33" s="3" t="inlineStr">
        <is>
          <t>as of today</t>
        </is>
      </c>
      <c r="O33"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2026-09-27</t>
        </is>
      </c>
      <c r="AA33" s="3" t="inlineStr"/>
      <c r="AB33" s="3" t="inlineStr"/>
      <c r="AC33" s="3" t="inlineStr"/>
      <c r="AD33" s="3" t="inlineStr"/>
      <c r="AE33" s="3" t="inlineStr"/>
      <c r="AF33" s="3" t="inlineStr">
        <is>
          <t>ACTIVE</t>
        </is>
      </c>
      <c r="AG33" s="3" t="inlineStr">
        <is>
          <t>2026-10-09</t>
        </is>
      </c>
      <c r="AH33" s="3" t="inlineStr"/>
      <c r="AI33" s="3" t="inlineStr"/>
      <c r="AJ33"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4.65%
(the test re-runs this through MK-NW-O-001 theBonds on every build)</t>
        </is>
      </c>
      <c r="AO33" s="7" t="inlineStr">
        <is>
          <t>RULED, NOT CODED (Q-NW-4 — one question, one function)</t>
        </is>
      </c>
    </row>
    <row r="34" ht="60" customHeight="1">
      <c r="A34" s="3" t="inlineStr">
        <is>
          <t>MK-NW-M-028</t>
        </is>
      </c>
      <c r="B34" s="3" t="inlineStr">
        <is>
          <t>Networth</t>
        </is>
      </c>
      <c r="C34" s="3" t="inlineStr">
        <is>
          <t>/account-detail</t>
        </is>
      </c>
      <c r="D34" s="3" t="inlineStr">
        <is>
          <t>Rates rise 1% → value roughly $X–$Y</t>
        </is>
      </c>
      <c r="E34" s="3" t="inlineStr">
        <is>
          <t>rates_rise_1__value_roughly_xy</t>
        </is>
      </c>
      <c r="F34" s="3" t="inlineStr">
        <is>
          <t>theBonds</t>
        </is>
      </c>
      <c r="G34" s="3" t="inlineStr">
        <is>
          <t>MK-NW-F-064</t>
        </is>
      </c>
      <c r="H34" s="3" t="inlineStr">
        <is>
          <t>value at (yield − 1%) and value at (yield + 1%), each = Σ coupon ÷ (1 + y)^t + face ÷ (1 + y)^n over the whole remaining years;  shown as the range between the two</t>
        </is>
      </c>
      <c r="I34" s="3" t="inlineStr">
        <is>
          <t>price it again at (yield to maturity ± 1%), and show a band of ±1% around that</t>
        </is>
      </c>
      <c r="J34" s="3" t="inlineStr">
        <is>
          <t>MK-NW-I-001 your accounts</t>
        </is>
      </c>
      <c r="K34" s="3" t="inlineStr">
        <is>
          <t>a sentence</t>
        </is>
      </c>
      <c r="L34" s="3" t="inlineStr">
        <is>
          <t>Refused for a CD, for a matured bond, and for anything with no coupon or no maturity — and for a CD it says plainly why nothing happens.</t>
        </is>
      </c>
      <c r="M34" s="3" t="inlineStr">
        <is>
          <t>one bond</t>
        </is>
      </c>
      <c r="N34" s="3" t="inlineStr">
        <is>
          <t>as of today</t>
        </is>
      </c>
      <c r="O34" s="3" t="inlineStr">
        <is>
          <t>1. MK-NW-F-060 (approxYTM) → number | null
2. MK-NW-F-069 (priceAtYield) → number | null</t>
        </is>
      </c>
      <c r="P34" s="3" t="inlineStr">
        <is>
          <t>Declared by MK-NW-O-001 theBonds</t>
        </is>
      </c>
      <c r="Q34" s="3" t="inlineStr">
        <is>
          <t>An estimate, and it wears the estimate label.
FOUNDER 2026-09-27: a CD gets no estimate. It is not traded, so its value does not move with rates; the screen says that instead. KEEP — the app does not ask whether a CD is a bank one or a brokered one.</t>
        </is>
      </c>
      <c r="R34" s="3" t="inlineStr">
        <is>
          <t>An estimate, and it wears the estimate label.
FOUNDER 2026-09-27: a CD gets no estimate. It is not traded, so its value does not move with rates; the screen says that instead. KEEP — the app does not ask whether a CD is a bank one or a brokered one.</t>
        </is>
      </c>
      <c r="S34" s="3" t="inlineStr"/>
      <c r="T34" s="3" t="inlineStr">
        <is>
          <t>An estimate, and it wears the estimate label.
FOUNDER 2026-09-27: a CD gets no estimate. It is not traded, so its value does not move with rates; the screen says that instead. KEEP — the app does not ask whether a CD is a bank one or a brokered one.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2026-10-09</t>
        </is>
      </c>
      <c r="AH34" s="3" t="inlineStr"/>
      <c r="AI34" s="3" t="inlineStr"/>
      <c r="AJ34" s="3" t="inlineStr">
        <is>
          <t>1. MK-XS-I-011 bond face value — read by MK-NW-F-057, MK-NW-F-060, MK-NW-F-064, MK-NW-F-069, MK-NW-F-119
2. MK-XS-I-012 bond coupon rate — read by MK-NW-F-057, MK-NW-F-060, MK-NW-F-064, MK-NW-F-119
3. MK-XS-I-013 bond maturity date — read by MK-NW-F-058, MK-NW-F-060, MK-NW-F-069, MK-NW-F-119
4. MK-XS-I-049 bond price — what the bond is worth today — read by MK-NW-F-057, MK-NW-F-060, MK-NW-F-064, MK-NW-F-069, MK-NW-F-119
5. MK-XS-I-065 accrued interest on a bond — interest earned since the last coupon — read by MK-NW-F-060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$23,300–$23,800
(the test re-runs this through MK-NW-O-001 theBonds on every build)</t>
        </is>
      </c>
      <c r="AO34" s="7" t="inlineStr">
        <is>
          <t>RULED, NOT CODED (Q-NW-4 — one question, one function)</t>
        </is>
      </c>
    </row>
    <row r="35" ht="60" customHeight="1">
      <c r="A35" s="3" t="inlineStr">
        <is>
          <t>MK-NW-M-029</t>
        </is>
      </c>
      <c r="B35" s="3" t="inlineStr">
        <is>
          <t>Networth</t>
        </is>
      </c>
      <c r="C35" s="3" t="inlineStr">
        <is>
          <t>/holding-detail</t>
        </is>
      </c>
      <c r="D35" s="3" t="inlineStr">
        <is>
          <t>CURRENT PRICE · LIVE</t>
        </is>
      </c>
      <c r="E35" s="3" t="inlineStr">
        <is>
          <t>current_price__live</t>
        </is>
      </c>
      <c r="F35" s="3" t="inlineStr">
        <is>
          <t>theHolding</t>
        </is>
      </c>
      <c r="G35" s="3" t="inlineStr">
        <is>
          <t>MK-NW-O-006</t>
        </is>
      </c>
      <c r="H35" s="3" t="inlineStr">
        <is>
          <t>the last close the price feed holds for this ticker</t>
        </is>
      </c>
      <c r="I35" s="3" t="inlineStr">
        <is>
          <t>the last close the price feed holds for this ticker</t>
        </is>
      </c>
      <c r="J35" s="3" t="inlineStr">
        <is>
          <t>MK-NW-I-005 the price feed</t>
        </is>
      </c>
      <c r="K35" s="3" t="inlineStr">
        <is>
          <t>dollars, two decimals</t>
        </is>
      </c>
      <c r="L35" s="3" t="inlineStr">
        <is>
          <t>No price — the screen shows what you paid instead, and says so.</t>
        </is>
      </c>
      <c r="M35" s="3" t="inlineStr">
        <is>
          <t>one holding</t>
        </is>
      </c>
      <c r="N35" s="3" t="inlineStr">
        <is>
          <t>as of today</t>
        </is>
      </c>
      <c r="O35"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5" s="3" t="inlineStr">
        <is>
          <t>Declared by MK-NW-O-006 theHolding</t>
        </is>
      </c>
      <c r="Q35" s="3" t="inlineStr">
        <is>
          <t>A price that has gone stale says its age rather than passing as today’s.</t>
        </is>
      </c>
      <c r="R35" s="3" t="inlineStr">
        <is>
          <t>A price that has gone stale says its age rather than passing as today’s.</t>
        </is>
      </c>
      <c r="S35" s="3" t="inlineStr"/>
      <c r="T35" s="3" t="inlineStr">
        <is>
          <t>A price that has gone stale says its age rather than passing as today’s.</t>
        </is>
      </c>
      <c r="U35" s="3" t="inlineStr"/>
      <c r="V35" s="3" t="inlineStr"/>
      <c r="W35" s="3" t="inlineStr"/>
      <c r="X35" s="3" t="inlineStr"/>
      <c r="Y35" s="3" t="inlineStr"/>
      <c r="Z35" s="3" t="inlineStr">
        <is>
          <t>DECLARED IN THE CODE (rule 11) — printed from the door, not typed. RULED 2026-09-28</t>
        </is>
      </c>
      <c r="AA35" s="3" t="inlineStr"/>
      <c r="AB35" s="3" t="inlineStr"/>
      <c r="AC35" s="3" t="inlineStr"/>
      <c r="AD35" s="3" t="inlineStr"/>
      <c r="AE35" s="3" t="inlineStr"/>
      <c r="AF35" s="3" t="inlineStr">
        <is>
          <t>ACTIVE</t>
        </is>
      </c>
      <c r="AG35" s="3" t="inlineStr">
        <is>
          <t>2026-10-09</t>
        </is>
      </c>
      <c r="AH35" s="3" t="inlineStr">
        <is>
          <t>[Formula (mathematical)] Is the formula embedded directly in the code and not as a separate function? Live price was to be sourced from Yahoo or similar engine.</t>
        </is>
      </c>
      <c r="AI35"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2026-09-28; the figure, its formula, inputs and refusal live in MK-NW-O-006 theHolding</t>
        </is>
      </c>
      <c r="AN35"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5" s="8" t="inlineStr">
        <is>
          <t>VERIFIED — TESTED, NOT VERIFIED — you ruled on this row 2026-09-28; the</t>
        </is>
      </c>
    </row>
    <row r="36" ht="60" customHeight="1">
      <c r="A36" s="3" t="inlineStr">
        <is>
          <t>MK-NW-M-030</t>
        </is>
      </c>
      <c r="B36" s="3" t="inlineStr">
        <is>
          <t>Networth</t>
        </is>
      </c>
      <c r="C36" s="3" t="inlineStr">
        <is>
          <t>/holding-detail</t>
        </is>
      </c>
      <c r="D36" s="3" t="inlineStr">
        <is>
          <t>Current value</t>
        </is>
      </c>
      <c r="E36" s="3" t="inlineStr">
        <is>
          <t>current_value</t>
        </is>
      </c>
      <c r="F36" s="3" t="inlineStr">
        <is>
          <t>theHolding</t>
        </is>
      </c>
      <c r="G36" s="3" t="inlineStr">
        <is>
          <t>MK-NW-O-006</t>
        </is>
      </c>
      <c r="H36" s="3" t="inlineStr">
        <is>
          <t>shares × today’s price</t>
        </is>
      </c>
      <c r="I36" s="3" t="inlineStr">
        <is>
          <t>shares × today’s price</t>
        </is>
      </c>
      <c r="J36" s="3" t="inlineStr">
        <is>
          <t>MK-NW-I-001 your accounts
MK-NW-I-005 the price feed</t>
        </is>
      </c>
      <c r="K36" s="3" t="inlineStr">
        <is>
          <t>dollars, whole</t>
        </is>
      </c>
      <c r="L36" s="3" t="inlineStr">
        <is>
          <t>No price — it shows what you paid, labelled as that.</t>
        </is>
      </c>
      <c r="M36" s="3" t="inlineStr">
        <is>
          <t>one holding</t>
        </is>
      </c>
      <c r="N36" s="3" t="inlineStr">
        <is>
          <t>as of today</t>
        </is>
      </c>
      <c r="O36"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6" s="3" t="inlineStr">
        <is>
          <t>Declared by MK-NW-O-006 theHolding</t>
        </is>
      </c>
      <c r="Q36" s="3" t="inlineStr">
        <is>
          <t>r30: with NO price it shows what you paid, never a zero — a holding priced at zero would quietly shrink your whole portfolio.</t>
        </is>
      </c>
      <c r="R36" s="3" t="inlineStr">
        <is>
          <t>r30: with NO price it shows what you paid, never a zero — a holding priced at zero would quietly shrink your whole portfolio.</t>
        </is>
      </c>
      <c r="S36" s="3" t="inlineStr"/>
      <c r="T36" s="3" t="inlineStr">
        <is>
          <t>r30: with NO price it shows what you paid, never a zero — a holding priced at zero would quietly shrink your whole portfolio.</t>
        </is>
      </c>
      <c r="U36" s="3" t="inlineStr"/>
      <c r="V36"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36"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36" s="3" t="inlineStr"/>
      <c r="Y36" s="3" t="inlineStr"/>
      <c r="Z36" s="3" t="inlineStr">
        <is>
          <t>DECLARED IN THE CODE (rule 11) — printed from the door, not typed. RULED 2026-09-28</t>
        </is>
      </c>
      <c r="AA36" s="3" t="inlineStr"/>
      <c r="AB36" s="3" t="inlineStr"/>
      <c r="AC36" s="3" t="inlineStr"/>
      <c r="AD36" s="3" t="inlineStr"/>
      <c r="AE36" s="3" t="inlineStr">
        <is>
          <t>Q06 / Q07 / Q08 — ANSWERED 2026-08-26 (see column W), NOT YET IN CODE: no contract multiplier, no quantity rounding, no currency conversion. Open.</t>
        </is>
      </c>
      <c r="AF36" s="3" t="inlineStr">
        <is>
          <t>ACTIVE</t>
        </is>
      </c>
      <c r="AG36" s="3" t="inlineStr">
        <is>
          <t>2026-10-09</t>
        </is>
      </c>
      <c r="AH36" s="3" t="inlineStr">
        <is>
          <t>[Dependency — function ID → the output it uses] why dependency on engine and not function?</t>
        </is>
      </c>
      <c r="AI36"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3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2026-09-28; the figure, its formula, inputs and refusal live in MK-NW-O-006 theHolding</t>
        </is>
      </c>
      <c r="AN36"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36" s="9" t="inlineStr">
        <is>
          <t>WAITING ON YOU — question Q42, Q43, Q44 · TESTED, NOT VERIFIED (Q06, Q08)</t>
        </is>
      </c>
    </row>
    <row r="37" ht="60" customHeight="1">
      <c r="A37" s="3" t="inlineStr">
        <is>
          <t>MK-NW-M-031</t>
        </is>
      </c>
      <c r="B37" s="3" t="inlineStr">
        <is>
          <t>Networth</t>
        </is>
      </c>
      <c r="C37" s="3" t="inlineStr">
        <is>
          <t>/holding-detail</t>
        </is>
      </c>
      <c r="D37" s="3" t="inlineStr">
        <is>
          <t>Quantity — n shares</t>
        </is>
      </c>
      <c r="E37" s="3" t="inlineStr">
        <is>
          <t>quantity__n_shares</t>
        </is>
      </c>
      <c r="F37" s="3" t="inlineStr">
        <is>
          <t>theHolding</t>
        </is>
      </c>
      <c r="G37" s="3" t="inlineStr">
        <is>
          <t>MK-NW-O-006</t>
        </is>
      </c>
      <c r="H37" s="3" t="inlineStr">
        <is>
          <t>quantity = Σ(shares on each lot);  a sale of shares REMOVES them from the lots (never a negative lot);  a sale entered as a dollar amount with no shares lowers the account balance instead</t>
        </is>
      </c>
      <c r="I37" s="3" t="inlineStr">
        <is>
          <t>the shares of every lot still held, added up</t>
        </is>
      </c>
      <c r="J37" s="3" t="inlineStr">
        <is>
          <t>MK-NW-I-001 your accounts</t>
        </is>
      </c>
      <c r="K37" s="3" t="inlineStr">
        <is>
          <t>a count</t>
        </is>
      </c>
      <c r="L37" s="3" t="inlineStr">
        <is>
          <t>$0, and under it the one line "Nothing entered yet. Add a holding ›" (mock approved 2026-09-12). A real zero that was entered shows a plain $0 with no line.</t>
        </is>
      </c>
      <c r="M37" s="3" t="inlineStr">
        <is>
          <t>one holding</t>
        </is>
      </c>
      <c r="N37" s="3" t="inlineStr">
        <is>
          <t>as of today</t>
        </is>
      </c>
      <c r="O37"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7" s="3" t="inlineStr">
        <is>
          <t>Declared by MK-NW-O-006 theHolding</t>
        </is>
      </c>
      <c r="Q37" s="3" t="inlineStr">
        <is>
          <t>NONE RECORDED — the declaration names none.</t>
        </is>
      </c>
      <c r="R37" s="3" t="inlineStr">
        <is>
          <t>NONE RECORDED — the declaration names none.</t>
        </is>
      </c>
      <c r="S37" s="3" t="inlineStr"/>
      <c r="T37" s="3" t="inlineStr">
        <is>
          <t>NONE RECORDED — the declaration names none.</t>
        </is>
      </c>
      <c r="U37" s="3" t="inlineStr"/>
      <c r="V37" s="3" t="inlineStr"/>
      <c r="W37" s="3" t="inlineStr">
        <is>
          <t>Q09: Yes, we should always capture units. Worth checking is CHF is held in account, is value displayed in CHF or USD? If USD, we need to make sure to capture Foreign exchange rate to do the conversion.
(typed 2026-08-26)</t>
        </is>
      </c>
      <c r="X37" s="3" t="inlineStr"/>
      <c r="Y37" s="3" t="inlineStr"/>
      <c r="Z37" s="3" t="inlineStr">
        <is>
          <t>DECLARED IN THE CODE (rule 11) — printed from the door, not typed. RULED 2026-09-28</t>
        </is>
      </c>
      <c r="AA37" s="3" t="inlineStr"/>
      <c r="AB37" s="3" t="inlineStr"/>
      <c r="AC37" s="3" t="inlineStr"/>
      <c r="AD37" s="3" t="inlineStr"/>
      <c r="AE37"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37" s="3" t="inlineStr">
        <is>
          <t>ACTIVE</t>
        </is>
      </c>
      <c r="AG37" s="3" t="inlineStr">
        <is>
          <t>2026-10-09</t>
        </is>
      </c>
      <c r="AH37" s="3" t="inlineStr">
        <is>
          <t>[YOUR ANSWER, column W] Q09 typed 2026-08-26 — see W on this row.</t>
        </is>
      </c>
      <c r="AI37"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3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2026-09-28; the figure, its formula, inputs and refusal live in MK-NW-O-006 theHolding</t>
        </is>
      </c>
      <c r="AN37"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37" s="8" t="inlineStr">
        <is>
          <t>VERIFIED — TESTED, NOT VERIFIED — you ruled on this row 2026-09-28; the</t>
        </is>
      </c>
    </row>
    <row r="38" ht="60" customHeight="1">
      <c r="A38" s="3" t="inlineStr">
        <is>
          <t>MK-NW-M-032</t>
        </is>
      </c>
      <c r="B38" s="3" t="inlineStr">
        <is>
          <t>Networth</t>
        </is>
      </c>
      <c r="C38" s="3" t="inlineStr">
        <is>
          <t>/holding-detail</t>
        </is>
      </c>
      <c r="D38" s="3" t="inlineStr">
        <is>
          <t>Price paid (average)</t>
        </is>
      </c>
      <c r="E38" s="3" t="inlineStr">
        <is>
          <t>price_paid_average</t>
        </is>
      </c>
      <c r="F38" s="3" t="inlineStr">
        <is>
          <t>theHolding</t>
        </is>
      </c>
      <c r="G38" s="3" t="inlineStr">
        <is>
          <t>MK-PF-F-003</t>
        </is>
      </c>
      <c r="H38" s="3" t="inlineStr">
        <is>
          <t>average price paid = cost basis ÷ shares held  (cost basis = Σ shares × cost per share across the lots)</t>
        </is>
      </c>
      <c r="I38" s="3" t="inlineStr">
        <is>
          <t>Cost basis divided by the shares held across every lot — the average price paid per share.</t>
        </is>
      </c>
      <c r="J38" s="3" t="inlineStr">
        <is>
          <t>MK-NW-I-001 your accounts</t>
        </is>
      </c>
      <c r="K38" s="3" t="inlineStr">
        <is>
          <t>dollars, two decimals</t>
        </is>
      </c>
      <c r="L38" s="3" t="inlineStr">
        <is>
          <t>$0, and under it the one line "Nothing entered yet. Add a holding ›" (mock approved 2026-09-12). A real zero that was entered shows a plain $0 with no line.</t>
        </is>
      </c>
      <c r="M38" s="3" t="inlineStr">
        <is>
          <t>one holding</t>
        </is>
      </c>
      <c r="N38" s="3" t="inlineStr">
        <is>
          <t>as of today</t>
        </is>
      </c>
      <c r="O38" s="3" t="inlineStr">
        <is>
          <t>1. MK-PF-F-031 (contractMultiplier) → number
2. MK-PF-F-002 (costBasis) → number
3. MK-PF-F-001 (totalShares) → number</t>
        </is>
      </c>
      <c r="P38" s="3" t="inlineStr">
        <is>
          <t>Declared by MK-NW-O-006 theHolding</t>
        </is>
      </c>
      <c r="Q38" s="3" t="inlineStr">
        <is>
          <t>Kept unrounded inside, rounded once at display (Q49) — rounding it early moved the total it multiplies back into.</t>
        </is>
      </c>
      <c r="R38" s="3" t="inlineStr">
        <is>
          <t>Kept unrounded inside, rounded once at display (Q49) — rounding it early moved the total it multiplies back into.</t>
        </is>
      </c>
      <c r="S38" s="3" t="inlineStr"/>
      <c r="T38" s="3" t="inlineStr">
        <is>
          <t>Kept unrounded inside, rounded once at display (Q49) — rounding it early moved the total it multiplies back into.</t>
        </is>
      </c>
      <c r="U38" s="3" t="inlineStr"/>
      <c r="V38"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38" s="9" t="inlineStr"/>
      <c r="X38" s="3" t="inlineStr"/>
      <c r="Y38" s="3" t="inlineStr"/>
      <c r="Z38" s="3" t="inlineStr">
        <is>
          <t>DECLARED IN THE CODE (rule 11) — printed from the door, not typed. RULED 2026-09-28</t>
        </is>
      </c>
      <c r="AA38" s="3" t="inlineStr"/>
      <c r="AB38" s="3" t="inlineStr"/>
      <c r="AC38" s="3" t="inlineStr"/>
      <c r="AD38" s="3" t="inlineStr"/>
      <c r="AE38"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38" s="3" t="inlineStr">
        <is>
          <t>ACTIVE</t>
        </is>
      </c>
      <c r="AG38" s="3" t="inlineStr">
        <is>
          <t>2026-10-09</t>
        </is>
      </c>
      <c r="AH38"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38"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38" s="3" t="inlineStr">
        <is>
          <t>1. MK-XS-I-004 holding quantity (shares) — read by MK-PF-F-001, MK-PF-F-002, MK-PF-F-003
2. MK-XS-I-007 purchase price and date (per lot) — read by MK-PF-F-002, MK-PF-F-003
3. MK-XS-I-055 the wrapper an account sits in — ISA, 401(k), IRA and the rest — read by MK-PF-F-031
4. MK-XS-I-063 option contract multiplier — 100 unless the broker or the person states otherwise — read by MK-PF-F-002, MK-PF-F-003, MK-PF-F-031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2026-09-28; the figure, its formula, inputs and refusal live in MK-NW-O-006 theHolding</t>
        </is>
      </c>
      <c r="AN38"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38" s="9" t="inlineStr">
        <is>
          <t>WAITING ON YOU — question Q34</t>
        </is>
      </c>
    </row>
    <row r="39" ht="60" customHeight="1">
      <c r="A39" s="3" t="inlineStr">
        <is>
          <t>MK-NW-M-033</t>
        </is>
      </c>
      <c r="B39" s="3" t="inlineStr">
        <is>
          <t>Networth</t>
        </is>
      </c>
      <c r="C39" s="3" t="inlineStr">
        <is>
          <t>/holding-detail · /invest</t>
        </is>
      </c>
      <c r="D39" s="3" t="inlineStr">
        <is>
          <t>Total paid</t>
        </is>
      </c>
      <c r="E39" s="3" t="inlineStr">
        <is>
          <t>total_paid</t>
        </is>
      </c>
      <c r="F39" s="3" t="inlineStr">
        <is>
          <t>theHolding</t>
        </is>
      </c>
      <c r="G39" s="3" t="inlineStr">
        <is>
          <t>MK-NW-O-006</t>
        </is>
      </c>
      <c r="H39" s="3" t="inlineStr">
        <is>
          <t>the cost of every lot still held, added up</t>
        </is>
      </c>
      <c r="I39" s="3" t="inlineStr">
        <is>
          <t>the cost of every lot still held, added up</t>
        </is>
      </c>
      <c r="J39" s="3" t="inlineStr">
        <is>
          <t>MK-NW-I-001 your accounts</t>
        </is>
      </c>
      <c r="K39" s="3" t="inlineStr">
        <is>
          <t>dollars, whole</t>
        </is>
      </c>
      <c r="L39" s="3" t="inlineStr">
        <is>
          <t>$0, and under it the one line "Nothing entered yet. Add a holding ›" (mock approved 2026-09-12). A real zero that was entered shows a plain $0 with no line.</t>
        </is>
      </c>
      <c r="M39" s="3" t="inlineStr">
        <is>
          <t>one holding</t>
        </is>
      </c>
      <c r="N39" s="3" t="inlineStr">
        <is>
          <t>as of today</t>
        </is>
      </c>
      <c r="O39"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9" s="3" t="inlineStr">
        <is>
          <t>Declared by MK-NW-O-006 theHolding</t>
        </is>
      </c>
      <c r="Q39" s="3" t="inlineStr">
        <is>
          <t>NONE RECORDED — the declaration names none.</t>
        </is>
      </c>
      <c r="R39" s="3" t="inlineStr">
        <is>
          <t>NONE RECORDED — the declaration names none.</t>
        </is>
      </c>
      <c r="S39" s="3" t="inlineStr"/>
      <c r="T39" s="3" t="inlineStr">
        <is>
          <t>NONE RECORDED — the declaration names none.</t>
        </is>
      </c>
      <c r="U39" s="3" t="inlineStr"/>
      <c r="V39" s="3" t="inlineStr"/>
      <c r="W39" s="3" t="inlineStr"/>
      <c r="X39" s="3" t="inlineStr"/>
      <c r="Y39" s="3" t="inlineStr"/>
      <c r="Z39" s="3" t="inlineStr">
        <is>
          <t>DECLARED IN THE CODE (rule 11) — printed from the door, not typed. RULED 2026-09-28</t>
        </is>
      </c>
      <c r="AA39" s="3" t="inlineStr"/>
      <c r="AB39" s="3" t="inlineStr"/>
      <c r="AC39" s="3" t="inlineStr"/>
      <c r="AD39" s="3" t="inlineStr"/>
      <c r="AE39" s="3" t="inlineStr">
        <is>
          <t>G32 / Q48 — RULED 2026-09-09: $0 stays, with the sentence '$0 — nothing entered yet.' and this row's door ('Add a holding ›'). File written; the screen follows the approved empty-state mock (one pattern, one screen), then every screen.</t>
        </is>
      </c>
      <c r="AF39" s="3" t="inlineStr">
        <is>
          <t>ACTIVE</t>
        </is>
      </c>
      <c r="AG39" s="3" t="inlineStr">
        <is>
          <t>2026-10-09</t>
        </is>
      </c>
      <c r="AH39" s="3" t="inlineStr">
        <is>
          <t>[Formula audit (B16)] Where is Total Price versus Price Paid (Average) displayed in the app? Are we trying to tell two different things to user and need to fix formulas or are we saying same thing and calling it differently?</t>
        </is>
      </c>
      <c r="AI39"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39"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39" s="8" t="inlineStr">
        <is>
          <t>VERIFIED — TESTED, NOT VERIFIED — you ruled on this row 2026-09-28; the</t>
        </is>
      </c>
    </row>
    <row r="40" ht="60" customHeight="1">
      <c r="A40" s="3" t="inlineStr">
        <is>
          <t>MK-NW-M-034</t>
        </is>
      </c>
      <c r="B40" s="3" t="inlineStr">
        <is>
          <t>Networth</t>
        </is>
      </c>
      <c r="C40" s="3" t="inlineStr">
        <is>
          <t>/holding-detail</t>
        </is>
      </c>
      <c r="D40" s="3" t="inlineStr">
        <is>
          <t>Dividends received (12 mo)</t>
        </is>
      </c>
      <c r="E40" s="3" t="inlineStr">
        <is>
          <t>dividends_received_12_mo</t>
        </is>
      </c>
      <c r="F40" s="3" t="inlineStr">
        <is>
          <t>theHolding</t>
        </is>
      </c>
      <c r="G40" s="3" t="inlineStr">
        <is>
          <t>MK-NW-O-006</t>
        </is>
      </c>
      <c r="H40" s="3" t="inlineStr">
        <is>
          <t>the DIVIDEND records naming this ticker, dated within the last year</t>
        </is>
      </c>
      <c r="I40" s="3" t="inlineStr">
        <is>
          <t>the DIVIDEND records naming this ticker, dated within the last year</t>
        </is>
      </c>
      <c r="J40" s="3" t="inlineStr">
        <is>
          <t>MK-NW-I-004 the activity records</t>
        </is>
      </c>
      <c r="K40" s="3" t="inlineStr">
        <is>
          <t>dollars, whole</t>
        </is>
      </c>
      <c r="L40" s="3" t="inlineStr">
        <is>
          <t>$0, and under it the one line "Nothing entered yet. Add your income ›" (mock approved 2026-09-12). A real zero that was entered shows a plain $0 with no line.</t>
        </is>
      </c>
      <c r="M40" s="3" t="inlineStr">
        <is>
          <t>one holding</t>
        </is>
      </c>
      <c r="N40" s="3" t="inlineStr">
        <is>
          <t>as of today</t>
        </is>
      </c>
      <c r="O40"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0" s="3" t="inlineStr">
        <is>
          <t>Declared by MK-NW-O-006 theHolding</t>
        </is>
      </c>
      <c r="Q40" s="3" t="inlineStr">
        <is>
          <t>A record that names no ticker belongs to no holding — the same rule the account page carries.</t>
        </is>
      </c>
      <c r="R40" s="3" t="inlineStr">
        <is>
          <t>A record that names no ticker belongs to no holding — the same rule the account page carries.</t>
        </is>
      </c>
      <c r="S40" s="3" t="inlineStr"/>
      <c r="T40" s="3" t="inlineStr">
        <is>
          <t>A record that names no ticker belongs to no holding — the same rule the account page carries.</t>
        </is>
      </c>
      <c r="U40" s="3" t="inlineStr"/>
      <c r="V40"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0" s="9" t="inlineStr"/>
      <c r="X40" s="3" t="inlineStr"/>
      <c r="Y40" s="3" t="inlineStr"/>
      <c r="Z40" s="3" t="inlineStr">
        <is>
          <t>DECLARED IN THE CODE (rule 11) — printed from the door, not typed. RULED 2026-09-28</t>
        </is>
      </c>
      <c r="AA40" s="3" t="inlineStr"/>
      <c r="AB40" s="3" t="inlineStr"/>
      <c r="AC40" s="3" t="inlineStr"/>
      <c r="AD40" s="3" t="inlineStr"/>
      <c r="AE40"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0" s="3" t="inlineStr">
        <is>
          <t>ACTIVE</t>
        </is>
      </c>
      <c r="AG40" s="3" t="inlineStr">
        <is>
          <t>2026-10-09</t>
        </is>
      </c>
      <c r="AH40" s="3" t="inlineStr">
        <is>
          <t>1. [Name on Screen] Screen should say Trailing Twelve Months and not just 12 months.
2. [Formula audit (B24)] Is it calculated directly in the code without any function?</t>
        </is>
      </c>
      <c r="AI40"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0"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0" s="9" t="inlineStr">
        <is>
          <t>WAITING ON YOU — question Q35, Q36</t>
        </is>
      </c>
    </row>
    <row r="41" ht="60" customHeight="1">
      <c r="A41" s="3" t="inlineStr">
        <is>
          <t>MK-NW-M-035</t>
        </is>
      </c>
      <c r="B41" s="3" t="inlineStr">
        <is>
          <t>Networth</t>
        </is>
      </c>
      <c r="C41" s="3" t="inlineStr">
        <is>
          <t>/holding-detail</t>
        </is>
      </c>
      <c r="D41" s="3" t="inlineStr">
        <is>
          <t>Realized gain from your buys and sells</t>
        </is>
      </c>
      <c r="E41" s="3" t="inlineStr">
        <is>
          <t>realized_gain_from_your_buys_and_sells</t>
        </is>
      </c>
      <c r="F41" s="3" t="inlineStr">
        <is>
          <t>theHolding</t>
        </is>
      </c>
      <c r="G41" s="3" t="inlineStr">
        <is>
          <t>MK-NW-O-006</t>
        </is>
      </c>
      <c r="H41" s="3" t="inlineStr">
        <is>
          <t>for each sale: what it sold for, less what those shares cost</t>
        </is>
      </c>
      <c r="I41" s="3" t="inlineStr">
        <is>
          <t>for each sale: what it sold for, less what those shares cost</t>
        </is>
      </c>
      <c r="J41" s="3" t="inlineStr">
        <is>
          <t>MK-NW-I-004 the activity records</t>
        </is>
      </c>
      <c r="K41" s="3" t="inlineStr">
        <is>
          <t>dollars, whole</t>
        </is>
      </c>
      <c r="L41" s="3" t="inlineStr">
        <is>
          <t>Nothing sold yet.</t>
        </is>
      </c>
      <c r="M41" s="3" t="inlineStr">
        <is>
          <t>one holding</t>
        </is>
      </c>
      <c r="N41" s="3" t="inlineStr">
        <is>
          <t>as of today</t>
        </is>
      </c>
      <c r="O41"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1" s="3" t="inlineStr">
        <is>
          <t>Declared by MK-NW-O-006 theHolding</t>
        </is>
      </c>
      <c r="Q41" s="3" t="inlineStr">
        <is>
          <t>NONE RECORDED — the declaration names none.</t>
        </is>
      </c>
      <c r="R41" s="3" t="inlineStr">
        <is>
          <t>NONE RECORDED — the declaration names none.</t>
        </is>
      </c>
      <c r="S41" s="3" t="inlineStr"/>
      <c r="T41" s="3" t="inlineStr">
        <is>
          <t>NONE RECORDED — the declaration names none.</t>
        </is>
      </c>
      <c r="U41" s="3" t="inlineStr"/>
      <c r="V41" s="9" t="inlineStr">
        <is>
          <t>Q37 — For a connected account: log an 'Opening holding' row per broker lot at first sync (dated the lot's purchase date, at the broker's cost) so every later sale is covered — recommended — or keep 'not counted + say so' for pre-history purchases?</t>
        </is>
      </c>
      <c r="W41" s="9" t="inlineStr"/>
      <c r="X41" s="3" t="inlineStr"/>
      <c r="Y41" s="3" t="inlineStr"/>
      <c r="Z41" s="3" t="inlineStr">
        <is>
          <t>DECLARED IN THE CODE (rule 11) — printed from the door, not typed. RULED 2026-09-28</t>
        </is>
      </c>
      <c r="AA41" s="3" t="inlineStr"/>
      <c r="AB41" s="3" t="inlineStr"/>
      <c r="AC41" s="3" t="inlineStr"/>
      <c r="AD41" s="3" t="inlineStr"/>
      <c r="AE41" s="3" t="inlineStr"/>
      <c r="AF41" s="3" t="inlineStr">
        <is>
          <t>ACTIVE</t>
        </is>
      </c>
      <c r="AG41" s="3" t="inlineStr">
        <is>
          <t>2026-10-09</t>
        </is>
      </c>
      <c r="AH41" s="3" t="inlineStr">
        <is>
          <t>[Formula (mathematical)] The feed from an institution is likely to show quantity held net of sales. So, how do you determine the total quantity before sale?</t>
        </is>
      </c>
      <c r="AI41"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1"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1" s="9" t="inlineStr">
        <is>
          <t>WAITING ON YOU — question Q37</t>
        </is>
      </c>
    </row>
    <row r="42" ht="60" customHeight="1">
      <c r="A42" s="3" t="inlineStr">
        <is>
          <t>MK-NW-M-036</t>
        </is>
      </c>
      <c r="B42" s="3" t="inlineStr">
        <is>
          <t>Networth</t>
        </is>
      </c>
      <c r="C42" s="3" t="inlineStr">
        <is>
          <t>/holding-detail</t>
        </is>
      </c>
      <c r="D42" s="3" t="inlineStr">
        <is>
          <t>Gain — long-term (held over 1 yr)</t>
        </is>
      </c>
      <c r="E42" s="3" t="inlineStr">
        <is>
          <t>gain__longterm_held_over_1_yr</t>
        </is>
      </c>
      <c r="F42" s="3" t="inlineStr">
        <is>
          <t>theHolding</t>
        </is>
      </c>
      <c r="G42" s="3" t="inlineStr">
        <is>
          <t>MK-NW-O-006</t>
        </is>
      </c>
      <c r="H42" s="3" t="inlineStr">
        <is>
          <t>per lot: gain = shares × (price − cost per share);  long-term if the lot was held MORE than one year — from the day after the first anniversary of purchase — otherwise short-term;  a lot with no cost recorded is skipped</t>
        </is>
      </c>
      <c r="I42"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2" s="3" t="inlineStr">
        <is>
          <t>MK-NW-I-001 your accounts
MK-NW-I-005 the price feed</t>
        </is>
      </c>
      <c r="K42" s="3" t="inlineStr">
        <is>
          <t>dollars, whole</t>
        </is>
      </c>
      <c r="L42" s="3" t="inlineStr">
        <is>
          <t>No price today — no gain is stated at all.</t>
        </is>
      </c>
      <c r="M42" s="3" t="inlineStr">
        <is>
          <t>one holding</t>
        </is>
      </c>
      <c r="N42" s="3" t="inlineStr">
        <is>
          <t>as of today</t>
        </is>
      </c>
      <c r="O42"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2" s="3" t="inlineStr">
        <is>
          <t>Declared by MK-NW-O-006 theHolding</t>
        </is>
      </c>
      <c r="Q42" s="3" t="inlineStr">
        <is>
          <t>NONE RECORDED — the declaration names none.</t>
        </is>
      </c>
      <c r="R42" s="3" t="inlineStr">
        <is>
          <t>NONE RECORDED — the declaration names none.</t>
        </is>
      </c>
      <c r="S42" s="3" t="inlineStr"/>
      <c r="T42" s="3" t="inlineStr">
        <is>
          <t>NONE RECORDED — the declaration names none.</t>
        </is>
      </c>
      <c r="U42" s="3" t="inlineStr"/>
      <c r="V42" s="9" t="inlineStr">
        <is>
          <t>Q20 — A lot with no recorded purchase price is skipped, so its gain is simply absent. Should the screen SAY so — "gain not counted for N shares, no purchase price on record" — rather than quietly reporting less?</t>
        </is>
      </c>
      <c r="W42" s="9" t="inlineStr"/>
      <c r="X42" s="3" t="inlineStr"/>
      <c r="Y42" s="3" t="inlineStr"/>
      <c r="Z42" s="3" t="inlineStr">
        <is>
          <t>DECLARED IN THE CODE (rule 11) — printed from the door, not typed. RULED 2026-09-28</t>
        </is>
      </c>
      <c r="AA42" s="3" t="inlineStr"/>
      <c r="AB42" s="3" t="inlineStr"/>
      <c r="AC42" s="3" t="inlineStr"/>
      <c r="AD42" s="3" t="inlineStr"/>
      <c r="AE42" s="3" t="inlineStr"/>
      <c r="AF42" s="3" t="inlineStr">
        <is>
          <t>ACTIVE</t>
        </is>
      </c>
      <c r="AG42" s="3" t="inlineStr">
        <is>
          <t>2026-10-09</t>
        </is>
      </c>
      <c r="AH42" s="3" t="inlineStr"/>
      <c r="AI42" s="3" t="inlineStr"/>
      <c r="AJ42"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2" s="9" t="inlineStr">
        <is>
          <t>WAITING ON YOU — question Q20 · RULED, NOT CODED (Brief E1)</t>
        </is>
      </c>
    </row>
    <row r="43" ht="60" customHeight="1">
      <c r="A43" s="3" t="inlineStr">
        <is>
          <t>MK-NW-M-037</t>
        </is>
      </c>
      <c r="B43" s="3" t="inlineStr">
        <is>
          <t>Networth</t>
        </is>
      </c>
      <c r="C43" s="3" t="inlineStr">
        <is>
          <t>/holding-detail</t>
        </is>
      </c>
      <c r="D43" s="3" t="inlineStr">
        <is>
          <t>Gain — short-term (held 1 yr or less)</t>
        </is>
      </c>
      <c r="E43" s="3" t="inlineStr">
        <is>
          <t>gain__shortterm_held_1_yr_or_less</t>
        </is>
      </c>
      <c r="F43" s="3" t="inlineStr">
        <is>
          <t>theHolding</t>
        </is>
      </c>
      <c r="G43" s="3" t="inlineStr">
        <is>
          <t>MK-NW-O-006</t>
        </is>
      </c>
      <c r="H43" s="3" t="inlineStr">
        <is>
          <t>per lot: gain = shares × (price − cost per share);  long-term if the lot was held MORE than one year — from the day after the first anniversary of purchase — otherwise short-term;  a lot with no cost recorded is skipped</t>
        </is>
      </c>
      <c r="I43"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3" s="3" t="inlineStr">
        <is>
          <t>MK-NW-I-001 your accounts
MK-NW-I-005 the price feed</t>
        </is>
      </c>
      <c r="K43" s="3" t="inlineStr">
        <is>
          <t>dollars, whole</t>
        </is>
      </c>
      <c r="L43" s="3" t="inlineStr">
        <is>
          <t>No price today — no gain is stated at all.</t>
        </is>
      </c>
      <c r="M43" s="3" t="inlineStr">
        <is>
          <t>one holding</t>
        </is>
      </c>
      <c r="N43" s="3" t="inlineStr">
        <is>
          <t>as of today</t>
        </is>
      </c>
      <c r="O43"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3" s="3" t="inlineStr">
        <is>
          <t>Declared by MK-NW-O-006 theHolding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2026-09-28</t>
        </is>
      </c>
      <c r="AA43" s="3" t="inlineStr"/>
      <c r="AB43" s="3" t="inlineStr"/>
      <c r="AC43" s="3" t="inlineStr"/>
      <c r="AD43" s="3" t="inlineStr"/>
      <c r="AE43" s="3" t="inlineStr"/>
      <c r="AF43" s="3" t="inlineStr">
        <is>
          <t>ACTIVE</t>
        </is>
      </c>
      <c r="AG43" s="3" t="inlineStr">
        <is>
          <t>2026-10-09</t>
        </is>
      </c>
      <c r="AH43" s="3" t="inlineStr"/>
      <c r="AI43" s="3" t="inlineStr"/>
      <c r="AJ43"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3" s="8" t="inlineStr">
        <is>
          <t>VERIFIED — TESTED, NOT VERIFIED — you ruled on this row 2026-09-28; the</t>
        </is>
      </c>
    </row>
    <row r="44" ht="60" customHeight="1">
      <c r="A44" s="3" t="inlineStr">
        <is>
          <t>MK-NW-M-038</t>
        </is>
      </c>
      <c r="B44" s="3" t="inlineStr">
        <is>
          <t>Networth</t>
        </is>
      </c>
      <c r="C44" s="3" t="inlineStr">
        <is>
          <t>/itemize</t>
        </is>
      </c>
      <c r="D44" s="3" t="inlineStr">
        <is>
          <t>We keep the total at $X</t>
        </is>
      </c>
      <c r="E44" s="3" t="inlineStr">
        <is>
          <t>we_keep_the_total_at_x</t>
        </is>
      </c>
      <c r="F44" s="3" t="inlineStr">
        <is>
          <t>theAccount</t>
        </is>
      </c>
      <c r="G44" s="3" t="inlineStr">
        <is>
          <t>MK-NW-O-002</t>
        </is>
      </c>
      <c r="H44" s="3" t="inlineStr">
        <is>
          <t>the lump account’s balance, unchanged by itemising</t>
        </is>
      </c>
      <c r="I44" s="3" t="inlineStr">
        <is>
          <t>the lump account’s balance, unchanged by itemising</t>
        </is>
      </c>
      <c r="J44" s="3" t="inlineStr">
        <is>
          <t>MK-NW-I-001 your accounts</t>
        </is>
      </c>
      <c r="K44" s="3" t="inlineStr">
        <is>
          <t>dollars, whole</t>
        </is>
      </c>
      <c r="L44" s="3" t="inlineStr">
        <is>
          <t>Nothing to itemise.</t>
        </is>
      </c>
      <c r="M44" s="3" t="inlineStr">
        <is>
          <t>one account</t>
        </is>
      </c>
      <c r="N44" s="3" t="inlineStr">
        <is>
          <t>as of today</t>
        </is>
      </c>
      <c r="O44"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4" s="3" t="inlineStr">
        <is>
          <t>Declared by MK-NW-O-002 theAccount</t>
        </is>
      </c>
      <c r="Q44" s="3" t="inlineStr">
        <is>
          <t>Itemising describes what is inside an account; it never changes what the account is worth.</t>
        </is>
      </c>
      <c r="R44" s="3" t="inlineStr">
        <is>
          <t>Itemising describes what is inside an account; it never changes what the account is worth.</t>
        </is>
      </c>
      <c r="S44" s="3" t="inlineStr"/>
      <c r="T44" s="3" t="inlineStr">
        <is>
          <t>Itemising describes what is inside an account; it never changes what the account is worth.</t>
        </is>
      </c>
      <c r="U44" s="3" t="inlineStr"/>
      <c r="V44" s="3" t="inlineStr"/>
      <c r="W44" s="3" t="inlineStr"/>
      <c r="X44" s="3" t="inlineStr"/>
      <c r="Y44" s="3" t="inlineStr"/>
      <c r="Z44" s="3" t="inlineStr">
        <is>
          <t>DECLARED IN THE CODE (rule 11) — printed from the door, not typed. RULED 2026-09-27</t>
        </is>
      </c>
      <c r="AA44" s="3" t="inlineStr"/>
      <c r="AB44" s="3" t="inlineStr"/>
      <c r="AC44" s="3" t="inlineStr"/>
      <c r="AD44" s="3" t="inlineStr"/>
      <c r="AE44" s="3" t="inlineStr"/>
      <c r="AF44" s="3" t="inlineStr">
        <is>
          <t>ACTIVE</t>
        </is>
      </c>
      <c r="AG44" s="3" t="inlineStr">
        <is>
          <t>2026-10-09</t>
        </is>
      </c>
      <c r="AH44" s="3" t="inlineStr"/>
      <c r="AI44" s="3" t="inlineStr"/>
      <c r="AJ44"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MK-NW-F-109
15. MK-XS-I-056 how a holding was classified, and by whom — read by MK-NW-F-109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2026-09-27; the figure, its formula, inputs and refusal live in MK-NW-O-002 theAccount</t>
        </is>
      </c>
      <c r="AN4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4" s="7" t="inlineStr">
        <is>
          <t>RULED, NOT CODED (Q-NW-2 — one question, one function)</t>
        </is>
      </c>
    </row>
    <row r="45" ht="60" customHeight="1">
      <c r="A45" s="3" t="inlineStr">
        <is>
          <t>MK-NW-M-039</t>
        </is>
      </c>
      <c r="B45" s="3" t="inlineStr">
        <is>
          <t>Networth</t>
        </is>
      </c>
      <c r="C45" s="3" t="inlineStr">
        <is>
          <t>/itemize</t>
        </is>
      </c>
      <c r="D45" s="3" t="inlineStr">
        <is>
          <t>$X of $Y itemized · remainder</t>
        </is>
      </c>
      <c r="E45" s="3" t="inlineStr">
        <is>
          <t>x_of_y_itemized__remainder</t>
        </is>
      </c>
      <c r="F45" s="3" t="inlineStr">
        <is>
          <t>theAccount</t>
        </is>
      </c>
      <c r="G45" s="3" t="inlineStr">
        <is>
          <t>MK-NW-O-002</t>
        </is>
      </c>
      <c r="H45" s="3" t="inlineStr">
        <is>
          <t>the sum of the items entered; the remainder is the balance minus that sum</t>
        </is>
      </c>
      <c r="I45" s="3" t="inlineStr">
        <is>
          <t>the sum of the items entered; the remainder is the balance minus that sum</t>
        </is>
      </c>
      <c r="J45" s="3" t="inlineStr">
        <is>
          <t>MK-NW-I-001 your accounts</t>
        </is>
      </c>
      <c r="K45" s="3" t="inlineStr">
        <is>
          <t>dollars, whole</t>
        </is>
      </c>
      <c r="L45" s="3" t="inlineStr">
        <is>
          <t>Nothing entered yet — it reads $0 of the balance.</t>
        </is>
      </c>
      <c r="M45" s="3" t="inlineStr">
        <is>
          <t>one account</t>
        </is>
      </c>
      <c r="N45" s="3" t="inlineStr">
        <is>
          <t>as of today</t>
        </is>
      </c>
      <c r="O45"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5" s="3" t="inlineStr">
        <is>
          <t>Declared by MK-NW-O-002 theAccount</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2026-09-27</t>
        </is>
      </c>
      <c r="AA45" s="3" t="inlineStr"/>
      <c r="AB45" s="3" t="inlineStr"/>
      <c r="AC45" s="3" t="inlineStr"/>
      <c r="AD45" s="3" t="inlineStr"/>
      <c r="AE45" s="3" t="inlineStr"/>
      <c r="AF45" s="3" t="inlineStr">
        <is>
          <t>ACTIVE</t>
        </is>
      </c>
      <c r="AG45" s="3" t="inlineStr">
        <is>
          <t>2026-10-09</t>
        </is>
      </c>
      <c r="AH45" s="3" t="inlineStr"/>
      <c r="AI45" s="3" t="inlineStr"/>
      <c r="AJ45"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MK-NW-F-109
15. MK-XS-I-056 how a holding was classified, and by whom — read by MK-NW-F-109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2026-09-27; the figure, its formula, inputs and refusal live in MK-NW-O-002 theAccount</t>
        </is>
      </c>
      <c r="AN45"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5" s="7" t="inlineStr">
        <is>
          <t>RULED, NOT CODED (Q-NW-2 — one question, one function)</t>
        </is>
      </c>
    </row>
    <row r="46" ht="60" customHeight="1">
      <c r="A46" s="3" t="inlineStr">
        <is>
          <t>MK-NW-M-040</t>
        </is>
      </c>
      <c r="B46" s="3" t="inlineStr">
        <is>
          <t>Networth</t>
        </is>
      </c>
      <c r="C46" s="3" t="inlineStr">
        <is>
          <t>/itemize</t>
        </is>
      </c>
      <c r="D46" s="3" t="inlineStr">
        <is>
          <t>each holding and its value</t>
        </is>
      </c>
      <c r="E46" s="3" t="inlineStr">
        <is>
          <t>each_holding_and_its_value</t>
        </is>
      </c>
      <c r="F46" s="3" t="inlineStr">
        <is>
          <t>theAccount</t>
        </is>
      </c>
      <c r="G46" s="3" t="inlineStr">
        <is>
          <t>MK-NW-O-002</t>
        </is>
      </c>
      <c r="H46" s="3" t="inlineStr">
        <is>
          <t>the value of each thing inside the account, listed under the class it belongs to</t>
        </is>
      </c>
      <c r="I46" s="3" t="inlineStr">
        <is>
          <t>the value of each thing inside the account, listed under the class it belongs to</t>
        </is>
      </c>
      <c r="J46" s="3" t="inlineStr">
        <is>
          <t>MK-NW-I-001 your accounts
MK-XS-I-004 holding quantity (shares)
MK-XS-I-005 holding price</t>
        </is>
      </c>
      <c r="K46" s="3" t="inlineStr">
        <is>
          <t>dollars, whole</t>
        </is>
      </c>
      <c r="L46" s="3" t="inlineStr">
        <is>
          <t>Nothing entered yet.</t>
        </is>
      </c>
      <c r="M46" s="3" t="inlineStr">
        <is>
          <t>one holding</t>
        </is>
      </c>
      <c r="N46" s="3" t="inlineStr">
        <is>
          <t>as of today</t>
        </is>
      </c>
      <c r="O46"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6" s="3" t="inlineStr">
        <is>
          <t>Declared by MK-NW-O-002 theAccount</t>
        </is>
      </c>
      <c r="Q46" s="3" t="inlineStr">
        <is>
          <t>A CLASS HOLDING NOTHING IS NOT LISTED — a $0 line reads as "we checked and it is empty", which is a different claim from "there is none".
Uninvested money in the account is one of the lines, under the words he ruled on 2026-08-11: cash in this account.</t>
        </is>
      </c>
      <c r="R46" s="3" t="inlineStr">
        <is>
          <t>A CLASS HOLDING NOTHING IS NOT LISTED — a $0 line reads as "we checked and it is empty", which is a different claim from "there is none".
Uninvested money in the account is one of the lines, under the words he ruled on 2026-08-11: cash in this account.</t>
        </is>
      </c>
      <c r="S46" s="3" t="inlineStr"/>
      <c r="T46" s="3" t="inlineStr">
        <is>
          <t>A CLASS HOLDING NOTHING IS NOT LISTED — a $0 line reads as "we checked and it is empty", which is a different claim from "there is none".
Uninvested money in the account is one of the lines, under the words he ruled on 2026-08-11: cash in this account.</t>
        </is>
      </c>
      <c r="U46" s="3" t="inlineStr">
        <is>
          <t>THE LAST NET WORTH FIGURE WITHOUT A WORKED EXAMPLE, given one 2026-09-30. Its two lines add to the account’s own total — $6,000 of cash plus $40,600 of fund is the $46,600 the header shows — which is what makes the itemising checkable rather than asserted.</t>
        </is>
      </c>
      <c r="V46" s="3" t="inlineStr"/>
      <c r="W46" s="3" t="inlineStr"/>
      <c r="X46" s="3" t="inlineStr"/>
      <c r="Y46" s="3" t="inlineStr"/>
      <c r="Z46" s="3" t="inlineStr">
        <is>
          <t>DECLARED IN THE CODE (rule 11) — printed from the door, not typed. RULED 2026-09-27</t>
        </is>
      </c>
      <c r="AA46" s="3" t="inlineStr"/>
      <c r="AB46" s="3" t="inlineStr"/>
      <c r="AC46" s="3" t="inlineStr"/>
      <c r="AD46" s="3" t="inlineStr"/>
      <c r="AE46" s="3" t="inlineStr"/>
      <c r="AF46" s="3" t="inlineStr">
        <is>
          <t>ACTIVE</t>
        </is>
      </c>
      <c r="AG46" s="3" t="inlineStr">
        <is>
          <t>2026-10-09</t>
        </is>
      </c>
      <c r="AH46" s="3" t="inlineStr"/>
      <c r="AI46" s="3" t="inlineStr"/>
      <c r="AJ46"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MK-NW-F-109
15. MK-XS-I-056 how a holding was classified, and by whom — read by MK-NW-F-109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2026-09-27; the figure, its formula, inputs and refusal live in MK-NW-O-002 theAccount</t>
        </is>
      </c>
      <c r="AN4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6" s="7" t="inlineStr">
        <is>
          <t>RULED, NOT CODED (Q-NW-2 — one question, one function)</t>
        </is>
      </c>
    </row>
    <row r="47" ht="60" customHeight="1">
      <c r="A47" s="3" t="inlineStr">
        <is>
          <t>MK-NW-M-041</t>
        </is>
      </c>
      <c r="B47" s="3" t="inlineStr">
        <is>
          <t>Networth</t>
        </is>
      </c>
      <c r="C47" s="3" t="inlineStr">
        <is>
          <t>/bonds</t>
        </is>
      </c>
      <c r="D47" s="3" t="inlineStr">
        <is>
          <t>total value of your bonds</t>
        </is>
      </c>
      <c r="E47" s="3" t="inlineStr">
        <is>
          <t>total_value_of_your_bonds</t>
        </is>
      </c>
      <c r="F47" s="3" t="inlineStr">
        <is>
          <t>theBonds</t>
        </is>
      </c>
      <c r="G47" s="3" t="inlineStr">
        <is>
          <t>MK-NW-O-001</t>
        </is>
      </c>
      <c r="H47" s="3" t="inlineStr">
        <is>
          <t>the sum of each bond account’s balance</t>
        </is>
      </c>
      <c r="I47" s="3" t="inlineStr">
        <is>
          <t>the sum of each bond account’s balance</t>
        </is>
      </c>
      <c r="J47" s="3" t="inlineStr">
        <is>
          <t>MK-NW-I-001 your accounts</t>
        </is>
      </c>
      <c r="K47" s="3" t="inlineStr">
        <is>
          <t>dollars, whole</t>
        </is>
      </c>
      <c r="L47" s="3" t="inlineStr">
        <is>
          <t>$0, and under it the one line "Nothing entered yet. Add a bond ›" (mock approved 2026-09-12). A real zero that was entered shows a plain $0 with no line.</t>
        </is>
      </c>
      <c r="M47" s="3" t="inlineStr">
        <is>
          <t>one figure per household</t>
        </is>
      </c>
      <c r="N47" s="3" t="inlineStr">
        <is>
          <t>as of today</t>
        </is>
      </c>
      <c r="O47"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47" s="3" t="inlineStr">
        <is>
          <t>Declared by MK-NW-O-001 theBonds</t>
        </is>
      </c>
      <c r="Q47" s="3" t="inlineStr">
        <is>
          <t>NONE RECORDED — the declaration names none.</t>
        </is>
      </c>
      <c r="R47" s="3" t="inlineStr">
        <is>
          <t>NONE RECORDED — the declaration names none.</t>
        </is>
      </c>
      <c r="S47" s="3" t="inlineStr"/>
      <c r="T47" s="3" t="inlineStr">
        <is>
          <t>NONE RECORDED — the declaration names none.</t>
        </is>
      </c>
      <c r="U47" s="3" t="inlineStr"/>
      <c r="V47"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47" s="9" t="inlineStr"/>
      <c r="X47" s="3" t="inlineStr"/>
      <c r="Y47" s="3" t="inlineStr"/>
      <c r="Z47" s="3" t="inlineStr">
        <is>
          <t>DECLARED IN THE CODE (rule 11) — printed from the door, not typed. RULED 2026-09-27</t>
        </is>
      </c>
      <c r="AA47" s="3" t="inlineStr"/>
      <c r="AB47" s="3" t="inlineStr"/>
      <c r="AC47" s="3" t="inlineStr"/>
      <c r="AD47" s="3" t="inlineStr"/>
      <c r="AE47"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47" s="3" t="inlineStr">
        <is>
          <t>ACTIVE</t>
        </is>
      </c>
      <c r="AG47" s="3" t="inlineStr">
        <is>
          <t>2026-10-09</t>
        </is>
      </c>
      <c r="AH47"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47"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47"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2026-09-27; the figure, its formula, inputs and refusal live in MK-NW-O-001 theBonds</t>
        </is>
      </c>
      <c r="AN47" s="3" t="inlineStr">
        <is>
          <t>Two bonds on 28 Sep 2026: a $25,000-face Treasury paying 4.5%, maturing 30 Sep 2029, worth $24,200 today; and a $10,000 Ally CD paying 5.05%, maturing 15 Mar 2027, worth its $10,000.
GIVES: $34,200
(the test re-runs this through MK-NW-O-001 theBonds on every build)</t>
        </is>
      </c>
      <c r="AO47" s="9" t="inlineStr">
        <is>
          <t>WAITING ON YOU — question Q03, Q38 · WAITING ON YOU — answer to read · RULED, NOT CODED (Bond display rule, Q-NW-4 — one question, one function)</t>
        </is>
      </c>
    </row>
    <row r="48" ht="60" customHeight="1">
      <c r="A48" s="3" t="inlineStr">
        <is>
          <t>MK-NW-M-042</t>
        </is>
      </c>
      <c r="B48" s="3" t="inlineStr">
        <is>
          <t>Networth</t>
        </is>
      </c>
      <c r="C48" s="3" t="inlineStr">
        <is>
          <t>/bonds</t>
        </is>
      </c>
      <c r="D48" s="3" t="inlineStr">
        <is>
          <t>n bonds · face $X</t>
        </is>
      </c>
      <c r="E48" s="3" t="inlineStr">
        <is>
          <t>n_bonds__face_x</t>
        </is>
      </c>
      <c r="F48" s="3" t="inlineStr">
        <is>
          <t>theBonds</t>
        </is>
      </c>
      <c r="G48" s="3" t="inlineStr">
        <is>
          <t>MK-NW-O-001</t>
        </is>
      </c>
      <c r="H48" s="3" t="inlineStr">
        <is>
          <t>count of bond accounts, and the sum of their face values</t>
        </is>
      </c>
      <c r="I48" s="3" t="inlineStr">
        <is>
          <t>count of bond accounts, and the sum of their face values</t>
        </is>
      </c>
      <c r="J48" s="3" t="inlineStr">
        <is>
          <t>MK-NW-I-001 your accounts</t>
        </is>
      </c>
      <c r="K48" s="3" t="inlineStr">
        <is>
          <t>a sentence</t>
        </is>
      </c>
      <c r="L48" s="3" t="inlineStr">
        <is>
          <t>$0, and under it the one line "Nothing entered yet. Add a bond ›" (mock approved 2026-09-12). A real zero that was entered shows a plain $0 with no line.</t>
        </is>
      </c>
      <c r="M48" s="3" t="inlineStr">
        <is>
          <t>one figure per household</t>
        </is>
      </c>
      <c r="N48" s="3" t="inlineStr">
        <is>
          <t>as of today</t>
        </is>
      </c>
      <c r="O48"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48" s="3" t="inlineStr">
        <is>
          <t>Declared by MK-NW-O-001 theBonds</t>
        </is>
      </c>
      <c r="Q48" s="3" t="inlineStr">
        <is>
          <t>NONE RECORDED — the declaration names none.</t>
        </is>
      </c>
      <c r="R48" s="3" t="inlineStr">
        <is>
          <t>NONE RECORDED — the declaration names none.</t>
        </is>
      </c>
      <c r="S48" s="3" t="inlineStr"/>
      <c r="T48" s="3" t="inlineStr">
        <is>
          <t>NONE RECORDED — the declaration names none.</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is>
          <t>G32 / Q48 — RULED 2026-09-09: $0 stays, with the sentence '$0 — nothing entered yet.' and this row's door ('Add a bond ›'). File written; the screen follows the approved empty-state mock (one pattern, one screen), then every screen.</t>
        </is>
      </c>
      <c r="AF48" s="3" t="inlineStr">
        <is>
          <t>ACTIVE</t>
        </is>
      </c>
      <c r="AG48" s="3" t="inlineStr">
        <is>
          <t>2026-10-09</t>
        </is>
      </c>
      <c r="AH48"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48"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48"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MK-NW-O-001 theBonds</t>
        </is>
      </c>
      <c r="AN48"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48" s="6" t="inlineStr">
        <is>
          <t>WAITING ON YOU — answer to read · RULED, NOT CODED (Bond display rule, Q-NW-4 — one question, one function)</t>
        </is>
      </c>
    </row>
    <row r="49" ht="60" customHeight="1">
      <c r="A49" s="3" t="inlineStr">
        <is>
          <t>MK-NW-M-043</t>
        </is>
      </c>
      <c r="B49" s="3" t="inlineStr">
        <is>
          <t>Networth</t>
        </is>
      </c>
      <c r="C49" s="3" t="inlineStr">
        <is>
          <t>/bonds</t>
        </is>
      </c>
      <c r="D49" s="3" t="inlineStr">
        <is>
          <t>COUPON</t>
        </is>
      </c>
      <c r="E49" s="3" t="inlineStr">
        <is>
          <t>coupon</t>
        </is>
      </c>
      <c r="F49" s="3" t="inlineStr">
        <is>
          <t>theBonds</t>
        </is>
      </c>
      <c r="G49" s="3" t="inlineStr">
        <is>
          <t>MK-NW-O-001</t>
        </is>
      </c>
      <c r="H49" s="3" t="inlineStr">
        <is>
          <t>for each bond: face value × coupon rate; then added up</t>
        </is>
      </c>
      <c r="I49" s="3" t="inlineStr">
        <is>
          <t>for each bond: face value × coupon rate; then added up</t>
        </is>
      </c>
      <c r="J49" s="3" t="inlineStr">
        <is>
          <t>MK-NW-I-001 your accounts</t>
        </is>
      </c>
      <c r="K49" s="3" t="inlineStr">
        <is>
          <t>dollars, whole a year</t>
        </is>
      </c>
      <c r="L49" s="3" t="inlineStr">
        <is>
          <t>Nothing entered yet.</t>
        </is>
      </c>
      <c r="M49" s="3" t="inlineStr">
        <is>
          <t>one figure per household</t>
        </is>
      </c>
      <c r="N49" s="3" t="inlineStr">
        <is>
          <t>a year</t>
        </is>
      </c>
      <c r="O49"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49" s="3" t="inlineStr">
        <is>
          <t>Declared by MK-NW-O-001 theBonds</t>
        </is>
      </c>
      <c r="Q49" s="3" t="inlineStr">
        <is>
          <t>NONE RECORDED — the declaration names none.</t>
        </is>
      </c>
      <c r="R49" s="3" t="inlineStr">
        <is>
          <t>NONE RECORDED — the declaration names none.</t>
        </is>
      </c>
      <c r="S49" s="3" t="inlineStr"/>
      <c r="T49" s="3" t="inlineStr">
        <is>
          <t>NONE RECORDED — the declaration names none.</t>
        </is>
      </c>
      <c r="U49" s="3" t="inlineStr"/>
      <c r="V49"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49" s="9" t="inlineStr">
        <is>
          <t>A15 - What the function is currently used as? Function to round off to 2 decimal? If yes, fix it. Column H and M on the functions tab are saying two different things none of which is making sense.
A46:If coupon rate is not available use 0.
(typed 2026-08-26)</t>
        </is>
      </c>
      <c r="X49" s="3" t="inlineStr"/>
      <c r="Y49" s="3" t="inlineStr"/>
      <c r="Z49" s="3" t="inlineStr">
        <is>
          <t>DECLARED IN THE CODE (rule 11) — printed from the door, not typed. RULED 2026-09-27</t>
        </is>
      </c>
      <c r="AA49" s="3" t="inlineStr"/>
      <c r="AB49" s="3" t="inlineStr"/>
      <c r="AC49" s="3" t="inlineStr"/>
      <c r="AD49" s="3" t="inlineStr"/>
      <c r="AE49"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49" s="3" t="inlineStr">
        <is>
          <t>ACTIVE</t>
        </is>
      </c>
      <c r="AG49" s="3" t="inlineStr">
        <is>
          <t>2026-10-09</t>
        </is>
      </c>
      <c r="AH49"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49"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49"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MK-NW-O-001 theBonds</t>
        </is>
      </c>
      <c r="AN49" s="3" t="inlineStr">
        <is>
          <t>Two bonds on 28 Sep 2026: a $25,000-face Treasury paying 4.5%, maturing 30 Sep 2029, worth $24,200 today; and a $10,000 Ally CD paying 5.05%, maturing 15 Mar 2027, worth its $10,000.
GIVES: $1,630/year
(the test re-runs this through MK-NW-O-001 theBonds on every build)</t>
        </is>
      </c>
      <c r="AO49" s="9" t="inlineStr">
        <is>
          <t>WAITING ON YOU — question Q39, Q40 · WAITING ON YOU — answer to read · RULED, NOT CODED (Q-NW-4 — one question, one function)</t>
        </is>
      </c>
    </row>
    <row r="50" ht="60" customHeight="1">
      <c r="A50" s="3" t="inlineStr">
        <is>
          <t>MK-NW-M-044</t>
        </is>
      </c>
      <c r="B50" s="3" t="inlineStr">
        <is>
          <t>Networth</t>
        </is>
      </c>
      <c r="C50" s="3" t="inlineStr">
        <is>
          <t>/bonds</t>
        </is>
      </c>
      <c r="D50" s="3" t="inlineStr">
        <is>
          <t>AVG YIELD</t>
        </is>
      </c>
      <c r="E50" s="3" t="inlineStr">
        <is>
          <t>avg_yield</t>
        </is>
      </c>
      <c r="F50" s="3" t="inlineStr">
        <is>
          <t>theBonds</t>
        </is>
      </c>
      <c r="G50" s="3" t="inlineStr">
        <is>
          <t>MK-NW-O-001</t>
        </is>
      </c>
      <c r="H50" s="3" t="inlineStr">
        <is>
          <t>the coupon each pays ÷ what each is worth today, weighted by value</t>
        </is>
      </c>
      <c r="I50" s="3" t="inlineStr">
        <is>
          <t>the coupon each pays ÷ what each is worth today, weighted by value</t>
        </is>
      </c>
      <c r="J50" s="3" t="inlineStr">
        <is>
          <t>MK-NW-I-001 your accounts</t>
        </is>
      </c>
      <c r="K50" s="3" t="inlineStr">
        <is>
          <t>a percentage, two decimals</t>
        </is>
      </c>
      <c r="L50" s="3" t="inlineStr">
        <is>
          <t>A bond with no price today is left out rather than counted at zero.</t>
        </is>
      </c>
      <c r="M50" s="3" t="inlineStr">
        <is>
          <t>one figure per household</t>
        </is>
      </c>
      <c r="N50" s="3" t="inlineStr">
        <is>
          <t>as of today</t>
        </is>
      </c>
      <c r="O50"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50" s="3" t="inlineStr">
        <is>
          <t>Declared by MK-NW-O-001 theBonds</t>
        </is>
      </c>
      <c r="Q50" s="3" t="inlineStr">
        <is>
          <t>NONE RECORDED — the declaration names none.</t>
        </is>
      </c>
      <c r="R50" s="3" t="inlineStr">
        <is>
          <t>NONE RECORDED — the declaration names none.</t>
        </is>
      </c>
      <c r="S50" s="3" t="inlineStr"/>
      <c r="T50" s="3" t="inlineStr">
        <is>
          <t>NONE RECORDED — the declaration names none.</t>
        </is>
      </c>
      <c r="U50" s="3" t="inlineStr"/>
      <c r="V50" s="9" t="inlineStr">
        <is>
          <t>Q45 — Approve the caveat when accrued interest is not recorded: 'Yield uses the value you entered. If that value includes accrued interest, the true yield is slightly higher.'</t>
        </is>
      </c>
      <c r="W50"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0" s="3" t="inlineStr"/>
      <c r="Y50" s="3" t="inlineStr"/>
      <c r="Z50" s="3" t="inlineStr">
        <is>
          <t>DECLARED IN THE CODE (rule 11) — printed from the door, not typed. RULED 2026-09-27</t>
        </is>
      </c>
      <c r="AA50" s="3" t="inlineStr"/>
      <c r="AB50" s="3" t="inlineStr"/>
      <c r="AC50" s="3" t="inlineStr"/>
      <c r="AD50" s="3" t="inlineStr"/>
      <c r="AE50" s="3" t="inlineStr">
        <is>
          <t>A47 — RULED 2026-08-26 (subtract accrued interest when recorded; caveat when not), NOT YET IN CODE: no accrued-interest field exists. Open, sequenced after the bond fields (brief Q-38 (2026-08-20)).</t>
        </is>
      </c>
      <c r="AF50" s="3" t="inlineStr">
        <is>
          <t>ACTIVE</t>
        </is>
      </c>
      <c r="AG50" s="3" t="inlineStr">
        <is>
          <t>2026-10-09</t>
        </is>
      </c>
      <c r="AH50" s="3" t="inlineStr">
        <is>
          <t>[What comes out — unit and rounding] yield should always be two decimal digits</t>
        </is>
      </c>
      <c r="AI50"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0"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MK-NW-O-001 theBonds</t>
        </is>
      </c>
      <c r="AN50" s="3" t="inlineStr">
        <is>
          <t>Two bonds on 28 Sep 2026: a $25,000-face Treasury paying 4.5%, maturing 30 Sep 2029, worth $24,200 today; and a $10,000 Ally CD paying 5.05%, maturing 15 Mar 2027, worth its $10,000.
GIVES: 4.77%
(the test re-runs this through MK-NW-O-001 theBonds on every build)</t>
        </is>
      </c>
      <c r="AO50" s="9" t="inlineStr">
        <is>
          <t>WAITING ON YOU — question Q45 · WAITING ON YOU — answer to read · RULED, NOT CODED (Q-NW-4 — one question, one function)</t>
        </is>
      </c>
    </row>
    <row r="51" ht="60" customHeight="1">
      <c r="A51" s="3" t="inlineStr">
        <is>
          <t>MK-NW-M-045</t>
        </is>
      </c>
      <c r="B51" s="3" t="inlineStr">
        <is>
          <t>Networth</t>
        </is>
      </c>
      <c r="C51" s="3" t="inlineStr">
        <is>
          <t>/bonds</t>
        </is>
      </c>
      <c r="D51" s="3" t="inlineStr">
        <is>
          <t>each bond — face, coupon, yield</t>
        </is>
      </c>
      <c r="E51" s="3" t="inlineStr">
        <is>
          <t>each_bond__face_coupon_yield</t>
        </is>
      </c>
      <c r="F51" s="3" t="inlineStr">
        <is>
          <t>theBonds</t>
        </is>
      </c>
      <c r="G51" s="3" t="inlineStr">
        <is>
          <t>MK-NW-O-001</t>
        </is>
      </c>
      <c r="H51" s="3" t="inlineStr">
        <is>
          <t>face value · coupon rate · coupon ÷ today’s value</t>
        </is>
      </c>
      <c r="I51" s="3" t="inlineStr">
        <is>
          <t>face value · coupon rate · coupon ÷ today’s value</t>
        </is>
      </c>
      <c r="J51" s="3" t="inlineStr">
        <is>
          <t>MK-NW-I-001 your accounts</t>
        </is>
      </c>
      <c r="K51" s="3" t="inlineStr">
        <is>
          <t>a sentence</t>
        </is>
      </c>
      <c r="L51" s="3" t="inlineStr">
        <is>
          <t>A bond fund has no face value or maturity, so it shows none.</t>
        </is>
      </c>
      <c r="M51" s="3" t="inlineStr">
        <is>
          <t>one bond</t>
        </is>
      </c>
      <c r="N51" s="3" t="inlineStr">
        <is>
          <t>as of today</t>
        </is>
      </c>
      <c r="O51"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1" s="9" t="inlineStr">
        <is>
          <t>A46:If coupon rate is not available use 0.
(typed 2026-08-26)</t>
        </is>
      </c>
      <c r="X51" s="3" t="inlineStr"/>
      <c r="Y51" s="3" t="inlineStr"/>
      <c r="Z51" s="3" t="inlineStr">
        <is>
          <t>DECLARED IN THE CODE (rule 11) — printed from the door, not typed. RULED 2026-09-27</t>
        </is>
      </c>
      <c r="AA51" s="3" t="inlineStr"/>
      <c r="AB51" s="3" t="inlineStr"/>
      <c r="AC51" s="3" t="inlineStr"/>
      <c r="AD51" s="3" t="inlineStr"/>
      <c r="AE51" s="3" t="inlineStr">
        <is>
          <t>A46 — RULED 2026-08-26, NOT YET IN CODE (JJ-4). Open.</t>
        </is>
      </c>
      <c r="AF51" s="3" t="inlineStr">
        <is>
          <t>ACTIVE</t>
        </is>
      </c>
      <c r="AG51" s="3" t="inlineStr">
        <is>
          <t>2026-10-09</t>
        </is>
      </c>
      <c r="AH51"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1"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1"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1" s="9" t="inlineStr">
        <is>
          <t>WAITING ON YOU — question Q02, Q41 · WAITING ON YOU — answer to read · RULED, NOT CODED (Bond display rule, Q-NW-4 — one question, one function)</t>
        </is>
      </c>
    </row>
    <row r="52" ht="60" customHeight="1">
      <c r="A52" s="3" t="inlineStr">
        <is>
          <t>MK-NW-M-046</t>
        </is>
      </c>
      <c r="B52" s="3" t="inlineStr">
        <is>
          <t>Networth</t>
        </is>
      </c>
      <c r="C52" s="3" t="inlineStr">
        <is>
          <t>/analytics</t>
        </is>
      </c>
      <c r="D52" s="3" t="inlineStr">
        <is>
          <t>at your planned spend</t>
        </is>
      </c>
      <c r="E52" s="3" t="inlineStr">
        <is>
          <t>at_your_planned_spend</t>
        </is>
      </c>
      <c r="F52" s="3" t="inlineStr">
        <is>
          <t>theEmergencyFund</t>
        </is>
      </c>
      <c r="G52" s="3" t="inlineStr">
        <is>
          <t>MK-NW-O-004</t>
        </is>
      </c>
      <c r="H52" s="3" t="inlineStr">
        <is>
          <t>your cash ÷ (everything you budget for a month + the debt payments you cannot stop − the rent from a property that keeps arriving)</t>
        </is>
      </c>
      <c r="I52" s="3" t="inlineStr">
        <is>
          <t>your cash ÷ (everything you budget for a month + the debt payments you cannot stop − the rent from a property that keeps arriving)</t>
        </is>
      </c>
      <c r="J52" s="3" t="inlineStr">
        <is>
          <t>MK-NW-I-001 your accounts
MK-NW-I-002 your debts
MK-CF-I-001 your logged expenses</t>
        </is>
      </c>
      <c r="K52" s="3" t="inlineStr">
        <is>
          <t>a number of months</t>
        </is>
      </c>
      <c r="L52" s="3" t="inlineStr">
        <is>
          <t>No expense figure yet — it shows nothing rather than dividing by nothing.</t>
        </is>
      </c>
      <c r="M52" s="3" t="inlineStr">
        <is>
          <t>the household</t>
        </is>
      </c>
      <c r="N52" s="3" t="inlineStr">
        <is>
          <t>as of today</t>
        </is>
      </c>
      <c r="O52"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52" s="3" t="inlineStr">
        <is>
          <t>Declared by MK-NW-O-004 theEmergencyFund</t>
        </is>
      </c>
      <c r="Q52" s="3" t="inlineStr">
        <is>
          <t>FOUNDER 2026-09-28: "give both numbers." The figure above it is what you could not stop paying; this one is the life you plan to live. Neither is the whole truth alone, so the screen shows both.</t>
        </is>
      </c>
      <c r="R52" s="3" t="inlineStr">
        <is>
          <t>FOUNDER 2026-09-28: "give both numbers." The figure above it is what you could not stop paying; this one is the life you plan to live. Neither is the whole truth alone, so the screen shows both.</t>
        </is>
      </c>
      <c r="S52" s="3" t="inlineStr"/>
      <c r="T52" s="3" t="inlineStr">
        <is>
          <t>FOUNDER 2026-09-28: "give both numbers." The figure above it is what you could not stop paying; this one is the life you plan to live. Neither is the whole truth alone, so the screen shows both.</t>
        </is>
      </c>
      <c r="U52" s="3" t="inlineStr"/>
      <c r="V52" s="3" t="inlineStr"/>
      <c r="W52" s="3" t="inlineStr"/>
      <c r="X52" s="3" t="inlineStr"/>
      <c r="Y52" s="3" t="inlineStr"/>
      <c r="Z52" s="3" t="inlineStr">
        <is>
          <t>DECLARED IN THE CODE (rule 11) — printed from the door, not typed. RULED 2026-09-28</t>
        </is>
      </c>
      <c r="AA52" s="3" t="inlineStr"/>
      <c r="AB52" s="3" t="inlineStr"/>
      <c r="AC52" s="3" t="inlineStr"/>
      <c r="AD52" s="3" t="inlineStr"/>
      <c r="AE52" s="3" t="inlineStr"/>
      <c r="AF52" s="3" t="inlineStr">
        <is>
          <t>ACTIVE</t>
        </is>
      </c>
      <c r="AG52" s="3" t="inlineStr">
        <is>
          <t>2026-10-09</t>
        </is>
      </c>
      <c r="AH52" s="3" t="inlineStr"/>
      <c r="AI52" s="3" t="inlineStr"/>
      <c r="AJ52" s="3" t="inlineStr">
        <is>
          <t>1. MK-XS-I-001 account balance — read by MK-NW-F-016, MK-NW-F-027, MK-NW-F-029, MK-NW-F-056, MK-NW-F-078, MK-NW-O-001, MK
2. MK-XS-I-002 account type (taxable, pre-tax, Roth) — read by MK-NW-F-011, MK-NW-F-027, MK-NW-O-001, MK-NW-O-004
3. MK-XS-I-003 institution name — read by MK-NW-F-056,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MK-NW-F-109
8. MK-XS-I-011 bond face value — read by MK-NW-F-056, MK-NW-F-057, MK-NW-F-060, MK-NW-F-061, MK-NW-F-064, MK-NW-F-069, MK
9. MK-XS-I-012 bond coupon rate — read by MK-NW-F-056, MK-NW-F-057, MK-NW-F-060, MK-NW-F-064, MK-NW-F-070, MK-NW-F-072,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MK-NW-F-109, MK
39. MK-XS-I-056 how a holding was classified, and by whom — read by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2026-09-28; the figure, its formula, inputs and refusal live in MK-NW-O-004 theEmergencyFund</t>
        </is>
      </c>
      <c r="AN52"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4.7 months
(the test re-runs this through MK-NW-O-004 theEmergencyFund on every build)</t>
        </is>
      </c>
      <c r="AO52" s="3" t="inlineStr">
        <is>
          <t>NOTHING OPEN</t>
        </is>
      </c>
    </row>
    <row r="53" ht="60" customHeight="1">
      <c r="A53" s="3" t="inlineStr">
        <is>
          <t>MK-NW-M-047</t>
        </is>
      </c>
      <c r="B53" s="3" t="inlineStr">
        <is>
          <t>Networth</t>
        </is>
      </c>
      <c r="C53" s="3" t="inlineStr">
        <is>
          <t>/analytics · /insights</t>
        </is>
      </c>
      <c r="D53" s="3" t="inlineStr">
        <is>
          <t>Both include $X/month of debt payments you cannot stop</t>
        </is>
      </c>
      <c r="E53" s="3" t="inlineStr">
        <is>
          <t>both_include_xmonth_of_debt_payments_you</t>
        </is>
      </c>
      <c r="F53" s="3" t="inlineStr">
        <is>
          <t>theEmergencyFund</t>
        </is>
      </c>
      <c r="G53" s="3" t="inlineStr">
        <is>
          <t>MK-NW-O-004</t>
        </is>
      </c>
      <c r="H53" s="3" t="inlineStr">
        <is>
          <t>the minimum monthly payment of every debt, the home’s mortgage included; a balance due in one lump has none</t>
        </is>
      </c>
      <c r="I53" s="3" t="inlineStr">
        <is>
          <t>the minimum monthly payment of every debt, the home’s mortgage included; a balance due in one lump has none</t>
        </is>
      </c>
      <c r="J53" s="3" t="inlineStr">
        <is>
          <t>MK-NW-I-002 your debts</t>
        </is>
      </c>
      <c r="K53" s="3" t="inlineStr">
        <is>
          <t>dollars, whole a month</t>
        </is>
      </c>
      <c r="L53" s="3" t="inlineStr">
        <is>
          <t>No debts entered — the line does not appear at all.</t>
        </is>
      </c>
      <c r="M53" s="3" t="inlineStr">
        <is>
          <t>one figure per household</t>
        </is>
      </c>
      <c r="N53" s="3" t="inlineStr">
        <is>
          <t>a month</t>
        </is>
      </c>
      <c r="O53"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53" s="3" t="inlineStr">
        <is>
          <t>Declared by MK-NW-O-004 theEmergencyFund</t>
        </is>
      </c>
      <c r="Q53"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R53"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S53" s="3" t="inlineStr"/>
      <c r="T53"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U53" s="3" t="inlineStr"/>
      <c r="V53" s="3" t="inlineStr"/>
      <c r="W53" s="3" t="inlineStr"/>
      <c r="X53" s="3" t="inlineStr"/>
      <c r="Y53" s="3" t="inlineStr"/>
      <c r="Z53" s="3" t="inlineStr">
        <is>
          <t>DECLARED IN THE CODE (rule 11) — printed from the door, not typed. RULED 2026-10-04</t>
        </is>
      </c>
      <c r="AA53" s="3" t="inlineStr"/>
      <c r="AB53" s="3" t="inlineStr"/>
      <c r="AC53" s="3" t="inlineStr"/>
      <c r="AD53" s="3" t="inlineStr"/>
      <c r="AE53" s="3" t="inlineStr"/>
      <c r="AF53" s="3" t="inlineStr">
        <is>
          <t>ACTIVE</t>
        </is>
      </c>
      <c r="AG53" s="3" t="inlineStr">
        <is>
          <t>2026-10-09</t>
        </is>
      </c>
      <c r="AH53" s="3" t="inlineStr"/>
      <c r="AI53" s="3" t="inlineStr"/>
      <c r="AJ53" s="3" t="inlineStr">
        <is>
          <t>1. MK-XS-I-001 account balance — read by MK-NW-F-016, MK-NW-F-027, MK-NW-F-029, MK-NW-F-056, MK-NW-F-078, MK-NW-O-001, MK
2. MK-XS-I-002 account type (taxable, pre-tax, Roth) — read by MK-NW-F-011, MK-NW-F-027, MK-NW-O-001, MK-NW-O-004
3. MK-XS-I-003 institution name — read by MK-NW-F-056,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MK-NW-F-109
8. MK-XS-I-011 bond face value — read by MK-NW-F-056, MK-NW-F-057, MK-NW-F-060, MK-NW-F-061, MK-NW-F-064, MK-NW-F-069, MK
9. MK-XS-I-012 bond coupon rate — read by MK-NW-F-056, MK-NW-F-057, MK-NW-F-060, MK-NW-F-064, MK-NW-F-070, MK-NW-F-072,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MK-NW-F-109, MK
39. MK-XS-I-056 how a holding was classified, and by whom — read by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2026-09-28; the figure, its formula, inputs and refusal live in MK-NW-O-004 theEmergencyFund</t>
        </is>
      </c>
      <c r="AN5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$2,770/month
(the test re-runs this through MK-NW-O-004 theEmergencyFund on every build)</t>
        </is>
      </c>
      <c r="AO53" s="3" t="inlineStr">
        <is>
          <t>NOTHING OPEN</t>
        </is>
      </c>
    </row>
    <row r="54" ht="60" customHeight="1">
      <c r="A54" s="3" t="inlineStr">
        <is>
          <t>MK-NW-M-048</t>
        </is>
      </c>
      <c r="B54" s="3" t="inlineStr">
        <is>
          <t>Networth</t>
        </is>
      </c>
      <c r="C54" s="3" t="inlineStr">
        <is>
          <t>/analytics · /insights</t>
        </is>
      </c>
      <c r="D54" s="3" t="inlineStr">
        <is>
          <t>cash ÷ planned spend</t>
        </is>
      </c>
      <c r="E54" s="3" t="inlineStr">
        <is>
          <t>cash__planned_spend</t>
        </is>
      </c>
      <c r="F54" s="3" t="inlineStr">
        <is>
          <t>theEmergencyFund</t>
        </is>
      </c>
      <c r="G54" s="3" t="inlineStr">
        <is>
          <t>MK-NW-O-004</t>
        </is>
      </c>
      <c r="H54" s="3" t="inlineStr">
        <is>
          <t>everything you budget for a month + the debt payments you cannot stop</t>
        </is>
      </c>
      <c r="I54" s="3" t="inlineStr">
        <is>
          <t>everything you budget for a month + the debt payments you cannot stop</t>
        </is>
      </c>
      <c r="J54" s="3" t="inlineStr">
        <is>
          <t>MK-NW-I-002 your debts
MK-CF-I-001 your logged expenses</t>
        </is>
      </c>
      <c r="K54" s="3" t="inlineStr">
        <is>
          <t>dollars, whole a month</t>
        </is>
      </c>
      <c r="L54" s="3" t="inlineStr">
        <is>
          <t>No expense figure yet.</t>
        </is>
      </c>
      <c r="M54" s="3" t="inlineStr">
        <is>
          <t>the household</t>
        </is>
      </c>
      <c r="N54" s="3" t="inlineStr">
        <is>
          <t>a month</t>
        </is>
      </c>
      <c r="O54"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54" s="3" t="inlineStr">
        <is>
          <t>Declared by MK-NW-O-004 theEmergencyFund</t>
        </is>
      </c>
      <c r="Q54" s="3" t="inlineStr">
        <is>
          <t>NONE RECORDED — the declaration names none.</t>
        </is>
      </c>
      <c r="R54" s="3" t="inlineStr">
        <is>
          <t>NONE RECORDED — the declaration names none.</t>
        </is>
      </c>
      <c r="S54" s="3" t="inlineStr"/>
      <c r="T54" s="3" t="inlineStr">
        <is>
          <t>NONE RECORDED — the declaration names none.</t>
        </is>
      </c>
      <c r="U54" s="3" t="inlineStr"/>
      <c r="V54" s="3" t="inlineStr"/>
      <c r="W54" s="3" t="inlineStr"/>
      <c r="X54" s="3" t="inlineStr"/>
      <c r="Y54" s="3" t="inlineStr"/>
      <c r="Z54" s="3" t="inlineStr">
        <is>
          <t>DECLARED IN THE CODE (rule 11) — printed from the door, not typed. RULED 2026-09-28</t>
        </is>
      </c>
      <c r="AA54" s="3" t="inlineStr"/>
      <c r="AB54" s="3" t="inlineStr"/>
      <c r="AC54" s="3" t="inlineStr"/>
      <c r="AD54" s="3" t="inlineStr"/>
      <c r="AE54" s="3" t="inlineStr"/>
      <c r="AF54" s="3" t="inlineStr">
        <is>
          <t>ACTIVE</t>
        </is>
      </c>
      <c r="AG54" s="3" t="inlineStr">
        <is>
          <t>2026-10-09</t>
        </is>
      </c>
      <c r="AH54" s="3" t="inlineStr"/>
      <c r="AI54" s="3" t="inlineStr"/>
      <c r="AJ54" s="3" t="inlineStr">
        <is>
          <t>1. MK-XS-I-001 account balance — read by MK-NW-F-016, MK-NW-F-027, MK-NW-F-029, MK-NW-F-056, MK-NW-F-078, MK-NW-O-001, MK
2. MK-XS-I-002 account type (taxable, pre-tax, Roth) — read by MK-NW-F-011, MK-NW-F-027, MK-NW-O-001, MK-NW-O-004
3. MK-XS-I-003 institution name — read by MK-NW-F-056,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MK-NW-F-109
8. MK-XS-I-011 bond face value — read by MK-NW-F-056, MK-NW-F-057, MK-NW-F-060, MK-NW-F-061, MK-NW-F-064, MK-NW-F-069, MK
9. MK-XS-I-012 bond coupon rate — read by MK-NW-F-056, MK-NW-F-057, MK-NW-F-060, MK-NW-F-064, MK-NW-F-070, MK-NW-F-072,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MK-NW-F-109, MK
39. MK-XS-I-056 how a holding was classified, and by whom — read by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2026-09-28; the figure, its formula, inputs and refusal live in MK-NW-O-004 theEmergencyFund</t>
        </is>
      </c>
      <c r="AN5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$3,870/month
(the test re-runs this through MK-NW-O-004 theEmergencyFund on every build)</t>
        </is>
      </c>
      <c r="AO54" s="3" t="inlineStr">
        <is>
          <t>NOTHING OPEN</t>
        </is>
      </c>
    </row>
    <row r="55" ht="60" customHeight="1">
      <c r="A55" s="3" t="inlineStr">
        <is>
          <t>MK-NW-M-049</t>
        </is>
      </c>
      <c r="B55" s="3" t="inlineStr">
        <is>
          <t>Networth</t>
        </is>
      </c>
      <c r="C55" s="3" t="inlineStr">
        <is>
          <t>/other-investments</t>
        </is>
      </c>
      <c r="D55" s="3" t="inlineStr">
        <is>
          <t>Total value</t>
        </is>
      </c>
      <c r="E55" s="3" t="inlineStr">
        <is>
          <t>total_value</t>
        </is>
      </c>
      <c r="F55" s="3" t="inlineStr">
        <is>
          <t>theNetWorth</t>
        </is>
      </c>
      <c r="G55" s="3" t="inlineStr">
        <is>
          <t>MK-NW-O-003</t>
        </is>
      </c>
      <c r="H55" s="3" t="inlineStr">
        <is>
          <t>the sum of every account whose class is alternatives</t>
        </is>
      </c>
      <c r="I55" s="3" t="inlineStr">
        <is>
          <t>the sum of every account whose class is alternatives</t>
        </is>
      </c>
      <c r="J55" s="3" t="inlineStr">
        <is>
          <t>MK-NW-I-001 your accounts</t>
        </is>
      </c>
      <c r="K55" s="3" t="inlineStr">
        <is>
          <t>dollars, whole</t>
        </is>
      </c>
      <c r="L55" s="3" t="inlineStr">
        <is>
          <t>None entered yet.</t>
        </is>
      </c>
      <c r="M55" s="3" t="inlineStr">
        <is>
          <t>one figure per household</t>
        </is>
      </c>
      <c r="N55" s="3" t="inlineStr">
        <is>
          <t>as of today</t>
        </is>
      </c>
      <c r="O5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55" s="3" t="inlineStr">
        <is>
          <t>Declared by MK-NW-O-003 theNetWorth</t>
        </is>
      </c>
      <c r="Q55" s="3" t="inlineStr">
        <is>
          <t>It is the Alternatives SLICE of net worth and must equal what the Net worth tab shows for that class — which is why it sits behind this door (founder, 2026-09-27: "ok").</t>
        </is>
      </c>
      <c r="R55" s="3" t="inlineStr">
        <is>
          <t>It is the Alternatives SLICE of net worth and must equal what the Net worth tab shows for that class — which is why it sits behind this door (founder, 2026-09-27: "ok").</t>
        </is>
      </c>
      <c r="S55" s="3" t="inlineStr"/>
      <c r="T55" s="3" t="inlineStr">
        <is>
          <t>It is the Alternatives SLICE of net worth and must equal what the Net worth tab shows for that class — which is why it sits behind this door (founder, 2026-09-27: "ok").</t>
        </is>
      </c>
      <c r="U55" s="3" t="inlineStr"/>
      <c r="V55" s="3" t="inlineStr"/>
      <c r="W55" s="3" t="inlineStr"/>
      <c r="X55" s="3" t="inlineStr"/>
      <c r="Y55" s="3" t="inlineStr"/>
      <c r="Z55" s="3" t="inlineStr">
        <is>
          <t>DECLARED IN THE CODE (rule 11) — printed from the door, not typed. RULED 2026-09-27</t>
        </is>
      </c>
      <c r="AA55" s="3" t="inlineStr"/>
      <c r="AB55" s="3" t="inlineStr"/>
      <c r="AC55" s="3" t="inlineStr"/>
      <c r="AD55" s="3" t="inlineStr"/>
      <c r="AE55" s="3" t="inlineStr"/>
      <c r="AF55" s="3" t="inlineStr">
        <is>
          <t>ACTIVE</t>
        </is>
      </c>
      <c r="AG55" s="3" t="inlineStr">
        <is>
          <t>2026-10-09</t>
        </is>
      </c>
      <c r="AH55" s="3" t="inlineStr"/>
      <c r="AI55" s="3" t="inlineStr"/>
      <c r="AJ55"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2026-09-27; the figure, its formula, inputs and refusal live in MK-NW-O-003 theNetWorth</t>
        </is>
      </c>
      <c r="AN5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$9,000
(the test re-runs this through MK-NW-O-003 theNetWorth on every build)</t>
        </is>
      </c>
      <c r="AO55" s="3" t="inlineStr">
        <is>
          <t>NOTHING OPEN</t>
        </is>
      </c>
    </row>
    <row r="56" ht="60" customHeight="1">
      <c r="A56" s="3" t="inlineStr">
        <is>
          <t>MK-NW-M-050</t>
        </is>
      </c>
      <c r="B56" s="3" t="inlineStr">
        <is>
          <t>Networth</t>
        </is>
      </c>
      <c r="C56" s="3" t="inlineStr">
        <is>
          <t>/other-investments</t>
        </is>
      </c>
      <c r="D56" s="3" t="inlineStr">
        <is>
          <t>EST. GROWTH /year</t>
        </is>
      </c>
      <c r="E56" s="3" t="inlineStr">
        <is>
          <t>est_growth_year</t>
        </is>
      </c>
      <c r="F56" s="3" t="inlineStr">
        <is>
          <t>theAlternativesOutlook</t>
        </is>
      </c>
      <c r="G56" s="3" t="inlineStr">
        <is>
          <t>MK-NW-O-005</t>
        </is>
      </c>
      <c r="H56" s="3" t="inlineStr">
        <is>
          <t>each holding’s value × the historical benchmark for its kind, added up</t>
        </is>
      </c>
      <c r="I56" s="3" t="inlineStr">
        <is>
          <t>each holding’s value × the historical benchmark for its kind, added up</t>
        </is>
      </c>
      <c r="J56" s="3" t="inlineStr">
        <is>
          <t>MK-NW-I-001 your accounts</t>
        </is>
      </c>
      <c r="K56" s="3" t="inlineStr">
        <is>
          <t>dollars, whole a year</t>
        </is>
      </c>
      <c r="L56" s="3" t="inlineStr">
        <is>
          <t>Nothing held — no figure at all, because a $0 forecast reads as a forecast.</t>
        </is>
      </c>
      <c r="M56" s="3" t="inlineStr">
        <is>
          <t>one figure per household</t>
        </is>
      </c>
      <c r="N56" s="3" t="inlineStr">
        <is>
          <t>a year</t>
        </is>
      </c>
      <c r="O56" s="3" t="inlineStr">
        <is>
          <t>1. MK-NW-F-113 (altPartsOf) → NOT DECLARED — the code does not say what it gives back
2. MK-NW-F-002 (alternativesSummary) → AltSummary
3. MK-NW-F-034 (benchmarkReturn) → number
4. MK-NW-F-037 (blendedReturn) → number | null
5. MK-NW-F-028 (classPortionLabel) → string
6. MK-NW-F-001 (isAlternative) → boolean
7. MK-CF-F-132 (map) → NOT DECLARED — the code does not say what it gives back</t>
        </is>
      </c>
      <c r="P56" s="3" t="inlineStr">
        <is>
          <t>Declared by MK-NW-O-005 theAlternativesOutlook</t>
        </is>
      </c>
      <c r="Q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56" s="3" t="inlineStr"/>
      <c r="T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56" s="3" t="inlineStr"/>
      <c r="V56" s="3" t="inlineStr"/>
      <c r="W56" s="3" t="inlineStr"/>
      <c r="X56" s="3" t="inlineStr"/>
      <c r="Y56" s="3" t="inlineStr"/>
      <c r="Z56" s="3" t="inlineStr">
        <is>
          <t>DECLARED IN THE CODE (rule 11) — printed from the door, not typed. RULED 2026-09-27</t>
        </is>
      </c>
      <c r="AA56" s="3" t="inlineStr"/>
      <c r="AB56" s="3" t="inlineStr"/>
      <c r="AC56" s="3" t="inlineStr"/>
      <c r="AD56" s="3" t="inlineStr"/>
      <c r="AE56" s="3" t="inlineStr"/>
      <c r="AF56" s="3" t="inlineStr">
        <is>
          <t>ACTIVE</t>
        </is>
      </c>
      <c r="AG56" s="3" t="inlineStr">
        <is>
          <t>2026-10-09</t>
        </is>
      </c>
      <c r="AH56" s="3" t="inlineStr"/>
      <c r="AI56" s="3" t="inlineStr"/>
      <c r="AJ56" s="3" t="inlineStr">
        <is>
          <t>1. MK-XS-I-001 account balance — read by MK-CF-F-031, MK-CF-F-200, MK-CF-O-006, MK-NW-F-027, MK-NW-F-031, MK-NW-F-032, MK
2. MK-XS-I-002 account type (taxable, pre-tax, Roth) — read by MK-NW-F-011, MK-NW-F-027, MK-NW-O-001, MK-NW-O-005
3. MK-XS-I-003 institution name — read by MK-NW-F-056, MK-NW-F-072,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MK-NW-F-109
8. MK-XS-I-011 bond face value — read by MK-NW-F-056, MK-NW-F-057, MK-NW-F-060, MK-NW-F-061, MK-NW-F-064, MK-NW-F-069, MK
9. MK-XS-I-012 bond coupon rate — read by MK-NW-F-056, MK-NW-F-057, MK-NW-F-060, MK-NW-F-064, MK-NW-F-070, MK-NW-F-072, MK
10. MK-XS-I-013 bond maturity date — read by MK-NW-F-011, MK-NW-F-056, MK-NW-F-058, MK-NW-F-060, MK-NW-F-061, MK-NW-F-069,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MK-NW-O-005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MK-NW-F-109, MK-NW-O-005,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MK-NW-F-002, MK-NW-F-011, MK-NW-F-030, MK
39. MK-XS-I-056 how a holding was classified, and by whom — read by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2026-09-27; the figure, its formula, inputs and refusal live in MK-NW-O-005 theAlternativesOutlook</t>
        </is>
      </c>
      <c r="AN56" s="3" t="inlineStr">
        <is>
          <t>$9,000 of gold and $6,000 of bitcoin — $15,000 of other investments, at their kinds' own benchmark rates.
GIVES: $1,218/year
(the test re-runs this through MK-NW-O-005 theAlternativesOutlook on every build)</t>
        </is>
      </c>
      <c r="AO56" s="3" t="inlineStr">
        <is>
          <t>NOTHING OPEN</t>
        </is>
      </c>
    </row>
    <row r="57" ht="60" customHeight="1">
      <c r="A57" s="3" t="inlineStr">
        <is>
          <t>MK-NW-M-051</t>
        </is>
      </c>
      <c r="B57" s="3" t="inlineStr">
        <is>
          <t>Networth</t>
        </is>
      </c>
      <c r="C57" s="3" t="inlineStr">
        <is>
          <t>/other-investments</t>
        </is>
      </c>
      <c r="D57" s="3" t="inlineStr">
        <is>
          <t>EXP. RETURN</t>
        </is>
      </c>
      <c r="E57" s="3" t="inlineStr">
        <is>
          <t>exp_return</t>
        </is>
      </c>
      <c r="F57" s="3" t="inlineStr">
        <is>
          <t>theAlternativesOutlook</t>
        </is>
      </c>
      <c r="G57" s="3" t="inlineStr">
        <is>
          <t>MK-NW-O-005</t>
        </is>
      </c>
      <c r="H57" s="3" t="inlineStr">
        <is>
          <t>each holding's value × the benchmark for its kind, added up, ÷ the total value</t>
        </is>
      </c>
      <c r="I57" s="3" t="inlineStr">
        <is>
          <t>each holding's value × the benchmark for its kind, added up, ÷ the total value</t>
        </is>
      </c>
      <c r="J57" s="3" t="inlineStr">
        <is>
          <t>MK-XS-I-001 account balance</t>
        </is>
      </c>
      <c r="K57" s="3" t="inlineStr">
        <is>
          <t>a percentage, two decimals</t>
        </is>
      </c>
      <c r="L57" s="3" t="inlineStr">
        <is>
          <t>Nothing held — no figure at all, because a 0.00% expected return reads as a forecast of nothing rather than an absence of holdings.</t>
        </is>
      </c>
      <c r="M57" s="3" t="inlineStr">
        <is>
          <t>the household</t>
        </is>
      </c>
      <c r="N57" s="3" t="inlineStr">
        <is>
          <t>as of today</t>
        </is>
      </c>
      <c r="O57" s="3" t="inlineStr">
        <is>
          <t>1. MK-NW-F-113 (altPartsOf) → NOT DECLARED — the code does not say what it gives back
2. MK-NW-F-002 (alternativesSummary) → AltSummary
3. MK-NW-F-034 (benchmarkReturn) → number
4. MK-NW-F-037 (blendedReturn) → number | null
5. MK-NW-F-028 (classPortionLabel) → string
6. MK-NW-F-001 (isAlternative) → boolean
7. MK-CF-F-132 (map) → NOT DECLARED — the code does not say what it gives back</t>
        </is>
      </c>
      <c r="P57" s="3" t="inlineStr">
        <is>
          <t>Declared by MK-NW-O-005 theAlternativesOutlook</t>
        </is>
      </c>
      <c r="Q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R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S57" s="3" t="inlineStr"/>
      <c r="T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U57" s="3" t="inlineStr"/>
      <c r="V57" s="3" t="inlineStr"/>
      <c r="W57" s="3" t="inlineStr"/>
      <c r="X57" s="3" t="inlineStr"/>
      <c r="Y57" s="3" t="inlineStr"/>
      <c r="Z57" s="3" t="inlineStr">
        <is>
          <t>DECLARED IN THE CODE (rule 11) — printed from the door, not typed. RULED 2026-10-01</t>
        </is>
      </c>
      <c r="AA57" s="3" t="inlineStr"/>
      <c r="AB57" s="3" t="inlineStr"/>
      <c r="AC57" s="3" t="inlineStr"/>
      <c r="AD57" s="3" t="inlineStr"/>
      <c r="AE57" s="3" t="inlineStr"/>
      <c r="AF57" s="3" t="inlineStr">
        <is>
          <t>ACTIVE</t>
        </is>
      </c>
      <c r="AG57" s="3" t="inlineStr">
        <is>
          <t>2026-10-09</t>
        </is>
      </c>
      <c r="AH57" s="3" t="inlineStr"/>
      <c r="AI57" s="3" t="inlineStr"/>
      <c r="AJ57" s="3" t="inlineStr">
        <is>
          <t>1. MK-XS-I-001 account balance — read by MK-CF-F-031, MK-CF-F-200, MK-CF-O-006, MK-NW-F-027, MK-NW-F-031, MK-NW-F-032, MK
2. MK-XS-I-002 account type (taxable, pre-tax, Roth) — read by MK-NW-F-011, MK-NW-F-027, MK-NW-O-001, MK-NW-O-005
3. MK-XS-I-003 institution name — read by MK-NW-F-056, MK-NW-F-072,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MK-NW-F-109
8. MK-XS-I-011 bond face value — read by MK-NW-F-056, MK-NW-F-057, MK-NW-F-060, MK-NW-F-061, MK-NW-F-064, MK-NW-F-069, MK
9. MK-XS-I-012 bond coupon rate — read by MK-NW-F-056, MK-NW-F-057, MK-NW-F-060, MK-NW-F-064, MK-NW-F-070, MK-NW-F-072, MK
10. MK-XS-I-013 bond maturity date — read by MK-NW-F-011, MK-NW-F-056, MK-NW-F-058, MK-NW-F-060, MK-NW-F-061, MK-NW-F-069,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MK-NW-O-005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MK-NW-F-109, MK-NW-O-005,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MK-NW-F-002, MK-NW-F-011, MK-NW-F-030, MK
39. MK-XS-I-056 how a holding was classified, and by whom — read by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TESTED, NOT VERIFIED — you ruled on this row 2026-10-01; the figure, its formula, inputs and refusal live in MK-NW-O-005 theAlternativesOutlook</t>
        </is>
      </c>
      <c r="AN57" s="3" t="inlineStr">
        <is>
          <t>$9,000 of gold and $6,000 of bitcoin — $15,000 of other investments, at their kinds' own benchmark rates.
GIVES: 8.12%
(the test re-runs this through MK-NW-O-005 theAlternativesOutlook on every build)</t>
        </is>
      </c>
      <c r="AO57" s="3" t="inlineStr">
        <is>
          <t>NOTHING OPEN</t>
        </is>
      </c>
    </row>
    <row r="58" ht="60" customHeight="1">
      <c r="A58" s="3" t="inlineStr">
        <is>
          <t>MK-NW-M-052</t>
        </is>
      </c>
      <c r="B58" s="3" t="inlineStr">
        <is>
          <t>Networth</t>
        </is>
      </c>
      <c r="C58" s="3" t="inlineStr">
        <is>
          <t>/other-investments</t>
        </is>
      </c>
      <c r="D58" s="3" t="inlineStr">
        <is>
          <t>each alternative and what it is worth</t>
        </is>
      </c>
      <c r="E58" s="3" t="inlineStr">
        <is>
          <t>each_alternative_and_what_it_is_worth</t>
        </is>
      </c>
      <c r="F58" s="3" t="inlineStr">
        <is>
          <t>theAlternativesOutlook</t>
        </is>
      </c>
      <c r="G58" s="3" t="inlineStr">
        <is>
          <t>MK-NW-O-005</t>
        </is>
      </c>
      <c r="H58" s="3" t="inlineStr">
        <is>
          <t>one row per account whose class is alternatives, its own balance beside it</t>
        </is>
      </c>
      <c r="I58" s="3" t="inlineStr">
        <is>
          <t>one row per account whose class is alternatives, its own balance beside it</t>
        </is>
      </c>
      <c r="J58" s="3" t="inlineStr">
        <is>
          <t>MK-XS-I-001 account balance</t>
        </is>
      </c>
      <c r="K58" s="3" t="inlineStr">
        <is>
          <t>dollars, whole</t>
        </is>
      </c>
      <c r="L58" s="3" t="inlineStr">
        <is>
          <t>No rows, and the screen shows the sentence that says what belongs here instead.</t>
        </is>
      </c>
      <c r="M58" s="3" t="inlineStr">
        <is>
          <t>one alternative holding</t>
        </is>
      </c>
      <c r="N58" s="3" t="inlineStr">
        <is>
          <t>as of today</t>
        </is>
      </c>
      <c r="O58" s="3" t="inlineStr">
        <is>
          <t>1. MK-NW-F-113 (altPartsOf) → NOT DECLARED — the code does not say what it gives back
2. MK-NW-F-002 (alternativesSummary) → AltSummary
3. MK-NW-F-034 (benchmarkReturn) → number
4. MK-NW-F-037 (blendedReturn) → number | null
5. MK-NW-F-028 (classPortionLabel) → string
6. MK-NW-F-001 (isAlternative) → boolean
7. MK-CF-F-132 (map) → NOT DECLARED — the code does not say what it gives back</t>
        </is>
      </c>
      <c r="P58" s="3" t="inlineStr">
        <is>
          <t>Declared by MK-NW-O-005 theAlternativesOutlook</t>
        </is>
      </c>
      <c r="Q58" s="3" t="inlineStr">
        <is>
          <t>THE ROWS MUST ADD TO THE TOTAL ABOVE THEM. That is the whole reason the rows exist: a total nobody can take apart is a number you have to trust rather than check.</t>
        </is>
      </c>
      <c r="R58" s="3" t="inlineStr">
        <is>
          <t>THE ROWS MUST ADD TO THE TOTAL ABOVE THEM. That is the whole reason the rows exist: a total nobody can take apart is a number you have to trust rather than check.</t>
        </is>
      </c>
      <c r="S58" s="3" t="inlineStr"/>
      <c r="T58" s="3" t="inlineStr">
        <is>
          <t>THE ROWS MUST ADD TO THE TOTAL ABOVE THEM. That is the whole reason the rows exist: a total nobody can take apart is a number you have to trust rather than check.</t>
        </is>
      </c>
      <c r="U58" s="3" t="inlineStr"/>
      <c r="V58" s="3" t="inlineStr"/>
      <c r="W58" s="3" t="inlineStr"/>
      <c r="X58" s="3" t="inlineStr"/>
      <c r="Y58" s="3" t="inlineStr"/>
      <c r="Z58" s="3" t="inlineStr">
        <is>
          <t>DECLARED IN THE CODE (rule 11) — printed from the door, not typed. RULED 2026-10-01</t>
        </is>
      </c>
      <c r="AA58" s="3" t="inlineStr"/>
      <c r="AB58" s="3" t="inlineStr"/>
      <c r="AC58" s="3" t="inlineStr"/>
      <c r="AD58" s="3" t="inlineStr"/>
      <c r="AE58" s="3" t="inlineStr"/>
      <c r="AF58" s="3" t="inlineStr">
        <is>
          <t>ACTIVE</t>
        </is>
      </c>
      <c r="AG58" s="3" t="inlineStr">
        <is>
          <t>2026-10-09</t>
        </is>
      </c>
      <c r="AH58" s="3" t="inlineStr"/>
      <c r="AI58" s="3" t="inlineStr"/>
      <c r="AJ58" s="3" t="inlineStr">
        <is>
          <t>1. MK-XS-I-001 account balance — read by MK-CF-F-031, MK-CF-F-200, MK-CF-O-006, MK-NW-F-027, MK-NW-F-031, MK-NW-F-032, MK
2. MK-XS-I-002 account type (taxable, pre-tax, Roth) — read by MK-NW-F-011, MK-NW-F-027, MK-NW-O-001, MK-NW-O-005
3. MK-XS-I-003 institution name — read by MK-NW-F-056, MK-NW-F-072,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MK-NW-F-109
8. MK-XS-I-011 bond face value — read by MK-NW-F-056, MK-NW-F-057, MK-NW-F-060, MK-NW-F-061, MK-NW-F-064, MK-NW-F-069, MK
9. MK-XS-I-012 bond coupon rate — read by MK-NW-F-056, MK-NW-F-057, MK-NW-F-060, MK-NW-F-064, MK-NW-F-070, MK-NW-F-072, MK
10. MK-XS-I-013 bond maturity date — read by MK-NW-F-011, MK-NW-F-056, MK-NW-F-058, MK-NW-F-060, MK-NW-F-061, MK-NW-F-069,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MK-NW-O-005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MK-NW-F-109, MK-NW-O-005,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MK-NW-F-002, MK-NW-F-011, MK-NW-F-030, MK
39. MK-XS-I-056 how a holding was classified, and by whom — read by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TESTED, NOT VERIFIED — you ruled on this row 2026-10-01; the figure, its formula, inputs and refusal live in MK-NW-O-005 theAlternativesOutlook</t>
        </is>
      </c>
      <c r="AN58" s="3" t="inlineStr">
        <is>
          <t>$9,000 of gold and $6,000 of bitcoin — $15,000 of other investments, at their kinds' own benchmark rates.
GIVES: $9,000
(the test re-runs this through MK-NW-O-005 theAlternativesOutlook on every build)</t>
        </is>
      </c>
      <c r="AO58" s="3" t="inlineStr">
        <is>
          <t>NOTHING OPEN</t>
        </is>
      </c>
    </row>
    <row r="59" ht="60" customHeight="1">
      <c r="A59" s="3" t="inlineStr">
        <is>
          <t>MK-NW-M-053</t>
        </is>
      </c>
      <c r="B59" s="3" t="inlineStr">
        <is>
          <t>Networth</t>
        </is>
      </c>
      <c r="C59" s="3" t="inlineStr">
        <is>
          <t>/bonds</t>
        </is>
      </c>
      <c r="D59" s="3" t="inlineStr">
        <is>
          <t>face</t>
        </is>
      </c>
      <c r="E59" s="3" t="inlineStr">
        <is>
          <t>face</t>
        </is>
      </c>
      <c r="F59" s="3" t="inlineStr">
        <is>
          <t>theBonds</t>
        </is>
      </c>
      <c r="G59" s="3" t="inlineStr">
        <is>
          <t>MK-NW-O-001</t>
        </is>
      </c>
      <c r="H59" s="3" t="inlineStr">
        <is>
          <t>the sum of each bond’s face value</t>
        </is>
      </c>
      <c r="I59" s="3" t="inlineStr">
        <is>
          <t>the sum of each bond’s face value</t>
        </is>
      </c>
      <c r="J59" s="3" t="inlineStr">
        <is>
          <t>MK-XS-I-001 account balance</t>
        </is>
      </c>
      <c r="K59" s="3" t="inlineStr">
        <is>
          <t>dollars, whole</t>
        </is>
      </c>
      <c r="L59" s="3" t="inlineStr">
        <is>
          <t>No bonds entered yet, so no face total either.</t>
        </is>
      </c>
      <c r="M59" s="3" t="inlineStr">
        <is>
          <t>the household</t>
        </is>
      </c>
      <c r="N59" s="3" t="inlineStr">
        <is>
          <t>as of today</t>
        </is>
      </c>
      <c r="O59"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59" s="3" t="inlineStr">
        <is>
          <t>Declared by MK-NW-O-001 theBonds</t>
        </is>
      </c>
      <c r="Q59" s="3" t="inlineStr">
        <is>
          <t>FACE AND VALUE ARE SHOWN SIDE BY SIDE because they differ, and the difference is the whole point: a bond bought below face pays back more than it is worth today.</t>
        </is>
      </c>
      <c r="R59" s="3" t="inlineStr">
        <is>
          <t>FACE AND VALUE ARE SHOWN SIDE BY SIDE because they differ, and the difference is the whole point: a bond bought below face pays back more than it is worth today.</t>
        </is>
      </c>
      <c r="S59" s="3" t="inlineStr"/>
      <c r="T59" s="3" t="inlineStr">
        <is>
          <t>FACE AND VALUE ARE SHOWN SIDE BY SIDE because they differ, and the difference is the whole point: a bond bought below face pays back more than it is worth today.</t>
        </is>
      </c>
      <c r="U59" s="3" t="inlineStr"/>
      <c r="V59" s="3" t="inlineStr"/>
      <c r="W59" s="3" t="inlineStr"/>
      <c r="X59" s="3" t="inlineStr"/>
      <c r="Y59" s="3" t="inlineStr"/>
      <c r="Z59" s="3" t="inlineStr">
        <is>
          <t>DECLARED IN THE CODE (rule 11) — printed from the door, not typed. RULED 2026-10-01</t>
        </is>
      </c>
      <c r="AA59" s="3" t="inlineStr"/>
      <c r="AB59" s="3" t="inlineStr"/>
      <c r="AC59" s="3" t="inlineStr"/>
      <c r="AD59" s="3" t="inlineStr"/>
      <c r="AE59" s="3" t="inlineStr"/>
      <c r="AF59" s="3" t="inlineStr">
        <is>
          <t>ACTIVE</t>
        </is>
      </c>
      <c r="AG59" s="3" t="inlineStr">
        <is>
          <t>2026-10-09</t>
        </is>
      </c>
      <c r="AH59" s="3" t="inlineStr"/>
      <c r="AI59" s="3" t="inlineStr"/>
      <c r="AJ59"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TESTED, NOT VERIFIED — you ruled on this row 2026-10-01; the figure, its formula, inputs and refusal live in MK-NW-O-001 theBonds</t>
        </is>
      </c>
      <c r="AN59" s="3" t="inlineStr">
        <is>
          <t>Two bonds on 28 Sep 2026: a $25,000-face Treasury paying 4.5%, maturing 30 Sep 2029, worth $24,200 today; and a $10,000 Ally CD paying 5.05%, maturing 15 Mar 2027, worth its $10,000.
GIVES: $35,000
(the test re-runs this through MK-NW-O-001 theBonds on every build)</t>
        </is>
      </c>
      <c r="AO59" s="3" t="inlineStr">
        <is>
          <t>NOTHING OPEN</t>
        </is>
      </c>
    </row>
    <row r="60" ht="60" customHeight="1">
      <c r="A60" s="3" t="inlineStr">
        <is>
          <t>MK-NW-M-054</t>
        </is>
      </c>
      <c r="B60" s="3" t="inlineStr">
        <is>
          <t>Networth</t>
        </is>
      </c>
      <c r="C60" s="3" t="inlineStr">
        <is>
          <t>/bonds</t>
        </is>
      </c>
      <c r="D60" s="3" t="inlineStr">
        <is>
          <t>one bond’s value</t>
        </is>
      </c>
      <c r="E60" s="3" t="inlineStr">
        <is>
          <t>one_bonds_value</t>
        </is>
      </c>
      <c r="F60" s="3" t="inlineStr">
        <is>
          <t>theBonds</t>
        </is>
      </c>
      <c r="G60" s="3" t="inlineStr">
        <is>
          <t>MK-NW-O-001</t>
        </is>
      </c>
      <c r="H60" s="3" t="inlineStr">
        <is>
          <t>the bond account’s own balance</t>
        </is>
      </c>
      <c r="I60" s="3" t="inlineStr">
        <is>
          <t>the bond account’s own balance</t>
        </is>
      </c>
      <c r="J60" s="3" t="inlineStr">
        <is>
          <t>MK-XS-I-001 account balance</t>
        </is>
      </c>
      <c r="K60" s="3" t="inlineStr">
        <is>
          <t>dollars, whole</t>
        </is>
      </c>
      <c r="L60" s="3" t="inlineStr">
        <is>
          <t>— the row is not drawn at all when there is no bond.</t>
        </is>
      </c>
      <c r="M60" s="3" t="inlineStr">
        <is>
          <t>one bond</t>
        </is>
      </c>
      <c r="N60" s="3" t="inlineStr">
        <is>
          <t>as of today</t>
        </is>
      </c>
      <c r="O60"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60" s="3" t="inlineStr">
        <is>
          <t>Declared by MK-NW-O-001 theBonds</t>
        </is>
      </c>
      <c r="Q60" s="3" t="inlineStr">
        <is>
          <t>NONE RECORDED — the declaration names none.</t>
        </is>
      </c>
      <c r="R60" s="3" t="inlineStr">
        <is>
          <t>NONE RECORDED — the declaration names none.</t>
        </is>
      </c>
      <c r="S60" s="3" t="inlineStr"/>
      <c r="T60" s="3" t="inlineStr">
        <is>
          <t>NONE RECORDED — the declaration names none.</t>
        </is>
      </c>
      <c r="U60" s="3" t="inlineStr"/>
      <c r="V60" s="3" t="inlineStr"/>
      <c r="W60" s="3" t="inlineStr"/>
      <c r="X60" s="3" t="inlineStr"/>
      <c r="Y60" s="3" t="inlineStr"/>
      <c r="Z60" s="3" t="inlineStr">
        <is>
          <t>DECLARED IN THE CODE (rule 11) — printed from the door, not typed. RULED 2026-10-01</t>
        </is>
      </c>
      <c r="AA60" s="3" t="inlineStr"/>
      <c r="AB60" s="3" t="inlineStr"/>
      <c r="AC60" s="3" t="inlineStr"/>
      <c r="AD60" s="3" t="inlineStr"/>
      <c r="AE60" s="3" t="inlineStr"/>
      <c r="AF60" s="3" t="inlineStr">
        <is>
          <t>ACTIVE</t>
        </is>
      </c>
      <c r="AG60" s="3" t="inlineStr">
        <is>
          <t>2026-10-09</t>
        </is>
      </c>
      <c r="AH60" s="3" t="inlineStr"/>
      <c r="AI60" s="3" t="inlineStr"/>
      <c r="AJ60"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2026-10-01; the figure, its formula, inputs and refusal live in MK-NW-O-001 theBonds</t>
        </is>
      </c>
      <c r="AN60" s="3" t="inlineStr">
        <is>
          <t>Two bonds on 28 Sep 2026: a $25,000-face Treasury paying 4.5%, maturing 30 Sep 2029, worth $24,200 today; and a $10,000 Ally CD paying 5.05%, maturing 15 Mar 2027, worth its $10,000.
GIVES: $10,000
(the test re-runs this through MK-NW-O-001 theBonds on every build)</t>
        </is>
      </c>
      <c r="AO60" s="3" t="inlineStr">
        <is>
          <t>NOTHING OPEN</t>
        </is>
      </c>
    </row>
    <row r="61" ht="60" customHeight="1">
      <c r="A61" s="3" t="inlineStr">
        <is>
          <t>MK-NW-M-055</t>
        </is>
      </c>
      <c r="B61" s="3" t="inlineStr">
        <is>
          <t>Networth</t>
        </is>
      </c>
      <c r="C61" s="3" t="inlineStr">
        <is>
          <t>/bonds</t>
        </is>
      </c>
      <c r="D61" s="3" t="inlineStr">
        <is>
          <t>one bond’s face</t>
        </is>
      </c>
      <c r="E61" s="3" t="inlineStr">
        <is>
          <t>one_bonds_face</t>
        </is>
      </c>
      <c r="F61" s="3" t="inlineStr">
        <is>
          <t>theBonds</t>
        </is>
      </c>
      <c r="G61" s="3" t="inlineStr">
        <is>
          <t>MK-NW-O-001</t>
        </is>
      </c>
      <c r="H61" s="3" t="inlineStr">
        <is>
          <t>the face value as entered, or the balance when no face was given</t>
        </is>
      </c>
      <c r="I61" s="3" t="inlineStr">
        <is>
          <t>the face value as entered, or the balance when no face was given</t>
        </is>
      </c>
      <c r="J61" s="3" t="inlineStr">
        <is>
          <t>MK-XS-I-001 account balance</t>
        </is>
      </c>
      <c r="K61" s="3" t="inlineStr">
        <is>
          <t>dollars, whole</t>
        </is>
      </c>
      <c r="L61" s="3" t="inlineStr">
        <is>
          <t>Falls back to the value entered, and the row says face with that figure.</t>
        </is>
      </c>
      <c r="M61" s="3" t="inlineStr">
        <is>
          <t>one bond</t>
        </is>
      </c>
      <c r="N61" s="3" t="inlineStr">
        <is>
          <t>as of today</t>
        </is>
      </c>
      <c r="O61"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61" s="3" t="inlineStr">
        <is>
          <t>Declared by MK-NW-O-001 theBonds</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2026-10-01</t>
        </is>
      </c>
      <c r="AA61" s="3" t="inlineStr"/>
      <c r="AB61" s="3" t="inlineStr"/>
      <c r="AC61" s="3" t="inlineStr"/>
      <c r="AD61" s="3" t="inlineStr"/>
      <c r="AE61" s="3" t="inlineStr"/>
      <c r="AF61" s="3" t="inlineStr">
        <is>
          <t>ACTIVE</t>
        </is>
      </c>
      <c r="AG61" s="3" t="inlineStr">
        <is>
          <t>2026-10-09</t>
        </is>
      </c>
      <c r="AH61" s="3" t="inlineStr"/>
      <c r="AI61" s="3" t="inlineStr"/>
      <c r="AJ61"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2026-10-01; the figure, its formula, inputs and refusal live in MK-NW-O-001 theBonds</t>
        </is>
      </c>
      <c r="AN61" s="3" t="inlineStr">
        <is>
          <t>Two bonds on 28 Sep 2026: a $25,000-face Treasury paying 4.5%, maturing 30 Sep 2029, worth $24,200 today; and a $10,000 Ally CD paying 5.05%, maturing 15 Mar 2027, worth its $10,000.
GIVES: $10,000
(the test re-runs this through MK-NW-O-001 theBonds on every build)</t>
        </is>
      </c>
      <c r="AO61" s="3" t="inlineStr">
        <is>
          <t>NOTHING OPEN</t>
        </is>
      </c>
    </row>
    <row r="62" ht="60" customHeight="1">
      <c r="A62" s="3" t="inlineStr">
        <is>
          <t>MK-NW-M-056</t>
        </is>
      </c>
      <c r="B62" s="3" t="inlineStr">
        <is>
          <t>Networth</t>
        </is>
      </c>
      <c r="C62" s="3" t="inlineStr">
        <is>
          <t>/bonds</t>
        </is>
      </c>
      <c r="D62" s="3" t="inlineStr">
        <is>
          <t>coupon</t>
        </is>
      </c>
      <c r="E62" s="3" t="inlineStr">
        <is>
          <t>coupon</t>
        </is>
      </c>
      <c r="F62" s="3" t="inlineStr">
        <is>
          <t>theBonds</t>
        </is>
      </c>
      <c r="G62" s="3" t="inlineStr">
        <is>
          <t>MK-NW-O-001</t>
        </is>
      </c>
      <c r="H62" s="3" t="inlineStr">
        <is>
          <t>its face value × its coupon rate</t>
        </is>
      </c>
      <c r="I62" s="3" t="inlineStr">
        <is>
          <t>its face value × its coupon rate</t>
        </is>
      </c>
      <c r="J62" s="3" t="inlineStr">
        <is>
          <t>MK-XS-I-001 account balance</t>
        </is>
      </c>
      <c r="K62" s="3" t="inlineStr">
        <is>
          <t>dollars, whole a year</t>
        </is>
      </c>
      <c r="L62" s="3" t="inlineStr">
        <is>
          <t>No coupon rate entered — the figure is left out rather than shown as $0.</t>
        </is>
      </c>
      <c r="M62" s="3" t="inlineStr">
        <is>
          <t>one bond</t>
        </is>
      </c>
      <c r="N62" s="3" t="inlineStr">
        <is>
          <t>a year</t>
        </is>
      </c>
      <c r="O62"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62" s="3" t="inlineStr">
        <is>
          <t>Declared by MK-NW-O-001 theBonds</t>
        </is>
      </c>
      <c r="Q62" s="3" t="inlineStr">
        <is>
          <t>IT IS PAID ON FACE, NOT ON VALUE. A $25,000 bond worth $24,200 still pays 4.5% of $25,000 — computing it on the market value understates the income.</t>
        </is>
      </c>
      <c r="R62" s="3" t="inlineStr">
        <is>
          <t>IT IS PAID ON FACE, NOT ON VALUE. A $25,000 bond worth $24,200 still pays 4.5% of $25,000 — computing it on the market value understates the income.</t>
        </is>
      </c>
      <c r="S62" s="3" t="inlineStr"/>
      <c r="T62" s="3" t="inlineStr">
        <is>
          <t>IT IS PAID ON FACE, NOT ON VALUE. A $25,000 bond worth $24,200 still pays 4.5% of $25,000 — computing it on the market value understates the income.</t>
        </is>
      </c>
      <c r="U62" s="3" t="inlineStr"/>
      <c r="V62" s="3" t="inlineStr"/>
      <c r="W62" s="3" t="inlineStr"/>
      <c r="X62" s="3" t="inlineStr"/>
      <c r="Y62" s="3" t="inlineStr"/>
      <c r="Z62" s="3" t="inlineStr">
        <is>
          <t>DECLARED IN THE CODE (rule 11) — printed from the door, not typed. RULED 2026-10-01</t>
        </is>
      </c>
      <c r="AA62" s="3" t="inlineStr"/>
      <c r="AB62" s="3" t="inlineStr"/>
      <c r="AC62" s="3" t="inlineStr"/>
      <c r="AD62" s="3" t="inlineStr"/>
      <c r="AE62" s="3" t="inlineStr"/>
      <c r="AF62" s="3" t="inlineStr">
        <is>
          <t>ACTIVE</t>
        </is>
      </c>
      <c r="AG62" s="3" t="inlineStr">
        <is>
          <t>2026-10-09</t>
        </is>
      </c>
      <c r="AH62" s="3" t="inlineStr"/>
      <c r="AI62" s="3" t="inlineStr"/>
      <c r="AJ62"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2026-10-01; the figure, its formula, inputs and refusal live in MK-NW-O-001 theBonds</t>
        </is>
      </c>
      <c r="AN62" s="3" t="inlineStr">
        <is>
          <t>Two bonds on 28 Sep 2026: a $25,000-face Treasury paying 4.5%, maturing 30 Sep 2029, worth $24,200 today; and a $10,000 Ally CD paying 5.05%, maturing 15 Mar 2027, worth its $10,000.
GIVES: $505/year
(the test re-runs this through MK-NW-O-001 theBonds on every build)</t>
        </is>
      </c>
      <c r="AO62" s="3" t="inlineStr">
        <is>
          <t>NOTHING OPEN</t>
        </is>
      </c>
    </row>
    <row r="63" ht="60" customHeight="1">
      <c r="A63" s="3" t="inlineStr">
        <is>
          <t>MK-NW-M-057</t>
        </is>
      </c>
      <c r="B63" s="3" t="inlineStr">
        <is>
          <t>Networth</t>
        </is>
      </c>
      <c r="C63" s="3" t="inlineStr">
        <is>
          <t>/bonds</t>
        </is>
      </c>
      <c r="D63" s="3" t="inlineStr">
        <is>
          <t>yield</t>
        </is>
      </c>
      <c r="E63" s="3" t="inlineStr">
        <is>
          <t>yield</t>
        </is>
      </c>
      <c r="F63" s="3" t="inlineStr">
        <is>
          <t>theBonds</t>
        </is>
      </c>
      <c r="G63" s="3" t="inlineStr">
        <is>
          <t>MK-NW-O-001</t>
        </is>
      </c>
      <c r="H63" s="3" t="inlineStr">
        <is>
          <t>its coupon a year ÷ its value today, less accrued interest where that was entered</t>
        </is>
      </c>
      <c r="I63" s="3" t="inlineStr">
        <is>
          <t>its coupon a year ÷ its value today, less accrued interest where that was entered</t>
        </is>
      </c>
      <c r="J63" s="3" t="inlineStr">
        <is>
          <t>MK-XS-I-001 account balance
MK-XS-I-065 accrued interest</t>
        </is>
      </c>
      <c r="K63" s="3" t="inlineStr">
        <is>
          <t>a percentage, two decimals</t>
        </is>
      </c>
      <c r="L63" s="3" t="inlineStr">
        <is>
          <t>— when there is no coupon rate or no value to divide by.</t>
        </is>
      </c>
      <c r="M63" s="3" t="inlineStr">
        <is>
          <t>one bond</t>
        </is>
      </c>
      <c r="N63" s="3" t="inlineStr">
        <is>
          <t>as of today</t>
        </is>
      </c>
      <c r="O63"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63" s="3" t="inlineStr">
        <is>
          <t>Declared by MK-NW-O-001 theBonds</t>
        </is>
      </c>
      <c r="Q63" s="3" t="inlineStr">
        <is>
          <t>WHERE ACCRUED INTEREST WAS NOT ENTERED the row says so beneath the figures rather than quietly leaving it in the price (his ruling, DEC-0280).</t>
        </is>
      </c>
      <c r="R63" s="3" t="inlineStr">
        <is>
          <t>WHERE ACCRUED INTEREST WAS NOT ENTERED the row says so beneath the figures rather than quietly leaving it in the price (his ruling, DEC-0280).</t>
        </is>
      </c>
      <c r="S63" s="3" t="inlineStr"/>
      <c r="T63" s="3" t="inlineStr">
        <is>
          <t>WHERE ACCRUED INTEREST WAS NOT ENTERED the row says so beneath the figures rather than quietly leaving it in the price (his ruling, DEC-0280).</t>
        </is>
      </c>
      <c r="U63" s="3" t="inlineStr"/>
      <c r="V63" s="3" t="inlineStr"/>
      <c r="W63" s="3" t="inlineStr"/>
      <c r="X63" s="3" t="inlineStr"/>
      <c r="Y63" s="3" t="inlineStr"/>
      <c r="Z63" s="3" t="inlineStr">
        <is>
          <t>DECLARED IN THE CODE (rule 11) — printed from the door, not typed. RULED 2026-10-01</t>
        </is>
      </c>
      <c r="AA63" s="3" t="inlineStr"/>
      <c r="AB63" s="3" t="inlineStr"/>
      <c r="AC63" s="3" t="inlineStr"/>
      <c r="AD63" s="3" t="inlineStr"/>
      <c r="AE63" s="3" t="inlineStr"/>
      <c r="AF63" s="3" t="inlineStr">
        <is>
          <t>ACTIVE</t>
        </is>
      </c>
      <c r="AG63" s="3" t="inlineStr">
        <is>
          <t>2026-10-09</t>
        </is>
      </c>
      <c r="AH63" s="3" t="inlineStr"/>
      <c r="AI63" s="3" t="inlineStr"/>
      <c r="AJ63"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2026-10-01; the figure, its formula, inputs and refusal live in MK-NW-O-001 theBonds</t>
        </is>
      </c>
      <c r="AN63" s="3" t="inlineStr">
        <is>
          <t>Two bonds on 28 Sep 2026: a $25,000-face Treasury paying 4.5%, maturing 30 Sep 2029, worth $24,200 today; and a $10,000 Ally CD paying 5.05%, maturing 15 Mar 2027, worth its $10,000.
GIVES: 5.05%
(the test re-runs this through MK-NW-O-001 theBonds on every build)</t>
        </is>
      </c>
      <c r="AO63" s="3" t="inlineStr">
        <is>
          <t>NOTHING OPEN</t>
        </is>
      </c>
    </row>
    <row r="64" ht="60" customHeight="1">
      <c r="A64" s="3" t="inlineStr">
        <is>
          <t>MK-NW-M-058</t>
        </is>
      </c>
      <c r="B64" s="3" t="inlineStr">
        <is>
          <t>Networth</t>
        </is>
      </c>
      <c r="C64" s="3" t="inlineStr">
        <is>
          <t>/bonds</t>
        </is>
      </c>
      <c r="D64" s="3" t="inlineStr">
        <is>
          <t>Yield to maturity</t>
        </is>
      </c>
      <c r="E64" s="3" t="inlineStr">
        <is>
          <t>yield_to_maturity</t>
        </is>
      </c>
      <c r="F64" s="3" t="inlineStr">
        <is>
          <t>theBonds</t>
        </is>
      </c>
      <c r="G64" s="3" t="inlineStr">
        <is>
          <t>MK-NW-O-001</t>
        </is>
      </c>
      <c r="H64" s="3" t="inlineStr">
        <is>
          <t>the coupon a year plus (face − value) spread over the years left, ÷ the value today</t>
        </is>
      </c>
      <c r="I64" s="3" t="inlineStr">
        <is>
          <t>the coupon a year plus (face − value) spread over the years left, ÷ the value today</t>
        </is>
      </c>
      <c r="J64" s="3" t="inlineStr">
        <is>
          <t>MK-XS-I-001 account balance</t>
        </is>
      </c>
      <c r="K64" s="3" t="inlineStr">
        <is>
          <t>a percentage, two decimals</t>
        </is>
      </c>
      <c r="L64" s="3" t="inlineStr">
        <is>
          <t>— with no maturity date there are no years to spread the difference over.</t>
        </is>
      </c>
      <c r="M64" s="3" t="inlineStr">
        <is>
          <t>one bond</t>
        </is>
      </c>
      <c r="N64" s="3" t="inlineStr">
        <is>
          <t>as of today</t>
        </is>
      </c>
      <c r="O64"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64" s="3" t="inlineStr">
        <is>
          <t>Declared by MK-NW-O-001 theBonds</t>
        </is>
      </c>
      <c r="Q64" s="3" t="inlineStr">
        <is>
          <t>AN ESTIMATE, and the foot of the screen says so in those words.</t>
        </is>
      </c>
      <c r="R64" s="3" t="inlineStr">
        <is>
          <t>AN ESTIMATE, and the foot of the screen says so in those words.</t>
        </is>
      </c>
      <c r="S64" s="3" t="inlineStr"/>
      <c r="T64" s="3" t="inlineStr">
        <is>
          <t>AN ESTIMATE, and the foot of the screen says so in those words.</t>
        </is>
      </c>
      <c r="U64" s="3" t="inlineStr"/>
      <c r="V64" s="3" t="inlineStr"/>
      <c r="W64" s="3" t="inlineStr"/>
      <c r="X64" s="3" t="inlineStr"/>
      <c r="Y64" s="3" t="inlineStr"/>
      <c r="Z64" s="3" t="inlineStr">
        <is>
          <t>DECLARED IN THE CODE (rule 11) — printed from the door, not typed. RULED 2026-10-01</t>
        </is>
      </c>
      <c r="AA64" s="3" t="inlineStr"/>
      <c r="AB64" s="3" t="inlineStr"/>
      <c r="AC64" s="3" t="inlineStr"/>
      <c r="AD64" s="3" t="inlineStr"/>
      <c r="AE64" s="3" t="inlineStr"/>
      <c r="AF64" s="3" t="inlineStr">
        <is>
          <t>ACTIVE</t>
        </is>
      </c>
      <c r="AG64" s="3" t="inlineStr">
        <is>
          <t>2026-10-09</t>
        </is>
      </c>
      <c r="AH64" s="3" t="inlineStr"/>
      <c r="AI64" s="3" t="inlineStr"/>
      <c r="AJ64"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2026-10-01; the figure, its formula, inputs and refusal live in MK-NW-O-001 theBonds</t>
        </is>
      </c>
      <c r="AN64" s="3" t="inlineStr">
        <is>
          <t>Two bonds on 28 Sep 2026: a $25,000-face Treasury paying 4.5%, maturing 30 Sep 2029, worth $24,200 today; and a $10,000 Ally CD paying 5.05%, maturing 15 Mar 2027, worth its $10,000.
GIVES: 5.05%
(the test re-runs this through MK-NW-O-001 theBonds on every build)</t>
        </is>
      </c>
      <c r="AO64" s="3" t="inlineStr">
        <is>
          <t>NOTHING OPEN</t>
        </is>
      </c>
    </row>
    <row r="65" ht="60" customHeight="1">
      <c r="A65" s="3" t="inlineStr">
        <is>
          <t>MK-NW-M-059</t>
        </is>
      </c>
      <c r="B65" s="3" t="inlineStr">
        <is>
          <t>Networth</t>
        </is>
      </c>
      <c r="C65" s="3" t="inlineStr">
        <is>
          <t>/holding-detail</t>
        </is>
      </c>
      <c r="D65" s="3" t="inlineStr">
        <is>
          <t>Change since purchase</t>
        </is>
      </c>
      <c r="E65" s="3" t="inlineStr">
        <is>
          <t>change_since_purchase</t>
        </is>
      </c>
      <c r="F65" s="3" t="inlineStr">
        <is>
          <t>theHolding</t>
        </is>
      </c>
      <c r="G65" s="3" t="inlineStr">
        <is>
          <t>MK-NW-O-006</t>
        </is>
      </c>
      <c r="H65" s="3" t="inlineStr">
        <is>
          <t>what it is worth today − what was paid for it</t>
        </is>
      </c>
      <c r="I65" s="3" t="inlineStr">
        <is>
          <t>what it is worth today − what was paid for it</t>
        </is>
      </c>
      <c r="J65" s="3" t="inlineStr">
        <is>
          <t>MK-XS-I-001 account balance</t>
        </is>
      </c>
      <c r="K65" s="3" t="inlineStr">
        <is>
          <t>dollars, whole</t>
        </is>
      </c>
      <c r="L65" s="3" t="inlineStr">
        <is>
          <t>No price — the row is left out, and the screen says what was paid instead.</t>
        </is>
      </c>
      <c r="M65" s="3" t="inlineStr">
        <is>
          <t>one holding</t>
        </is>
      </c>
      <c r="N65" s="3" t="inlineStr">
        <is>
          <t>as of today</t>
        </is>
      </c>
      <c r="O65"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5" s="3" t="inlineStr">
        <is>
          <t>Declared by MK-NW-O-006 theHolding</t>
        </is>
      </c>
      <c r="Q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R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S65" s="3" t="inlineStr"/>
      <c r="T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U65" s="3" t="inlineStr"/>
      <c r="V65" s="3" t="inlineStr"/>
      <c r="W65" s="3" t="inlineStr"/>
      <c r="X65" s="3" t="inlineStr"/>
      <c r="Y65" s="3" t="inlineStr"/>
      <c r="Z65" s="3" t="inlineStr">
        <is>
          <t>DECLARED IN THE CODE (rule 11) — printed from the door, not typed. RULED 2026-10-01</t>
        </is>
      </c>
      <c r="AA65" s="3" t="inlineStr"/>
      <c r="AB65" s="3" t="inlineStr"/>
      <c r="AC65" s="3" t="inlineStr"/>
      <c r="AD65" s="3" t="inlineStr"/>
      <c r="AE65" s="3" t="inlineStr"/>
      <c r="AF65" s="3" t="inlineStr">
        <is>
          <t>ACTIVE</t>
        </is>
      </c>
      <c r="AG65" s="3" t="inlineStr">
        <is>
          <t>2026-10-09</t>
        </is>
      </c>
      <c r="AH65" s="3" t="inlineStr"/>
      <c r="AI65" s="3" t="inlineStr"/>
      <c r="AJ6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2026-10-01; the figure, its formula, inputs and refusal live in MK-NW-O-006 theHolding</t>
        </is>
      </c>
      <c r="AN65" s="3" t="inlineStr">
        <is>
          <t>140 shares of VTI on 28 Sep 2026, priced at $290: 100 bought at $210 in Mar 2023 and 40 at $265 in Jun 2026. Dividends of $420 and $405 this year; 20 shares bought at $200 were sold at $285.
GIVES: $9,000
(the test re-runs this through MK-NW-O-006 theHolding on every build)</t>
        </is>
      </c>
      <c r="AO65" s="3" t="inlineStr">
        <is>
          <t>NOTHING OPEN</t>
        </is>
      </c>
    </row>
    <row r="66" ht="60" customHeight="1">
      <c r="A66" s="3" t="inlineStr">
        <is>
          <t>MK-NW-M-060</t>
        </is>
      </c>
      <c r="B66" s="3" t="inlineStr">
        <is>
          <t>Networth</t>
        </is>
      </c>
      <c r="C66" s="3" t="inlineStr">
        <is>
          <t>/holding-detail</t>
        </is>
      </c>
      <c r="D66" s="3" t="inlineStr">
        <is>
          <t>up</t>
        </is>
      </c>
      <c r="E66" s="3" t="inlineStr">
        <is>
          <t>up</t>
        </is>
      </c>
      <c r="F66" s="3" t="inlineStr">
        <is>
          <t>theHolding</t>
        </is>
      </c>
      <c r="G66" s="3" t="inlineStr">
        <is>
          <t>MK-NW-O-006</t>
        </is>
      </c>
      <c r="H66" s="3" t="inlineStr">
        <is>
          <t>the last close − the close before it</t>
        </is>
      </c>
      <c r="I66" s="3" t="inlineStr">
        <is>
          <t>the last close − the close before it</t>
        </is>
      </c>
      <c r="J66" s="3" t="inlineStr">
        <is>
          <t>MK-XS-I-006 price fetched at</t>
        </is>
      </c>
      <c r="K66" s="3" t="inlineStr">
        <is>
          <t>dollars, two decimals</t>
        </is>
      </c>
      <c r="L66" s="3" t="inlineStr">
        <is>
          <t>Fewer than two closes known, or a previous close of zero — the line is not drawn.</t>
        </is>
      </c>
      <c r="M66" s="3" t="inlineStr">
        <is>
          <t>one holding</t>
        </is>
      </c>
      <c r="N66" s="3" t="inlineStr">
        <is>
          <t>as of today</t>
        </is>
      </c>
      <c r="O66"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6" s="3" t="inlineStr">
        <is>
          <t>Declared by MK-NW-O-006 theHolding</t>
        </is>
      </c>
      <c r="Q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R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S66" s="3" t="inlineStr"/>
      <c r="T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U66" s="3" t="inlineStr"/>
      <c r="V66" s="3" t="inlineStr"/>
      <c r="W66" s="3" t="inlineStr"/>
      <c r="X66" s="3" t="inlineStr"/>
      <c r="Y66" s="3" t="inlineStr"/>
      <c r="Z66" s="3" t="inlineStr">
        <is>
          <t>DECLARED IN THE CODE (rule 11) — printed from the door, not typed. RULED 2026-10-01</t>
        </is>
      </c>
      <c r="AA66" s="3" t="inlineStr"/>
      <c r="AB66" s="3" t="inlineStr"/>
      <c r="AC66" s="3" t="inlineStr"/>
      <c r="AD66" s="3" t="inlineStr"/>
      <c r="AE66" s="3" t="inlineStr"/>
      <c r="AF66" s="3" t="inlineStr">
        <is>
          <t>ACTIVE</t>
        </is>
      </c>
      <c r="AG66" s="3" t="inlineStr">
        <is>
          <t>2026-10-09</t>
        </is>
      </c>
      <c r="AH66" s="3" t="inlineStr"/>
      <c r="AI66" s="3" t="inlineStr"/>
      <c r="AJ6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2026-10-01; the figure, its formula, inputs and refusal live in MK-NW-O-006 theHolding</t>
        </is>
      </c>
      <c r="AN66" s="3" t="inlineStr">
        <is>
          <t>140 shares of VTI on 28 Sep 2026, priced at $290: 100 bought at $210 in Mar 2023 and 40 at $265 in Jun 2026. Dividends of $420 and $405 this year; 20 shares bought at $200 were sold at $285.
GIVES: $2.31
(the test re-runs this through MK-NW-O-006 theHolding on every build)</t>
        </is>
      </c>
      <c r="AO66" s="3" t="inlineStr">
        <is>
          <t>NOTHING OPEN</t>
        </is>
      </c>
    </row>
    <row r="67" ht="60" customHeight="1">
      <c r="A67" s="3" t="inlineStr">
        <is>
          <t>MK-NW-M-061</t>
        </is>
      </c>
      <c r="B67" s="3" t="inlineStr">
        <is>
          <t>Networth</t>
        </is>
      </c>
      <c r="C67" s="3" t="inlineStr">
        <is>
          <t>/holding-detail · /invest</t>
        </is>
      </c>
      <c r="D67" s="3" t="inlineStr">
        <is>
          <t>sh @</t>
        </is>
      </c>
      <c r="E67" s="3" t="inlineStr">
        <is>
          <t>sh</t>
        </is>
      </c>
      <c r="F67" s="3" t="inlineStr">
        <is>
          <t>theHolding</t>
        </is>
      </c>
      <c r="G67" s="3" t="inlineStr">
        <is>
          <t>MK-NW-O-006</t>
        </is>
      </c>
      <c r="H67" s="3" t="inlineStr">
        <is>
          <t>the cost per share as recorded on that purchase</t>
        </is>
      </c>
      <c r="I67" s="3" t="inlineStr">
        <is>
          <t>the cost per share as recorded on that purchase</t>
        </is>
      </c>
      <c r="J67" s="3" t="inlineStr">
        <is>
          <t>MK-XS-I-001 account balance</t>
        </is>
      </c>
      <c r="K67" s="3" t="inlineStr">
        <is>
          <t>dollars, two decimals</t>
        </is>
      </c>
      <c r="L67" s="3" t="inlineStr">
        <is>
          <t>No purchases recorded — the section is not drawn.</t>
        </is>
      </c>
      <c r="M67" s="3" t="inlineStr">
        <is>
          <t>one purchase</t>
        </is>
      </c>
      <c r="N67" s="3" t="inlineStr">
        <is>
          <t>as of today</t>
        </is>
      </c>
      <c r="O67"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7" s="3" t="inlineStr">
        <is>
          <t>Declared by MK-NW-O-006 theHolding</t>
        </is>
      </c>
      <c r="Q67" s="3" t="inlineStr">
        <is>
          <t>EACH PURCHASE KEEPS ITS OWN PRICE. They are what the average above them is made of, so a person can check the average rather than having to trust it.</t>
        </is>
      </c>
      <c r="R67" s="3" t="inlineStr">
        <is>
          <t>EACH PURCHASE KEEPS ITS OWN PRICE. They are what the average above them is made of, so a person can check the average rather than having to trust it.</t>
        </is>
      </c>
      <c r="S67" s="3" t="inlineStr"/>
      <c r="T67" s="3" t="inlineStr">
        <is>
          <t>EACH PURCHASE KEEPS ITS OWN PRICE. They are what the average above them is made of, so a person can check the average rather than having to trust it.</t>
        </is>
      </c>
      <c r="U67" s="3" t="inlineStr"/>
      <c r="V67" s="3" t="inlineStr"/>
      <c r="W67" s="3" t="inlineStr"/>
      <c r="X67" s="3" t="inlineStr"/>
      <c r="Y67" s="3" t="inlineStr"/>
      <c r="Z67" s="3" t="inlineStr">
        <is>
          <t>DECLARED IN THE CODE (rule 11) — printed from the door, not typed. RULED 2026-10-01</t>
        </is>
      </c>
      <c r="AA67" s="3" t="inlineStr"/>
      <c r="AB67" s="3" t="inlineStr"/>
      <c r="AC67" s="3" t="inlineStr"/>
      <c r="AD67" s="3" t="inlineStr"/>
      <c r="AE67" s="3" t="inlineStr"/>
      <c r="AF67" s="3" t="inlineStr">
        <is>
          <t>ACTIVE</t>
        </is>
      </c>
      <c r="AG67" s="3" t="inlineStr">
        <is>
          <t>2026-10-09</t>
        </is>
      </c>
      <c r="AH67" s="3" t="inlineStr"/>
      <c r="AI67" s="3" t="inlineStr"/>
      <c r="AJ6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2026-10-01; the figure, its formula, inputs and refusal live in MK-NW-O-006 theHolding</t>
        </is>
      </c>
      <c r="AN67" s="3" t="inlineStr">
        <is>
          <t>140 shares of VTI on 28 Sep 2026, priced at $290: 100 bought at $210 in Mar 2023 and 40 at $265 in Jun 2026. Dividends of $420 and $405 this year; 20 shares bought at $200 were sold at $285.
GIVES: $210.00
(the test re-runs this through MK-NW-O-006 theHolding on every build)</t>
        </is>
      </c>
      <c r="AO67" s="3" t="inlineStr">
        <is>
          <t>NOTHING OPEN</t>
        </is>
      </c>
    </row>
    <row r="68" ht="60" customHeight="1">
      <c r="A68" s="3" t="inlineStr">
        <is>
          <t>MK-NW-M-062</t>
        </is>
      </c>
      <c r="B68" s="3" t="inlineStr">
        <is>
          <t>Networth</t>
        </is>
      </c>
      <c r="C68" s="3" t="inlineStr">
        <is>
          <t>/account-detail · /invest</t>
        </is>
      </c>
      <c r="D68" s="3" t="inlineStr">
        <is>
          <t>what one record moved</t>
        </is>
      </c>
      <c r="E68" s="3" t="inlineStr">
        <is>
          <t>what_one_record_moved</t>
        </is>
      </c>
      <c r="F68" s="3" t="inlineStr">
        <is>
          <t>theAccount</t>
        </is>
      </c>
      <c r="G68" s="3" t="inlineStr">
        <is>
          <t>MK-NW-O-002</t>
        </is>
      </c>
      <c r="H68" s="3" t="inlineStr">
        <is>
          <t>the amount on the record, positive where it came in and negative where it went out</t>
        </is>
      </c>
      <c r="I68" s="3" t="inlineStr">
        <is>
          <t>the amount on the record, positive where it came in and negative where it went out</t>
        </is>
      </c>
      <c r="J68" s="3" t="inlineStr">
        <is>
          <t>MK-NW-I-004 the activity records</t>
        </is>
      </c>
      <c r="K68" s="3" t="inlineStr">
        <is>
          <t>dollars, whole</t>
        </is>
      </c>
      <c r="L68" s="3" t="inlineStr">
        <is>
          <t>No records yet — the section keeps its heading and says so.</t>
        </is>
      </c>
      <c r="M68" s="3" t="inlineStr">
        <is>
          <t>one record</t>
        </is>
      </c>
      <c r="N68" s="3" t="inlineStr">
        <is>
          <t>as of today</t>
        </is>
      </c>
      <c r="O68"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68" s="3" t="inlineStr">
        <is>
          <t>Declared by MK-NW-O-002 theAccount</t>
        </is>
      </c>
      <c r="Q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R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S68" s="3" t="inlineStr"/>
      <c r="T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U68" s="3" t="inlineStr"/>
      <c r="V68" s="3" t="inlineStr"/>
      <c r="W68" s="3" t="inlineStr"/>
      <c r="X68" s="3" t="inlineStr"/>
      <c r="Y68" s="3" t="inlineStr"/>
      <c r="Z68" s="3" t="inlineStr">
        <is>
          <t>DECLARED IN THE CODE (rule 11) — printed from the door, not typed. RULED 2026-10-01</t>
        </is>
      </c>
      <c r="AA68" s="3" t="inlineStr"/>
      <c r="AB68" s="3" t="inlineStr"/>
      <c r="AC68" s="3" t="inlineStr"/>
      <c r="AD68" s="3" t="inlineStr"/>
      <c r="AE68" s="3" t="inlineStr"/>
      <c r="AF68" s="3" t="inlineStr">
        <is>
          <t>ACTIVE</t>
        </is>
      </c>
      <c r="AG68" s="3" t="inlineStr">
        <is>
          <t>2026-10-09</t>
        </is>
      </c>
      <c r="AH68" s="3" t="inlineStr"/>
      <c r="AI68" s="3" t="inlineStr"/>
      <c r="AJ68"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MK-NW-F-109
15. MK-XS-I-056 how a holding was classified, and by whom — read by MK-NW-F-109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2026-10-01; the figure, its formula, inputs and refusal live in MK-NW-O-002 theAccount</t>
        </is>
      </c>
      <c r="AN68" s="3" t="inlineStr">
        <is>
          <t>A linked Fidelity brokerage worth $46,600: $6,000 in cash and 140 shares of VTI marked at $290 ($40,600). Its records: dividends of $420 and $405, a buy of 20 shares at $200, a sell of 20 at $285.
GIVES: $420
(the test re-runs this through MK-NW-O-002 theAccount on every build)</t>
        </is>
      </c>
      <c r="AO68" s="3" t="inlineStr">
        <is>
          <t>NOTHING OPEN</t>
        </is>
      </c>
    </row>
    <row r="69" ht="60" customHeight="1">
      <c r="A69" s="3" t="inlineStr">
        <is>
          <t>MK-NW-M-063</t>
        </is>
      </c>
      <c r="B69" s="3" t="inlineStr">
        <is>
          <t>Networth</t>
        </is>
      </c>
      <c r="C69" s="3" t="inlineStr">
        <is>
          <t>/analytics</t>
        </is>
      </c>
      <c r="D69" s="3" t="inlineStr">
        <is>
          <t>what is inside this institution</t>
        </is>
      </c>
      <c r="E69" s="3" t="inlineStr">
        <is>
          <t>what_is_inside_this_institution</t>
        </is>
      </c>
      <c r="F69" s="3" t="inlineStr">
        <is>
          <t>theNetWorth</t>
        </is>
      </c>
      <c r="G69" s="3" t="inlineStr">
        <is>
          <t>MK-NW-O-003</t>
        </is>
      </c>
      <c r="H69" s="3" t="inlineStr">
        <is>
          <t>the accounts at this institution, added up within each kind</t>
        </is>
      </c>
      <c r="I69" s="3" t="inlineStr">
        <is>
          <t>the accounts at this institution, added up within each kind</t>
        </is>
      </c>
      <c r="J69" s="3" t="inlineStr">
        <is>
          <t>MK-XS-I-001 account balance</t>
        </is>
      </c>
      <c r="K69" s="3" t="inlineStr">
        <is>
          <t>money-compact</t>
        </is>
      </c>
      <c r="L69" s="3" t="inlineStr">
        <is>
          <t>One kind only — the line is left out, because a roll-up of one thing is just the thing.</t>
        </is>
      </c>
      <c r="M69" s="3" t="inlineStr">
        <is>
          <t>one class in one institution</t>
        </is>
      </c>
      <c r="N69" s="3" t="inlineStr">
        <is>
          <t>as of today</t>
        </is>
      </c>
      <c r="O6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69" s="3" t="inlineStr">
        <is>
          <t>Declared by MK-NW-O-003 theNetWorth</t>
        </is>
      </c>
      <c r="Q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R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S69" s="3" t="inlineStr"/>
      <c r="T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U69" s="3" t="inlineStr"/>
      <c r="V69" s="3" t="inlineStr"/>
      <c r="W69" s="3" t="inlineStr"/>
      <c r="X69" s="3" t="inlineStr"/>
      <c r="Y69" s="3" t="inlineStr"/>
      <c r="Z69" s="3" t="inlineStr">
        <is>
          <t>DECLARED IN THE CODE (rule 11) — printed from the door, not typed. RULED 2026-10-01</t>
        </is>
      </c>
      <c r="AA69" s="3" t="inlineStr"/>
      <c r="AB69" s="3" t="inlineStr"/>
      <c r="AC69" s="3" t="inlineStr"/>
      <c r="AD69" s="3" t="inlineStr"/>
      <c r="AE69" s="3" t="inlineStr"/>
      <c r="AF69" s="3" t="inlineStr">
        <is>
          <t>ACTIVE</t>
        </is>
      </c>
      <c r="AG69" s="3" t="inlineStr">
        <is>
          <t>2026-10-09</t>
        </is>
      </c>
      <c r="AH69" s="3" t="inlineStr"/>
      <c r="AI69" s="3" t="inlineStr"/>
      <c r="AJ69"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2026-10-01; the figure, its formula, inputs and refusal live in MK-NW-O-003 theNetWorth</t>
        </is>
      </c>
      <c r="AN69"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$18K
(the test re-runs this through MK-NW-O-003 theNetWorth on every build)</t>
        </is>
      </c>
      <c r="AO69" s="3" t="inlineStr">
        <is>
          <t>NOTHING OPEN</t>
        </is>
      </c>
    </row>
    <row r="70" ht="60" customHeight="1">
      <c r="A70" s="3" t="inlineStr">
        <is>
          <t>MK-NW-M-064</t>
        </is>
      </c>
      <c r="B70" s="3" t="inlineStr">
        <is>
          <t>Networth</t>
        </is>
      </c>
      <c r="C70" s="3" t="inlineStr">
        <is>
          <t>/analytics · /insights · /stress-test · /jobsafety</t>
        </is>
      </c>
      <c r="D70" s="3" t="inlineStr">
        <is>
          <t>rent from your property, which keeps arriving</t>
        </is>
      </c>
      <c r="E70" s="3" t="inlineStr">
        <is>
          <t>rent_from_your_property_which_keeps_arri</t>
        </is>
      </c>
      <c r="F70" s="3" t="inlineStr">
        <is>
          <t>theEmergencyFund</t>
        </is>
      </c>
      <c r="G70" s="3" t="inlineStr">
        <is>
          <t>MK-NW-O-004</t>
        </is>
      </c>
      <c r="H70" s="3" t="inlineStr">
        <is>
          <t>the Rent row of your Income summary: rent less what the property costs to run, less the calculated tax when the tax rate is calculated</t>
        </is>
      </c>
      <c r="I70" s="3" t="inlineStr">
        <is>
          <t>the Rent row of your Income summary: rent less what the property costs to run, less the calculated tax when the tax rate is calculated</t>
        </is>
      </c>
      <c r="J70" s="3" t="inlineStr">
        <is>
          <t>MK-CF-I-007 rental income</t>
        </is>
      </c>
      <c r="K70" s="3" t="inlineStr">
        <is>
          <t>dollars, whole a month</t>
        </is>
      </c>
      <c r="L70" s="3" t="inlineStr">
        <is>
          <t>No rental entered — the line does not appear at all.</t>
        </is>
      </c>
      <c r="M70" s="3" t="inlineStr">
        <is>
          <t>the household</t>
        </is>
      </c>
      <c r="N70" s="3" t="inlineStr">
        <is>
          <t>a month</t>
        </is>
      </c>
      <c r="O70"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70" s="3" t="inlineStr">
        <is>
          <t>Declared by MK-NW-O-004 theEmergencyFund</t>
        </is>
      </c>
      <c r="Q70" s="3" t="inlineStr">
        <is>
          <t>FOUNDER 2026-10-04: "add it to the cash as losing job does not mean loosing rental income too."
It is the same figure as the Income summary's Rent row, read from that function, so the two screens cannot show two rents.</t>
        </is>
      </c>
      <c r="R70" s="3" t="inlineStr">
        <is>
          <t>FOUNDER 2026-10-04: "add it to the cash as losing job does not mean loosing rental income too."
It is the same figure as the Income summary's Rent row, read from that function, so the two screens cannot show two rents.</t>
        </is>
      </c>
      <c r="S70" s="3" t="inlineStr"/>
      <c r="T70" s="3" t="inlineStr">
        <is>
          <t>FOUNDER 2026-10-04: "add it to the cash as losing job does not mean loosing rental income too."
It is the same figure as the Income summary's Rent row, read from that function, so the two screens cannot show two rents.</t>
        </is>
      </c>
      <c r="U70" s="3" t="inlineStr"/>
      <c r="V70" s="3" t="inlineStr"/>
      <c r="W70" s="3" t="inlineStr"/>
      <c r="X70" s="3" t="inlineStr"/>
      <c r="Y70" s="3" t="inlineStr"/>
      <c r="Z70" s="3" t="inlineStr">
        <is>
          <t>DECLARED IN THE CODE (rule 11) — printed from the door, not typed. RULED 2026-10-04</t>
        </is>
      </c>
      <c r="AA70" s="3" t="inlineStr"/>
      <c r="AB70" s="3" t="inlineStr"/>
      <c r="AC70" s="3" t="inlineStr"/>
      <c r="AD70" s="3" t="inlineStr"/>
      <c r="AE70" s="3" t="inlineStr"/>
      <c r="AF70" s="3" t="inlineStr">
        <is>
          <t>ACTIVE</t>
        </is>
      </c>
      <c r="AG70" s="3" t="inlineStr">
        <is>
          <t>2026-10-09</t>
        </is>
      </c>
      <c r="AH70" s="3" t="inlineStr"/>
      <c r="AI70" s="3" t="inlineStr"/>
      <c r="AJ70" s="3" t="inlineStr">
        <is>
          <t>1. MK-XS-I-001 account balance — read by MK-NW-F-016, MK-NW-F-027, MK-NW-F-029, MK-NW-F-056, MK-NW-F-078, MK-NW-O-001, MK
2. MK-XS-I-002 account type (taxable, pre-tax, Roth) — read by MK-NW-F-011, MK-NW-F-027, MK-NW-O-001, MK-NW-O-004
3. MK-XS-I-003 institution name — read by MK-NW-F-056,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MK-NW-F-109
8. MK-XS-I-011 bond face value — read by MK-NW-F-056, MK-NW-F-057, MK-NW-F-060, MK-NW-F-061, MK-NW-F-064, MK-NW-F-069, MK
9. MK-XS-I-012 bond coupon rate — read by MK-NW-F-056, MK-NW-F-057, MK-NW-F-060, MK-NW-F-064, MK-NW-F-070, MK-NW-F-072,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MK-NW-F-109, MK
39. MK-XS-I-056 how a holding was classified, and by whom — read by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2026-10-04; the figure, its formula, inputs and refusal live in MK-NW-O-004 theEmergencyFund</t>
        </is>
      </c>
      <c r="AN70"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And a rental house: $2,000/month of rent, $500/month to run, less $190/year of calculated tax on it, which is $15.83/month.
GIVES: $1,484/month
(the test re-runs this through MK-NW-O-004 theEmergencyFund on every build)</t>
        </is>
      </c>
      <c r="AO70" s="3" t="inlineStr">
        <is>
          <t>NOTHING OPEN</t>
        </is>
      </c>
    </row>
  </sheetData>
  <autoFilter ref="A1:AO7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25"/>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Performance</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Performance</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MK-PF-M-001</t>
        </is>
      </c>
      <c r="B7" s="3" t="inlineStr">
        <is>
          <t>Performance</t>
        </is>
      </c>
      <c r="C7" s="3" t="inlineStr">
        <is>
          <t>/invest</t>
        </is>
      </c>
      <c r="D7" s="3" t="inlineStr">
        <is>
          <t>Ending value</t>
        </is>
      </c>
      <c r="E7" s="3" t="inlineStr">
        <is>
          <t>ending_value</t>
        </is>
      </c>
      <c r="F7" s="3" t="inlineStr">
        <is>
          <t>thePerformance</t>
        </is>
      </c>
      <c r="G7" s="3" t="inlineStr">
        <is>
          <t>MK-ST-F-031</t>
        </is>
      </c>
      <c r="H7" s="3" t="inlineStr">
        <is>
          <t>ending value = Σ over the accounts in scope of (snapshot value on the end date)</t>
        </is>
      </c>
      <c r="I7" s="3" t="inlineStr">
        <is>
          <t>the sum of every investment account’s value today</t>
        </is>
      </c>
      <c r="J7" s="3" t="inlineStr">
        <is>
          <t>MK-NW-I-001 your accounts
MK-NW-I-005 the price feed</t>
        </is>
      </c>
      <c r="K7" s="3" t="inlineStr">
        <is>
          <t>dollars, whole</t>
        </is>
      </c>
      <c r="L7" s="3" t="inlineStr">
        <is>
          <t>Nothing invested yet.</t>
        </is>
      </c>
      <c r="M7" s="3" t="inlineStr">
        <is>
          <t>one figure per household</t>
        </is>
      </c>
      <c r="N7" s="3" t="inlineStr">
        <is>
          <t>as of today</t>
        </is>
      </c>
      <c r="O7" s="3" t="inlineStr">
        <is>
          <t>1. MK-ST-F-083 (accountValuesOn) → Map&lt;string, number&gt;
2. MK-ST-F-056 (has) → NOT DECLARED — the code does not say what it gives back
3. MK-ST-F-033 (onOrBefore) → T | null</t>
        </is>
      </c>
      <c r="P7" s="3" t="inlineStr">
        <is>
          <t>Declared by MK-NW-O-008 thePerformance</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c r="AF7" s="3" t="inlineStr">
        <is>
          <t>ACTIVE</t>
        </is>
      </c>
      <c r="AG7" s="3" t="inlineStr">
        <is>
          <t>2026-10-09</t>
        </is>
      </c>
      <c r="AH7" s="3" t="inlineStr"/>
      <c r="AI7" s="3" t="inlineStr"/>
      <c r="AJ7"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MK-NW-O-008 thePerformance</t>
        </is>
      </c>
      <c r="AN7" s="3" t="inlineStr">
        <is>
          <t>An account worth $30,000 on 31 Dec 2025 (100 VTI at $260 plus $4,000 cash), $38,400 at the close of 1 Apr — the day $6,000 was paid in — and $46,600 on 28 Sep 2026, with $825 of dividends received.
GIVES: $46,600
(the test re-runs this through MK-NW-O-008 thePerformance on every build)</t>
        </is>
      </c>
      <c r="AO7" s="7" t="inlineStr">
        <is>
          <t>RULED, NOT CODED (Q-PF-1 — one question, one function)</t>
        </is>
      </c>
    </row>
    <row r="8" ht="60" customHeight="1">
      <c r="A8" s="3" t="inlineStr">
        <is>
          <t>MK-PF-M-002</t>
        </is>
      </c>
      <c r="B8" s="3" t="inlineStr">
        <is>
          <t>Performance</t>
        </is>
      </c>
      <c r="C8" s="3" t="inlineStr">
        <is>
          <t>/invest</t>
        </is>
      </c>
      <c r="D8" s="3" t="inlineStr">
        <is>
          <t>Wealth generated</t>
        </is>
      </c>
      <c r="E8" s="3" t="inlineStr">
        <is>
          <t>wealth_generated</t>
        </is>
      </c>
      <c r="F8" s="3" t="inlineStr">
        <is>
          <t>thePerformance</t>
        </is>
      </c>
      <c r="G8" s="3" t="inlineStr">
        <is>
          <t>MK-NW-O-008</t>
        </is>
      </c>
      <c r="H8" s="3" t="inlineStr">
        <is>
          <t>wealth generated = ending value − beginning value − net money in  (money in = deposits and transfers in − withdrawals and transfers out over the window)</t>
        </is>
      </c>
      <c r="I8" s="3" t="inlineStr">
        <is>
          <t>ending − beginning − what you put in + what you took out</t>
        </is>
      </c>
      <c r="J8" s="3" t="inlineStr">
        <is>
          <t>MK-NW-I-001 your accounts
MK-NW-I-004 the activity records
MK-NW-I-003 the recorded history</t>
        </is>
      </c>
      <c r="K8" s="3" t="inlineStr">
        <is>
          <t>dollars, whole</t>
        </is>
      </c>
      <c r="L8" s="3" t="inlineStr">
        <is>
          <t>The record cannot reach the start of this window, so there is nothing honest to subtract from.</t>
        </is>
      </c>
      <c r="M8" s="3" t="inlineStr">
        <is>
          <t>one figure per household</t>
        </is>
      </c>
      <c r="N8" s="3" t="inlineStr">
        <is>
          <t>as of today</t>
        </is>
      </c>
      <c r="O8"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8" s="3" t="inlineStr">
        <is>
          <t>Declared by MK-NW-O-008 thePerformance</t>
        </is>
      </c>
      <c r="Q8" s="3" t="inlineStr">
        <is>
          <t>ONE MEANING OF RETURN (B-97, 2026-09-25): dividends and interest are part of this, so the return beside it counts them too.</t>
        </is>
      </c>
      <c r="R8" s="3" t="inlineStr">
        <is>
          <t>ONE MEANING OF RETURN (B-97, 2026-09-25): dividends and interest are part of this, so the return beside it counts them too.</t>
        </is>
      </c>
      <c r="S8" s="3" t="inlineStr"/>
      <c r="T8" s="3" t="inlineStr">
        <is>
          <t>ONE MEANING OF RETURN (B-97, 2026-09-25): dividends and interest are part of this, so the return beside it counts them too.</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2026-10-09</t>
        </is>
      </c>
      <c r="AH8" s="3" t="inlineStr"/>
      <c r="AI8" s="3" t="inlineStr"/>
      <c r="AJ8"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8" s="7" t="inlineStr">
        <is>
          <t>RULED, NOT CODED (Q-PF-1 — one question, one function)</t>
        </is>
      </c>
    </row>
    <row r="9" ht="60" customHeight="1">
      <c r="A9" s="3" t="inlineStr">
        <is>
          <t>MK-PF-M-003</t>
        </is>
      </c>
      <c r="B9" s="3" t="inlineStr">
        <is>
          <t>Performance</t>
        </is>
      </c>
      <c r="C9" s="3" t="inlineStr">
        <is>
          <t>/invest</t>
        </is>
      </c>
      <c r="D9" s="3" t="inlineStr">
        <is>
          <t>HOW $X BECAME $Y · ALL ACCOUNTS</t>
        </is>
      </c>
      <c r="E9" s="3" t="inlineStr">
        <is>
          <t>how_x_became_y__all_accounts</t>
        </is>
      </c>
      <c r="F9" s="3" t="inlineStr">
        <is>
          <t>thePerformance</t>
        </is>
      </c>
      <c r="G9" s="3" t="inlineStr">
        <is>
          <t>MK-NW-O-008</t>
        </is>
      </c>
      <c r="H9" s="3" t="inlineStr">
        <is>
          <t>beginning + contributions − withdrawals + wealth generated = ending, by construction</t>
        </is>
      </c>
      <c r="I9" s="3" t="inlineStr">
        <is>
          <t>beginning + contributions − withdrawals + wealth generated = ending, by construction</t>
        </is>
      </c>
      <c r="J9" s="3" t="inlineStr">
        <is>
          <t>MK-NW-I-003 the recorded history
MK-NW-I-004 the activity records</t>
        </is>
      </c>
      <c r="K9" s="3" t="inlineStr">
        <is>
          <t>a sentence</t>
        </is>
      </c>
      <c r="L9" s="3" t="inlineStr">
        <is>
          <t>No beginning to walk from.</t>
        </is>
      </c>
      <c r="M9" s="3" t="inlineStr">
        <is>
          <t>one figure per household</t>
        </is>
      </c>
      <c r="N9" s="3" t="inlineStr">
        <is>
          <t>as of today</t>
        </is>
      </c>
      <c r="O9"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9" s="3" t="inlineStr">
        <is>
          <t>Declared by MK-NW-O-008 thePerformance</t>
        </is>
      </c>
      <c r="Q9" s="3" t="inlineStr">
        <is>
          <t>Whatever the records cannot explain lands in the change-in-value line rather than being silently dropped.</t>
        </is>
      </c>
      <c r="R9" s="3" t="inlineStr">
        <is>
          <t>Whatever the records cannot explain lands in the change-in-value line rather than being silently dropped.</t>
        </is>
      </c>
      <c r="S9" s="3" t="inlineStr"/>
      <c r="T9" s="3" t="inlineStr">
        <is>
          <t>Whatever the records cannot explain lands in the change-in-value line rather than being silently dropped.</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2026-10-09</t>
        </is>
      </c>
      <c r="AH9" s="3" t="inlineStr"/>
      <c r="AI9" s="3" t="inlineStr"/>
      <c r="AJ9"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$38,400 at the close of 1 Apr — the day $6,000 was paid in — and $46,600 on 28 Sep 2026, with $825 of dividends received.
GIVES: HOW $30,000 BECAME $46,600 · ALL ACCOUNTS
(the test re-runs this through MK-NW-O-008 thePerformance on every build)</t>
        </is>
      </c>
      <c r="AO9" s="7" t="inlineStr">
        <is>
          <t>RULED, NOT CODED (Q-PF-1 — one question, one function)</t>
        </is>
      </c>
    </row>
    <row r="10" ht="60" customHeight="1">
      <c r="A10" s="3" t="inlineStr">
        <is>
          <t>MK-PF-M-004</t>
        </is>
      </c>
      <c r="B10" s="3" t="inlineStr">
        <is>
          <t>Performance</t>
        </is>
      </c>
      <c r="C10" s="3" t="inlineStr">
        <is>
          <t>/invest · /account-detail</t>
        </is>
      </c>
      <c r="D10" s="3" t="inlineStr">
        <is>
          <t>Ending market value (per account)</t>
        </is>
      </c>
      <c r="E10" s="3" t="inlineStr">
        <is>
          <t>ending_market_value_per_account</t>
        </is>
      </c>
      <c r="F10" s="3" t="inlineStr">
        <is>
          <t>thePerformance</t>
        </is>
      </c>
      <c r="G10" s="3" t="inlineStr">
        <is>
          <t>MK-ST-F-031</t>
        </is>
      </c>
      <c r="H10" s="3" t="inlineStr">
        <is>
          <t>ending market value (this account) = snapshot value of the account on the end date</t>
        </is>
      </c>
      <c r="I10" s="3" t="inlineStr">
        <is>
          <t>the sum of that account’s holdings, at today’s prices, plus its cash</t>
        </is>
      </c>
      <c r="J10" s="3" t="inlineStr">
        <is>
          <t>MK-NW-I-001 your accounts
MK-NW-I-005 the price feed</t>
        </is>
      </c>
      <c r="K10" s="3" t="inlineStr">
        <is>
          <t>dollars, whole</t>
        </is>
      </c>
      <c r="L10" s="3" t="inlineStr">
        <is>
          <t>Nothing in it.</t>
        </is>
      </c>
      <c r="M10" s="3" t="inlineStr">
        <is>
          <t>one account</t>
        </is>
      </c>
      <c r="N10" s="3" t="inlineStr">
        <is>
          <t>as of today</t>
        </is>
      </c>
      <c r="O10" s="3" t="inlineStr">
        <is>
          <t>1. MK-ST-F-083 (accountValuesOn) → Map&lt;string, number&gt;
2. MK-ST-F-056 (has) → NOT DECLARED — the code does not say what it gives back
3. MK-ST-F-033 (onOrBefore) → T | null</t>
        </is>
      </c>
      <c r="P10" s="3" t="inlineStr">
        <is>
          <t>Declared by MK-NW-O-008 thePerformance</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c r="AF10" s="3" t="inlineStr">
        <is>
          <t>ACTIVE</t>
        </is>
      </c>
      <c r="AG10" s="3" t="inlineStr">
        <is>
          <t>2026-10-09</t>
        </is>
      </c>
      <c r="AH10" s="3" t="inlineStr"/>
      <c r="AI10" s="3" t="inlineStr"/>
      <c r="AJ10"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$38,400 at the close of 1 Apr — the day $6,000 was paid in — and $46,600 on 28 Sep 2026, with $825 of dividends received. Asked of that one account.
GIVES: $46,600
(the test re-runs this through MK-NW-O-008 thePerformance on every build)</t>
        </is>
      </c>
      <c r="AO10" s="7" t="inlineStr">
        <is>
          <t>RULED, NOT CODED (Q-PF-1 — one question, one function)</t>
        </is>
      </c>
    </row>
    <row r="11" ht="60" customHeight="1">
      <c r="A11" s="3" t="inlineStr">
        <is>
          <t>MK-PF-M-005</t>
        </is>
      </c>
      <c r="B11" s="3" t="inlineStr">
        <is>
          <t>Performance</t>
        </is>
      </c>
      <c r="C11" s="3" t="inlineStr">
        <is>
          <t>/invest</t>
        </is>
      </c>
      <c r="D11" s="3" t="inlineStr">
        <is>
          <t>each account and its ending value</t>
        </is>
      </c>
      <c r="E11" s="3" t="inlineStr">
        <is>
          <t>each_account_and_its_ending_value</t>
        </is>
      </c>
      <c r="F11" s="3" t="inlineStr">
        <is>
          <t>thePerformance</t>
        </is>
      </c>
      <c r="G11" s="3" t="inlineStr">
        <is>
          <t>MK-NW-O-008</t>
        </is>
      </c>
      <c r="H11" s="3" t="inlineStr">
        <is>
          <t>each investment account’s value, named by the account</t>
        </is>
      </c>
      <c r="I11" s="3" t="inlineStr">
        <is>
          <t>each investment account’s value, named by the account</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account</t>
        </is>
      </c>
      <c r="N11" s="3" t="inlineStr">
        <is>
          <t>as of today</t>
        </is>
      </c>
      <c r="O11"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11" s="3" t="inlineStr">
        <is>
          <t>Declared by MK-NW-O-008 thePerformance</t>
        </is>
      </c>
      <c r="Q11" s="3" t="inlineStr">
        <is>
          <t>Named by ACCOUNT, not by institution — two accounts at one broker must be tellable apart (founder screenshot, 2026-08-17).</t>
        </is>
      </c>
      <c r="R11" s="3" t="inlineStr">
        <is>
          <t>Named by ACCOUNT, not by institution — two accounts at one broker must be tellable apart (founder screenshot, 2026-08-17).</t>
        </is>
      </c>
      <c r="S11" s="3" t="inlineStr"/>
      <c r="T11" s="3" t="inlineStr">
        <is>
          <t>Named by ACCOUNT, not by institution — two accounts at one broker must be tellable apart (founder screenshot, 2026-08-17).</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t>
        </is>
      </c>
      <c r="AF11" s="3" t="inlineStr">
        <is>
          <t>ACTIVE</t>
        </is>
      </c>
      <c r="AG11" s="3" t="inlineStr">
        <is>
          <t>2026-10-09</t>
        </is>
      </c>
      <c r="AH11" s="3" t="inlineStr"/>
      <c r="AI11" s="3" t="inlineStr"/>
      <c r="AJ11"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MK-NW-O-008 thePerformance</t>
        </is>
      </c>
      <c r="AN11" s="3" t="inlineStr">
        <is>
          <t>An account worth $30,000 on 31 Dec 2025 (100 VTI at $260 plus $4,000 cash), $38,400 at the close of 1 Apr — the day $6,000 was paid in — and $46,600 on 28 Sep 2026, with $825 of dividends received. Each account is asked separately, from the same door as the total.
GIVES: $46,600
(the test re-runs this through MK-NW-O-008 thePerformance on every build)</t>
        </is>
      </c>
      <c r="AO11" s="7" t="inlineStr">
        <is>
          <t>RULED, NOT CODED (Q-PF-1 — one question, one function)</t>
        </is>
      </c>
    </row>
    <row r="12" ht="60" customHeight="1">
      <c r="A12" s="3" t="inlineStr">
        <is>
          <t>MK-PF-M-006</t>
        </is>
      </c>
      <c r="B12" s="3" t="inlineStr">
        <is>
          <t>Performance</t>
        </is>
      </c>
      <c r="C12" s="3" t="inlineStr">
        <is>
          <t>/invest</t>
        </is>
      </c>
      <c r="D12" s="3" t="inlineStr">
        <is>
          <t>WHAT EACH CATEGORY EARNED — RETURN</t>
        </is>
      </c>
      <c r="E12" s="3" t="inlineStr">
        <is>
          <t>what_each_category_earned__return</t>
        </is>
      </c>
      <c r="F12" s="3" t="inlineStr">
        <is>
          <t>thePerformance</t>
        </is>
      </c>
      <c r="G12" s="3" t="inlineStr">
        <is>
          <t>MK-NW-O-008</t>
        </is>
      </c>
      <c r="H12" s="3" t="inlineStr">
        <is>
          <t>each class's own return, weighted by what each holding in it is worth</t>
        </is>
      </c>
      <c r="I12" s="3" t="inlineStr">
        <is>
          <t>each class's own return, weighted by what each holding in it is worth</t>
        </is>
      </c>
      <c r="J12" s="3" t="inlineStr">
        <is>
          <t>MK-NW-I-001 your accounts
MK-XS-I-006 the price fetched at</t>
        </is>
      </c>
      <c r="K12" s="3" t="inlineStr">
        <is>
          <t>a return with its sign, two decimals</t>
        </is>
      </c>
      <c r="L12" s="3" t="inlineStr">
        <is>
          <t>$0, and under it the one line "Nothing entered yet. Add your accounts ›" (mock approved 2026-09-12). A real zero that was entered shows a plain $0 with no line.</t>
        </is>
      </c>
      <c r="M12" s="3" t="inlineStr">
        <is>
          <t>one figure per household</t>
        </is>
      </c>
      <c r="N12" s="3" t="inlineStr">
        <is>
          <t>as of today</t>
        </is>
      </c>
      <c r="O12"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12" s="3" t="inlineStr">
        <is>
          <t>Declared by MK-NW-O-008 thePerformance</t>
        </is>
      </c>
      <c r="Q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2" s="3" t="inlineStr"/>
      <c r="T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2" s="3" t="inlineStr"/>
      <c r="V12" s="3" t="inlineStr"/>
      <c r="W12" s="3" t="inlineStr"/>
      <c r="X12" s="3" t="inlineStr"/>
      <c r="Y12" s="3" t="inlineStr"/>
      <c r="Z12" s="3" t="inlineStr">
        <is>
          <t>DECLARED IN THE CODE (rule 11) — printed from the door, not typed. RULED 2026-09-03</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2026-10-09</t>
        </is>
      </c>
      <c r="AH12" s="3" t="inlineStr"/>
      <c r="AI12" s="3" t="inlineStr"/>
      <c r="AJ12"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2026-09-03; the figure, its formula, inputs and refusal live in MK-NW-O-008 thePerformance</t>
        </is>
      </c>
      <c r="AN12"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2" s="7" t="inlineStr">
        <is>
          <t>RULED, NOT CODED (Q-PF-1 — one question, one function)</t>
        </is>
      </c>
    </row>
    <row r="13" ht="60" customHeight="1">
      <c r="A13" s="3" t="inlineStr">
        <is>
          <t>MK-PF-M-007</t>
        </is>
      </c>
      <c r="B13" s="3" t="inlineStr">
        <is>
          <t>Performance</t>
        </is>
      </c>
      <c r="C13" s="3" t="inlineStr">
        <is>
          <t>/invest</t>
        </is>
      </c>
      <c r="D13" s="3" t="inlineStr">
        <is>
          <t>All categories</t>
        </is>
      </c>
      <c r="E13" s="3" t="inlineStr">
        <is>
          <t>all_categories</t>
        </is>
      </c>
      <c r="F13" s="3" t="inlineStr">
        <is>
          <t>thePerformance</t>
        </is>
      </c>
      <c r="G13" s="3" t="inlineStr">
        <is>
          <t>MK-NW-O-008</t>
        </is>
      </c>
      <c r="H13" s="3" t="inlineStr">
        <is>
          <t>every dividend and interest record inside the window, added up by the class of the holding that paid it</t>
        </is>
      </c>
      <c r="I13" s="3" t="inlineStr">
        <is>
          <t>every dividend and interest record inside the window, added up by the class of the holding that paid it</t>
        </is>
      </c>
      <c r="J13" s="3" t="inlineStr">
        <is>
          <t>MK-XS-I-020 the records of money movements</t>
        </is>
      </c>
      <c r="K13" s="3" t="inlineStr">
        <is>
          <t>dollars, whole</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13" s="3" t="inlineStr">
        <is>
          <t>Declared by MK-NW-O-008 thePerformance</t>
        </is>
      </c>
      <c r="Q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3" s="3" t="inlineStr"/>
      <c r="T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3" s="3" t="inlineStr"/>
      <c r="V13" s="3" t="inlineStr"/>
      <c r="W13" s="3" t="inlineStr"/>
      <c r="X13" s="3" t="inlineStr"/>
      <c r="Y13" s="3" t="inlineStr"/>
      <c r="Z13" s="3" t="inlineStr">
        <is>
          <t>DECLARED IN THE CODE (rule 11) — printed from the door, not typed. RULED 2026-09-03</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2026-10-09</t>
        </is>
      </c>
      <c r="AH13" s="3" t="inlineStr"/>
      <c r="AI13" s="3" t="inlineStr"/>
      <c r="AJ13"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2026-09-03; the figure, its formula, inputs and refusal live in MK-NW-O-008 thePerformance</t>
        </is>
      </c>
      <c r="AN13"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3" s="7" t="inlineStr">
        <is>
          <t>RULED, NOT CODED (Q-PF-1 — one question, one function)</t>
        </is>
      </c>
    </row>
    <row r="14" ht="60" customHeight="1">
      <c r="A14" s="3" t="inlineStr">
        <is>
          <t>MK-PF-M-008</t>
        </is>
      </c>
      <c r="B14" s="3" t="inlineStr">
        <is>
          <t>Performance</t>
        </is>
      </c>
      <c r="C14" s="3" t="inlineStr">
        <is>
          <t>/home</t>
        </is>
      </c>
      <c r="D14" s="3" t="inlineStr">
        <is>
          <t>market +X%</t>
        </is>
      </c>
      <c r="E14" s="3" t="inlineStr">
        <is>
          <t>market_x</t>
        </is>
      </c>
      <c r="F14" s="3" t="inlineStr">
        <is>
          <t>thePerformance</t>
        </is>
      </c>
      <c r="G14" s="3" t="inlineStr">
        <is>
          <t>MK-NW-O-008</t>
        </is>
      </c>
      <c r="H14" s="3" t="inlineStr">
        <is>
          <t>each holding's own benchmark return over the same dates, weighted by what that holding is worth</t>
        </is>
      </c>
      <c r="I14" s="3" t="inlineStr">
        <is>
          <t>each holding's own benchmark return over the same dates, weighted by what that holding is worth</t>
        </is>
      </c>
      <c r="J14" s="3" t="inlineStr">
        <is>
          <t>MK-NW-I-001 your accounts
MK-XS-I-006 the price fetched at</t>
        </is>
      </c>
      <c r="K14" s="3" t="inlineStr">
        <is>
          <t>a percentage, two decimals</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14" s="3" t="inlineStr">
        <is>
          <t>Declared by MK-NW-O-008 thePerformance</t>
        </is>
      </c>
      <c r="Q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R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S14" s="3" t="inlineStr"/>
      <c r="T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U14"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t>
        </is>
      </c>
      <c r="V14" s="9"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t>
        </is>
      </c>
      <c r="W14" s="9" t="inlineStr">
        <is>
          <t>Q51 — ANSWERED 2026-09-30: Q51 - make it "you +3.69% (including dividend), market + 2.83%, ahead by 0.85%." … Q51 - including dividend and interest. … Q51 -approved.
BUILT: The Home glance line reads: you +3.69% (including dividends and interest) · market +2.83% · ahead by 0.85%. Built and pinned by guard_d3_screens_agree MK-PF-M-008. Written 'dividends' plural — the word the change walk, the category table and the glossary already use; he approved it knowing so.</t>
        </is>
      </c>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2026-10-09</t>
        </is>
      </c>
      <c r="AH14" s="3" t="inlineStr"/>
      <c r="AI14" s="3" t="inlineStr"/>
      <c r="AJ14"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MK-NW-O-008 thePerformance until you do.</t>
        </is>
      </c>
      <c r="AN14" s="3" t="inlineStr">
        <is>
          <t>$40,000 of shares against a benchmark up 10% over the window, and $10,000 of bonds against one up 4% over the same days.
GIVES: 8.80%
(the test re-runs this through MK-NW-O-008 thePerformance on every build)</t>
        </is>
      </c>
      <c r="AO14" s="9" t="inlineStr">
        <is>
          <t>WAITING ON YOU — question Q33 · WAITING ON YOU — row to approve: say yes in YOUR ANSWER, or say what changes · RULED, NOT CODED (Q-PF-1 — one question, one function)</t>
        </is>
      </c>
    </row>
    <row r="15" ht="60" customHeight="1">
      <c r="A15" s="3" t="inlineStr">
        <is>
          <t>MK-PF-M-010</t>
        </is>
      </c>
      <c r="B15" s="3" t="inlineStr">
        <is>
          <t>Performance</t>
        </is>
      </c>
      <c r="C15" s="3" t="inlineStr">
        <is>
          <t>/look-back</t>
        </is>
      </c>
      <c r="D15" s="3" t="inlineStr">
        <is>
          <t>Left in &lt;fund&gt; it became $X (up/down $Y, Z%)</t>
        </is>
      </c>
      <c r="E15" s="3" t="inlineStr">
        <is>
          <t>left_in_fund_it_became_x_updown_y_z</t>
        </is>
      </c>
      <c r="F15" s="3" t="inlineStr">
        <is>
          <t>theLookBack</t>
        </is>
      </c>
      <c r="G15" s="3" t="inlineStr">
        <is>
          <t>MK-NW-O-007</t>
        </is>
      </c>
      <c r="H15" s="3" t="inlineStr">
        <is>
          <t>the amount × (the fund’s price today ÷ its price at the start of the window)</t>
        </is>
      </c>
      <c r="I15" s="3" t="inlineStr">
        <is>
          <t>the amount × (the fund’s price today ÷ its price at the start of the window)</t>
        </is>
      </c>
      <c r="J15" s="3" t="inlineStr">
        <is>
          <t>MK-NW-I-005 the price feed</t>
        </is>
      </c>
      <c r="K15" s="3" t="inlineStr">
        <is>
          <t>dollars, whole</t>
        </is>
      </c>
      <c r="L15" s="3" t="inlineStr">
        <is>
          <t>No price history over the whole window — the screen shows nothing rather than a shortened one.</t>
        </is>
      </c>
      <c r="M15" s="3" t="inlineStr">
        <is>
          <t>one figure per household</t>
        </is>
      </c>
      <c r="N15" s="3" t="inlineStr">
        <is>
          <t>as of today</t>
        </is>
      </c>
      <c r="O15" s="3" t="inlineStr">
        <is>
          <t>MK-PF-F-023 (lookBack) → LookBackResult | null</t>
        </is>
      </c>
      <c r="P15" s="3" t="inlineStr">
        <is>
          <t>Declared by MK-NW-O-007 theLookBack</t>
        </is>
      </c>
      <c r="Q15" s="3" t="inlineStr">
        <is>
          <t>Price changes only — dividends are not in it, and the screen says so.</t>
        </is>
      </c>
      <c r="R15" s="3" t="inlineStr">
        <is>
          <t>Price changes only — dividends are not in it, and the screen says so.</t>
        </is>
      </c>
      <c r="S15" s="3" t="inlineStr"/>
      <c r="T15" s="3" t="inlineStr">
        <is>
          <t>Price changes only — dividends are not in it, and the screen says so.</t>
        </is>
      </c>
      <c r="U15" s="3" t="inlineStr"/>
      <c r="V15" s="3" t="inlineStr"/>
      <c r="W15" s="3" t="inlineStr"/>
      <c r="X15" s="3" t="inlineStr"/>
      <c r="Y15" s="3" t="inlineStr"/>
      <c r="Z15" s="3" t="inlineStr">
        <is>
          <t>DECLARED IN THE CODE (rule 11) — printed from the door, not typed. RULED 2026-09-28</t>
        </is>
      </c>
      <c r="AA15" s="3" t="inlineStr"/>
      <c r="AB15" s="3" t="inlineStr"/>
      <c r="AC15" s="3" t="inlineStr"/>
      <c r="AD15" s="3" t="inlineStr"/>
      <c r="AE15" s="3" t="inlineStr"/>
      <c r="AF15" s="3" t="inlineStr">
        <is>
          <t>ACTIVE</t>
        </is>
      </c>
      <c r="AG15" s="3" t="inlineStr">
        <is>
          <t>2026-10-09</t>
        </is>
      </c>
      <c r="AH15" s="3" t="inlineStr"/>
      <c r="AI15" s="3" t="inlineStr"/>
      <c r="AJ15" s="3" t="inlineStr">
        <is>
          <t>MK-XS-I-005 holding price — read by MK-NW-O-007, MK-PF-F-022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2026-09-28; the figure, its formula, inputs and refusal live in MK-NW-O-007 theLookBack</t>
        </is>
      </c>
      <c r="AN15" s="3" t="inlineStr">
        <is>
          <t>$10,000 left in BND for 12 months, against moving it to VTI. BND closed $72.00 a year ago and $73.80 now; VTI closed $250.00 and $290.00.
GIVES: $10,250
(the test re-runs this through MK-NW-O-007 theLookBack on every build)</t>
        </is>
      </c>
      <c r="AO15" s="3" t="inlineStr">
        <is>
          <t>NOTHING OPEN</t>
        </is>
      </c>
    </row>
    <row r="16" ht="60" customHeight="1">
      <c r="A16" s="3" t="inlineStr">
        <is>
          <t>MK-PF-M-011</t>
        </is>
      </c>
      <c r="B16" s="3" t="inlineStr">
        <is>
          <t>Performance</t>
        </is>
      </c>
      <c r="C16" s="3" t="inlineStr">
        <is>
          <t>/look-back</t>
        </is>
      </c>
      <c r="D16" s="3" t="inlineStr">
        <is>
          <t>Moved to &lt;fund&gt; it would be $X</t>
        </is>
      </c>
      <c r="E16" s="3" t="inlineStr">
        <is>
          <t>moved_to_fund_it_would_be_x</t>
        </is>
      </c>
      <c r="F16" s="3" t="inlineStr">
        <is>
          <t>theLookBack</t>
        </is>
      </c>
      <c r="G16" s="3" t="inlineStr">
        <is>
          <t>MK-NW-O-007</t>
        </is>
      </c>
      <c r="H16" s="3" t="inlineStr">
        <is>
          <t>the amount × (the other fund’s price today ÷ its price at the start of the window)</t>
        </is>
      </c>
      <c r="I16" s="3" t="inlineStr">
        <is>
          <t>the amount × (the other fund’s price today ÷ its price at the start of the window)</t>
        </is>
      </c>
      <c r="J16" s="3" t="inlineStr">
        <is>
          <t>MK-NW-I-005 the price feed</t>
        </is>
      </c>
      <c r="K16" s="3" t="inlineStr">
        <is>
          <t>dollars, whole</t>
        </is>
      </c>
      <c r="L16" s="3" t="inlineStr">
        <is>
          <t>No price history for the other fund over the whole window.</t>
        </is>
      </c>
      <c r="M16" s="3" t="inlineStr">
        <is>
          <t>one figure per household</t>
        </is>
      </c>
      <c r="N16" s="3" t="inlineStr">
        <is>
          <t>as of today</t>
        </is>
      </c>
      <c r="O16" s="3" t="inlineStr">
        <is>
          <t>MK-PF-F-023 (lookBack) → LookBackResult | null</t>
        </is>
      </c>
      <c r="P16" s="3" t="inlineStr">
        <is>
          <t>Declared by MK-NW-O-007 theLookBack</t>
        </is>
      </c>
      <c r="Q16" s="3" t="inlineStr">
        <is>
          <t>A road not taken, priced from real history — never a projection forward.</t>
        </is>
      </c>
      <c r="R16" s="3" t="inlineStr">
        <is>
          <t>A road not taken, priced from real history — never a projection forward.</t>
        </is>
      </c>
      <c r="S16" s="3" t="inlineStr"/>
      <c r="T16" s="3" t="inlineStr">
        <is>
          <t>A road not taken, priced from real history — never a projection forward.</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2026-10-09</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$11,600
(the test re-runs this through MK-NW-O-007 theLookBack on every build)</t>
        </is>
      </c>
      <c r="AO16" s="3" t="inlineStr">
        <is>
          <t>NOTHING OPEN</t>
        </is>
      </c>
    </row>
    <row r="17" ht="60" customHeight="1">
      <c r="A17" s="3" t="inlineStr">
        <is>
          <t>MK-PF-M-012</t>
        </is>
      </c>
      <c r="B17" s="3" t="inlineStr">
        <is>
          <t>Performance</t>
        </is>
      </c>
      <c r="C17" s="3" t="inlineStr">
        <is>
          <t>/look-back</t>
        </is>
      </c>
      <c r="D17" s="3" t="inlineStr">
        <is>
          <t>Difference: $X more/less if you had moved</t>
        </is>
      </c>
      <c r="E17" s="3" t="inlineStr">
        <is>
          <t>difference_x_moreless_if_you_had_moved</t>
        </is>
      </c>
      <c r="F17" s="3" t="inlineStr">
        <is>
          <t>theLookBack</t>
        </is>
      </c>
      <c r="G17" s="3" t="inlineStr">
        <is>
          <t>MK-NW-O-007</t>
        </is>
      </c>
      <c r="H17" s="3" t="inlineStr">
        <is>
          <t>what it would have become, less what it did become</t>
        </is>
      </c>
      <c r="I17" s="3" t="inlineStr">
        <is>
          <t>what it would have become, less what it did become</t>
        </is>
      </c>
      <c r="J17" s="3" t="inlineStr">
        <is>
          <t>MK-NW-I-005 the price feed</t>
        </is>
      </c>
      <c r="K17" s="3" t="inlineStr">
        <is>
          <t>dollars, whole</t>
        </is>
      </c>
      <c r="L17" s="3" t="inlineStr">
        <is>
          <t>Either fund missing its history means no difference is stated.</t>
        </is>
      </c>
      <c r="M17" s="3" t="inlineStr">
        <is>
          <t>one figure per household</t>
        </is>
      </c>
      <c r="N17" s="3" t="inlineStr">
        <is>
          <t>as of today</t>
        </is>
      </c>
      <c r="O17" s="3" t="inlineStr">
        <is>
          <t>MK-PF-F-023 (lookBack) → LookBackResult | null</t>
        </is>
      </c>
      <c r="P17" s="3" t="inlineStr">
        <is>
          <t>Declared by MK-NW-O-007 theLookBack</t>
        </is>
      </c>
      <c r="Q17" s="3" t="inlineStr">
        <is>
          <t>NONE RECORDED — the declaration names none.</t>
        </is>
      </c>
      <c r="R17" s="3" t="inlineStr">
        <is>
          <t>NONE RECORDED — the declaration names none.</t>
        </is>
      </c>
      <c r="S17" s="3" t="inlineStr"/>
      <c r="T17" s="3" t="inlineStr">
        <is>
          <t>NONE RECORDED — the declaration names none.</t>
        </is>
      </c>
      <c r="U17" s="3" t="inlineStr"/>
      <c r="V17" s="3" t="inlineStr"/>
      <c r="W17" s="3" t="inlineStr"/>
      <c r="X17" s="3" t="inlineStr"/>
      <c r="Y17" s="3" t="inlineStr"/>
      <c r="Z17" s="3" t="inlineStr">
        <is>
          <t>DECLARED IN THE CODE (rule 11) — printed from the door, not typed. RULED 2026-09-28</t>
        </is>
      </c>
      <c r="AA17" s="3" t="inlineStr"/>
      <c r="AB17" s="3" t="inlineStr"/>
      <c r="AC17" s="3" t="inlineStr"/>
      <c r="AD17" s="3" t="inlineStr"/>
      <c r="AE17" s="3" t="inlineStr"/>
      <c r="AF17" s="3" t="inlineStr">
        <is>
          <t>ACTIVE</t>
        </is>
      </c>
      <c r="AG17" s="3" t="inlineStr">
        <is>
          <t>2026-10-09</t>
        </is>
      </c>
      <c r="AH17" s="3" t="inlineStr"/>
      <c r="AI17" s="3" t="inlineStr"/>
      <c r="AJ17" s="3" t="inlineStr">
        <is>
          <t>MK-XS-I-005 holding price — read by MK-NW-O-007, MK-PF-F-022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2026-09-28; the figure, its formula, inputs and refusal live in MK-NW-O-007 theLookBack</t>
        </is>
      </c>
      <c r="AN17" s="3" t="inlineStr">
        <is>
          <t>$10,000 left in BND for 12 months, against moving it to VTI. BND closed $72.00 a year ago and $73.80 now; VTI closed $250.00 and $290.00.
GIVES: $1,350
(the test re-runs this through MK-NW-O-007 theLookBack on every build)</t>
        </is>
      </c>
      <c r="AO17" s="3" t="inlineStr">
        <is>
          <t>NOTHING OPEN</t>
        </is>
      </c>
    </row>
    <row r="18" ht="60" customHeight="1">
      <c r="A18" s="3" t="inlineStr">
        <is>
          <t>MK-PF-M-013</t>
        </is>
      </c>
      <c r="B18" s="3" t="inlineStr">
        <is>
          <t>Performance</t>
        </is>
      </c>
      <c r="C18" s="3" t="inlineStr">
        <is>
          <t>/account-detail · /invest</t>
        </is>
      </c>
      <c r="D18" s="3" t="inlineStr">
        <is>
          <t>Beginning market value</t>
        </is>
      </c>
      <c r="E18" s="3" t="inlineStr">
        <is>
          <t>beginning_market_value</t>
        </is>
      </c>
      <c r="F18" s="3" t="inlineStr">
        <is>
          <t>thePerformance</t>
        </is>
      </c>
      <c r="G18" s="3" t="inlineStr">
        <is>
          <t>MK-NW-O-008</t>
        </is>
      </c>
      <c r="H18" s="3" t="inlineStr">
        <is>
          <t>the account’s value on the day before the window opens, as recorded</t>
        </is>
      </c>
      <c r="I18" s="3" t="inlineStr">
        <is>
          <t>the account’s value on the day before the window opens, as recorded</t>
        </is>
      </c>
      <c r="J18" s="3" t="inlineStr">
        <is>
          <t>MK-NW-I-003 the recorded history</t>
        </is>
      </c>
      <c r="K18" s="3" t="inlineStr">
        <is>
          <t>dollars, whole</t>
        </is>
      </c>
      <c r="L18" s="3" t="inlineStr">
        <is>
          <t>The record does not reach back that far, so the walk is not drawn at all rather than started from a guess.</t>
        </is>
      </c>
      <c r="M18" s="3" t="inlineStr">
        <is>
          <t>one account</t>
        </is>
      </c>
      <c r="N18" s="3" t="inlineStr">
        <is>
          <t>as of today</t>
        </is>
      </c>
      <c r="O18"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18" s="3" t="inlineStr">
        <is>
          <t>Declared by MK-NW-O-008 thePerformance</t>
        </is>
      </c>
      <c r="Q18" s="3" t="inlineStr">
        <is>
          <t>IT IS READ, NOT BACK-SOLVED. Working it out from today’s value less the flows would make the walk add up by construction and prove nothing (his ruling behind MK-NW-F-090).
THE DAY BEFORE THE WINDOW OPENS, not the day it opens — B-115, found 2026-09-30.</t>
        </is>
      </c>
      <c r="R18" s="3" t="inlineStr">
        <is>
          <t>IT IS READ, NOT BACK-SOLVED. Working it out from today’s value less the flows would make the walk add up by construction and prove nothing (his ruling behind MK-NW-F-090).
THE DAY BEFORE THE WINDOW OPENS, not the day it opens — B-115, found 2026-09-30.</t>
        </is>
      </c>
      <c r="S18" s="3" t="inlineStr"/>
      <c r="T18" s="3" t="inlineStr">
        <is>
          <t>IT IS READ, NOT BACK-SOLVED. Working it out from today’s value less the flows would make the walk add up by construction and prove nothing (his ruling behind MK-NW-F-090).
THE DAY BEFORE THE WINDOW OPENS, not the day it opens — B-115, found 2026-09-30.</t>
        </is>
      </c>
      <c r="U18" s="3" t="inlineStr"/>
      <c r="V18" s="3" t="inlineStr"/>
      <c r="W18" s="3" t="inlineStr"/>
      <c r="X18" s="3" t="inlineStr"/>
      <c r="Y18" s="3" t="inlineStr"/>
      <c r="Z18" s="3" t="inlineStr">
        <is>
          <t>DECLARED IN THE CODE (rule 11) — printed from the door, not typed. RULED 2026-10-01</t>
        </is>
      </c>
      <c r="AA18" s="3" t="inlineStr"/>
      <c r="AB18" s="3" t="inlineStr"/>
      <c r="AC18" s="3" t="inlineStr"/>
      <c r="AD18" s="3" t="inlineStr"/>
      <c r="AE18" s="3" t="inlineStr"/>
      <c r="AF18" s="3" t="inlineStr">
        <is>
          <t>ACTIVE</t>
        </is>
      </c>
      <c r="AG18" s="3" t="inlineStr">
        <is>
          <t>2026-10-09</t>
        </is>
      </c>
      <c r="AH18" s="3" t="inlineStr"/>
      <c r="AI18" s="3" t="inlineStr"/>
      <c r="AJ18"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2026-10-01; the figure, its formula, inputs and refusal live in MK-NW-O-008 thePerformance</t>
        </is>
      </c>
      <c r="AN18"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18" s="3" t="inlineStr">
        <is>
          <t>NOTHING OPEN</t>
        </is>
      </c>
    </row>
    <row r="19" ht="60" customHeight="1">
      <c r="A19" s="3" t="inlineStr">
        <is>
          <t>MK-PF-M-014</t>
        </is>
      </c>
      <c r="B19" s="3" t="inlineStr">
        <is>
          <t>Performance</t>
        </is>
      </c>
      <c r="C19" s="3" t="inlineStr">
        <is>
          <t>/account-detail</t>
        </is>
      </c>
      <c r="D19" s="3" t="inlineStr">
        <is>
          <t>Wealth generated</t>
        </is>
      </c>
      <c r="E19" s="3" t="inlineStr">
        <is>
          <t>wealth_generated</t>
        </is>
      </c>
      <c r="F19" s="3" t="inlineStr">
        <is>
          <t>thePerformance</t>
        </is>
      </c>
      <c r="G19" s="3" t="inlineStr">
        <is>
          <t>MK-NW-O-008</t>
        </is>
      </c>
      <c r="H19" s="3" t="inlineStr">
        <is>
          <t>ending − beginning − contributions + withdrawals</t>
        </is>
      </c>
      <c r="I19" s="3" t="inlineStr">
        <is>
          <t>ending − beginning − contributions + withdrawals</t>
        </is>
      </c>
      <c r="J19" s="3" t="inlineStr">
        <is>
          <t>MK-NW-I-003 the recorded history
MK-NW-I-004 the activity records</t>
        </is>
      </c>
      <c r="K19" s="3" t="inlineStr">
        <is>
          <t>dollars, whole</t>
        </is>
      </c>
      <c r="L19" s="3" t="inlineStr">
        <is>
          <t>No beginning to measure from — the line shows nothing rather than a change.</t>
        </is>
      </c>
      <c r="M19" s="3" t="inlineStr">
        <is>
          <t>one account</t>
        </is>
      </c>
      <c r="N19" s="3" t="inlineStr">
        <is>
          <t>as of today</t>
        </is>
      </c>
      <c r="O19"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19" s="3" t="inlineStr">
        <is>
          <t>Declared by MK-NW-O-008 thePerformance</t>
        </is>
      </c>
      <c r="Q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R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S19" s="3" t="inlineStr"/>
      <c r="T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U19" s="3" t="inlineStr"/>
      <c r="V19" s="3" t="inlineStr"/>
      <c r="W19" s="3" t="inlineStr"/>
      <c r="X19" s="3" t="inlineStr"/>
      <c r="Y19" s="3" t="inlineStr"/>
      <c r="Z19" s="3" t="inlineStr">
        <is>
          <t>DECLARED IN THE CODE (rule 11) — printed from the door, not typed. RULED 2026-10-01</t>
        </is>
      </c>
      <c r="AA19" s="3" t="inlineStr"/>
      <c r="AB19" s="3" t="inlineStr"/>
      <c r="AC19" s="3" t="inlineStr"/>
      <c r="AD19" s="3" t="inlineStr"/>
      <c r="AE19" s="3" t="inlineStr"/>
      <c r="AF19" s="3" t="inlineStr">
        <is>
          <t>ACTIVE</t>
        </is>
      </c>
      <c r="AG19" s="3" t="inlineStr">
        <is>
          <t>2026-10-09</t>
        </is>
      </c>
      <c r="AH19" s="3" t="inlineStr"/>
      <c r="AI19" s="3" t="inlineStr"/>
      <c r="AJ19"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2026-10-01; the figure, its formula, inputs and refusal live in MK-NW-O-008 thePerformance</t>
        </is>
      </c>
      <c r="AN19"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19" s="3" t="inlineStr">
        <is>
          <t>NOTHING OPEN</t>
        </is>
      </c>
    </row>
    <row r="20" ht="60" customHeight="1">
      <c r="A20" s="3" t="inlineStr">
        <is>
          <t>MK-PF-M-015</t>
        </is>
      </c>
      <c r="B20" s="3" t="inlineStr">
        <is>
          <t>Performance</t>
        </is>
      </c>
      <c r="C20" s="3" t="inlineStr">
        <is>
          <t>/account-detail · /invest</t>
        </is>
      </c>
      <c r="D20" s="3" t="inlineStr">
        <is>
          <t>one line of the walk</t>
        </is>
      </c>
      <c r="E20" s="3" t="inlineStr">
        <is>
          <t>one_line_of_the_walk</t>
        </is>
      </c>
      <c r="F20" s="3" t="inlineStr">
        <is>
          <t>thePerformance</t>
        </is>
      </c>
      <c r="G20" s="3" t="inlineStr">
        <is>
          <t>MK-NW-O-008</t>
        </is>
      </c>
      <c r="H20" s="3" t="inlineStr">
        <is>
          <t>each recorded flow over the window, and the remainder as the change in value</t>
        </is>
      </c>
      <c r="I20" s="3" t="inlineStr">
        <is>
          <t>each recorded flow over the window, and the remainder as the change in value</t>
        </is>
      </c>
      <c r="J20" s="3" t="inlineStr">
        <is>
          <t>MK-NW-I-004 the activity records</t>
        </is>
      </c>
      <c r="K20" s="3" t="inlineStr">
        <is>
          <t>dollars, whole</t>
        </is>
      </c>
      <c r="L20" s="3" t="inlineStr">
        <is>
          <t>No flows recorded — the line is not drawn.</t>
        </is>
      </c>
      <c r="M20" s="3" t="inlineStr">
        <is>
          <t>one line of one account’s walk</t>
        </is>
      </c>
      <c r="N20" s="3" t="inlineStr">
        <is>
          <t>as of today</t>
        </is>
      </c>
      <c r="O20"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20" s="3" t="inlineStr">
        <is>
          <t>Declared by MK-NW-O-008 thePerformance</t>
        </is>
      </c>
      <c r="Q20" s="3" t="inlineStr">
        <is>
          <t>THE LINES ALWAYS SUM TO THE ENDING, by construction. Whatever the records cannot explain lands in the change-in-value line rather than being silently dropped — a walk that does not add up is worse than no walk.</t>
        </is>
      </c>
      <c r="R20" s="3" t="inlineStr">
        <is>
          <t>THE LINES ALWAYS SUM TO THE ENDING, by construction. Whatever the records cannot explain lands in the change-in-value line rather than being silently dropped — a walk that does not add up is worse than no walk.</t>
        </is>
      </c>
      <c r="S20" s="3" t="inlineStr"/>
      <c r="T20" s="3" t="inlineStr">
        <is>
          <t>THE LINES ALWAYS SUM TO THE ENDING, by construction. Whatever the records cannot explain lands in the change-in-value line rather than being silently dropped — a walk that does not add up is worse than no walk.</t>
        </is>
      </c>
      <c r="U20" s="3" t="inlineStr"/>
      <c r="V20" s="3" t="inlineStr"/>
      <c r="W20" s="3" t="inlineStr"/>
      <c r="X20" s="3" t="inlineStr"/>
      <c r="Y20" s="3" t="inlineStr"/>
      <c r="Z20" s="3" t="inlineStr">
        <is>
          <t>DECLARED IN THE CODE (rule 11) — printed from the door, not typed. RULED 2026-10-01</t>
        </is>
      </c>
      <c r="AA20" s="3" t="inlineStr"/>
      <c r="AB20" s="3" t="inlineStr"/>
      <c r="AC20" s="3" t="inlineStr"/>
      <c r="AD20" s="3" t="inlineStr"/>
      <c r="AE20" s="3" t="inlineStr"/>
      <c r="AF20" s="3" t="inlineStr">
        <is>
          <t>ACTIVE</t>
        </is>
      </c>
      <c r="AG20" s="3" t="inlineStr">
        <is>
          <t>2026-10-09</t>
        </is>
      </c>
      <c r="AH20" s="3" t="inlineStr"/>
      <c r="AI20" s="3" t="inlineStr"/>
      <c r="AJ20"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2026-10-01; the figure, its formula, inputs and refusal live in MK-NW-O-008 thePerformance</t>
        </is>
      </c>
      <c r="AN20"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0" s="3" t="inlineStr">
        <is>
          <t>NOTHING OPEN</t>
        </is>
      </c>
    </row>
    <row r="21" ht="60" customHeight="1">
      <c r="A21" s="3" t="inlineStr">
        <is>
          <t>MK-PF-M-016</t>
        </is>
      </c>
      <c r="B21" s="3" t="inlineStr">
        <is>
          <t>Performance</t>
        </is>
      </c>
      <c r="C21" s="3" t="inlineStr">
        <is>
          <t>/account-detail · /invest</t>
        </is>
      </c>
      <c r="D21" s="3" t="inlineStr">
        <is>
          <t>Return</t>
        </is>
      </c>
      <c r="E21" s="3" t="inlineStr">
        <is>
          <t>return</t>
        </is>
      </c>
      <c r="F21" s="3" t="inlineStr">
        <is>
          <t>thePerformance</t>
        </is>
      </c>
      <c r="G21" s="3" t="inlineStr">
        <is>
          <t>MK-NW-O-008</t>
        </is>
      </c>
      <c r="H21" s="3" t="inlineStr">
        <is>
          <t>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I21" s="3" t="inlineStr">
        <is>
          <t>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J21" s="3" t="inlineStr">
        <is>
          <t>MK-NW-I-003 the recorded history
MK-NW-I-004 the activity records</t>
        </is>
      </c>
      <c r="K21" s="3" t="inlineStr">
        <is>
          <t>a return with its sign, two decimals</t>
        </is>
      </c>
      <c r="L21" s="3" t="inlineStr">
        <is>
          <t>No percent, and a sentence saying why: the record does not reach the start, money moved on a day with no recorded value, shares were moved in or out, or the value that day is less than the money added. It never shows another kind of figure in its place.</t>
        </is>
      </c>
      <c r="M21" s="3" t="inlineStr">
        <is>
          <t>one account</t>
        </is>
      </c>
      <c r="N21" s="3" t="inlineStr">
        <is>
          <t>as of today</t>
        </is>
      </c>
      <c r="O21"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21" s="3" t="inlineStr">
        <is>
          <t>Declared by MK-NW-O-008 thePerformance</t>
        </is>
      </c>
      <c r="Q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R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S21" s="3" t="inlineStr"/>
      <c r="T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U21" s="3" t="inlineStr"/>
      <c r="V21" s="3" t="inlineStr"/>
      <c r="W21" s="3" t="inlineStr"/>
      <c r="X21" s="3" t="inlineStr"/>
      <c r="Y21" s="3" t="inlineStr"/>
      <c r="Z21" s="3" t="inlineStr">
        <is>
          <t>DECLARED IN THE CODE (rule 11) — printed from the door, not typed. RULED 2026-10-04</t>
        </is>
      </c>
      <c r="AA21" s="3" t="inlineStr"/>
      <c r="AB21" s="3" t="inlineStr"/>
      <c r="AC21" s="3" t="inlineStr"/>
      <c r="AD21" s="3" t="inlineStr"/>
      <c r="AE21" s="3" t="inlineStr"/>
      <c r="AF21" s="3" t="inlineStr">
        <is>
          <t>ACTIVE</t>
        </is>
      </c>
      <c r="AG21" s="3" t="inlineStr">
        <is>
          <t>2026-10-09</t>
        </is>
      </c>
      <c r="AH21" s="3" t="inlineStr"/>
      <c r="AI21" s="3" t="inlineStr"/>
      <c r="AJ21"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2026-10-01; the figure, its formula, inputs and refusal live in MK-NW-O-008 thePerformance</t>
        </is>
      </c>
      <c r="AN21" s="3" t="inlineStr">
        <is>
          <t>An account worth $30,000 on 31 Dec 2025 (100 VTI at $260 plus $4,000 cash) and $32,000 on 28 Sep 2026, with nothing paid in or taken out and $825 of it arriving as dividends.
GIVES: +6.67%
(the test re-runs this through MK-NW-O-008 thePerformance on every build)</t>
        </is>
      </c>
      <c r="AO21" s="3" t="inlineStr">
        <is>
          <t>NOTHING OPEN</t>
        </is>
      </c>
    </row>
    <row r="22" ht="60" customHeight="1">
      <c r="A22" s="3" t="inlineStr">
        <is>
          <t>MK-PF-M-017</t>
        </is>
      </c>
      <c r="B22" s="3" t="inlineStr">
        <is>
          <t>Performance</t>
        </is>
      </c>
      <c r="C22" s="3" t="inlineStr">
        <is>
          <t>/invest</t>
        </is>
      </c>
      <c r="D22" s="3" t="inlineStr">
        <is>
          <t>Return</t>
        </is>
      </c>
      <c r="E22" s="3" t="inlineStr">
        <is>
          <t>return</t>
        </is>
      </c>
      <c r="F22" s="3" t="inlineStr">
        <is>
          <t>thePerformance</t>
        </is>
      </c>
      <c r="G22" s="3" t="inlineStr">
        <is>
          <t>MK-NW-O-008</t>
        </is>
      </c>
      <c r="H22" s="3" t="inlineStr">
        <is>
          <t>over every investment account together: 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I22" s="3" t="inlineStr">
        <is>
          <t>over every investment account together: 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J22" s="3" t="inlineStr">
        <is>
          <t>MK-NW-I-003 the recorded history
MK-NW-I-004 the activity records</t>
        </is>
      </c>
      <c r="K22" s="3" t="inlineStr">
        <is>
          <t>a return with its sign, two decimals</t>
        </is>
      </c>
      <c r="L22" s="3" t="inlineStr">
        <is>
          <t>No percent, and a sentence saying why: the record does not reach the start, money moved on a day with no recorded value, shares were moved in or out, or the value that day is less than the money added. It never shows another kind of figure in its place.</t>
        </is>
      </c>
      <c r="M22" s="3" t="inlineStr">
        <is>
          <t>every account together</t>
        </is>
      </c>
      <c r="N22" s="3" t="inlineStr">
        <is>
          <t>as of today</t>
        </is>
      </c>
      <c r="O22"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22" s="3" t="inlineStr">
        <is>
          <t>Declared by MK-NW-O-008 thePerformance</t>
        </is>
      </c>
      <c r="Q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R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S22" s="3" t="inlineStr"/>
      <c r="T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U22" s="3" t="inlineStr"/>
      <c r="V22" s="3" t="inlineStr"/>
      <c r="W22" s="3" t="inlineStr"/>
      <c r="X22" s="3" t="inlineStr"/>
      <c r="Y22" s="3" t="inlineStr"/>
      <c r="Z22" s="3" t="inlineStr">
        <is>
          <t>DECLARED IN THE CODE (rule 11) — printed from the door, not typed. RULED 2026-10-04</t>
        </is>
      </c>
      <c r="AA22" s="3" t="inlineStr"/>
      <c r="AB22" s="3" t="inlineStr"/>
      <c r="AC22" s="3" t="inlineStr"/>
      <c r="AD22" s="3" t="inlineStr"/>
      <c r="AE22" s="3" t="inlineStr"/>
      <c r="AF22" s="3" t="inlineStr">
        <is>
          <t>ACTIVE</t>
        </is>
      </c>
      <c r="AG22" s="3" t="inlineStr">
        <is>
          <t>2026-10-09</t>
        </is>
      </c>
      <c r="AH22" s="3" t="inlineStr"/>
      <c r="AI22" s="3" t="inlineStr"/>
      <c r="AJ22"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2026-10-01; the figure, its formula, inputs and refusal live in MK-NW-O-008 thePerformance</t>
        </is>
      </c>
      <c r="AN22" s="3" t="inlineStr">
        <is>
          <t>An account worth $30,000 on 31 Dec 2025 (100 VTI at $260 plus $4,000 cash) and $32,000 on 28 Sep 2026, with nothing paid in or taken out and $825 of it arriving as dividends.
GIVES: +6.67%
(the test re-runs this through MK-NW-O-008 thePerformance on every build)</t>
        </is>
      </c>
      <c r="AO22" s="3" t="inlineStr">
        <is>
          <t>NOTHING OPEN</t>
        </is>
      </c>
    </row>
    <row r="23" ht="60" customHeight="1">
      <c r="A23" s="3" t="inlineStr">
        <is>
          <t>MK-PF-M-018</t>
        </is>
      </c>
      <c r="B23" s="3" t="inlineStr">
        <is>
          <t>Performance</t>
        </is>
      </c>
      <c r="C23" s="3" t="inlineStr">
        <is>
          <t>/invest</t>
        </is>
      </c>
      <c r="D23" s="3" t="inlineStr">
        <is>
          <t>Beginning market value</t>
        </is>
      </c>
      <c r="E23" s="3" t="inlineStr">
        <is>
          <t>beginning_market_value</t>
        </is>
      </c>
      <c r="F23" s="3" t="inlineStr">
        <is>
          <t>thePerformance</t>
        </is>
      </c>
      <c r="G23" s="3" t="inlineStr">
        <is>
          <t>MK-NW-O-008</t>
        </is>
      </c>
      <c r="H23" s="3" t="inlineStr">
        <is>
          <t>the recorded value of every investment account at the close of the day before the window opens</t>
        </is>
      </c>
      <c r="I23" s="3" t="inlineStr">
        <is>
          <t>the recorded value of every investment account at the close of the day before the window opens</t>
        </is>
      </c>
      <c r="J23" s="3" t="inlineStr">
        <is>
          <t>MK-NW-I-003 the recorded history</t>
        </is>
      </c>
      <c r="K23" s="3" t="inlineStr">
        <is>
          <t>dollars, whole</t>
        </is>
      </c>
      <c r="L23" s="3" t="inlineStr">
        <is>
          <t>No recorded value that far back — the walk starts the day the record does, and says so.</t>
        </is>
      </c>
      <c r="M23" s="3" t="inlineStr">
        <is>
          <t>every account together</t>
        </is>
      </c>
      <c r="N23" s="3" t="inlineStr">
        <is>
          <t>as of today</t>
        </is>
      </c>
      <c r="O23"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23" s="3" t="inlineStr">
        <is>
          <t>Declared by MK-NW-O-008 thePerformance</t>
        </is>
      </c>
      <c r="Q23" s="3" t="inlineStr">
        <is>
          <t>READ, NEVER BACK-SOLVED: with no recorded value the walk says so instead of inventing a start.</t>
        </is>
      </c>
      <c r="R23" s="3" t="inlineStr">
        <is>
          <t>READ, NEVER BACK-SOLVED: with no recorded value the walk says so instead of inventing a start.</t>
        </is>
      </c>
      <c r="S23" s="3" t="inlineStr"/>
      <c r="T23" s="3" t="inlineStr">
        <is>
          <t>READ, NEVER BACK-SOLVED: with no recorded value the walk says so instead of inventing a start.</t>
        </is>
      </c>
      <c r="U23" s="3" t="inlineStr"/>
      <c r="V23" s="3" t="inlineStr"/>
      <c r="W23" s="3" t="inlineStr"/>
      <c r="X23" s="3" t="inlineStr"/>
      <c r="Y23" s="3" t="inlineStr"/>
      <c r="Z23" s="3" t="inlineStr">
        <is>
          <t>DECLARED IN THE CODE (rule 11) — printed from the door, not typed. RULED 2026-10-01</t>
        </is>
      </c>
      <c r="AA23" s="3" t="inlineStr"/>
      <c r="AB23" s="3" t="inlineStr"/>
      <c r="AC23" s="3" t="inlineStr"/>
      <c r="AD23" s="3" t="inlineStr"/>
      <c r="AE23" s="3" t="inlineStr"/>
      <c r="AF23" s="3" t="inlineStr">
        <is>
          <t>ACTIVE</t>
        </is>
      </c>
      <c r="AG23" s="3" t="inlineStr">
        <is>
          <t>2026-10-09</t>
        </is>
      </c>
      <c r="AH23" s="3" t="inlineStr"/>
      <c r="AI23" s="3" t="inlineStr"/>
      <c r="AJ23"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2026-10-01; the figure, its formula, inputs and refusal live in MK-NW-O-008 thePerformance</t>
        </is>
      </c>
      <c r="AN23"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23" s="3" t="inlineStr">
        <is>
          <t>NOTHING OPEN</t>
        </is>
      </c>
    </row>
    <row r="24" ht="60" customHeight="1">
      <c r="A24" s="3" t="inlineStr">
        <is>
          <t>MK-PF-M-019</t>
        </is>
      </c>
      <c r="B24" s="3" t="inlineStr">
        <is>
          <t>Performance</t>
        </is>
      </c>
      <c r="C24" s="3" t="inlineStr">
        <is>
          <t>/invest</t>
        </is>
      </c>
      <c r="D24" s="3" t="inlineStr">
        <is>
          <t>one line of the walk</t>
        </is>
      </c>
      <c r="E24" s="3" t="inlineStr">
        <is>
          <t>one_line_of_the_walk</t>
        </is>
      </c>
      <c r="F24" s="3" t="inlineStr">
        <is>
          <t>thePerformance</t>
        </is>
      </c>
      <c r="G24" s="3" t="inlineStr">
        <is>
          <t>MK-NW-O-008</t>
        </is>
      </c>
      <c r="H24" s="3" t="inlineStr">
        <is>
          <t>contributions and withdrawals from the records inside the window; dividends and interest received; change in value = ending − beginning − contributions + withdrawals − dividends − interest</t>
        </is>
      </c>
      <c r="I24" s="3" t="inlineStr">
        <is>
          <t>contributions and withdrawals from the records inside the window; dividends and interest received; change in value = ending − beginning − contributions + withdrawals − dividends − interest</t>
        </is>
      </c>
      <c r="J24" s="3" t="inlineStr">
        <is>
          <t>MK-NW-I-003 the recorded history
MK-NW-I-004 the activity records</t>
        </is>
      </c>
      <c r="K24" s="3" t="inlineStr">
        <is>
          <t>dollars, whole</t>
        </is>
      </c>
      <c r="L24" s="3" t="inlineStr">
        <is>
          <t>A real $0 — a line with nothing in it still prints, so the structure never changes.</t>
        </is>
      </c>
      <c r="M24" s="3" t="inlineStr">
        <is>
          <t>every account together</t>
        </is>
      </c>
      <c r="N24" s="3" t="inlineStr">
        <is>
          <t>as of today</t>
        </is>
      </c>
      <c r="O24"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24" s="3" t="inlineStr">
        <is>
          <t>Declared by MK-NW-O-008 thePerformance</t>
        </is>
      </c>
      <c r="Q24" s="3" t="inlineStr">
        <is>
          <t>THE LINES ALWAYS ADD UP TO THE ENDING — the change in investment value is what is left, so nothing is lost between the lines.</t>
        </is>
      </c>
      <c r="R24" s="3" t="inlineStr">
        <is>
          <t>THE LINES ALWAYS ADD UP TO THE ENDING — the change in investment value is what is left, so nothing is lost between the lines.</t>
        </is>
      </c>
      <c r="S24" s="3" t="inlineStr"/>
      <c r="T24" s="3" t="inlineStr">
        <is>
          <t>THE LINES ALWAYS ADD UP TO THE ENDING — the change in investment value is what is left, so nothing is lost between the lines.</t>
        </is>
      </c>
      <c r="U24" s="3" t="inlineStr"/>
      <c r="V24" s="3" t="inlineStr"/>
      <c r="W24" s="3" t="inlineStr"/>
      <c r="X24" s="3" t="inlineStr"/>
      <c r="Y24" s="3" t="inlineStr"/>
      <c r="Z24" s="3" t="inlineStr">
        <is>
          <t>DECLARED IN THE CODE (rule 11) — printed from the door, not typed. RULED 2026-10-01</t>
        </is>
      </c>
      <c r="AA24" s="3" t="inlineStr"/>
      <c r="AB24" s="3" t="inlineStr"/>
      <c r="AC24" s="3" t="inlineStr"/>
      <c r="AD24" s="3" t="inlineStr"/>
      <c r="AE24" s="3" t="inlineStr"/>
      <c r="AF24" s="3" t="inlineStr">
        <is>
          <t>ACTIVE</t>
        </is>
      </c>
      <c r="AG24" s="3" t="inlineStr">
        <is>
          <t>2026-10-09</t>
        </is>
      </c>
      <c r="AH24" s="3" t="inlineStr"/>
      <c r="AI24" s="3" t="inlineStr"/>
      <c r="AJ24"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2026-10-01; the figure, its formula, inputs and refusal live in MK-NW-O-008 thePerformance</t>
        </is>
      </c>
      <c r="AN24"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4" s="3" t="inlineStr">
        <is>
          <t>NOTHING OPEN</t>
        </is>
      </c>
    </row>
    <row r="25" ht="60" customHeight="1">
      <c r="A25" s="3" t="inlineStr">
        <is>
          <t>MK-PF-M-020</t>
        </is>
      </c>
      <c r="B25" s="3" t="inlineStr">
        <is>
          <t>Performance</t>
        </is>
      </c>
      <c r="C25" s="3" t="inlineStr">
        <is>
          <t>/invest</t>
        </is>
      </c>
      <c r="D25" s="3" t="inlineStr">
        <is>
          <t>Available cash</t>
        </is>
      </c>
      <c r="E25" s="3" t="inlineStr">
        <is>
          <t>available_cash</t>
        </is>
      </c>
      <c r="F25" s="3" t="inlineStr">
        <is>
          <t>thePerformance</t>
        </is>
      </c>
      <c r="G25" s="3" t="inlineStr">
        <is>
          <t>MK-NW-O-008</t>
        </is>
      </c>
      <c r="H25" s="3" t="inlineStr">
        <is>
          <t>the cash sleeve of a brokerage account; the whole balance of a cash account</t>
        </is>
      </c>
      <c r="I25" s="3" t="inlineStr">
        <is>
          <t>the cash sleeve of a brokerage account; the whole balance of a cash account</t>
        </is>
      </c>
      <c r="J25" s="3" t="inlineStr">
        <is>
          <t>MK-NW-I-001 your accounts</t>
        </is>
      </c>
      <c r="K25" s="3" t="inlineStr">
        <is>
          <t>dollars, whole</t>
        </is>
      </c>
      <c r="L25" s="3" t="inlineStr">
        <is>
          <t>No account picked — the line is not shown.</t>
        </is>
      </c>
      <c r="M25" s="3" t="inlineStr">
        <is>
          <t>one account</t>
        </is>
      </c>
      <c r="N25" s="3" t="inlineStr">
        <is>
          <t>as of today</t>
        </is>
      </c>
      <c r="O25"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25" s="3" t="inlineStr">
        <is>
          <t>Declared by MK-NW-O-008 thePerformance</t>
        </is>
      </c>
      <c r="Q25" s="3" t="inlineStr">
        <is>
          <t>A BUY OR WITHDRAWAL BIGGER THAN THIS IS REFUSED on the sheet, with the words to deposit or transfer cash in first.</t>
        </is>
      </c>
      <c r="R25" s="3" t="inlineStr">
        <is>
          <t>A BUY OR WITHDRAWAL BIGGER THAN THIS IS REFUSED on the sheet, with the words to deposit or transfer cash in first.</t>
        </is>
      </c>
      <c r="S25" s="3" t="inlineStr"/>
      <c r="T25" s="3" t="inlineStr">
        <is>
          <t>A BUY OR WITHDRAWAL BIGGER THAN THIS IS REFUSED on the sheet, with the words to deposit or transfer cash in first.</t>
        </is>
      </c>
      <c r="U25" s="3" t="inlineStr"/>
      <c r="V25" s="3" t="inlineStr"/>
      <c r="W25" s="3" t="inlineStr"/>
      <c r="X25" s="3" t="inlineStr"/>
      <c r="Y25" s="3" t="inlineStr"/>
      <c r="Z25" s="3" t="inlineStr">
        <is>
          <t>DECLARED IN THE CODE (rule 11) — printed from the door, not typed. RULED 2026-10-01</t>
        </is>
      </c>
      <c r="AA25" s="3" t="inlineStr"/>
      <c r="AB25" s="3" t="inlineStr"/>
      <c r="AC25" s="3" t="inlineStr"/>
      <c r="AD25" s="3" t="inlineStr"/>
      <c r="AE25" s="3" t="inlineStr"/>
      <c r="AF25" s="3" t="inlineStr">
        <is>
          <t>ACTIVE</t>
        </is>
      </c>
      <c r="AG25" s="3" t="inlineStr">
        <is>
          <t>2026-10-09</t>
        </is>
      </c>
      <c r="AH25" s="3" t="inlineStr"/>
      <c r="AI25" s="3" t="inlineStr"/>
      <c r="AJ25"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2026-10-01; the figure, its formula, inputs and refusal live in MK-NW-O-008 thePerformance</t>
        </is>
      </c>
      <c r="AN25" s="3" t="inlineStr">
        <is>
          <t>A savings account holding $5,000 and nothing else.
GIVES: $5,000
(the test re-runs this through MK-NW-O-008 thePerformance on every build)</t>
        </is>
      </c>
      <c r="AO25" s="3" t="inlineStr">
        <is>
          <t>NOTHING OPEN</t>
        </is>
      </c>
    </row>
  </sheetData>
  <autoFilter ref="A1:AO2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MK-NW-F-008 incomeBearingClassOf → MK-NW-F-011 assetClassOf → MK-NW-F-030 earmarkDefault → MK-NW-F-032 earmarkedAmount → MK-NW-F-033 retirementEarmarkedValue → MK-PL-F-026 planDoor
2. MK-NW-F-031 primaryCarIdOf → MK-NW-F-033 retirementEarmarkedValue → MK-PL-F-026 planDoor
3. MK-NW-F-008 incomeBearingClassOf → MK-NW-F-011 assetClassOf → MK-NW-F-030 earmarkDefault → MK-NW-F-110 primaryHomeIdOf → MK-NW-F-033 retirementEarmarkedValue → MK-PL-F-026 planDoor
4. MK-NW-F-008 incomeBearingClassOf → MK-NW-F-011 assetClassOf → MK-NW-F-117 propertyUseMap → MK-NW-F-110 primaryHomeIdOf → MK-NW-F-033 retirementEarmarkedValue → MK-PL-F-026 planDoor
5. MK-ST-F-056 has → MK-NW-F-117 propertyUseMap → MK-NW-F-110 primaryHomeIdOf → MK-NW-F-033 retirementEarmarkedValue → MK-PL-F-026 planDoor
6. MK-CF-O-002 expenses → MK-NW-F-115 liveRent → MK-NW-F-117 propertyUseMap → MK-NW-F-110 primaryHomeIdOf → MK-NW-F-033 retirementEarmarkedValue → MK-PL-F-026 planDoor
7. MK-NW-F-114 rentAmount → MK-NW-F-115 liveRent → MK-NW-F-117 propertyUseMap → MK-NW-F-110 primaryHomeIdOf → MK-NW-F-033 retirementEarmarkedValue → MK-PL-F-026 planDoor
8. MK-NW-F-115 liveRent → MK-NW-F-116 rentedIdsOf → MK-NW-F-117 propertyUseMap → MK-NW-F-110 primaryHomeIdOf → MK-NW-F-033 retirementEarmarkedValue → MK-PL-F-026 planDoor
9. … and 1 more paths</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
5. MK-CF-F-150 — Uses a built-in s h o w f i r s t of 5.
6. MK-CF-F-023 — If monthly payment is missing it uses 0.</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MK-XS-I-016 debt minimum payment — read by MK-CF-F-023
8. MK-XS-I-017 birth year — read by MK-PL-F-026
9. MK-XS-I-024 logged expenses — read by MK-CF-F-150, MK-CF-F-151, MK-CF-F-153, MK-CF-O-002, MK-NW-F-115
10. MK-XS-I-041 the payment the person chose to make on a debt — read by MK-CF-F-023
11. MK-XS-I-042 how a stream is paid — monthly, yearly or one lump — read by MK-CF-F-021, MK-CF-F-022, MK-CF-F-023, MK-CF-F-149, MK-CF-F-150, MK-CF-F-152
12. MK-XS-I-048 the person’s own asset-class answer — read by MK-NW-F-011, MK-ST-F-027
13. MK-XS-I-050 the share of an account earmarked for retirement — read by MK-NW-F-032
14.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MK-NW-F-008 incomeBearingClassOf → MK-NW-F-011 assetClassOf → MK-NW-F-030 earmarkDefault → MK-NW-F-032 earmarkedAmount → MK-NW-F-033 retirementEarmarkedValue → MK-PL-F-026 planDoor
2. MK-NW-F-031 primaryCarIdOf → MK-NW-F-033 retirementEarmarkedValue → MK-PL-F-026 planDoor
3. MK-NW-F-008 incomeBearingClassOf → MK-NW-F-011 assetClassOf → MK-NW-F-030 earmarkDefault → MK-NW-F-110 primaryHomeIdOf → MK-NW-F-033 retirementEarmarkedValue → MK-PL-F-026 planDoor
4. MK-NW-F-008 incomeBearingClassOf → MK-NW-F-011 assetClassOf → MK-NW-F-117 propertyUseMap → MK-NW-F-110 primaryHomeIdOf → MK-NW-F-033 retirementEarmarkedValue → MK-PL-F-026 planDoor
5. MK-ST-F-056 has → MK-NW-F-117 propertyUseMap → MK-NW-F-110 primaryHomeIdOf → MK-NW-F-033 retirementEarmarkedValue → MK-PL-F-026 planDoor
6. MK-CF-O-002 expenses → MK-NW-F-115 liveRent → MK-NW-F-117 propertyUseMap → MK-NW-F-110 primaryHomeIdOf → MK-NW-F-033 retirementEarmarkedValue → MK-PL-F-026 planDoor
7. MK-NW-F-114 rentAmount → MK-NW-F-115 liveRent → MK-NW-F-117 propertyUseMap → MK-NW-F-110 primaryHomeIdOf → MK-NW-F-033 retirementEarmarkedValue → MK-PL-F-026 planDoor
8. MK-NW-F-115 liveRent → MK-NW-F-116 rentedIdsOf → MK-NW-F-117 propertyUseMap → MK-NW-F-110 primaryHomeIdOf → MK-NW-F-033 retirementEarmarkedValue → MK-PL-F-026 planDoor
9. … and 1 more paths</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
5. MK-CF-F-150 — Uses a built-in s h o w f i r s t of 5.
6. MK-CF-F-023 — If monthly payment is missing it uses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MK-XS-I-016 debt minimum payment — read by MK-CF-F-023
8. MK-XS-I-017 birth year — read by MK-PL-F-026
9. MK-XS-I-024 logged expenses — read by MK-CF-F-150, MK-CF-F-151, MK-CF-F-153, MK-CF-O-002, MK-NW-F-115
10. MK-XS-I-041 the payment the person chose to make on a debt — read by MK-CF-F-023
11. MK-XS-I-042 how a stream is paid — monthly, yearly or one lump — read by MK-CF-F-021, MK-CF-F-022, MK-CF-F-023, MK-CF-F-149, MK-CF-F-150, MK-CF-F-152
12. MK-XS-I-048 the person’s own asset-class answer — read by MK-NW-F-011, MK-ST-F-027
13. MK-XS-I-050 the share of an account earmarked for retirement — read by MK-NW-F-032
14.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BucketSplit
21. MK-CF-F-083 (totalGrossAnnual) → number
22. MK-PL-F-065 (volOf) → NOT DECLARED — the code does not say what it gives back</t>
        </is>
      </c>
      <c r="P9"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MK-NW-F-031 primaryCarIdOf → MK-NW-F-037 blendedReturn → MK-PL-F-067 willItLastInputs
7. MK-NW-F-008 incomeBearingClassOf → MK-NW-F-011 assetClassOf → MK-NW-F-030 earmarkDefault → MK-NW-F-110 primaryHomeIdOf → MK-NW-F-037 blendedReturn → MK-PL-F-067 willItLastInputs
8. MK-NW-F-008 incomeBearingClassOf → MK-NW-F-011 assetClassOf → MK-NW-F-117 propertyUseMap → MK-NW-F-110 primaryHomeIdOf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MK-ST-F-027
2. MK-XS-I-002 account type (taxable, pre-tax, Roth) — read by MK-NW-F-004, MK-NW-F-011,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MK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BucketSplit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MK-CF-F-023 — If monthly payment is missing it uses 0.</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MK-NW-F-032, MK-ST-F-027
2. MK-XS-I-002 account type (taxable, pre-tax, Roth) — read by MK-NW-F-011, MK-PL-F-001
3. MK-XS-I-004 holding quantity (shares) — read by MK-ST-F-027
4. MK-XS-I-005 holding price — read by MK-ST-F-027
5. MK-XS-I-007 purchase price and date (per lot) — read by MK-ST-F-027
6. MK-XS-I-013 bond maturity date — read by MK-NW-F-011, MK-ST-F-010
7. MK-XS-I-016 debt minimum payment — read by MK-CF-F-023
8. MK-XS-I-018 retirement age — read by MK-PL-F-049
9. MK-XS-I-019 monthly expenses in retirement — read by MK-PL-F-049
10. MK-XS-I-022 pension monthly amount — read by MK-PL-F-049
11. MK-XS-I-024 logged expenses — read by MK-CF-F-150, MK-CF-F-151, MK-CF-F-153, MK-CF-O-002
12. MK-XS-I-028 assumed return — read by MK-PL-F-049
13. MK-XS-I-029 inflation rate — read by MK-PL-F-049
14. MK-XS-I-035 annuity income — read by MK-PL-F-049
15. MK-XS-I-036 other guaranteed income — read by MK-PL-F-049
16. MK-XS-I-041 the payment the person chose to make on a debt — read by MK-CF-F-023
17. MK-XS-I-042 how a stream is paid — monthly, yearly or one lump — read by MK-CF-F-021, MK-CF-F-022, MK-CF-F-023, MK-CF-F-149, MK-CF-F-150, MK-CF-F-152
18. MK-XS-I-043 their own retirement contribution — read by MK-PL-F-049
19. MK-XS-I-044 the person’s own plan overrides — read by MK-PL-F-049
20. MK-XS-I-045 where they will live in retirement — read by MK-PL-F-049
21. MK-XS-I-048 the person’s own asset-class answer — read by MK-NW-F-011, MK-ST-F-027
22. MK-XS-I-050 the share of an account earmarked for retirement — read by MK-NW-F-032
23. MK-XS-I-055 the wrapper an account sits in — ISA, 401(k), IRA and the rest — read by MK-NW-F-011, MK-NW-F-030, MK-PL-F-049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BucketSplit
21. MK-CF-F-083 (totalGrossAnnual) → number
22. MK-PL-F-065 (volOf) → NOT DECLARED — the code does not say what it gives back</t>
        </is>
      </c>
      <c r="P12"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MK-NW-F-031 primaryCarIdOf → MK-NW-F-037 blendedReturn → MK-PL-F-067 willItLastInputs
7. MK-NW-F-008 incomeBearingClassOf → MK-NW-F-011 assetClassOf → MK-NW-F-030 earmarkDefault → MK-NW-F-110 primaryHomeIdOf → MK-NW-F-037 blendedReturn → MK-PL-F-067 willItLastInputs
8. MK-NW-F-008 incomeBearingClassOf → MK-NW-F-011 assetClassOf → MK-NW-F-117 propertyUseMap → MK-NW-F-110 primaryHomeIdOf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MK-ST-F-027
2. MK-XS-I-002 account type (taxable, pre-tax, Roth) — read by MK-NW-F-004, MK-NW-F-011,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MK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1. MK-NW-F-008 incomeBearingClassOf → MK-NW-F-011 assetClassOf → MK-NW-F-007 assetKind → MK-NW-F-034 benchmarkReturn → MK-NW-F-037 blendedReturn → MK-NW-F-003 valueFreshness
2. MK-XS-F-122 n → MK-CF-F-155 cash → MK-NW-F-007 assetKind → MK-NW-F-034 benchmarkReturn → MK-NW-F-037 blendedReturn → MK-NW-F-003 valueFreshness
3. MK-NW-F-008 incomeBearingClassOf → MK-NW-F-011 assetClassOf → MK-NW-F-030 earmarkDefault → MK-NW-F-032 earmarkedAmount → MK-NW-F-037 blendedReturn → MK-NW-F-003 valueFreshness
4. MK-NW-F-031 primaryCarIdOf → MK-NW-F-037 blendedReturn → MK-NW-F-003 valueFreshness
5. MK-NW-F-008 incomeBearingClassOf → MK-NW-F-011 assetClassOf → MK-NW-F-030 earmarkDefault → MK-NW-F-110 primaryHomeIdOf → MK-NW-F-037 blendedReturn → MK-NW-F-003 valueFreshness
6. MK-NW-F-008 incomeBearingClassOf → MK-NW-F-011 assetClassOf → MK-NW-F-117 propertyUseMap → MK-NW-F-110 primaryHomeIdOf → MK-NW-F-037 blendedReturn → MK-NW-F-003 valueFreshness
7. MK-ST-F-056 has → MK-NW-F-117 propertyUseMap → MK-NW-F-110 primaryHomeIdOf → MK-NW-F-037 blendedReturn → MK-NW-F-003 valueFreshness
8. MK-CF-O-002 expenses → MK-NW-F-115 liveRent → MK-NW-F-117 propertyUseMap → MK-NW-F-110 primaryHomeIdOf → MK-NW-F-037 blendedReturn → MK-NW-F-003 valueFreshness
9. … and 3 more paths</t>
        </is>
      </c>
      <c r="Q17" s="3" t="inlineStr">
        <is>
          <t>1. MK-NW-F-003 — Turns a monthly figure into a year by multiplying by twelve.
2. MK-NW-F-003 — Uses today's date from the device clock, so the answer changes by itself overnight.
3. MK-NW-F-034 — If return is missing it uses 6%.
4. MK-NW-F-032 — If balance is missing it counts as zero, so nothing recorded and a real zero look the same.
5. MK-NW-F-032 — Caps percent at 100.
6. MK-NW-F-031 — If balance is missing it counts as zero, so nothing recorded and a real zero look the same.
7. MK-CF-F-150 — Uses a built-in s h o w f i r s t of 5.
8. MK-CF-F-023 — If monthly payment is missing it uses 0.</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BucketSplit
21. MK-CF-F-083 (totalGrossAnnual) → number
22. MK-PL-F-065 (volOf) → NOT DECLARED — the code does not say what it gives back</t>
        </is>
      </c>
      <c r="P30"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MK-NW-F-031 primaryCarIdOf → MK-NW-F-037 blendedReturn → MK-PL-F-067 willItLastInputs
7. MK-NW-F-008 incomeBearingClassOf → MK-NW-F-011 assetClassOf → MK-NW-F-030 earmarkDefault → MK-NW-F-110 primaryHomeIdOf → MK-NW-F-037 blendedReturn → MK-PL-F-067 willItLastInputs
8. MK-NW-F-008 incomeBearingClassOf → MK-NW-F-011 assetClassOf → MK-NW-F-117 propertyUseMap → MK-NW-F-110 primaryHomeIdOf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MK-ST-F-027
2. MK-XS-I-002 account type (taxable, pre-tax, Roth) — read by MK-NW-F-004, MK-NW-F-011,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MK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MK-NW-F-031 primaryCarIdOf → MK-NW-F-033 retirementEarmarkedValue → MK-PL-F-068 selectWillItLast
5. MK-NW-F-008 incomeBearingClassOf → MK-NW-F-011 assetClassOf → MK-NW-F-030 earmarkDefault → MK-NW-F-110 primaryHomeIdOf → MK-NW-F-033 retirementEarmarkedValue → MK-PL-F-068 selectWillItLast
6. MK-NW-F-008 incomeBearingClassOf → MK-NW-F-011 assetClassOf → MK-NW-F-117 propertyUseMap → MK-NW-F-110 primaryHomeIdOf → MK-NW-F-033 retirementEarmarkedValue → MK-PL-F-068 selectWillItLast
7. MK-ST-F-056 has → MK-NW-F-117 propertyUseMap → MK-NW-F-110 primaryHomeIdOf → MK-NW-F-033 retirementEarmarkedValue → MK-PL-F-068 selectWillItLast
8. MK-CF-O-002 expenses → MK-NW-F-115 liveRent → MK-NW-F-117 propertyUseMap → MK-NW-F-110 primaryHomeIdOf → MK-NW-F-033 retirementEarmarkedValue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45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MK-ST-F-027
2. MK-XS-I-002 account type (taxable, pre-tax, Roth) — read by MK-NW-F-004, MK-NW-F-011,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MK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45" customHeight="1">
      <c r="A40" s="3" t="inlineStr"/>
      <c r="B40" s="3" t="inlineStr">
        <is>
          <t>Plan</t>
        </is>
      </c>
      <c r="C40" s="3" t="inlineStr">
        <is>
          <t>/bonds</t>
        </is>
      </c>
      <c r="D40" s="3" t="inlineStr"/>
      <c r="E40" s="3" t="inlineStr"/>
      <c r="F40" s="3" t="inlineStr"/>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STARTED — screen not yet read</t>
        </is>
      </c>
      <c r="Y40" s="3" t="n"/>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/holding-detail</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/itemize</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/look-back</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45" customHeight="1">
      <c r="A44" s="3" t="inlineStr"/>
      <c r="B44" s="3" t="inlineStr">
        <is>
          <t>Plan</t>
        </is>
      </c>
      <c r="C44" s="3" t="inlineStr">
        <is>
          <t>/monthly-income</t>
        </is>
      </c>
      <c r="D44" s="3" t="inlineStr"/>
      <c r="E44" s="3" t="inlineStr"/>
      <c r="F44" s="3" t="inlineStr"/>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STARTED — screen not yet read</t>
        </is>
      </c>
      <c r="Y44" s="3" t="n"/>
      <c r="Z44" s="3" t="n"/>
      <c r="AA44" s="3" t="n"/>
      <c r="AB44" s="3" t="n"/>
      <c r="AC44" s="3" t="n"/>
      <c r="AD44" s="3" t="n"/>
      <c r="AE44" s="3" t="n"/>
      <c r="AF44" s="3" t="n"/>
      <c r="AG44" s="3" t="n"/>
      <c r="AH44" s="3" t="n"/>
      <c r="AI44" s="3" t="n"/>
      <c r="AJ44" s="3" t="n"/>
      <c r="AK44" s="3" t="n"/>
      <c r="AL44" s="3" t="n"/>
      <c r="AM44" s="3" t="n"/>
      <c r="AN44" s="3" t="n"/>
      <c r="AO44" s="3" t="n"/>
    </row>
    <row r="45" ht="60" customHeight="1">
      <c r="A45" s="3" t="inlineStr"/>
      <c r="B45" s="3" t="inlineStr">
        <is>
          <t>Plan</t>
        </is>
      </c>
      <c r="C45" s="3" t="inlineStr">
        <is>
          <t>/performance</t>
        </is>
      </c>
      <c r="D45" s="3" t="inlineStr">
        <is>
          <t>—</t>
        </is>
      </c>
      <c r="E45" s="3" t="inlineStr">
        <is>
          <t>—</t>
        </is>
      </c>
      <c r="F45" s="3" t="inlineStr">
        <is>
          <t>—</t>
        </is>
      </c>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DETERMINED</t>
        </is>
      </c>
      <c r="Y45" s="3" t="inlineStr">
        <is>
          <t>READ 2026-08-22 — the same screen as /invest, reached by a second route</t>
        </is>
      </c>
      <c r="Z45" s="3" t="n"/>
      <c r="AA45" s="3" t="n"/>
      <c r="AB45" s="3" t="n"/>
      <c r="AC45" s="3" t="n"/>
      <c r="AD45" s="3" t="n"/>
      <c r="AE45" s="3" t="n"/>
      <c r="AF45" s="3" t="n"/>
      <c r="AG45" s="3" t="n"/>
      <c r="AH45" s="3" t="n"/>
      <c r="AI45" s="3" t="n"/>
      <c r="AJ45" s="3" t="n"/>
      <c r="AK45" s="3" t="n"/>
      <c r="AL45" s="3" t="n"/>
      <c r="AM45" s="3" t="n"/>
      <c r="AN45" s="3" t="n"/>
      <c r="AO45" s="3" t="n"/>
    </row>
    <row r="46" ht="60" customHeight="1">
      <c r="A46" s="3" t="inlineStr"/>
      <c r="B46" s="3" t="inlineStr">
        <is>
          <t>Plan</t>
        </is>
      </c>
      <c r="C46" s="3" t="inlineStr">
        <is>
          <t>/sharpen</t>
        </is>
      </c>
      <c r="D46" s="3" t="inlineStr">
        <is>
          <t>—</t>
        </is>
      </c>
      <c r="E46" s="3" t="inlineStr">
        <is>
          <t>—</t>
        </is>
      </c>
      <c r="F46" s="3" t="inlineStr">
        <is>
          <t>—</t>
        </is>
      </c>
      <c r="G46" s="3" t="inlineStr"/>
      <c r="H46" s="3" t="inlineStr"/>
      <c r="I46" s="3" t="inlineStr"/>
      <c r="J46" s="3" t="inlineStr"/>
      <c r="K46" s="3" t="inlineStr"/>
      <c r="L46" s="3" t="inlineStr"/>
      <c r="M46" s="3" t="inlineStr"/>
      <c r="N46" s="3" t="inlineStr"/>
      <c r="O46" s="3" t="inlineStr"/>
      <c r="P46" s="3" t="inlineStr"/>
      <c r="Q46" s="3" t="inlineStr"/>
      <c r="R46" s="3" t="inlineStr"/>
      <c r="S46" s="3" t="inlineStr"/>
      <c r="T46" s="3" t="inlineStr"/>
      <c r="U46" s="3" t="inlineStr"/>
      <c r="V46" s="3" t="inlineStr"/>
      <c r="W46" s="3" t="inlineStr"/>
      <c r="X46" s="3" t="inlineStr">
        <is>
          <t>NOT DETERMINED</t>
        </is>
      </c>
      <c r="Y46" s="3" t="inlineStr">
        <is>
          <t>READ 2026-08-22 — no calculated figure on this screen</t>
        </is>
      </c>
      <c r="Z46" s="3" t="n"/>
      <c r="AA46" s="3" t="n"/>
      <c r="AB46" s="3" t="n"/>
      <c r="AC46" s="3" t="n"/>
      <c r="AD46" s="3" t="n"/>
      <c r="AE46" s="3" t="n"/>
      <c r="AF46" s="3" t="n"/>
      <c r="AG46" s="3" t="n"/>
      <c r="AH46" s="3" t="n"/>
      <c r="AI46" s="3" t="n"/>
      <c r="AJ46" s="3" t="n"/>
      <c r="AK46" s="3" t="n"/>
      <c r="AL46" s="3" t="n"/>
      <c r="AM46" s="3" t="n"/>
      <c r="AN46" s="3" t="n"/>
      <c r="AO46" s="3" t="n"/>
    </row>
  </sheetData>
  <autoFilter ref="A1:AO46"/>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7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Cashflow</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Cashflow</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Cashflow</t>
        </is>
      </c>
      <c r="C4" s="3" t="inlineStr">
        <is>
          <t>/bill-calendar</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Cashflow</t>
        </is>
      </c>
      <c r="C5" s="3" t="inlineStr">
        <is>
          <t>/bonds</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Cashflow</t>
        </is>
      </c>
      <c r="C6" s="3" t="inlineStr">
        <is>
          <t>/holding-detail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Cashflow</t>
        </is>
      </c>
      <c r="C7" s="3" t="inlineStr">
        <is>
          <t>/income-manager</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Cashflow</t>
        </is>
      </c>
      <c r="C8" s="3" t="inlineStr">
        <is>
          <t>/itemize</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Cashflow</t>
        </is>
      </c>
      <c r="C9" s="3" t="inlineStr">
        <is>
          <t>/look-back</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45" customHeight="1">
      <c r="A10" s="3" t="inlineStr"/>
      <c r="B10" s="3" t="inlineStr">
        <is>
          <t>Cashflow</t>
        </is>
      </c>
      <c r="C10" s="3" t="inlineStr">
        <is>
          <t>/monthly-income</t>
        </is>
      </c>
      <c r="D10" s="3" t="inlineStr"/>
      <c r="E10" s="3" t="inlineStr"/>
      <c r="F10" s="3" t="inlineStr"/>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STARTED — screen not yet read</t>
        </is>
      </c>
      <c r="Y10" s="3" t="n"/>
      <c r="Z10" s="3" t="n"/>
      <c r="AA10" s="3" t="n"/>
      <c r="AB10" s="3" t="n"/>
      <c r="AC10" s="3" t="n"/>
      <c r="AD10" s="3" t="n"/>
      <c r="AE10" s="3" t="n"/>
      <c r="AF10" s="3" t="n"/>
      <c r="AG10" s="3" t="n"/>
      <c r="AH10" s="3" t="n"/>
      <c r="AI10" s="3" t="n"/>
      <c r="AJ10" s="3" t="n"/>
      <c r="AK10" s="3" t="n"/>
      <c r="AL10" s="3" t="n"/>
      <c r="AM10" s="3" t="n"/>
      <c r="AN10" s="3" t="n"/>
      <c r="AO10" s="3" t="n"/>
    </row>
    <row r="11" ht="60" customHeight="1">
      <c r="A11" s="3" t="inlineStr"/>
      <c r="B11" s="3" t="inlineStr">
        <is>
          <t>Cashflow</t>
        </is>
      </c>
      <c r="C11" s="3" t="inlineStr">
        <is>
          <t>/onboarding</t>
        </is>
      </c>
      <c r="D11" s="3" t="inlineStr">
        <is>
          <t>—</t>
        </is>
      </c>
      <c r="E11" s="3" t="inlineStr">
        <is>
          <t>—</t>
        </is>
      </c>
      <c r="F11" s="3" t="inlineStr">
        <is>
          <t>—</t>
        </is>
      </c>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DETERMINED</t>
        </is>
      </c>
      <c r="Y11" s="3" t="inlineStr">
        <is>
          <t>READ 2026-08-22 — no calculated figure on this screen</t>
        </is>
      </c>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Cashflow</t>
        </is>
      </c>
      <c r="C12" s="3" t="inlineStr">
        <is>
          <t>/performance</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the same screen as /invest, reached by a second route</t>
        </is>
      </c>
      <c r="Z12" s="3" t="n"/>
      <c r="AA12" s="3" t="n"/>
      <c r="AB12" s="3" t="n"/>
      <c r="AC12" s="3" t="n"/>
      <c r="AD12" s="3" t="n"/>
      <c r="AE12" s="3" t="n"/>
      <c r="AF12" s="3" t="n"/>
      <c r="AG12" s="3" t="n"/>
      <c r="AH12" s="3" t="n"/>
      <c r="AI12" s="3" t="n"/>
      <c r="AJ12" s="3" t="n"/>
      <c r="AK12" s="3" t="n"/>
      <c r="AL12" s="3" t="n"/>
      <c r="AM12" s="3" t="n"/>
      <c r="AN12" s="3" t="n"/>
      <c r="AO12" s="3" t="n"/>
    </row>
    <row r="13" ht="60" customHeight="1">
      <c r="A13" s="3" t="inlineStr">
        <is>
          <t>MK-CF-M-001</t>
        </is>
      </c>
      <c r="B13" s="3" t="inlineStr">
        <is>
          <t>Cashflow</t>
        </is>
      </c>
      <c r="C13" s="3" t="inlineStr">
        <is>
          <t>/cashflow</t>
        </is>
      </c>
      <c r="D13" s="3" t="inlineStr">
        <is>
          <t>Expenses</t>
        </is>
      </c>
      <c r="E13" s="3" t="inlineStr">
        <is>
          <t>expenses</t>
        </is>
      </c>
      <c r="F13" s="3" t="inlineStr">
        <is>
          <t>theMonth</t>
        </is>
      </c>
      <c r="G13" s="3" t="inlineStr">
        <is>
          <t>MK-CF-O-010</t>
        </is>
      </c>
      <c r="H13" s="3" t="inlineStr">
        <is>
          <t>your budget — the per-category plan added up</t>
        </is>
      </c>
      <c r="I13" s="3" t="inlineStr">
        <is>
          <t>your budget — the per-category plan added up</t>
        </is>
      </c>
      <c r="J13" s="3" t="inlineStr">
        <is>
          <t>MK-CF-I-001 your logged expenses</t>
        </is>
      </c>
      <c r="K13" s="3" t="inlineStr">
        <is>
          <t>dollars, whole a month</t>
        </is>
      </c>
      <c r="L13" s="3" t="inlineStr">
        <is>
          <t>$0, and under it the one line "Nothing entered yet. Add your income ›" (mock approved 2026-09-12). A real zero that was entered shows a plain $0 with no line.</t>
        </is>
      </c>
      <c r="M13" s="3" t="inlineStr">
        <is>
          <t>one figure per household</t>
        </is>
      </c>
      <c r="N13" s="3" t="inlineStr">
        <is>
          <t>a month</t>
        </is>
      </c>
      <c r="O13" s="3" t="inlineStr">
        <is>
          <t>1. MK-CF-F-203 (MONTH) → NOT DECLARED — the code does not say what it gives back
2. MK-CF-F-155 (cash) → number
3. MK-CF-O-002 (expenses) → Expenses
4. MK-CF-O-003 (thisMonth) → ThisMonth</t>
        </is>
      </c>
      <c r="P13" s="3" t="inlineStr">
        <is>
          <t>Declared by MK-CF-O-010 theMonth</t>
        </is>
      </c>
      <c r="Q13" s="3" t="inlineStr">
        <is>
          <t>One line on This month, and the Expenses tab is its detail — not a second answer to the same question (his correction, 2026-09-28).</t>
        </is>
      </c>
      <c r="R13" s="3" t="inlineStr">
        <is>
          <t>One line on This month, and the Expenses tab is its detail — not a second answer to the same question (his correction, 2026-09-28).</t>
        </is>
      </c>
      <c r="S13" s="3" t="inlineStr"/>
      <c r="T13" s="3" t="inlineStr">
        <is>
          <t>One line on This month, and the Expenses tab is its detail — not a second answer to the same question (his correction, 2026-09-28).</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income ›'). File written; the screen follows the approved empty-state mock (one pattern, one screen), then every screen.</t>
        </is>
      </c>
      <c r="AF13" s="3" t="inlineStr">
        <is>
          <t>ACTIVE</t>
        </is>
      </c>
      <c r="AG13" s="3" t="inlineStr">
        <is>
          <t>2026-10-09</t>
        </is>
      </c>
      <c r="AH13" s="3" t="inlineStr"/>
      <c r="AI13" s="3" t="inlineStr"/>
      <c r="AJ1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MK-CF-O-010 theMonth</t>
        </is>
      </c>
      <c r="AN13"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-$3,400/month
(the test re-runs this through MK-CF-O-010 theMonth on every build)</t>
        </is>
      </c>
      <c r="AO13" s="7" t="inlineStr">
        <is>
          <t>RULED, NOT CODED (Q-CF-2 — one question, one function)</t>
        </is>
      </c>
    </row>
    <row r="14" ht="60" customHeight="1">
      <c r="A14" s="3" t="inlineStr">
        <is>
          <t>MK-CF-M-002</t>
        </is>
      </c>
      <c r="B14" s="3" t="inlineStr">
        <is>
          <t>Cashflow</t>
        </is>
      </c>
      <c r="C14" s="3" t="inlineStr">
        <is>
          <t>/cashflow · /home</t>
        </is>
      </c>
      <c r="D14" s="3">
        <f> Planned surplus</f>
        <v/>
      </c>
      <c r="E14" s="3" t="inlineStr">
        <is>
          <t>planned_surplus</t>
        </is>
      </c>
      <c r="F14" s="3" t="inlineStr">
        <is>
          <t>theMonth</t>
        </is>
      </c>
      <c r="G14" s="3" t="inlineStr">
        <is>
          <t>MK-CF-O-010</t>
        </is>
      </c>
      <c r="H14" s="3" t="inlineStr">
        <is>
          <t>the inflow, less every debt payment due, less the budget, less each big-ticket item</t>
        </is>
      </c>
      <c r="I14" s="3" t="inlineStr">
        <is>
          <t>the inflow, less every debt payment due, less the budget, less each big-ticket item</t>
        </is>
      </c>
      <c r="J14" s="3" t="inlineStr">
        <is>
          <t>MK-XS-I-023 salary and other income
MK-NW-I-002 your debts
MK-CF-I-001 your logged expenses</t>
        </is>
      </c>
      <c r="K14" s="3" t="inlineStr">
        <is>
          <t>dollars, whole a month</t>
        </is>
      </c>
      <c r="L14" s="3" t="inlineStr">
        <is>
          <t>$0, and under it the one line "Nothing entered yet. Add your bills ›" (mock approved 2026-09-12). A real zero that was entered shows a plain $0 with no line.</t>
        </is>
      </c>
      <c r="M14" s="3" t="inlineStr">
        <is>
          <t>one figure per household</t>
        </is>
      </c>
      <c r="N14" s="3" t="inlineStr">
        <is>
          <t>a month</t>
        </is>
      </c>
      <c r="O14" s="3" t="inlineStr">
        <is>
          <t>1. MK-CF-F-203 (MONTH) → NOT DECLARED — the code does not say what it gives back
2. MK-CF-F-155 (cash) → number
3. MK-CF-O-002 (expenses) → Expenses
4. MK-CF-O-003 (thisMonth) → ThisMonth</t>
        </is>
      </c>
      <c r="P14" s="3" t="inlineStr">
        <is>
          <t>Declared by MK-CF-O-010 theMonth</t>
        </is>
      </c>
      <c r="Q14" s="3" t="inlineStr">
        <is>
          <t>EVERY ROW SHOWN IS A ROW DEDUCTED (his rule under the approved design): nothing appears on This month without being in the sum.</t>
        </is>
      </c>
      <c r="R14" s="3" t="inlineStr">
        <is>
          <t>EVERY ROW SHOWN IS A ROW DEDUCTED (his rule under the approved design): nothing appears on This month without being in the sum.</t>
        </is>
      </c>
      <c r="S14" s="3" t="inlineStr"/>
      <c r="T14"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bills ›'). File written; the screen follows the approved empty-state mock (one pattern, one screen), then every screen.</t>
        </is>
      </c>
      <c r="AF14" s="3" t="inlineStr">
        <is>
          <t>ACTIVE</t>
        </is>
      </c>
      <c r="AG14" s="3" t="inlineStr">
        <is>
          <t>2026-10-09</t>
        </is>
      </c>
      <c r="AH14" s="3" t="inlineStr"/>
      <c r="AI14" s="3" t="inlineStr"/>
      <c r="AJ1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MK-CF-O-010 theMonth</t>
        </is>
      </c>
      <c r="AN1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$1,150/month
(the test re-runs this through MK-CF-O-010 theMonth on every build)</t>
        </is>
      </c>
      <c r="AO14" s="7" t="inlineStr">
        <is>
          <t>RULED, NOT CODED (Q-CF-2 — one question, one function)</t>
        </is>
      </c>
    </row>
    <row r="15" ht="60" customHeight="1">
      <c r="A15" s="3" t="inlineStr">
        <is>
          <t>MK-CF-M-003</t>
        </is>
      </c>
      <c r="B15" s="3" t="inlineStr">
        <is>
          <t>Cashflow</t>
        </is>
      </c>
      <c r="C15" s="3" t="inlineStr">
        <is>
          <t>/cashflow</t>
        </is>
      </c>
      <c r="D15" s="3">
        <f> Actual surplus so far</f>
        <v/>
      </c>
      <c r="E15" s="3" t="inlineStr">
        <is>
          <t>actual_surplus_so_far</t>
        </is>
      </c>
      <c r="F15" s="3" t="inlineStr">
        <is>
          <t>theMonth</t>
        </is>
      </c>
      <c r="G15" s="3" t="inlineStr">
        <is>
          <t>MK-CF-O-010</t>
        </is>
      </c>
      <c r="H15" s="3" t="inlineStr">
        <is>
          <t>the inflow received, less each debt actually paid, less everything logged by hand and imported</t>
        </is>
      </c>
      <c r="I15" s="3" t="inlineStr">
        <is>
          <t>the inflow received, less each debt actually paid, less everything logged by hand and imported</t>
        </is>
      </c>
      <c r="J15" s="3" t="inlineStr">
        <is>
          <t>MK-NW-I-004 the activity records
MK-CF-I-001 your logged expenses</t>
        </is>
      </c>
      <c r="K15" s="3" t="inlineStr">
        <is>
          <t>dollars, whole a month</t>
        </is>
      </c>
      <c r="L15" s="3" t="inlineStr">
        <is>
          <t>Nothing logged and no card linked — it says so and offers the door.</t>
        </is>
      </c>
      <c r="M15" s="3" t="inlineStr">
        <is>
          <t>one figure per household</t>
        </is>
      </c>
      <c r="N15" s="3" t="inlineStr">
        <is>
          <t>a month</t>
        </is>
      </c>
      <c r="O15" s="3" t="inlineStr">
        <is>
          <t>1. MK-CF-F-203 (MONTH) → NOT DECLARED — the code does not say what it gives back
2. MK-CF-F-155 (cash) → number
3. MK-CF-O-002 (expenses) → Expenses
4. MK-CF-O-003 (thisMonth) → ThisMonth</t>
        </is>
      </c>
      <c r="P15" s="3" t="inlineStr">
        <is>
          <t>Declared by MK-CF-O-010 theMonth</t>
        </is>
      </c>
      <c r="Q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15" s="3" t="inlineStr"/>
      <c r="T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c r="AF15" s="3" t="inlineStr">
        <is>
          <t>ACTIVE</t>
        </is>
      </c>
      <c r="AG15" s="3" t="inlineStr">
        <is>
          <t>2026-10-09</t>
        </is>
      </c>
      <c r="AH15" s="3" t="inlineStr"/>
      <c r="AI15" s="3" t="inlineStr"/>
      <c r="AJ1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MK-CF-O-010 theMonth</t>
        </is>
      </c>
      <c r="AN1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$3,952/month
(the test re-runs this through MK-CF-O-010 theMonth on every build)</t>
        </is>
      </c>
      <c r="AO15" s="7" t="inlineStr">
        <is>
          <t>RULED, NOT CODED (Q-CF-2 — one question, one function)</t>
        </is>
      </c>
    </row>
    <row r="16" ht="60" customHeight="1">
      <c r="A16" s="3" t="inlineStr">
        <is>
          <t>MK-CF-M-004</t>
        </is>
      </c>
      <c r="B16" s="3" t="inlineStr">
        <is>
          <t>Cashflow</t>
        </is>
      </c>
      <c r="C16" s="3" t="inlineStr">
        <is>
          <t>/cashflow</t>
        </is>
      </c>
      <c r="D16" s="3" t="inlineStr">
        <is>
          <t>each row of the month — what it is and what it costs</t>
        </is>
      </c>
      <c r="E16" s="3" t="inlineStr">
        <is>
          <t>each_row_of_the_month__what_it_is_and_wh</t>
        </is>
      </c>
      <c r="F16" s="3" t="inlineStr">
        <is>
          <t>theMonth</t>
        </is>
      </c>
      <c r="G16" s="3" t="inlineStr">
        <is>
          <t>MK-CF-F-194</t>
        </is>
      </c>
      <c r="H16" s="3" t="inlineStr">
        <is>
          <t>outflow = expenses this month + debt actually paid this month  (a month with a saved snapshot: its expenses + debt paid; a month without one: the expenses logged so far)</t>
        </is>
      </c>
      <c r="I16" s="3" t="inlineStr">
        <is>
          <t>This month's outflow: everything logged as an expense plus every debt payment actually made — from one function (MK-CF-F-194 monthOutflow), never added on the screen. The label says what is inside: "Outflow (expenses + debt)".</t>
        </is>
      </c>
      <c r="J16" s="3" t="inlineStr">
        <is>
          <t>MK-XS-I-023 salary and other income
MK-NW-I-002 your debts
MK-CF-I-001 your logged expenses</t>
        </is>
      </c>
      <c r="K16" s="3" t="inlineStr">
        <is>
          <t>dollars, whole</t>
        </is>
      </c>
      <c r="L16" s="3" t="inlineStr">
        <is>
          <t>$0, and under it the one line "Nothing entered yet. Log your expenses ›" (mock approved 2026-09-12). A real zero that was entered shows a plain $0 with no line.</t>
        </is>
      </c>
      <c r="M16" s="3" t="inlineStr">
        <is>
          <t>one row</t>
        </is>
      </c>
      <c r="N16" s="3" t="inlineStr">
        <is>
          <t>as of today</t>
        </is>
      </c>
      <c r="O16" s="3" t="inlineStr">
        <is>
          <t>None — it reads its inputs and answers</t>
        </is>
      </c>
      <c r="P16" s="3" t="inlineStr">
        <is>
          <t>Declared by MK-CF-O-010 theMonth</t>
        </is>
      </c>
      <c r="Q16" s="3" t="inlineStr">
        <is>
          <t>Drawn from the approved design (cash-flow_v01): the flow is SPELLED OUT, not summarised into three numbers.</t>
        </is>
      </c>
      <c r="R16" s="3" t="inlineStr">
        <is>
          <t>Drawn from the approved design (cash-flow_v01): the flow is SPELLED OUT, not summarised into three numbers.</t>
        </is>
      </c>
      <c r="S16" s="3" t="inlineStr"/>
      <c r="T16"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6" s="3" t="inlineStr"/>
      <c r="V16"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16" s="9" t="inlineStr">
        <is>
          <t>count them</t>
        </is>
      </c>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('Log your expenses ›'). File written; the screen follows the approved empty-state mock (one pattern, one screen), then every screen.</t>
        </is>
      </c>
      <c r="AF16" s="3" t="inlineStr">
        <is>
          <t>ACTIVE</t>
        </is>
      </c>
      <c r="AG16" s="3" t="inlineStr">
        <is>
          <t>2026-10-09</t>
        </is>
      </c>
      <c r="AH16" s="3" t="inlineStr"/>
      <c r="AI16" s="3" t="inlineStr"/>
      <c r="AJ16" s="3" t="inlineStr">
        <is>
          <t>NONE — no function in this chain reads a stored input the sweep knows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MK-CF-O-010 theMonth</t>
        </is>
      </c>
      <c r="AN1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-$250
(the test re-runs this through MK-CF-O-010 theMonth on every build)</t>
        </is>
      </c>
      <c r="AO16" s="9" t="inlineStr">
        <is>
          <t>WAITING ON YOU — question Q50 · RULED, NOT CODED (Q-CF-2 — one question, one function)</t>
        </is>
      </c>
    </row>
    <row r="17" ht="60" customHeight="1">
      <c r="A17" s="3" t="inlineStr">
        <is>
          <t>MK-CF-M-006</t>
        </is>
      </c>
      <c r="B17" s="3" t="inlineStr">
        <is>
          <t>Cashflow</t>
        </is>
      </c>
      <c r="C17" s="3" t="inlineStr">
        <is>
          <t>/cashflow</t>
        </is>
      </c>
      <c r="D17" s="3" t="inlineStr">
        <is>
          <t>YOUR SOURCES — Base salary</t>
        </is>
      </c>
      <c r="E17" s="3" t="inlineStr">
        <is>
          <t>your_sources__base_salary</t>
        </is>
      </c>
      <c r="F17" s="3" t="inlineStr">
        <is>
          <t>incomeSummary</t>
        </is>
      </c>
      <c r="G17" s="3" t="inlineStr">
        <is>
          <t>MK-CF-O-004</t>
        </is>
      </c>
      <c r="H17" s="3" t="inlineStr">
        <is>
          <t>the base salary of each earner, in the period it was entered</t>
        </is>
      </c>
      <c r="I17" s="3" t="inlineStr">
        <is>
          <t>the base salary of each earner, in the period it was entered</t>
        </is>
      </c>
      <c r="J17" s="3" t="inlineStr">
        <is>
          <t>MK-XS-I-023 salary and other income
MK-XS-I-060 how a person is paid — weekly, fortnightly, monthly</t>
        </is>
      </c>
      <c r="K17" s="3" t="inlineStr">
        <is>
          <t>dollars, whole</t>
        </is>
      </c>
      <c r="L17" s="3" t="inlineStr">
        <is>
          <t>$0, and under it the one line "Nothing entered yet. Add your income ›" (mock approved 2026-09-12). A real zero that was entered shows a plain $0 with no line.</t>
        </is>
      </c>
      <c r="M17" s="3" t="inlineStr">
        <is>
          <t>one earner</t>
        </is>
      </c>
      <c r="N17" s="3" t="inlineStr">
        <is>
          <t>as of today</t>
        </is>
      </c>
      <c r="O1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7" s="3" t="inlineStr">
        <is>
          <t>Declared by MK-CF-O-004 incomeSummary</t>
        </is>
      </c>
      <c r="Q17" s="3" t="inlineStr">
        <is>
          <t>NEVER CONVERTED SILENTLY: the amount is shown in the period it was entered, and the period is said beside it.</t>
        </is>
      </c>
      <c r="R17" s="3" t="inlineStr">
        <is>
          <t>NEVER CONVERTED SILENTLY: the amount is shown in the period it was entered, and the period is said beside it.</t>
        </is>
      </c>
      <c r="S17" s="3" t="inlineStr"/>
      <c r="T17" s="3" t="inlineStr">
        <is>
          <t>NEVER CONVERTED SILENTLY: the amount is shown in the period it was entered, and the period is said beside it.</t>
        </is>
      </c>
      <c r="U17" s="3" t="inlineStr"/>
      <c r="V17" s="3" t="inlineStr"/>
      <c r="W17" s="3" t="inlineStr"/>
      <c r="X17" s="3" t="inlineStr"/>
      <c r="Y17" s="3" t="inlineStr"/>
      <c r="Z17" s="3" t="inlineStr">
        <is>
          <t>DECLARED IN THE CODE (rule 11) — printed from the door, not typed. RULED 2026-10-02</t>
        </is>
      </c>
      <c r="AA17" s="3" t="inlineStr"/>
      <c r="AB17" s="3" t="inlineStr"/>
      <c r="AC17" s="3" t="inlineStr"/>
      <c r="AD17" s="3" t="inlineStr"/>
      <c r="AE17" s="3" t="inlineStr">
        <is>
          <t>G32 / Q48 — 2026-09-09: the 'division with nothing on the bottom' boilerplate is gone; this cell now states the row's real refusal. Where it says 'built', the screen already does it; the rest follow the empty-state mock.</t>
        </is>
      </c>
      <c r="AF17" s="3" t="inlineStr">
        <is>
          <t>ACTIVE</t>
        </is>
      </c>
      <c r="AG17" s="3" t="inlineStr">
        <is>
          <t>2026-10-09</t>
        </is>
      </c>
      <c r="AH17" s="3" t="inlineStr"/>
      <c r="AI17" s="3" t="inlineStr"/>
      <c r="AJ17"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2026-10-02; the figure, its formula, inputs and refusal live in MK-CF-O-004 incomeSummary</t>
        </is>
      </c>
      <c r="AN17" s="3" t="inlineStr">
        <is>
          <t>The two earners above, plus $24,000/year of self-employment, a $12,000 bonus in March, 50 shares vesting at $400, a rental bringing in $2,000/month against $800 of costs, and $2,100/month of Social Security.
GIVES: $4,200
(the test re-runs this through MK-CF-O-004 incomeSummary on every build)</t>
        </is>
      </c>
      <c r="AO17" s="7" t="inlineStr">
        <is>
          <t>RULED, NOT CODED (Q-CF-1 — one question, one function)</t>
        </is>
      </c>
    </row>
    <row r="18" ht="60" customHeight="1">
      <c r="A18" s="3" t="inlineStr">
        <is>
          <t>MK-CF-M-007</t>
        </is>
      </c>
      <c r="B18" s="3" t="inlineStr">
        <is>
          <t>Cashflow</t>
        </is>
      </c>
      <c r="C18" s="3" t="inlineStr">
        <is>
          <t>/cashflow</t>
        </is>
      </c>
      <c r="D18" s="3" t="inlineStr">
        <is>
          <t>YOUR SOURCES — Self-employment</t>
        </is>
      </c>
      <c r="E18" s="3" t="inlineStr">
        <is>
          <t>your_sources__selfemployment</t>
        </is>
      </c>
      <c r="F18" s="3" t="inlineStr">
        <is>
          <t>incomeSummary</t>
        </is>
      </c>
      <c r="G18" s="3" t="inlineStr">
        <is>
          <t>MK-CF-O-004</t>
        </is>
      </c>
      <c r="H18" s="3" t="inlineStr">
        <is>
          <t>the self-employment amount as entered, monthly or yearly</t>
        </is>
      </c>
      <c r="I18" s="3" t="inlineStr">
        <is>
          <t>the self-employment amount as entered, monthly or yearly</t>
        </is>
      </c>
      <c r="J18" s="3" t="inlineStr">
        <is>
          <t>MK-XS-I-023 salary and other income</t>
        </is>
      </c>
      <c r="K18" s="3" t="inlineStr">
        <is>
          <t>dollars, whole</t>
        </is>
      </c>
      <c r="L18" s="3" t="inlineStr">
        <is>
          <t>$0, and under it the one line "Nothing entered yet. Add your income ›" (mock approved 2026-09-12). A real zero that was entered shows a plain $0 with no line.</t>
        </is>
      </c>
      <c r="M18" s="3" t="inlineStr">
        <is>
          <t>one figure per household</t>
        </is>
      </c>
      <c r="N18" s="3" t="inlineStr">
        <is>
          <t>as of today</t>
        </is>
      </c>
      <c r="O1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8" s="3" t="inlineStr">
        <is>
          <t>Declared by MK-CF-O-004 incomeSummary</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2026-10-02</t>
        </is>
      </c>
      <c r="AA18" s="3" t="inlineStr"/>
      <c r="AB18" s="3" t="inlineStr"/>
      <c r="AC18" s="3" t="inlineStr"/>
      <c r="AD18" s="3" t="inlineStr"/>
      <c r="AE18" s="3" t="inlineStr">
        <is>
          <t>G32 / Q48 — 2026-09-09: the 'division with nothing on the bottom' boilerplate is gone; this cell now states the row's real refusal. Where it says 'built', the screen already does it; the rest follow the empty-state mock.</t>
        </is>
      </c>
      <c r="AF18" s="3" t="inlineStr">
        <is>
          <t>ACTIVE</t>
        </is>
      </c>
      <c r="AG18" s="3" t="inlineStr">
        <is>
          <t>2026-10-09</t>
        </is>
      </c>
      <c r="AH18" s="3" t="inlineStr"/>
      <c r="AI18" s="3" t="inlineStr"/>
      <c r="AJ1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2026-10-02; the figure, its formula, inputs and refusal live in MK-CF-O-004 incomeSummary</t>
        </is>
      </c>
      <c r="AN18" s="3" t="inlineStr">
        <is>
          <t>The two earners above, plus $24,000/year of self-employment, a $12,000 bonus in March, 50 shares vesting at $400, a rental bringing in $2,000/month against $800 of costs, and $2,100/month of Social Security.
GIVES: $24,000
(the test re-runs this through MK-CF-O-004 incomeSummary on every build)</t>
        </is>
      </c>
      <c r="AO18" s="7" t="inlineStr">
        <is>
          <t>RULED, NOT CODED (Q-CF-1 — one question, one function)</t>
        </is>
      </c>
    </row>
    <row r="19" ht="60" customHeight="1">
      <c r="A19" s="3" t="inlineStr">
        <is>
          <t>MK-CF-M-008</t>
        </is>
      </c>
      <c r="B19" s="3" t="inlineStr">
        <is>
          <t>Cashflow</t>
        </is>
      </c>
      <c r="C19" s="3" t="inlineStr">
        <is>
          <t>/cashflow · /income-manager</t>
        </is>
      </c>
      <c r="D19" s="3" t="inlineStr">
        <is>
          <t>YOUR SOURCES — Bonus</t>
        </is>
      </c>
      <c r="E19" s="3" t="inlineStr">
        <is>
          <t>your_sources__bonus</t>
        </is>
      </c>
      <c r="F19" s="3" t="inlineStr">
        <is>
          <t>incomeSummary</t>
        </is>
      </c>
      <c r="G19" s="3" t="inlineStr">
        <is>
          <t>MK-CF-O-004</t>
        </is>
      </c>
      <c r="H19" s="3" t="inlineStr">
        <is>
          <t>the bonus as entered, a year; shown in the month it lands, never spread</t>
        </is>
      </c>
      <c r="I19" s="3" t="inlineStr">
        <is>
          <t>the bonus as entered, a year; shown in the month it lands, never spread</t>
        </is>
      </c>
      <c r="J19" s="3" t="inlineStr">
        <is>
          <t>MK-CF-I-009 bonus
MK-XS-I-059 the month a bonus lands</t>
        </is>
      </c>
      <c r="K19" s="3" t="inlineStr">
        <is>
          <t>dollars, whole a year</t>
        </is>
      </c>
      <c r="L19" s="3" t="inlineStr">
        <is>
          <t>$0, and under it the one line "Nothing entered yet. Add your income ›" (mock approved 2026-09-12). A real zero that was entered shows a plain $0 with no line.</t>
        </is>
      </c>
      <c r="M19" s="3" t="inlineStr">
        <is>
          <t>one figure per household</t>
        </is>
      </c>
      <c r="N19" s="3" t="inlineStr">
        <is>
          <t>a year</t>
        </is>
      </c>
      <c r="O1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9" s="3" t="inlineStr">
        <is>
          <t>Declared by MK-CF-O-004 incomeSummary</t>
        </is>
      </c>
      <c r="Q19" s="3" t="inlineStr">
        <is>
          <t>A LUMP THAT LANDS ONCE IS NEVER AVERAGED across the year (founder, 2026-08-28).</t>
        </is>
      </c>
      <c r="R19" s="3" t="inlineStr">
        <is>
          <t>A LUMP THAT LANDS ONCE IS NEVER AVERAGED across the year (founder, 2026-08-28).</t>
        </is>
      </c>
      <c r="S19" s="3" t="inlineStr"/>
      <c r="T19" s="3" t="inlineStr">
        <is>
          <t>A LUMP THAT LANDS ONCE IS NEVER AVERAGED across the year (founder, 2026-08-28).</t>
        </is>
      </c>
      <c r="U19" s="3" t="inlineStr"/>
      <c r="V19" s="3" t="inlineStr"/>
      <c r="W19" s="3" t="inlineStr"/>
      <c r="X19" s="3" t="inlineStr"/>
      <c r="Y19" s="3" t="inlineStr"/>
      <c r="Z19" s="3" t="inlineStr">
        <is>
          <t>DECLARED IN THE CODE (rule 11) — printed from the door, not typed. RULED 2026-10-02</t>
        </is>
      </c>
      <c r="AA19" s="3" t="inlineStr"/>
      <c r="AB19" s="3" t="inlineStr"/>
      <c r="AC19" s="3" t="inlineStr"/>
      <c r="AD19" s="3" t="inlineStr"/>
      <c r="AE19" s="3" t="inlineStr">
        <is>
          <t>G32 / Q48 — 2026-09-09: the 'division with nothing on the bottom' boilerplate is gone; this cell now states the row's real refusal. Where it says 'built', the screen already does it; the rest follow the empty-state mock.</t>
        </is>
      </c>
      <c r="AF19" s="3" t="inlineStr">
        <is>
          <t>ACTIVE</t>
        </is>
      </c>
      <c r="AG19" s="3" t="inlineStr">
        <is>
          <t>2026-10-09</t>
        </is>
      </c>
      <c r="AH19" s="3" t="inlineStr"/>
      <c r="AI19" s="3" t="inlineStr"/>
      <c r="AJ1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2026-10-02; the figure, its formula, inputs and refusal live in MK-CF-O-004 incomeSummary</t>
        </is>
      </c>
      <c r="AN19" s="3" t="inlineStr">
        <is>
          <t>The two earners above, plus $24,000/year of self-employment, a $12,000 bonus in March, 50 shares vesting at $400, a rental bringing in $2,000/month against $800 of costs, and $2,100/month of Social Security.
GIVES: $12,000/year
(the test re-runs this through MK-CF-O-004 incomeSummary on every build)</t>
        </is>
      </c>
      <c r="AO19" s="7" t="inlineStr">
        <is>
          <t>RULED, NOT CODED (Q-CF-1 — one question, one function)</t>
        </is>
      </c>
    </row>
    <row r="20" ht="60" customHeight="1">
      <c r="A20" s="3" t="inlineStr">
        <is>
          <t>MK-CF-M-009</t>
        </is>
      </c>
      <c r="B20" s="3" t="inlineStr">
        <is>
          <t>Cashflow</t>
        </is>
      </c>
      <c r="C20" s="3" t="inlineStr">
        <is>
          <t>/cashflow · /income-manager</t>
        </is>
      </c>
      <c r="D20" s="3" t="inlineStr">
        <is>
          <t>YOUR SOURCES — Stock vesting (equity)</t>
        </is>
      </c>
      <c r="E20" s="3" t="inlineStr">
        <is>
          <t>your_sources__stock_vesting_equity</t>
        </is>
      </c>
      <c r="F20" s="3" t="inlineStr">
        <is>
          <t>incomeSummary</t>
        </is>
      </c>
      <c r="G20" s="3" t="inlineStr">
        <is>
          <t>MK-CF-O-004</t>
        </is>
      </c>
      <c r="H20" s="3" t="inlineStr">
        <is>
          <t>shares vesting × price per share; with a grant schedule, the total ÷ the years it vests over</t>
        </is>
      </c>
      <c r="I20" s="3" t="inlineStr">
        <is>
          <t>shares vesting × price per share; with a grant schedule, the total ÷ the years it vests over</t>
        </is>
      </c>
      <c r="J20" s="3" t="inlineStr">
        <is>
          <t>MK-CF-I-010 equity vesting
MK-XS-I-005 holding price</t>
        </is>
      </c>
      <c r="K20" s="3" t="inlineStr">
        <is>
          <t>dollars, whole a year</t>
        </is>
      </c>
      <c r="L20" s="3" t="inlineStr">
        <is>
          <t>$0, and under it the one line "Nothing entered yet. Add your income ›" (mock approved 2026-09-12). A real zero that was entered shows a plain $0 with no line.</t>
        </is>
      </c>
      <c r="M20" s="3" t="inlineStr">
        <is>
          <t>one figure per household</t>
        </is>
      </c>
      <c r="N20" s="3" t="inlineStr">
        <is>
          <t>a year</t>
        </is>
      </c>
      <c r="O2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0" s="3" t="inlineStr">
        <is>
          <t>Declared by MK-CF-O-004 incomeSummary</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2026-10-02</t>
        </is>
      </c>
      <c r="AA20" s="3" t="inlineStr"/>
      <c r="AB20" s="3" t="inlineStr"/>
      <c r="AC20" s="3" t="inlineStr"/>
      <c r="AD20" s="3" t="inlineStr"/>
      <c r="AE20" s="3" t="inlineStr">
        <is>
          <t>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2026-10-09</t>
        </is>
      </c>
      <c r="AH20" s="3" t="inlineStr"/>
      <c r="AI20" s="3" t="inlineStr"/>
      <c r="AJ20"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2026-10-02; the figure, its formula, inputs and refusal live in MK-CF-O-004 incomeSummary</t>
        </is>
      </c>
      <c r="AN20" s="3" t="inlineStr">
        <is>
          <t>The two earners above, plus $24,000/year of self-employment, a $12,000 bonus in March, 50 shares vesting at $400, a rental bringing in $2,000/month against $800 of costs, and $2,100/month of Social Security.
GIVES: $20,000/year
(the test re-runs this through MK-CF-O-004 incomeSummary on every build)</t>
        </is>
      </c>
      <c r="AO20" s="7" t="inlineStr">
        <is>
          <t>RULED, NOT CODED (Q-CF-1 — one question, one function)</t>
        </is>
      </c>
    </row>
    <row r="21" ht="60" customHeight="1">
      <c r="A21" s="3" t="inlineStr">
        <is>
          <t>MK-CF-M-010</t>
        </is>
      </c>
      <c r="B21" s="3" t="inlineStr">
        <is>
          <t>Cashflow</t>
        </is>
      </c>
      <c r="C21" s="3" t="inlineStr">
        <is>
          <t>/cashflow · /income-manager</t>
        </is>
      </c>
      <c r="D21" s="3" t="inlineStr">
        <is>
          <t>YOUR SOURCES — Rental property</t>
        </is>
      </c>
      <c r="E21" s="3" t="inlineStr">
        <is>
          <t>your_sources__rental_property</t>
        </is>
      </c>
      <c r="F21" s="3" t="inlineStr">
        <is>
          <t>incomeSummary</t>
        </is>
      </c>
      <c r="G21" s="3" t="inlineStr">
        <is>
          <t>MK-CF-O-004</t>
        </is>
      </c>
      <c r="H21" s="3" t="inlineStr">
        <is>
          <t>(rent − running costs) for each rental, added up</t>
        </is>
      </c>
      <c r="I21" s="3" t="inlineStr">
        <is>
          <t>(rent − running costs) for each rental, added up</t>
        </is>
      </c>
      <c r="J21" s="3" t="inlineStr">
        <is>
          <t>MK-CF-I-007 rental income</t>
        </is>
      </c>
      <c r="K21" s="3" t="inlineStr">
        <is>
          <t>dollars, whole a month</t>
        </is>
      </c>
      <c r="L21" s="3" t="inlineStr">
        <is>
          <t>No rental entered — the row does not appear.</t>
        </is>
      </c>
      <c r="M21" s="3" t="inlineStr">
        <is>
          <t>one figure per household</t>
        </is>
      </c>
      <c r="N21" s="3" t="inlineStr">
        <is>
          <t>a month</t>
        </is>
      </c>
      <c r="O21"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1" s="3" t="inlineStr">
        <is>
          <t>Declared by MK-CF-O-004 incomeSummary</t>
        </is>
      </c>
      <c r="Q21" s="3" t="inlineStr">
        <is>
          <t>NONE RECORDED — the declaration names none.</t>
        </is>
      </c>
      <c r="R21" s="3" t="inlineStr">
        <is>
          <t>NONE RECORDED — the declaration names none.</t>
        </is>
      </c>
      <c r="S21" s="3" t="inlineStr"/>
      <c r="T21" s="3" t="inlineStr">
        <is>
          <t>NONE RECORDED — the declaration names none.</t>
        </is>
      </c>
      <c r="U21" s="3" t="inlineStr"/>
      <c r="V21" s="3" t="inlineStr"/>
      <c r="W21" s="3" t="inlineStr"/>
      <c r="X21" s="3" t="inlineStr"/>
      <c r="Y21" s="3" t="inlineStr"/>
      <c r="Z21" s="3" t="inlineStr">
        <is>
          <t>DECLARED IN THE CODE (rule 11) — printed from the door, not typed. RULED 2026-10-02</t>
        </is>
      </c>
      <c r="AA21" s="3" t="inlineStr"/>
      <c r="AB21" s="3" t="inlineStr"/>
      <c r="AC21" s="3" t="inlineStr"/>
      <c r="AD21" s="3" t="inlineStr"/>
      <c r="AE21" s="3" t="inlineStr"/>
      <c r="AF21" s="3" t="inlineStr">
        <is>
          <t>ACTIVE</t>
        </is>
      </c>
      <c r="AG21" s="3" t="inlineStr">
        <is>
          <t>2026-10-09</t>
        </is>
      </c>
      <c r="AH21" s="3" t="inlineStr"/>
      <c r="AI21" s="3" t="inlineStr"/>
      <c r="AJ21"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2026-10-02; the figure, its formula, inputs and refusal live in MK-CF-O-004 incomeSummary</t>
        </is>
      </c>
      <c r="AN21" s="3" t="inlineStr">
        <is>
          <t>The two earners above, plus $24,000/year of self-employment, a $12,000 bonus in March, 50 shares vesting at $400, a rental bringing in $2,000/month against $800 of costs, and $2,100/month of Social Security.
GIVES: $1,200/month
(the test re-runs this through MK-CF-O-004 incomeSummary on every build)</t>
        </is>
      </c>
      <c r="AO21" s="7" t="inlineStr">
        <is>
          <t>RULED, NOT CODED (Q-CF-1 — one question, one function)</t>
        </is>
      </c>
    </row>
    <row r="22" ht="60" customHeight="1">
      <c r="A22" s="3" t="inlineStr">
        <is>
          <t>MK-CF-M-011</t>
        </is>
      </c>
      <c r="B22" s="3" t="inlineStr">
        <is>
          <t>Cashflow</t>
        </is>
      </c>
      <c r="C22" s="3" t="inlineStr">
        <is>
          <t>/cashflow</t>
        </is>
      </c>
      <c r="D22" s="3" t="inlineStr">
        <is>
          <t>YOUR SOURCES — Social Security · pension</t>
        </is>
      </c>
      <c r="E22" s="3" t="inlineStr">
        <is>
          <t>your_sources__social_security__pension</t>
        </is>
      </c>
      <c r="F22" s="3" t="inlineStr">
        <is>
          <t>incomeSummary</t>
        </is>
      </c>
      <c r="G22" s="3" t="inlineStr">
        <is>
          <t>MK-CF-O-004</t>
        </is>
      </c>
      <c r="H22" s="3" t="inlineStr">
        <is>
          <t>Social Security + pension + annuity + other, each brought to a monthly amount</t>
        </is>
      </c>
      <c r="I22" s="3" t="inlineStr">
        <is>
          <t>Social Security + pension + annuity + other, each brought to a monthly amount</t>
        </is>
      </c>
      <c r="J22" s="3" t="inlineStr">
        <is>
          <t>MK-XS-I-020 Social Security monthly amount
MK-XS-I-022 pension monthly amount
MK-XS-I-035 annuity income
MK-XS-I-036 other guaranteed income</t>
        </is>
      </c>
      <c r="K22" s="3" t="inlineStr">
        <is>
          <t>dollars, whole a month</t>
        </is>
      </c>
      <c r="L22" s="3" t="inlineStr">
        <is>
          <t>$0, and under it the one line "Nothing entered yet. Add your income ›" (mock approved 2026-09-12). A real zero that was entered shows a plain $0 with no line.</t>
        </is>
      </c>
      <c r="M22" s="3" t="inlineStr">
        <is>
          <t>one figure per household</t>
        </is>
      </c>
      <c r="N22" s="3" t="inlineStr">
        <is>
          <t>a month</t>
        </is>
      </c>
      <c r="O2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2" s="3" t="inlineStr">
        <is>
          <t>Declared by MK-CF-O-004 incomeSummary</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c r="W22" s="3" t="inlineStr"/>
      <c r="X22" s="3" t="inlineStr"/>
      <c r="Y22" s="3" t="inlineStr"/>
      <c r="Z22" s="3" t="inlineStr">
        <is>
          <t>DECLARED IN THE CODE (rule 11) — printed from the door, not typed. RULED 2026-10-02</t>
        </is>
      </c>
      <c r="AA22" s="3" t="inlineStr"/>
      <c r="AB22" s="3" t="inlineStr"/>
      <c r="AC22" s="3" t="inlineStr"/>
      <c r="AD22" s="3" t="inlineStr"/>
      <c r="AE22" s="3" t="inlineStr">
        <is>
          <t>G32 / Q48 — RULED 2026-09-09: $0 stays, with the sentence '$0 — nothing entered yet.' and this row's door ('Add your income ›'). File written; the screen follows the approved empty-state mock (one pattern, one screen), then every screen.</t>
        </is>
      </c>
      <c r="AF22" s="3" t="inlineStr">
        <is>
          <t>ACTIVE</t>
        </is>
      </c>
      <c r="AG22" s="3" t="inlineStr">
        <is>
          <t>2026-10-09</t>
        </is>
      </c>
      <c r="AH22" s="3" t="inlineStr"/>
      <c r="AI22" s="3" t="inlineStr"/>
      <c r="AJ22"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2026-10-02; the figure, its formula, inputs and refusal live in MK-CF-O-004 incomeSummary</t>
        </is>
      </c>
      <c r="AN2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22" s="7" t="inlineStr">
        <is>
          <t>RULED, NOT CODED (Q-PL-2 — one question, one function)</t>
        </is>
      </c>
    </row>
    <row r="23" ht="60" customHeight="1">
      <c r="A23" s="3" t="inlineStr">
        <is>
          <t>MK-CF-M-012</t>
        </is>
      </c>
      <c r="B23" s="3" t="inlineStr">
        <is>
          <t>Cashflow</t>
        </is>
      </c>
      <c r="C23" s="3" t="inlineStr">
        <is>
          <t>/cashflow · /income-manager</t>
        </is>
      </c>
      <c r="D23" s="3" t="inlineStr">
        <is>
          <t>RECEIVED · &lt;month&gt; — each payment</t>
        </is>
      </c>
      <c r="E23" s="3" t="inlineStr">
        <is>
          <t>received__month__each_payment</t>
        </is>
      </c>
      <c r="F23" s="3" t="inlineStr">
        <is>
          <t>whatsComing</t>
        </is>
      </c>
      <c r="G23" s="3" t="inlineStr">
        <is>
          <t>MK-CF-O-008</t>
        </is>
      </c>
      <c r="H23" s="3" t="inlineStr">
        <is>
          <t>the income records dated inside the month</t>
        </is>
      </c>
      <c r="I23" s="3" t="inlineStr">
        <is>
          <t>the income records dated inside the month</t>
        </is>
      </c>
      <c r="J23" s="3" t="inlineStr">
        <is>
          <t>MK-NW-I-004 the activity records</t>
        </is>
      </c>
      <c r="K23" s="3" t="inlineStr">
        <is>
          <t>dollars, two decimals</t>
        </is>
      </c>
      <c r="L23" s="3" t="inlineStr">
        <is>
          <t>Nothing received yet this month.</t>
        </is>
      </c>
      <c r="M23" s="3" t="inlineStr">
        <is>
          <t>one payment</t>
        </is>
      </c>
      <c r="N23" s="3" t="inlineStr">
        <is>
          <t>as of today</t>
        </is>
      </c>
      <c r="O23" s="3" t="inlineStr">
        <is>
          <t>MK-CF-F-019 (upcomingBills) → NOT DECLARED — the code does not say what it gives back</t>
        </is>
      </c>
      <c r="P23" s="3" t="inlineStr">
        <is>
          <t>Declared by MK-CF-O-008 whatsComing</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c r="AF23" s="3" t="inlineStr">
        <is>
          <t>ACTIVE</t>
        </is>
      </c>
      <c r="AG23" s="3" t="inlineStr">
        <is>
          <t>2026-10-09</t>
        </is>
      </c>
      <c r="AH23" s="3" t="inlineStr"/>
      <c r="AI23" s="3" t="inlineStr"/>
      <c r="AJ23"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MK-CF-O-008 whatsComing</t>
        </is>
      </c>
      <c r="AN23" s="3" t="inlineStr">
        <is>
          <t>Two $3,600 salary payments landed in September, on the 15th and the 30th; one landed on 31 August.
GIVES: $3,600.00
(the test re-runs this through MK-CF-O-008 whatsComing on every build)</t>
        </is>
      </c>
      <c r="AO23" s="7" t="inlineStr">
        <is>
          <t>RULED, NOT CODED (Q-CF-3 — one question, one function)</t>
        </is>
      </c>
    </row>
    <row r="24" ht="60" customHeight="1">
      <c r="A24" s="3" t="inlineStr">
        <is>
          <t>MK-CF-M-013</t>
        </is>
      </c>
      <c r="B24" s="3" t="inlineStr">
        <is>
          <t>Cashflow</t>
        </is>
      </c>
      <c r="C24" s="3" t="inlineStr">
        <is>
          <t>/cashflow</t>
        </is>
      </c>
      <c r="D24" s="3" t="inlineStr">
        <is>
          <t>Actual expenses</t>
        </is>
      </c>
      <c r="E24" s="3" t="inlineStr">
        <is>
          <t>actual_expenses</t>
        </is>
      </c>
      <c r="F24" s="3" t="inlineStr">
        <is>
          <t>theMonth</t>
        </is>
      </c>
      <c r="G24" s="3" t="inlineStr">
        <is>
          <t>MK-CF-O-010</t>
        </is>
      </c>
      <c r="H24" s="3" t="inlineStr">
        <is>
          <t>every expense logged inside the month, added up — a debt payment logged as an expense is counted with the debts, not here</t>
        </is>
      </c>
      <c r="I24" s="3" t="inlineStr">
        <is>
          <t>every expense logged inside the month, added up — a debt payment logged as an expense is counted with the debts, not here</t>
        </is>
      </c>
      <c r="J24" s="3" t="inlineStr">
        <is>
          <t>MK-CF-I-001 your logged expenses</t>
        </is>
      </c>
      <c r="K24" s="3" t="inlineStr">
        <is>
          <t>dollars, whole</t>
        </is>
      </c>
      <c r="L24" s="3" t="inlineStr">
        <is>
          <t>$0, and under it the one line "Nothing entered yet. Log your expenses ›" (mock approved 2026-09-12). A real zero that was entered shows a plain $0 with no line.</t>
        </is>
      </c>
      <c r="M24" s="3" t="inlineStr">
        <is>
          <t>one figure per household</t>
        </is>
      </c>
      <c r="N24" s="3" t="inlineStr">
        <is>
          <t>as of today</t>
        </is>
      </c>
      <c r="O24" s="3" t="inlineStr">
        <is>
          <t>1. MK-CF-F-203 (MONTH) → NOT DECLARED — the code does not say what it gives back
2. MK-CF-F-155 (cash) → number
3. MK-CF-O-002 (expenses) → Expenses
4. MK-CF-O-003 (thisMonth) → ThisMonth</t>
        </is>
      </c>
      <c r="P24" s="3" t="inlineStr">
        <is>
          <t>Declared by MK-CF-O-010 theMonth</t>
        </is>
      </c>
      <c r="Q24" s="3" t="inlineStr">
        <is>
          <t>NONE RECORDED — the declaration names none.</t>
        </is>
      </c>
      <c r="R24" s="3" t="inlineStr">
        <is>
          <t>NONE RECORDED — the declaration names none.</t>
        </is>
      </c>
      <c r="S24" s="3" t="inlineStr"/>
      <c r="T24" s="3" t="inlineStr">
        <is>
          <t>NONE RECORDED — the declaration names none.</t>
        </is>
      </c>
      <c r="U24" s="3" t="inlineStr"/>
      <c r="V24" s="3" t="inlineStr"/>
      <c r="W24" s="3" t="inlineStr"/>
      <c r="X24" s="3" t="inlineStr"/>
      <c r="Y24" s="3" t="inlineStr"/>
      <c r="Z24" s="3" t="inlineStr">
        <is>
          <t>DECLARED IN THE CODE (rule 11) — printed from the door, not typed. RULED 2026-10-02</t>
        </is>
      </c>
      <c r="AA24" s="3" t="inlineStr"/>
      <c r="AB24" s="3" t="inlineStr"/>
      <c r="AC24" s="3" t="inlineStr"/>
      <c r="AD24" s="3" t="inlineStr"/>
      <c r="AE24" s="3" t="inlineStr">
        <is>
          <t>G32 / Q48 — RULED 2026-09-09: $0 stays, with the sentence '$0 — nothing entered yet.' and this row's door ('Log your expenses ›'). File written; the screen follows the approved empty-state mock (one pattern, one screen), then every screen.</t>
        </is>
      </c>
      <c r="AF24" s="3" t="inlineStr">
        <is>
          <t>ACTIVE</t>
        </is>
      </c>
      <c r="AG24" s="3" t="inlineStr">
        <is>
          <t>2026-10-09</t>
        </is>
      </c>
      <c r="AH24" s="3" t="inlineStr"/>
      <c r="AI24" s="3" t="inlineStr"/>
      <c r="AJ2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2026-10-02; the figure, its formula, inputs and refusal live in MK-CF-O-010 theMonth</t>
        </is>
      </c>
      <c r="AN2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$2,998
(the test re-runs this through MK-CF-O-010 theMonth on every build)</t>
        </is>
      </c>
      <c r="AO24" s="7" t="inlineStr">
        <is>
          <t>RULED, NOT CODED (Q-CF-2 — one question, one function)</t>
        </is>
      </c>
    </row>
    <row r="25" ht="60" customHeight="1">
      <c r="A25" s="3" t="inlineStr">
        <is>
          <t>MK-CF-M-014</t>
        </is>
      </c>
      <c r="B25" s="3" t="inlineStr">
        <is>
          <t>Cashflow</t>
        </is>
      </c>
      <c r="C25" s="3" t="inlineStr">
        <is>
          <t>/cashflow</t>
        </is>
      </c>
      <c r="D25" s="3" t="inlineStr">
        <is>
          <t>each expense and its amount</t>
        </is>
      </c>
      <c r="E25" s="3" t="inlineStr">
        <is>
          <t>each_expense_and_its_amount</t>
        </is>
      </c>
      <c r="F25" s="3" t="inlineStr">
        <is>
          <t>theMonth</t>
        </is>
      </c>
      <c r="G25" s="3" t="inlineStr">
        <is>
          <t>MK-CF-O-010</t>
        </is>
      </c>
      <c r="H25" s="3" t="inlineStr">
        <is>
          <t>the amount as logged</t>
        </is>
      </c>
      <c r="I25" s="3" t="inlineStr">
        <is>
          <t>the amount as logged</t>
        </is>
      </c>
      <c r="J25" s="3" t="inlineStr">
        <is>
          <t>MK-CF-I-016 logged expense</t>
        </is>
      </c>
      <c r="K25" s="3" t="inlineStr">
        <is>
          <t>dollars, two decimals</t>
        </is>
      </c>
      <c r="L25" s="3" t="inlineStr">
        <is>
          <t>$0, and under it the one line "Nothing entered yet. Log your expenses ›" (mock approved 2026-09-12). A real zero that was entered shows a plain $0 with no line.</t>
        </is>
      </c>
      <c r="M25" s="3" t="inlineStr">
        <is>
          <t>one expense</t>
        </is>
      </c>
      <c r="N25" s="3" t="inlineStr">
        <is>
          <t>as of today</t>
        </is>
      </c>
      <c r="O25" s="3" t="inlineStr">
        <is>
          <t>1. MK-CF-F-203 (MONTH) → NOT DECLARED — the code does not say what it gives back
2. MK-CF-F-155 (cash) → number
3. MK-CF-O-002 (expenses) → Expenses
4. MK-CF-O-003 (thisMonth) → ThisMonth</t>
        </is>
      </c>
      <c r="P25" s="3" t="inlineStr">
        <is>
          <t>Declared by MK-CF-O-010 theMonth</t>
        </is>
      </c>
      <c r="Q25" s="3" t="inlineStr">
        <is>
          <t>NONE RECORDED — the declaration names none.</t>
        </is>
      </c>
      <c r="R25" s="3" t="inlineStr">
        <is>
          <t>NONE RECORDED — the declaration names none.</t>
        </is>
      </c>
      <c r="S25" s="3" t="inlineStr"/>
      <c r="T25" s="3" t="inlineStr">
        <is>
          <t>NONE RECORDED — the declaration names none.</t>
        </is>
      </c>
      <c r="U25" s="3" t="inlineStr"/>
      <c r="V25" s="3" t="inlineStr"/>
      <c r="W25" s="3" t="inlineStr"/>
      <c r="X25" s="3" t="inlineStr"/>
      <c r="Y25" s="3" t="inlineStr"/>
      <c r="Z25" s="3" t="inlineStr">
        <is>
          <t>DECLARED IN THE CODE (rule 11) — printed from the door, not typed. RULED 2026-10-02</t>
        </is>
      </c>
      <c r="AA25" s="3" t="inlineStr"/>
      <c r="AB25" s="3" t="inlineStr"/>
      <c r="AC25" s="3" t="inlineStr"/>
      <c r="AD25" s="3" t="inlineStr"/>
      <c r="AE25" s="3" t="inlineStr">
        <is>
          <t>G32 / Q48 — RULED 2026-09-09: $0 stays, with the sentence '$0 — nothing entered yet.' and this row's door ('Log your expenses ›'). File written; the screen follows the approved empty-state mock (one pattern, one screen), then every screen.</t>
        </is>
      </c>
      <c r="AF25" s="3" t="inlineStr">
        <is>
          <t>ACTIVE</t>
        </is>
      </c>
      <c r="AG25" s="3" t="inlineStr">
        <is>
          <t>2026-10-09</t>
        </is>
      </c>
      <c r="AH25" s="3" t="inlineStr"/>
      <c r="AI25" s="3" t="inlineStr"/>
      <c r="AJ2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2026-10-02; the figure, its formula, inputs and refusal live in MK-CF-O-010 theMonth</t>
        </is>
      </c>
      <c r="AN2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$186.00
(the test re-runs this through MK-CF-O-010 theMonth on every build)</t>
        </is>
      </c>
      <c r="AO25" s="7" t="inlineStr">
        <is>
          <t>RULED, NOT CODED (Q-CF-2 — one question, one function)</t>
        </is>
      </c>
    </row>
    <row r="26" ht="60" customHeight="1">
      <c r="A26" s="3" t="inlineStr">
        <is>
          <t>MK-CF-M-015</t>
        </is>
      </c>
      <c r="B26" s="3" t="inlineStr">
        <is>
          <t>Cashflow</t>
        </is>
      </c>
      <c r="C26" s="3" t="inlineStr">
        <is>
          <t>/cashflow</t>
        </is>
      </c>
      <c r="D26" s="3" t="inlineStr">
        <is>
          <t>Planned expenses — each category</t>
        </is>
      </c>
      <c r="E26" s="3" t="inlineStr">
        <is>
          <t>planned_expenses__each_category</t>
        </is>
      </c>
      <c r="F26" s="3" t="inlineStr">
        <is>
          <t>theMonth</t>
        </is>
      </c>
      <c r="G26" s="3" t="inlineStr">
        <is>
          <t>MK-CF-O-010</t>
        </is>
      </c>
      <c r="H26" s="3" t="inlineStr">
        <is>
          <t>planned = the category’s budget line; spent = the expenses logged in that category inside the month</t>
        </is>
      </c>
      <c r="I26" s="3" t="inlineStr">
        <is>
          <t>planned = the category’s budget line; spent = the expenses logged in that category inside the month</t>
        </is>
      </c>
      <c r="J26" s="3" t="inlineStr">
        <is>
          <t>MK-CF-I-012 planned expenses
MK-CF-I-001 your logged expenses</t>
        </is>
      </c>
      <c r="K26" s="3" t="inlineStr">
        <is>
          <t>dollars, whole</t>
        </is>
      </c>
      <c r="L26" s="3" t="inlineStr">
        <is>
          <t>$0, and under it the one line "Nothing entered yet. Log your expenses ›" (mock approved 2026-09-12). A real zero that was entered shows a plain $0 with no line.</t>
        </is>
      </c>
      <c r="M26" s="3" t="inlineStr">
        <is>
          <t>one category</t>
        </is>
      </c>
      <c r="N26" s="3" t="inlineStr">
        <is>
          <t>as of today</t>
        </is>
      </c>
      <c r="O26" s="3" t="inlineStr">
        <is>
          <t>1. MK-CF-F-203 (MONTH) → NOT DECLARED — the code does not say what it gives back
2. MK-CF-F-155 (cash) → number
3. MK-CF-O-002 (expenses) → Expenses
4. MK-CF-O-003 (thisMonth) → ThisMonth</t>
        </is>
      </c>
      <c r="P26" s="3" t="inlineStr">
        <is>
          <t>Declared by MK-CF-O-010 theMonth</t>
        </is>
      </c>
      <c r="Q26" s="3" t="inlineStr">
        <is>
          <t>NONE RECORDED — the declaration names none.</t>
        </is>
      </c>
      <c r="R26" s="3" t="inlineStr">
        <is>
          <t>NONE RECORDED — the declaration names none.</t>
        </is>
      </c>
      <c r="S26" s="3" t="inlineStr"/>
      <c r="T26" s="3" t="inlineStr">
        <is>
          <t>NONE RECORDED — the declaration names none.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26" s="3" t="inlineStr"/>
      <c r="V26" s="3" t="inlineStr"/>
      <c r="W26" s="3" t="inlineStr"/>
      <c r="X26" s="3" t="inlineStr"/>
      <c r="Y26" s="3" t="inlineStr"/>
      <c r="Z26" s="3" t="inlineStr">
        <is>
          <t>DECLARED IN THE CODE (rule 11) — printed from the door, not typed. RULED 2026-10-02</t>
        </is>
      </c>
      <c r="AA26" s="3" t="inlineStr"/>
      <c r="AB26" s="3" t="inlineStr"/>
      <c r="AC26" s="3" t="inlineStr"/>
      <c r="AD26" s="3" t="inlineStr"/>
      <c r="AE26" s="3" t="inlineStr">
        <is>
          <t>G32 / Q48 — RULED 2026-09-09: $0 stays, with the sentence '$0 — nothing entered yet.' and this row's door ('Log your expenses ›'). File written; the screen follows the approved empty-state mock (one pattern, one screen), then every screen.</t>
        </is>
      </c>
      <c r="AF26" s="3" t="inlineStr">
        <is>
          <t>ACTIVE</t>
        </is>
      </c>
      <c r="AG26" s="3" t="inlineStr">
        <is>
          <t>2026-10-09</t>
        </is>
      </c>
      <c r="AH26" s="3" t="inlineStr"/>
      <c r="AI26" s="3" t="inlineStr"/>
      <c r="AJ26"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2026-10-02; the figure, its formula, inputs and refusal live in MK-CF-O-010 theMonth</t>
        </is>
      </c>
      <c r="AN2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$2,300
(the test re-runs this through MK-CF-O-010 theMonth on every build)</t>
        </is>
      </c>
      <c r="AO26" s="7" t="inlineStr">
        <is>
          <t>RULED, NOT CODED (Q-CF-2 — one question, one function)</t>
        </is>
      </c>
    </row>
    <row r="27" ht="60" customHeight="1">
      <c r="A27" s="3" t="inlineStr">
        <is>
          <t>MK-CF-M-016</t>
        </is>
      </c>
      <c r="B27" s="3" t="inlineStr">
        <is>
          <t>Cashflow</t>
        </is>
      </c>
      <c r="C27" s="3" t="inlineStr">
        <is>
          <t>/cashflow · /bill-calendar</t>
        </is>
      </c>
      <c r="D27" s="3" t="inlineStr">
        <is>
          <t>BIG-TICKET RADAR — &lt;bill&gt; · due &lt;month&gt;</t>
        </is>
      </c>
      <c r="E27" s="3" t="inlineStr">
        <is>
          <t>bigticket_radar__bill__due_month</t>
        </is>
      </c>
      <c r="F27" s="3" t="inlineStr">
        <is>
          <t>whatsComing</t>
        </is>
      </c>
      <c r="G27" s="3" t="inlineStr">
        <is>
          <t>MK-CF-O-008</t>
        </is>
      </c>
      <c r="H27" s="3" t="inlineStr">
        <is>
          <t>the dated bills above the everyday size, in date order</t>
        </is>
      </c>
      <c r="I27" s="3" t="inlineStr">
        <is>
          <t>the dated bills above the everyday size, in date order</t>
        </is>
      </c>
      <c r="J27" s="3" t="inlineStr">
        <is>
          <t>MK-CF-I-002 your bills</t>
        </is>
      </c>
      <c r="K27" s="3" t="inlineStr">
        <is>
          <t>dollars, whole</t>
        </is>
      </c>
      <c r="L27" s="3" t="inlineStr">
        <is>
          <t>Nothing unusual ahead — the section keeps its heading and says so.</t>
        </is>
      </c>
      <c r="M27" s="3" t="inlineStr">
        <is>
          <t>one bill</t>
        </is>
      </c>
      <c r="N27" s="3" t="inlineStr">
        <is>
          <t>as of today</t>
        </is>
      </c>
      <c r="O27" s="3" t="inlineStr">
        <is>
          <t>MK-CF-F-019 (upcomingBills) → NOT DECLARED — the code does not say what it gives back</t>
        </is>
      </c>
      <c r="P27" s="3" t="inlineStr">
        <is>
          <t>Declared by MK-CF-O-008 whatsComing</t>
        </is>
      </c>
      <c r="Q27" s="3" t="inlineStr">
        <is>
          <t>A regular monthly debt is never a radar item: a warning you see every month stops being a warning.</t>
        </is>
      </c>
      <c r="R27" s="3" t="inlineStr">
        <is>
          <t>A regular monthly debt is never a radar item: a warning you see every month stops being a warning.</t>
        </is>
      </c>
      <c r="S27" s="3" t="inlineStr"/>
      <c r="T27" s="3" t="inlineStr">
        <is>
          <t>A regular monthly debt is never a radar item: a warning you see every month stops being a warning.</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c r="AF27" s="3" t="inlineStr">
        <is>
          <t>ACTIVE</t>
        </is>
      </c>
      <c r="AG27" s="3" t="inlineStr">
        <is>
          <t>2026-10-09</t>
        </is>
      </c>
      <c r="AH27" s="3" t="inlineStr"/>
      <c r="AI27" s="3" t="inlineStr"/>
      <c r="AJ27"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MK-CF-O-008 whatsComing</t>
        </is>
      </c>
      <c r="AN27" s="3" t="inlineStr">
        <is>
          <t>On 28 Sep 2026, with $8,000 in the account: car insurance of $1,400 due 15 Oct and property tax of $4,800 due 1 Nov. Nothing else is dated.
GIVES: $1,400
(the test re-runs this through MK-CF-O-008 whatsComing on every build)</t>
        </is>
      </c>
      <c r="AO27" s="7" t="inlineStr">
        <is>
          <t>RULED, NOT CODED (Q-CF-3 — one question, one function)</t>
        </is>
      </c>
    </row>
    <row r="28" ht="60" customHeight="1">
      <c r="A28" s="3" t="inlineStr">
        <is>
          <t>MK-CF-M-020</t>
        </is>
      </c>
      <c r="B28" s="3" t="inlineStr">
        <is>
          <t>Cashflow</t>
        </is>
      </c>
      <c r="C28" s="3" t="inlineStr">
        <is>
          <t>/cashflow</t>
        </is>
      </c>
      <c r="D28" s="3" t="inlineStr">
        <is>
          <t>THIS MONTH — free to use</t>
        </is>
      </c>
      <c r="E28" s="3" t="inlineStr">
        <is>
          <t>this_month__free_to_use</t>
        </is>
      </c>
      <c r="F28" s="3" t="inlineStr">
        <is>
          <t>theMonth</t>
        </is>
      </c>
      <c r="G28" s="3" t="inlineStr">
        <is>
          <t>MK-CF-O-010</t>
        </is>
      </c>
      <c r="H28" s="3">
        <f> Planned surplus (MK-CF-M-002) − the goals’ commitments (MK-CF-M-021)</f>
        <v/>
      </c>
      <c r="I28" s="3">
        <f> Planned surplus (MK-CF-M-002) − the goals’ commitments (MK-CF-M-021)</f>
        <v/>
      </c>
      <c r="J28" s="3" t="inlineStr">
        <is>
          <t>MK-XS-I-023 salary and other income
MK-NW-I-002 your debts
MK-CF-I-012 planned expenses
MK-XS-I-027 goals (target, saved, date)</t>
        </is>
      </c>
      <c r="K28" s="3" t="inlineStr">
        <is>
          <t>dollars, whole</t>
        </is>
      </c>
      <c r="L28" s="3" t="inlineStr">
        <is>
          <t>No budget set — nothing is called free until there is a plan to be free of.</t>
        </is>
      </c>
      <c r="M28" s="3" t="inlineStr">
        <is>
          <t>one figure per household</t>
        </is>
      </c>
      <c r="N28" s="3" t="inlineStr">
        <is>
          <t>as of today</t>
        </is>
      </c>
      <c r="O28" s="3" t="inlineStr">
        <is>
          <t>1. MK-CF-F-203 (MONTH) → NOT DECLARED — the code does not say what it gives back
2. MK-CF-F-155 (cash) → number
3. MK-CF-O-002 (expenses) → Expenses
4. MK-CF-O-003 (thisMonth) → ThisMonth</t>
        </is>
      </c>
      <c r="P28" s="3" t="inlineStr">
        <is>
          <t>Declared by MK-CF-O-010 theMonth</t>
        </is>
      </c>
      <c r="Q28" s="3" t="inlineStr">
        <is>
          <t>A PROMISE TO A GOAL IS MONEY ALREADY SPOKEN FOR — it never reads as free.</t>
        </is>
      </c>
      <c r="R28" s="3" t="inlineStr">
        <is>
          <t>A PROMISE TO A GOAL IS MONEY ALREADY SPOKEN FOR — it never reads as free.</t>
        </is>
      </c>
      <c r="S28" s="3" t="inlineStr"/>
      <c r="T28" s="3" t="inlineStr">
        <is>
          <t>A PROMISE TO A GOAL IS MONEY ALREADY SPOKEN FOR — it never reads as free.</t>
        </is>
      </c>
      <c r="U28" s="3" t="inlineStr"/>
      <c r="V28" s="3" t="inlineStr"/>
      <c r="W28" s="3" t="inlineStr"/>
      <c r="X28" s="3" t="inlineStr"/>
      <c r="Y28" s="3" t="inlineStr"/>
      <c r="Z28" s="3" t="inlineStr">
        <is>
          <t>DECLARED IN THE CODE (rule 11) — printed from the door, not typed. RULED 2026-10-02</t>
        </is>
      </c>
      <c r="AA28" s="3" t="inlineStr"/>
      <c r="AB28" s="3" t="inlineStr"/>
      <c r="AC28" s="3" t="inlineStr"/>
      <c r="AD28" s="3" t="inlineStr"/>
      <c r="AE28" s="3" t="inlineStr"/>
      <c r="AF28" s="3" t="inlineStr">
        <is>
          <t>ACTIVE</t>
        </is>
      </c>
      <c r="AG28" s="3" t="inlineStr">
        <is>
          <t>2026-10-09</t>
        </is>
      </c>
      <c r="AH28" s="3" t="inlineStr"/>
      <c r="AI28" s="3" t="inlineStr"/>
      <c r="AJ2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2026-10-02; the figure, its formula, inputs and refusal live in MK-CF-O-010 theMonth</t>
        </is>
      </c>
      <c r="AN28"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$850
(the test re-runs this through MK-CF-O-010 theMonth on every build)</t>
        </is>
      </c>
      <c r="AO28" s="7" t="inlineStr">
        <is>
          <t>RULED, NOT CODED (Q-CF-2 — one question, one function)</t>
        </is>
      </c>
    </row>
    <row r="29" ht="60" customHeight="1">
      <c r="A29" s="3" t="inlineStr">
        <is>
          <t>MK-CF-M-021</t>
        </is>
      </c>
      <c r="B29" s="3" t="inlineStr">
        <is>
          <t>Cashflow</t>
        </is>
      </c>
      <c r="C29" s="3" t="inlineStr">
        <is>
          <t>/cashflow</t>
        </is>
      </c>
      <c r="D29" s="3" t="inlineStr">
        <is>
          <t>&lt;goal&gt; · from your Plan</t>
        </is>
      </c>
      <c r="E29" s="3" t="inlineStr">
        <is>
          <t>goal__from_your_plan</t>
        </is>
      </c>
      <c r="F29" s="3" t="inlineStr">
        <is>
          <t>theMonth</t>
        </is>
      </c>
      <c r="G29" s="3" t="inlineStr">
        <is>
          <t>MK-CF-O-010</t>
        </is>
      </c>
      <c r="H29" s="3" t="inlineStr">
        <is>
          <t>the goal’s monthly amount, as the Plan set it</t>
        </is>
      </c>
      <c r="I29" s="3" t="inlineStr">
        <is>
          <t>the goal’s monthly amount, as the Plan set it</t>
        </is>
      </c>
      <c r="J29" s="3" t="inlineStr">
        <is>
          <t>MK-XS-I-027 goals (target, saved, date)</t>
        </is>
      </c>
      <c r="K29" s="3" t="inlineStr">
        <is>
          <t>dollars, whole a month</t>
        </is>
      </c>
      <c r="L29" s="3" t="inlineStr">
        <is>
          <t>$0, and under it the one line "Nothing entered yet. Add a goal ›" (mock approved 2026-09-12). A real zero that was entered shows a plain $0 with no line.</t>
        </is>
      </c>
      <c r="M29" s="3" t="inlineStr">
        <is>
          <t>one goal</t>
        </is>
      </c>
      <c r="N29" s="3" t="inlineStr">
        <is>
          <t>a month</t>
        </is>
      </c>
      <c r="O29" s="3" t="inlineStr">
        <is>
          <t>1. MK-CF-F-203 (MONTH) → NOT DECLARED — the code does not say what it gives back
2. MK-CF-F-155 (cash) → number
3. MK-CF-O-002 (expenses) → Expenses
4. MK-CF-O-003 (thisMonth) → ThisMonth</t>
        </is>
      </c>
      <c r="P29" s="3" t="inlineStr">
        <is>
          <t>Declared by MK-CF-O-010 theMonth</t>
        </is>
      </c>
      <c r="Q29" s="3" t="inlineStr">
        <is>
          <t>NONE RECORDED — the declaration names none.</t>
        </is>
      </c>
      <c r="R29" s="3" t="inlineStr">
        <is>
          <t>NONE RECORDED — the declaration names none.</t>
        </is>
      </c>
      <c r="S29" s="3" t="inlineStr"/>
      <c r="T29" s="3" t="inlineStr">
        <is>
          <t>NONE RECORDED — the declaration names none.</t>
        </is>
      </c>
      <c r="U29" s="3" t="inlineStr"/>
      <c r="V29" s="3" t="inlineStr"/>
      <c r="W29" s="3" t="inlineStr"/>
      <c r="X29" s="3" t="inlineStr"/>
      <c r="Y29" s="3" t="inlineStr"/>
      <c r="Z29" s="3" t="inlineStr">
        <is>
          <t>DECLARED IN THE CODE (rule 11) — printed from the door, not typed. RULED 2026-10-02</t>
        </is>
      </c>
      <c r="AA29" s="3" t="inlineStr"/>
      <c r="AB29" s="3" t="inlineStr"/>
      <c r="AC29" s="3" t="inlineStr"/>
      <c r="AD29" s="3" t="inlineStr"/>
      <c r="AE29" s="3" t="inlineStr">
        <is>
          <t>G32 / Q48 — RULED 2026-09-09: $0 stays, with the sentence '$0 — nothing entered yet.' and this row's door ('Add a goal ›'). File written; the screen follows the approved empty-state mock (one pattern, one screen), then every screen.</t>
        </is>
      </c>
      <c r="AF29" s="3" t="inlineStr">
        <is>
          <t>ACTIVE</t>
        </is>
      </c>
      <c r="AG29" s="3" t="inlineStr">
        <is>
          <t>2026-10-09</t>
        </is>
      </c>
      <c r="AH29" s="3" t="inlineStr"/>
      <c r="AI29" s="3" t="inlineStr"/>
      <c r="AJ2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2026-10-02; the figure, its formula, inputs and refusal live in MK-CF-O-010 theMonth</t>
        </is>
      </c>
      <c r="AN29"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$300/month
(the test re-runs this through MK-CF-O-010 theMonth on every build)</t>
        </is>
      </c>
      <c r="AO29" s="7" t="inlineStr">
        <is>
          <t>RULED, NOT CODED (Q-PL-6 — one question, one function)</t>
        </is>
      </c>
    </row>
    <row r="30" ht="60" customHeight="1">
      <c r="A30" s="3" t="inlineStr">
        <is>
          <t>MK-CF-M-022</t>
        </is>
      </c>
      <c r="B30" s="3" t="inlineStr">
        <is>
          <t>Cashflow</t>
        </is>
      </c>
      <c r="C30" s="3" t="inlineStr">
        <is>
          <t>/cashflow</t>
        </is>
      </c>
      <c r="D30" s="3" t="inlineStr">
        <is>
          <t>YOUR FUTURE PAYCHECK — At &lt;age&gt;: ~$X/month</t>
        </is>
      </c>
      <c r="E30" s="3" t="inlineStr">
        <is>
          <t>your_future_paycheck__at_age_xmonth</t>
        </is>
      </c>
      <c r="F30" s="3" t="inlineStr">
        <is>
          <t>1. buildPaycheckYear (the draw from savings)
2. guaranteedOutsideStreams (summed)
3. simulate (the projected pot it draws from)</t>
        </is>
      </c>
      <c r="G30" s="3" t="inlineStr">
        <is>
          <t>1. MK-CF-F-107
2. MK-CF-F-076
3. MK-PL-F-050</t>
        </is>
      </c>
      <c r="H30"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30"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30" s="3" t="inlineStr">
        <is>
          <t>MK-NW-I-001 your accounts
MK-XS-I-017 birth year
MK-XS-I-018 retirement age
MK-XS-I-028 assumed return
MK-XS-I-020 Social Security monthly amount</t>
        </is>
      </c>
      <c r="K30" s="3" t="inlineStr">
        <is>
          <t>dollars, whole a month</t>
        </is>
      </c>
      <c r="L30" s="3" t="inlineStr">
        <is>
          <t>No pot to project from, or retirement age already reached — the card is not drawn.</t>
        </is>
      </c>
      <c r="M30" s="3" t="inlineStr">
        <is>
          <t>one figure per household</t>
        </is>
      </c>
      <c r="N30" s="3" t="inlineStr">
        <is>
          <t>a month</t>
        </is>
      </c>
      <c r="O30"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30" s="3" t="inlineStr">
        <is>
          <t>Declared by MK-CF-O-017 futurePaycheck</t>
        </is>
      </c>
      <c r="Q30" s="3" t="inlineStr">
        <is>
          <t>AN ESTIMATE, SAID TO BE ONE on the screen — never a promise.
NOTHING BEFORE THERE IS A POT: with no accounts, or past retirement age, the card is not drawn.</t>
        </is>
      </c>
      <c r="R30" s="3" t="inlineStr">
        <is>
          <t>AN ESTIMATE, SAID TO BE ONE on the screen — never a promise.
NOTHING BEFORE THERE IS A POT: with no accounts, or past retirement age, the card is not drawn.</t>
        </is>
      </c>
      <c r="S30" s="3" t="inlineStr"/>
      <c r="T30" s="3" t="inlineStr">
        <is>
          <t>AN ESTIMATE, SAID TO BE ONE on the screen — never a promise.
NOTHING BEFORE THERE IS A POT: with no accounts, or past retirement age, the card is not drawn.</t>
        </is>
      </c>
      <c r="U30" s="3" t="inlineStr"/>
      <c r="V30" s="3" t="inlineStr"/>
      <c r="W30" s="3" t="inlineStr"/>
      <c r="X30" s="3" t="inlineStr"/>
      <c r="Y30" s="3" t="inlineStr"/>
      <c r="Z30" s="3" t="inlineStr">
        <is>
          <t>DECLARED IN THE CODE (rule 11) — printed from the door, not typed. RULED 2026-10-02</t>
        </is>
      </c>
      <c r="AA30" s="3" t="inlineStr"/>
      <c r="AB30" s="3" t="inlineStr"/>
      <c r="AC30" s="3" t="inlineStr"/>
      <c r="AD30" s="3" t="inlineStr"/>
      <c r="AE30" s="3" t="inlineStr">
        <is>
          <t>G17 — the draw from savings behind this figure now runs 1,000 futures (was 300). Closed 2026-09-08.
G14 — CLOSED 2026-09-08: the row now names the three real producers and states the draw rule. File matches code; no code change.</t>
        </is>
      </c>
      <c r="AF30" s="3" t="inlineStr">
        <is>
          <t>ACTIVE</t>
        </is>
      </c>
      <c r="AG30" s="3" t="inlineStr">
        <is>
          <t>2026-10-09</t>
        </is>
      </c>
      <c r="AH30" s="3" t="inlineStr"/>
      <c r="AI30" s="3" t="inlineStr"/>
      <c r="AJ30" s="3" t="inlineStr">
        <is>
          <t>1. MK-XS-I-001 account balance — read by MK-NW-F-031, MK-NW-F-032,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MK-ST-F-024
14. MK-XS-I-018 retirement age — read by MK-CF-F-106, MK-PL-F-050
15. MK-XS-I-020 Social Security monthly amount — read by MK-CF-F-072, MK-CF-F-075, MK-CF-F-076
16. MK-XS-I-022 pension monthly amount — read by MK-CF-F-072, MK-CF-F-075, MK-CF-F-076
17. MK-XS-I-023 salary and other income — read by MK-CF-F-074, MK-CF-F-082, MK-CF-F-084, MK-CF-F-088, MK-CF-F-092, MK-CF-F-165, MK
18. MK-XS-I-024 logged expenses — read by MK-CF-F-005, MK-CF-F-067, MK-CF-F-068, MK-CF-F-107, MK-CF-F-150, MK-CF-F-151, MK
19. MK-XS-I-026 big costs (amount and year) — read by MK-XS-F-004
20. MK-XS-I-027 goals (target, saved, date) — read by MK-CF-F-204, MK-PL-F-012
21. MK-XS-I-028 assumed return — read by MK-CF-F-106, MK-NW-O-001, MK-PL-F-050
22. MK-XS-I-029 inflation rate — read by MK-CF-F-106, MK-PL-F-050
23. MK-XS-I-030 tax filing status and age — read by MK-CF-F-085, MK-CF-F-089, MK-CF-F-099, MK-CF-F-100, MK-CF-F-101, MK-CF-F-187
24. MK-XS-I-031 daily and monthly snapshots — read by MK-ST-F-036
25. MK-XS-I-032 expenses categories the person set up — read by MK-CF-F-004, MK-CF-F-008, MK-XS-F-004
26. MK-XS-I-034 option positions — contracts, strike, expiry, put or call — read by MK-CF-F-062
27. MK-XS-I-035 annuity income — read by MK-CF-F-072, MK-CF-F-075, MK-CF-F-076
28. MK-XS-I-036 other guaranteed income — read by MK-CF-F-072, MK-CF-F-075, MK-CF-F-076, MK-PL-F-050
29. MK-XS-I-037 required-withdrawal income stream (ri_rmd) — read by MK-CF-F-075
30. MK-XS-I-038 withdrawal income stream (ri_withdrawals) — read by MK-CF-F-075
31. MK-XS-I-039 how often each income arrives — read by MK-CF-F-071, MK-CF-F-072, MK-CF-F-074, MK-CF-F-075, MK-CF-F-076, MK-CF-F-105, MK
32. MK-XS-I-040 whether a stream is already being received — read by MK-CF-F-072, MK-CF-F-105
33. MK-XS-I-041 the payment the person chose to make on a debt — read by MK-CF-F-023
34. MK-XS-I-042 how a stream is paid — monthly, yearly or one lump — read by MK-CF-F-021, MK-CF-F-022, MK-CF-F-023, MK-CF-F-149, MK-CF-F-150, MK-CF-F-152, MK
35. MK-XS-I-043 their own retirement contribution — read by MK-CF-F-092, MK-CF-F-106, MK-CF-F-181, MK-CF-F-206, MK-PL-F-050
36. MK-XS-I-048 the person’s own asset-class answer — read by MK-NW-F-011, MK-ST-F-027
37. MK-XS-I-049 bond price — what the bond is worth today — read by MK-NW-F-056, MK-NW-F-057, MK-NW-F-059, MK-NW-F-060, MK-NW-F-061, MK-NW-F-064, MK
38. MK-XS-I-050 the share of an account earmarked for retirement — read by MK-NW-F-032
39. MK-XS-I-052 the day of the month a debt payment is due — read by MK-CF-F-005, MK-XS-F-004
40. MK-XS-I-053 the month a debt is first paid — read by MK-XS-F-004
41. MK-XS-I-054 the date a debt is due to be paid off in full — read by MK-XS-F-004
42. MK-XS-I-055 the wrapper an account sits in — ISA, 401(k), IRA and the rest — read by MK-CF-F-005, MK-CF-F-075, MK-CF-F-076, MK-CF-F-107, MK-CF-F-156, MK-NW-F-011, MK
43. MK-XS-I-059 the month a bonus lands — read by MK-CF-F-088, MK-CF-F-092, MK-XS-F-004
44. MK-XS-I-060 how a person is paid — weekly, fortnightly, monthly — read by MK-CF-F-130
45. MK-XS-I-064 the unit beside a quantity — shares, coins, contracts, ounces or units — read by MK-CF-F-003, MK-CF-F-008, MK-CF-F-204, MK-NW-F-078, MK-XS-F-004
46.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2026-10-02; the figure, its formula, inputs and refusal live in MK-CF-O-017 futurePaycheck</t>
        </is>
      </c>
      <c r="AN30" s="3" t="inlineStr">
        <is>
          <t>Born in 1981, retiring at 67, with $200,000 in a 401(k) earning 6% and $2,000/month of Social Security from 67.
GIVES: $4,345/month
(the test re-runs this through MK-CF-O-017 futurePaycheck on every build)</t>
        </is>
      </c>
      <c r="AO30" s="7" t="inlineStr">
        <is>
          <t>RULED, NOT CODED (Q-PL-2 — one question, one function)</t>
        </is>
      </c>
    </row>
    <row r="31" ht="60" customHeight="1">
      <c r="A31" s="3" t="inlineStr">
        <is>
          <t>MK-CF-M-023</t>
        </is>
      </c>
      <c r="B31" s="3" t="inlineStr">
        <is>
          <t>Cashflow</t>
        </is>
      </c>
      <c r="C31" s="3" t="inlineStr">
        <is>
          <t>/cashflow</t>
        </is>
      </c>
      <c r="D31" s="3" t="inlineStr">
        <is>
          <t>YOUR FUTURE PAYCHECK — Social Security · pension</t>
        </is>
      </c>
      <c r="E31" s="3" t="inlineStr">
        <is>
          <t>your_future_paycheck__social_security__p</t>
        </is>
      </c>
      <c r="F31" s="3" t="inlineStr">
        <is>
          <t>guaranteedOutsideStreams (summed)</t>
        </is>
      </c>
      <c r="G31" s="3" t="inlineStr">
        <is>
          <t>MK-CF-F-076</t>
        </is>
      </c>
      <c r="H31" s="3" t="inlineStr">
        <is>
          <t>guaranteed income a month = Social Security + pension + annuity + other stated income — the four OUTSIDE sources, each converted to a monthly figure</t>
        </is>
      </c>
      <c r="I31"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31" s="3" t="inlineStr">
        <is>
          <t>1. Social Security → ri_ss [MK-XS-I-020]
2. pension → ri_pension [MK-XS-I-022]
3. annuity → ri_annuities [MK-XS-I-035]
4. other → ri_other [MK-XS-I-036]
5. how often each arrives → the matching frequency [MK-XS-I-039]</t>
        </is>
      </c>
      <c r="K31" s="3" t="inlineStr">
        <is>
          <t>dollars, whole a month</t>
        </is>
      </c>
      <c r="L31" s="3" t="inlineStr">
        <is>
          <t>No pot to project from, or retirement age already reached — the card is not drawn.</t>
        </is>
      </c>
      <c r="M31" s="3" t="inlineStr">
        <is>
          <t>one figure per household</t>
        </is>
      </c>
      <c r="N31" s="3" t="inlineStr">
        <is>
          <t>a month</t>
        </is>
      </c>
      <c r="O31" s="3" t="inlineStr">
        <is>
          <t>MK-ST-F-052 (toNum) → number</t>
        </is>
      </c>
      <c r="P31" s="3" t="inlineStr">
        <is>
          <t>Declared by MK-CF-O-017 futurePaycheck</t>
        </is>
      </c>
      <c r="Q31" s="3" t="inlineStr">
        <is>
          <t>NONE RECORDED — the declaration names none.</t>
        </is>
      </c>
      <c r="R31" s="3" t="inlineStr">
        <is>
          <t>NONE RECORDED — the declaration names none.</t>
        </is>
      </c>
      <c r="S31" s="3" t="inlineStr"/>
      <c r="T31" s="3" t="inlineStr">
        <is>
          <t>NONE RECORDED — the declaration names none.
[Founder] brief Q-38 (2026-08-20): the paycheck DISPLAY shows every line; the plan's guaranteed INPUT — and this card's guaranteed line, which sits beside a savings draw — takes outside money only.</t>
        </is>
      </c>
      <c r="U31" s="3" t="inlineStr"/>
      <c r="V31" s="3" t="inlineStr"/>
      <c r="W31" s="3" t="inlineStr"/>
      <c r="X31" s="3" t="inlineStr"/>
      <c r="Y31" s="3" t="inlineStr"/>
      <c r="Z31" s="3" t="inlineStr">
        <is>
          <t>DECLARED IN THE CODE (rule 11) — printed from the door, not typed. RULED 2026-10-02</t>
        </is>
      </c>
      <c r="AA31" s="3" t="inlineStr"/>
      <c r="AB31" s="3" t="inlineStr"/>
      <c r="AC31" s="3" t="inlineStr"/>
      <c r="AD31" s="3" t="inlineStr"/>
      <c r="AE31" s="3" t="inlineStr">
        <is>
          <t>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31" s="3" t="inlineStr">
        <is>
          <t>ACTIVE</t>
        </is>
      </c>
      <c r="AG31" s="3" t="inlineStr">
        <is>
          <t>2026-10-09</t>
        </is>
      </c>
      <c r="AH31" s="3" t="inlineStr"/>
      <c r="AI31" s="3" t="inlineStr"/>
      <c r="AJ31"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2026-10-02; the figure, its formula, inputs and refusal live in MK-CF-O-017 futurePaycheck</t>
        </is>
      </c>
      <c r="AN31" s="3" t="inlineStr">
        <is>
          <t>Born in 1981, retiring at 67, with $200,000 in a 401(k) earning 6% and $2,000/month of Social Security from 67.
GIVES: $2,000/month
(the test re-runs this through MK-CF-O-017 futurePaycheck on every build)</t>
        </is>
      </c>
      <c r="AO31" s="7" t="inlineStr">
        <is>
          <t>RULED, NOT CODED (Q-PL-2 — one question, one function)</t>
        </is>
      </c>
    </row>
    <row r="32" ht="60" customHeight="1">
      <c r="A32" s="3" t="inlineStr">
        <is>
          <t>MK-CF-M-024</t>
        </is>
      </c>
      <c r="B32" s="3" t="inlineStr">
        <is>
          <t>Cashflow</t>
        </is>
      </c>
      <c r="C32" s="3" t="inlineStr">
        <is>
          <t>/monthly-income</t>
        </is>
      </c>
      <c r="D32" s="3" t="inlineStr">
        <is>
          <t>each source of guaranteed income</t>
        </is>
      </c>
      <c r="E32" s="3" t="inlineStr">
        <is>
          <t>each_source_of_guaranteed_income</t>
        </is>
      </c>
      <c r="F32" s="3" t="inlineStr">
        <is>
          <t>incomeSummary</t>
        </is>
      </c>
      <c r="G32" s="3" t="inlineStr">
        <is>
          <t>MK-CF-O-004</t>
        </is>
      </c>
      <c r="H32" s="3" t="inlineStr">
        <is>
          <t>each stream as entered, brought to a monthly amount</t>
        </is>
      </c>
      <c r="I32" s="3" t="inlineStr">
        <is>
          <t>each stream as entered, brought to a monthly amount</t>
        </is>
      </c>
      <c r="J32" s="3" t="inlineStr">
        <is>
          <t>MK-XS-I-020 Social Security monthly amount
MK-XS-I-022 pension monthly amount
MK-XS-I-035 annuity income
MK-XS-I-036 other guaranteed income</t>
        </is>
      </c>
      <c r="K32" s="3" t="inlineStr">
        <is>
          <t>dollars, whole a month</t>
        </is>
      </c>
      <c r="L32" s="3" t="inlineStr">
        <is>
          <t>Nothing entered — the list is replaced by the door to enter it.</t>
        </is>
      </c>
      <c r="M32" s="3" t="inlineStr">
        <is>
          <t>one source</t>
        </is>
      </c>
      <c r="N32" s="3" t="inlineStr">
        <is>
          <t>a month</t>
        </is>
      </c>
      <c r="O3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2" s="3" t="inlineStr">
        <is>
          <t>Declared by MK-CF-O-004 incomeSummary</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2026-10-02</t>
        </is>
      </c>
      <c r="AA32" s="3" t="inlineStr"/>
      <c r="AB32" s="3" t="inlineStr"/>
      <c r="AC32" s="3" t="inlineStr"/>
      <c r="AD32" s="3" t="inlineStr"/>
      <c r="AE32" s="3" t="inlineStr"/>
      <c r="AF32" s="3" t="inlineStr">
        <is>
          <t>ACTIVE</t>
        </is>
      </c>
      <c r="AG32" s="3" t="inlineStr">
        <is>
          <t>2026-10-09</t>
        </is>
      </c>
      <c r="AH32" s="3" t="inlineStr"/>
      <c r="AI32" s="3" t="inlineStr"/>
      <c r="AJ32"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2026-10-02; the figure, its formula, inputs and refusal live in MK-CF-O-004 incomeSummary</t>
        </is>
      </c>
      <c r="AN3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32" s="7" t="inlineStr">
        <is>
          <t>RULED, NOT CODED (Q-PL-2 — one question, one function)</t>
        </is>
      </c>
    </row>
    <row r="33" ht="60" customHeight="1">
      <c r="A33" s="3" t="inlineStr">
        <is>
          <t>MK-CF-M-027</t>
        </is>
      </c>
      <c r="B33" s="3" t="inlineStr">
        <is>
          <t>Cashflow</t>
        </is>
      </c>
      <c r="C33" s="3" t="inlineStr">
        <is>
          <t>/income-manager</t>
        </is>
      </c>
      <c r="D33" s="3" t="inlineStr">
        <is>
          <t>each income source and its amount</t>
        </is>
      </c>
      <c r="E33" s="3" t="inlineStr">
        <is>
          <t>each_income_source_and_its_amount</t>
        </is>
      </c>
      <c r="F33" s="3" t="inlineStr">
        <is>
          <t>incomeSummary</t>
        </is>
      </c>
      <c r="G33" s="3" t="inlineStr">
        <is>
          <t>MK-CF-O-004</t>
        </is>
      </c>
      <c r="H33" s="3" t="inlineStr">
        <is>
          <t>each source as it was entered: rent after its running costs, in a month; interest and dividends, a bonus, scholarships and loans, in a year; the rest in a month</t>
        </is>
      </c>
      <c r="I33" s="3" t="inlineStr">
        <is>
          <t>each source as it was entered: rent after its running costs, in a month; interest and dividends, a bonus, scholarships and loans, in a year; the rest in a month</t>
        </is>
      </c>
      <c r="J33" s="3" t="inlineStr">
        <is>
          <t>MK-XS-I-023 salary and other income
MK-CF-I-009 bonus
MK-CF-I-010 equity vesting
MK-CF-I-007 rental income</t>
        </is>
      </c>
      <c r="K33" s="3" t="inlineStr">
        <is>
          <t>dollars, whole</t>
        </is>
      </c>
      <c r="L33" s="3" t="inlineStr">
        <is>
          <t>$0, and under it the one line "Nothing entered yet. Add your income ›" (mock approved 2026-09-12). A real zero that was entered shows a plain $0 with no line.</t>
        </is>
      </c>
      <c r="M33" s="3" t="inlineStr">
        <is>
          <t>one source</t>
        </is>
      </c>
      <c r="N33" s="3" t="inlineStr">
        <is>
          <t>as of today</t>
        </is>
      </c>
      <c r="O3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3" s="3" t="inlineStr">
        <is>
          <t>Declared by MK-CF-O-004 incomeSummary</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2026-10-02</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2026-10-09</t>
        </is>
      </c>
      <c r="AH33" s="3" t="inlineStr"/>
      <c r="AI33" s="3" t="inlineStr"/>
      <c r="AJ3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2026-10-02; the figure, its formula, inputs and refusal live in MK-CF-O-004 incomeSummary</t>
        </is>
      </c>
      <c r="AN33" s="3" t="inlineStr">
        <is>
          <t>The two earners above, plus $24,000/year of self-employment, a $12,000 bonus in March, 50 shares vesting at $400, a rental bringing in $2,000/month against $800 of costs, and $2,100/month of Social Security. The line shown is the rental’s: what it brings in a month after its costs.
GIVES: $1,200
(the test re-runs this through MK-CF-O-004 incomeSummary on every build)</t>
        </is>
      </c>
      <c r="AO33" s="7" t="inlineStr">
        <is>
          <t>RULED, NOT CODED (Q-CF-1 — one question, one function)</t>
        </is>
      </c>
    </row>
    <row r="34" ht="60" customHeight="1">
      <c r="A34" s="3" t="inlineStr">
        <is>
          <t>MK-CF-M-028</t>
        </is>
      </c>
      <c r="B34" s="3" t="inlineStr">
        <is>
          <t>Cashflow</t>
        </is>
      </c>
      <c r="C34" s="3" t="inlineStr">
        <is>
          <t>/bill-calendar</t>
        </is>
      </c>
      <c r="D34" s="3" t="inlineStr">
        <is>
          <t>each bill and the day it falls</t>
        </is>
      </c>
      <c r="E34" s="3" t="inlineStr">
        <is>
          <t>each_bill_and_the_day_it_falls</t>
        </is>
      </c>
      <c r="F34" s="3" t="inlineStr">
        <is>
          <t>whatsComing</t>
        </is>
      </c>
      <c r="G34" s="3" t="inlineStr">
        <is>
          <t>MK-CF-O-008</t>
        </is>
      </c>
      <c r="H34" s="3" t="inlineStr">
        <is>
          <t>each dated bill in the window, in date order, with the running balance after it</t>
        </is>
      </c>
      <c r="I34" s="3" t="inlineStr">
        <is>
          <t>each dated bill in the window, in date order, with the running balance after it</t>
        </is>
      </c>
      <c r="J34" s="3" t="inlineStr">
        <is>
          <t>MK-CF-I-002 your bills
MK-NW-I-001 your accounts</t>
        </is>
      </c>
      <c r="K34" s="3" t="inlineStr">
        <is>
          <t>dollars, whole</t>
        </is>
      </c>
      <c r="L34" s="3" t="inlineStr">
        <is>
          <t>$0, and under it the one line "Nothing entered yet. Add your bills ›" (mock approved 2026-09-12). A real zero that was entered shows a plain $0 with no line.</t>
        </is>
      </c>
      <c r="M34" s="3" t="inlineStr">
        <is>
          <t>one bill</t>
        </is>
      </c>
      <c r="N34" s="3" t="inlineStr">
        <is>
          <t>as of today</t>
        </is>
      </c>
      <c r="O34" s="3" t="inlineStr">
        <is>
          <t>MK-CF-F-019 (upcomingBills) → NOT DECLARED — the code does not say what it gives back</t>
        </is>
      </c>
      <c r="P34" s="3" t="inlineStr">
        <is>
          <t>Declared by MK-CF-O-008 whatsComing</t>
        </is>
      </c>
      <c r="Q34" s="3" t="inlineStr">
        <is>
          <t>A bill with NO date is not on the calendar — a date nobody gave would be read as one they did. It is still counted in the month’s total.</t>
        </is>
      </c>
      <c r="R34" s="3" t="inlineStr">
        <is>
          <t>A bill with NO date is not on the calendar — a date nobody gave would be read as one they did. It is still counted in the month’s total.</t>
        </is>
      </c>
      <c r="S34" s="3" t="inlineStr"/>
      <c r="T34" s="3" t="inlineStr">
        <is>
          <t>A bill with NO date is not on the calendar — a date nobody gave would be read as one they did. It is still counted in the month’s total.</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RULED 2026-09-09: $0 stays, with the sentence '$0 — nothing entered yet.' and this row's door ('Add your bills ›'). File written; the screen follows the approved empty-state mock (one pattern, one screen), then every screen.</t>
        </is>
      </c>
      <c r="AF34" s="3" t="inlineStr">
        <is>
          <t>ACTIVE</t>
        </is>
      </c>
      <c r="AG34" s="3" t="inlineStr">
        <is>
          <t>2026-10-09</t>
        </is>
      </c>
      <c r="AH34" s="3" t="inlineStr"/>
      <c r="AI34" s="3" t="inlineStr"/>
      <c r="AJ34"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MK-CF-O-008 whatsComing</t>
        </is>
      </c>
      <c r="AN34" s="3" t="inlineStr">
        <is>
          <t>On 28 Sep 2026, with $8,000 in the account: car insurance of $1,400 due 15 Oct and property tax of $4,800 due 1 Nov. Nothing else is dated.
GIVES: $4,800
(the test re-runs this through MK-CF-O-008 whatsComing on every build)</t>
        </is>
      </c>
      <c r="AO34" s="7" t="inlineStr">
        <is>
          <t>RULED, NOT CODED (Q-CF-3 — one question, one function)</t>
        </is>
      </c>
    </row>
    <row r="35" ht="60" customHeight="1">
      <c r="A35" s="3" t="inlineStr">
        <is>
          <t>MK-CF-M-030</t>
        </is>
      </c>
      <c r="B35" s="3" t="inlineStr">
        <is>
          <t>Cashflow</t>
        </is>
      </c>
      <c r="C35" s="3" t="inlineStr">
        <is>
          <t>/base-pay</t>
        </is>
      </c>
      <c r="D35" s="3" t="inlineStr">
        <is>
          <t>Each person’s pay</t>
        </is>
      </c>
      <c r="E35" s="3" t="inlineStr">
        <is>
          <t>each_persons_pay</t>
        </is>
      </c>
      <c r="F35" s="3" t="inlineStr">
        <is>
          <t>basePay</t>
        </is>
      </c>
      <c r="G35" s="3" t="inlineStr">
        <is>
          <t>MK-CF-O-001</t>
        </is>
      </c>
      <c r="H35" s="3" t="inlineStr">
        <is>
          <t>gross a year = the sum of every earner’s wage, each annualised from the rhythm they are paid in</t>
        </is>
      </c>
      <c r="I35" s="3" t="inlineStr">
        <is>
          <t>gross a year = the sum of every earner’s wage, each annualised from the rhythm they are paid in</t>
        </is>
      </c>
      <c r="J35" s="3" t="inlineStr">
        <is>
          <t>MK-CF-I-001 wage
MK-CF-I-002 how often it is paid
MK-XS-I-021 spouse wage</t>
        </is>
      </c>
      <c r="K35" s="3" t="inlineStr">
        <is>
          <t>dollars, whole a year</t>
        </is>
      </c>
      <c r="L35" s="3" t="inlineStr">
        <is>
          <t>Shows $0 until a wage is entered; the screen offers the door to enter one.</t>
        </is>
      </c>
      <c r="M35" s="3" t="inlineStr">
        <is>
          <t>one figure per household</t>
        </is>
      </c>
      <c r="N35" s="3" t="inlineStr">
        <is>
          <t>a year</t>
        </is>
      </c>
      <c r="O3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5" s="3" t="inlineStr">
        <is>
          <t>Declared by MK-CF-O-001 basePay</t>
        </is>
      </c>
      <c r="Q35" s="3" t="inlineStr">
        <is>
          <t>A wage entered for a rhythm is annualised by that rhythm, never by a flat twelve.</t>
        </is>
      </c>
      <c r="R35" s="3" t="inlineStr">
        <is>
          <t>A wage entered for a rhythm is annualised by that rhythm, never by a flat twelve.</t>
        </is>
      </c>
      <c r="S35" s="3" t="inlineStr"/>
      <c r="T35" s="3" t="inlineStr">
        <is>
          <t>A wage entered for a rhythm is annualised by that rhythm, never by a flat twelve.</t>
        </is>
      </c>
      <c r="U35" s="3" t="inlineStr"/>
      <c r="V35" s="3" t="inlineStr"/>
      <c r="W35" s="3" t="inlineStr"/>
      <c r="X35" s="3" t="inlineStr"/>
      <c r="Y35" s="3" t="inlineStr"/>
      <c r="Z35" s="3" t="inlineStr">
        <is>
          <t>DECLARED IN THE CODE (rule 11) — printed from the door, not typed. RULED 2026-09-14</t>
        </is>
      </c>
      <c r="AA35" s="3" t="inlineStr"/>
      <c r="AB35" s="3" t="inlineStr"/>
      <c r="AC35" s="3" t="inlineStr"/>
      <c r="AD35" s="3" t="inlineStr"/>
      <c r="AE35" s="3" t="inlineStr"/>
      <c r="AF35" s="3" t="inlineStr">
        <is>
          <t>ACTIVE</t>
        </is>
      </c>
      <c r="AG35" s="3" t="inlineStr">
        <is>
          <t>2026-10-09</t>
        </is>
      </c>
      <c r="AH35" s="3" t="inlineStr"/>
      <c r="AI35" s="3" t="inlineStr"/>
      <c r="AJ3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2026-09-14; the figure, its formula, inputs and refusal live in MK-CF-O-001 basePay</t>
        </is>
      </c>
      <c r="AN35"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35" s="7" t="inlineStr">
        <is>
          <t>RULED, NOT CODED (Q-CF-1 — one question, one function)</t>
        </is>
      </c>
    </row>
    <row r="36" ht="60" customHeight="1">
      <c r="A36" s="3" t="inlineStr">
        <is>
          <t>MK-CF-M-031</t>
        </is>
      </c>
      <c r="B36" s="3" t="inlineStr">
        <is>
          <t>Cashflow</t>
        </is>
      </c>
      <c r="C36" s="3" t="inlineStr">
        <is>
          <t>/base-pay · /cashflow · /income-manager</t>
        </is>
      </c>
      <c r="D36" s="3" t="inlineStr">
        <is>
          <t>Take-home</t>
        </is>
      </c>
      <c r="E36" s="3" t="inlineStr">
        <is>
          <t>takehome</t>
        </is>
      </c>
      <c r="F36" s="3" t="inlineStr">
        <is>
          <t>basePay</t>
        </is>
      </c>
      <c r="G36" s="3" t="inlineStr">
        <is>
          <t>MK-CF-O-001</t>
        </is>
      </c>
      <c r="H36" s="3" t="inlineStr">
        <is>
          <t>for one earner: what they entered, or their gross less federal tax less their own 401(k). For the household: the sum of the earners’ figures, never a second calculation.</t>
        </is>
      </c>
      <c r="I36" s="3" t="inlineStr">
        <is>
          <t>for one earner: what they entered, or their gross less federal tax less their own 401(k). For the household: the sum of the earners’ figures, never a second calculation.</t>
        </is>
      </c>
      <c r="J36" s="3" t="inlineStr">
        <is>
          <t>MK-CF-I-001 wage
MK-CF-I-003 take-home as entered
MK-CF-I-004 401(k) contribution
MK-CF-I-005 tax rate as entered</t>
        </is>
      </c>
      <c r="K36" s="3" t="inlineStr">
        <is>
          <t>dollars, whole a month</t>
        </is>
      </c>
      <c r="L36" s="3" t="inlineStr">
        <is>
          <t>Shows $0 until a wage is entered.</t>
        </is>
      </c>
      <c r="M36" s="3" t="inlineStr">
        <is>
          <t>one figure per household</t>
        </is>
      </c>
      <c r="N36" s="3" t="inlineStr">
        <is>
          <t>a month</t>
        </is>
      </c>
      <c r="O3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6" s="3" t="inlineStr">
        <is>
          <t>Declared by MK-CF-O-001 basePay</t>
        </is>
      </c>
      <c r="Q36" s="3" t="inlineStr">
        <is>
          <t>Federal income tax only when it is calculated — no Social Security, Medicare or state tax (MK-CF-D-001).</t>
        </is>
      </c>
      <c r="R36" s="3" t="inlineStr">
        <is>
          <t>Federal income tax only when it is calculated — no Social Security, Medicare or state tax (MK-CF-D-001).</t>
        </is>
      </c>
      <c r="S36" s="3" t="inlineStr"/>
      <c r="T36" s="3" t="inlineStr">
        <is>
          <t>Federal income tax only when it is calculated — no Social Security, Medicare or state tax (MK-CF-D-001).</t>
        </is>
      </c>
      <c r="U36" s="3" t="inlineStr">
        <is>
          <t>ONE figure over two sets: one earner, and the household — so a total and its parts cannot disagree (rule 2). It wears ≈ whenever the figure was calculated rather than entered.</t>
        </is>
      </c>
      <c r="V36" s="3" t="inlineStr"/>
      <c r="W36" s="3" t="inlineStr"/>
      <c r="X36" s="3" t="inlineStr"/>
      <c r="Y36" s="3" t="inlineStr"/>
      <c r="Z36" s="3" t="inlineStr">
        <is>
          <t>DECLARED IN THE CODE (rule 11) — printed from the door, not typed. RULED 2026-09-14</t>
        </is>
      </c>
      <c r="AA36" s="3" t="inlineStr"/>
      <c r="AB36" s="3" t="inlineStr"/>
      <c r="AC36" s="3" t="inlineStr"/>
      <c r="AD36" s="3" t="inlineStr"/>
      <c r="AE36" s="3" t="inlineStr"/>
      <c r="AF36" s="3" t="inlineStr">
        <is>
          <t>ACTIVE</t>
        </is>
      </c>
      <c r="AG36" s="3" t="inlineStr">
        <is>
          <t>2026-10-09</t>
        </is>
      </c>
      <c r="AH36" s="3" t="inlineStr"/>
      <c r="AI36" s="3" t="inlineStr"/>
      <c r="AJ36"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2026-09-14; the figure, its formula, inputs and refusal live in MK-CF-O-001 basePay</t>
        </is>
      </c>
      <c r="AN36"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36" s="7" t="inlineStr">
        <is>
          <t>RULED, NOT CODED (Q-CF-1 — one question, one function)</t>
        </is>
      </c>
    </row>
    <row r="37" ht="60" customHeight="1">
      <c r="A37" s="3" t="inlineStr">
        <is>
          <t>MK-CF-M-032</t>
        </is>
      </c>
      <c r="B37" s="3" t="inlineStr">
        <is>
          <t>Cashflow</t>
        </is>
      </c>
      <c r="C37" s="3" t="inlineStr">
        <is>
          <t>/base-pay</t>
        </is>
      </c>
      <c r="D37" s="3" t="inlineStr">
        <is>
          <t>Federal tax bracket</t>
        </is>
      </c>
      <c r="E37" s="3" t="inlineStr">
        <is>
          <t>federal_tax_bracket</t>
        </is>
      </c>
      <c r="F37" s="3" t="inlineStr">
        <is>
          <t>basePay</t>
        </is>
      </c>
      <c r="G37" s="3" t="inlineStr">
        <is>
          <t>MK-CF-O-001</t>
        </is>
      </c>
      <c r="H37" s="3" t="inlineStr">
        <is>
          <t>the published bracket the household’s gross falls in, for their filing status</t>
        </is>
      </c>
      <c r="I37" s="3" t="inlineStr">
        <is>
          <t>the published bracket the household’s gross falls in, for their filing status</t>
        </is>
      </c>
      <c r="J37" s="3" t="inlineStr">
        <is>
          <t>MK-CF-M-030 gross a year
MK-XS-I-024 filing status</t>
        </is>
      </c>
      <c r="K37" s="3" t="inlineStr">
        <is>
          <t>a percentage, whole</t>
        </is>
      </c>
      <c r="L37" s="3" t="inlineStr">
        <is>
          <t>The row is not shown until a wage is entered.</t>
        </is>
      </c>
      <c r="M37" s="3" t="inlineStr">
        <is>
          <t>one figure per household</t>
        </is>
      </c>
      <c r="N37" s="3" t="inlineStr">
        <is>
          <t>as of today</t>
        </is>
      </c>
      <c r="O37"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7" s="3" t="inlineStr">
        <is>
          <t>Declared by MK-CF-O-001 basePay</t>
        </is>
      </c>
      <c r="Q37" s="3" t="inlineStr">
        <is>
          <t>Filing status is assumed to be jointly when two people earn and nobody has said (MK-CF-D-004).</t>
        </is>
      </c>
      <c r="R37" s="3" t="inlineStr">
        <is>
          <t>Filing status is assumed to be jointly when two people earn and nobody has said (MK-CF-D-004).</t>
        </is>
      </c>
      <c r="S37" s="3" t="inlineStr"/>
      <c r="T37" s="3" t="inlineStr">
        <is>
          <t>Filing status is assumed to be jointly when two people earn and nobody has said (MK-CF-D-004).</t>
        </is>
      </c>
      <c r="U37" s="3" t="inlineStr"/>
      <c r="V37" s="3" t="inlineStr"/>
      <c r="W37" s="3" t="inlineStr"/>
      <c r="X37" s="3" t="inlineStr"/>
      <c r="Y37" s="3" t="inlineStr"/>
      <c r="Z37" s="3" t="inlineStr">
        <is>
          <t>DECLARED IN THE CODE (rule 11) — printed from the door, not typed. RULED 2026-09-14</t>
        </is>
      </c>
      <c r="AA37" s="3" t="inlineStr"/>
      <c r="AB37" s="3" t="inlineStr"/>
      <c r="AC37" s="3" t="inlineStr"/>
      <c r="AD37" s="3" t="inlineStr"/>
      <c r="AE37" s="3" t="inlineStr"/>
      <c r="AF37" s="3" t="inlineStr">
        <is>
          <t>ACTIVE</t>
        </is>
      </c>
      <c r="AG37" s="3" t="inlineStr">
        <is>
          <t>2026-10-09</t>
        </is>
      </c>
      <c r="AH37" s="3" t="inlineStr"/>
      <c r="AI37" s="3" t="inlineStr"/>
      <c r="AJ37"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2026-09-14; the figure, its formula, inputs and refusal live in MK-CF-O-001 basePay</t>
        </is>
      </c>
      <c r="AN37"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37" s="7" t="inlineStr">
        <is>
          <t>RULED, NOT CODED (Q-CF-1 — one question, one function)</t>
        </is>
      </c>
    </row>
    <row r="38" ht="60" customHeight="1">
      <c r="A38" s="3" t="inlineStr">
        <is>
          <t>MK-CF-M-033</t>
        </is>
      </c>
      <c r="B38" s="3" t="inlineStr">
        <is>
          <t>Cashflow</t>
        </is>
      </c>
      <c r="C38" s="3" t="inlineStr">
        <is>
          <t>/base-pay</t>
        </is>
      </c>
      <c r="D38" s="3" t="inlineStr">
        <is>
          <t>Calculated federal tax</t>
        </is>
      </c>
      <c r="E38" s="3" t="inlineStr">
        <is>
          <t>calculated_federal_tax</t>
        </is>
      </c>
      <c r="F38" s="3" t="inlineStr">
        <is>
          <t>basePay</t>
        </is>
      </c>
      <c r="G38" s="3" t="inlineStr">
        <is>
          <t>MK-CF-O-001</t>
        </is>
      </c>
      <c r="H38" s="3" t="inlineStr">
        <is>
          <t>tax a month = federal tax on (everything taxable, less the 401(k)s and the standard deduction, at the published bands) ÷ 12 — the same in every month</t>
        </is>
      </c>
      <c r="I38" s="3" t="inlineStr">
        <is>
          <t>tax a month = federal tax on (everything taxable, less the 401(k)s and the standard deduction, at the published bands) ÷ 12 — the same in every month</t>
        </is>
      </c>
      <c r="J38" s="3" t="inlineStr">
        <is>
          <t>MK-CF-M-030 gross a year
MK-XS-I-024 filing status
MK-XS-I-025 how many are over 65</t>
        </is>
      </c>
      <c r="K38" s="3" t="inlineStr">
        <is>
          <t>dollars, whole a month</t>
        </is>
      </c>
      <c r="L38" s="3" t="inlineStr">
        <is>
          <t>The row appears only when the figure is ours; an entered take-home already has tax inside it.</t>
        </is>
      </c>
      <c r="M38" s="3" t="inlineStr">
        <is>
          <t>one figure per household</t>
        </is>
      </c>
      <c r="N38" s="3" t="inlineStr">
        <is>
          <t>a month</t>
        </is>
      </c>
      <c r="O38"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8" s="3" t="inlineStr">
        <is>
          <t>Declared by MK-CF-O-001 basePay</t>
        </is>
      </c>
      <c r="Q38" s="3" t="inlineStr">
        <is>
          <t>Assumes the standard deduction, never itemised (MK-CF-D-002).</t>
        </is>
      </c>
      <c r="R38" s="3" t="inlineStr">
        <is>
          <t>Assumes the standard deduction, never itemised (MK-CF-D-002).</t>
        </is>
      </c>
      <c r="S38" s="3" t="inlineStr"/>
      <c r="T38" s="3" t="inlineStr">
        <is>
          <t>Assumes the standard deduction, never itemised (MK-CF-D-002).</t>
        </is>
      </c>
      <c r="U38" s="3" t="inlineStr"/>
      <c r="V38" s="3" t="inlineStr"/>
      <c r="W38" s="3" t="inlineStr"/>
      <c r="X38" s="3" t="inlineStr"/>
      <c r="Y38" s="3" t="inlineStr"/>
      <c r="Z38" s="3" t="inlineStr">
        <is>
          <t>DECLARED IN THE CODE (rule 11) — printed from the door, not typed. RULED 2026-09-14</t>
        </is>
      </c>
      <c r="AA38" s="3" t="inlineStr"/>
      <c r="AB38" s="3" t="inlineStr"/>
      <c r="AC38" s="3" t="inlineStr"/>
      <c r="AD38" s="3" t="inlineStr"/>
      <c r="AE38" s="3" t="inlineStr"/>
      <c r="AF38" s="3" t="inlineStr">
        <is>
          <t>ACTIVE</t>
        </is>
      </c>
      <c r="AG38" s="3" t="inlineStr">
        <is>
          <t>2026-10-09</t>
        </is>
      </c>
      <c r="AH38" s="3" t="inlineStr"/>
      <c r="AI38" s="3" t="inlineStr"/>
      <c r="AJ3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2026-09-14; the figure, its formula, inputs and refusal live in MK-CF-O-001 basePay</t>
        </is>
      </c>
      <c r="AN38"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38" s="7" t="inlineStr">
        <is>
          <t>RULED, NOT CODED (Q-CF-1 — one question, one function)</t>
        </is>
      </c>
    </row>
    <row r="39" ht="60" customHeight="1">
      <c r="A39" s="3" t="inlineStr">
        <is>
          <t>MK-CF-M-034</t>
        </is>
      </c>
      <c r="B39" s="3" t="inlineStr">
        <is>
          <t>Cashflow</t>
        </is>
      </c>
      <c r="C39" s="3" t="inlineStr">
        <is>
          <t>/base-pay</t>
        </is>
      </c>
      <c r="D39" s="3" t="inlineStr">
        <is>
          <t>Your 401(k)s</t>
        </is>
      </c>
      <c r="E39" s="3" t="inlineStr">
        <is>
          <t>your_401ks</t>
        </is>
      </c>
      <c r="F39" s="3" t="inlineStr">
        <is>
          <t>basePay</t>
        </is>
      </c>
      <c r="G39" s="3" t="inlineStr">
        <is>
          <t>MK-CF-O-001</t>
        </is>
      </c>
      <c r="H39" s="3" t="inlineStr">
        <is>
          <t>401(k) a month = the sum of every earner’s own contribution, the employer’s match excluded</t>
        </is>
      </c>
      <c r="I39" s="3" t="inlineStr">
        <is>
          <t>401(k) a month = the sum of every earner’s own contribution, the employer’s match excluded</t>
        </is>
      </c>
      <c r="J39" s="3" t="inlineStr">
        <is>
          <t>MK-CF-I-004 401(k) contribution</t>
        </is>
      </c>
      <c r="K39" s="3" t="inlineStr">
        <is>
          <t>dollars, whole a month</t>
        </is>
      </c>
      <c r="L39" s="3" t="inlineStr">
        <is>
          <t>The row is hidden when nobody contributes.</t>
        </is>
      </c>
      <c r="M39" s="3" t="inlineStr">
        <is>
          <t>one figure per household</t>
        </is>
      </c>
      <c r="N39" s="3" t="inlineStr">
        <is>
          <t>a month</t>
        </is>
      </c>
      <c r="O39"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9" s="3" t="inlineStr">
        <is>
          <t>Declared by MK-CF-O-001 basePay</t>
        </is>
      </c>
      <c r="Q39" s="3" t="inlineStr">
        <is>
          <t>The employer’s match is not counted here — it is not taken out of take-home (MK-CF-D-003).</t>
        </is>
      </c>
      <c r="R39" s="3" t="inlineStr">
        <is>
          <t>The employer’s match is not counted here — it is not taken out of take-home (MK-CF-D-003).</t>
        </is>
      </c>
      <c r="S39" s="3" t="inlineStr"/>
      <c r="T39" s="3" t="inlineStr">
        <is>
          <t>The employer’s match is not counted here — it is not taken out of take-home (MK-CF-D-003).</t>
        </is>
      </c>
      <c r="U39" s="3" t="inlineStr"/>
      <c r="V39" s="3" t="inlineStr"/>
      <c r="W39" s="3" t="inlineStr"/>
      <c r="X39" s="3" t="inlineStr"/>
      <c r="Y39" s="3" t="inlineStr"/>
      <c r="Z39" s="3" t="inlineStr">
        <is>
          <t>DECLARED IN THE CODE (rule 11) — printed from the door, not typed. RULED 2026-09-14</t>
        </is>
      </c>
      <c r="AA39" s="3" t="inlineStr"/>
      <c r="AB39" s="3" t="inlineStr"/>
      <c r="AC39" s="3" t="inlineStr"/>
      <c r="AD39" s="3" t="inlineStr"/>
      <c r="AE39" s="3" t="inlineStr"/>
      <c r="AF39" s="3" t="inlineStr">
        <is>
          <t>ACTIVE</t>
        </is>
      </c>
      <c r="AG39" s="3" t="inlineStr">
        <is>
          <t>2026-10-09</t>
        </is>
      </c>
      <c r="AH39" s="3" t="inlineStr"/>
      <c r="AI39" s="3" t="inlineStr"/>
      <c r="AJ3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2026-09-14; the figure, its formula, inputs and refusal live in MK-CF-O-001 basePay</t>
        </is>
      </c>
      <c r="AN39"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39" s="7" t="inlineStr">
        <is>
          <t>RULED, NOT CODED (Q-CF-1 — one question, one function)</t>
        </is>
      </c>
    </row>
    <row r="40" ht="60" customHeight="1">
      <c r="A40" s="3" t="inlineStr">
        <is>
          <t>MK-CF-M-035</t>
        </is>
      </c>
      <c r="B40" s="3" t="inlineStr">
        <is>
          <t>Cashflow</t>
        </is>
      </c>
      <c r="C40" s="3" t="inlineStr">
        <is>
          <t>/base-pay</t>
        </is>
      </c>
      <c r="D40" s="3" t="inlineStr">
        <is>
          <t>The take-home above is higher than it will really be</t>
        </is>
      </c>
      <c r="E40" s="3" t="inlineStr">
        <is>
          <t>the_takehome_above_is_higher_than_it_wil</t>
        </is>
      </c>
      <c r="F40" s="3" t="inlineStr">
        <is>
          <t>basePay</t>
        </is>
      </c>
      <c r="G40" s="3" t="inlineStr">
        <is>
          <t>MK-CF-O-001</t>
        </is>
      </c>
      <c r="H40" s="3" t="inlineStr">
        <is>
          <t>overstated by = Σ over earners of (Social Security 6.2% of the wage up to the wage base + Medicare 1.45% of the whole wage + 0.9% of the wage above the additional-tax threshold) ÷ 12</t>
        </is>
      </c>
      <c r="I40" s="3" t="inlineStr">
        <is>
          <t>overstated by = Σ over earners of (Social Security 6.2% of the wage up to the wage base + Medicare 1.45% of the whole wage + 0.9% of the wage above the additional-tax threshold) ÷ 12</t>
        </is>
      </c>
      <c r="J40" s="3" t="inlineStr">
        <is>
          <t>MK-CF-I-001 wage
MK-ST-I-030 Social Security wage base
MK-ST-I-031 Medicare additional-tax threshold</t>
        </is>
      </c>
      <c r="K40" s="3" t="inlineStr">
        <is>
          <t>dollars, whole a month</t>
        </is>
      </c>
      <c r="L40" s="3" t="inlineStr">
        <is>
          <t>The warning appears only when the take-home is ours and estimated.</t>
        </is>
      </c>
      <c r="M40" s="3" t="inlineStr">
        <is>
          <t>one figure per household</t>
        </is>
      </c>
      <c r="N40" s="3" t="inlineStr">
        <is>
          <t>a month</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State tax is not in this figure, because we do not know their state (MK-CF-D-005).</t>
        </is>
      </c>
      <c r="R40" s="3" t="inlineStr">
        <is>
          <t>State tax is not in this figure, because we do not know their state (MK-CF-D-005).</t>
        </is>
      </c>
      <c r="S40" s="3" t="inlineStr"/>
      <c r="T40" s="3" t="inlineStr">
        <is>
          <t>State tax is not in this figure, because we do not know their state (MK-CF-D-005).</t>
        </is>
      </c>
      <c r="U40" s="3" t="inlineStr"/>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2026-10-09</t>
        </is>
      </c>
      <c r="AH40" s="3" t="inlineStr"/>
      <c r="AI40" s="3" t="inlineStr"/>
      <c r="AJ40"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0" s="7" t="inlineStr">
        <is>
          <t>RULED, NOT CODED (Q-CF-1 — one question, one function)</t>
        </is>
      </c>
    </row>
    <row r="41" ht="60" customHeight="1">
      <c r="A41" s="3" t="inlineStr">
        <is>
          <t>MK-CF-M-036</t>
        </is>
      </c>
      <c r="B41" s="3" t="inlineStr">
        <is>
          <t>Cashflow</t>
        </is>
      </c>
      <c r="C41" s="3" t="inlineStr">
        <is>
          <t>/base-pay</t>
        </is>
      </c>
      <c r="D41" s="3" t="inlineStr">
        <is>
          <t>Everything else taken out</t>
        </is>
      </c>
      <c r="E41" s="3" t="inlineStr">
        <is>
          <t>everything_else_taken_out</t>
        </is>
      </c>
      <c r="F41" s="3" t="inlineStr">
        <is>
          <t>basePay</t>
        </is>
      </c>
      <c r="G41" s="3" t="inlineStr">
        <is>
          <t>MK-CF-O-001</t>
        </is>
      </c>
      <c r="H41" s="3" t="inlineStr">
        <is>
          <t>for one earner: everything else = (their gross a year − their 401(k) a year − their take-home /year) ÷ 12. For the household: the sum of the earners’ figures, never a second subtraction.</t>
        </is>
      </c>
      <c r="I41" s="3" t="inlineStr">
        <is>
          <t>for one earner: everything else = (their gross a year − their 401(k) a year − their take-home /year) ÷ 12. For the household: the sum of the earners’ figures, never a second subtraction.</t>
        </is>
      </c>
      <c r="J41" s="3" t="inlineStr">
        <is>
          <t>MK-CF-I-001 wage
MK-CF-I-003 take-home as entered
MK-CF-I-004 401(k) contribution</t>
        </is>
      </c>
      <c r="K41" s="3" t="inlineStr">
        <is>
          <t>dollars, whole a month</t>
        </is>
      </c>
      <c r="L41" s="3" t="inlineStr">
        <is>
          <t>The row is hidden for anyone whose take-home was calculated rather than entered; the household row is hidden unless every earner entered one.</t>
        </is>
      </c>
      <c r="M41" s="3" t="inlineStr">
        <is>
          <t>one figure per household</t>
        </is>
      </c>
      <c r="N41" s="3" t="inlineStr">
        <is>
          <t>a month</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Shown only when the person entered their own take-home, so the difference is theirs and not ours.
The household figure is the sum of the earners’, so a total and its parts cannot disagree (rule 2).</t>
        </is>
      </c>
      <c r="R41" s="3" t="inlineStr">
        <is>
          <t>Shown only when the person entered their own take-home, so the difference is theirs and not ours.
The household figure is the sum of the earners’, so a total and its parts cannot disagree (rule 2).</t>
        </is>
      </c>
      <c r="S41" s="3" t="inlineStr"/>
      <c r="T41" s="3" t="inlineStr">
        <is>
          <t>Shown only when the person entered their own take-home, so the difference is theirs and not ours.
The household figure is the sum of the earners’, so a total and its parts cannot disagree (rule 2).</t>
        </is>
      </c>
      <c r="U41" s="3" t="inlineStr">
        <is>
          <t>ONE figure over two sets: one earner, and the household. Moved off the screen into this door on 2026-09-14 — the base-pay card used to do the subtraction itself (rule 5).</t>
        </is>
      </c>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2026-10-09</t>
        </is>
      </c>
      <c r="AH41" s="3" t="inlineStr"/>
      <c r="AI41" s="3" t="inlineStr"/>
      <c r="AJ41"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Each has typed their take-home each month: $5,850 and $3,400.
GIVES: $3,250/month
(the test re-runs this through MK-CF-O-001 basePay on every build)</t>
        </is>
      </c>
      <c r="AO41" s="7" t="inlineStr">
        <is>
          <t>RULED, NOT CODED (Q-CF-1 — one question, one function)</t>
        </is>
      </c>
    </row>
    <row r="42" ht="60" customHeight="1">
      <c r="A42" s="3" t="inlineStr">
        <is>
          <t>MK-CF-M-037</t>
        </is>
      </c>
      <c r="B42" s="3" t="inlineStr">
        <is>
          <t>Cashflow</t>
        </is>
      </c>
      <c r="C42" s="3" t="inlineStr">
        <is>
          <t>/income-summary · /income-manager</t>
        </is>
      </c>
      <c r="D42" s="3" t="inlineStr">
        <is>
          <t>Take-home each month</t>
        </is>
      </c>
      <c r="E42" s="3" t="inlineStr">
        <is>
          <t>takehome_each_month</t>
        </is>
      </c>
      <c r="F42" s="3" t="inlineStr">
        <is>
          <t>incomeSummary</t>
        </is>
      </c>
      <c r="G42" s="3" t="inlineStr">
        <is>
          <t>MK-CF-O-004</t>
        </is>
      </c>
      <c r="H42" s="3" t="inlineStr">
        <is>
          <t>take-home a usual month = Σ of every source’s take-home in a usual month; a source that lands in one month of the year is not spread across twelve</t>
        </is>
      </c>
      <c r="I42" s="3" t="inlineStr">
        <is>
          <t>take-home a usual month = Σ of every source’s take-home in a usual month; a source that lands in one month of the year is not spread across twelve</t>
        </is>
      </c>
      <c r="J42" s="3" t="inlineStr">
        <is>
          <t>MK-CF-M-031 household take-home
MK-CF-I-006 other income
MK-CF-I-007 rental income
MK-CF-I-008 retirement income</t>
        </is>
      </c>
      <c r="K42" s="3" t="inlineStr">
        <is>
          <t>dollars, whole a month</t>
        </is>
      </c>
      <c r="L42" s="3" t="inlineStr">
        <is>
          <t>Shows $0 on a fresh account, with the door to enter income — never a dash.</t>
        </is>
      </c>
      <c r="M42" s="3" t="inlineStr">
        <is>
          <t>one figure per household</t>
        </is>
      </c>
      <c r="N42" s="3" t="inlineStr">
        <is>
          <t>a month</t>
        </is>
      </c>
      <c r="O4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2" s="3" t="inlineStr">
        <is>
          <t>Declared by MK-CF-O-004 incomeSummary</t>
        </is>
      </c>
      <c r="Q42" s="3" t="inlineStr">
        <is>
          <t>A once-a-year source keeps its own month and is shown separately, never averaged in.</t>
        </is>
      </c>
      <c r="R42" s="3" t="inlineStr">
        <is>
          <t>A once-a-year source keeps its own month and is shown separately, never averaged in.</t>
        </is>
      </c>
      <c r="S42" s="3" t="inlineStr"/>
      <c r="T42" s="3" t="inlineStr">
        <is>
          <t>A once-a-year source keeps its own month and is shown separately, never averaged in.</t>
        </is>
      </c>
      <c r="U42"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2026-10-09</t>
        </is>
      </c>
      <c r="AH42" s="3" t="inlineStr"/>
      <c r="AI42" s="3" t="inlineStr"/>
      <c r="AJ42"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MK-CF-O-004 incomeSummary</t>
        </is>
      </c>
      <c r="AN42" s="3" t="inlineStr">
        <is>
          <t>Two earners filing jointly: $4,200 every two weeks ($109,200/year) and $5,000/month ($60,000), paying $1,200 and $400/month into their 401(k)s, with the tax rate typed at 22%.
GIVES: $9,398/month
(the test re-runs this through MK-CF-O-004 incomeSummary on every build)</t>
        </is>
      </c>
      <c r="AO42" s="7" t="inlineStr">
        <is>
          <t>RULED, NOT CODED (Q-CF-1 — one question, one function)</t>
        </is>
      </c>
    </row>
    <row r="43" ht="60" customHeight="1">
      <c r="A43" s="3" t="inlineStr">
        <is>
          <t>MK-CF-M-038</t>
        </is>
      </c>
      <c r="B43" s="3" t="inlineStr">
        <is>
          <t>Cashflow</t>
        </is>
      </c>
      <c r="C43" s="3" t="inlineStr">
        <is>
          <t>/income-summary</t>
        </is>
      </c>
      <c r="D43" s="3" t="inlineStr">
        <is>
          <t>each source of take-home</t>
        </is>
      </c>
      <c r="E43" s="3" t="inlineStr">
        <is>
          <t>each_source_of_takehome</t>
        </is>
      </c>
      <c r="F43" s="3" t="inlineStr">
        <is>
          <t>incomeSummary</t>
        </is>
      </c>
      <c r="G43" s="3" t="inlineStr">
        <is>
          <t>MK-CF-O-004</t>
        </is>
      </c>
      <c r="H43" s="3" t="inlineStr">
        <is>
          <t>one line per source: the earner’s take-home, or the source’s monthly amount</t>
        </is>
      </c>
      <c r="I43" s="3" t="inlineStr">
        <is>
          <t>one line per source: the earner’s take-home, or the source’s monthly amount</t>
        </is>
      </c>
      <c r="J43" s="3" t="inlineStr">
        <is>
          <t>MK-CF-M-031 household take-home
MK-CF-I-006 other income
MK-CF-I-007 rental income</t>
        </is>
      </c>
      <c r="K43" s="3" t="inlineStr">
        <is>
          <t>dollars, whole a month</t>
        </is>
      </c>
      <c r="L43" s="3" t="inlineStr">
        <is>
          <t>The list is replaced by the door to enter income when nothing is entered.</t>
        </is>
      </c>
      <c r="M43" s="3" t="inlineStr">
        <is>
          <t>one figure per household</t>
        </is>
      </c>
      <c r="N43" s="3" t="inlineStr">
        <is>
          <t>a month</t>
        </is>
      </c>
      <c r="O4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3" s="3" t="inlineStr">
        <is>
          <t>Declared by MK-CF-O-004 incomeSummary</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2026-10-09</t>
        </is>
      </c>
      <c r="AH43" s="3" t="inlineStr"/>
      <c r="AI43" s="3" t="inlineStr"/>
      <c r="AJ4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MK-CF-O-004 incomeSummary</t>
        </is>
      </c>
      <c r="AN43" s="3" t="inlineStr">
        <is>
          <t>Two earners filing jointly: $4,200 every two weeks ($109,200/year) and $5,000/month ($60,000), paying $1,200 and $400/month into their 401(k)s, with the tax rate typed at 22%.
GIVES: $5,898/month
(the test re-runs this through MK-CF-O-004 incomeSummary on every build)</t>
        </is>
      </c>
      <c r="AO43" s="7" t="inlineStr">
        <is>
          <t>RULED, NOT CODED (Q-CF-1 — one question, one function)</t>
        </is>
      </c>
    </row>
    <row r="44" ht="60" customHeight="1">
      <c r="A44" s="3" t="inlineStr">
        <is>
          <t>MK-CF-M-039</t>
        </is>
      </c>
      <c r="B44" s="3" t="inlineStr">
        <is>
          <t>Cashflow</t>
        </is>
      </c>
      <c r="C44" s="3" t="inlineStr">
        <is>
          <t>/income-summary · /income-manager</t>
        </is>
      </c>
      <c r="D44" s="3" t="inlineStr">
        <is>
          <t>its own month, never spread</t>
        </is>
      </c>
      <c r="E44" s="3" t="inlineStr">
        <is>
          <t>its_own_month_never_spread</t>
        </is>
      </c>
      <c r="F44" s="3" t="inlineStr">
        <is>
          <t>incomeSummary</t>
        </is>
      </c>
      <c r="G44" s="3" t="inlineStr">
        <is>
          <t>MK-CF-O-004</t>
        </is>
      </c>
      <c r="H44" s="3" t="inlineStr">
        <is>
          <t>the standout month = the source whose whole year lands in a single month, with that amount and that month</t>
        </is>
      </c>
      <c r="I44" s="3" t="inlineStr">
        <is>
          <t>the standout month = the source whose whole year lands in a single month, with that amount and that month</t>
        </is>
      </c>
      <c r="J44" s="3" t="inlineStr">
        <is>
          <t>MK-CF-I-009 bonus
MK-CF-I-010 equity vesting</t>
        </is>
      </c>
      <c r="K44" s="3" t="inlineStr">
        <is>
          <t>dollars, whole</t>
        </is>
      </c>
      <c r="L44" s="3" t="inlineStr">
        <is>
          <t>The line is hidden when no source behaves this way.</t>
        </is>
      </c>
      <c r="M44" s="3" t="inlineStr">
        <is>
          <t>one figure per household</t>
        </is>
      </c>
      <c r="N44" s="3" t="inlineStr">
        <is>
          <t>as of today</t>
        </is>
      </c>
      <c r="O44"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4" s="3" t="inlineStr">
        <is>
          <t>Declared by MK-CF-O-004 incomeSummary</t>
        </is>
      </c>
      <c r="Q44" s="3" t="inlineStr">
        <is>
          <t>A lump that lands once is never averaged across the year (founder, 2026-08-28).</t>
        </is>
      </c>
      <c r="R44" s="3" t="inlineStr">
        <is>
          <t>A lump that lands once is never averaged across the year (founder, 2026-08-28).</t>
        </is>
      </c>
      <c r="S44" s="3" t="inlineStr"/>
      <c r="T44" s="3" t="inlineStr">
        <is>
          <t>A lump that lands once is never averaged across the year (founder, 2026-08-28).</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2026-10-09</t>
        </is>
      </c>
      <c r="AH44" s="3" t="inlineStr"/>
      <c r="AI44" s="3" t="inlineStr"/>
      <c r="AJ4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MK-CF-O-004 incomeSummary</t>
        </is>
      </c>
      <c r="AN44" s="3" t="inlineStr">
        <is>
          <t>The two earners above, plus $24,000/year of self-employment, a $12,000 bonus in March, 50 shares vesting at $400, a rental bringing in $2,000/month against $800 of costs, and $2,100/month of Social Security.
GIVES: $40,316
(the test re-runs this through MK-CF-O-004 incomeSummary on every build)</t>
        </is>
      </c>
      <c r="AO44" s="7" t="inlineStr">
        <is>
          <t>RULED, NOT CODED (Q-CF-1 — one question, one function)</t>
        </is>
      </c>
    </row>
    <row r="45" ht="60" customHeight="1">
      <c r="A45" s="3" t="inlineStr">
        <is>
          <t>MK-CF-M-040</t>
        </is>
      </c>
      <c r="B45" s="3" t="inlineStr">
        <is>
          <t>Cashflow</t>
        </is>
      </c>
      <c r="C45" s="3" t="inlineStr">
        <is>
          <t>/income-summary</t>
        </is>
      </c>
      <c r="D45" s="3" t="inlineStr">
        <is>
          <t>is not here — it is reinvested where it is earned</t>
        </is>
      </c>
      <c r="E45" s="3" t="inlineStr">
        <is>
          <t>is_not_here__it_is_reinvested_where_it_i</t>
        </is>
      </c>
      <c r="F45" s="3" t="inlineStr">
        <is>
          <t>incomeSummary</t>
        </is>
      </c>
      <c r="G45" s="3" t="inlineStr">
        <is>
          <t>MK-CF-O-004</t>
        </is>
      </c>
      <c r="H45" s="3" t="inlineStr">
        <is>
          <t>taxed but not landed = interest and dividends earned inside accounts, which stay where they are earned</t>
        </is>
      </c>
      <c r="I45" s="3" t="inlineStr">
        <is>
          <t>taxed but not landed = interest and dividends earned inside accounts, which stay where they are earned</t>
        </is>
      </c>
      <c r="J45" s="3" t="inlineStr">
        <is>
          <t>MK-CF-I-011 interest and dividends</t>
        </is>
      </c>
      <c r="K45" s="3" t="inlineStr">
        <is>
          <t>dollars, whole a month</t>
        </is>
      </c>
      <c r="L45" s="3" t="inlineStr">
        <is>
          <t>The sentence is hidden when there is none.</t>
        </is>
      </c>
      <c r="M45" s="3" t="inlineStr">
        <is>
          <t>one figure per household</t>
        </is>
      </c>
      <c r="N45" s="3" t="inlineStr">
        <is>
          <t>a month</t>
        </is>
      </c>
      <c r="O45"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5" s="3" t="inlineStr">
        <is>
          <t>Declared by MK-CF-O-004 incomeSummary</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2026-10-09</t>
        </is>
      </c>
      <c r="AH45" s="3" t="inlineStr"/>
      <c r="AI45" s="3" t="inlineStr"/>
      <c r="AJ4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MK-CF-O-004 incomeSummary</t>
        </is>
      </c>
      <c r="AN45" s="3" t="inlineStr">
        <is>
          <t>The two earners above, with $3,600/year of interest and dividends earned inside their accounts and left there.
GIVES: $300/month
(the test re-runs this through MK-CF-O-004 incomeSummary on every build)</t>
        </is>
      </c>
      <c r="AO45" s="7" t="inlineStr">
        <is>
          <t>RULED, NOT CODED (Q-CF-1 — one question, one function)</t>
        </is>
      </c>
    </row>
    <row r="46" ht="60" customHeight="1">
      <c r="A46" s="3" t="inlineStr">
        <is>
          <t>MK-CF-M-041</t>
        </is>
      </c>
      <c r="B46" s="3" t="inlineStr">
        <is>
          <t>Cashflow</t>
        </is>
      </c>
      <c r="C46" s="3" t="inlineStr">
        <is>
          <t>/income-summary</t>
        </is>
      </c>
      <c r="D46" s="3" t="inlineStr">
        <is>
          <t>What it is taxed on</t>
        </is>
      </c>
      <c r="E46" s="3" t="inlineStr">
        <is>
          <t>what_it_is_taxed_on</t>
        </is>
      </c>
      <c r="F46" s="3" t="inlineStr">
        <is>
          <t>incomeSummary</t>
        </is>
      </c>
      <c r="G46" s="3" t="inlineStr">
        <is>
          <t>MK-CF-O-004</t>
        </is>
      </c>
      <c r="H46" s="3" t="inlineStr">
        <is>
          <t>gross a year = Σ of every taxable source over the year, wages included at gross</t>
        </is>
      </c>
      <c r="I46" s="3" t="inlineStr">
        <is>
          <t>gross a year = Σ of every taxable source over the year, wages included at gross</t>
        </is>
      </c>
      <c r="J46" s="3" t="inlineStr">
        <is>
          <t>MK-CF-M-030 gross a year
MK-CF-I-006 other income
MK-CF-I-007 rental income
MK-CF-I-011 interest and dividends</t>
        </is>
      </c>
      <c r="K46" s="3" t="inlineStr">
        <is>
          <t>dollars, whole a year</t>
        </is>
      </c>
      <c r="L46" s="3" t="inlineStr">
        <is>
          <t>Shows $0 on a fresh account, with the door to enter income.</t>
        </is>
      </c>
      <c r="M46" s="3" t="inlineStr">
        <is>
          <t>one figure per household</t>
        </is>
      </c>
      <c r="N46" s="3" t="inlineStr">
        <is>
          <t>a year</t>
        </is>
      </c>
      <c r="O46"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6" s="3" t="inlineStr">
        <is>
          <t>Declared by MK-CF-O-004 incomeSummary</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2026-10-09</t>
        </is>
      </c>
      <c r="AH46" s="3" t="inlineStr"/>
      <c r="AI46" s="3" t="inlineStr"/>
      <c r="AJ46"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MK-CF-O-004 incomeSummary</t>
        </is>
      </c>
      <c r="AN46" s="3" t="inlineStr">
        <is>
          <t>Two earners filing jointly: $4,200 every two weeks ($109,200/year) and $5,000/month ($60,000), paying $1,200 and $400/month into their 401(k)s, with the tax rate typed at 22%.
GIVES: $169,200/year
(the test re-runs this through MK-CF-O-004 incomeSummary on every build)</t>
        </is>
      </c>
      <c r="AO46" s="7" t="inlineStr">
        <is>
          <t>RULED, NOT CODED (Q-CF-1 — one question, one function)</t>
        </is>
      </c>
    </row>
    <row r="47" ht="60" customHeight="1">
      <c r="A47" s="3" t="inlineStr">
        <is>
          <t>MK-CF-M-042</t>
        </is>
      </c>
      <c r="B47" s="3" t="inlineStr">
        <is>
          <t>Cashflow</t>
        </is>
      </c>
      <c r="C47" s="3" t="inlineStr">
        <is>
          <t>/income-summary</t>
        </is>
      </c>
      <c r="D47" s="3" t="inlineStr">
        <is>
          <t>each taxed source</t>
        </is>
      </c>
      <c r="E47" s="3" t="inlineStr">
        <is>
          <t>each_taxed_source</t>
        </is>
      </c>
      <c r="F47" s="3" t="inlineStr">
        <is>
          <t>incomeSummary</t>
        </is>
      </c>
      <c r="G47" s="3" t="inlineStr">
        <is>
          <t>MK-CF-O-004</t>
        </is>
      </c>
      <c r="H47" s="3" t="inlineStr">
        <is>
          <t>one line per taxable source, at its yearly amount</t>
        </is>
      </c>
      <c r="I47" s="3" t="inlineStr">
        <is>
          <t>one line per taxable source, at its yearly amount</t>
        </is>
      </c>
      <c r="J47" s="3" t="inlineStr">
        <is>
          <t>MK-CF-M-041 gross a year</t>
        </is>
      </c>
      <c r="K47" s="3" t="inlineStr">
        <is>
          <t>dollars, whole a year</t>
        </is>
      </c>
      <c r="L47" s="3" t="inlineStr">
        <is>
          <t>The list is replaced by the door to enter income when nothing is entered.</t>
        </is>
      </c>
      <c r="M47" s="3" t="inlineStr">
        <is>
          <t>one figure per household</t>
        </is>
      </c>
      <c r="N47" s="3" t="inlineStr">
        <is>
          <t>a year</t>
        </is>
      </c>
      <c r="O4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7" s="3" t="inlineStr">
        <is>
          <t>Declared by MK-CF-O-004 incomeSummary</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2026-10-09</t>
        </is>
      </c>
      <c r="AH47" s="3" t="inlineStr"/>
      <c r="AI47" s="3" t="inlineStr"/>
      <c r="AJ47"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$109,200/year
(the test re-runs this through MK-CF-O-004 incomeSummary on every build)</t>
        </is>
      </c>
      <c r="AO47" s="7" t="inlineStr">
        <is>
          <t>RULED, NOT CODED (Q-CF-1 — one question, one function)</t>
        </is>
      </c>
    </row>
    <row r="48" ht="60" customHeight="1">
      <c r="A48" s="3" t="inlineStr">
        <is>
          <t>MK-CF-M-043</t>
        </is>
      </c>
      <c r="B48" s="3" t="inlineStr">
        <is>
          <t>Cashflow</t>
        </is>
      </c>
      <c r="C48" s="3" t="inlineStr">
        <is>
          <t>/income-summary</t>
        </is>
      </c>
      <c r="D48" s="3" t="inlineStr">
        <is>
          <t>Federal tax bracket</t>
        </is>
      </c>
      <c r="E48" s="3" t="inlineStr">
        <is>
          <t>federal_tax_bracket</t>
        </is>
      </c>
      <c r="F48" s="3" t="inlineStr">
        <is>
          <t>incomeSummary</t>
        </is>
      </c>
      <c r="G48" s="3" t="inlineStr">
        <is>
          <t>MK-CF-O-004</t>
        </is>
      </c>
      <c r="H48" s="3" t="inlineStr">
        <is>
          <t>the published bracket that the whole year’s gross falls in, for their filing status</t>
        </is>
      </c>
      <c r="I48" s="3" t="inlineStr">
        <is>
          <t>the published bracket that the whole year’s gross falls in, for their filing status</t>
        </is>
      </c>
      <c r="J48" s="3" t="inlineStr">
        <is>
          <t>MK-CF-M-041 gross a year
MK-XS-I-024 filing status</t>
        </is>
      </c>
      <c r="K48" s="3" t="inlineStr">
        <is>
          <t>a percentage, whole</t>
        </is>
      </c>
      <c r="L48" s="3" t="inlineStr">
        <is>
          <t>The row is not shown until income is entered.</t>
        </is>
      </c>
      <c r="M48" s="3" t="inlineStr">
        <is>
          <t>one figure per household</t>
        </is>
      </c>
      <c r="N48" s="3" t="inlineStr">
        <is>
          <t>as of today</t>
        </is>
      </c>
      <c r="O4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8" s="3" t="inlineStr">
        <is>
          <t>Declared by MK-CF-O-004 incomeSummary</t>
        </is>
      </c>
      <c r="Q48" s="3" t="inlineStr">
        <is>
          <t>NONE RECORDED — the declaration names none.</t>
        </is>
      </c>
      <c r="R48" s="3" t="inlineStr">
        <is>
          <t>NONE RECORDED — the declaration names none.</t>
        </is>
      </c>
      <c r="S48" s="3" t="inlineStr"/>
      <c r="T48" s="3" t="inlineStr">
        <is>
          <t>NONE RECORDED — the declaration names none.</t>
        </is>
      </c>
      <c r="U48" s="3" t="inlineStr">
        <is>
          <t>The same concept as MK-CF-M-032 on the base-pay screen, over a wider base: that one counts wages, this one counts every source. Conflict C-5 on the orchestrator map asks whether they stay two figures.</t>
        </is>
      </c>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2026-10-09</t>
        </is>
      </c>
      <c r="AH48" s="3" t="inlineStr"/>
      <c r="AI48" s="3" t="inlineStr"/>
      <c r="AJ4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Two earners filing jointly: $4,200 every two weeks ($109,200/year) and $5,000/month ($60,000), paying $1,200 and $400/month into their 401(k)s, with the tax rate typed at 22%.
GIVES: 22%
(the test re-runs this through MK-CF-O-004 incomeSummary on every build)</t>
        </is>
      </c>
      <c r="AO48" s="7" t="inlineStr">
        <is>
          <t>RULED, NOT CODED (Q-CF-1 — one question, one function)</t>
        </is>
      </c>
    </row>
    <row r="49" ht="60" customHeight="1">
      <c r="A49" s="3" t="inlineStr">
        <is>
          <t>MK-CF-M-044</t>
        </is>
      </c>
      <c r="B49" s="3" t="inlineStr">
        <is>
          <t>Cashflow</t>
        </is>
      </c>
      <c r="C49" s="3" t="inlineStr">
        <is>
          <t>/income-summary</t>
        </is>
      </c>
      <c r="D49" s="3" t="inlineStr">
        <is>
          <t>Calculated federal tax</t>
        </is>
      </c>
      <c r="E49" s="3" t="inlineStr">
        <is>
          <t>calculated_federal_tax</t>
        </is>
      </c>
      <c r="F49" s="3" t="inlineStr">
        <is>
          <t>incomeSummary</t>
        </is>
      </c>
      <c r="G49" s="3" t="inlineStr">
        <is>
          <t>MK-CF-O-004</t>
        </is>
      </c>
      <c r="H49" s="3" t="inlineStr">
        <is>
          <t>tax a year = the rate in force × the year’s gross; when it is ours, federal tax on gross less the standard deduction at the published bands</t>
        </is>
      </c>
      <c r="I49" s="3" t="inlineStr">
        <is>
          <t>tax a year = the rate in force × the year’s gross; when it is ours, federal tax on gross less the standard deduction at the published bands</t>
        </is>
      </c>
      <c r="J49" s="3" t="inlineStr">
        <is>
          <t>MK-CF-M-041 gross a year
MK-CF-I-005 tax rate as entered
MK-XS-I-024 filing status</t>
        </is>
      </c>
      <c r="K49" s="3" t="inlineStr">
        <is>
          <t>dollars, whole a year</t>
        </is>
      </c>
      <c r="L49" s="3" t="inlineStr">
        <is>
          <t>The row is not shown until income is entered.</t>
        </is>
      </c>
      <c r="M49" s="3" t="inlineStr">
        <is>
          <t>one figure per household</t>
        </is>
      </c>
      <c r="N49" s="3" t="inlineStr">
        <is>
          <t>a year</t>
        </is>
      </c>
      <c r="O4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9" s="3" t="inlineStr">
        <is>
          <t>Declared by MK-CF-O-004 incomeSummary</t>
        </is>
      </c>
      <c r="Q49" s="3" t="inlineStr">
        <is>
          <t>When it is ours it assumes the standard deduction and is federal only (MK-CF-D-002).</t>
        </is>
      </c>
      <c r="R49" s="3" t="inlineStr">
        <is>
          <t>When it is ours it assumes the standard deduction and is federal only (MK-CF-D-002).</t>
        </is>
      </c>
      <c r="S49" s="3" t="inlineStr"/>
      <c r="T49" s="3" t="inlineStr">
        <is>
          <t>When it is ours it assumes the standard deduction and is federal only (MK-CF-D-002).</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2026-10-09</t>
        </is>
      </c>
      <c r="AH49" s="3" t="inlineStr"/>
      <c r="AI49" s="3" t="inlineStr"/>
      <c r="AJ4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Two earners filing jointly: $4,200 every two weeks ($109,200/year) and $5,000/month ($60,000), paying $1,200 and $400/month into their 401(k)s, with the tax rate typed at 22%.
GIVES: $37,224/year
(the test re-runs this through MK-CF-O-004 incomeSummary on every build)</t>
        </is>
      </c>
      <c r="AO49" s="7" t="inlineStr">
        <is>
          <t>RULED, NOT CODED (Q-CF-1 — one question, one function)</t>
        </is>
      </c>
    </row>
    <row r="50" ht="60" customHeight="1">
      <c r="A50" s="3" t="inlineStr">
        <is>
          <t>MK-CF-M-045</t>
        </is>
      </c>
      <c r="B50" s="3" t="inlineStr">
        <is>
          <t>Cashflow</t>
        </is>
      </c>
      <c r="C50" s="3" t="inlineStr">
        <is>
          <t>/base-pay</t>
        </is>
      </c>
      <c r="D50" s="3" t="inlineStr">
        <is>
          <t>Social Security takes 6.2% of a wage up to</t>
        </is>
      </c>
      <c r="E50" s="3" t="inlineStr">
        <is>
          <t>social_security_takes_62_of_a_wage_up_to</t>
        </is>
      </c>
      <c r="F50" s="3" t="inlineStr">
        <is>
          <t>basePay</t>
        </is>
      </c>
      <c r="G50" s="3" t="inlineStr">
        <is>
          <t>MK-CF-O-001</t>
        </is>
      </c>
      <c r="H50" s="3" t="inlineStr">
        <is>
          <t>the published wage base for the tax year</t>
        </is>
      </c>
      <c r="I50" s="3" t="inlineStr">
        <is>
          <t>the published wage base for the tax year</t>
        </is>
      </c>
      <c r="J50" s="3" t="inlineStr">
        <is>
          <t>MK-ST-I-030 Social Security wage base</t>
        </is>
      </c>
      <c r="K50" s="3" t="inlineStr">
        <is>
          <t>dollars, whole a year</t>
        </is>
      </c>
      <c r="L50" s="3" t="inlineStr">
        <is>
          <t>Never absent — it is a published figure, not a calculation.</t>
        </is>
      </c>
      <c r="M50" s="3" t="inlineStr">
        <is>
          <t>one figure per household</t>
        </is>
      </c>
      <c r="N50" s="3" t="inlineStr">
        <is>
          <t>a year</t>
        </is>
      </c>
      <c r="O5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0" s="3" t="inlineStr">
        <is>
          <t>Declared by MK-CF-O-001 basePay</t>
        </is>
      </c>
      <c r="Q50" s="3" t="inlineStr">
        <is>
          <t>Published figure — the source and the year it applies to are on the master file’s Reference tab (guard D4).</t>
        </is>
      </c>
      <c r="R50" s="3" t="inlineStr">
        <is>
          <t>Published figure — the source and the year it applies to are on the master file’s Reference tab (guard D4).</t>
        </is>
      </c>
      <c r="S50" s="3" t="inlineStr"/>
      <c r="T50" s="3" t="inlineStr">
        <is>
          <t>Published figure — the source and the year it applies to are on the master file’s Reference tab (guard D4).</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2026-10-09</t>
        </is>
      </c>
      <c r="AH50" s="3" t="inlineStr"/>
      <c r="AI50" s="3" t="inlineStr"/>
      <c r="AJ50"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MK-CF-O-001 basePay</t>
        </is>
      </c>
      <c r="AN50"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0" s="7" t="inlineStr">
        <is>
          <t>RULED, NOT CODED (Q-CF-1 — one question, one function)</t>
        </is>
      </c>
    </row>
    <row r="51" ht="60" customHeight="1">
      <c r="A51" s="3" t="inlineStr">
        <is>
          <t>MK-CF-M-046</t>
        </is>
      </c>
      <c r="B51" s="3" t="inlineStr">
        <is>
          <t>Cashflow</t>
        </is>
      </c>
      <c r="C51" s="3" t="inlineStr">
        <is>
          <t>/base-pay</t>
        </is>
      </c>
      <c r="D51" s="3" t="inlineStr">
        <is>
          <t>Medicare 1.45% of everything, 0.9% more above</t>
        </is>
      </c>
      <c r="E51" s="3" t="inlineStr">
        <is>
          <t>medicare_145_of_everything_09_more_above</t>
        </is>
      </c>
      <c r="F51" s="3" t="inlineStr">
        <is>
          <t>basePay</t>
        </is>
      </c>
      <c r="G51" s="3" t="inlineStr">
        <is>
          <t>MK-CF-O-001</t>
        </is>
      </c>
      <c r="H51" s="3" t="inlineStr">
        <is>
          <t>the published additional-Medicare-tax threshold for the tax year</t>
        </is>
      </c>
      <c r="I51" s="3" t="inlineStr">
        <is>
          <t>the published additional-Medicare-tax threshold for the tax year</t>
        </is>
      </c>
      <c r="J51" s="3" t="inlineStr">
        <is>
          <t>MK-ST-I-031 Medicare additional-tax threshold</t>
        </is>
      </c>
      <c r="K51" s="3" t="inlineStr">
        <is>
          <t>dollars, whole a year</t>
        </is>
      </c>
      <c r="L51" s="3" t="inlineStr">
        <is>
          <t>Never absent — it is a published figure, not a calculation.</t>
        </is>
      </c>
      <c r="M51" s="3" t="inlineStr">
        <is>
          <t>one figure per household</t>
        </is>
      </c>
      <c r="N51" s="3" t="inlineStr">
        <is>
          <t>a year</t>
        </is>
      </c>
      <c r="O5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1" s="3" t="inlineStr">
        <is>
          <t>Declared by MK-CF-O-001 basePay</t>
        </is>
      </c>
      <c r="Q51" s="3" t="inlineStr">
        <is>
          <t>Published figure — the source and the year it applies to are on the master file’s Reference tab (guard D4).</t>
        </is>
      </c>
      <c r="R51" s="3" t="inlineStr">
        <is>
          <t>Published figure — the source and the year it applies to are on the master file’s Reference tab (guard D4).</t>
        </is>
      </c>
      <c r="S51" s="3" t="inlineStr"/>
      <c r="T51" s="3" t="inlineStr">
        <is>
          <t>Published figure — the source and the year it applies to are on the master file’s Reference tab (guard D4).</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2026-10-09</t>
        </is>
      </c>
      <c r="AH51" s="3" t="inlineStr"/>
      <c r="AI51" s="3" t="inlineStr"/>
      <c r="AJ51"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MK-CF-O-001 basePay</t>
        </is>
      </c>
      <c r="AN51"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1" s="7" t="inlineStr">
        <is>
          <t>RULED, NOT CODED (Q-CF-1 — one question, one function)</t>
        </is>
      </c>
    </row>
    <row r="52" ht="60" customHeight="1">
      <c r="A52" s="3" t="inlineStr">
        <is>
          <t>MK-CF-M-047</t>
        </is>
      </c>
      <c r="B52" s="3" t="inlineStr">
        <is>
          <t>Cashflow</t>
        </is>
      </c>
      <c r="C52" s="3" t="inlineStr">
        <is>
          <t>/cashflow</t>
        </is>
      </c>
      <c r="D52" s="3" t="inlineStr">
        <is>
          <t>Expected inflow</t>
        </is>
      </c>
      <c r="E52" s="3" t="inlineStr">
        <is>
          <t>expected_inflow</t>
        </is>
      </c>
      <c r="F52" s="3" t="inlineStr">
        <is>
          <t>thisMonth</t>
        </is>
      </c>
      <c r="G52" s="3" t="inlineStr">
        <is>
          <t>MK-CF-O-003</t>
        </is>
      </c>
      <c r="H52" s="3" t="inlineStr">
        <is>
          <t>expected inflow = Σ of every income source that lands in this month, at its take-home amount; a source that lands once a year counts only in the month it lands</t>
        </is>
      </c>
      <c r="I52" s="3" t="inlineStr">
        <is>
          <t>expected inflow = Σ of every income source that lands in this month, at its take-home amount; a source that lands once a year counts only in the month it lands</t>
        </is>
      </c>
      <c r="J52" s="3" t="inlineStr">
        <is>
          <t>MK-CF-M-037 take-home each month
MK-CF-I-006 other income
MK-CF-I-007 rental income
MK-CF-I-008 retirement income</t>
        </is>
      </c>
      <c r="K52" s="3" t="inlineStr">
        <is>
          <t>dollars, whole a month</t>
        </is>
      </c>
      <c r="L52" s="3" t="inlineStr">
        <is>
          <t>Shows $0 until income is entered, with the door to enter it.</t>
        </is>
      </c>
      <c r="M52" s="3" t="inlineStr">
        <is>
          <t>one figure per household per month</t>
        </is>
      </c>
      <c r="N52" s="3" t="inlineStr">
        <is>
          <t>a month</t>
        </is>
      </c>
      <c r="O52" s="3" t="inlineStr">
        <is>
          <t>1. MK-CF-F-005 (actualMonthFlow) → MonthBlock
2. MK-CF-F-156 (plannedMonthFlow) → MonthBlock</t>
        </is>
      </c>
      <c r="P52" s="3" t="inlineStr">
        <is>
          <t>Declared by MK-CF-O-003 thisMonth</t>
        </is>
      </c>
      <c r="Q52" s="3" t="inlineStr">
        <is>
          <t>A month is a real calendar month, never a twelfth of a year (founder, 2026-08-28).</t>
        </is>
      </c>
      <c r="R52" s="3" t="inlineStr">
        <is>
          <t>A month is a real calendar month, never a twelfth of a year (founder, 2026-08-28).</t>
        </is>
      </c>
      <c r="S52" s="3" t="inlineStr"/>
      <c r="T52" s="3" t="inlineStr">
        <is>
          <t>A month is a real calendar month, never a twelfth of a year (founder, 2026-08-28).</t>
        </is>
      </c>
      <c r="U52" s="3" t="inlineStr"/>
      <c r="V52" s="3" t="inlineStr"/>
      <c r="W52" s="3" t="inlineStr">
        <is>
          <t>yes</t>
        </is>
      </c>
      <c r="X52" s="3" t="inlineStr"/>
      <c r="Y52" s="3" t="inlineStr"/>
      <c r="Z52" s="3" t="inlineStr">
        <is>
          <t>DRAFT — declared in the code and printed here, WAITING FOR YOUR VERDICT before the screens move behind the door (rule 10)</t>
        </is>
      </c>
      <c r="AA52" s="3" t="inlineStr"/>
      <c r="AB52" s="3" t="inlineStr"/>
      <c r="AC52" s="3" t="inlineStr"/>
      <c r="AD52" s="3" t="inlineStr"/>
      <c r="AE52" s="3" t="inlineStr"/>
      <c r="AF52" s="3" t="inlineStr">
        <is>
          <t>ACTIVE</t>
        </is>
      </c>
      <c r="AG52" s="3" t="inlineStr">
        <is>
          <t>2026-10-09</t>
        </is>
      </c>
      <c r="AH52" s="3" t="inlineStr"/>
      <c r="AI52" s="3" t="inlineStr"/>
      <c r="AJ52"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RULED? NOT YET — read this row and say yes, or say what changes. Nothing moves behind MK-CF-O-003 thisMonth until you do.</t>
        </is>
      </c>
      <c r="AN52" s="3" t="inlineStr">
        <is>
          <t>September 2026: $7,200 take-home; a $2,400 mortgage and a $250 car loan due; a $3,400 budget. Logged so far: $2,300 rent, $512 groceries, $186 eating out, and the $250 car loan paid.
GIVES: $7,200/month
(the test re-runs this through MK-CF-O-003 thisMonth on every build)</t>
        </is>
      </c>
      <c r="AO52" s="9" t="inlineStr">
        <is>
          <t>WAITING ON YOU — row to approve: say yes in YOUR ANSWER, or say what changes · RULED, NOT CODED (Q-CF-2 — one question, one function)</t>
        </is>
      </c>
    </row>
    <row r="53" ht="60" customHeight="1">
      <c r="A53" s="3" t="inlineStr">
        <is>
          <t>MK-CF-M-048</t>
        </is>
      </c>
      <c r="B53" s="3" t="inlineStr">
        <is>
          <t>Cashflow</t>
        </is>
      </c>
      <c r="C53" s="3" t="inlineStr">
        <is>
          <t>/cashflow</t>
        </is>
      </c>
      <c r="D53" s="3" t="inlineStr">
        <is>
          <t>Planned outflow (expenses + debt)</t>
        </is>
      </c>
      <c r="E53" s="3" t="inlineStr">
        <is>
          <t>planned_outflow_expenses__debt</t>
        </is>
      </c>
      <c r="F53" s="3" t="inlineStr">
        <is>
          <t>thisMonth</t>
        </is>
      </c>
      <c r="G53" s="3" t="inlineStr">
        <is>
          <t>MK-CF-O-003</t>
        </is>
      </c>
      <c r="H53" s="3" t="inlineStr">
        <is>
          <t>planned outflow = planned everyday expenses + Σ of the debt payments due this month + Σ of the big bills that fall in this month</t>
        </is>
      </c>
      <c r="I53" s="3" t="inlineStr">
        <is>
          <t>planned outflow = planned everyday expenses + Σ of the debt payments due this month + Σ of the big bills that fall in this month</t>
        </is>
      </c>
      <c r="J53" s="3" t="inlineStr">
        <is>
          <t>MK-CF-I-012 planned expenses
MK-CF-I-013 debt payment
MK-CF-I-014 big bill</t>
        </is>
      </c>
      <c r="K53" s="3" t="inlineStr">
        <is>
          <t>dollars, whole a month</t>
        </is>
      </c>
      <c r="L53" s="3" t="inlineStr">
        <is>
          <t>Shows $0 until expenses or debts are entered.</t>
        </is>
      </c>
      <c r="M53" s="3" t="inlineStr">
        <is>
          <t>one figure per household per month</t>
        </is>
      </c>
      <c r="N53" s="3" t="inlineStr">
        <is>
          <t>a month</t>
        </is>
      </c>
      <c r="O53" s="3" t="inlineStr">
        <is>
          <t>1. MK-CF-F-005 (actualMonthFlow) → MonthBlock
2. MK-CF-F-156 (plannedMonthFlow) → MonthBlock</t>
        </is>
      </c>
      <c r="P53" s="3" t="inlineStr">
        <is>
          <t>Declared by MK-CF-O-003 thisMonth</t>
        </is>
      </c>
      <c r="Q53" s="3" t="inlineStr">
        <is>
          <t>A debt payment is counted as an outflow, not as saving (founder, 2026-06-21).
A bill that falls once a year is shown in its own month, never spread.</t>
        </is>
      </c>
      <c r="R53" s="3" t="inlineStr">
        <is>
          <t>A debt payment is counted as an outflow, not as saving (founder, 2026-06-21).
A bill that falls once a year is shown in its own month, never spread.</t>
        </is>
      </c>
      <c r="S53" s="3" t="inlineStr"/>
      <c r="T53" s="3" t="inlineStr">
        <is>
          <t>A debt payment is counted as an outflow, not as saving (founder, 2026-06-21).
A bill that falls once a year is shown in its own month, never spread.</t>
        </is>
      </c>
      <c r="U53" s="3" t="inlineStr"/>
      <c r="V53" s="3" t="inlineStr"/>
      <c r="W53" s="3" t="inlineStr">
        <is>
          <t>yes</t>
        </is>
      </c>
      <c r="X53" s="3" t="inlineStr"/>
      <c r="Y53" s="3" t="inlineStr"/>
      <c r="Z53" s="3" t="inlineStr">
        <is>
          <t>DRAFT — declared in the code and printed here, WAITING FOR YOUR VERDICT before the screens move behind the door (rule 10)</t>
        </is>
      </c>
      <c r="AA53" s="3" t="inlineStr"/>
      <c r="AB53" s="3" t="inlineStr"/>
      <c r="AC53" s="3" t="inlineStr"/>
      <c r="AD53" s="3" t="inlineStr"/>
      <c r="AE53" s="3" t="inlineStr"/>
      <c r="AF53" s="3" t="inlineStr">
        <is>
          <t>ACTIVE</t>
        </is>
      </c>
      <c r="AG53" s="3" t="inlineStr">
        <is>
          <t>2026-10-09</t>
        </is>
      </c>
      <c r="AH53" s="3" t="inlineStr"/>
      <c r="AI53" s="3" t="inlineStr"/>
      <c r="AJ5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RULED? NOT YET — read this row and say yes, or say what changes. Nothing moves behind MK-CF-O-003 thisMonth until you do.</t>
        </is>
      </c>
      <c r="AN53" s="3" t="inlineStr">
        <is>
          <t>September 2026: $7,200 take-home; a $2,400 mortgage and a $250 car loan due; a $3,400 budget. Logged so far: $2,300 rent, $512 groceries, $186 eating out, and the $250 car loan paid.
GIVES: -$6,050/month
(the test re-runs this through MK-CF-O-003 thisMonth on every build)</t>
        </is>
      </c>
      <c r="AO53" s="9" t="inlineStr">
        <is>
          <t>WAITING ON YOU — row to approve: say yes in YOUR ANSWER, or say what changes · RULED, NOT CODED (Q-CF-2 — one question, one function)</t>
        </is>
      </c>
    </row>
    <row r="54" ht="60" customHeight="1">
      <c r="A54" s="3" t="inlineStr">
        <is>
          <t>MK-CF-M-049</t>
        </is>
      </c>
      <c r="B54" s="3" t="inlineStr">
        <is>
          <t>Cashflow</t>
        </is>
      </c>
      <c r="C54" s="3" t="inlineStr">
        <is>
          <t>/cashflow</t>
        </is>
      </c>
      <c r="D54" s="3">
        <f> Planned surplus</f>
        <v/>
      </c>
      <c r="E54" s="3" t="inlineStr">
        <is>
          <t>planned_surplus</t>
        </is>
      </c>
      <c r="F54" s="3" t="inlineStr">
        <is>
          <t>thisMonth</t>
        </is>
      </c>
      <c r="G54" s="3" t="inlineStr">
        <is>
          <t>MK-CF-O-003</t>
        </is>
      </c>
      <c r="H54" s="3" t="inlineStr">
        <is>
          <t>planned surplus = expected inflow − planned outflow</t>
        </is>
      </c>
      <c r="I54" s="3" t="inlineStr">
        <is>
          <t>planned surplus = expected inflow − planned outflow</t>
        </is>
      </c>
      <c r="J54" s="3" t="inlineStr">
        <is>
          <t>MK-CF-M-047 expected inflow
MK-CF-M-048 planned outflow</t>
        </is>
      </c>
      <c r="K54" s="3" t="inlineStr">
        <is>
          <t>dollars, whole a month</t>
        </is>
      </c>
      <c r="L54" s="3" t="inlineStr">
        <is>
          <t>Shows $0 until both sides are entered.</t>
        </is>
      </c>
      <c r="M54" s="3" t="inlineStr">
        <is>
          <t>one figure per household per month</t>
        </is>
      </c>
      <c r="N54" s="3" t="inlineStr">
        <is>
          <t>a month</t>
        </is>
      </c>
      <c r="O54" s="3" t="inlineStr">
        <is>
          <t>1. MK-CF-F-005 (actualMonthFlow) → MonthBlock
2. MK-CF-F-156 (plannedMonthFlow) → MonthBlock</t>
        </is>
      </c>
      <c r="P54" s="3" t="inlineStr">
        <is>
          <t>Declared by MK-CF-O-003 thisMonth</t>
        </is>
      </c>
      <c r="Q54" s="3" t="inlineStr">
        <is>
          <t>NONE RECORDED — the declaration names none.</t>
        </is>
      </c>
      <c r="R54" s="3" t="inlineStr">
        <is>
          <t>NONE RECORDED — the declaration names none.</t>
        </is>
      </c>
      <c r="S54" s="3" t="inlineStr"/>
      <c r="T54" s="3" t="inlineStr">
        <is>
          <t>NONE RECORDED — the declaration names none.</t>
        </is>
      </c>
      <c r="U54" s="3" t="inlineStr">
        <is>
          <t>The Cash flow screen used to subtract this itself (rule 5). It is the door’s figure now.</t>
        </is>
      </c>
      <c r="V54" s="3" t="inlineStr"/>
      <c r="W54" s="3" t="inlineStr"/>
      <c r="X54" s="3" t="inlineStr"/>
      <c r="Y54" s="3" t="inlineStr"/>
      <c r="Z54" s="3" t="inlineStr">
        <is>
          <t>DRAFT — declared in the code and printed here, WAITING FOR YOUR VERDICT before the screens move behind the door (rule 10)</t>
        </is>
      </c>
      <c r="AA54" s="3" t="inlineStr"/>
      <c r="AB54" s="3" t="inlineStr"/>
      <c r="AC54" s="3" t="inlineStr"/>
      <c r="AD54" s="3" t="inlineStr"/>
      <c r="AE54" s="3" t="inlineStr"/>
      <c r="AF54" s="3" t="inlineStr">
        <is>
          <t>ACTIVE</t>
        </is>
      </c>
      <c r="AG54" s="3" t="inlineStr">
        <is>
          <t>2026-10-09</t>
        </is>
      </c>
      <c r="AH54" s="3" t="inlineStr"/>
      <c r="AI54" s="3" t="inlineStr"/>
      <c r="AJ5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RULED? NOT YET — read this row and say yes, or say what changes. Nothing moves behind MK-CF-O-003 thisMonth until you do.</t>
        </is>
      </c>
      <c r="AN54" s="3" t="inlineStr">
        <is>
          <t>September 2026: $7,200 take-home; a $2,400 mortgage and a $250 car loan due; a $3,400 budget. Logged so far: $2,300 rent, $512 groceries, $186 eating out, and the $250 car loan paid.
GIVES: $1,150/month
(the test re-runs this through MK-CF-O-003 thisMonth on every build)</t>
        </is>
      </c>
      <c r="AO54" s="9" t="inlineStr">
        <is>
          <t>WAITING ON YOU — row to approve: say yes in YOUR ANSWER, or say what changes · RULED, NOT CODED (Q-CF-2 — one question, one function)</t>
        </is>
      </c>
    </row>
    <row r="55" ht="60" customHeight="1">
      <c r="A55" s="3" t="inlineStr">
        <is>
          <t>MK-CF-M-050</t>
        </is>
      </c>
      <c r="B55" s="3" t="inlineStr">
        <is>
          <t>Cashflow</t>
        </is>
      </c>
      <c r="C55" s="3" t="inlineStr">
        <is>
          <t>/cashflow</t>
        </is>
      </c>
      <c r="D55" s="3" t="inlineStr">
        <is>
          <t>each planned line</t>
        </is>
      </c>
      <c r="E55" s="3" t="inlineStr">
        <is>
          <t>each_planned_line</t>
        </is>
      </c>
      <c r="F55" s="3" t="inlineStr">
        <is>
          <t>thisMonth</t>
        </is>
      </c>
      <c r="G55" s="3" t="inlineStr">
        <is>
          <t>MK-CF-O-003</t>
        </is>
      </c>
      <c r="H55" s="3" t="inlineStr">
        <is>
          <t>one line per source or commitment that falls in this month, at its amount for this month</t>
        </is>
      </c>
      <c r="I55" s="3" t="inlineStr">
        <is>
          <t>one line per source or commitment that falls in this month, at its amount for this month</t>
        </is>
      </c>
      <c r="J55" s="3" t="inlineStr">
        <is>
          <t>MK-CF-M-047 expected inflow
MK-CF-M-048 planned outflow</t>
        </is>
      </c>
      <c r="K55" s="3" t="inlineStr">
        <is>
          <t>dollars, whole a month</t>
        </is>
      </c>
      <c r="L55" s="3" t="inlineStr">
        <is>
          <t>The list is replaced by the door to enter income or expenses when nothing is entered.</t>
        </is>
      </c>
      <c r="M55" s="3" t="inlineStr">
        <is>
          <t>one figure per line per month</t>
        </is>
      </c>
      <c r="N55" s="3" t="inlineStr">
        <is>
          <t>a month</t>
        </is>
      </c>
      <c r="O55" s="3" t="inlineStr">
        <is>
          <t>1. MK-CF-F-005 (actualMonthFlow) → MonthBlock
2. MK-CF-F-156 (plannedMonthFlow) → MonthBlock</t>
        </is>
      </c>
      <c r="P55" s="3" t="inlineStr">
        <is>
          <t>Declared by MK-CF-O-003 thisMonth</t>
        </is>
      </c>
      <c r="Q55" s="3" t="inlineStr">
        <is>
          <t>NONE RECORDED — the declaration names none.</t>
        </is>
      </c>
      <c r="R55" s="3" t="inlineStr">
        <is>
          <t>NONE RECORDED — the declaration names none.</t>
        </is>
      </c>
      <c r="S55" s="3" t="inlineStr"/>
      <c r="T55" s="3" t="inlineStr">
        <is>
          <t>NONE RECORDED — the declaration names none.</t>
        </is>
      </c>
      <c r="U55" s="3" t="inlineStr"/>
      <c r="V55" s="3" t="inlineStr"/>
      <c r="W55" s="3" t="inlineStr"/>
      <c r="X55" s="3" t="inlineStr"/>
      <c r="Y55" s="3" t="inlineStr"/>
      <c r="Z55" s="3" t="inlineStr">
        <is>
          <t>DRAFT — declared in the code and printed here, WAITING FOR YOUR VERDICT before the screens move behind the door (rule 10)</t>
        </is>
      </c>
      <c r="AA55" s="3" t="inlineStr"/>
      <c r="AB55" s="3" t="inlineStr"/>
      <c r="AC55" s="3" t="inlineStr"/>
      <c r="AD55" s="3" t="inlineStr"/>
      <c r="AE55" s="3" t="inlineStr"/>
      <c r="AF55" s="3" t="inlineStr">
        <is>
          <t>ACTIVE</t>
        </is>
      </c>
      <c r="AG55" s="3" t="inlineStr">
        <is>
          <t>2026-10-09</t>
        </is>
      </c>
      <c r="AH55" s="3" t="inlineStr"/>
      <c r="AI55" s="3" t="inlineStr"/>
      <c r="AJ5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RULED? NOT YET — read this row and say yes, or say what changes. Nothing moves behind MK-CF-O-003 thisMonth until you do.</t>
        </is>
      </c>
      <c r="AN55" s="3" t="inlineStr">
        <is>
          <t>September 2026: $7,200 take-home; a $2,400 mortgage and a $250 car loan due; a $3,400 budget. Logged so far: $2,300 rent, $512 groceries, $186 eating out, and the $250 car loan paid.
GIVES: -$2,400/month
(the test re-runs this through MK-CF-O-003 thisMonth on every build)</t>
        </is>
      </c>
      <c r="AO55" s="9" t="inlineStr">
        <is>
          <t>WAITING ON YOU — row to approve: say yes in YOUR ANSWER, or say what changes · RULED, NOT CODED (Q-CF-2 — one question, one function)</t>
        </is>
      </c>
    </row>
    <row r="56" ht="60" customHeight="1">
      <c r="A56" s="3" t="inlineStr">
        <is>
          <t>MK-CF-M-051</t>
        </is>
      </c>
      <c r="B56" s="3" t="inlineStr">
        <is>
          <t>Cashflow</t>
        </is>
      </c>
      <c r="C56" s="3" t="inlineStr">
        <is>
          <t>/cashflow · /home</t>
        </is>
      </c>
      <c r="D56" s="3" t="inlineStr">
        <is>
          <t>Inflow</t>
        </is>
      </c>
      <c r="E56" s="3" t="inlineStr">
        <is>
          <t>inflow</t>
        </is>
      </c>
      <c r="F56" s="3" t="inlineStr">
        <is>
          <t>thisMonth</t>
        </is>
      </c>
      <c r="G56" s="3" t="inlineStr">
        <is>
          <t>MK-CF-O-003</t>
        </is>
      </c>
      <c r="H56" s="3" t="inlineStr">
        <is>
          <t>inflow so far = Σ of the income recorded as received in this month up to today</t>
        </is>
      </c>
      <c r="I56" s="3" t="inlineStr">
        <is>
          <t>inflow so far = Σ of the income recorded as received in this month up to today</t>
        </is>
      </c>
      <c r="J56" s="3" t="inlineStr">
        <is>
          <t>MK-CF-I-015 income recorded as received</t>
        </is>
      </c>
      <c r="K56" s="3" t="inlineStr">
        <is>
          <t>dollars, whole a month</t>
        </is>
      </c>
      <c r="L56" s="3" t="inlineStr">
        <is>
          <t>Shows $0 until something is recorded as received.</t>
        </is>
      </c>
      <c r="M56" s="3" t="inlineStr">
        <is>
          <t>one figure per household per month</t>
        </is>
      </c>
      <c r="N56" s="3" t="inlineStr">
        <is>
          <t>a month</t>
        </is>
      </c>
      <c r="O56" s="3" t="inlineStr">
        <is>
          <t>1. MK-CF-F-005 (actualMonthFlow) → MonthBlock
2. MK-CF-F-156 (plannedMonthFlow) → MonthBlock</t>
        </is>
      </c>
      <c r="P56" s="3" t="inlineStr">
        <is>
          <t>Declared by MK-CF-O-003 thisMonth</t>
        </is>
      </c>
      <c r="Q56" s="3" t="inlineStr">
        <is>
          <t>Nothing is assumed to have arrived; a source counts only once it is recorded (founder, 2026-08-28).</t>
        </is>
      </c>
      <c r="R56" s="3" t="inlineStr">
        <is>
          <t>Nothing is assumed to have arrived; a source counts only once it is recorded (founder, 2026-08-28).</t>
        </is>
      </c>
      <c r="S56" s="3" t="inlineStr"/>
      <c r="T56" s="3" t="inlineStr">
        <is>
          <t>Nothing is assumed to have arrived; a source counts only once it is recorded (founder, 2026-08-28).</t>
        </is>
      </c>
      <c r="U56" s="3" t="inlineStr">
        <is>
          <t>The words beside it name what is inside it — "Inflow (income (take-home) + rent)" — his cluster 5 ruling of 2026-09-10.</t>
        </is>
      </c>
      <c r="V56" s="3" t="inlineStr"/>
      <c r="W56" s="3" t="inlineStr"/>
      <c r="X56" s="3" t="inlineStr"/>
      <c r="Y56" s="3" t="inlineStr"/>
      <c r="Z56" s="3" t="inlineStr">
        <is>
          <t>DRAFT — declared in the code and printed here, WAITING FOR YOUR VERDICT before the screens move behind the door (rule 10)</t>
        </is>
      </c>
      <c r="AA56" s="3" t="inlineStr"/>
      <c r="AB56" s="3" t="inlineStr"/>
      <c r="AC56" s="3" t="inlineStr"/>
      <c r="AD56" s="3" t="inlineStr"/>
      <c r="AE56" s="3" t="inlineStr"/>
      <c r="AF56" s="3" t="inlineStr">
        <is>
          <t>ACTIVE</t>
        </is>
      </c>
      <c r="AG56" s="3" t="inlineStr">
        <is>
          <t>2026-10-09</t>
        </is>
      </c>
      <c r="AH56" s="3" t="inlineStr"/>
      <c r="AI56" s="3" t="inlineStr"/>
      <c r="AJ56"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RULED? NOT YET — read this row and say yes, or say what changes. Nothing moves behind MK-CF-O-003 thisMonth until you do.</t>
        </is>
      </c>
      <c r="AN56" s="3" t="inlineStr">
        <is>
          <t>September 2026: $7,200 take-home; a $2,400 mortgage and a $250 car loan due; a $3,400 budget. Logged so far: $2,300 rent, $512 groceries, $186 eating out, and the $250 car loan paid.
GIVES: $7,200/month
(the test re-runs this through MK-CF-O-003 thisMonth on every build)</t>
        </is>
      </c>
      <c r="AO56" s="9" t="inlineStr">
        <is>
          <t>WAITING ON YOU — row to approve: say yes in YOUR ANSWER, or say what changes · RULED, NOT CODED (Q-CF-2 — one question, one function)</t>
        </is>
      </c>
    </row>
    <row r="57" ht="60" customHeight="1">
      <c r="A57" s="3" t="inlineStr">
        <is>
          <t>MK-CF-M-052</t>
        </is>
      </c>
      <c r="B57" s="3" t="inlineStr">
        <is>
          <t>Cashflow</t>
        </is>
      </c>
      <c r="C57" s="3" t="inlineStr">
        <is>
          <t>/cashflow · /home</t>
        </is>
      </c>
      <c r="D57" s="3" t="inlineStr">
        <is>
          <t>Outflow (expenses + debt)</t>
        </is>
      </c>
      <c r="E57" s="3" t="inlineStr">
        <is>
          <t>outflow_expenses__debt</t>
        </is>
      </c>
      <c r="F57" s="3" t="inlineStr">
        <is>
          <t>thisMonth</t>
        </is>
      </c>
      <c r="G57" s="3" t="inlineStr">
        <is>
          <t>MK-CF-O-003</t>
        </is>
      </c>
      <c r="H57" s="3" t="inlineStr">
        <is>
          <t>outflow so far = expenses logged so far this month + Σ of the debt payments due this month</t>
        </is>
      </c>
      <c r="I57" s="3" t="inlineStr">
        <is>
          <t>outflow so far = expenses logged so far this month + Σ of the debt payments due this month</t>
        </is>
      </c>
      <c r="J57" s="3" t="inlineStr">
        <is>
          <t>MK-CF-I-016 logged expense
MK-CF-I-013 debt payment</t>
        </is>
      </c>
      <c r="K57" s="3" t="inlineStr">
        <is>
          <t>dollars, whole a month</t>
        </is>
      </c>
      <c r="L57" s="3" t="inlineStr">
        <is>
          <t>Shows $0 until an expense is logged or a debt is entered.</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Debt payments are counted in full for the month, logged or not, because they are committed.</t>
        </is>
      </c>
      <c r="R57" s="3" t="inlineStr">
        <is>
          <t>Debt payments are counted in full for the month, logged or not, because they are committed.</t>
        </is>
      </c>
      <c r="S57" s="3" t="inlineStr"/>
      <c r="T57" s="3" t="inlineStr">
        <is>
          <t>Debt payments are counted in full for the month, logged or not, because they are committed.</t>
        </is>
      </c>
      <c r="U57" s="3" t="inlineStr"/>
      <c r="V57" s="3" t="inlineStr"/>
      <c r="W57" s="3" t="inlineStr"/>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2026-10-09</t>
        </is>
      </c>
      <c r="AH57" s="3" t="inlineStr"/>
      <c r="AI57" s="3" t="inlineStr"/>
      <c r="AJ57"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-$3,248/month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MK-CF-M-053</t>
        </is>
      </c>
      <c r="B58" s="3" t="inlineStr">
        <is>
          <t>Cashflow</t>
        </is>
      </c>
      <c r="C58" s="3" t="inlineStr">
        <is>
          <t>/cashflow · /home</t>
        </is>
      </c>
      <c r="D58" s="3">
        <f> Surplus</f>
        <v/>
      </c>
      <c r="E58" s="3" t="inlineStr">
        <is>
          <t>surplus</t>
        </is>
      </c>
      <c r="F58" s="3" t="inlineStr">
        <is>
          <t>thisMonth</t>
        </is>
      </c>
      <c r="G58" s="3" t="inlineStr">
        <is>
          <t>MK-CF-O-003</t>
        </is>
      </c>
      <c r="H58" s="3" t="inlineStr">
        <is>
          <t>surplus so far = inflow so far − outflow so far</t>
        </is>
      </c>
      <c r="I58" s="3" t="inlineStr">
        <is>
          <t>surplus so far = inflow so far − outflow so far</t>
        </is>
      </c>
      <c r="J58" s="3" t="inlineStr">
        <is>
          <t>MK-CF-M-051 inflow so far
MK-CF-M-052 outflow so far</t>
        </is>
      </c>
      <c r="K58" s="3" t="inlineStr">
        <is>
          <t>dollars, whole a month</t>
        </is>
      </c>
      <c r="L58" s="3" t="inlineStr">
        <is>
          <t>Shows $0 until something is recorded.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NONE RECORDED — the declaration names none.</t>
        </is>
      </c>
      <c r="R58" s="3" t="inlineStr">
        <is>
          <t>NONE RECORDED — the declaration names none.</t>
        </is>
      </c>
      <c r="S58" s="3" t="inlineStr"/>
      <c r="T58" s="3" t="inlineStr">
        <is>
          <t>NONE RECORDED — the declaration names none.</t>
        </is>
      </c>
      <c r="U58" s="3" t="inlineStr">
        <is>
          <t>The Cash flow screen used to subtract this itself (rule 5). It is the door’s figure now.</t>
        </is>
      </c>
      <c r="V58" s="3" t="inlineStr"/>
      <c r="W58" s="3" t="inlineStr"/>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2026-10-09</t>
        </is>
      </c>
      <c r="AH58" s="3" t="inlineStr"/>
      <c r="AI58" s="3" t="inlineStr"/>
      <c r="AJ5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$3,952/month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MK-CF-M-054</t>
        </is>
      </c>
      <c r="B59" s="3" t="inlineStr">
        <is>
          <t>Cashflow</t>
        </is>
      </c>
      <c r="C59" s="3" t="inlineStr">
        <is>
          <t>/cashflow</t>
        </is>
      </c>
      <c r="D59" s="3" t="inlineStr">
        <is>
          <t>each received line</t>
        </is>
      </c>
      <c r="E59" s="3" t="inlineStr">
        <is>
          <t>each_received_line</t>
        </is>
      </c>
      <c r="F59" s="3" t="inlineStr">
        <is>
          <t>thisMonth</t>
        </is>
      </c>
      <c r="G59" s="3" t="inlineStr">
        <is>
          <t>MK-CF-O-003</t>
        </is>
      </c>
      <c r="H59" s="3" t="inlineStr">
        <is>
          <t>one line per payment recorded as received in this month, at its amount</t>
        </is>
      </c>
      <c r="I59" s="3" t="inlineStr">
        <is>
          <t>one line per payment recorded as received in this month, at its amount</t>
        </is>
      </c>
      <c r="J59" s="3" t="inlineStr">
        <is>
          <t>MK-CF-I-015 income recorded as received</t>
        </is>
      </c>
      <c r="K59" s="3" t="inlineStr">
        <is>
          <t>dollars, whole a month</t>
        </is>
      </c>
      <c r="L59" s="3" t="inlineStr">
        <is>
          <t>The list is replaced by the door to record income when nothing is recorded.</t>
        </is>
      </c>
      <c r="M59" s="3" t="inlineStr">
        <is>
          <t>one figure per payment</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2026-10-09</t>
        </is>
      </c>
      <c r="AH59" s="3" t="inlineStr"/>
      <c r="AI59" s="3" t="inlineStr"/>
      <c r="AJ5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-$250/month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MK-CF-M-055</t>
        </is>
      </c>
      <c r="B60" s="3" t="inlineStr">
        <is>
          <t>Cashflow</t>
        </is>
      </c>
      <c r="C60" s="3" t="inlineStr">
        <is>
          <t>/cashflow</t>
        </is>
      </c>
      <c r="D60" s="3" t="inlineStr">
        <is>
          <t>Draw from savings</t>
        </is>
      </c>
      <c r="E60" s="3" t="inlineStr">
        <is>
          <t>draw_from_savings</t>
        </is>
      </c>
      <c r="F60" s="3" t="inlineStr">
        <is>
          <t>futurePaycheck</t>
        </is>
      </c>
      <c r="G60" s="3" t="inlineStr">
        <is>
          <t>MK-CF-O-017</t>
        </is>
      </c>
      <c r="H60" s="3" t="inlineStr">
        <is>
          <t>the paycheck year’s level draw from the pot, at the assumed return and horizon</t>
        </is>
      </c>
      <c r="I60" s="3" t="inlineStr">
        <is>
          <t>the paycheck year’s level draw from the pot, at the assumed return and horizon</t>
        </is>
      </c>
      <c r="J60" s="3" t="inlineStr">
        <is>
          <t>MK-NW-I-001 your accounts
MK-XS-I-028 assumed return
MK-XS-I-018 retirement age</t>
        </is>
      </c>
      <c r="K60" s="3" t="inlineStr">
        <is>
          <t>dollars, whole a month</t>
        </is>
      </c>
      <c r="L60" s="3" t="inlineStr">
        <is>
          <t>No pot — no draw; the paycheck is the guaranteed income alone.</t>
        </is>
      </c>
      <c r="M60" s="3" t="inlineStr">
        <is>
          <t>one figure per household</t>
        </is>
      </c>
      <c r="N60" s="3" t="inlineStr">
        <is>
          <t>a month</t>
        </is>
      </c>
      <c r="O60"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60" s="3" t="inlineStr">
        <is>
          <t>Declared by MK-CF-O-017 futurePaycheck</t>
        </is>
      </c>
      <c r="Q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R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S60" s="3" t="inlineStr"/>
      <c r="T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U60" s="3" t="inlineStr"/>
      <c r="V60" s="3" t="inlineStr"/>
      <c r="W60" s="3" t="inlineStr"/>
      <c r="X60" s="3" t="inlineStr"/>
      <c r="Y60" s="3" t="inlineStr"/>
      <c r="Z60" s="3" t="inlineStr">
        <is>
          <t>DECLARED IN THE CODE (rule 11) — printed from the door, not typed. RULED 2026-10-02</t>
        </is>
      </c>
      <c r="AA60" s="3" t="inlineStr"/>
      <c r="AB60" s="3" t="inlineStr"/>
      <c r="AC60" s="3" t="inlineStr"/>
      <c r="AD60" s="3" t="inlineStr"/>
      <c r="AE60" s="3" t="inlineStr"/>
      <c r="AF60" s="3" t="inlineStr">
        <is>
          <t>ACTIVE</t>
        </is>
      </c>
      <c r="AG60" s="3" t="inlineStr">
        <is>
          <t>2026-10-09</t>
        </is>
      </c>
      <c r="AH60" s="3" t="inlineStr"/>
      <c r="AI60" s="3" t="inlineStr"/>
      <c r="AJ60" s="3" t="inlineStr">
        <is>
          <t>1. MK-XS-I-001 account balance — read by MK-CF-O-017, MK-NW-F-031, MK-NW-F-032, MK-NW-F-056, MK-NW-F-078, MK-NW-O-001, MK
2. MK-XS-I-002 account type (taxable, pre-tax, Roth) — read by MK-CF-O-017, MK-NW-F-004, MK-NW-F-011, MK-NW-O-001, MK-PL-F-001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2026-10-02; the figure, its formula, inputs and refusal live in MK-CF-O-017 futurePaycheck</t>
        </is>
      </c>
      <c r="AN60" s="3" t="inlineStr">
        <is>
          <t>Born in 1981, retiring at 67, with $200,000 in a 401(k) earning 6% and $2,000/month of Social Security from 67.
GIVES: $2,345/month
(the test re-runs this through MK-CF-O-017 futurePaycheck on every build)</t>
        </is>
      </c>
      <c r="AO60" s="3" t="inlineStr">
        <is>
          <t>NOTHING OPEN</t>
        </is>
      </c>
    </row>
    <row r="61" ht="60" customHeight="1">
      <c r="A61" s="3" t="inlineStr">
        <is>
          <t>MK-CF-M-056</t>
        </is>
      </c>
      <c r="B61" s="3" t="inlineStr">
        <is>
          <t>Cashflow</t>
        </is>
      </c>
      <c r="C61" s="3" t="inlineStr">
        <is>
          <t>/cashflow</t>
        </is>
      </c>
      <c r="D61" s="3" t="inlineStr">
        <is>
          <t>left of your budget</t>
        </is>
      </c>
      <c r="E61" s="3" t="inlineStr">
        <is>
          <t>left_of_your_budget</t>
        </is>
      </c>
      <c r="F61" s="3" t="inlineStr">
        <is>
          <t>theMonth</t>
        </is>
      </c>
      <c r="G61" s="3" t="inlineStr">
        <is>
          <t>MK-CF-O-010</t>
        </is>
      </c>
      <c r="H61" s="3" t="inlineStr">
        <is>
          <t>the budget (MK-CF-M-001) − spent so far (MK-CF-M-013); below zero it reads as over</t>
        </is>
      </c>
      <c r="I61" s="3" t="inlineStr">
        <is>
          <t>the budget (MK-CF-M-001) − spent so far (MK-CF-M-013); below zero it reads as over</t>
        </is>
      </c>
      <c r="J61" s="3" t="inlineStr">
        <is>
          <t>MK-CF-I-012 planned expenses
MK-CF-I-001 your logged expenses</t>
        </is>
      </c>
      <c r="K61" s="3" t="inlineStr">
        <is>
          <t>dollars, whole</t>
        </is>
      </c>
      <c r="L61" s="3" t="inlineStr">
        <is>
          <t>No budget set — nothing to be left of.</t>
        </is>
      </c>
      <c r="M61" s="3" t="inlineStr">
        <is>
          <t>one figure per household</t>
        </is>
      </c>
      <c r="N61" s="3" t="inlineStr">
        <is>
          <t>as of today</t>
        </is>
      </c>
      <c r="O61" s="3" t="inlineStr">
        <is>
          <t>1. MK-CF-F-203 (MONTH) → NOT DECLARED — the code does not say what it gives back
2. MK-CF-F-155 (cash) → number
3. MK-CF-O-002 (expenses) → Expenses
4. MK-CF-O-003 (thisMonth) → ThisMonth</t>
        </is>
      </c>
      <c r="P61" s="3" t="inlineStr">
        <is>
          <t>Declared by MK-CF-O-010 theMonth</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2026-10-02</t>
        </is>
      </c>
      <c r="AA61" s="3" t="inlineStr"/>
      <c r="AB61" s="3" t="inlineStr"/>
      <c r="AC61" s="3" t="inlineStr"/>
      <c r="AD61" s="3" t="inlineStr"/>
      <c r="AE61" s="3" t="inlineStr"/>
      <c r="AF61" s="3" t="inlineStr">
        <is>
          <t>ACTIVE</t>
        </is>
      </c>
      <c r="AG61" s="3" t="inlineStr">
        <is>
          <t>2026-10-09</t>
        </is>
      </c>
      <c r="AH61" s="3" t="inlineStr"/>
      <c r="AI61" s="3" t="inlineStr"/>
      <c r="AJ61"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2026-10-02; the figure, its formula, inputs and refusal live in MK-CF-O-010 theMonth</t>
        </is>
      </c>
      <c r="AN61"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$402
(the test re-runs this through MK-CF-O-010 theMonth on every build)</t>
        </is>
      </c>
      <c r="AO61" s="3" t="inlineStr">
        <is>
          <t>NOTHING OPEN</t>
        </is>
      </c>
    </row>
    <row r="62" ht="60" customHeight="1">
      <c r="A62" s="3" t="inlineStr">
        <is>
          <t>MK-CF-M-057</t>
        </is>
      </c>
      <c r="B62" s="3" t="inlineStr">
        <is>
          <t>Cashflow</t>
        </is>
      </c>
      <c r="C62" s="3" t="inlineStr">
        <is>
          <t>/cashflow</t>
        </is>
      </c>
      <c r="D62" s="3" t="inlineStr">
        <is>
          <t>/month interest</t>
        </is>
      </c>
      <c r="E62" s="3" t="inlineStr">
        <is>
          <t>month_interest</t>
        </is>
      </c>
      <c r="F62" s="3" t="inlineStr">
        <is>
          <t>theDebts</t>
        </is>
      </c>
      <c r="G62" s="3" t="inlineStr">
        <is>
          <t>MK-CF-O-018</t>
        </is>
      </c>
      <c r="H62" s="3" t="inlineStr">
        <is>
          <t>Σ balance × yearly rate ÷ 12, over every debt still owed</t>
        </is>
      </c>
      <c r="I62" s="3" t="inlineStr">
        <is>
          <t>Σ balance × yearly rate ÷ 12, over every debt still owed</t>
        </is>
      </c>
      <c r="J62" s="3" t="inlineStr">
        <is>
          <t>MK-XS-I-014 debt balance
MK-XS-I-015 debt interest rate</t>
        </is>
      </c>
      <c r="K62" s="3" t="inlineStr">
        <is>
          <t>dollars, whole a month</t>
        </is>
      </c>
      <c r="L62" s="3" t="inlineStr">
        <is>
          <t>No debts — $0.</t>
        </is>
      </c>
      <c r="M62" s="3" t="inlineStr">
        <is>
          <t>one figure per household</t>
        </is>
      </c>
      <c r="N62" s="3" t="inlineStr">
        <is>
          <t>a month</t>
        </is>
      </c>
      <c r="O62" s="3" t="inlineStr">
        <is>
          <t>1. MK-CF-F-025 (minimumDebtService) → number
2. MK-CF-F-034 (payoffPlan) → PayoffResult
3. MK-CF-F-024 (totalDebtMonthly) → number</t>
        </is>
      </c>
      <c r="P62" s="3" t="inlineStr">
        <is>
          <t>Declared by MK-CF-O-018 theDebts</t>
        </is>
      </c>
      <c r="Q62" s="3" t="inlineStr">
        <is>
          <t>NONE RECORDED — the declaration names none.</t>
        </is>
      </c>
      <c r="R62" s="3" t="inlineStr">
        <is>
          <t>NONE RECORDED — the declaration names none.</t>
        </is>
      </c>
      <c r="S62" s="3" t="inlineStr"/>
      <c r="T62" s="3" t="inlineStr">
        <is>
          <t>NONE RECORDED — the declaration names none.</t>
        </is>
      </c>
      <c r="U62" s="3" t="inlineStr"/>
      <c r="V62" s="3" t="inlineStr"/>
      <c r="W62" s="3" t="inlineStr"/>
      <c r="X62" s="3" t="inlineStr"/>
      <c r="Y62" s="3" t="inlineStr"/>
      <c r="Z62" s="3" t="inlineStr">
        <is>
          <t>DECLARED IN THE CODE (rule 11) — printed from the door, not typed. RULED 2026-10-02</t>
        </is>
      </c>
      <c r="AA62" s="3" t="inlineStr"/>
      <c r="AB62" s="3" t="inlineStr"/>
      <c r="AC62" s="3" t="inlineStr"/>
      <c r="AD62" s="3" t="inlineStr"/>
      <c r="AE62" s="3" t="inlineStr"/>
      <c r="AF62" s="3" t="inlineStr">
        <is>
          <t>ACTIVE</t>
        </is>
      </c>
      <c r="AG62" s="3" t="inlineStr">
        <is>
          <t>2026-10-09</t>
        </is>
      </c>
      <c r="AH62" s="3" t="inlineStr"/>
      <c r="AI62" s="3" t="inlineStr"/>
      <c r="AJ62"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2026-10-02; the figure, its formula, inputs and refusal live in MK-CF-O-018 theDebts</t>
        </is>
      </c>
      <c r="AN62" s="3" t="inlineStr">
        <is>
          <t>A $9,000 card at 24% with a $200 minimum and a $14,000 car loan at 6.9% with a $250 minimum, nothing extra paid.
GIVES: $261/month
(the test re-runs this through MK-CF-O-018 theDebts on every build)</t>
        </is>
      </c>
      <c r="AO62" s="3" t="inlineStr">
        <is>
          <t>NOTHING OPEN</t>
        </is>
      </c>
    </row>
    <row r="63" ht="60" customHeight="1">
      <c r="A63" s="3" t="inlineStr">
        <is>
          <t>MK-CF-M-058</t>
        </is>
      </c>
      <c r="B63" s="3" t="inlineStr">
        <is>
          <t>Cashflow</t>
        </is>
      </c>
      <c r="C63" s="3" t="inlineStr">
        <is>
          <t>/cashflow</t>
        </is>
      </c>
      <c r="D63" s="3" t="inlineStr">
        <is>
          <t>debt-free</t>
        </is>
      </c>
      <c r="E63" s="3" t="inlineStr">
        <is>
          <t>debtfree</t>
        </is>
      </c>
      <c r="F63" s="3" t="inlineStr">
        <is>
          <t>theDebts</t>
        </is>
      </c>
      <c r="G63" s="3" t="inlineStr">
        <is>
          <t>MK-CF-O-018</t>
        </is>
      </c>
      <c r="H63" s="3" t="inlineStr">
        <is>
          <t>the payoff plan: each month pay every minimum, put the extra on the costliest debt, roll a cleared debt’s payment onto the next</t>
        </is>
      </c>
      <c r="I63" s="3" t="inlineStr">
        <is>
          <t>the payoff plan: each month pay every minimum, put the extra on the costliest debt, roll a cleared debt’s payment onto the next</t>
        </is>
      </c>
      <c r="J63" s="3" t="inlineStr">
        <is>
          <t>MK-XS-I-014 debt balance
MK-XS-I-015 debt interest rate
MK-XS-I-016 debt minimum payment</t>
        </is>
      </c>
      <c r="K63" s="3" t="inlineStr">
        <is>
          <t>a count</t>
        </is>
      </c>
      <c r="L63" s="3" t="inlineStr">
        <is>
          <t>The payments cannot cover the interest — the screen says never, not a number.</t>
        </is>
      </c>
      <c r="M63" s="3" t="inlineStr">
        <is>
          <t>one figure per household</t>
        </is>
      </c>
      <c r="N63" s="3" t="inlineStr">
        <is>
          <t>as of today</t>
        </is>
      </c>
      <c r="O63" s="3" t="inlineStr">
        <is>
          <t>1. MK-CF-F-025 (minimumDebtService) → number
2. MK-CF-F-034 (payoffPlan) → PayoffResult
3. MK-CF-F-024 (totalDebtMonthly) → number</t>
        </is>
      </c>
      <c r="P63" s="3" t="inlineStr">
        <is>
          <t>Declared by MK-CF-O-018 theDebts</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DECLARED IN THE CODE (rule 11) — printed from the door, not typed. RULED 2026-10-02</t>
        </is>
      </c>
      <c r="AA63" s="3" t="inlineStr"/>
      <c r="AB63" s="3" t="inlineStr"/>
      <c r="AC63" s="3" t="inlineStr"/>
      <c r="AD63" s="3" t="inlineStr"/>
      <c r="AE63" s="3" t="inlineStr"/>
      <c r="AF63" s="3" t="inlineStr">
        <is>
          <t>ACTIVE</t>
        </is>
      </c>
      <c r="AG63" s="3" t="inlineStr">
        <is>
          <t>2026-10-09</t>
        </is>
      </c>
      <c r="AH63" s="3" t="inlineStr"/>
      <c r="AI63" s="3" t="inlineStr"/>
      <c r="AJ6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2026-10-02; the figure, its formula, inputs and refusal live in MK-CF-O-018 theDebts</t>
        </is>
      </c>
      <c r="AN63" s="3" t="inlineStr">
        <is>
          <t>A $9,000 card at 24% with a $200 minimum and a $14,000 car loan at 6.9% with a $250 minimum, nothing extra paid.
GIVES: 84
(the test re-runs this through MK-CF-O-018 theDebts on every build)</t>
        </is>
      </c>
      <c r="AO63" s="3" t="inlineStr">
        <is>
          <t>NOTHING OPEN</t>
        </is>
      </c>
    </row>
    <row r="64" ht="60" customHeight="1">
      <c r="A64" s="3" t="inlineStr">
        <is>
          <t>MK-CF-M-059</t>
        </is>
      </c>
      <c r="B64" s="3" t="inlineStr">
        <is>
          <t>Cashflow</t>
        </is>
      </c>
      <c r="C64" s="3" t="inlineStr">
        <is>
          <t>/cashflow</t>
        </is>
      </c>
      <c r="D64" s="3" t="inlineStr">
        <is>
          <t>total interest</t>
        </is>
      </c>
      <c r="E64" s="3" t="inlineStr">
        <is>
          <t>total_interest</t>
        </is>
      </c>
      <c r="F64" s="3" t="inlineStr">
        <is>
          <t>theDebts</t>
        </is>
      </c>
      <c r="G64" s="3" t="inlineStr">
        <is>
          <t>MK-CF-O-018</t>
        </is>
      </c>
      <c r="H64" s="3" t="inlineStr">
        <is>
          <t>the interest paid month by month over the payoff plan, added up</t>
        </is>
      </c>
      <c r="I64" s="3" t="inlineStr">
        <is>
          <t>the interest paid month by month over the payoff plan, added up</t>
        </is>
      </c>
      <c r="J64" s="3" t="inlineStr">
        <is>
          <t>MK-XS-I-014 debt balance
MK-XS-I-015 debt interest rate
MK-XS-I-016 debt minimum payment</t>
        </is>
      </c>
      <c r="K64" s="3" t="inlineStr">
        <is>
          <t>dollars, whole</t>
        </is>
      </c>
      <c r="L64" s="3" t="inlineStr">
        <is>
          <t>The payments cannot cover the interest — the screen says never, not a number.</t>
        </is>
      </c>
      <c r="M64" s="3" t="inlineStr">
        <is>
          <t>one figure per household</t>
        </is>
      </c>
      <c r="N64" s="3" t="inlineStr">
        <is>
          <t>as of today</t>
        </is>
      </c>
      <c r="O64" s="3" t="inlineStr">
        <is>
          <t>1. MK-CF-F-025 (minimumDebtService) → number
2. MK-CF-F-034 (payoffPlan) → PayoffResult
3. MK-CF-F-024 (totalDebtMonthly) → number</t>
        </is>
      </c>
      <c r="P64" s="3" t="inlineStr">
        <is>
          <t>Declared by MK-CF-O-018 theDebts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2026-10-02</t>
        </is>
      </c>
      <c r="AA64" s="3" t="inlineStr"/>
      <c r="AB64" s="3" t="inlineStr"/>
      <c r="AC64" s="3" t="inlineStr"/>
      <c r="AD64" s="3" t="inlineStr"/>
      <c r="AE64" s="3" t="inlineStr"/>
      <c r="AF64" s="3" t="inlineStr">
        <is>
          <t>ACTIVE</t>
        </is>
      </c>
      <c r="AG64" s="3" t="inlineStr">
        <is>
          <t>2026-10-09</t>
        </is>
      </c>
      <c r="AH64" s="3" t="inlineStr"/>
      <c r="AI64" s="3" t="inlineStr"/>
      <c r="AJ6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2026-10-02; the figure, its formula, inputs and refusal live in MK-CF-O-018 theDebts</t>
        </is>
      </c>
      <c r="AN64" s="3" t="inlineStr">
        <is>
          <t>A $9,000 card at 24% with a $200 minimum and a $14,000 car loan at 6.9% with a $250 minimum, nothing extra paid.
GIVES: $14,787
(the test re-runs this through MK-CF-O-018 theDebts on every build)</t>
        </is>
      </c>
      <c r="AO64" s="3" t="inlineStr">
        <is>
          <t>NOTHING OPEN</t>
        </is>
      </c>
    </row>
    <row r="65" ht="60" customHeight="1">
      <c r="A65" s="3" t="inlineStr">
        <is>
          <t>MK-CF-M-060</t>
        </is>
      </c>
      <c r="B65" s="3" t="inlineStr">
        <is>
          <t>Cashflow</t>
        </is>
      </c>
      <c r="C65" s="3" t="inlineStr">
        <is>
          <t>/bill-calendar</t>
        </is>
      </c>
      <c r="D65" s="3" t="inlineStr">
        <is>
          <t>Lowest point</t>
        </is>
      </c>
      <c r="E65" s="3" t="inlineStr">
        <is>
          <t>lowest_point</t>
        </is>
      </c>
      <c r="F65" s="3" t="inlineStr">
        <is>
          <t>whatsComing</t>
        </is>
      </c>
      <c r="G65" s="3" t="inlineStr">
        <is>
          <t>MK-CF-O-008</t>
        </is>
      </c>
      <c r="H65" s="3" t="inlineStr">
        <is>
          <t>the smallest running balance across the twelve month-ends, starting from the balance you gave</t>
        </is>
      </c>
      <c r="I65" s="3" t="inlineStr">
        <is>
          <t>the smallest running balance across the twelve month-ends, starting from the balance you gave</t>
        </is>
      </c>
      <c r="J65" s="3" t="inlineStr">
        <is>
          <t>MK-NW-I-001 your accounts
MK-CF-I-002 your bills
MK-XS-I-023 salary and other income</t>
        </is>
      </c>
      <c r="K65" s="3" t="inlineStr">
        <is>
          <t>dollars, whole</t>
        </is>
      </c>
      <c r="L65" s="3" t="inlineStr">
        <is>
          <t>No starting balance — the table starts from $0 and says so.</t>
        </is>
      </c>
      <c r="M65" s="3" t="inlineStr">
        <is>
          <t>one figure per household</t>
        </is>
      </c>
      <c r="N65" s="3" t="inlineStr">
        <is>
          <t>as of today</t>
        </is>
      </c>
      <c r="O65" s="3" t="inlineStr">
        <is>
          <t>MK-CF-F-019 (upcomingBills) → NOT DECLARED — the code does not say what it gives back</t>
        </is>
      </c>
      <c r="P65" s="3" t="inlineStr">
        <is>
          <t>Declared by MK-CF-O-008 whatsComing</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2026-10-02</t>
        </is>
      </c>
      <c r="AA65" s="3" t="inlineStr"/>
      <c r="AB65" s="3" t="inlineStr"/>
      <c r="AC65" s="3" t="inlineStr"/>
      <c r="AD65" s="3" t="inlineStr"/>
      <c r="AE65" s="3" t="inlineStr"/>
      <c r="AF65" s="3" t="inlineStr">
        <is>
          <t>ACTIVE</t>
        </is>
      </c>
      <c r="AG65" s="3" t="inlineStr">
        <is>
          <t>2026-10-09</t>
        </is>
      </c>
      <c r="AH65" s="3" t="inlineStr"/>
      <c r="AI65" s="3" t="inlineStr"/>
      <c r="AJ65"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2026-10-02; the figure, its formula, inputs and refusal live in MK-CF-O-008 whatsComing</t>
        </is>
      </c>
      <c r="AN65" s="3" t="inlineStr">
        <is>
          <t>On 28 Sep 2026, with $8,000 in the account: car insurance of $1,400 due 15 Oct and property tax of $4,800 due 1 Nov. Nothing else is dated.
GIVES: $1,800
(the test re-runs this through MK-CF-O-008 whatsComing on every build)</t>
        </is>
      </c>
      <c r="AO65" s="3" t="inlineStr">
        <is>
          <t>NOTHING OPEN</t>
        </is>
      </c>
    </row>
    <row r="66" ht="60" customHeight="1">
      <c r="A66" s="3" t="inlineStr">
        <is>
          <t>MK-CF-M-061</t>
        </is>
      </c>
      <c r="B66" s="3" t="inlineStr">
        <is>
          <t>Cashflow</t>
        </is>
      </c>
      <c r="C66" s="3" t="inlineStr">
        <is>
          <t>/bill-calendar</t>
        </is>
      </c>
      <c r="D66" s="3" t="inlineStr">
        <is>
          <t>END — where the month leaves you</t>
        </is>
      </c>
      <c r="E66" s="3" t="inlineStr">
        <is>
          <t>end__where_the_month_leaves_you</t>
        </is>
      </c>
      <c r="F66" s="3" t="inlineStr">
        <is>
          <t>whatsComing</t>
        </is>
      </c>
      <c r="G66" s="3" t="inlineStr">
        <is>
          <t>MK-CF-O-008</t>
        </is>
      </c>
      <c r="H66" s="3" t="inlineStr">
        <is>
          <t>running balance = last month’s end + inflow − outflow, month by month from the starting balance</t>
        </is>
      </c>
      <c r="I66" s="3" t="inlineStr">
        <is>
          <t>running balance = last month’s end + inflow − outflow, month by month from the starting balance</t>
        </is>
      </c>
      <c r="J66" s="3" t="inlineStr">
        <is>
          <t>MK-NW-I-001 your accounts
MK-CF-I-002 your bills
MK-XS-I-023 salary and other income</t>
        </is>
      </c>
      <c r="K66" s="3" t="inlineStr">
        <is>
          <t>dollars, whole</t>
        </is>
      </c>
      <c r="L66" s="3" t="inlineStr">
        <is>
          <t>No starting balance — the chain starts from $0 and says so.</t>
        </is>
      </c>
      <c r="M66" s="3" t="inlineStr">
        <is>
          <t>one month</t>
        </is>
      </c>
      <c r="N66" s="3" t="inlineStr">
        <is>
          <t>as of today</t>
        </is>
      </c>
      <c r="O66" s="3" t="inlineStr">
        <is>
          <t>MK-CF-F-019 (upcomingBills) → NOT DECLARED — the code does not say what it gives back</t>
        </is>
      </c>
      <c r="P66" s="3" t="inlineStr">
        <is>
          <t>Declared by MK-CF-O-008 whatsComing</t>
        </is>
      </c>
      <c r="Q66" s="3" t="inlineStr">
        <is>
          <t>NONE RECORDED — the declaration names none.</t>
        </is>
      </c>
      <c r="R66" s="3" t="inlineStr">
        <is>
          <t>NONE RECORDED — the declaration names none.</t>
        </is>
      </c>
      <c r="S66" s="3" t="inlineStr"/>
      <c r="T66" s="3" t="inlineStr">
        <is>
          <t>NONE RECORDED — the declaration names none.</t>
        </is>
      </c>
      <c r="U66" s="3" t="inlineStr"/>
      <c r="V66" s="3" t="inlineStr"/>
      <c r="W66" s="3" t="inlineStr"/>
      <c r="X66" s="3" t="inlineStr"/>
      <c r="Y66" s="3" t="inlineStr"/>
      <c r="Z66" s="3" t="inlineStr">
        <is>
          <t>DECLARED IN THE CODE (rule 11) — printed from the door, not typed. RULED 2026-10-02</t>
        </is>
      </c>
      <c r="AA66" s="3" t="inlineStr"/>
      <c r="AB66" s="3" t="inlineStr"/>
      <c r="AC66" s="3" t="inlineStr"/>
      <c r="AD66" s="3" t="inlineStr"/>
      <c r="AE66" s="3" t="inlineStr"/>
      <c r="AF66" s="3" t="inlineStr">
        <is>
          <t>ACTIVE</t>
        </is>
      </c>
      <c r="AG66" s="3" t="inlineStr">
        <is>
          <t>2026-10-09</t>
        </is>
      </c>
      <c r="AH66" s="3" t="inlineStr"/>
      <c r="AI66" s="3" t="inlineStr"/>
      <c r="AJ66"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2026-10-02; the figure, its formula, inputs and refusal live in MK-CF-O-008 whatsComing</t>
        </is>
      </c>
      <c r="AN66" s="3" t="inlineStr">
        <is>
          <t>On 28 Sep 2026, with $8,000 in the account: car insurance of $1,400 due 15 Oct and property tax of $4,800 due 1 Nov. Nothing else is dated.
GIVES: $6,600
(the test re-runs this through MK-CF-O-008 whatsComing on every build)</t>
        </is>
      </c>
      <c r="AO66" s="3" t="inlineStr">
        <is>
          <t>NOTHING OPEN</t>
        </is>
      </c>
    </row>
    <row r="67" ht="60" customHeight="1">
      <c r="A67" s="3" t="inlineStr">
        <is>
          <t>MK-CF-M-062</t>
        </is>
      </c>
      <c r="B67" s="3" t="inlineStr">
        <is>
          <t>Cashflow</t>
        </is>
      </c>
      <c r="C67" s="3" t="inlineStr">
        <is>
          <t>/bill-calendar</t>
        </is>
      </c>
      <c r="D67" s="3" t="inlineStr">
        <is>
          <t>Short — set it aside by &lt;date&gt;</t>
        </is>
      </c>
      <c r="E67" s="3" t="inlineStr">
        <is>
          <t>short__set_it_aside_by_date</t>
        </is>
      </c>
      <c r="F67" s="3" t="inlineStr">
        <is>
          <t>whatsComing</t>
        </is>
      </c>
      <c r="G67" s="3" t="inlineStr">
        <is>
          <t>MK-CF-O-008</t>
        </is>
      </c>
      <c r="H67" s="3" t="inlineStr">
        <is>
          <t>the bill − what is projected to be in the account on its need-by date, when that is less</t>
        </is>
      </c>
      <c r="I67" s="3" t="inlineStr">
        <is>
          <t>the bill − what is projected to be in the account on its need-by date, when that is less</t>
        </is>
      </c>
      <c r="J67" s="3" t="inlineStr">
        <is>
          <t>MK-NW-I-001 your accounts
MK-CF-I-002 your bills</t>
        </is>
      </c>
      <c r="K67" s="3" t="inlineStr">
        <is>
          <t>dollars, whole</t>
        </is>
      </c>
      <c r="L67" s="3" t="inlineStr">
        <is>
          <t>Nothing short — the line reads Covered instead.</t>
        </is>
      </c>
      <c r="M67" s="3" t="inlineStr">
        <is>
          <t>one bill</t>
        </is>
      </c>
      <c r="N67" s="3" t="inlineStr">
        <is>
          <t>as of today</t>
        </is>
      </c>
      <c r="O67" s="3" t="inlineStr">
        <is>
          <t>MK-CF-F-019 (upcomingBills) → NOT DECLARED — the code does not say what it gives back</t>
        </is>
      </c>
      <c r="P67" s="3" t="inlineStr">
        <is>
          <t>Declared by MK-CF-O-008 whatsComing</t>
        </is>
      </c>
      <c r="Q67" s="3" t="inlineStr">
        <is>
          <t>NONE RECORDED — the declaration names none.</t>
        </is>
      </c>
      <c r="R67" s="3" t="inlineStr">
        <is>
          <t>NONE RECORDED — the declaration names none.</t>
        </is>
      </c>
      <c r="S67" s="3" t="inlineStr"/>
      <c r="T67" s="3" t="inlineStr">
        <is>
          <t>NONE RECORDED — the declaration names none.</t>
        </is>
      </c>
      <c r="U67" s="3" t="inlineStr"/>
      <c r="V67" s="3" t="inlineStr"/>
      <c r="W67" s="3" t="inlineStr"/>
      <c r="X67" s="3" t="inlineStr"/>
      <c r="Y67" s="3" t="inlineStr"/>
      <c r="Z67" s="3" t="inlineStr">
        <is>
          <t>DECLARED IN THE CODE (rule 11) — printed from the door, not typed. RULED 2026-10-02</t>
        </is>
      </c>
      <c r="AA67" s="3" t="inlineStr"/>
      <c r="AB67" s="3" t="inlineStr"/>
      <c r="AC67" s="3" t="inlineStr"/>
      <c r="AD67" s="3" t="inlineStr"/>
      <c r="AE67" s="3" t="inlineStr"/>
      <c r="AF67" s="3" t="inlineStr">
        <is>
          <t>ACTIVE</t>
        </is>
      </c>
      <c r="AG67" s="3" t="inlineStr">
        <is>
          <t>2026-10-09</t>
        </is>
      </c>
      <c r="AH67" s="3" t="inlineStr"/>
      <c r="AI67" s="3" t="inlineStr"/>
      <c r="AJ67"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2026-10-02; the figure, its formula, inputs and refusal live in MK-CF-O-008 whatsComing</t>
        </is>
      </c>
      <c r="AN67" s="3" t="inlineStr">
        <is>
          <t>On 28 Sep 2026, with $8,000 in the account: car insurance of $1,400 due 15 Oct and property tax of $4,800 due 1 Nov. Nothing else is dated.
GIVES: $0
(the test re-runs this through MK-CF-O-008 whatsComing on every build)</t>
        </is>
      </c>
      <c r="AO67" s="3" t="inlineStr">
        <is>
          <t>NOTHING OPEN</t>
        </is>
      </c>
    </row>
    <row r="68" ht="60" customHeight="1">
      <c r="A68" s="3" t="inlineStr">
        <is>
          <t>MK-CF-M-063</t>
        </is>
      </c>
      <c r="B68" s="3" t="inlineStr">
        <is>
          <t>Cashflow</t>
        </is>
      </c>
      <c r="C68" s="3" t="inlineStr">
        <is>
          <t>/bill-calendar</t>
        </is>
      </c>
      <c r="D68" s="3" t="inlineStr">
        <is>
          <t>Covered — about $X there by &lt;date&gt;</t>
        </is>
      </c>
      <c r="E68" s="3" t="inlineStr">
        <is>
          <t>covered__about_x_there_by_date</t>
        </is>
      </c>
      <c r="F68" s="3" t="inlineStr">
        <is>
          <t>whatsComing</t>
        </is>
      </c>
      <c r="G68" s="3" t="inlineStr">
        <is>
          <t>MK-CF-O-008</t>
        </is>
      </c>
      <c r="H68" s="3" t="inlineStr">
        <is>
          <t>the starting balance, less every earlier dated bill, on the need-by date</t>
        </is>
      </c>
      <c r="I68" s="3" t="inlineStr">
        <is>
          <t>the starting balance, less every earlier dated bill, on the need-by date</t>
        </is>
      </c>
      <c r="J68" s="3" t="inlineStr">
        <is>
          <t>MK-NW-I-001 your accounts
MK-CF-I-002 your bills</t>
        </is>
      </c>
      <c r="K68" s="3" t="inlineStr">
        <is>
          <t>dollars, whole</t>
        </is>
      </c>
      <c r="L68" s="3" t="inlineStr">
        <is>
          <t>No balance to start from — nothing is projected.</t>
        </is>
      </c>
      <c r="M68" s="3" t="inlineStr">
        <is>
          <t>one bill</t>
        </is>
      </c>
      <c r="N68" s="3" t="inlineStr">
        <is>
          <t>as of today</t>
        </is>
      </c>
      <c r="O68" s="3" t="inlineStr">
        <is>
          <t>MK-CF-F-019 (upcomingBills) → NOT DECLARED — the code does not say what it gives back</t>
        </is>
      </c>
      <c r="P68" s="3" t="inlineStr">
        <is>
          <t>Declared by MK-CF-O-008 whatsComing</t>
        </is>
      </c>
      <c r="Q68" s="3" t="inlineStr">
        <is>
          <t>NONE RECORDED — the declaration names none.</t>
        </is>
      </c>
      <c r="R68" s="3" t="inlineStr">
        <is>
          <t>NONE RECORDED — the declaration names none.</t>
        </is>
      </c>
      <c r="S68" s="3" t="inlineStr"/>
      <c r="T68" s="3" t="inlineStr">
        <is>
          <t>NONE RECORDED — the declaration names none.</t>
        </is>
      </c>
      <c r="U68" s="3" t="inlineStr"/>
      <c r="V68" s="3" t="inlineStr"/>
      <c r="W68" s="3" t="inlineStr"/>
      <c r="X68" s="3" t="inlineStr"/>
      <c r="Y68" s="3" t="inlineStr"/>
      <c r="Z68" s="3" t="inlineStr">
        <is>
          <t>DECLARED IN THE CODE (rule 11) — printed from the door, not typed. RULED 2026-10-02</t>
        </is>
      </c>
      <c r="AA68" s="3" t="inlineStr"/>
      <c r="AB68" s="3" t="inlineStr"/>
      <c r="AC68" s="3" t="inlineStr"/>
      <c r="AD68" s="3" t="inlineStr"/>
      <c r="AE68" s="3" t="inlineStr"/>
      <c r="AF68" s="3" t="inlineStr">
        <is>
          <t>ACTIVE</t>
        </is>
      </c>
      <c r="AG68" s="3" t="inlineStr">
        <is>
          <t>2026-10-09</t>
        </is>
      </c>
      <c r="AH68" s="3" t="inlineStr"/>
      <c r="AI68" s="3" t="inlineStr"/>
      <c r="AJ68"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2026-10-02; the figure, its formula, inputs and refusal live in MK-CF-O-008 whatsComing</t>
        </is>
      </c>
      <c r="AN68" s="3" t="inlineStr">
        <is>
          <t>On 28 Sep 2026, with $8,000 in the account: car insurance of $1,400 due 15 Oct and property tax of $4,800 due 1 Nov. Nothing else is dated.
GIVES: $8,000
(the test re-runs this through MK-CF-O-008 whatsComing on every build)</t>
        </is>
      </c>
      <c r="AO68" s="3" t="inlineStr">
        <is>
          <t>NOTHING OPEN</t>
        </is>
      </c>
    </row>
    <row r="69" ht="60" customHeight="1">
      <c r="A69" s="3" t="inlineStr">
        <is>
          <t>MK-CF-M-066</t>
        </is>
      </c>
      <c r="B69" s="3" t="inlineStr">
        <is>
          <t>Cashflow</t>
        </is>
      </c>
      <c r="C69" s="3" t="inlineStr">
        <is>
          <t>/income-manager</t>
        </is>
      </c>
      <c r="D69" s="3" t="inlineStr">
        <is>
          <t>Dividends, interest &amp; coupons</t>
        </is>
      </c>
      <c r="E69" s="3" t="inlineStr">
        <is>
          <t>dividends_interest__coupons</t>
        </is>
      </c>
      <c r="F69" s="3" t="inlineStr">
        <is>
          <t>incomeSummary</t>
        </is>
      </c>
      <c r="G69" s="3" t="inlineStr">
        <is>
          <t>MK-CF-O-004</t>
        </is>
      </c>
      <c r="H69" s="3" t="inlineStr">
        <is>
          <t>the dividend, interest and coupon records of the last twelve months, added up</t>
        </is>
      </c>
      <c r="I69" s="3" t="inlineStr">
        <is>
          <t>the dividend, interest and coupon records of the last twelve months, added up</t>
        </is>
      </c>
      <c r="J69" s="3" t="inlineStr">
        <is>
          <t>MK-NW-I-004 the activity records
MK-NW-I-001 your accounts</t>
        </is>
      </c>
      <c r="K69" s="3" t="inlineStr">
        <is>
          <t>dollars, whole a year</t>
        </is>
      </c>
      <c r="L69" s="3" t="inlineStr">
        <is>
          <t>No record of any — $0, never an estimate.</t>
        </is>
      </c>
      <c r="M69" s="3" t="inlineStr">
        <is>
          <t>one figure per household</t>
        </is>
      </c>
      <c r="N69" s="3" t="inlineStr">
        <is>
          <t>a year</t>
        </is>
      </c>
      <c r="O6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69" s="3" t="inlineStr">
        <is>
          <t>Declared by MK-CF-O-004 incomeSummary</t>
        </is>
      </c>
      <c r="Q69" s="3" t="inlineStr">
        <is>
          <t>NONE RECORDED — the declaration names none.</t>
        </is>
      </c>
      <c r="R69" s="3" t="inlineStr">
        <is>
          <t>NONE RECORDED — the declaration names none.</t>
        </is>
      </c>
      <c r="S69" s="3" t="inlineStr"/>
      <c r="T69" s="3" t="inlineStr">
        <is>
          <t>NONE RECORDED — the declaration names none.</t>
        </is>
      </c>
      <c r="U69" s="3" t="inlineStr"/>
      <c r="V69" s="3" t="inlineStr"/>
      <c r="W69" s="3" t="inlineStr"/>
      <c r="X69" s="3" t="inlineStr"/>
      <c r="Y69" s="3" t="inlineStr"/>
      <c r="Z69" s="3" t="inlineStr">
        <is>
          <t>DECLARED IN THE CODE (rule 11) — printed from the door, not typed. RULED 2026-10-02</t>
        </is>
      </c>
      <c r="AA69" s="3" t="inlineStr"/>
      <c r="AB69" s="3" t="inlineStr"/>
      <c r="AC69" s="3" t="inlineStr"/>
      <c r="AD69" s="3" t="inlineStr"/>
      <c r="AE69" s="3" t="inlineStr"/>
      <c r="AF69" s="3" t="inlineStr">
        <is>
          <t>ACTIVE</t>
        </is>
      </c>
      <c r="AG69" s="3" t="inlineStr">
        <is>
          <t>2026-10-09</t>
        </is>
      </c>
      <c r="AH69" s="3" t="inlineStr"/>
      <c r="AI69" s="3" t="inlineStr"/>
      <c r="AJ6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2026-10-02; the figure, its formula, inputs and refusal live in MK-CF-O-004 incomeSummary</t>
        </is>
      </c>
      <c r="AN69" s="3" t="inlineStr">
        <is>
          <t>One account that recorded a $300 dividend in June and $120 of interest in March.
GIVES: $420/year
(the test re-runs this through MK-CF-O-004 incomeSummary on every build)</t>
        </is>
      </c>
      <c r="AO69" s="3" t="inlineStr">
        <is>
          <t>NOTHING OPEN</t>
        </is>
      </c>
    </row>
    <row r="70" ht="60" customHeight="1">
      <c r="A70" s="3" t="inlineStr">
        <is>
          <t>MK-CF-M-069</t>
        </is>
      </c>
      <c r="B70" s="3" t="inlineStr">
        <is>
          <t>Cashflow</t>
        </is>
      </c>
      <c r="C70" s="3" t="inlineStr">
        <is>
          <t>/monthly-income</t>
        </is>
      </c>
      <c r="D70" s="3" t="inlineStr">
        <is>
          <t>Your guaranteed income</t>
        </is>
      </c>
      <c r="E70" s="3" t="inlineStr">
        <is>
          <t>your_guaranteed_income</t>
        </is>
      </c>
      <c r="F70" s="3" t="inlineStr">
        <is>
          <t>incomeSummary</t>
        </is>
      </c>
      <c r="G70" s="3" t="inlineStr">
        <is>
          <t>MK-CF-O-004</t>
        </is>
      </c>
      <c r="H70" s="3" t="inlineStr">
        <is>
          <t>the sum of each source of guaranteed income (MK-CF-M-024)</t>
        </is>
      </c>
      <c r="I70" s="3" t="inlineStr">
        <is>
          <t>the sum of each source of guaranteed income (MK-CF-M-024)</t>
        </is>
      </c>
      <c r="J70" s="3" t="inlineStr">
        <is>
          <t>MK-XS-I-020 Social Security monthly amount
MK-XS-I-022 pension monthly amount
MK-XS-I-035 annuity income
MK-XS-I-036 other guaranteed income</t>
        </is>
      </c>
      <c r="K70" s="3" t="inlineStr">
        <is>
          <t>dollars, whole a month</t>
        </is>
      </c>
      <c r="L70" s="3" t="inlineStr">
        <is>
          <t>Nothing entered — $0, with the door to enter it.</t>
        </is>
      </c>
      <c r="M70" s="3" t="inlineStr">
        <is>
          <t>one figure per household</t>
        </is>
      </c>
      <c r="N70" s="3" t="inlineStr">
        <is>
          <t>a month</t>
        </is>
      </c>
      <c r="O7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70" s="3" t="inlineStr">
        <is>
          <t>Declared by MK-CF-O-004 incomeSummary</t>
        </is>
      </c>
      <c r="Q70" s="3" t="inlineStr">
        <is>
          <t>NONE RECORDED — the declaration names none.</t>
        </is>
      </c>
      <c r="R70" s="3" t="inlineStr">
        <is>
          <t>NONE RECORDED — the declaration names none.</t>
        </is>
      </c>
      <c r="S70" s="3" t="inlineStr"/>
      <c r="T70" s="3" t="inlineStr">
        <is>
          <t>NONE RECORDED — the declaration names none.</t>
        </is>
      </c>
      <c r="U70" s="3" t="inlineStr"/>
      <c r="V70" s="3" t="inlineStr"/>
      <c r="W70" s="3" t="inlineStr"/>
      <c r="X70" s="3" t="inlineStr"/>
      <c r="Y70" s="3" t="inlineStr"/>
      <c r="Z70" s="3" t="inlineStr">
        <is>
          <t>DECLARED IN THE CODE (rule 11) — printed from the door, not typed. RULED 2026-10-02</t>
        </is>
      </c>
      <c r="AA70" s="3" t="inlineStr"/>
      <c r="AB70" s="3" t="inlineStr"/>
      <c r="AC70" s="3" t="inlineStr"/>
      <c r="AD70" s="3" t="inlineStr"/>
      <c r="AE70" s="3" t="inlineStr"/>
      <c r="AF70" s="3" t="inlineStr">
        <is>
          <t>ACTIVE</t>
        </is>
      </c>
      <c r="AG70" s="3" t="inlineStr">
        <is>
          <t>2026-10-09</t>
        </is>
      </c>
      <c r="AH70" s="3" t="inlineStr"/>
      <c r="AI70" s="3" t="inlineStr"/>
      <c r="AJ70"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2026-10-02; the figure, its formula, inputs and refusal live in MK-CF-O-004 incomeSummary</t>
        </is>
      </c>
      <c r="AN70"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70" s="3" t="inlineStr">
        <is>
          <t>NOTHING OPEN</t>
        </is>
      </c>
    </row>
    <row r="71" ht="60" customHeight="1">
      <c r="A71" s="3" t="inlineStr">
        <is>
          <t>MK-CF-M-070</t>
        </is>
      </c>
      <c r="B71" s="3" t="inlineStr">
        <is>
          <t>Cashflow</t>
        </is>
      </c>
      <c r="C71" s="3" t="inlineStr">
        <is>
          <t>/cashflow</t>
        </is>
      </c>
      <c r="D71" s="3" t="inlineStr">
        <is>
          <t>each step of the withdrawal order</t>
        </is>
      </c>
      <c r="E71" s="3" t="inlineStr">
        <is>
          <t>each_step_of_the_withdrawal_order</t>
        </is>
      </c>
      <c r="F71" s="3" t="inlineStr">
        <is>
          <t>futurePaycheck</t>
        </is>
      </c>
      <c r="G71" s="3" t="inlineStr">
        <is>
          <t>MK-CF-O-017</t>
        </is>
      </c>
      <c r="H71" s="3" t="inlineStr">
        <is>
          <t>cash first, then taxable, then pre-tax, then Roth — each with what is earmarked for retirement in it</t>
        </is>
      </c>
      <c r="I71" s="3" t="inlineStr">
        <is>
          <t>cash first, then taxable, then pre-tax, then Roth — each with what is earmarked for retirement in it</t>
        </is>
      </c>
      <c r="J71" s="3" t="inlineStr">
        <is>
          <t>MK-NW-I-001 your accounts
MK-XS-I-002 account type (taxable, pre-tax, Roth)
MK-XS-I-050 the share of an account earmarked for retirement</t>
        </is>
      </c>
      <c r="K71" s="3" t="inlineStr">
        <is>
          <t>dollars, whole</t>
        </is>
      </c>
      <c r="L71" s="3" t="inlineStr">
        <is>
          <t>No retirement money in any pot — no order to explain.</t>
        </is>
      </c>
      <c r="M71" s="3" t="inlineStr">
        <is>
          <t>one step</t>
        </is>
      </c>
      <c r="N71" s="3" t="inlineStr">
        <is>
          <t>as of today</t>
        </is>
      </c>
      <c r="O71"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71" s="3" t="inlineStr">
        <is>
          <t>Declared by MK-CF-O-017 futurePaycheck</t>
        </is>
      </c>
      <c r="Q71" s="3" t="inlineStr">
        <is>
          <t>NONE RECORDED — the declaration names none.</t>
        </is>
      </c>
      <c r="R71" s="3" t="inlineStr">
        <is>
          <t>NONE RECORDED — the declaration names none.</t>
        </is>
      </c>
      <c r="S71" s="3" t="inlineStr"/>
      <c r="T71" s="3" t="inlineStr">
        <is>
          <t>NONE RECORDED — the declaration names none.</t>
        </is>
      </c>
      <c r="U71" s="3" t="inlineStr"/>
      <c r="V71" s="3" t="inlineStr"/>
      <c r="W71" s="3" t="inlineStr"/>
      <c r="X71" s="3" t="inlineStr"/>
      <c r="Y71" s="3" t="inlineStr"/>
      <c r="Z71" s="3" t="inlineStr">
        <is>
          <t>DECLARED IN THE CODE (rule 11) — printed from the door, not typed. RULED 2026-10-02</t>
        </is>
      </c>
      <c r="AA71" s="3" t="inlineStr"/>
      <c r="AB71" s="3" t="inlineStr"/>
      <c r="AC71" s="3" t="inlineStr"/>
      <c r="AD71" s="3" t="inlineStr"/>
      <c r="AE71" s="3" t="inlineStr"/>
      <c r="AF71" s="3" t="inlineStr">
        <is>
          <t>ACTIVE</t>
        </is>
      </c>
      <c r="AG71" s="3" t="inlineStr">
        <is>
          <t>2026-10-09</t>
        </is>
      </c>
      <c r="AH71" s="3" t="inlineStr"/>
      <c r="AI71" s="3" t="inlineStr"/>
      <c r="AJ71" s="3" t="inlineStr">
        <is>
          <t>1. MK-XS-I-001 account balance — read by MK-CF-O-017, MK-NW-F-031, MK-NW-F-032, MK-NW-F-056, MK-NW-F-078, MK-NW-O-001, MK
2. MK-XS-I-002 account type (taxable, pre-tax, Roth) — read by MK-CF-O-017, MK-NW-F-004, MK-NW-F-011, MK-NW-O-001, MK-PL-F-001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2026-10-02; the figure, its formula, inputs and refusal live in MK-CF-O-017 futurePaycheck</t>
        </is>
      </c>
      <c r="AN71" s="3" t="inlineStr">
        <is>
          <t>A $50,000 taxable brokerage account and a $120,000 pre-tax 401(k), both for retirement, at 68.
GIVES: $50,000
(the test re-runs this through MK-CF-O-017 futurePaycheck on every build)</t>
        </is>
      </c>
      <c r="AO71" s="3" t="inlineStr">
        <is>
          <t>NOTHING OPEN</t>
        </is>
      </c>
    </row>
    <row r="72" ht="60" customHeight="1">
      <c r="A72" s="3" t="inlineStr">
        <is>
          <t>MK-CF-M-071</t>
        </is>
      </c>
      <c r="B72" s="3" t="inlineStr">
        <is>
          <t>Cashflow</t>
        </is>
      </c>
      <c r="C72" s="3" t="inlineStr">
        <is>
          <t>/cashflow</t>
        </is>
      </c>
      <c r="D72" s="3" t="inlineStr">
        <is>
          <t>/month min</t>
        </is>
      </c>
      <c r="E72" s="3" t="inlineStr">
        <is>
          <t>month_min</t>
        </is>
      </c>
      <c r="F72" s="3" t="inlineStr">
        <is>
          <t>theDebts</t>
        </is>
      </c>
      <c r="G72" s="3" t="inlineStr">
        <is>
          <t>MK-CF-O-018</t>
        </is>
      </c>
      <c r="H72" s="3" t="inlineStr">
        <is>
          <t>Σ the minimum monthly payment of every debt still owed</t>
        </is>
      </c>
      <c r="I72" s="3" t="inlineStr">
        <is>
          <t>Σ the minimum monthly payment of every debt still owed</t>
        </is>
      </c>
      <c r="J72" s="3" t="inlineStr">
        <is>
          <t>MK-XS-I-016 debt minimum payment</t>
        </is>
      </c>
      <c r="K72" s="3" t="inlineStr">
        <is>
          <t>dollars, whole a month</t>
        </is>
      </c>
      <c r="L72" s="3" t="inlineStr">
        <is>
          <t>No debts — $0.</t>
        </is>
      </c>
      <c r="M72" s="3" t="inlineStr">
        <is>
          <t>one figure per household</t>
        </is>
      </c>
      <c r="N72" s="3" t="inlineStr">
        <is>
          <t>a month</t>
        </is>
      </c>
      <c r="O72" s="3" t="inlineStr">
        <is>
          <t>1. MK-CF-F-025 (minimumDebtService) → number
2. MK-CF-F-034 (payoffPlan) → PayoffResult
3. MK-CF-F-024 (totalDebtMonthly) → number</t>
        </is>
      </c>
      <c r="P72" s="3" t="inlineStr">
        <is>
          <t>Declared by MK-CF-O-018 theDebts</t>
        </is>
      </c>
      <c r="Q72" s="3" t="inlineStr">
        <is>
          <t>NONE RECORDED — the declaration names none.</t>
        </is>
      </c>
      <c r="R72" s="3" t="inlineStr">
        <is>
          <t>NONE RECORDED — the declaration names none.</t>
        </is>
      </c>
      <c r="S72" s="3" t="inlineStr"/>
      <c r="T72" s="3" t="inlineStr">
        <is>
          <t>NONE RECORDED — the declaration names none.</t>
        </is>
      </c>
      <c r="U72" s="3" t="inlineStr"/>
      <c r="V72" s="3" t="inlineStr"/>
      <c r="W72" s="3" t="inlineStr"/>
      <c r="X72" s="3" t="inlineStr"/>
      <c r="Y72" s="3" t="inlineStr"/>
      <c r="Z72" s="3" t="inlineStr">
        <is>
          <t>DECLARED IN THE CODE (rule 11) — printed from the door, not typed. RULED 2026-10-02</t>
        </is>
      </c>
      <c r="AA72" s="3" t="inlineStr"/>
      <c r="AB72" s="3" t="inlineStr"/>
      <c r="AC72" s="3" t="inlineStr"/>
      <c r="AD72" s="3" t="inlineStr"/>
      <c r="AE72" s="3" t="inlineStr"/>
      <c r="AF72" s="3" t="inlineStr">
        <is>
          <t>ACTIVE</t>
        </is>
      </c>
      <c r="AG72" s="3" t="inlineStr">
        <is>
          <t>2026-10-09</t>
        </is>
      </c>
      <c r="AH72" s="3" t="inlineStr"/>
      <c r="AI72" s="3" t="inlineStr"/>
      <c r="AJ72"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2026-10-02; the figure, its formula, inputs and refusal live in MK-CF-O-018 theDebts</t>
        </is>
      </c>
      <c r="AN72" s="3" t="inlineStr">
        <is>
          <t>A $9,000 card at 24% with a $200 minimum and a $14,000 car loan at 6.9% with a $250 minimum, nothing extra paid.
GIVES: $450/month
(the test re-runs this through MK-CF-O-018 theDebts on every build)</t>
        </is>
      </c>
      <c r="AO72" s="3" t="inlineStr">
        <is>
          <t>NOTHING OPEN</t>
        </is>
      </c>
    </row>
    <row r="73" ht="60" customHeight="1">
      <c r="A73" s="3" t="inlineStr">
        <is>
          <t>MK-CF-M-072</t>
        </is>
      </c>
      <c r="B73" s="3" t="inlineStr">
        <is>
          <t>Cashflow</t>
        </is>
      </c>
      <c r="C73" s="3" t="inlineStr">
        <is>
          <t>/cashflow</t>
        </is>
      </c>
      <c r="D73" s="3" t="inlineStr">
        <is>
          <t>/month total</t>
        </is>
      </c>
      <c r="E73" s="3" t="inlineStr">
        <is>
          <t>month_total</t>
        </is>
      </c>
      <c r="F73" s="3" t="inlineStr">
        <is>
          <t>theDebts</t>
        </is>
      </c>
      <c r="G73" s="3" t="inlineStr">
        <is>
          <t>MK-CF-O-018</t>
        </is>
      </c>
      <c r="H73" s="3" t="inlineStr">
        <is>
          <t>the minimums added up (MK-CF-M-071) + the extra a month you set</t>
        </is>
      </c>
      <c r="I73" s="3" t="inlineStr">
        <is>
          <t>the minimums added up (MK-CF-M-071) + the extra a month you set</t>
        </is>
      </c>
      <c r="J73" s="3" t="inlineStr">
        <is>
          <t>MK-XS-I-016 debt minimum payment
MK-XS-I-041 the payment the person chose to make on a debt</t>
        </is>
      </c>
      <c r="K73" s="3" t="inlineStr">
        <is>
          <t>dollars, whole a month</t>
        </is>
      </c>
      <c r="L73" s="3" t="inlineStr">
        <is>
          <t>No debts — $0.</t>
        </is>
      </c>
      <c r="M73" s="3" t="inlineStr">
        <is>
          <t>one figure per household</t>
        </is>
      </c>
      <c r="N73" s="3" t="inlineStr">
        <is>
          <t>a month</t>
        </is>
      </c>
      <c r="O73" s="3" t="inlineStr">
        <is>
          <t>1. MK-CF-F-025 (minimumDebtService) → number
2. MK-CF-F-034 (payoffPlan) → PayoffResult
3. MK-CF-F-024 (totalDebtMonthly) → number</t>
        </is>
      </c>
      <c r="P73" s="3" t="inlineStr">
        <is>
          <t>Declared by MK-CF-O-018 theDebts</t>
        </is>
      </c>
      <c r="Q73" s="3" t="inlineStr">
        <is>
          <t>NONE RECORDED — the declaration names none.</t>
        </is>
      </c>
      <c r="R73" s="3" t="inlineStr">
        <is>
          <t>NONE RECORDED — the declaration names none.</t>
        </is>
      </c>
      <c r="S73" s="3" t="inlineStr"/>
      <c r="T73" s="3" t="inlineStr">
        <is>
          <t>NONE RECORDED — the declaration names none.</t>
        </is>
      </c>
      <c r="U73" s="3" t="inlineStr"/>
      <c r="V73" s="3" t="inlineStr"/>
      <c r="W73" s="3" t="inlineStr"/>
      <c r="X73" s="3" t="inlineStr"/>
      <c r="Y73" s="3" t="inlineStr"/>
      <c r="Z73" s="3" t="inlineStr">
        <is>
          <t>DECLARED IN THE CODE (rule 11) — printed from the door, not typed. RULED 2026-10-02</t>
        </is>
      </c>
      <c r="AA73" s="3" t="inlineStr"/>
      <c r="AB73" s="3" t="inlineStr"/>
      <c r="AC73" s="3" t="inlineStr"/>
      <c r="AD73" s="3" t="inlineStr"/>
      <c r="AE73" s="3" t="inlineStr"/>
      <c r="AF73" s="3" t="inlineStr">
        <is>
          <t>ACTIVE</t>
        </is>
      </c>
      <c r="AG73" s="3" t="inlineStr">
        <is>
          <t>2026-10-09</t>
        </is>
      </c>
      <c r="AH73" s="3" t="inlineStr"/>
      <c r="AI73" s="3" t="inlineStr"/>
      <c r="AJ7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2026-10-02; the figure, its formula, inputs and refusal live in MK-CF-O-018 theDebts</t>
        </is>
      </c>
      <c r="AN73" s="3" t="inlineStr">
        <is>
          <t>A $9,000 card at 24% with a $200 minimum and a $14,000 car loan at 6.9% with a $250 minimum, nothing extra paid.
GIVES: $450/month
(the test re-runs this through MK-CF-O-018 theDebts on every build)</t>
        </is>
      </c>
      <c r="AO73" s="3" t="inlineStr">
        <is>
          <t>NOTHING OPEN</t>
        </is>
      </c>
    </row>
    <row r="74" ht="60" customHeight="1">
      <c r="A74" s="3" t="inlineStr">
        <is>
          <t>MK-CF-M-073</t>
        </is>
      </c>
      <c r="B74" s="3" t="inlineStr">
        <is>
          <t>Cashflow</t>
        </is>
      </c>
      <c r="C74" s="3" t="inlineStr">
        <is>
          <t>/cashflow · /bill-calendar</t>
        </is>
      </c>
      <c r="D74" s="3" t="inlineStr">
        <is>
          <t>/month</t>
        </is>
      </c>
      <c r="E74" s="3" t="inlineStr">
        <is>
          <t>month</t>
        </is>
      </c>
      <c r="F74" s="3" t="inlineStr">
        <is>
          <t>theDebts</t>
        </is>
      </c>
      <c r="G74" s="3" t="inlineStr">
        <is>
          <t>MK-CF-O-018</t>
        </is>
      </c>
      <c r="H74" s="3" t="inlineStr">
        <is>
          <t>the payment you chose for the debt; its minimum monthly payment where none is chosen</t>
        </is>
      </c>
      <c r="I74" s="3" t="inlineStr">
        <is>
          <t>the payment you chose for the debt; its minimum monthly payment where none is chosen</t>
        </is>
      </c>
      <c r="J74" s="3" t="inlineStr">
        <is>
          <t>MK-XS-I-016 debt minimum payment
MK-XS-I-041 the payment the person chose to make on a debt</t>
        </is>
      </c>
      <c r="K74" s="3" t="inlineStr">
        <is>
          <t>dollars, whole a month</t>
        </is>
      </c>
      <c r="L74" s="3" t="inlineStr">
        <is>
          <t>A debt due in full on a date has no monthly payment — the line says when the whole balance is due.</t>
        </is>
      </c>
      <c r="M74" s="3" t="inlineStr">
        <is>
          <t>one debt</t>
        </is>
      </c>
      <c r="N74" s="3" t="inlineStr">
        <is>
          <t>a month</t>
        </is>
      </c>
      <c r="O74" s="3" t="inlineStr">
        <is>
          <t>1. MK-CF-F-025 (minimumDebtService) → number
2. MK-CF-F-034 (payoffPlan) → PayoffResult
3. MK-CF-F-024 (totalDebtMonthly) → number</t>
        </is>
      </c>
      <c r="P74" s="3" t="inlineStr">
        <is>
          <t>Declared by MK-CF-O-018 theDebts</t>
        </is>
      </c>
      <c r="Q74" s="3" t="inlineStr">
        <is>
          <t>NONE RECORDED — the declaration names none.</t>
        </is>
      </c>
      <c r="R74" s="3" t="inlineStr">
        <is>
          <t>NONE RECORDED — the declaration names none.</t>
        </is>
      </c>
      <c r="S74" s="3" t="inlineStr"/>
      <c r="T74" s="3" t="inlineStr">
        <is>
          <t>NONE RECORDED — the declaration names none.</t>
        </is>
      </c>
      <c r="U74" s="3" t="inlineStr"/>
      <c r="V74" s="3" t="inlineStr"/>
      <c r="W74" s="3" t="inlineStr"/>
      <c r="X74" s="3" t="inlineStr"/>
      <c r="Y74" s="3" t="inlineStr"/>
      <c r="Z74" s="3" t="inlineStr">
        <is>
          <t>DECLARED IN THE CODE (rule 11) — printed from the door, not typed. RULED 2026-10-02</t>
        </is>
      </c>
      <c r="AA74" s="3" t="inlineStr"/>
      <c r="AB74" s="3" t="inlineStr"/>
      <c r="AC74" s="3" t="inlineStr"/>
      <c r="AD74" s="3" t="inlineStr"/>
      <c r="AE74" s="3" t="inlineStr"/>
      <c r="AF74" s="3" t="inlineStr">
        <is>
          <t>ACTIVE</t>
        </is>
      </c>
      <c r="AG74" s="3" t="inlineStr">
        <is>
          <t>2026-10-09</t>
        </is>
      </c>
      <c r="AH74" s="3" t="inlineStr"/>
      <c r="AI74" s="3" t="inlineStr"/>
      <c r="AJ7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2026-10-02; the figure, its formula, inputs and refusal live in MK-CF-O-018 theDebts</t>
        </is>
      </c>
      <c r="AN74" s="3" t="inlineStr">
        <is>
          <t>A $9,000 card at 24% with a $200 minimum and a $14,000 car loan at 6.9% with a $250 minimum, nothing extra paid.
GIVES: $200/month
(the test re-runs this through MK-CF-O-018 theDebts on every build)</t>
        </is>
      </c>
      <c r="AO74" s="3" t="inlineStr">
        <is>
          <t>NOTHING OPEN</t>
        </is>
      </c>
    </row>
    <row r="75" ht="60" customHeight="1">
      <c r="A75" s="3" t="inlineStr">
        <is>
          <t>MK-CF-M-074</t>
        </is>
      </c>
      <c r="B75" s="3" t="inlineStr">
        <is>
          <t>Cashflow</t>
        </is>
      </c>
      <c r="C75" s="3" t="inlineStr">
        <is>
          <t>/cashflow</t>
        </is>
      </c>
      <c r="D75" s="3" t="inlineStr">
        <is>
          <t>paid down since &lt;month&gt;</t>
        </is>
      </c>
      <c r="E75" s="3" t="inlineStr">
        <is>
          <t>paid_down_since_month</t>
        </is>
      </c>
      <c r="F75" s="3" t="inlineStr">
        <is>
          <t>theDebts</t>
        </is>
      </c>
      <c r="G75" s="3" t="inlineStr">
        <is>
          <t>MK-CF-O-018</t>
        </is>
      </c>
      <c r="H75" s="3" t="inlineStr">
        <is>
          <t>what every debt together stood at then − what they stand at now</t>
        </is>
      </c>
      <c r="I75" s="3" t="inlineStr">
        <is>
          <t>what every debt together stood at then − what they stand at now</t>
        </is>
      </c>
      <c r="J75" s="3" t="inlineStr">
        <is>
          <t>MK-XS-I-014 debt balance</t>
        </is>
      </c>
      <c r="K75" s="3" t="inlineStr">
        <is>
          <t>dollars, whole</t>
        </is>
      </c>
      <c r="L75" s="3" t="inlineStr">
        <is>
          <t>No earlier total on record, or the debts have not fallen — the line is not drawn.</t>
        </is>
      </c>
      <c r="M75" s="3" t="inlineStr">
        <is>
          <t>one figure per household</t>
        </is>
      </c>
      <c r="N75" s="3" t="inlineStr">
        <is>
          <t>as of today</t>
        </is>
      </c>
      <c r="O75" s="3" t="inlineStr">
        <is>
          <t>1. MK-CF-F-025 (minimumDebtService) → number
2. MK-CF-F-034 (payoffPlan) → PayoffResult
3. MK-CF-F-024 (totalDebtMonthly) → number</t>
        </is>
      </c>
      <c r="P75" s="3" t="inlineStr">
        <is>
          <t>Declared by MK-CF-O-018 theDebts</t>
        </is>
      </c>
      <c r="Q75" s="3" t="inlineStr">
        <is>
          <t>READ FROM TWO RECORDED TOTALS, never estimated from the payments made — interest and new borrowing are inside it.
NOT DRAWN where there is no earlier total to compare with, or the debts have not fallen.</t>
        </is>
      </c>
      <c r="R75" s="3" t="inlineStr">
        <is>
          <t>READ FROM TWO RECORDED TOTALS, never estimated from the payments made — interest and new borrowing are inside it.
NOT DRAWN where there is no earlier total to compare with, or the debts have not fallen.</t>
        </is>
      </c>
      <c r="S75" s="3" t="inlineStr"/>
      <c r="T75" s="3" t="inlineStr">
        <is>
          <t>READ FROM TWO RECORDED TOTALS, never estimated from the payments made — interest and new borrowing are inside it.
NOT DRAWN where there is no earlier total to compare with, or the debts have not fallen.</t>
        </is>
      </c>
      <c r="U75" s="3" t="inlineStr"/>
      <c r="V75" s="3" t="inlineStr"/>
      <c r="W75" s="3" t="inlineStr"/>
      <c r="X75" s="3" t="inlineStr"/>
      <c r="Y75" s="3" t="inlineStr"/>
      <c r="Z75" s="3" t="inlineStr">
        <is>
          <t>DECLARED IN THE CODE (rule 11) — printed from the door, not typed. RULED 2026-10-03</t>
        </is>
      </c>
      <c r="AA75" s="3" t="inlineStr"/>
      <c r="AB75" s="3" t="inlineStr"/>
      <c r="AC75" s="3" t="inlineStr"/>
      <c r="AD75" s="3" t="inlineStr"/>
      <c r="AE75" s="3" t="inlineStr"/>
      <c r="AF75" s="3" t="inlineStr">
        <is>
          <t>ACTIVE</t>
        </is>
      </c>
      <c r="AG75" s="3" t="inlineStr">
        <is>
          <t>2026-10-09</t>
        </is>
      </c>
      <c r="AH75" s="3" t="inlineStr"/>
      <c r="AI75" s="3" t="inlineStr"/>
      <c r="AJ7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5" s="3" t="inlineStr">
        <is>
          <t>(the claim now stands in 'Inputs it needs' until the row is approved)</t>
        </is>
      </c>
      <c r="AL75" s="3" t="inlineStr"/>
      <c r="AM75" s="3" t="inlineStr">
        <is>
          <t>TESTED, NOT VERIFIED — you ruled on this row 2026-10-03; the figure, its formula, inputs and refusal live in MK-CF-O-018 theDebts</t>
        </is>
      </c>
      <c r="AN75" s="3" t="inlineStr">
        <is>
          <t>A $9,000 card at 24% with a $200 minimum and a $14,000 car loan at 6.9% with a $250 minimum, nothing extra paid. They stood at $27,100 at the end of January.
GIVES: $4,100
(the test re-runs this through MK-CF-O-018 theDebts on every build)</t>
        </is>
      </c>
      <c r="AO75" s="3" t="inlineStr">
        <is>
          <t>NOTHING OPEN</t>
        </is>
      </c>
    </row>
    <row r="76" ht="60" customHeight="1">
      <c r="A76" s="3" t="inlineStr">
        <is>
          <t>MK-CF-M-075</t>
        </is>
      </c>
      <c r="B76" s="3" t="inlineStr">
        <is>
          <t>Cashflow</t>
        </is>
      </c>
      <c r="C76" s="3" t="inlineStr">
        <is>
          <t>/cashflow</t>
        </is>
      </c>
      <c r="D76" s="3" t="inlineStr">
        <is>
          <t>% of where you started</t>
        </is>
      </c>
      <c r="E76" s="3" t="inlineStr">
        <is>
          <t>of_where_you_started</t>
        </is>
      </c>
      <c r="F76" s="3" t="inlineStr">
        <is>
          <t>theDebts</t>
        </is>
      </c>
      <c r="G76" s="3" t="inlineStr">
        <is>
          <t>MK-CF-O-018</t>
        </is>
      </c>
      <c r="H76" s="3" t="inlineStr">
        <is>
          <t>paid down (MK-CF-M-074) ÷ what every debt together stood at then</t>
        </is>
      </c>
      <c r="I76" s="3" t="inlineStr">
        <is>
          <t>paid down (MK-CF-M-074) ÷ what every debt together stood at then</t>
        </is>
      </c>
      <c r="J76" s="3" t="inlineStr">
        <is>
          <t>MK-XS-I-014 debt balance</t>
        </is>
      </c>
      <c r="K76" s="3" t="inlineStr">
        <is>
          <t>a percentage, whole</t>
        </is>
      </c>
      <c r="L76" s="3" t="inlineStr">
        <is>
          <t>No earlier total on record, or the debts have not fallen — the line is not drawn.</t>
        </is>
      </c>
      <c r="M76" s="3" t="inlineStr">
        <is>
          <t>one figure per household</t>
        </is>
      </c>
      <c r="N76" s="3" t="inlineStr">
        <is>
          <t>as of today</t>
        </is>
      </c>
      <c r="O76" s="3" t="inlineStr">
        <is>
          <t>1. MK-CF-F-025 (minimumDebtService) → number
2. MK-CF-F-034 (payoffPlan) → PayoffResult
3. MK-CF-F-024 (totalDebtMonthly) → number</t>
        </is>
      </c>
      <c r="P76" s="3" t="inlineStr">
        <is>
          <t>Declared by MK-CF-O-018 theDebts</t>
        </is>
      </c>
      <c r="Q76" s="3" t="inlineStr">
        <is>
          <t>NONE RECORDED — the declaration names none.</t>
        </is>
      </c>
      <c r="R76" s="3" t="inlineStr">
        <is>
          <t>NONE RECORDED — the declaration names none.</t>
        </is>
      </c>
      <c r="S76" s="3" t="inlineStr"/>
      <c r="T76" s="3" t="inlineStr">
        <is>
          <t>NONE RECORDED — the declaration names none.</t>
        </is>
      </c>
      <c r="U76" s="3" t="inlineStr"/>
      <c r="V76" s="3" t="inlineStr"/>
      <c r="W76" s="3" t="inlineStr"/>
      <c r="X76" s="3" t="inlineStr"/>
      <c r="Y76" s="3" t="inlineStr"/>
      <c r="Z76" s="3" t="inlineStr">
        <is>
          <t>DECLARED IN THE CODE (rule 11) — printed from the door, not typed. RULED 2026-10-03</t>
        </is>
      </c>
      <c r="AA76" s="3" t="inlineStr"/>
      <c r="AB76" s="3" t="inlineStr"/>
      <c r="AC76" s="3" t="inlineStr"/>
      <c r="AD76" s="3" t="inlineStr"/>
      <c r="AE76" s="3" t="inlineStr"/>
      <c r="AF76" s="3" t="inlineStr">
        <is>
          <t>ACTIVE</t>
        </is>
      </c>
      <c r="AG76" s="3" t="inlineStr">
        <is>
          <t>2026-10-09</t>
        </is>
      </c>
      <c r="AH76" s="3" t="inlineStr"/>
      <c r="AI76" s="3" t="inlineStr"/>
      <c r="AJ76"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6" s="3" t="inlineStr">
        <is>
          <t>(the claim now stands in 'Inputs it needs' until the row is approved)</t>
        </is>
      </c>
      <c r="AL76" s="3" t="inlineStr"/>
      <c r="AM76" s="3" t="inlineStr">
        <is>
          <t>TESTED, NOT VERIFIED — you ruled on this row 2026-10-03; the figure, its formula, inputs and refusal live in MK-CF-O-018 theDebts</t>
        </is>
      </c>
      <c r="AN76" s="3" t="inlineStr">
        <is>
          <t>A $9,000 card at 24% with a $200 minimum and a $14,000 car loan at 6.9% with a $250 minimum, nothing extra paid. They stood at $27,100 at the end of January.
GIVES: 15%
(the test re-runs this through MK-CF-O-018 theDebts on every build)</t>
        </is>
      </c>
      <c r="AO76" s="3" t="inlineStr">
        <is>
          <t>NOTHING OPEN</t>
        </is>
      </c>
    </row>
  </sheetData>
  <autoFilter ref="A1:AO7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MK-CF-F-003 — Turns a monthly figure into a year by multiplying by twelve.
18. MK-CF-F-176 — If r[i] is missing it counts as zero, so nothing recorded and a real zero look the same.
19. MK-CF-F-180 — Uses a built-in total of 0.
20. MK-CF-F-180 — Turns a monthly figure into a year by multiplying by twelve.
21. MK-CF-F-089 — Uses today's date from the device clock, so the answer changes by itself overnight.
22. MK-CF-F-082 — Uses today's date from the device clock, so the answer changes by itself overnight.
23. MK-CF-F-101 — Never lets state rate fall below 0.
24. MK-CF-F-101 — The 2026 bands per filing status are the Reference tab's statutory table (IRS Rev. Proc. 2025-32 §4.01), checked by statutory_constants.test.ts.
25. MK-CF-F-084 — Turns a monthly figure into a year by multiplying by twelve.
… and 50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2026-10-02</t>
        </is>
      </c>
      <c r="AH4" s="3" t="n"/>
      <c r="AI4" s="3" t="n"/>
      <c r="AJ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2026-10-02</t>
        </is>
      </c>
      <c r="AH8" s="3" t="n"/>
      <c r="AI8" s="3" t="n"/>
      <c r="AJ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2026-10-02</t>
        </is>
      </c>
      <c r="AH9" s="3" t="n"/>
      <c r="AI9" s="3" t="n"/>
      <c r="AJ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2026-10-02</t>
        </is>
      </c>
      <c r="AH10" s="3" t="n"/>
      <c r="AI10" s="3" t="n"/>
      <c r="AJ10"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45" customHeight="1">
      <c r="A21" s="3" t="inlineStr"/>
      <c r="B21" s="3" t="inlineStr">
        <is>
          <t>Menu</t>
        </is>
      </c>
      <c r="C21" s="3" t="inlineStr">
        <is>
          <t>/jobsafety</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/other-investments</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60" customHeight="1">
      <c r="A23" s="3" t="inlineStr"/>
      <c r="B23" s="3" t="inlineStr">
        <is>
          <t>Menu</t>
        </is>
      </c>
      <c r="C23" s="3" t="inlineStr">
        <is>
          <t>/rewards</t>
        </is>
      </c>
      <c r="D23" s="3" t="inlineStr">
        <is>
          <t>—</t>
        </is>
      </c>
      <c r="E23" s="3" t="inlineStr">
        <is>
          <t>—</t>
        </is>
      </c>
      <c r="F23" s="3" t="inlineStr">
        <is>
          <t>—</t>
        </is>
      </c>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DETERMINED</t>
        </is>
      </c>
      <c r="Y23" s="3" t="inlineStr">
        <is>
          <t>READ 2026-08-22 — no calculated figure on this screen</t>
        </is>
      </c>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/settings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Menu</t>
        </is>
      </c>
      <c r="C25" s="3" t="inlineStr">
        <is>
          <t>/stress-test</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/tax-organizer</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60" customHeight="1">
      <c r="A27" s="3" t="inlineStr"/>
      <c r="B27" s="3" t="inlineStr">
        <is>
          <t>Menu</t>
        </is>
      </c>
      <c r="C27" s="3" t="inlineStr">
        <is>
          <t>/tips</t>
        </is>
      </c>
      <c r="D27" s="3" t="inlineStr">
        <is>
          <t>—</t>
        </is>
      </c>
      <c r="E27" s="3" t="inlineStr">
        <is>
          <t>—</t>
        </is>
      </c>
      <c r="F27" s="3" t="inlineStr">
        <is>
          <t>—</t>
        </is>
      </c>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DETERMINED</t>
        </is>
      </c>
      <c r="Y27" s="3" t="inlineStr">
        <is>
          <t>READ 2026-08-22 — no calculated figure on this screen</t>
        </is>
      </c>
      <c r="Z27" s="3" t="n"/>
      <c r="AA27" s="3" t="n"/>
      <c r="AB27" s="3" t="n"/>
      <c r="AC27" s="3" t="n"/>
      <c r="AD27" s="3" t="n"/>
      <c r="AE27" s="3" t="n"/>
      <c r="AF27" s="3" t="n"/>
      <c r="AG27" s="3" t="n"/>
      <c r="AH27" s="3" t="n"/>
      <c r="AI27" s="3" t="n"/>
      <c r="AJ27" s="3" t="n"/>
      <c r="AK27" s="3" t="n"/>
      <c r="AL27" s="3" t="n"/>
      <c r="AM27" s="3" t="n"/>
      <c r="AN27" s="3" t="n"/>
      <c r="AO27" s="3" t="n"/>
    </row>
    <row r="28" ht="60" customHeight="1">
      <c r="A28" s="3" t="inlineStr">
        <is>
          <t>MK-MN-M-003</t>
        </is>
      </c>
      <c r="B28" s="3" t="inlineStr">
        <is>
          <t>Menu</t>
        </is>
      </c>
      <c r="C28" s="3" t="inlineStr">
        <is>
          <t>/contribution-room · /home</t>
        </is>
      </c>
      <c r="D28" s="3" t="inlineStr">
        <is>
          <t>$X left / up to $Y</t>
        </is>
      </c>
      <c r="E28" s="3" t="inlineStr">
        <is>
          <t>x_left__up_to_y</t>
        </is>
      </c>
      <c r="F28" s="3" t="inlineStr">
        <is>
          <t>1. k401Headroom (the 401(k) card)
2. annualIraLimit (the IRA card)
3. annualHsaLimit (the HSA card)</t>
        </is>
      </c>
      <c r="G28" s="3" t="inlineStr">
        <is>
          <t>1. MK-CF-F-056
2. MK-CF-F-054
3. MK-CF-F-055
4. MK-CF-F-196
5. MK-CF-F-195</t>
        </is>
      </c>
      <c r="H28" s="3" t="inlineStr">
        <is>
          <t>the IRS limit for your age this year, less what has gone in already</t>
        </is>
      </c>
      <c r="I28"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8" s="3" t="inlineStr">
        <is>
          <t>MK-XS-I-030 tax filing status and age
MK-XS-I-023 salary and other income</t>
        </is>
      </c>
      <c r="K28" s="3" t="inlineStr">
        <is>
          <t>dollars, whole</t>
        </is>
      </c>
      <c r="L28" s="3" t="inlineStr">
        <is>
          <t>No contribution entered → 'up to $X' (the full-year cap), never '$X left'; the note says contributions are not tracked (built).</t>
        </is>
      </c>
      <c r="M28" s="3" t="inlineStr">
        <is>
          <t>one figure per household</t>
        </is>
      </c>
      <c r="N28" s="3" t="inlineStr">
        <is>
          <t>as of today</t>
        </is>
      </c>
      <c r="O28" s="3" t="inlineStr">
        <is>
          <t>MK-CF-F-195 (monthsLeftInYear) → number</t>
        </is>
      </c>
      <c r="P28" s="3" t="inlineStr">
        <is>
          <t>Declared by MK-CF-O-005 theContributionRoom</t>
        </is>
      </c>
      <c r="Q28" s="3" t="inlineStr">
        <is>
          <t>The age tested is the age ATTAINED IN THE YEAR (his ruling G1) — someone turning 50 in December gets the catch-up for the whole year.</t>
        </is>
      </c>
      <c r="R28" s="3" t="inlineStr">
        <is>
          <t>The age tested is the age ATTAINED IN THE YEAR (his ruling G1) — someone turning 50 in December gets the catch-up for the whole year.</t>
        </is>
      </c>
      <c r="S28" s="3" t="inlineStr"/>
      <c r="T28"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8" s="3" t="inlineStr">
        <is>
          <t>ACTIVE</t>
        </is>
      </c>
      <c r="AG28" s="3" t="inlineStr">
        <is>
          <t>2026-10-09</t>
        </is>
      </c>
      <c r="AH28" s="3" t="inlineStr"/>
      <c r="AI28" s="3" t="inlineStr"/>
      <c r="AJ28" s="3" t="inlineStr">
        <is>
          <t>NONE — no function in this chain reads a stored input the sweep knows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MK-CF-O-005 theContributionRoom</t>
        </is>
      </c>
      <c r="AN28" s="3" t="inlineStr">
        <is>
          <t>Born 1965 — so 61 during 2026. Paying in $1,200/month to a 401(k), $300 to a Roth IRA and $150 to an HSA; not on Medicare. Read on 29 September 2026, so four months of the year are left.
GIVES: $21,350
(the test re-runs this through MK-CF-O-005 theContributionRoom on every build)</t>
        </is>
      </c>
      <c r="AO28" s="7" t="inlineStr">
        <is>
          <t>RULED, NOT CODED (Q-CF-4 — one question, one function)</t>
        </is>
      </c>
    </row>
    <row r="29" ht="60" customHeight="1">
      <c r="A29" s="3" t="inlineStr">
        <is>
          <t>MK-MN-M-004</t>
        </is>
      </c>
      <c r="B29" s="3" t="inlineStr">
        <is>
          <t>Menu</t>
        </is>
      </c>
      <c r="C29" s="3" t="inlineStr">
        <is>
          <t>/contribution-room</t>
        </is>
      </c>
      <c r="D29" s="3" t="inlineStr">
        <is>
          <t>about $X of the $Y limit</t>
        </is>
      </c>
      <c r="E29" s="3" t="inlineStr">
        <is>
          <t>about_x_of_the_y_limit</t>
        </is>
      </c>
      <c r="F29" s="3" t="inlineStr">
        <is>
          <t>1. k401Headroom (the 401(k) card)
2. annualIraLimit (the IRA card)
3. annualHsaLimit (the HSA card)</t>
        </is>
      </c>
      <c r="G29" s="3" t="inlineStr">
        <is>
          <t>1. MK-CF-F-056
2. MK-CF-F-054
3. MK-CF-F-055
4. MK-CF-F-196
5. MK-CF-F-195</t>
        </is>
      </c>
      <c r="H29" s="3" t="inlineStr">
        <is>
          <t>what you entered per month × 12, capped at the limit</t>
        </is>
      </c>
      <c r="I29"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9" s="3" t="inlineStr">
        <is>
          <t>MK-XS-I-023 salary and other income</t>
        </is>
      </c>
      <c r="K29" s="3" t="inlineStr">
        <is>
          <t>dollars, whole</t>
        </is>
      </c>
      <c r="L29" s="3" t="inlineStr">
        <is>
          <t>No contribution entered → the 'about $X of the limit' line is not shown; 'up to $X' stands.</t>
        </is>
      </c>
      <c r="M29" s="3" t="inlineStr">
        <is>
          <t>one figure per household</t>
        </is>
      </c>
      <c r="N29" s="3" t="inlineStr">
        <is>
          <t>as of today</t>
        </is>
      </c>
      <c r="O29" s="3" t="inlineStr">
        <is>
          <t>MK-CF-F-195 (monthsLeftInYear) → number</t>
        </is>
      </c>
      <c r="P29" s="3" t="inlineStr">
        <is>
          <t>Declared by MK-CF-O-005 theContributionRoom</t>
        </is>
      </c>
      <c r="Q29" s="3" t="inlineStr">
        <is>
          <t>Capped at the limit: a figure above it would be describing a contribution the law does not permit.</t>
        </is>
      </c>
      <c r="R29" s="3" t="inlineStr">
        <is>
          <t>Capped at the limit: a figure above it would be describing a contribution the law does not permit.</t>
        </is>
      </c>
      <c r="S29" s="3" t="inlineStr"/>
      <c r="T29"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9" s="3" t="inlineStr">
        <is>
          <t>ACTIVE</t>
        </is>
      </c>
      <c r="AG29" s="3" t="inlineStr">
        <is>
          <t>2026-10-09</t>
        </is>
      </c>
      <c r="AH29" s="3" t="inlineStr"/>
      <c r="AI29" s="3" t="inlineStr"/>
      <c r="AJ29" s="3" t="inlineStr">
        <is>
          <t>NONE — no function in this chain reads a stored input the sweep knows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MK-CF-O-005 theContributionRoom</t>
        </is>
      </c>
      <c r="AN29" s="3" t="inlineStr">
        <is>
          <t>Born 1965 — so 61 during 2026. Paying in $1,200/month to a 401(k), $300 to a Roth IRA and $150 to an HSA; not on Medicare. Read on 29 September 2026, so four months of the year are left.
GIVES: $14,400
(the test re-runs this through MK-CF-O-005 theContributionRoom on every build)</t>
        </is>
      </c>
      <c r="AO29" s="7" t="inlineStr">
        <is>
          <t>RULED, NOT CODED (Q-CF-4 — one question, one function)</t>
        </is>
      </c>
    </row>
    <row r="30" ht="60" customHeight="1">
      <c r="A30" s="3" t="inlineStr">
        <is>
          <t>MK-MN-M-005</t>
        </is>
      </c>
      <c r="B30" s="3" t="inlineStr">
        <is>
          <t>Menu</t>
        </is>
      </c>
      <c r="C30" s="3" t="inlineStr">
        <is>
          <t>/contribution-room</t>
        </is>
      </c>
      <c r="D30" s="3" t="inlineStr">
        <is>
          <t>about $X for the rest of the year</t>
        </is>
      </c>
      <c r="E30" s="3" t="inlineStr">
        <is>
          <t>about_x_for_the_rest_of_the_year</t>
        </is>
      </c>
      <c r="F30" s="3" t="inlineStr">
        <is>
          <t>1. k401Headroom (the 401(k) card)
2. annualIraLimit (the IRA card)
3. annualHsaLimit (the HSA card)</t>
        </is>
      </c>
      <c r="G30" s="3" t="inlineStr">
        <is>
          <t>1. MK-CF-F-196
2. MK-CF-F-195</t>
        </is>
      </c>
      <c r="H30" s="3" t="inlineStr">
        <is>
          <t>per month = round((room left ÷ months left) ÷ 100) × 100;  months left = max(1, 12 − month index) — the current month counts</t>
        </is>
      </c>
      <c r="I30" s="3" t="inlineStr">
        <is>
          <t>Per month = room left ÷ the months remaining in the year, the current month counted (December → 1), rounded to $100 for display — perMonthToFill in src/domain/income/limits.ts (G36). No longer worked out on the screen.</t>
        </is>
      </c>
      <c r="J30" s="3" t="inlineStr">
        <is>
          <t>MK-XS-I-023 salary and other income</t>
        </is>
      </c>
      <c r="K30" s="3" t="inlineStr">
        <is>
          <t>dollars, whole a month</t>
        </is>
      </c>
      <c r="L30" s="3" t="inlineStr">
        <is>
          <t>Nothing left to fill.</t>
        </is>
      </c>
      <c r="M30" s="3" t="inlineStr">
        <is>
          <t>one figure per household</t>
        </is>
      </c>
      <c r="N30" s="3" t="inlineStr">
        <is>
          <t>a month</t>
        </is>
      </c>
      <c r="O30" s="3" t="inlineStr">
        <is>
          <t>MK-CF-F-195 (monthsLeftInYear) → number</t>
        </is>
      </c>
      <c r="P30" s="3" t="inlineStr">
        <is>
          <t>Declared by MK-CF-O-005 theContributionRoom</t>
        </is>
      </c>
      <c r="Q30" s="3" t="inlineStr">
        <is>
          <t>THIS MONTH COUNTS (his ruling G36). Leaving it out told people to save more per month than they need to.</t>
        </is>
      </c>
      <c r="R30" s="3" t="inlineStr">
        <is>
          <t>THIS MONTH COUNTS (his ruling G36). Leaving it out told people to save more per month than they need to.</t>
        </is>
      </c>
      <c r="S30" s="3" t="inlineStr"/>
      <c r="T30"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0" s="3" t="inlineStr">
        <is>
          <t>ACTIVE</t>
        </is>
      </c>
      <c r="AG30" s="3" t="inlineStr">
        <is>
          <t>2026-10-09</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on 29 September 2026, so four months of the year are left.
GIVES: $5,300/month
(the test re-runs this through MK-CF-O-005 theContributionRoom on every build)</t>
        </is>
      </c>
      <c r="AO30" s="7" t="inlineStr">
        <is>
          <t>RULED, NOT CODED (Q-CF-4 — one question, one function)</t>
        </is>
      </c>
    </row>
    <row r="31" ht="60" customHeight="1">
      <c r="A31" s="3" t="inlineStr">
        <is>
          <t>MK-MN-M-006</t>
        </is>
      </c>
      <c r="B31" s="3" t="inlineStr">
        <is>
          <t>Menu</t>
        </is>
      </c>
      <c r="C31" s="3" t="inlineStr">
        <is>
          <t>/credit</t>
        </is>
      </c>
      <c r="D31" s="3" t="inlineStr">
        <is>
          <t>$X of $Y used — the line marks 30%</t>
        </is>
      </c>
      <c r="E31" s="3" t="inlineStr">
        <is>
          <t>x_of_y_used__the_line_marks_30</t>
        </is>
      </c>
      <c r="F31" s="3" t="inlineStr">
        <is>
          <t>theCreditLine</t>
        </is>
      </c>
      <c r="G31" s="3" t="inlineStr">
        <is>
          <t>MK-CF-O-006</t>
        </is>
      </c>
      <c r="H31" s="3" t="inlineStr">
        <is>
          <t>what is owed on your cards ÷ the total limit across them</t>
        </is>
      </c>
      <c r="I31" s="3" t="inlineStr">
        <is>
          <t>what is owed on your cards ÷ the total limit across them</t>
        </is>
      </c>
      <c r="J31" s="3" t="inlineStr">
        <is>
          <t>MK-NW-I-002 your debts</t>
        </is>
      </c>
      <c r="K31" s="3" t="inlineStr">
        <is>
          <t>dollars, whole</t>
        </is>
      </c>
      <c r="L31" s="3" t="inlineStr">
        <is>
          <t>No card limit → no percentage; the line says 'add your card's limit'. A real $0 balance shows 0% used.</t>
        </is>
      </c>
      <c r="M31" s="3" t="inlineStr">
        <is>
          <t>one figure per household</t>
        </is>
      </c>
      <c r="N31" s="3" t="inlineStr">
        <is>
          <t>as of today</t>
        </is>
      </c>
      <c r="O31" s="3" t="inlineStr">
        <is>
          <t>1. MK-CF-F-031 (creditUtilization) → CreditUtil
2. MK-CF-F-204 (line) → NOT DECLARED — the code does not say what it gives back</t>
        </is>
      </c>
      <c r="P31" s="3" t="inlineStr">
        <is>
          <t>Declared by MK-CF-O-006 theCreditLine</t>
        </is>
      </c>
      <c r="Q31" s="3" t="inlineStr">
        <is>
          <t>Under 30% is the mark the line shows, because that is the level credit scoring treats as unstretched.</t>
        </is>
      </c>
      <c r="R31" s="3" t="inlineStr">
        <is>
          <t>Under 30% is the mark the line shows, because that is the level credit scoring treats as unstretched.</t>
        </is>
      </c>
      <c r="S31" s="3" t="inlineStr"/>
      <c r="T31" s="3" t="inlineStr">
        <is>
          <t>Under 30% is the mark the line shows, because that is the level credit scoring treats as unstretched.</t>
        </is>
      </c>
      <c r="U31" s="3" t="inlineStr"/>
      <c r="V31" s="3" t="inlineStr"/>
      <c r="W31" s="3" t="inlineStr"/>
      <c r="X31" s="3" t="inlineStr"/>
      <c r="Y31" s="3" t="inlineStr"/>
      <c r="Z31" s="3" t="inlineStr">
        <is>
          <t>DECLARED IN THE CODE (rule 11) — printed from the door, not typed. RULED 2026-09-28</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2026-10-09</t>
        </is>
      </c>
      <c r="AH31" s="3" t="inlineStr"/>
      <c r="AI31" s="3" t="inlineStr"/>
      <c r="AJ31" s="3" t="inlineStr">
        <is>
          <t>1. MK-XS-I-001 account balance — read by MK-CF-F-031, MK-CF-O-006,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2026-09-28; the figure, its formula, inputs and refusal live in MK-CF-O-006 theCreditLine</t>
        </is>
      </c>
      <c r="AN31" s="3" t="inlineStr">
        <is>
          <t>$3,100 owed on the cards against $12,000 of total limit — 25.8% of the line in use.
GIVES: $3,100
(the test re-runs this through MK-CF-O-006 theCreditLine on every build)</t>
        </is>
      </c>
      <c r="AO31" s="3" t="inlineStr">
        <is>
          <t>NOTHING OPEN</t>
        </is>
      </c>
    </row>
    <row r="32" ht="60" customHeight="1">
      <c r="A32" s="3" t="inlineStr">
        <is>
          <t>MK-MN-M-016</t>
        </is>
      </c>
      <c r="B32" s="3" t="inlineStr">
        <is>
          <t>Menu</t>
        </is>
      </c>
      <c r="C32" s="3" t="inlineStr">
        <is>
          <t>/insights</t>
        </is>
      </c>
      <c r="D32" s="3" t="inlineStr">
        <is>
          <t>Total invested · Cash total · Investable total</t>
        </is>
      </c>
      <c r="E32" s="3" t="inlineStr">
        <is>
          <t>total_invested__cash_total__investable_t</t>
        </is>
      </c>
      <c r="F32" s="3" t="inlineStr">
        <is>
          <t>theNetWorth</t>
        </is>
      </c>
      <c r="G32" s="3" t="inlineStr">
        <is>
          <t>MK-NW-O-003</t>
        </is>
      </c>
      <c r="H32" s="3" t="inlineStr">
        <is>
          <t>investments, cash, and everything that is not a house or a car</t>
        </is>
      </c>
      <c r="I32" s="3" t="inlineStr">
        <is>
          <t>investments, cash, and everything that is not a house or a car</t>
        </is>
      </c>
      <c r="J32" s="3" t="inlineStr">
        <is>
          <t>MK-NW-I-001 your accounts</t>
        </is>
      </c>
      <c r="K32" s="3" t="inlineStr">
        <is>
          <t>dollars, whole</t>
        </is>
      </c>
      <c r="L32" s="3" t="inlineStr">
        <is>
          <t>Nothing entered yet.</t>
        </is>
      </c>
      <c r="M32" s="3" t="inlineStr">
        <is>
          <t>one figure per household</t>
        </is>
      </c>
      <c r="N32" s="3" t="inlineStr">
        <is>
          <t>as of today</t>
        </is>
      </c>
      <c r="O3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32" s="3" t="inlineStr">
        <is>
          <t>Declared by MK-NW-O-003 theNetWorth</t>
        </is>
      </c>
      <c r="Q32" s="3" t="inlineStr">
        <is>
          <t>Insights took these its own way before 2026-09-27; his ruling on Q-NW-1 made all three screens read one answer.</t>
        </is>
      </c>
      <c r="R32" s="3" t="inlineStr">
        <is>
          <t>Insights took these its own way before 2026-09-27; his ruling on Q-NW-1 made all three screens read one answer.</t>
        </is>
      </c>
      <c r="S32" s="3" t="inlineStr"/>
      <c r="T32" s="3" t="inlineStr">
        <is>
          <t>Insights took these its own way before 2026-09-27; his ruling on Q-NW-1 made all three screens read one answer.</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2026-10-09</t>
        </is>
      </c>
      <c r="AH32" s="3" t="inlineStr"/>
      <c r="AI32" s="3" t="inlineStr"/>
      <c r="AJ32"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MK-NW-O-003 theNetWorth</t>
        </is>
      </c>
      <c r="AN3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$193,200
(the test re-runs this through MK-NW-O-003 theNetWorth on every build)</t>
        </is>
      </c>
      <c r="AO32" s="7" t="inlineStr">
        <is>
          <t>RULED, NOT CODED (Q-NW-1 — one question, one function)</t>
        </is>
      </c>
    </row>
    <row r="33" ht="60" customHeight="1">
      <c r="A33" s="3" t="inlineStr">
        <is>
          <t>MK-MN-M-020</t>
        </is>
      </c>
      <c r="B33" s="3" t="inlineStr">
        <is>
          <t>Menu</t>
        </is>
      </c>
      <c r="C33" s="3" t="inlineStr">
        <is>
          <t>/jobsafety</t>
        </is>
      </c>
      <c r="D33" s="3" t="inlineStr">
        <is>
          <t>N months of essentials is $X ($Y/month)</t>
        </is>
      </c>
      <c r="E33" s="3" t="inlineStr">
        <is>
          <t>n_months_of_essentials_is_x_ymonth</t>
        </is>
      </c>
      <c r="F33" s="3" t="inlineStr">
        <is>
          <t>essentialsFromLoggedSpending (through Job safety)</t>
        </is>
      </c>
      <c r="G33" s="3" t="inlineStr">
        <is>
          <t>MK-CF-F-189</t>
        </is>
      </c>
      <c r="H33" s="3" t="inlineStr">
        <is>
          <t>runway in months = cash ÷ essentials a month; target = months wanted × essentials a month; essentials a month = the typed figure on this screen if given, else the logged average (MK-CF-F-189)</t>
        </is>
      </c>
      <c r="I33"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3" s="3" t="inlineStr">
        <is>
          <t>1. every logged expense → expenses [MK-XS-I-024]
2. the typed fallback → typed monthly expenses / essentials [MK-XS-I-025]
3. cash on hand → the Cash class [MK-XS-I-001]</t>
        </is>
      </c>
      <c r="K33" s="3" t="inlineStr">
        <is>
          <t>a sentence</t>
        </is>
      </c>
      <c r="L33" s="3" t="inlineStr">
        <is>
          <t>No essentials figure → the screen asks 'What do your essential bills come to in a typical month?' (built); no months chosen → 6.</t>
        </is>
      </c>
      <c r="M33" s="3" t="inlineStr">
        <is>
          <t>one figure per household</t>
        </is>
      </c>
      <c r="N33" s="3" t="inlineStr">
        <is>
          <t>as of today</t>
        </is>
      </c>
      <c r="O33" s="3" t="inlineStr">
        <is>
          <t>1. MK-ST-F-056 (has) → NOT DECLARED — the code does not say what it gives back
2. MK-XS-F-122 (n) → number
3. MK-ST-F-052 (toNum) → number
4. MK-CF-F-191 (ym) → NOT DECLARED — the code does not say what it gives back</t>
        </is>
      </c>
      <c r="P33" s="3" t="inlineStr">
        <is>
          <t>Declared by MK-NW-O-004 theEmergencyFund</t>
        </is>
      </c>
      <c r="Q33" s="3" t="inlineStr">
        <is>
          <t>NONE RECORDED — the declaration names none.</t>
        </is>
      </c>
      <c r="R33" s="3" t="inlineStr">
        <is>
          <t>NONE RECORDED — the declaration names none.</t>
        </is>
      </c>
      <c r="S33" s="3" t="inlineStr"/>
      <c r="T33"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3" s="3" t="inlineStr"/>
      <c r="V33" s="9" t="inlineStr">
        <is>
          <t>Q28 — How many months of essentials should the app treat as safe by default — and is that number yours to set per person, or one figure for everyone?</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2026-10-09</t>
        </is>
      </c>
      <c r="AH33" s="3" t="inlineStr"/>
      <c r="AI33" s="3" t="inlineStr"/>
      <c r="AJ33" s="3" t="inlineStr">
        <is>
          <t>MK-XS-I-024 logged expenses — read by MK-CF-F-189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MK-NW-O-004 theEmergencyFund</t>
        </is>
      </c>
      <c r="AN3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6 months of essentials is $20,820 ($3,470/month)
(the test re-runs this through MK-NW-O-004 theEmergencyFund on every build)</t>
        </is>
      </c>
      <c r="AO33" s="9" t="inlineStr">
        <is>
          <t>WAITING ON YOU — question Q28 · RULED, NOT CODED (Q-NW-5 — one question, one function)</t>
        </is>
      </c>
    </row>
    <row r="34" ht="60" customHeight="1">
      <c r="A34" s="3" t="inlineStr">
        <is>
          <t>MK-MN-M-021</t>
        </is>
      </c>
      <c r="B34" s="3" t="inlineStr">
        <is>
          <t>Menu</t>
        </is>
      </c>
      <c r="C34" s="3" t="inlineStr">
        <is>
          <t>/jobsafety</t>
        </is>
      </c>
      <c r="D34" s="3" t="inlineStr">
        <is>
          <t>Using $X/month from your logged expenses</t>
        </is>
      </c>
      <c r="E34" s="3" t="inlineStr">
        <is>
          <t>using_xmonth_from_your_logged_expenses</t>
        </is>
      </c>
      <c r="F34" s="3" t="inlineStr">
        <is>
          <t>essentialsFromLoggedSpending</t>
        </is>
      </c>
      <c r="G34" s="3" t="inlineStr">
        <is>
          <t>MK-CF-F-189</t>
        </is>
      </c>
      <c r="H34" s="3" t="inlineStr">
        <is>
          <t>baseline = the average of logged expenses over the months logged, mortgage and big items included; label = 'N month average'</t>
        </is>
      </c>
      <c r="I34"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4" s="3" t="inlineStr">
        <is>
          <t>1. every logged expense → expenses [MK-XS-I-024]
2. the typed fallback → typed monthly expenses / essentials [MK-XS-I-025]
3. cash on hand → the Cash class [MK-XS-I-001]</t>
        </is>
      </c>
      <c r="K34" s="3" t="inlineStr">
        <is>
          <t>a sentence</t>
        </is>
      </c>
      <c r="L34" s="3" t="inlineStr">
        <is>
          <t>$0, and under it the one line "Nothing entered yet. Log your expenses ›" (mock approved 2026-09-12). A real zero that was entered shows a plain $0 with no line.</t>
        </is>
      </c>
      <c r="M34" s="3" t="inlineStr">
        <is>
          <t>one figure per household</t>
        </is>
      </c>
      <c r="N34" s="3" t="inlineStr">
        <is>
          <t>as of today</t>
        </is>
      </c>
      <c r="O34" s="3" t="inlineStr">
        <is>
          <t>1. MK-ST-F-056 (has) → NOT DECLARED — the code does not say what it gives back
2. MK-XS-F-122 (n) → number
3. MK-ST-F-052 (toNum) → number
4. MK-CF-F-191 (ym) → NOT DECLARED — the code does not say what it gives back</t>
        </is>
      </c>
      <c r="P34" s="3" t="inlineStr">
        <is>
          <t>Declared by MK-NW-O-004 theEmergencyFund</t>
        </is>
      </c>
      <c r="Q34" s="3" t="inlineStr">
        <is>
          <t>The label names the basis so nobody has to guess whether it is one month or a year (his ruling G21).</t>
        </is>
      </c>
      <c r="R34" s="3" t="inlineStr">
        <is>
          <t>The label names the basis so nobody has to guess whether it is one month or a year (his ruling G21).</t>
        </is>
      </c>
      <c r="S34" s="3" t="inlineStr"/>
      <c r="T34"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4" s="3" t="inlineStr">
        <is>
          <t>ACTIVE</t>
        </is>
      </c>
      <c r="AG34" s="3" t="inlineStr">
        <is>
          <t>2026-10-09</t>
        </is>
      </c>
      <c r="AH34" s="3" t="inlineStr"/>
      <c r="AI34" s="3" t="inlineStr"/>
      <c r="AJ34" s="3" t="inlineStr">
        <is>
          <t>MK-XS-I-024 logged expenses — read by MK-CF-F-189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MK-NW-O-004 theEmergencyFund</t>
        </is>
      </c>
      <c r="AN3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Using $3,470/month — you entered
(the test re-runs this through MK-NW-O-004 theEmergencyFund on every build)</t>
        </is>
      </c>
      <c r="AO34" s="7" t="inlineStr">
        <is>
          <t>RULED, NOT CODED (Q-NW-5 — one question, one function)</t>
        </is>
      </c>
    </row>
    <row r="35" ht="60" customHeight="1">
      <c r="A35" s="3" t="inlineStr">
        <is>
          <t>MK-MN-M-024</t>
        </is>
      </c>
      <c r="B35" s="3" t="inlineStr">
        <is>
          <t>Menu</t>
        </is>
      </c>
      <c r="C35" s="3" t="inlineStr">
        <is>
          <t>/stress-test</t>
        </is>
      </c>
      <c r="D35" s="3" t="inlineStr">
        <is>
          <t>You could cover a $X hit</t>
        </is>
      </c>
      <c r="E35" s="3" t="inlineStr">
        <is>
          <t>you_could_cover_a_x_hit</t>
        </is>
      </c>
      <c r="F35" s="3" t="inlineStr">
        <is>
          <t>emergencyTest (with the essentials figure from essentialsMonthly)</t>
        </is>
      </c>
      <c r="G35" s="3" t="inlineStr">
        <is>
          <t>MK-CF-F-010 (← MK-CF-F-190)</t>
        </is>
      </c>
      <c r="H35" s="3" t="inlineStr">
        <is>
          <t>cash after = cash − the shock; runway after = cash after ÷ essentials a month, where essentials a month = MK-CF-F-190 (logged average, else the typed categories)</t>
        </is>
      </c>
      <c r="I35" s="3" t="inlineStr">
        <is>
          <t>Takes a one-off hit out of the cash on hand and shows what would be left and how many months of essentials it would cover — dividing by the same essentials figure the other cards use, labelled with the months it stands on.</t>
        </is>
      </c>
      <c r="J35" s="3" t="inlineStr">
        <is>
          <t>1. every logged expense → expenses [MK-XS-I-024]
2. the typed fallback → typed monthly expenses / essentials [MK-XS-I-025]
3. cash on hand → the Cash class [MK-XS-I-001]</t>
        </is>
      </c>
      <c r="K35" s="3" t="inlineStr">
        <is>
          <t>dollars, whole</t>
        </is>
      </c>
      <c r="L35" s="3" t="inlineStr">
        <is>
          <t>$0, and under it the one line "Nothing entered yet. Add your accounts ›" (mock approved 2026-09-12). A real zero that was entered shows a plain $0 with no line.</t>
        </is>
      </c>
      <c r="M35" s="3" t="inlineStr">
        <is>
          <t>one figure per household</t>
        </is>
      </c>
      <c r="N35" s="3" t="inlineStr">
        <is>
          <t>as of today</t>
        </is>
      </c>
      <c r="O35" s="3" t="inlineStr">
        <is>
          <t>1. MK-CF-F-155 (cash) → number
2. MK-CF-F-009 (monthlyEssentials) → number
3. MK-CF-F-189 (essentialsFromLoggedSpending) → EssentialsAverage | null
4. MK-CF-O-002 (expenses) → Expenses</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Q29 — What size of shock should the test use by default, and should it be a fixed dollar figure or a share of the person's expenses?</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5" s="3" t="inlineStr">
        <is>
          <t>ACTIVE</t>
        </is>
      </c>
      <c r="AG35" s="3" t="inlineStr">
        <is>
          <t>2026-10-09</t>
        </is>
      </c>
      <c r="AH35" s="3" t="inlineStr"/>
      <c r="AI35" s="3" t="inlineStr"/>
      <c r="AJ3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 could cover a $5,000 hit
(the test re-runs this through MK-NW-O-004 theEmergencyFund on every build)</t>
        </is>
      </c>
      <c r="AO35" s="9" t="inlineStr">
        <is>
          <t>WAITING ON YOU — question Q29 · RULED, NOT CODED (Q-NW-5 — one question, one function)</t>
        </is>
      </c>
    </row>
    <row r="36" ht="60" customHeight="1">
      <c r="A36" s="3" t="inlineStr">
        <is>
          <t>MK-MN-M-025</t>
        </is>
      </c>
      <c r="B36" s="3" t="inlineStr">
        <is>
          <t>Menu</t>
        </is>
      </c>
      <c r="C36" s="3" t="inlineStr">
        <is>
          <t>/stress-test</t>
        </is>
      </c>
      <c r="D36" s="3" t="inlineStr">
        <is>
          <t>You'd have $X left — about N months of essentials</t>
        </is>
      </c>
      <c r="E36" s="3" t="inlineStr">
        <is>
          <t>youd_have_x_left__about_n_months_of_esse</t>
        </is>
      </c>
      <c r="F36" s="3" t="inlineStr">
        <is>
          <t>emergencyTest (with the essentials figure from essentialsMonthly)</t>
        </is>
      </c>
      <c r="G36" s="3" t="inlineStr">
        <is>
          <t>MK-CF-F-010 (← MK-CF-F-190)</t>
        </is>
      </c>
      <c r="H36" s="3" t="inlineStr">
        <is>
          <t>runway after = max(0, cash − shock) ÷ essentials a month (MK-CF-F-190)</t>
        </is>
      </c>
      <c r="I36" s="3" t="inlineStr">
        <is>
          <t>'You'd have $X left — about N months of essentials ($Y/mo — 7 month average).'</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Add your accounts ›" (mock approved 2026-09-12). A real zero that was entered shows a plain $0 with no line.</t>
        </is>
      </c>
      <c r="M36" s="3" t="inlineStr">
        <is>
          <t>one figure per household</t>
        </is>
      </c>
      <c r="N36" s="3" t="inlineStr">
        <is>
          <t>as of today</t>
        </is>
      </c>
      <c r="O36" s="3" t="inlineStr">
        <is>
          <t>1. MK-CF-F-155 (cash) → number
2. MK-CF-F-009 (monthlyEssentials) → number
3. MK-CF-F-189 (essentialsFromLoggedSpending) → EssentialsAverage | null
4. MK-CF-O-002 (expenses) → Expenses</t>
        </is>
      </c>
      <c r="P36" s="3" t="inlineStr">
        <is>
          <t>Declared by MK-NW-O-004 theEmergencyFund</t>
        </is>
      </c>
      <c r="Q36" s="3" t="inlineStr">
        <is>
          <t>NONE RECORDED — the declaration names none.</t>
        </is>
      </c>
      <c r="R36" s="3" t="inlineStr">
        <is>
          <t>NONE RECORDED — the declaration names none.</t>
        </is>
      </c>
      <c r="S36" s="3" t="inlineStr"/>
      <c r="T36"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6" s="3" t="inlineStr">
        <is>
          <t>ACTIVE</t>
        </is>
      </c>
      <c r="AG36" s="3" t="inlineStr">
        <is>
          <t>2026-10-09</t>
        </is>
      </c>
      <c r="AH36" s="3" t="inlineStr"/>
      <c r="AI36" s="3" t="inlineStr"/>
      <c r="AJ36"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You'd have $13,000 left — about 3.7 months of essentials
(the test re-runs this through MK-NW-O-004 theEmergencyFund on every build)</t>
        </is>
      </c>
      <c r="AO36" s="7" t="inlineStr">
        <is>
          <t>RULED, NOT CODED (Q-NW-5 — one question, one function)</t>
        </is>
      </c>
    </row>
    <row r="37" ht="60" customHeight="1">
      <c r="A37" s="3" t="inlineStr">
        <is>
          <t>MK-MN-M-026</t>
        </is>
      </c>
      <c r="B37" s="3" t="inlineStr">
        <is>
          <t>Menu</t>
        </is>
      </c>
      <c r="C37" s="3" t="inlineStr">
        <is>
          <t>/stress-test</t>
        </is>
      </c>
      <c r="D37" s="3" t="inlineStr">
        <is>
          <t>your $X/month of essentials</t>
        </is>
      </c>
      <c r="E37" s="3" t="inlineStr">
        <is>
          <t>your_xmonth_of_essentials</t>
        </is>
      </c>
      <c r="F37" s="3" t="inlineStr">
        <is>
          <t>essentialsMonthly</t>
        </is>
      </c>
      <c r="G37" s="3" t="inlineStr">
        <is>
          <t>MK-CF-F-190</t>
        </is>
      </c>
      <c r="H37" s="3" t="inlineStr">
        <is>
          <t>essentials a month = the logged average over the months logged (MK-CF-F-189), else the typed categories (monthlyEssentials)</t>
        </is>
      </c>
      <c r="I37" s="3" t="inlineStr">
        <is>
          <t>'Covering your $Y/mo of essentials (7 month average) with no paycheck coming in.' The larger-of rule (plannedMonthlySpend) no longer produces this figure.</t>
        </is>
      </c>
      <c r="J37" s="3" t="inlineStr">
        <is>
          <t>1. every logged expense → expenses [MK-XS-I-024]
2. the typed fallback → typed monthly expenses / essentials [MK-XS-I-025]
3. cash on hand → the Cash class [MK-XS-I-001]</t>
        </is>
      </c>
      <c r="K37" s="3" t="inlineStr">
        <is>
          <t>dollars, whole a month</t>
        </is>
      </c>
      <c r="L37" s="3" t="inlineStr">
        <is>
          <t>$0, and under it the one line "Nothing entered yet. Log your expenses ›" (mock approved 2026-09-12). A real zero that was entered shows a plain $0 with no line.</t>
        </is>
      </c>
      <c r="M37" s="3" t="inlineStr">
        <is>
          <t>one figure per household</t>
        </is>
      </c>
      <c r="N37" s="3" t="inlineStr">
        <is>
          <t>a month</t>
        </is>
      </c>
      <c r="O37" s="3" t="inlineStr">
        <is>
          <t>1. MK-CF-F-189 (essentialsFromLoggedSpending) → EssentialsAverage | null
2. MK-CF-O-002 (expenses) → Expenses</t>
        </is>
      </c>
      <c r="P37" s="3" t="inlineStr">
        <is>
          <t>Declared by MK-NW-O-004 theEmergencyFund</t>
        </is>
      </c>
      <c r="Q37" s="3" t="inlineStr">
        <is>
          <t>NONE RECORDED — the declaration names none.</t>
        </is>
      </c>
      <c r="R37" s="3" t="inlineStr">
        <is>
          <t>NONE RECORDED — the declaration names none.</t>
        </is>
      </c>
      <c r="S37" s="3" t="inlineStr"/>
      <c r="T37"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7" s="3" t="inlineStr">
        <is>
          <t>ACTIVE</t>
        </is>
      </c>
      <c r="AG37" s="3" t="inlineStr">
        <is>
          <t>2026-10-09</t>
        </is>
      </c>
      <c r="AH37" s="3" t="inlineStr"/>
      <c r="AI37" s="3" t="inlineStr"/>
      <c r="AJ37"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MK-NW-O-004 theEmergencyFund</t>
        </is>
      </c>
      <c r="AN37"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$3,470/month
(the test re-runs this through MK-NW-O-004 theEmergencyFund on every build)</t>
        </is>
      </c>
      <c r="AO37" s="7" t="inlineStr">
        <is>
          <t>RULED, NOT CODED (Q-NW-5 — one question, one function)</t>
        </is>
      </c>
    </row>
    <row r="38" ht="60" customHeight="1">
      <c r="A38" s="3" t="inlineStr">
        <is>
          <t>MK-MN-M-027</t>
        </is>
      </c>
      <c r="B38" s="3" t="inlineStr">
        <is>
          <t>Menu</t>
        </is>
      </c>
      <c r="C38" s="3" t="inlineStr">
        <is>
          <t>/tax-organizer</t>
        </is>
      </c>
      <c r="D38" s="3" t="inlineStr">
        <is>
          <t>each taxable line and its amount</t>
        </is>
      </c>
      <c r="E38" s="3" t="inlineStr">
        <is>
          <t>each_taxable_line_and_its_amount</t>
        </is>
      </c>
      <c r="F38" s="3" t="inlineStr">
        <is>
          <t>1. taxOrganizer
2. taxableIncomeSteps</t>
        </is>
      </c>
      <c r="G38" s="3" t="inlineStr">
        <is>
          <t>1. MK-PL-F-031
2. MK-PL-F-082</t>
        </is>
      </c>
      <c r="H38"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8"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8" s="3" t="inlineStr">
        <is>
          <t>1. the organizer's income lines [MK-XS-I-023 and the other income inputs]
2. each earner's 401(k) contribution [MK-XS-I-043]
3. how they file and who is 65+ [MK-XS-I-030]</t>
        </is>
      </c>
      <c r="K38" s="3" t="inlineStr">
        <is>
          <t>dollars, whole</t>
        </is>
      </c>
      <c r="L38" s="3" t="inlineStr">
        <is>
          <t>A line with nothing behind it does not appear at all.</t>
        </is>
      </c>
      <c r="M38" s="3" t="inlineStr">
        <is>
          <t>one line</t>
        </is>
      </c>
      <c r="N38" s="3" t="inlineStr">
        <is>
          <t>as of today</t>
        </is>
      </c>
      <c r="O38"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8" s="3" t="inlineStr">
        <is>
          <t>Declared by MK-CF-O-007 theTaxOrganizer</t>
        </is>
      </c>
      <c r="Q38" s="3" t="inlineStr">
        <is>
          <t>Interest and dividends come from the RECORDS where they exist, not from an estimate — an estimate on a tax page reads as a figure to file.</t>
        </is>
      </c>
      <c r="R38" s="3" t="inlineStr">
        <is>
          <t>Interest and dividends come from the RECORDS where they exist, not from an estimate — an estimate on a tax page reads as a figure to file.</t>
        </is>
      </c>
      <c r="S38" s="3" t="inlineStr"/>
      <c r="T38"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38" s="3" t="inlineStr"/>
      <c r="V38"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38" s="3" t="inlineStr">
        <is>
          <t>Q46: Tax organizer should show — gross income, 401(k) contribution, standard deduction, and taxable income. (answered in chat, 2026-09-08)</t>
        </is>
      </c>
      <c r="X38" s="3" t="inlineStr"/>
      <c r="Y38" s="3" t="inlineStr"/>
      <c r="Z38" s="3" t="inlineStr">
        <is>
          <t>DECLARED IN THE CODE (rule 11) — printed from the door, not typed. RULED 2026-09-27</t>
        </is>
      </c>
      <c r="AA38" s="3" t="inlineStr"/>
      <c r="AB38" s="3" t="inlineStr"/>
      <c r="AC38" s="3" t="inlineStr"/>
      <c r="AD38" s="3" t="inlineStr"/>
      <c r="AE38"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38" s="3" t="inlineStr">
        <is>
          <t>ACTIVE</t>
        </is>
      </c>
      <c r="AG38" s="3" t="inlineStr">
        <is>
          <t>2026-10-09</t>
        </is>
      </c>
      <c r="AH38" s="3" t="inlineStr"/>
      <c r="AI38" s="3" t="inlineStr"/>
      <c r="AJ38"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MK-CF-O-007 theTaxOrganizer</t>
        </is>
      </c>
      <c r="AN38" s="3" t="inlineStr">
        <is>
          <t>Filing jointly for 2026 on $169,200 of wages, with $19,200 paid into 401(k)s between the two of them and the $32,200 standard deduction.
GIVES: $169,200
(the test re-runs this through MK-CF-O-007 theTaxOrganizer on every build)</t>
        </is>
      </c>
      <c r="AO38" s="8" t="inlineStr">
        <is>
          <t>VERIFIED — TESTED, NOT VERIFIED — you ruled on this row 2026-09-27; the</t>
        </is>
      </c>
    </row>
    <row r="39" ht="60" customHeight="1">
      <c r="A39" s="3" t="inlineStr">
        <is>
          <t>MK-MN-M-028</t>
        </is>
      </c>
      <c r="B39" s="3" t="inlineStr">
        <is>
          <t>Menu</t>
        </is>
      </c>
      <c r="C39" s="3" t="inlineStr">
        <is>
          <t>/tax-organizer</t>
        </is>
      </c>
      <c r="D39" s="3" t="inlineStr">
        <is>
          <t>Gross income · 401(k) contribution · Standard deduction · Taxable income · Non-taxable</t>
        </is>
      </c>
      <c r="E39" s="3" t="inlineStr">
        <is>
          <t>gross_income__401k_contribution__standar</t>
        </is>
      </c>
      <c r="F39" s="3" t="inlineStr">
        <is>
          <t>1. taxOrganizer
2. taxableIncomeSteps</t>
        </is>
      </c>
      <c r="G39" s="3" t="inlineStr">
        <is>
          <t>1. MK-PL-F-031
2. MK-PL-F-082</t>
        </is>
      </c>
      <c r="H39"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9"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9" s="3" t="inlineStr">
        <is>
          <t>1. the organizer's income lines [MK-XS-I-023 and the other income inputs]
2. each earner's 401(k) contribution [MK-XS-I-043]
3. how they file and who is 65+ [MK-XS-I-030]</t>
        </is>
      </c>
      <c r="K39" s="3" t="inlineStr">
        <is>
          <t>dollars, whole</t>
        </is>
      </c>
      <c r="L39" s="3" t="inlineStr">
        <is>
          <t>No income entered yet.</t>
        </is>
      </c>
      <c r="M39" s="3" t="inlineStr">
        <is>
          <t>one figure per household</t>
        </is>
      </c>
      <c r="N39" s="3" t="inlineStr">
        <is>
          <t>as of today</t>
        </is>
      </c>
      <c r="O39"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9" s="3" t="inlineStr">
        <is>
          <t>Declared by MK-CF-O-007 theTaxOrganizer</t>
        </is>
      </c>
      <c r="Q39" s="3" t="inlineStr">
        <is>
          <t>ONE tax function across the app (rule 2) — the same one that sets the band on your pay.</t>
        </is>
      </c>
      <c r="R39" s="3" t="inlineStr">
        <is>
          <t>ONE tax function across the app (rule 2) — the same one that sets the band on your pay.</t>
        </is>
      </c>
      <c r="S39" s="3" t="inlineStr"/>
      <c r="T39" s="3" t="inlineStr">
        <is>
          <t>ONE tax function across the app (rule 2) — the same one that sets the band on your pay.
[Founder] Q46, 2026-09-08: the tax organizer shows gross income, the 401(k) contribution, the standard deduction and taxable income.</t>
        </is>
      </c>
      <c r="U39" s="3" t="inlineStr"/>
      <c r="V39" s="9" t="inlineStr">
        <is>
          <t>Q24 — State tax is applied to taxable accounts only. Do you want a state rate captured per person, or to keep the single blended figure we use now?</t>
        </is>
      </c>
      <c r="W39" s="9" t="inlineStr">
        <is>
          <t>Q46: Tax organizer should show — gross income, 401(k) contribution, standard deduction, and taxable income. (answered in chat, 2026-09-08)</t>
        </is>
      </c>
      <c r="X39" s="3" t="inlineStr"/>
      <c r="Y39" s="3" t="inlineStr"/>
      <c r="Z39" s="3" t="inlineStr">
        <is>
          <t>DECLARED IN THE CODE (rule 11) — printed from the door, not typed. RULED 2026-09-27</t>
        </is>
      </c>
      <c r="AA39" s="3" t="inlineStr"/>
      <c r="AB39" s="3" t="inlineStr"/>
      <c r="AC39" s="3" t="inlineStr"/>
      <c r="AD39" s="3" t="inlineStr"/>
      <c r="AE39"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39" s="3" t="inlineStr">
        <is>
          <t>ACTIVE</t>
        </is>
      </c>
      <c r="AG39" s="3" t="inlineStr">
        <is>
          <t>2026-10-09</t>
        </is>
      </c>
      <c r="AH39" s="3" t="inlineStr"/>
      <c r="AI39" s="3" t="inlineStr"/>
      <c r="AJ39"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MK-CF-O-007 theTaxOrganizer</t>
        </is>
      </c>
      <c r="AN39" s="3" t="inlineStr">
        <is>
          <t>Filing jointly for 2026 on $169,200 of wages, with $19,200 paid into 401(k)s between the two of them and the $32,200 standard deduction.
GIVES: $117,800
(the test re-runs this through MK-CF-O-007 theTaxOrganizer on every build)</t>
        </is>
      </c>
      <c r="AO39" s="9" t="inlineStr">
        <is>
          <t>WAITING ON YOU — question Q24 · TESTED, NOT VERIFIED (G22 / Q46, G3)</t>
        </is>
      </c>
    </row>
    <row r="40" ht="60" customHeight="1">
      <c r="A40" s="3" t="inlineStr">
        <is>
          <t>MK-MN-M-029</t>
        </is>
      </c>
      <c r="B40" s="3" t="inlineStr">
        <is>
          <t>Menu</t>
        </is>
      </c>
      <c r="C40" s="3" t="inlineStr">
        <is>
          <t>/contribution-room</t>
        </is>
      </c>
      <c r="D40" s="3" t="inlineStr">
        <is>
          <t>each contribution and its amount</t>
        </is>
      </c>
      <c r="E40" s="3" t="inlineStr">
        <is>
          <t>each_contribution_and_its_amount</t>
        </is>
      </c>
      <c r="F40" s="3" t="inlineStr">
        <is>
          <t>theContributionRoom</t>
        </is>
      </c>
      <c r="G40" s="3" t="inlineStr">
        <is>
          <t xml:space="preserve">
4. MK-CF-F-196
5. MK-CF-F-195</t>
        </is>
      </c>
      <c r="H40" s="3" t="inlineStr">
        <is>
          <t>the monthly amount you entered for that account × 12</t>
        </is>
      </c>
      <c r="I4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0" s="3" t="inlineStr">
        <is>
          <t>MK-XS-I-023 salary and other income</t>
        </is>
      </c>
      <c r="K40" s="3" t="inlineStr">
        <is>
          <t>dollars, whole</t>
        </is>
      </c>
      <c r="L40" s="3" t="inlineStr">
        <is>
          <t>No contribution entered → the RETIREMENT CONTRIBUTIONS card is not shown; never a $0 line.</t>
        </is>
      </c>
      <c r="M40" s="3" t="inlineStr">
        <is>
          <t>one account</t>
        </is>
      </c>
      <c r="N40" s="3" t="inlineStr">
        <is>
          <t>as of today</t>
        </is>
      </c>
      <c r="O40" s="3" t="inlineStr">
        <is>
          <t>MK-CF-F-195 (monthsLeftInYear) → number</t>
        </is>
      </c>
      <c r="P40" s="3" t="inlineStr">
        <is>
          <t>Declared by MK-CF-O-005 theContributionRoom</t>
        </is>
      </c>
      <c r="Q40" s="3" t="inlineStr">
        <is>
          <t>Enrolled in Medicare means NO HSA contribution is allowed at all — not a smaller one (his ruling G10, 2026-09-08).</t>
        </is>
      </c>
      <c r="R40" s="3" t="inlineStr">
        <is>
          <t>Enrolled in Medicare means NO HSA contribution is allowed at all — not a smaller one (his ruling G10, 2026-09-08).</t>
        </is>
      </c>
      <c r="S40" s="3" t="inlineStr"/>
      <c r="T40" s="3" t="inlineStr">
        <is>
          <t>Enrolled in Medicare means NO HSA contribution is allowed at all — not a smaller one (his ruling G10, 2026-09-08).</t>
        </is>
      </c>
      <c r="U40" s="3" t="inlineStr"/>
      <c r="V40" s="3" t="inlineStr"/>
      <c r="W40" s="3" t="inlineStr"/>
      <c r="X40" s="3" t="inlineStr"/>
      <c r="Y40" s="3" t="inlineStr"/>
      <c r="Z40" s="3" t="inlineStr">
        <is>
          <t>DECLARED IN THE CODE (rule 11) — printed from the door, not typed. RULED 2026-09-27</t>
        </is>
      </c>
      <c r="AA40" s="3" t="inlineStr"/>
      <c r="AB40" s="3" t="inlineStr"/>
      <c r="AC40" s="3" t="inlineStr"/>
      <c r="AD40" s="3" t="inlineStr"/>
      <c r="AE40" s="3" t="inlineStr">
        <is>
          <t>G32 / Q48 — 2026-09-09: the 'division with nothing on the bottom' boilerplate is gone; this cell now states the row's real refusal. Where it says 'built', the screen already does it; the rest follow the empty-state mock.</t>
        </is>
      </c>
      <c r="AF40" s="3" t="inlineStr">
        <is>
          <t>ACTIVE</t>
        </is>
      </c>
      <c r="AG40" s="3" t="inlineStr">
        <is>
          <t>2026-10-09</t>
        </is>
      </c>
      <c r="AH40" s="3" t="inlineStr"/>
      <c r="AI40" s="3" t="inlineStr"/>
      <c r="AJ40" s="3" t="inlineStr">
        <is>
          <t>NONE — no function in this chain reads a stored input the sweep knows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MK-CF-O-005 theContributionRoom</t>
        </is>
      </c>
      <c r="AN40" s="3" t="inlineStr">
        <is>
          <t>Born 1965 — so 61 during 2026. Paying in $1,200/month to a 401(k), $300 to a Roth IRA and $150 to an HSA; not on Medicare. Read on 29 September 2026, so four months of the year are left.
GIVES: $5,000
(the test re-runs this through MK-CF-O-005 theContributionRoom on every build)</t>
        </is>
      </c>
      <c r="AO40" s="7" t="inlineStr">
        <is>
          <t>RULED, NOT CODED (Q-CF-4 — one question, one function)</t>
        </is>
      </c>
    </row>
    <row r="41" ht="60" customHeight="1">
      <c r="A41" s="3" t="inlineStr">
        <is>
          <t>MK-MN-M-030</t>
        </is>
      </c>
      <c r="B41" s="3" t="inlineStr">
        <is>
          <t>Menu</t>
        </is>
      </c>
      <c r="C41" s="3" t="inlineStr">
        <is>
          <t>/bill-calendar</t>
        </is>
      </c>
      <c r="D41" s="3" t="inlineStr">
        <is>
          <t>$X left &lt;account&gt; on &lt;date&gt;</t>
        </is>
      </c>
      <c r="E41" s="3" t="inlineStr">
        <is>
          <t>x_left_account_on_date</t>
        </is>
      </c>
      <c r="F41" s="3" t="inlineStr">
        <is>
          <t>whatsComing</t>
        </is>
      </c>
      <c r="G41" s="3" t="inlineStr">
        <is>
          <t>MK-CF-O-008</t>
        </is>
      </c>
      <c r="H41" s="3" t="inlineStr">
        <is>
          <t>the balance you start with, less each bill as its date passes</t>
        </is>
      </c>
      <c r="I41" s="3" t="inlineStr">
        <is>
          <t>the balance you start with, less each bill as its date passes</t>
        </is>
      </c>
      <c r="J41" s="3" t="inlineStr">
        <is>
          <t>MK-NW-I-001 your accounts
MK-CF-I-002 your bills</t>
        </is>
      </c>
      <c r="K41" s="3" t="inlineStr">
        <is>
          <t>dollars, whole</t>
        </is>
      </c>
      <c r="L41" s="3" t="inlineStr">
        <is>
          <t>No balance to start from.</t>
        </is>
      </c>
      <c r="M41" s="3" t="inlineStr">
        <is>
          <t>one date</t>
        </is>
      </c>
      <c r="N41" s="3" t="inlineStr">
        <is>
          <t>as of today</t>
        </is>
      </c>
      <c r="O41" s="3" t="inlineStr">
        <is>
          <t>MK-CF-F-019 (upcomingBills) → NOT DECLARED — the code does not say what it gives back</t>
        </is>
      </c>
      <c r="P41" s="3" t="inlineStr">
        <is>
          <t>Declared by MK-CF-O-008 whatsComing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c r="X41" s="3" t="inlineStr"/>
      <c r="Y41" s="3" t="inlineStr"/>
      <c r="Z41" s="3" t="inlineStr">
        <is>
          <t>DECLARED IN THE CODE (rule 11) — printed from the door, not typed. RULED 2026-09-27</t>
        </is>
      </c>
      <c r="AA41" s="3" t="inlineStr"/>
      <c r="AB41" s="3" t="inlineStr"/>
      <c r="AC41" s="3" t="inlineStr"/>
      <c r="AD41" s="3" t="inlineStr"/>
      <c r="AE41" s="3" t="inlineStr"/>
      <c r="AF41" s="3" t="inlineStr">
        <is>
          <t>ACTIVE</t>
        </is>
      </c>
      <c r="AG41" s="3" t="inlineStr">
        <is>
          <t>2026-10-09</t>
        </is>
      </c>
      <c r="AH41" s="3" t="inlineStr"/>
      <c r="AI41" s="3" t="inlineStr"/>
      <c r="AJ41"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MK-CF-O-008 whatsComing</t>
        </is>
      </c>
      <c r="AN41" s="3" t="inlineStr">
        <is>
          <t>On 28 Sep 2026, with $8,000 in the account: car insurance of $1,400 due 15 Oct and property tax of $4,800 due 1 Nov. Nothing else is dated.
GIVES: $6,600
(the test re-runs this through MK-CF-O-008 whatsComing on every build)</t>
        </is>
      </c>
      <c r="AO41" s="7" t="inlineStr">
        <is>
          <t>RULED, NOT CODED (Q-CF-3 — one question, one function)</t>
        </is>
      </c>
    </row>
  </sheetData>
  <autoFilter ref="A1:AO4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6"/>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MK-NW-F-076 ALT
3. MK-NW-F-088 BENCH
4. MK-CF-F-211 DEBTS
5. MK-NW-F-079 EF
6. MK-NW-F-080 HOLD
7. MK-CF-F-200 LINE
8. MK-NW-F-082 NW
9. MK-NW-F-078 ONE
10. MK-NW-F-101 PLAN
11. MK-NW-F-027 accountClassBreakdown
12. MK-ST-F-027 accountId
13. MK-NW-F-113 altPartsOf
14. MK-CF-F-125 amortise
… and 51 more — the full list is on functions_from_code</t>
        </is>
      </c>
      <c r="F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2" s="3" t="inlineStr">
        <is>
          <t>SWEPT FROM THE CODE 2026-08-26</t>
        </is>
      </c>
      <c r="H2" s="3" t="inlineStr">
        <is>
          <t>ACTIVE</t>
        </is>
      </c>
      <c r="I2" s="3" t="inlineStr">
        <is>
          <t>2026-10-08</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MK-NW-F-027 accountClassBreakdown
4. MK-NW-F-025 accountDisplayName
5. MK-NW-F-011 assetClassOf
6. MK-NW-F-040 assetsFromOnboarding
7. MK-NW-F-052 buildItemizedAccounts
8. MK-CF-F-136 bumpCash
9. MK-XS-F-103 confirmWrapper
10. MK-XS-F-002 dataGaps
11. MK-NW-F-038 earmarkedKinds
12. MK-CF-O-017 futurePaycheck
13. MK-XS-F-102 ingestSync
14. MK-NW-F-073 itemising
… and 17 more — the full list is on functions_from_code</t>
        </is>
      </c>
      <c r="F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3" s="3" t="inlineStr">
        <is>
          <t>SWEPT FROM THE CODE 2026-08-26</t>
        </is>
      </c>
      <c r="H3" s="3" t="inlineStr">
        <is>
          <t>ACTIVE</t>
        </is>
      </c>
      <c r="I3" s="3" t="inlineStr">
        <is>
          <t>2026-10-07</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MK-NW-F-082 NW
4. MK-NW-F-101 PLAN
5. MK-NW-F-025 accountDisplayName
6. MK-NW-F-026 accountDisplayNames
7. MK-NW-F-056 bondInfo
8. MK-NW-F-052 buildItemizedAccounts
9. MK-XS-F-014 classifyHolding
10. MK-ST-F-011 classifyHoldingClass
11. MK-NW-F-046 historyCoverage
12. MK-CF-F-184 incomeFromAccounts
13. MK-XS-F-102 ingestSync
14. MK-NW-F-071 isCertificateOfDeposit
… and 9 more — the full list is on functions_from_code</t>
        </is>
      </c>
      <c r="F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4" s="3" t="inlineStr">
        <is>
          <t>SWEPT FROM THE CODE 2026-08-26</t>
        </is>
      </c>
      <c r="H4" s="3" t="inlineStr">
        <is>
          <t>ACTIVE</t>
        </is>
      </c>
      <c r="I4" s="3" t="inlineStr">
        <is>
          <t>2026-10-07</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MK-NW-F-088 BENCH
3. MK-NW-F-087 CAT
4. MK-NW-F-080 HOLD
5. MK-CF-F-201 INCOME
6. MK-NW-F-101 PLAN
7. MK-NW-F-027 accountClassBreakdown
8. MK-ST-F-027 accountId
9. MK-CF-F-138 addLot
10. MK-NW-F-113 altPartsOf
11. MK-CF-F-210 annualOfSource
12. MK-CF-F-111 applyTransaction
13. MK-PF-F-003 avgCost
14. MK-ST-F-028 buildDayFromAccounts
… and 29 more — the full list is on functions_from_code</t>
        </is>
      </c>
      <c r="F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5" s="3" t="inlineStr">
        <is>
          <t>SWEPT FROM THE CODE 2026-08-26</t>
        </is>
      </c>
      <c r="H5" s="3" t="inlineStr">
        <is>
          <t>ACTIVE</t>
        </is>
      </c>
      <c r="I5" s="3" t="inlineStr">
        <is>
          <t>2026-10-07</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MK-NW-F-088 BENCH
2. MK-NW-F-080 HOLD
3. MK-NW-F-027 accountClassBreakdown
4. MK-ST-F-027 accountId
5. MK-NW-F-113 altPartsOf
6. MK-ST-F-028 buildDayFromAccounts
7. MK-PF-F-014 buildPerformance
8. MK-NW-F-084 categoryEarnings
9. MK-PF-F-029 closeAsOf
10. MK-PF-F-034 closeOnOrBefore
11. MK-CF-F-043 compareMortgageToTreasury
12. MK-PF-F-022 factorOverMonths
13. MK-ST-F-084 fillBetweenObservations
14. MK-XS-F-102 ingestSync
… and 13 more — the full list is on functions_from_code</t>
        </is>
      </c>
      <c r="F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G6" s="3" t="inlineStr">
        <is>
          <t>SWEPT FROM THE CODE 2026-08-26</t>
        </is>
      </c>
      <c r="H6" s="3" t="inlineStr">
        <is>
          <t>ACTIVE</t>
        </is>
      </c>
      <c r="I6" s="3" t="inlineStr">
        <is>
          <t>2026-10-07</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last_synced · pricesFetchedAt</t>
        </is>
      </c>
      <c r="E7" s="3" t="inlineStr">
        <is>
          <t>1. MK-XS-F-002 dataGaps
2. MK-XS-F-056 fetchEconomicData
3. MK-XS-F-102 ingestSync
4. MK-XS-F-082 priceFreshness
5. MK-XS-F-174 recomputeBalances
6. MK-NW-F-045 sourceWording
7. MK-XS-F-175 uid</t>
        </is>
      </c>
      <c r="F7" s="3" t="inlineStr">
        <is>
          <t>MK-HM-M-001 · MK-MN-M-016 · MK-NW-M-001 · MK-NW-M-002 · MK-NW-M-003 · MK-NW-M-004 · MK-NW-M-005 · MK-NW-M-006 · MK-NW-M-007 · MK-NW-M-008 · MK-NW-M-009 · MK-NW-M-011 · MK-NW-M-015 · MK-NW-M-016 · MK-NW-M-017 · MK-NW-M-049 · MK-NW-M-063 · MK-XS-M-001 · MK-XS-M-003</t>
        </is>
      </c>
      <c r="G7" s="3" t="inlineStr">
        <is>
          <t>SWEPT FROM THE CODE 2026-08-26</t>
        </is>
      </c>
      <c r="H7" s="3" t="inlineStr">
        <is>
          <t>ACTIVE</t>
        </is>
      </c>
      <c r="I7" s="3" t="inlineStr">
        <is>
          <t>2026-09-12</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MK-NW-F-027 accountClassBreakdown
2. MK-ST-F-027 accountId
3. MK-CF-F-138 addLot
4. MK-PF-F-003 avgCost
5. MK-PF-F-013 benchmarkTicker
6. MK-ST-F-028 buildDayFromAccounts
7. MK-PF-F-014 buildPerformance
8. MK-PF-F-006 capGains
9. MK-PF-F-002 costBasis
10. MK-PF-F-012 earliestPurchaseDate
11. MK-XS-F-145 flatSymbol
12. MK-XS-F-102 ingestSync
13. MK-NW-F-073 itemising
14. MK-XS-F-106 mapOptionHolding
… and 11 more — the full list is on functions_from_code</t>
        </is>
      </c>
      <c r="F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8" s="3" t="inlineStr">
        <is>
          <t>SWEPT FROM THE CODE 2026-08-26</t>
        </is>
      </c>
      <c r="H8" s="3" t="inlineStr">
        <is>
          <t>ACTIVE</t>
        </is>
      </c>
      <c r="I8" s="3" t="inlineStr">
        <is>
          <t>2026-10-07</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MK-NW-F-084 categoryEarnings
4. MK-CF-F-119 investmentIncomeAnnual
5. MK-CF-F-183 paidOutByAccount
6. MK-CF-F-109 reviewTransactions
7. MK-PL-F-009 rmdTakenThisYear
8. MK-NW-O-002 theAccount
9. MK-ST-F-072 undo</t>
        </is>
      </c>
      <c r="F9" s="3" t="inlineStr">
        <is>
          <t>MK-MN-M-016 · MK-NW-M-001 · MK-NW-M-002 · MK-NW-M-003 · MK-NW-M-004 · MK-NW-M-005 · MK-NW-M-006 · MK-NW-M-007 · MK-NW-M-008 · MK-NW-M-009 · MK-NW-M-011 · MK-NW-M-015 · MK-NW-M-016 · MK-NW-M-017 · MK-NW-M-019 · MK-NW-M-020 · MK-NW-M-021 · MK-NW-M-038 · MK-NW-M-039 · MK-NW-M-040 · MK-NW-M-049 · MK-NW-M-062 · MK-NW-M-063 · MK-XS-M-001 · MK-XS-M-003</t>
        </is>
      </c>
      <c r="G9" s="3" t="inlineStr">
        <is>
          <t>SWEPT FROM THE CODE 2026-08-26</t>
        </is>
      </c>
      <c r="H9" s="3" t="inlineStr">
        <is>
          <t>ACTIVE</t>
        </is>
      </c>
      <c r="I9" s="3" t="inlineStr">
        <is>
          <t>2026-10-04</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MK-CF-F-119 investmentIncomeAnnual
3. MK-PF-F-028 realizedFromLedger
4. MK-ST-F-073 rebuildDays
5. MK-ST-F-071 rebuildableFrom
6. MK-CF-F-109 reviewTransactions
7. MK-PL-F-009 rmdTakenThisYear
8. MK-NW-O-002 theAccount
9. MK-NW-O-006 theHolding
10. MK-NW-O-008 thePerformance
11. MK-XS-F-175 uid</t>
        </is>
      </c>
      <c r="F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G10" s="3" t="inlineStr">
        <is>
          <t>SWEPT FROM THE CODE 2026-08-26</t>
        </is>
      </c>
      <c r="H10" s="3" t="inlineStr">
        <is>
          <t>ACTIVE</t>
        </is>
      </c>
      <c r="I10" s="3" t="inlineStr">
        <is>
          <t>2026-10-05</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MK-XS-F-108 activityKey
2. MK-CF-F-110 flagComparisonText
3. MK-NW-F-109 holdingClassOf
4. MK-XS-F-015 importHoldings
5. MK-ST-F-014 importKey
6. MK-XS-F-102 ingestSync
7. MK-XS-F-105 mapPosition
8. MK-XS-F-097 ocrReceipt
9. MK-XS-F-058 parseReceipt
10. MK-ST-F-013 personalFlowTotals
11. MK-NW-F-054 reclassifyAccounts
12. MK-XS-F-174 recomputeBalances
13. MK-CF-F-109 reviewTransactions
14. MK-ST-F-012 toLedgerRow
… and 1 more — the full list is on functions_from_code</t>
        </is>
      </c>
      <c r="F11"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G11" s="3" t="inlineStr">
        <is>
          <t>SWEPT FROM THE CODE 2026-08-26</t>
        </is>
      </c>
      <c r="H11" s="3" t="inlineStr">
        <is>
          <t>ACTIVE</t>
        </is>
      </c>
      <c r="I11" s="3" t="inlineStr">
        <is>
          <t>2026-10-05</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MK-NW-F-119 estimatedAccrued
9. MK-CF-F-184 incomeFromAccounts
10. MK-NW-F-071 isCertificateOfDeposit
11. MK-NW-F-069 priceAtYield
12. MK-NW-F-072 rowOf
13. MK-NW-O-001 theBonds
14. MK-NW-F-112 yearlyInterest</t>
        </is>
      </c>
      <c r="F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2" s="3" t="inlineStr">
        <is>
          <t>SWEPT FROM THE CODE 2026-08-26</t>
        </is>
      </c>
      <c r="H12" s="3" t="inlineStr">
        <is>
          <t>ACTIVE</t>
        </is>
      </c>
      <c r="I12" s="3" t="inlineStr">
        <is>
          <t>2026-10-09</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MK-NW-F-070 accruedInterestCaveat
3. MK-NW-F-057 annualCoupon
4. MK-NW-F-060 approxYTM
5. MK-NW-F-056 bondInfo
6. MK-NW-F-064 bondRateSensitivity
7. MK-NW-F-052 buildItemizedAccounts
8. MK-NW-F-084 categoryEarnings
9. MK-NW-F-119 estimatedAccrued
10. MK-CF-F-184 incomeFromAccounts
11. MK-NW-F-063 interestIncomeAnnual
12. MK-NW-F-071 isCertificateOfDeposit
13. MK-NW-F-072 rowOf
14. MK-NW-O-001 theBonds
… and 1 more — the full list is on functions_from_code</t>
        </is>
      </c>
      <c r="F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3" s="3" t="inlineStr">
        <is>
          <t>SWEPT FROM THE CODE 2026-08-26</t>
        </is>
      </c>
      <c r="H13" s="3" t="inlineStr">
        <is>
          <t>ACTIVE</t>
        </is>
      </c>
      <c r="I13" s="3" t="inlineStr">
        <is>
          <t>2026-10-09</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MK-NW-F-011 assetClassOf
4. MK-NW-F-056 bondInfo
5. MK-NW-F-061 bondSummary
6. MK-NW-F-052 buildItemizedAccounts
7. MK-ST-F-011 classifyHoldingClass
8. MK-NW-F-053 correctClassOf
9. MK-NW-F-119 estimatedAccrued
10. MK-NW-F-063 interestIncomeAnnual
11. MK-NW-F-071 isCertificateOfDeposit
12. MK-XS-F-107 mapActivityType
13. MK-ST-F-010 nameEvidence
14. MK-NW-F-069 priceAtYield
… and 3 more — the full list is on functions_from_code</t>
        </is>
      </c>
      <c r="F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14" s="3" t="inlineStr">
        <is>
          <t>SWEPT FROM THE CODE 2026-08-26</t>
        </is>
      </c>
      <c r="H14" s="3" t="inlineStr">
        <is>
          <t>ACTIVE</t>
        </is>
      </c>
      <c r="I14" s="3" t="inlineStr">
        <is>
          <t>2026-10-09</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MK-CF-F-157 debtPaymentsByDebt
4. MK-CF-F-038 debtsFromOnboarding
5. MK-NW-F-094 ledgerGroups
6. MK-CF-F-034 payoffPlan
7. MK-CF-O-018 theDebts
8. MK-NW-O-004 theEmergencyFund
9. MK-CF-O-010 theMonth
10. MK-NW-O-003 theNetWorth
11. MK-CF-F-027 totalDebtBalance
12. MK-PL-F-036 weighGoals</t>
        </is>
      </c>
      <c r="F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G15" s="3" t="inlineStr">
        <is>
          <t>SWEPT FROM THE CODE 2026-08-26</t>
        </is>
      </c>
      <c r="H15" s="3" t="inlineStr">
        <is>
          <t>ACTIVE</t>
        </is>
      </c>
      <c r="I15" s="3" t="inlineStr">
        <is>
          <t>2026-10-02</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MK-CF-O-018 theDebts
7. MK-NW-O-004 theEmergencyFund
8. MK-CF-O-010 theMonth</t>
        </is>
      </c>
      <c r="F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G16" s="3" t="inlineStr">
        <is>
          <t>SWEPT FROM THE CODE 2026-08-26</t>
        </is>
      </c>
      <c r="H16" s="3" t="inlineStr">
        <is>
          <t>ACTIVE</t>
        </is>
      </c>
      <c r="I16" s="3" t="inlineStr">
        <is>
          <t>2026-10-02</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MK-CF-F-034 payoffPlan
6. MK-CF-F-023 requiredPayment
7. MK-CF-O-018 theDebts
8. MK-NW-O-004 theEmergencyFund
9. MK-CF-O-010 theMonth</t>
        </is>
      </c>
      <c r="F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G17" s="3" t="inlineStr">
        <is>
          <t>SWEPT FROM THE CODE 2026-08-26</t>
        </is>
      </c>
      <c r="H17" s="3" t="inlineStr">
        <is>
          <t>ACTIVE</t>
        </is>
      </c>
      <c r="I17" s="3" t="inlineStr">
        <is>
          <t>2026-10-02</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MK-CF-O-017 futurePaycheck
8. MK-NW-F-041 monthlyContributionsFromOnboarding
9. MK-PL-F-027 nextDecision
10. MK-CF-F-089 over65CountOf
11. MK-PL-F-026 planDoor
12. MK-XS-F-026 profileFromOnboarding
13. MK-PL-F-006 rmdDivisor
14. MK-ST-F-024 rmdStartAge
… and 6 more — the full list is on functions_from_code</t>
        </is>
      </c>
      <c r="F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G18" s="3" t="inlineStr">
        <is>
          <t>SWEPT FROM THE CODE 2026-08-26</t>
        </is>
      </c>
      <c r="H18" s="3" t="inlineStr">
        <is>
          <t>ACTIVE</t>
        </is>
      </c>
      <c r="I18" s="3" t="inlineStr">
        <is>
          <t>2026-10-07</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MK-XS-F-031 buildSnapshot
3. MK-PL-F-048 capitalNeeded
4. MK-CF-O-017 futurePaycheck
5. MK-PL-F-043 howTheGapCloses
6. MK-PL-F-046 leverDeltas
7. MK-PL-F-030 onCourseSentence
8. MK-PL-F-044 planTarget
9. MK-XS-F-026 profileFromOnboarding
10. MK-PL-F-055 projectNestEgg
11. MK-XS-F-174 recomputeBalances
12. MK-PL-F-035 retireAgeWithContribution
13. MK-XS-F-019 retirementHorizonYears
14. MK-PL-F-049 retirementSpendMonthly
… and 10 more — the full list is on functions_from_code</t>
        </is>
      </c>
      <c r="F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19" s="3" t="inlineStr">
        <is>
          <t>SWEPT FROM THE CODE 2026-08-26</t>
        </is>
      </c>
      <c r="H19" s="3" t="inlineStr">
        <is>
          <t>ACTIVE</t>
        </is>
      </c>
      <c r="I19" s="3" t="inlineStr">
        <is>
          <t>2026-10-03</t>
        </is>
      </c>
      <c r="J19" s="3" t="inlineStr">
        <is>
          <t>reach generated from the code each build</t>
        </is>
      </c>
    </row>
    <row r="20" ht="60"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MK-CF-M-055 · MK-CF-M-070 · 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MK-CF-F-210 annualOfSource
2. MK-CF-F-072 currentRetirementIncomeMonthly
3. MK-CF-O-017 futurePaycheck
4. MK-CF-F-076 guaranteedOutsideStreams
5. MK-CF-O-016 incomeSources
6. MK-CF-O-004 incomeSummary
7. MK-CF-F-075 retirementIncomeMonthly
8. MK-PL-F-049 retirementSpendMonthly
9. MK-PL-F-031 taxOrganizer</t>
        </is>
      </c>
      <c r="F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23" s="3" t="inlineStr">
        <is>
          <t>SWEPT FROM THE CODE 2026-08-26</t>
        </is>
      </c>
      <c r="H23" s="3" t="inlineStr">
        <is>
          <t>ACTIVE</t>
        </is>
      </c>
      <c r="I23" s="3" t="inlineStr">
        <is>
          <t>2026-10-04</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MK-CF-F-201 INCOME
2. MK-CF-F-210 annualOfSource
3. MK-XS-F-004 buildDatedGrid
4. MK-CF-F-020 cashflowYear
5. MK-CF-F-172 hasWage
6. MK-CF-F-079 incomeFromOnboarding
7. MK-CF-F-092 incomeMonthlyGrid
8. MK-CF-O-016 incomeSources
9. MK-CF-O-004 incomeSummary
10. MK-CF-F-181 rateInForce
11. MK-CF-F-082 salaryAnnual
12. MK-CF-F-165 salaryMonths
13. MK-PL-F-031 taxOrganizer
14. MK-CF-F-084 taxableAnnual
… and 5 more — the full list is on functions_from_code</t>
        </is>
      </c>
      <c r="F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24" s="3" t="inlineStr">
        <is>
          <t>SWEPT FROM THE CODE 2026-08-26</t>
        </is>
      </c>
      <c r="H24" s="3" t="inlineStr">
        <is>
          <t>ACTIVE</t>
        </is>
      </c>
      <c r="I24" s="3" t="inlineStr">
        <is>
          <t>2026-10-04</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MK-NW-F-079 EF
3. MK-NW-F-080 HOLD
4. MK-NW-F-085 PERF_ONE
5. MK-NW-F-101 PLAN
6. MK-NW-F-100 TREND
7. MK-CF-F-005 actualMonthFlow
8. MK-CF-F-151 actualSpending
9. MK-XS-F-057 analyzeExpenses
10. MK-CF-F-014 budgetVsActual
11. MK-XS-F-004 buildDatedGrid
12. MK-CF-F-107 buildPaycheckYear
13. MK-NW-F-084 categoryEarnings
14. MK-XS-F-100 connectionFreshness
… and 41 more — the full list is on functions_from_code</t>
        </is>
      </c>
      <c r="F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MK-NW-M-050 · MK-NW-M-051 · MK-NW-M-052 · MK-NW-M-059 · MK-NW-M-060 · MK-NW-M-061 · MK-NW-M-062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G25" s="3" t="inlineStr">
        <is>
          <t>SWEPT FROM THE CODE 2026-08-26</t>
        </is>
      </c>
      <c r="H25" s="3" t="inlineStr">
        <is>
          <t>ACTIVE</t>
        </is>
      </c>
      <c r="I25" s="3" t="inlineStr">
        <is>
          <t>2026-10-07</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MK-MN-M-024 · MK-MN-M-025 · MK-NW-M-046 · MK-NW-M-047 · MK-NW-M-048 · MK-NW-M-064</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MK-CF-O-017 futurePaycheck
3. MK-XS-F-174 recomputeBalances
4. MK-XS-F-175 uid
5. MK-PL-F-065 volOf
6. MK-PL-F-067 willItLastInputs</t>
        </is>
      </c>
      <c r="F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G27" s="3" t="inlineStr">
        <is>
          <t>SWEPT FROM THE CODE 2026-08-26</t>
        </is>
      </c>
      <c r="H27" s="3" t="inlineStr">
        <is>
          <t>ACTIVE</t>
        </is>
      </c>
      <c r="I27" s="3" t="inlineStr">
        <is>
          <t>2026-10-03</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MK-CF-F-204 line
8. MK-HM-F-006 money0
9. MK-PL-F-021 monthsToGoal
10. MK-PL-F-018 monthsUntil
11. MK-XS-F-001 planCompleteness
12. MK-XS-F-174 recomputeBalances
13. MK-PL-F-020 requiredMonthly
14. MK-PL-F-017 sinkingFund
… and 2 more — the full list is on functions_from_code</t>
        </is>
      </c>
      <c r="F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28" s="3" t="inlineStr">
        <is>
          <t>SWEPT FROM THE CODE 2026-08-26</t>
        </is>
      </c>
      <c r="H28" s="3" t="inlineStr">
        <is>
          <t>ACTIVE</t>
        </is>
      </c>
      <c r="I28" s="3" t="inlineStr">
        <is>
          <t>2026-10-02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MK-NW-F-101 PLAN
3. MK-NW-F-040 assetsFromOnboarding
4. MK-NW-F-039 buildAssetsState
5. MK-NW-F-052 buildItemizedAccounts
6. MK-PL-F-053 buildRetirementState
7. MK-XS-F-031 buildSnapshot
8. MK-CF-O-017 futurePaycheck
9. MK-XS-F-102 ingestSync
10. MK-NW-F-073 itemising
11. MK-NW-F-094 ledgerGroups
12. MK-PL-F-055 projectNestEgg
13. MK-PL-F-049 retirementSpendMonthly
14. MK-PL-F-050 simulate
… and 5 more — the full list is on functions_from_code</t>
        </is>
      </c>
      <c r="F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9" s="3" t="inlineStr">
        <is>
          <t>SWEPT FROM THE CODE 2026-08-26</t>
        </is>
      </c>
      <c r="H29" s="3" t="inlineStr">
        <is>
          <t>ACTIVE</t>
        </is>
      </c>
      <c r="I29" s="3" t="inlineStr">
        <is>
          <t>2026-10-03</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MK-NW-F-101 PLAN
2. MK-NW-F-100 TREND
3. MK-XS-F-057 analyzeExpenses
4. MK-PL-F-053 buildRetirementState
5. MK-XS-F-031 buildSnapshot
6. MK-PL-F-003 depletionAge
7. MK-XS-F-056 fetchEconomicData
8. MK-CF-O-017 futurePaycheck
9. MK-PL-F-055 projectNestEgg
10. MK-XS-F-174 recomputeBalances
11. MK-PL-F-049 retirementSpendMonthly
12. MK-PL-F-050 simulate
13. MK-CF-F-106 solveSafeDraw
14. MK-XS-F-175 uid
… and 3 more — the full list is on functions_from_code</t>
        </is>
      </c>
      <c r="F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30" s="3" t="inlineStr">
        <is>
          <t>SWEPT FROM THE CODE 2026-08-26</t>
        </is>
      </c>
      <c r="H30" s="3" t="inlineStr">
        <is>
          <t>ACTIVE</t>
        </is>
      </c>
      <c r="I30" s="3" t="inlineStr">
        <is>
          <t>2026-10-03</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10 more — the full list is on functions_from_code</t>
        </is>
      </c>
      <c r="F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31" s="3" t="inlineStr">
        <is>
          <t>SWEPT FROM THE CODE 2026-08-26</t>
        </is>
      </c>
      <c r="H31" s="3" t="inlineStr">
        <is>
          <t>ACTIVE</t>
        </is>
      </c>
      <c r="I31" s="3" t="inlineStr">
        <is>
          <t>2026-10-04</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MK-ST-F-083 accountValuesOn
2. MK-ST-F-028 buildDayFromAccounts
3. MK-ST-F-035 covers
4. MK-ST-F-084 fillBetweenObservations
5. MK-ST-F-037 pendingUpload
6. MK-ST-F-029 prune
7. MK-XS-F-009 readHistory
8. MK-ST-F-073 rebuildDays
9. MK-XS-F-174 recomputeBalances
10. MK-ST-F-036 reconcile
11. MK-ST-F-030 record
12. MK-XS-F-005 trendPoints
13. MK-XS-F-175 uid
14. MK-ST-F-072 undo
… and 2 more — the full list is on functions_from_code</t>
        </is>
      </c>
      <c r="F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MK-NW-M-050 · MK-NW-M-051 · MK-NW-M-052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G32" s="3" t="inlineStr">
        <is>
          <t>SWEPT FROM THE CODE 2026-08-26</t>
        </is>
      </c>
      <c r="H32" s="3" t="inlineStr">
        <is>
          <t>ACTIVE</t>
        </is>
      </c>
      <c r="I32" s="3" t="inlineStr">
        <is>
          <t>2026-10-04</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MK-CF-O-020 theBudgetCounted
9. MK-NW-O-004 theEmergencyFund
10. MK-CF-F-019 upcomingBills
11. MK-CF-O-008 whatsComing</t>
        </is>
      </c>
      <c r="F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33" s="3" t="inlineStr">
        <is>
          <t>SWEPT FROM THE CODE 2026-08-26</t>
        </is>
      </c>
      <c r="H33" s="3" t="inlineStr">
        <is>
          <t>ACTIVE</t>
        </is>
      </c>
      <c r="I33" s="3" t="inlineStr">
        <is>
          <t>2026-10-05</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MK-NW-F-113 altPartsOf
3. MK-NW-F-028 classPortionLabel
4. MK-CF-F-062 equityRowValue
5. MK-XS-F-102 ingestSync
6. MK-XS-F-106 mapOptionHolding
7. MK-XS-F-146 prettyExpiry
8. MK-PF-F-032 quantityUnit</t>
        </is>
      </c>
      <c r="F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G35" s="3" t="inlineStr">
        <is>
          <t>SWEPT FROM THE CODE 2026-08-26</t>
        </is>
      </c>
      <c r="H35" s="3" t="inlineStr">
        <is>
          <t>ACTIVE</t>
        </is>
      </c>
      <c r="I35" s="3" t="inlineStr">
        <is>
          <t>2026-10-07</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MK-CF-F-210 annualOfSource
2. MK-NW-F-035 blendedVolatility
3. MK-CF-F-072 currentRetirementIncomeMonthly
4. MK-CF-O-017 futurePaycheck
5. MK-CF-F-076 guaranteedOutsideStreams
6. MK-CF-F-075 retirementIncomeMonthly
7. MK-PL-F-049 retirementSpendMonthly</t>
        </is>
      </c>
      <c r="F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36" s="3" t="inlineStr">
        <is>
          <t>SWEPT FROM THE CODE 2026-08-26</t>
        </is>
      </c>
      <c r="H36" s="3" t="inlineStr">
        <is>
          <t>ACTIVE</t>
        </is>
      </c>
      <c r="I36" s="3" t="inlineStr">
        <is>
          <t>2026-10-03</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MK-CF-F-201 INCOME
2. MK-CF-F-044 annualNet
3. MK-CF-F-059 annualizedEnteredSalary
4. MK-XS-F-004 buildDatedGrid
5. MK-CF-F-020 cashflowYear
6. MK-CF-F-186 convertTakeHomeMode
7. MK-CF-F-072 currentRetirementIncomeMonthly
8. MK-CF-F-046 employerMatchAnnual
9. MK-CF-F-130 enteredMonthlyRaw
10. MK-CF-F-179 entryFromWage
11. MK-CF-F-071 extraIncome
12. MK-CF-F-076 guaranteedOutsideStreams
13. MK-CF-F-105 guaranteedRows
14. MK-CF-F-079 incomeFromOnboarding
… and 10 more — the full list is on functions_from_code</t>
        </is>
      </c>
      <c r="F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0" s="3" t="inlineStr">
        <is>
          <t>SWEPT FROM THE CODE 2026-08-26</t>
        </is>
      </c>
      <c r="H40" s="3" t="inlineStr">
        <is>
          <t>ACTIVE</t>
        </is>
      </c>
      <c r="I40" s="3" t="inlineStr">
        <is>
          <t>2026-10-04</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MK-CF-F-207 SOURCE
2. MK-CF-F-072 currentRetirementIncomeMonthly
3. MK-CF-O-017 futurePaycheck
4. MK-CF-F-105 guaranteedRows
5. MK-CF-O-016 incomeSources
6. MK-CF-F-019 upcomingBills</t>
        </is>
      </c>
      <c r="F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1" s="3" t="inlineStr">
        <is>
          <t>SWEPT FROM THE CODE 2026-08-26</t>
        </is>
      </c>
      <c r="H41" s="3" t="inlineStr">
        <is>
          <t>ACTIVE</t>
        </is>
      </c>
      <c r="I41" s="3" t="inlineStr">
        <is>
          <t>2026-10-03</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MK-NW-O-004 theEmergencyFund
13. MK-CF-O-010 theMonth</t>
        </is>
      </c>
      <c r="F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G43" s="3" t="inlineStr">
        <is>
          <t>SWEPT FROM THE CODE 2026-08-26</t>
        </is>
      </c>
      <c r="H43" s="3" t="inlineStr">
        <is>
          <t>ACTIVE</t>
        </is>
      </c>
      <c r="I43" s="3" t="inlineStr">
        <is>
          <t>2026-10-05</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MK-NW-F-101 PLAN
2. MK-XS-F-031 buildSnapshot
3. MK-XS-F-030 effectiveAnnualContribution
4. MK-CF-F-179 entryFromWage
5. MK-CF-F-206 householdK401ByMonth
6. MK-CF-F-188 householdPreTaxContributionsAnnual
7. MK-PL-F-043 howTheGapCloses
8. MK-CF-F-092 incomeMonthlyGrid
9. MK-NW-F-041 monthlyContributionsFromOnboarding
10. MK-PL-F-044 planTarget
11. MK-PL-F-055 projectNestEgg
12. MK-CF-F-181 rateInForce
13. MK-PL-F-041 requiredAnnualSaving
14. MK-PL-F-035 retireAgeWithContribution
… and 12 more — the full list is on functions_from_code</t>
        </is>
      </c>
      <c r="F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44" s="3" t="inlineStr">
        <is>
          <t>SWEPT FROM THE CODE 2026-08-26</t>
        </is>
      </c>
      <c r="H44" s="3" t="inlineStr">
        <is>
          <t>ACTIVE</t>
        </is>
      </c>
      <c r="I44" s="3" t="inlineStr">
        <is>
          <t>2026-10-04</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MK-CF-O-017 futurePaycheck
3. MK-XS-F-174 recomputeBalances
4. MK-PL-F-049 retirementSpendMonthly
5. MK-PL-F-068 selectWillItLast
6. MK-XS-F-175 uid
7. MK-PL-F-065 volOf
8. MK-PL-F-067 willItLastInputs</t>
        </is>
      </c>
      <c r="F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G45" s="3" t="inlineStr">
        <is>
          <t>SWEPT FROM THE CODE 2026-08-26</t>
        </is>
      </c>
      <c r="H45" s="3" t="inlineStr">
        <is>
          <t>ACTIVE</t>
        </is>
      </c>
      <c r="I45" s="3" t="inlineStr">
        <is>
          <t>2026-10-03</t>
        </is>
      </c>
      <c r="J45" s="3" t="inlineStr">
        <is>
          <t>reach generated from the code each build</t>
        </is>
      </c>
    </row>
    <row r="46" ht="60"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MK-CF-M-055 · MK-CF-M-070 · 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60"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1. MK-NW-F-041 monthlyContributionsFromOnboarding
2. MK-CF-F-178 wageMatchMonthly</t>
        </is>
      </c>
      <c r="F47" s="3" t="inlineStr">
        <is>
          <t>MK-CF-M-055 · MK-CF-M-070 · MK-MN-M-014 · MK-PL-M-008 · MK-PL-M-011 · MK-PL-M-029 · MK-PL-M-034 · MK-XS-M-002</t>
        </is>
      </c>
      <c r="G47" s="3" t="inlineStr">
        <is>
          <t>SWEPT FROM THE CODE 2026-08-26</t>
        </is>
      </c>
      <c r="H47" s="3" t="inlineStr">
        <is>
          <t>ACTIVE</t>
        </is>
      </c>
      <c r="I47" s="3" t="inlineStr">
        <is>
          <t>2026-10-07</t>
        </is>
      </c>
      <c r="J47" s="3" t="inlineStr">
        <is>
          <t>reach generated from the code each build</t>
        </is>
      </c>
    </row>
    <row r="48" ht="60"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MK-CF-M-055 · MK-CF-M-070 · 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MK-NW-F-096 CLASS_KEY_OF
2. MK-NW-F-095 CLASS_LABEL_OF
3. MK-NW-F-079 EF
4. MK-NW-F-080 HOLD
5. MK-NW-F-081 LB
6. MK-NW-F-082 NW
7. MK-NW-F-085 PERF_ONE
8. MK-NW-F-101 PLAN
9. MK-ST-F-027 accountId
10. MK-NW-F-011 assetClassOf
11. MK-ST-F-028 buildDayFromAccounts
12. MK-NW-F-052 buildItemizedAccounts
13. MK-NW-F-084 categoryEarnings
14. MK-XS-F-014 classifyHolding
… and 14 more — the full list is on functions_from_code</t>
        </is>
      </c>
      <c r="F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49" s="3" t="inlineStr">
        <is>
          <t>SWEPT FROM THE CODE 2026-08-26</t>
        </is>
      </c>
      <c r="H49" s="3" t="inlineStr">
        <is>
          <t>ACTIVE</t>
        </is>
      </c>
      <c r="I49" s="3" t="inlineStr">
        <is>
          <t>2026-10-07</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MK-PF-F-017 allocation
3. MK-NW-F-057 annualCoupon
4. MK-NW-F-060 approxYTM
5. MK-NW-F-056 bondInfo
6. MK-NW-F-064 bondRateSensitivity
7. MK-NW-F-061 bondSummary
8. MK-NW-F-059 currentYield
9. MK-NW-F-119 estimatedAccrued
10. MK-NW-F-069 priceAtYield
11. MK-NW-F-072 rowOf
12. MK-NW-O-001 theBonds
13. MK-NW-F-112 yearlyInterest</t>
        </is>
      </c>
      <c r="F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50" s="3" t="inlineStr">
        <is>
          <t>SWEPT FROM THE CODE 2026-08-26</t>
        </is>
      </c>
      <c r="H50" s="3" t="inlineStr">
        <is>
          <t>ACTIVE</t>
        </is>
      </c>
      <c r="I50" s="3" t="inlineStr">
        <is>
          <t>2026-10-09</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1. MK-NW-F-052 buildItemizedAccounts
2. MK-NW-F-032 earmarkedAmount
3. MK-CF-O-017 futurePaycheck</t>
        </is>
      </c>
      <c r="F51" s="3" t="inlineStr">
        <is>
          <t>MK-CF-M-022 · MK-CF-M-055 · MK-CF-M-070 · MK-NW-M-050 · MK-NW-M-051 · MK-NW-M-052 · MK-PL-M-001 · MK-PL-M-002 · MK-PL-M-008 · MK-PL-M-009 · MK-PL-M-011 · MK-PL-M-029 · MK-PL-M-034 · MK-XS-M-002</t>
        </is>
      </c>
      <c r="G51" s="3" t="inlineStr">
        <is>
          <t>SWEPT FROM THE CODE 2026-08-26</t>
        </is>
      </c>
      <c r="H51" s="3" t="inlineStr">
        <is>
          <t>ACTIVE</t>
        </is>
      </c>
      <c r="I51" s="3" t="inlineStr">
        <is>
          <t>2026-10-07</t>
        </is>
      </c>
      <c r="J51" s="3" t="inlineStr">
        <is>
          <t>reach generated from the code each build</t>
        </is>
      </c>
    </row>
    <row r="52" ht="60"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MK-CF-M-055 · MK-CF-M-070 · MK-PL-M-008 · MK-PL-M-011 · MK-PL-M-029 · MK-PL-M-034 · MK-XS-M-002</t>
        </is>
      </c>
      <c r="G52" s="3" t="inlineStr">
        <is>
          <t>SWEPT FROM THE CODE 2026-08-26</t>
        </is>
      </c>
      <c r="H52" s="3" t="inlineStr">
        <is>
          <t>ACTIVE</t>
        </is>
      </c>
      <c r="I52" s="3" t="inlineStr">
        <is>
          <t>2026-08-27</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53" s="3" t="inlineStr">
        <is>
          <t>SWEPT FROM THE CODE 2026-08-26</t>
        </is>
      </c>
      <c r="H53" s="3" t="inlineStr">
        <is>
          <t>ACTIVE</t>
        </is>
      </c>
      <c r="I53" s="3" t="inlineStr">
        <is>
          <t>2026-09-30</t>
        </is>
      </c>
      <c r="J53" s="3" t="inlineStr">
        <is>
          <t>reach generated from the code each build</t>
        </is>
      </c>
    </row>
    <row r="54" ht="6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MK-CF-M-055 · MK-CF-M-057 · MK-CF-M-058 · MK-CF-M-059 · MK-CF-M-070 · MK-CF-M-071 · MK-CF-M-072 · MK-CF-M-073 · MK-CF-M-074 · MK-CF-M-075 · MK-PL-M-031</t>
        </is>
      </c>
      <c r="G54" s="3" t="inlineStr">
        <is>
          <t>SWEPT FROM THE CODE 2026-08-26</t>
        </is>
      </c>
      <c r="H54" s="3" t="inlineStr">
        <is>
          <t>ACTIVE</t>
        </is>
      </c>
      <c r="I54" s="3" t="inlineStr">
        <is>
          <t>2026-08-27</t>
        </is>
      </c>
      <c r="J54" s="3" t="inlineStr">
        <is>
          <t>reach generated from the code each build</t>
        </is>
      </c>
    </row>
    <row r="55" ht="6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MK-CF-M-055 · MK-CF-M-057 · MK-CF-M-058 · MK-CF-M-059 · MK-CF-M-070 · MK-CF-M-071 · MK-CF-M-072 · MK-CF-M-073 · MK-CF-M-074 · MK-CF-M-075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MK-NW-F-082 NW
5. MK-NW-F-101 PLAN
6. MK-CF-F-207 SOURCE
7. MK-CF-F-202 TAX
8. MK-NW-F-005 accountAllowsTicker
9. MK-NW-F-025 accountDisplayName
10. MK-CF-F-005 actualMonthFlow
11. MK-CF-F-138 addLot
12. MK-PF-F-017 allocation
13. MK-NW-F-113 altPartsOf
14. MK-NW-F-002 alternativesSummary
… and 56 more — the full list is on functions_from_code</t>
        </is>
      </c>
      <c r="F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2026-10-07</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MK-NW-F-109 holdingClassOf
2. MK-XS-F-102 ingestSync
3. MK-NW-O-003 theNetWorth
4. MK-XS-F-175 uid</t>
        </is>
      </c>
      <c r="F57"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MK-XS-M-001 · MK-XS-M-003</t>
        </is>
      </c>
      <c r="G57" s="3" t="inlineStr">
        <is>
          <t>SWEPT FROM THE CODE 2026-08-26</t>
        </is>
      </c>
      <c r="H57" s="3" t="inlineStr">
        <is>
          <t>ACTIVE</t>
        </is>
      </c>
      <c r="I57" s="3" t="inlineStr">
        <is>
          <t>2026-10-05</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MK-CF-F-201 INCOME
2. MK-XS-F-004 buildDatedGrid
3. MK-CF-F-020 cashflowYear
4. MK-CF-F-079 incomeFromOnboarding
5. MK-CF-F-092 incomeMonthlyGrid
6. MK-CF-O-016 incomeSources
7. MK-CF-O-004 incomeSummary
8. MK-CF-F-088 taxableByCalendarMonth
9. MK-CF-O-019 theIncomeManager</t>
        </is>
      </c>
      <c r="F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60" s="3" t="inlineStr">
        <is>
          <t>SWEPT FROM THE CODE 2026-08-26</t>
        </is>
      </c>
      <c r="H60" s="3" t="inlineStr">
        <is>
          <t>ACTIVE</t>
        </is>
      </c>
      <c r="I60" s="3" t="inlineStr">
        <is>
          <t>2026-10-04</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MK-CF-O-016 incomeSources
5. MK-CF-F-185 needsTakeHomeConversion
6. MK-CF-O-007 theTaxOrganizer</t>
        </is>
      </c>
      <c r="F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61" s="3" t="inlineStr">
        <is>
          <t>SWEPT FROM THE CODE 2026-08-26</t>
        </is>
      </c>
      <c r="H61" s="3" t="inlineStr">
        <is>
          <t>ACTIVE</t>
        </is>
      </c>
      <c r="I61" s="3" t="inlineStr">
        <is>
          <t>2026-10-01</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MK-PF-F-003 avgCost
2. MK-PF-F-006 capGains
3. MK-PF-F-031 contractMultiplier
4. MK-PF-F-002 costBasis
5. MK-XS-F-106 mapOptionHolding
6. MK-PF-F-004 marketValue
7. MK-NW-O-006 theHolding</t>
        </is>
      </c>
      <c r="F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G64" s="3" t="inlineStr">
        <is>
          <t>SWEPT FROM THE CODE 2026-08-26</t>
        </is>
      </c>
      <c r="H64" s="3" t="inlineStr">
        <is>
          <t>ACTIVE</t>
        </is>
      </c>
      <c r="I64" s="3" t="inlineStr">
        <is>
          <t>2026-10-04</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MK-CF-F-211 DEBTS
5. MK-NW-F-079 EF
6. MK-NW-F-080 HOLD
7. MK-NW-F-081 LB
8. MK-CF-F-200 LINE
9. MK-NW-F-078 ONE
10. MK-CF-O-013 PAY_LANDS_TYPED
11. MK-NW-F-101 PLAN
12. MK-CF-F-199 ROOM
13. MK-CF-F-202 TAX
14. MK-CF-F-210 annualOfSource
… and 16 more — the full list is on functions_from_code</t>
        </is>
      </c>
      <c r="F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MK-NW-M-050 · MK-NW-M-051 · MK-NW-M-052 · MK-NW-M-059 · MK-NW-M-060 · MK-NW-M-061 · MK-NW-M-063 · MK-NW-M-064 · MK-PF-M-002 · MK-PF-M-003 · MK-PF-M-005 · MK-PF-M-006 · MK-PF-M-007 · MK-PF-M-008 · MK-PF-M-013 · MK-PF-M-014 · MK-PF-M-015 · MK-PF-M-016 · MK-PF-M-017 · MK-PF-M-018 · MK-PF-M-019 · MK-PF-M-020 · MK-XS-M-001 · MK-XS-M-003 · MK-XS-M-004 · MK-XS-M-005 · MK-XS-M-006</t>
        </is>
      </c>
      <c r="G65" s="3" t="inlineStr">
        <is>
          <t>SWEPT FROM THE CODE 2026-08-26</t>
        </is>
      </c>
      <c r="H65" s="3" t="inlineStr">
        <is>
          <t>ACTIVE</t>
        </is>
      </c>
      <c r="I65" s="3" t="inlineStr">
        <is>
          <t>2026-10-03</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MK-NW-F-060 approxYTM
3. MK-NW-F-056 bondInfo
4. MK-NW-F-072 rowOf</t>
        </is>
      </c>
      <c r="F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66" s="3" t="inlineStr">
        <is>
          <t>SWEPT FROM THE CODE 2026-08-26</t>
        </is>
      </c>
      <c r="H66" s="3" t="inlineStr">
        <is>
          <t>ACTIVE</t>
        </is>
      </c>
      <c r="I66" s="3" t="inlineStr">
        <is>
          <t>2026-10-09</t>
        </is>
      </c>
      <c r="J66" s="6" t="inlineStr">
        <is>
          <t>TESTED, NOT VERIFIED (A47) · reach generated from the code each build</t>
        </is>
      </c>
    </row>
  </sheetData>
  <autoFilter ref="A1:J6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6"/>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15" customHeight="1">
      <c r="A3" s="3" t="inlineStr">
        <is>
          <t>/add-account</t>
        </is>
      </c>
      <c r="B3" s="3" t="inlineStr">
        <is>
          <t>Cashflow · Home</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/income-detail</t>
        </is>
      </c>
      <c r="B21" s="3" t="inlineStr">
        <is>
          <t>Menu</t>
        </is>
      </c>
      <c r="C21" s="3" t="inlineStr">
        <is>
          <t>Yes</t>
        </is>
      </c>
      <c r="D21" s="3" t="inlineStr"/>
    </row>
    <row r="22" ht="15" customHeight="1">
      <c r="A22" s="3" t="inlineStr">
        <is>
          <t>/income-manager</t>
        </is>
      </c>
      <c r="B22" s="3" t="inlineStr">
        <is>
          <t>Cashflow · Home</t>
        </is>
      </c>
      <c r="C22" s="3" t="inlineStr">
        <is>
          <t>Yes</t>
        </is>
      </c>
      <c r="D22" s="3" t="inlineStr"/>
    </row>
    <row r="23" ht="15" customHeight="1">
      <c r="A23" s="3" t="inlineStr">
        <is>
          <t>/insights</t>
        </is>
      </c>
      <c r="B23" s="3" t="inlineStr">
        <is>
          <t>Menu</t>
        </is>
      </c>
      <c r="C23" s="3" t="inlineStr">
        <is>
          <t>Yes — what needs you today</t>
        </is>
      </c>
      <c r="D23" s="3" t="inlineStr"/>
    </row>
    <row r="24" ht="15" customHeight="1">
      <c r="A24" s="3" t="inlineStr">
        <is>
          <t>/insurance</t>
        </is>
      </c>
      <c r="B24" s="3" t="inlineStr">
        <is>
          <t>Menu</t>
        </is>
      </c>
      <c r="C24" s="3" t="inlineStr">
        <is>
          <t>Borderline — matters at 55, less at 70</t>
        </is>
      </c>
      <c r="D24" s="3" t="inlineStr"/>
    </row>
    <row r="25" ht="15" customHeight="1">
      <c r="A25" s="3" t="inlineStr">
        <is>
          <t>/invest</t>
        </is>
      </c>
      <c r="B25" s="3" t="inlineStr">
        <is>
          <t>Performance</t>
        </is>
      </c>
      <c r="C25" s="3" t="inlineStr">
        <is>
          <t>Yes — Performance</t>
        </is>
      </c>
      <c r="D25" s="3" t="inlineStr"/>
    </row>
    <row r="26" ht="30" customHeight="1">
      <c r="A26" s="3" t="inlineStr">
        <is>
          <t>/itemize</t>
        </is>
      </c>
      <c r="B26" s="3" t="inlineStr">
        <is>
          <t>Cashflow · Home · Networth · Performance · Plan</t>
        </is>
      </c>
      <c r="C26" s="3" t="inlineStr">
        <is>
          <t>Yes — splitting one lump into holdings</t>
        </is>
      </c>
      <c r="D26" s="3" t="inlineStr"/>
    </row>
    <row r="27" ht="15" customHeight="1">
      <c r="A27" s="3" t="inlineStr">
        <is>
          <t>/jobsafety</t>
        </is>
      </c>
      <c r="B27" s="3" t="inlineStr">
        <is>
          <t>Menu</t>
        </is>
      </c>
      <c r="C27" s="3" t="inlineStr">
        <is>
          <t>No — a working-age worry</t>
        </is>
      </c>
      <c r="D27" s="3" t="inlineStr"/>
    </row>
    <row r="28" ht="30" customHeight="1">
      <c r="A28" s="3" t="inlineStr">
        <is>
          <t>/look-back</t>
        </is>
      </c>
      <c r="B28" s="3" t="inlineStr">
        <is>
          <t>Cashflow · Home · Networth · Performance · Plan</t>
        </is>
      </c>
      <c r="C28" s="3" t="inlineStr">
        <is>
          <t>Borderline — interesting, not needed to trust a number</t>
        </is>
      </c>
      <c r="D28" s="3" t="inlineStr"/>
    </row>
    <row r="29" ht="15" customHeight="1">
      <c r="A29" s="3" t="inlineStr">
        <is>
          <t>/monthly-income</t>
        </is>
      </c>
      <c r="B29" s="3" t="inlineStr">
        <is>
          <t>Cashflow · Home · Plan</t>
        </is>
      </c>
      <c r="C29" s="3" t="inlineStr">
        <is>
          <t>Yes</t>
        </is>
      </c>
      <c r="D29" s="3" t="inlineStr"/>
    </row>
    <row r="30" ht="15" customHeight="1">
      <c r="A30" s="3" t="inlineStr">
        <is>
          <t>/multi-goal</t>
        </is>
      </c>
      <c r="B30" s="3" t="inlineStr">
        <is>
          <t>Plan</t>
        </is>
      </c>
      <c r="C30" s="3" t="inlineStr">
        <is>
          <t>Yes</t>
        </is>
      </c>
      <c r="D30" s="3" t="inlineStr"/>
    </row>
    <row r="31" ht="15" customHeight="1">
      <c r="A31" s="3" t="inlineStr">
        <is>
          <t>/onboarding</t>
        </is>
      </c>
      <c r="B31" s="3" t="inlineStr">
        <is>
          <t>Cashflow · Home</t>
        </is>
      </c>
      <c r="C31" s="3" t="inlineStr">
        <is>
          <t>Yes</t>
        </is>
      </c>
      <c r="D31" s="3" t="inlineStr"/>
    </row>
    <row r="32" ht="15" customHeight="1">
      <c r="A32" s="3" t="inlineStr">
        <is>
          <t>/other-investments</t>
        </is>
      </c>
      <c r="B32" s="3" t="inlineStr">
        <is>
          <t>Menu</t>
        </is>
      </c>
      <c r="C32" s="3" t="inlineStr">
        <is>
          <t>Yes — the things with no market price</t>
        </is>
      </c>
      <c r="D32" s="3" t="inlineStr"/>
    </row>
    <row r="33" ht="15" customHeight="1">
      <c r="A33" s="3" t="inlineStr">
        <is>
          <t>/performance</t>
        </is>
      </c>
      <c r="B33" s="3" t="inlineStr">
        <is>
          <t>Cashflow · Home · Plan</t>
        </is>
      </c>
      <c r="C33" s="3" t="inlineStr">
        <is>
          <t>Yes — a second route to Performance</t>
        </is>
      </c>
      <c r="D33" s="3" t="inlineStr"/>
    </row>
    <row r="34" ht="15" customHeight="1">
      <c r="A34" s="3" t="inlineStr">
        <is>
          <t>/plan</t>
        </is>
      </c>
      <c r="B34" s="3" t="inlineStr">
        <is>
          <t>Plan</t>
        </is>
      </c>
      <c r="C34" s="3" t="inlineStr">
        <is>
          <t>Yes — Plan</t>
        </is>
      </c>
      <c r="D34" s="3" t="inlineStr"/>
    </row>
    <row r="35" ht="15" customHeight="1">
      <c r="A35" s="3" t="inlineStr">
        <is>
          <t>/required-withdrawals</t>
        </is>
      </c>
      <c r="B35" s="3" t="inlineStr">
        <is>
          <t>Plan</t>
        </is>
      </c>
      <c r="C35" s="3" t="inlineStr">
        <is>
          <t>Yes — a 73+ obligation</t>
        </is>
      </c>
      <c r="D35" s="3" t="inlineStr"/>
    </row>
    <row r="36" ht="15" customHeight="1">
      <c r="A36" s="3" t="inlineStr">
        <is>
          <t>/retirement</t>
        </is>
      </c>
      <c r="B36" s="3" t="inlineStr">
        <is>
          <t>Cashflow · Home · Plan</t>
        </is>
      </c>
      <c r="C36" s="3" t="inlineStr">
        <is>
          <t>Yes — the cockpit</t>
        </is>
      </c>
      <c r="D36" s="3" t="inlineStr"/>
    </row>
    <row r="37" ht="15" customHeight="1">
      <c r="A37" s="3" t="inlineStr">
        <is>
          <t>/rewards</t>
        </is>
      </c>
      <c r="B37" s="3" t="inlineStr">
        <is>
          <t>Menu</t>
        </is>
      </c>
      <c r="C37" s="3" t="inlineStr">
        <is>
          <t>No — encouragement, not a number</t>
        </is>
      </c>
      <c r="D37" s="3" t="inlineStr"/>
    </row>
    <row r="38" ht="15" customHeight="1">
      <c r="A38" s="3" t="inlineStr">
        <is>
          <t>/roth</t>
        </is>
      </c>
      <c r="B38" s="3" t="inlineStr">
        <is>
          <t>Plan</t>
        </is>
      </c>
      <c r="C38" s="3" t="inlineStr">
        <is>
          <t>Yes — a 55-70 decision</t>
        </is>
      </c>
      <c r="D38" s="3" t="inlineStr"/>
    </row>
    <row r="39" ht="15" customHeight="1">
      <c r="A39" s="3" t="inlineStr">
        <is>
          <t>/settings</t>
        </is>
      </c>
      <c r="B39" s="3" t="inlineStr">
        <is>
          <t>Menu</t>
        </is>
      </c>
      <c r="C39" s="3" t="inlineStr">
        <is>
          <t>Yes — carries hide-balances and the lock</t>
        </is>
      </c>
      <c r="D39" s="3" t="inlineStr"/>
    </row>
    <row r="40" ht="15" customHeight="1">
      <c r="A40" s="3" t="inlineStr">
        <is>
          <t>/sharpen</t>
        </is>
      </c>
      <c r="B40" s="3" t="inlineStr">
        <is>
          <t>Plan</t>
        </is>
      </c>
      <c r="C40" s="3" t="inlineStr">
        <is>
          <t>Borderline — a way in, not a figure</t>
        </is>
      </c>
      <c r="D40" s="3" t="inlineStr"/>
    </row>
    <row r="41" ht="15" customHeight="1">
      <c r="A41" s="3" t="inlineStr">
        <is>
          <t>/ss-timing</t>
        </is>
      </c>
      <c r="B41" s="3" t="inlineStr">
        <is>
          <t>Plan</t>
        </is>
      </c>
      <c r="C41" s="3" t="inlineStr">
        <is>
          <t>Yes — a 55-70 decision</t>
        </is>
      </c>
      <c r="D41" s="3" t="inlineStr"/>
    </row>
    <row r="42" ht="15" customHeight="1">
      <c r="A42" s="3" t="inlineStr">
        <is>
          <t>/stress-test</t>
        </is>
      </c>
      <c r="B42" s="3" t="inlineStr">
        <is>
          <t>Menu</t>
        </is>
      </c>
      <c r="C42" s="3" t="inlineStr">
        <is>
          <t>Borderline</t>
        </is>
      </c>
      <c r="D42" s="3" t="inlineStr"/>
    </row>
    <row r="43" ht="15" customHeight="1">
      <c r="A43" s="3" t="inlineStr">
        <is>
          <t>/tax-organizer</t>
        </is>
      </c>
      <c r="B43" s="3" t="inlineStr">
        <is>
          <t>Menu</t>
        </is>
      </c>
      <c r="C43" s="3" t="inlineStr">
        <is>
          <t>Yes</t>
        </is>
      </c>
      <c r="D43" s="3" t="inlineStr"/>
    </row>
    <row r="44" ht="15" customHeight="1">
      <c r="A44" s="3" t="inlineStr">
        <is>
          <t>/tips</t>
        </is>
      </c>
      <c r="B44" s="3" t="inlineStr">
        <is>
          <t>Menu</t>
        </is>
      </c>
      <c r="C44" s="3" t="inlineStr">
        <is>
          <t>No — encouragement, not a number</t>
        </is>
      </c>
      <c r="D44" s="3" t="inlineStr"/>
    </row>
    <row r="45" ht="15" customHeight="1">
      <c r="A45" s="3" t="inlineStr">
        <is>
          <t>/what-if</t>
        </is>
      </c>
      <c r="B45" s="3" t="inlineStr">
        <is>
          <t>Menu</t>
        </is>
      </c>
      <c r="C45" s="3" t="inlineStr">
        <is>
          <t>Yes</t>
        </is>
      </c>
      <c r="D45" s="3" t="inlineStr"/>
    </row>
    <row r="46" ht="15" customHeight="1">
      <c r="A46" s="3" t="inlineStr">
        <is>
          <t>/will-it-last</t>
        </is>
      </c>
      <c r="B46" s="3" t="inlineStr">
        <is>
          <t>Plan</t>
        </is>
      </c>
      <c r="C46" s="3" t="inlineStr">
        <is>
          <t>Yes — the question the whole plan answers</t>
        </is>
      </c>
      <c r="D46" s="3" t="inlineStr"/>
    </row>
  </sheetData>
  <autoFilter ref="A1:D4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MK-NW-M-051 · MK-NW-M-052 · MK-NW-M-053 · MK-NW-M-054 · MK-NW-M-055 · MK-NW-M-056 · MK-NW-M-057 · MK-NW-M-058 · MK-NW-M-059 · MK-NW-M-061 · MK-NW-M-063 · MK-PL-M-016 · MK-PL-M-026 · MK-PL-M-033</t>
        </is>
      </c>
      <c r="D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2" s="3" t="inlineStr">
        <is>
          <t>PARTLY AGREES — declared but not reached: MK-NW-M-059, MK-NW-M-061, MK-PL-M-016, MK-PL-M-026, MK-PL-M-033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MK-NW-M-062,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MK-CF-M-070</t>
        </is>
      </c>
      <c r="D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MK-NW-M-051, MK-NW-M-052, MK-NW-M-053, MK-NW-M-054, MK-NW-M-055, MK-NW-M-056, MK-NW-M-057, MK-NW-M-058, MK-NW-M-062, MK-NW-M-063, MK-NW-M-064, MK-PF-M-002, MK-PF-M-003, MK-PF-M-005, MK-PF-M-006, MK-PF-M-007, MK-PF-M-008, MK-PF-M-013, MK-PF-M-014, MK-PF-M-015, MK-PF-M-016, MK-PF-M-017, MK-PF-M-018, MK-PF-M-019, MK-PF-M-020, MK-PL-M-001, MK-PL-M-002, MK-PL-M-008, MK-PL-M-009, MK-PL-M-011, MK-PL-M-029, MK-PL-M-034, MK-XS-M-001, MK-XS-M-002, MK-XS-M-003, MK-XS-M-004, MK-XS-M-005, MK-XS-M-006</t>
        </is>
      </c>
    </row>
    <row r="4" ht="60" customHeight="1">
      <c r="A4" s="3" t="inlineStr">
        <is>
          <t>MK-XS-I-003</t>
        </is>
      </c>
      <c r="B4" s="3" t="inlineStr">
        <is>
          <t>institution name</t>
        </is>
      </c>
      <c r="C4" s="3" t="inlineStr">
        <is>
          <t>MK-NW-M-008</t>
        </is>
      </c>
      <c r="D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MK-XS-M-001, MK-XS-M-003, MK-XS-M-004, MK-XS-M-005, MK-XS-M-006</t>
        </is>
      </c>
    </row>
    <row r="5" ht="60" customHeight="1">
      <c r="A5" s="3" t="inlineStr">
        <is>
          <t>MK-XS-I-004</t>
        </is>
      </c>
      <c r="B5" s="3" t="inlineStr">
        <is>
          <t>holding quantity (shares)</t>
        </is>
      </c>
      <c r="C5" s="3" t="inlineStr">
        <is>
          <t>MK-NW-M-040</t>
        </is>
      </c>
      <c r="D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6" ht="60" customHeight="1">
      <c r="A6" s="3" t="inlineStr">
        <is>
          <t>MK-XS-I-005</t>
        </is>
      </c>
      <c r="B6" s="3" t="inlineStr">
        <is>
          <t>holding price</t>
        </is>
      </c>
      <c r="C6" s="3" t="inlineStr">
        <is>
          <t>MK-CF-M-009 · MK-NW-M-040</t>
        </is>
      </c>
      <c r="D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E6" s="3" t="inlineStr">
        <is>
          <t>PARTLY AGREES — reached but not declared: MK-CF-M-001, MK-CF-M-002, MK-CF-M-003, MK-CF-M-006, MK-CF-M-007, MK-CF-M-008,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MK-NW-M-014, MK-NW-M-015, MK-NW-M-016, MK-NW-M-017, MK-NW-M-019, MK-NW-M-020, MK-NW-M-021, MK-NW-M-023, MK-NW-M-024, MK-NW-M-025, MK-NW-M-026, MK-NW-M-027, MK-NW-M-029, MK-NW-M-030, MK-NW-M-031,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MK-PF-M-010, MK-PF-M-011, MK-PF-M-012, MK-PF-M-013, MK-PF-M-014, MK-PF-M-015, MK-PF-M-016, MK-PF-M-017, MK-PF-M-018, MK-PF-M-019, MK-PF-M-020, MK-PL-M-001, MK-PL-M-002, MK-PL-M-008, MK-PL-M-009, MK-PL-M-011, MK-PL-M-029, MK-PL-M-034, MK-XS-M-001, MK-XS-M-002, MK-XS-M-003, MK-XS-M-004, MK-XS-M-005, MK-XS-M-006</t>
        </is>
      </c>
    </row>
    <row r="7" ht="60" customHeight="1">
      <c r="A7" s="3" t="inlineStr">
        <is>
          <t>MK-XS-I-006</t>
        </is>
      </c>
      <c r="B7" s="3" t="inlineStr">
        <is>
          <t>price fetched at</t>
        </is>
      </c>
      <c r="C7" s="3" t="inlineStr">
        <is>
          <t>MK-HM-M-001 · MK-NW-M-060 · MK-PF-M-006 · MK-PF-M-008 · MK-XS-M-004</t>
        </is>
      </c>
      <c r="D7" s="3" t="inlineStr">
        <is>
          <t>MK-HM-M-001 · MK-MN-M-016 · MK-NW-M-001 · MK-NW-M-002 · MK-NW-M-003 · MK-NW-M-004 · MK-NW-M-005 · MK-NW-M-006 · MK-NW-M-007 · MK-NW-M-008 · MK-NW-M-009 · MK-NW-M-011 · MK-NW-M-015 · MK-NW-M-016 · MK-NW-M-017 · MK-NW-M-049 · MK-NW-M-063 · MK-XS-M-001 · MK-XS-M-003</t>
        </is>
      </c>
      <c r="E7" s="3" t="inlineStr">
        <is>
          <t>PARTLY AGREES — declared but not reached: MK-NW-M-060, MK-PF-M-006, MK-PF-M-008, MK-XS-M-004  |  reached but not declared: MK-MN-M-016, MK-NW-M-001, MK-NW-M-002, MK-NW-M-003, MK-NW-M-004, MK-NW-M-005, MK-NW-M-006, MK-NW-M-007, MK-NW-M-008, MK-NW-M-009, MK-NW-M-011, MK-NW-M-015, MK-NW-M-016, MK-NW-M-017, MK-NW-M-049, MK-NW-M-063, MK-XS-M-001, MK-XS-M-003</t>
        </is>
      </c>
    </row>
    <row r="8" ht="60" customHeight="1">
      <c r="A8" s="3" t="inlineStr">
        <is>
          <t>MK-XS-I-007</t>
        </is>
      </c>
      <c r="B8" s="3" t="inlineStr">
        <is>
          <t>purchase price and date (per lot)</t>
        </is>
      </c>
      <c r="C8" s="3" t="inlineStr">
        <is>
          <t>—</t>
        </is>
      </c>
      <c r="D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MK-PL-M-017 · MK-PL-M-018 · MK-PL-M-019 · MK-PL-M-032</t>
        </is>
      </c>
      <c r="D9" s="3" t="inlineStr">
        <is>
          <t>MK-MN-M-016 · MK-NW-M-001 · MK-NW-M-002 · MK-NW-M-003 · MK-NW-M-004 · MK-NW-M-005 · MK-NW-M-006 · MK-NW-M-007 · MK-NW-M-008 · MK-NW-M-009 · MK-NW-M-011 · MK-NW-M-015 · MK-NW-M-016 · MK-NW-M-017 · MK-NW-M-019 · MK-NW-M-020 · MK-NW-M-021 · MK-NW-M-038 · MK-NW-M-039 · MK-NW-M-040 · MK-NW-M-049 · MK-NW-M-062 · MK-NW-M-063 · MK-XS-M-001 · MK-XS-M-003</t>
        </is>
      </c>
      <c r="E9" s="3" t="inlineStr">
        <is>
          <t>PARTLY AGREES — declared but not reached: MK-PL-M-017, MK-PL-M-018, MK-PL-M-019, MK-PL-M-032  |  reached but not declared: MK-MN-M-016, MK-NW-M-001, MK-NW-M-002, MK-NW-M-003, MK-NW-M-004, MK-NW-M-005, MK-NW-M-006, MK-NW-M-007, MK-NW-M-008, MK-NW-M-009, MK-NW-M-011, MK-NW-M-015, MK-NW-M-016, MK-NW-M-017, MK-NW-M-019, MK-NW-M-020, MK-NW-M-021, MK-NW-M-038, MK-NW-M-039, MK-NW-M-040, MK-NW-M-049, MK-NW-M-062, MK-NW-M-063, MK-XS-M-001, MK-XS-M-003</t>
        </is>
      </c>
    </row>
    <row r="10" ht="60" customHeight="1">
      <c r="A10" s="3" t="inlineStr">
        <is>
          <t>MK-XS-I-009</t>
        </is>
      </c>
      <c r="B10" s="3" t="inlineStr">
        <is>
          <t>transaction date</t>
        </is>
      </c>
      <c r="C10" s="3" t="inlineStr">
        <is>
          <t>—</t>
        </is>
      </c>
      <c r="D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t>
        </is>
      </c>
      <c r="D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2" s="3" t="inlineStr">
        <is>
          <t>REACHED BUT NOT DECLARED — functions reading this input serve these figures, but no figure lists it among its inputs.</t>
        </is>
      </c>
    </row>
    <row r="13" ht="60" customHeight="1">
      <c r="A13" s="3" t="inlineStr">
        <is>
          <t>MK-XS-I-012</t>
        </is>
      </c>
      <c r="B13" s="3" t="inlineStr">
        <is>
          <t>bond coupon rate</t>
        </is>
      </c>
      <c r="C13" s="3" t="inlineStr">
        <is>
          <t>—</t>
        </is>
      </c>
      <c r="D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MK-CF-M-057 · MK-CF-M-058 · MK-CF-M-059 · MK-CF-M-074 · MK-CF-M-075 · MK-NW-M-016</t>
        </is>
      </c>
      <c r="D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E1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MK-MN-M-006, MK-MN-M-007, MK-MN-M-011, MK-MN-M-012, MK-MN-M-013, MK-MN-M-016, MK-MN-M-024, MK-MN-M-025, MK-MN-M-030, MK-NW-M-001, MK-NW-M-002, MK-NW-M-003, MK-NW-M-004, MK-NW-M-005, MK-NW-M-006, MK-NW-M-007, MK-NW-M-008, MK-NW-M-009, MK-NW-M-011, MK-NW-M-012, MK-NW-M-015, MK-NW-M-017, MK-NW-M-046, MK-NW-M-047, MK-NW-M-048, MK-NW-M-049, MK-NW-M-050, MK-NW-M-051, MK-NW-M-052, MK-NW-M-063, MK-NW-M-064, MK-PF-M-002, MK-PF-M-003, MK-PF-M-005, MK-PF-M-006, MK-PF-M-007, MK-PF-M-008, MK-PF-M-013, MK-PF-M-014, MK-PF-M-015, MK-PF-M-016, MK-PF-M-017, MK-PF-M-018, MK-PF-M-019, MK-PF-M-020, MK-PL-M-031, MK-XS-M-001, MK-XS-M-003, MK-XS-M-004, MK-XS-M-005, MK-XS-M-006</t>
        </is>
      </c>
    </row>
    <row r="16" ht="60" customHeight="1">
      <c r="A16" s="3" t="inlineStr">
        <is>
          <t>MK-XS-I-015</t>
        </is>
      </c>
      <c r="B16" s="3" t="inlineStr">
        <is>
          <t>debt interest rate</t>
        </is>
      </c>
      <c r="C16" s="3" t="inlineStr">
        <is>
          <t>MK-CF-M-057 · MK-CF-M-058 · MK-CF-M-059</t>
        </is>
      </c>
      <c r="D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E1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MK-PL-M-031, MK-XS-M-001, MK-XS-M-003, MK-XS-M-004, MK-XS-M-005, MK-XS-M-006</t>
        </is>
      </c>
    </row>
    <row r="17" ht="60" customHeight="1">
      <c r="A17" s="3" t="inlineStr">
        <is>
          <t>MK-XS-I-016</t>
        </is>
      </c>
      <c r="B17" s="3" t="inlineStr">
        <is>
          <t>debt minimum payment</t>
        </is>
      </c>
      <c r="C17" s="3" t="inlineStr">
        <is>
          <t>MK-CF-M-058 · MK-CF-M-059 · MK-CF-M-071 · MK-CF-M-072 · MK-CF-M-073</t>
        </is>
      </c>
      <c r="D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E17"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MK-CF-M-060, MK-CF-M-061, MK-CF-M-062, MK-CF-M-063, MK-CF-M-066, MK-CF-M-069, MK-CF-M-070,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MK-NW-M-050, MK-NW-M-051, MK-NW-M-052, MK-NW-M-063, MK-NW-M-064, MK-PF-M-002, MK-PF-M-003, MK-PF-M-005, MK-PF-M-006, MK-PF-M-007, MK-PF-M-008, MK-PF-M-013, MK-PF-M-014, MK-PF-M-015, MK-PF-M-016, MK-PF-M-017, MK-PF-M-018, MK-PF-M-019, MK-PF-M-020, MK-PL-M-001, MK-PL-M-002, MK-PL-M-008, MK-PL-M-009, MK-PL-M-011, MK-PL-M-026, MK-PL-M-029, MK-PL-M-031, MK-PL-M-033, MK-PL-M-034, MK-XS-M-001, MK-XS-M-002, MK-XS-M-003, MK-XS-M-004, MK-XS-M-005, MK-XS-M-006</t>
        </is>
      </c>
    </row>
    <row r="18" ht="60" customHeight="1">
      <c r="A18" s="3" t="inlineStr">
        <is>
          <t>MK-XS-I-017</t>
        </is>
      </c>
      <c r="B18" s="3" t="inlineStr">
        <is>
          <t>birth year</t>
        </is>
      </c>
      <c r="C18" s="3" t="inlineStr">
        <is>
          <t>MK-CF-M-022 · MK-PL-M-001 · MK-PL-M-002 · MK-PL-M-008 · MK-PL-M-011 · MK-PL-M-017 · MK-PL-M-019 · MK-PL-M-029</t>
        </is>
      </c>
      <c r="D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E18"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MK-PL-M-026, MK-PL-M-033, MK-PL-M-034, MK-XS-M-001, MK-XS-M-002, MK-XS-M-003, MK-XS-M-004, MK-XS-M-005, MK-XS-M-006</t>
        </is>
      </c>
    </row>
    <row r="19" ht="60" customHeight="1">
      <c r="A19" s="3" t="inlineStr">
        <is>
          <t>MK-XS-I-018</t>
        </is>
      </c>
      <c r="B19" s="3" t="inlineStr">
        <is>
          <t>retirement age</t>
        </is>
      </c>
      <c r="C19" s="3" t="inlineStr">
        <is>
          <t>MK-CF-M-022 · MK-CF-M-055 · MK-PL-M-017 · MK-PL-M-019</t>
        </is>
      </c>
      <c r="D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19" s="3" t="inlineStr">
        <is>
          <t>PARTLY AGREES — declared but not reached: MK-PL-M-017, MK-PL-M-019  |  reached but not declared: MK-CF-M-070, MK-MN-M-016, MK-NW-M-001, MK-NW-M-002, MK-NW-M-003, MK-NW-M-004, MK-NW-M-005, MK-NW-M-006, MK-NW-M-007, MK-NW-M-008, MK-NW-M-009, MK-NW-M-011, MK-NW-M-015, MK-NW-M-016, MK-NW-M-017, MK-NW-M-049, MK-NW-M-063,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MK-CF-M-055 · MK-CF-M-070 · 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MK-CF-M-011 · MK-CF-M-022 · MK-CF-M-023 · MK-CF-M-024 · MK-CF-M-069 · MK-PF-M-007 · MK-PL-M-017 · MK-PL-M-019 · MK-XS-M-004</t>
        </is>
      </c>
      <c r="D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E21" s="3" t="inlineStr">
        <is>
          <t>PARTLY AGREES — reached but not declared: MK-CF-M-001, MK-CF-M-002, MK-CF-M-003, MK-CF-M-006, MK-CF-M-007, MK-CF-M-008, MK-CF-M-009, MK-CF-M-010, MK-CF-M-012, MK-CF-M-013, MK-CF-M-014, MK-CF-M-015, MK-CF-M-016, MK-CF-M-020, MK-CF-M-021,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MK-PF-M-008, MK-PF-M-013, MK-PF-M-014, MK-PF-M-015, MK-PF-M-016, MK-PF-M-017, MK-PF-M-018, MK-PF-M-019, MK-PF-M-020,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E22" s="3" t="inlineStr">
        <is>
          <t>PARTLY AGREES — declared but not reached: MK-CF-M-030  |  reached but not declared: MK-CF-M-055, MK-CF-M-070, MK-MN-M-016, MK-NW-M-001, MK-NW-M-002, MK-NW-M-003, MK-NW-M-004, MK-NW-M-005, MK-NW-M-006, MK-NW-M-007, MK-NW-M-008, MK-NW-M-009, MK-NW-M-011, MK-NW-M-015, MK-NW-M-016, MK-NW-M-017, MK-NW-M-049, MK-NW-M-063, MK-PL-M-008, MK-PL-M-011, MK-PL-M-029, MK-PL-M-034, MK-XS-M-001, MK-XS-M-002, MK-XS-M-003</t>
        </is>
      </c>
    </row>
    <row r="23" ht="60" customHeight="1">
      <c r="A23" s="3" t="inlineStr">
        <is>
          <t>MK-XS-I-022</t>
        </is>
      </c>
      <c r="B23" s="3" t="inlineStr">
        <is>
          <t>pension monthly amount</t>
        </is>
      </c>
      <c r="C23" s="3" t="inlineStr">
        <is>
          <t>MK-CF-M-011 · MK-CF-M-023 · MK-CF-M-024 · MK-CF-M-069</t>
        </is>
      </c>
      <c r="D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23"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MK-PL-M-029, MK-PL-M-032, MK-PL-M-034, MK-XS-M-001, MK-XS-M-002, MK-XS-M-003, MK-XS-M-004, MK-XS-M-005, MK-XS-M-006</t>
        </is>
      </c>
    </row>
    <row r="24" ht="60" customHeight="1">
      <c r="A24" s="3" t="inlineStr">
        <is>
          <t>MK-XS-I-023</t>
        </is>
      </c>
      <c r="B24" s="3" t="inlineStr">
        <is>
          <t>salary and other income</t>
        </is>
      </c>
      <c r="C24" s="3" t="inlineStr">
        <is>
          <t>MK-CF-M-002 · MK-CF-M-004 · MK-CF-M-006 · MK-CF-M-007 · MK-CF-M-020 · MK-CF-M-027 · MK-CF-M-060 · MK-CF-M-061 · MK-MN-M-003 · MK-MN-M-004 · MK-MN-M-005 · MK-MN-M-027 · MK-MN-M-028 · MK-MN-M-029</t>
        </is>
      </c>
      <c r="D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24" s="3" t="inlineStr">
        <is>
          <t>PARTLY AGREES — declared but not reached: MK-CF-M-004, MK-MN-M-003, MK-MN-M-004, MK-MN-M-005, MK-MN-M-029  |  reached but not declared: MK-CF-M-001, MK-CF-M-003, MK-CF-M-008, MK-CF-M-009, MK-CF-M-010, MK-CF-M-011, MK-CF-M-012, MK-CF-M-013, MK-CF-M-014, MK-CF-M-015, MK-CF-M-016, MK-CF-M-021, MK-CF-M-022, MK-CF-M-024,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MK-CF-M-062, MK-CF-M-063, MK-CF-M-066, MK-CF-M-069, MK-CF-M-070, MK-CF-M-071, MK-CF-M-072, MK-CF-M-073, MK-CF-M-074, MK-CF-M-075, MK-MN-M-006, MK-MN-M-007, MK-MN-M-011, MK-MN-M-012, MK-MN-M-013, MK-MN-M-014,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25" ht="60" customHeight="1">
      <c r="A25" s="3" t="inlineStr">
        <is>
          <t>MK-XS-I-024</t>
        </is>
      </c>
      <c r="B25" s="3" t="inlineStr">
        <is>
          <t>logged expenses</t>
        </is>
      </c>
      <c r="C25" s="3" t="inlineStr">
        <is>
          <t>MK-CF-M-032 · MK-CF-M-033 · MK-CF-M-043 · MK-CF-M-044 · MK-MN-M-007 · MK-PL-M-001 · MK-PL-M-002 · MK-PL-M-008 · MK-PL-M-009 · MK-PL-M-011 · MK-PL-M-029</t>
        </is>
      </c>
      <c r="D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MK-NW-M-050 · MK-NW-M-051 · MK-NW-M-052 · MK-NW-M-059 · MK-NW-M-060 · MK-NW-M-061 · MK-NW-M-062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E25" s="3" t="inlineStr">
        <is>
          <t>PARTLY AGREES — reached but not declared: MK-CF-M-001, MK-CF-M-002, MK-CF-M-003, MK-CF-M-006, MK-CF-M-007, MK-CF-M-008, MK-CF-M-009, MK-CF-M-010, MK-CF-M-011, MK-CF-M-012, MK-CF-M-013, MK-CF-M-014, MK-CF-M-015, MK-CF-M-016, MK-CF-M-020, MK-CF-M-021, MK-CF-M-022, MK-CF-M-024, MK-CF-M-027, MK-CF-M-028, MK-CF-M-030, MK-CF-M-031, MK-CF-M-034, MK-CF-M-035, MK-CF-M-036, MK-CF-M-037, MK-CF-M-038, MK-CF-M-039, MK-CF-M-040, MK-CF-M-041, MK-CF-M-042,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MK-MN-M-020, MK-MN-M-021, MK-MN-M-024, MK-MN-M-025, MK-MN-M-026, MK-MN-M-027, MK-MN-M-028, MK-MN-M-030, MK-NW-M-001, MK-NW-M-002, MK-NW-M-003, MK-NW-M-004, MK-NW-M-005, MK-NW-M-006, MK-NW-M-007, MK-NW-M-008, MK-NW-M-009, MK-NW-M-011, MK-NW-M-012, MK-NW-M-013, MK-NW-M-014, MK-NW-M-015, MK-NW-M-016, MK-NW-M-017, MK-NW-M-019, MK-NW-M-020, MK-NW-M-021, MK-NW-M-029, MK-NW-M-030, MK-NW-M-031, MK-NW-M-033, MK-NW-M-034, MK-NW-M-035, MK-NW-M-036, MK-NW-M-037, MK-NW-M-038, MK-NW-M-039, MK-NW-M-040, MK-NW-M-046, MK-NW-M-047, MK-NW-M-048, MK-NW-M-049, MK-NW-M-050, MK-NW-M-051, MK-NW-M-052, MK-NW-M-059, MK-NW-M-060, MK-NW-M-061, MK-NW-M-062, MK-NW-M-063, MK-NW-M-064, MK-PF-M-002, MK-PF-M-003, MK-PF-M-005, MK-PF-M-006, MK-PF-M-007, MK-PF-M-008, MK-PF-M-013, MK-PF-M-014, MK-PF-M-015, MK-PF-M-016, MK-PF-M-017, MK-PF-M-018, MK-PF-M-019, MK-PF-M-020, MK-PL-M-026, MK-PL-M-033, MK-PL-M-034, MK-XS-M-001, MK-XS-M-002, MK-XS-M-003, MK-XS-M-004, MK-XS-M-005, MK-XS-M-006</t>
        </is>
      </c>
    </row>
    <row r="26" ht="60" customHeight="1">
      <c r="A26" s="3" t="inlineStr">
        <is>
          <t>MK-XS-I-025</t>
        </is>
      </c>
      <c r="B26" s="3" t="inlineStr">
        <is>
          <t>typical monthly essentials</t>
        </is>
      </c>
      <c r="C26" s="3" t="inlineStr">
        <is>
          <t>MK-CF-M-033</t>
        </is>
      </c>
      <c r="D26" s="3" t="inlineStr">
        <is>
          <t>MK-MN-M-024 · MK-MN-M-025 · MK-NW-M-046 · MK-NW-M-047 · MK-NW-M-048 · MK-NW-M-064</t>
        </is>
      </c>
      <c r="E26" s="3" t="inlineStr">
        <is>
          <t>PARTLY AGREES — declared but not reached: MK-CF-M-033  |  reached but not declared: MK-MN-M-024, MK-MN-M-025, MK-NW-M-046, MK-NW-M-047, MK-NW-M-048, MK-NW-M-064</t>
        </is>
      </c>
    </row>
    <row r="27" ht="60" customHeight="1">
      <c r="A27" s="3" t="inlineStr">
        <is>
          <t>MK-XS-I-026</t>
        </is>
      </c>
      <c r="B27" s="3" t="inlineStr">
        <is>
          <t>big costs (amount and year)</t>
        </is>
      </c>
      <c r="C27" s="3" t="inlineStr">
        <is>
          <t>—</t>
        </is>
      </c>
      <c r="D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MK-CF-M-020 · MK-CF-M-021</t>
        </is>
      </c>
      <c r="D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28" s="3" t="inlineStr">
        <is>
          <t>PARTLY AGREES — reached but not declared: MK-CF-M-001, MK-CF-M-002, MK-CF-M-003, MK-CF-M-006, MK-CF-M-007, MK-CF-M-008, MK-CF-M-009, MK-CF-M-010, MK-CF-M-011, MK-CF-M-012, MK-CF-M-013, MK-CF-M-014, MK-CF-M-015, MK-CF-M-016,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MK-MN-M-009,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29" ht="60" customHeight="1">
      <c r="A29" s="3" t="inlineStr">
        <is>
          <t>MK-XS-I-028</t>
        </is>
      </c>
      <c r="B29" s="3" t="inlineStr">
        <is>
          <t>assumed return</t>
        </is>
      </c>
      <c r="C29" s="3" t="inlineStr">
        <is>
          <t>MK-CF-M-022 · MK-CF-M-055</t>
        </is>
      </c>
      <c r="D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9"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MK-PL-M-008, MK-PL-M-009, MK-PL-M-011, MK-PL-M-026, MK-PL-M-029, MK-PL-M-033, MK-PL-M-034, MK-XS-M-001, MK-XS-M-002, MK-XS-M-003, MK-XS-M-004, MK-XS-M-005, MK-XS-M-006</t>
        </is>
      </c>
    </row>
    <row r="30" ht="60" customHeight="1">
      <c r="A30" s="3" t="inlineStr">
        <is>
          <t>MK-XS-I-029</t>
        </is>
      </c>
      <c r="B30" s="3" t="inlineStr">
        <is>
          <t>inflation rate</t>
        </is>
      </c>
      <c r="C30" s="3" t="inlineStr">
        <is>
          <t>—</t>
        </is>
      </c>
      <c r="D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MK-MN-M-003 · MK-MN-M-007 · MK-MN-M-028</t>
        </is>
      </c>
      <c r="D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31" s="3" t="inlineStr">
        <is>
          <t>PARTLY AGREES — declared but not reached: MK-MN-M-003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MK-MN-M-024, MK-MN-M-025, MK-MN-M-027,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32" ht="60" customHeight="1">
      <c r="A32" s="3" t="inlineStr">
        <is>
          <t>MK-XS-I-031</t>
        </is>
      </c>
      <c r="B32" s="3" t="inlineStr">
        <is>
          <t>daily and monthly snapshots</t>
        </is>
      </c>
      <c r="C32" s="3" t="inlineStr">
        <is>
          <t>MK-NW-M-001 · MK-NW-M-003</t>
        </is>
      </c>
      <c r="D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MK-NW-M-050 · MK-NW-M-051 · MK-NW-M-052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E3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MK-NW-M-002, MK-NW-M-004, MK-NW-M-005, MK-NW-M-006, MK-NW-M-007, MK-NW-M-008, MK-NW-M-009, MK-NW-M-011, MK-NW-M-012, MK-NW-M-015, MK-NW-M-016, MK-NW-M-017, MK-NW-M-019, MK-NW-M-020, MK-NW-M-021, MK-NW-M-038, MK-NW-M-039, MK-NW-M-040, MK-NW-M-046, MK-NW-M-047, MK-NW-M-048, MK-NW-M-049, MK-NW-M-050, MK-NW-M-051, MK-NW-M-052, MK-NW-M-062, MK-NW-M-063, MK-NW-M-064, MK-PF-M-001, MK-PF-M-002, MK-PF-M-003, MK-PF-M-004, MK-PF-M-005, MK-PF-M-006, MK-PF-M-007, MK-PF-M-008, MK-PF-M-013, MK-PF-M-014, MK-PF-M-015, MK-PF-M-016, MK-PF-M-017, MK-PF-M-018, MK-PF-M-019, MK-PF-M-020, MK-PL-M-008, MK-PL-M-011, MK-PL-M-029, MK-PL-M-034, MK-XS-M-001, MK-XS-M-002, MK-XS-M-003, MK-XS-M-004, MK-XS-M-005, MK-XS-M-006</t>
        </is>
      </c>
    </row>
    <row r="33" ht="60" customHeight="1">
      <c r="A33" s="3" t="inlineStr">
        <is>
          <t>MK-XS-I-032</t>
        </is>
      </c>
      <c r="B33" s="3" t="inlineStr">
        <is>
          <t>expenses categories the person set up</t>
        </is>
      </c>
      <c r="C33" s="3" t="inlineStr">
        <is>
          <t>MK-MN-M-007</t>
        </is>
      </c>
      <c r="D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3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MK-MN-M-010,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MK-CF-M-011 · MK-CF-M-023 · MK-CF-M-024 · MK-CF-M-069</t>
        </is>
      </c>
      <c r="D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36"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MK-PL-M-029, MK-PL-M-032, MK-PL-M-034, MK-XS-M-001, MK-XS-M-002, MK-XS-M-003, MK-XS-M-004, MK-XS-M-005, MK-XS-M-006</t>
        </is>
      </c>
    </row>
    <row r="37" ht="60" customHeight="1">
      <c r="A37" s="3" t="inlineStr">
        <is>
          <t>MK-XS-I-036</t>
        </is>
      </c>
      <c r="B37" s="3" t="inlineStr">
        <is>
          <t>other guaranteed income</t>
        </is>
      </c>
      <c r="C37" s="3" t="inlineStr">
        <is>
          <t>MK-CF-M-011 · MK-CF-M-023 · MK-CF-M-024 · MK-CF-M-069</t>
        </is>
      </c>
      <c r="D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E37"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MK-PL-M-026, MK-PL-M-029, MK-PL-M-032, MK-PL-M-033, MK-PL-M-034, MK-XS-M-001, MK-XS-M-002, MK-XS-M-003, MK-XS-M-004, MK-XS-M-005, MK-XS-M-006</t>
        </is>
      </c>
    </row>
    <row r="38" ht="60" customHeight="1">
      <c r="A38" s="3" t="inlineStr">
        <is>
          <t>MK-XS-I-037</t>
        </is>
      </c>
      <c r="B38" s="3" t="inlineStr">
        <is>
          <t>required-withdrawal income stream (ri_rmd)</t>
        </is>
      </c>
      <c r="C38" s="3" t="inlineStr">
        <is>
          <t>—</t>
        </is>
      </c>
      <c r="D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8" s="3" t="inlineStr">
        <is>
          <t>REACHED BUT NOT DECLARED — functions reading this input serve these figures, but no figure lists it among its inputs.</t>
        </is>
      </c>
    </row>
    <row r="39" ht="60" customHeight="1">
      <c r="A39" s="3" t="inlineStr">
        <is>
          <t>MK-XS-I-038</t>
        </is>
      </c>
      <c r="B39" s="3" t="inlineStr">
        <is>
          <t>withdrawal income stream (ri_withdrawals)</t>
        </is>
      </c>
      <c r="C39" s="3" t="inlineStr">
        <is>
          <t>—</t>
        </is>
      </c>
      <c r="D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9" s="3" t="inlineStr">
        <is>
          <t>REACHED BUT NOT DECLARED — functions reading this input serve these figures, but no figure lists it among its inputs.</t>
        </is>
      </c>
    </row>
    <row r="40" ht="60" customHeight="1">
      <c r="A40" s="3" t="inlineStr">
        <is>
          <t>MK-XS-I-039</t>
        </is>
      </c>
      <c r="B40" s="3" t="inlineStr">
        <is>
          <t>how often each income arrives</t>
        </is>
      </c>
      <c r="C40" s="3" t="inlineStr">
        <is>
          <t>—</t>
        </is>
      </c>
      <c r="D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0" s="3" t="inlineStr">
        <is>
          <t>REACHED BUT NOT DECLARED — functions reading this input serve these figures, but no figure lists it among its inputs.</t>
        </is>
      </c>
    </row>
    <row r="41" ht="60" customHeight="1">
      <c r="A41" s="3" t="inlineStr">
        <is>
          <t>MK-XS-I-040</t>
        </is>
      </c>
      <c r="B41" s="3" t="inlineStr">
        <is>
          <t>whether a stream is already being received</t>
        </is>
      </c>
      <c r="C41" s="3" t="inlineStr">
        <is>
          <t>MK-PL-M-018 · MK-PL-M-032</t>
        </is>
      </c>
      <c r="D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1"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42" ht="60" customHeight="1">
      <c r="A42" s="3" t="inlineStr">
        <is>
          <t>MK-XS-I-041</t>
        </is>
      </c>
      <c r="B42" s="3" t="inlineStr">
        <is>
          <t>the payment the person chose to make on a debt</t>
        </is>
      </c>
      <c r="C42" s="3" t="inlineStr">
        <is>
          <t>MK-CF-M-072 · MK-CF-M-073</t>
        </is>
      </c>
      <c r="D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E4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MK-NW-M-050, MK-NW-M-051, MK-NW-M-052, MK-NW-M-063, MK-NW-M-064, MK-PF-M-002, MK-PF-M-003, MK-PF-M-005, MK-PF-M-006, MK-PF-M-007, MK-PF-M-008, MK-PF-M-013, MK-PF-M-014, MK-PF-M-015, MK-PF-M-016, MK-PF-M-017, MK-PF-M-018, MK-PF-M-019, MK-PF-M-020, MK-PL-M-001, MK-PL-M-002, MK-PL-M-008, MK-PL-M-009, MK-PL-M-011, MK-PL-M-026, MK-PL-M-029, MK-PL-M-033, MK-PL-M-034, MK-XS-M-001, MK-XS-M-002, MK-XS-M-003, MK-XS-M-004, MK-XS-M-005, MK-XS-M-006</t>
        </is>
      </c>
    </row>
    <row r="43" ht="60" customHeight="1">
      <c r="A43" s="3" t="inlineStr">
        <is>
          <t>MK-XS-I-042</t>
        </is>
      </c>
      <c r="B43" s="3" t="inlineStr">
        <is>
          <t>how a stream is paid — monthly, yearly or one lump</t>
        </is>
      </c>
      <c r="C43" s="3" t="inlineStr">
        <is>
          <t>—</t>
        </is>
      </c>
      <c r="D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E43" s="3" t="inlineStr">
        <is>
          <t>REACHED BUT NOT DECLARED — functions reading this input serve these figures, but no figure lists it among its inputs.</t>
        </is>
      </c>
    </row>
    <row r="44" ht="60" customHeight="1">
      <c r="A44" s="3" t="inlineStr">
        <is>
          <t>MK-XS-I-043</t>
        </is>
      </c>
      <c r="B44" s="3" t="inlineStr">
        <is>
          <t>their own retirement contribution</t>
        </is>
      </c>
      <c r="C44" s="3" t="inlineStr">
        <is>
          <t>MK-MN-M-014</t>
        </is>
      </c>
      <c r="D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4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MK-PL-M-026, MK-PL-M-029, MK-PL-M-033, MK-PL-M-034, MK-XS-M-001, MK-XS-M-002, MK-XS-M-003, MK-XS-M-004, MK-XS-M-005, MK-XS-M-006</t>
        </is>
      </c>
    </row>
    <row r="45" ht="60" customHeight="1">
      <c r="A45" s="3" t="inlineStr">
        <is>
          <t>MK-XS-I-044</t>
        </is>
      </c>
      <c r="B45" s="3" t="inlineStr">
        <is>
          <t>the person’s own plan overrides</t>
        </is>
      </c>
      <c r="C45" s="3" t="inlineStr">
        <is>
          <t>MK-PL-M-008 · MK-PL-M-011 · MK-PL-M-029</t>
        </is>
      </c>
      <c r="D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E45" s="3" t="inlineStr">
        <is>
          <t>PARTLY AGREES — reached but not declared: MK-CF-M-055, MK-CF-M-070, MK-MN-M-016, MK-NW-M-001, MK-NW-M-002, MK-NW-M-003, MK-NW-M-004, MK-NW-M-005, MK-NW-M-006, MK-NW-M-007, MK-NW-M-008, MK-NW-M-009, MK-NW-M-011, MK-NW-M-015, MK-NW-M-016, MK-NW-M-017, MK-NW-M-049, MK-NW-M-063, MK-PL-M-009, MK-PL-M-034, MK-XS-M-001, MK-XS-M-002, MK-XS-M-003</t>
        </is>
      </c>
    </row>
    <row r="46" ht="45" customHeight="1">
      <c r="A46" s="3" t="inlineStr">
        <is>
          <t>MK-XS-I-045</t>
        </is>
      </c>
      <c r="B46" s="3" t="inlineStr">
        <is>
          <t>where they will live in retirement</t>
        </is>
      </c>
      <c r="C46" s="3" t="inlineStr">
        <is>
          <t>MK-PL-M-009</t>
        </is>
      </c>
      <c r="D46" s="3" t="inlineStr">
        <is>
          <t>MK-CF-M-055 · MK-CF-M-070 · MK-PL-M-008 · MK-PL-M-009 · MK-PL-M-011 · MK-PL-M-029 · MK-PL-M-034 · MK-XS-M-002</t>
        </is>
      </c>
      <c r="E46" s="3" t="inlineStr">
        <is>
          <t>PARTLY AGREES — reached but not declared: MK-CF-M-055, MK-CF-M-070, MK-PL-M-008, MK-PL-M-011, MK-PL-M-029, MK-PL-M-034, MK-XS-M-002</t>
        </is>
      </c>
    </row>
    <row r="47" ht="45" customHeight="1">
      <c r="A47" s="3" t="inlineStr">
        <is>
          <t>MK-XS-I-046</t>
        </is>
      </c>
      <c r="B47" s="3" t="inlineStr">
        <is>
          <t>how the employer match is expressed — percent or dollars</t>
        </is>
      </c>
      <c r="C47" s="3" t="inlineStr">
        <is>
          <t>MK-MN-M-014</t>
        </is>
      </c>
      <c r="D47" s="3" t="inlineStr">
        <is>
          <t>MK-CF-M-055 · MK-CF-M-070 · MK-MN-M-014 · MK-PL-M-008 · MK-PL-M-011 · MK-PL-M-029 · MK-PL-M-034 · MK-XS-M-002</t>
        </is>
      </c>
      <c r="E47" s="3" t="inlineStr">
        <is>
          <t>PARTLY AGREES — reached but not declared: MK-CF-M-055, MK-CF-M-070, MK-PL-M-008, MK-PL-M-011, MK-PL-M-029, MK-PL-M-034, MK-XS-M-002</t>
        </is>
      </c>
    </row>
    <row r="48" ht="45" customHeight="1">
      <c r="A48" s="3" t="inlineStr">
        <is>
          <t>MK-XS-I-047</t>
        </is>
      </c>
      <c r="B48" s="3" t="inlineStr">
        <is>
          <t>money to leave behind</t>
        </is>
      </c>
      <c r="C48" s="3" t="inlineStr">
        <is>
          <t>MK-PL-M-008 · MK-PL-M-011 · MK-PL-M-029</t>
        </is>
      </c>
      <c r="D48" s="3" t="inlineStr">
        <is>
          <t>MK-CF-M-055 · MK-CF-M-070 · MK-PL-M-008 · MK-PL-M-011 · MK-PL-M-029 · MK-PL-M-034 · MK-XS-M-002</t>
        </is>
      </c>
      <c r="E48" s="3" t="inlineStr">
        <is>
          <t>PARTLY AGREES — reached but not declared: MK-CF-M-055, MK-CF-M-070,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MK-CF-M-070</t>
        </is>
      </c>
      <c r="D51" s="3" t="inlineStr">
        <is>
          <t>MK-CF-M-022 · MK-CF-M-055 · MK-CF-M-070 · MK-NW-M-050 · MK-NW-M-051 · MK-NW-M-052 · MK-PL-M-001 · MK-PL-M-002 · MK-PL-M-008 · MK-PL-M-009 · MK-PL-M-011 · MK-PL-M-029 · MK-PL-M-034 · MK-XS-M-002</t>
        </is>
      </c>
      <c r="E51" s="3" t="inlineStr">
        <is>
          <t>PARTLY AGREES — reached but not declared: MK-CF-M-022, MK-CF-M-055, MK-NW-M-050, MK-NW-M-051, MK-NW-M-052, MK-PL-M-001, MK-PL-M-002, MK-PL-M-008, MK-PL-M-009, MK-PL-M-011, MK-PL-M-029, MK-PL-M-034, MK-XS-M-002</t>
        </is>
      </c>
    </row>
    <row r="52" ht="45" customHeight="1">
      <c r="A52" s="3" t="inlineStr">
        <is>
          <t>MK-XS-I-051</t>
        </is>
      </c>
      <c r="B52" s="3" t="inlineStr">
        <is>
          <t>what an account actually returned over the last twelve months</t>
        </is>
      </c>
      <c r="C52" s="3" t="inlineStr">
        <is>
          <t>—</t>
        </is>
      </c>
      <c r="D52" s="3" t="inlineStr">
        <is>
          <t>MK-CF-M-055 · MK-CF-M-070 · MK-PL-M-008 · MK-PL-M-011 · MK-PL-M-029 · MK-PL-M-034 · MK-XS-M-002</t>
        </is>
      </c>
      <c r="E52" s="3" t="inlineStr">
        <is>
          <t>REACHED BUT NOT DECLARED — functions reading this input serve these figures, but no figure lists it among its inputs.</t>
        </is>
      </c>
    </row>
    <row r="53" ht="60" customHeight="1">
      <c r="A53" s="3" t="inlineStr">
        <is>
          <t>MK-XS-I-052</t>
        </is>
      </c>
      <c r="B53" s="3" t="inlineStr">
        <is>
          <t>the day of the month a debt payment is due</t>
        </is>
      </c>
      <c r="C53" s="3" t="inlineStr">
        <is>
          <t>—</t>
        </is>
      </c>
      <c r="D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53" s="3" t="inlineStr">
        <is>
          <t>REACHED BUT NOT DECLARED — functions reading this input serve these figures, but no figure lists it among its inputs.</t>
        </is>
      </c>
    </row>
    <row r="54" ht="60" customHeight="1">
      <c r="A54" s="3" t="inlineStr">
        <is>
          <t>MK-XS-I-053</t>
        </is>
      </c>
      <c r="B54" s="3" t="inlineStr">
        <is>
          <t>the month a debt is first paid</t>
        </is>
      </c>
      <c r="C54" s="3" t="inlineStr">
        <is>
          <t>—</t>
        </is>
      </c>
      <c r="D54" s="3" t="inlineStr">
        <is>
          <t>MK-CF-M-022 · MK-CF-M-055 · MK-CF-M-057 · MK-CF-M-058 · MK-CF-M-059 · MK-CF-M-070 · MK-CF-M-071 · MK-CF-M-072 · MK-CF-M-073 · MK-CF-M-074 · MK-CF-M-075 · MK-PL-M-031</t>
        </is>
      </c>
      <c r="E54" s="3" t="inlineStr">
        <is>
          <t>REACHED BUT NOT DECLARED — functions reading this input serve these figures, but no figure lists it among its inputs.</t>
        </is>
      </c>
    </row>
    <row r="55" ht="60" customHeight="1">
      <c r="A55" s="3" t="inlineStr">
        <is>
          <t>MK-XS-I-054</t>
        </is>
      </c>
      <c r="B55" s="3" t="inlineStr">
        <is>
          <t>the date a debt is due to be paid off in full</t>
        </is>
      </c>
      <c r="C55" s="3" t="inlineStr">
        <is>
          <t>—</t>
        </is>
      </c>
      <c r="D55" s="3" t="inlineStr">
        <is>
          <t>MK-CF-M-022 · MK-CF-M-055 · MK-CF-M-057 · MK-CF-M-058 · MK-CF-M-059 · MK-CF-M-070 · MK-CF-M-071 · MK-CF-M-072 · MK-CF-M-073 · MK-CF-M-074 · MK-CF-M-075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MK-XS-M-001 · MK-XS-M-003</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MK-CF-M-008</t>
        </is>
      </c>
      <c r="D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60" s="3" t="inlineStr">
        <is>
          <t>PARTLY AGREES — reached but not declared: MK-CF-M-001, MK-CF-M-002, MK-CF-M-003, MK-CF-M-006, MK-CF-M-007,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61" ht="60" customHeight="1">
      <c r="A61" s="3" t="inlineStr">
        <is>
          <t>MK-XS-I-060</t>
        </is>
      </c>
      <c r="B61" s="3" t="inlineStr">
        <is>
          <t>how a person is paid — weekly, fortnightly, monthly</t>
        </is>
      </c>
      <c r="C61" s="3" t="inlineStr">
        <is>
          <t>MK-CF-M-006</t>
        </is>
      </c>
      <c r="D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61" s="3" t="inlineStr">
        <is>
          <t>PARTLY AGREES — reached but not declared: MK-CF-M-001, MK-CF-M-002, MK-CF-M-003,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MK-NW-M-050 · MK-NW-M-051 · MK-NW-M-052 · MK-NW-M-059 · MK-NW-M-060 · MK-NW-M-061 · MK-NW-M-063 · MK-NW-M-064 · MK-PF-M-002 · MK-PF-M-003 · MK-PF-M-005 · MK-PF-M-006 · MK-PF-M-007 · MK-PF-M-008 · MK-PF-M-013 · MK-PF-M-014 · MK-PF-M-015 · MK-PF-M-016 · MK-PF-M-017 · MK-PF-M-018 · MK-PF-M-019 · MK-PF-M-020 · MK-XS-M-001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MK-NW-M-057</t>
        </is>
      </c>
      <c r="D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6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MK-NW-M-028, MK-NW-M-041, MK-NW-M-042, MK-NW-M-043, MK-NW-M-044, MK-NW-M-045, MK-NW-M-046, MK-NW-M-047, MK-NW-M-048, MK-NW-M-049, MK-NW-M-050, MK-NW-M-051, MK-NW-M-052, MK-NW-M-053, MK-NW-M-054, MK-NW-M-055, MK-NW-M-056, MK-NW-M-058, MK-NW-M-063, MK-NW-M-064, MK-PF-M-002, MK-PF-M-003, MK-PF-M-005, MK-PF-M-006, MK-PF-M-007, MK-PF-M-008, MK-PF-M-013, MK-PF-M-014, MK-PF-M-015, MK-PF-M-016, MK-PF-M-017, MK-PF-M-018, MK-PF-M-019, MK-PF-M-020, MK-XS-M-001, MK-XS-M-003, MK-XS-M-004, MK-XS-M-005, MK-XS-M-006</t>
        </is>
      </c>
    </row>
    <row r="67" ht="15" customHeight="1">
      <c r="A67" s="3" t="n"/>
      <c r="B67" s="3" t="n"/>
      <c r="C67" s="3" t="n"/>
      <c r="D67" s="3" t="n"/>
      <c r="E67" s="3" t="n"/>
    </row>
    <row r="68" ht="60" customHeight="1">
      <c r="A68" s="10" t="inlineStr">
        <is>
          <t>GAPS — inputs an function names that are on NO row of the inputs tab.</t>
        </is>
      </c>
      <c r="B68" s="3" t="inlineStr">
        <is>
          <t>Each one is either a missing input, or the same input under another name.</t>
        </is>
      </c>
      <c r="C68" s="3" t="inlineStr"/>
      <c r="D68" s="3" t="inlineStr"/>
      <c r="E68" s="3" t="inlineStr"/>
    </row>
  </sheetData>
  <autoFilter ref="A1:E68"/>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15" customHeight="1">
      <c r="A2" s="3" t="inlineStr">
        <is>
          <t>MK-HM-E-001</t>
        </is>
      </c>
      <c r="B2" s="3" t="inlineStr">
        <is>
          <t>PRICE_FRESHNESS</t>
        </is>
      </c>
      <c r="C2" s="3" t="inlineStr">
        <is>
          <t>src/services/marketData.ts:60</t>
        </is>
      </c>
      <c r="D2" s="3" t="inlineStr">
        <is>
          <t>How old is the price we are showing?</t>
        </is>
      </c>
      <c r="E2" s="3" t="inlineStr">
        <is>
          <t>MK-HM-M-001</t>
        </is>
      </c>
      <c r="F2" s="3" t="inlineStr">
        <is>
          <t>Named by 1 figure(s)</t>
        </is>
      </c>
    </row>
    <row r="3" ht="30" customHeight="1">
      <c r="A3" s="3" t="inlineStr">
        <is>
          <t>MK-HM-E-002</t>
        </is>
      </c>
      <c r="B3" s="3" t="inlineStr">
        <is>
          <t>NOT IN OLD MASTER — milestoneCrossed, src/domain/milestones.ts</t>
        </is>
      </c>
      <c r="C3" s="3" t="inlineStr">
        <is>
          <t>NOT DETERMINED — no source line on record</t>
        </is>
      </c>
      <c r="D3" s="3" t="inlineStr">
        <is>
          <t>—</t>
        </is>
      </c>
      <c r="E3" s="3" t="inlineStr">
        <is>
          <t>MK-HM-M-002</t>
        </is>
      </c>
      <c r="F3" s="3" t="inlineStr">
        <is>
          <t>Named by 1 figure(s)</t>
        </is>
      </c>
    </row>
    <row r="4" ht="30" customHeight="1">
      <c r="A4" s="3" t="inlineStr">
        <is>
          <t>MK-HM-E-003</t>
        </is>
      </c>
      <c r="B4" s="3" t="inlineStr">
        <is>
          <t>NOT IN OLD MASTER — useInsights, src/domain/insights</t>
        </is>
      </c>
      <c r="C4" s="3" t="inlineStr">
        <is>
          <t>NOT DETERMINED — no source line on record</t>
        </is>
      </c>
      <c r="D4" s="3" t="inlineStr">
        <is>
          <t>—</t>
        </is>
      </c>
      <c r="E4" s="3" t="inlineStr">
        <is>
          <t>MK-HM-M-003 · MK-MN-M-015</t>
        </is>
      </c>
      <c r="F4" s="3" t="inlineStr">
        <is>
          <t>Named by 2 figure(s)</t>
        </is>
      </c>
    </row>
    <row r="5" ht="15" customHeight="1">
      <c r="A5" s="3" t="inlineStr">
        <is>
          <t>MK-MN-E-001</t>
        </is>
      </c>
      <c r="B5" s="3" t="inlineStr">
        <is>
          <t>BIG_COSTS</t>
        </is>
      </c>
      <c r="C5" s="3" t="inlineStr">
        <is>
          <t>NOT DETERMINED — no source line on record</t>
        </is>
      </c>
      <c r="D5" s="3" t="inlineStr">
        <is>
          <t>—</t>
        </is>
      </c>
      <c r="E5" s="3" t="inlineStr">
        <is>
          <t>MK-MN-M-001 · MK-MN-M-002</t>
        </is>
      </c>
      <c r="F5" s="3" t="inlineStr">
        <is>
          <t>Named by 2 figure(s)</t>
        </is>
      </c>
    </row>
    <row r="6" ht="15" customHeight="1">
      <c r="A6" s="3" t="inlineStr">
        <is>
          <t>MK-MN-E-002</t>
        </is>
      </c>
      <c r="B6" s="3" t="inlineStr">
        <is>
          <t>PLANNED_SPENDING</t>
        </is>
      </c>
      <c r="C6" s="3" t="inlineStr">
        <is>
          <t>src/domain/budget/index.ts:45</t>
        </is>
      </c>
      <c r="D6" s="3" t="inlineStr">
        <is>
          <t>What does this person plan to spend each month?</t>
        </is>
      </c>
      <c r="E6" s="3" t="inlineStr">
        <is>
          <t>MK-MN-M-007</t>
        </is>
      </c>
      <c r="F6" s="3" t="inlineStr">
        <is>
          <t>Named by 1 figure(s)</t>
        </is>
      </c>
    </row>
    <row r="7" ht="15" customHeight="1">
      <c r="A7" s="3" t="inlineStr">
        <is>
          <t>MK-MN-E-003</t>
        </is>
      </c>
      <c r="B7" s="3" t="inlineStr">
        <is>
          <t>GOAL_CAPACITY</t>
        </is>
      </c>
      <c r="C7" s="3" t="inlineStr">
        <is>
          <t>NOT DETERMINED — no source line on record</t>
        </is>
      </c>
      <c r="D7" s="3" t="inlineStr">
        <is>
          <t>—</t>
        </is>
      </c>
      <c r="E7" s="3" t="inlineStr">
        <is>
          <t>MK-MN-M-008</t>
        </is>
      </c>
      <c r="F7" s="3" t="inlineStr">
        <is>
          <t>Named by 1 figure(s)</t>
        </is>
      </c>
    </row>
    <row r="8" ht="15" customHeight="1">
      <c r="A8" s="3" t="inlineStr">
        <is>
          <t>MK-MN-E-004</t>
        </is>
      </c>
      <c r="B8" s="3" t="inlineStr">
        <is>
          <t>GOAL_PROGRESS</t>
        </is>
      </c>
      <c r="C8" s="3" t="inlineStr">
        <is>
          <t>NOT DETERMINED — no source line on record</t>
        </is>
      </c>
      <c r="D8" s="3" t="inlineStr">
        <is>
          <t>—</t>
        </is>
      </c>
      <c r="E8" s="3" t="inlineStr">
        <is>
          <t>MK-MN-M-009</t>
        </is>
      </c>
      <c r="F8" s="3" t="inlineStr">
        <is>
          <t>Named by 1 figure(s)</t>
        </is>
      </c>
    </row>
    <row r="9" ht="15" customHeight="1">
      <c r="A9" s="3" t="inlineStr">
        <is>
          <t>MK-MN-E-005</t>
        </is>
      </c>
      <c r="B9" s="3" t="inlineStr">
        <is>
          <t>SINKING_FUNDS</t>
        </is>
      </c>
      <c r="C9" s="3" t="inlineStr">
        <is>
          <t>NOT DETERMINED — no source line on record</t>
        </is>
      </c>
      <c r="D9" s="3" t="inlineStr">
        <is>
          <t>—</t>
        </is>
      </c>
      <c r="E9" s="3" t="inlineStr">
        <is>
          <t>MK-MN-M-010</t>
        </is>
      </c>
      <c r="F9" s="3" t="inlineStr">
        <is>
          <t>Named by 1 figure(s)</t>
        </is>
      </c>
    </row>
    <row r="10" ht="15" customHeight="1">
      <c r="A10" s="3" t="inlineStr">
        <is>
          <t>MK-MN-E-006</t>
        </is>
      </c>
      <c r="B10" s="3" t="inlineStr">
        <is>
          <t>EMPLOYER_MATCH</t>
        </is>
      </c>
      <c r="C10" s="3" t="inlineStr">
        <is>
          <t>src/domain/income/onboarding.ts:263</t>
        </is>
      </c>
      <c r="D10" s="3" t="inlineStr">
        <is>
          <t>How much does the employer add each month?</t>
        </is>
      </c>
      <c r="E10" s="3" t="inlineStr">
        <is>
          <t>MK-MN-M-014</t>
        </is>
      </c>
      <c r="F10" s="3" t="inlineStr">
        <is>
          <t>Named by 1 figure(s)</t>
        </is>
      </c>
    </row>
    <row r="11" ht="30" customHeight="1">
      <c r="A11" s="3" t="inlineStr">
        <is>
          <t>MK-MN-E-007</t>
        </is>
      </c>
      <c r="B11" s="3" t="inlineStr">
        <is>
          <t>INSURANCE_NEED</t>
        </is>
      </c>
      <c r="C11" s="3" t="inlineStr">
        <is>
          <t>NOT DETERMINED — no source line on record</t>
        </is>
      </c>
      <c r="D11" s="3" t="inlineStr">
        <is>
          <t>—</t>
        </is>
      </c>
      <c r="E11" s="3" t="inlineStr">
        <is>
          <t>MK-MN-M-017 · MK-MN-M-018 · MK-MN-M-019</t>
        </is>
      </c>
      <c r="F11" s="3" t="inlineStr">
        <is>
          <t>Named by 3 figure(s)</t>
        </is>
      </c>
    </row>
    <row r="12" ht="30" customHeight="1">
      <c r="A12" s="3" t="inlineStr">
        <is>
          <t>MK-PL-E-001</t>
        </is>
      </c>
      <c r="B12" s="3" t="inlineStr">
        <is>
          <t>WHAT_THE_PLAN_STILL_NEEDS</t>
        </is>
      </c>
      <c r="C12" s="3" t="inlineStr">
        <is>
          <t>src/domain/planning/hub.ts:44</t>
        </is>
      </c>
      <c r="D12" s="3" t="inlineStr">
        <is>
          <t>Is there enough to show this person their own odds?</t>
        </is>
      </c>
      <c r="E12" s="3" t="inlineStr">
        <is>
          <t>MK-PL-M-001 · MK-PL-M-002</t>
        </is>
      </c>
      <c r="F12" s="3" t="inlineStr">
        <is>
          <t>Named by 2 figure(s)</t>
        </is>
      </c>
    </row>
    <row r="13" ht="30" customHeight="1">
      <c r="A13" s="3" t="inlineStr">
        <is>
          <t>MK-PL-E-002</t>
        </is>
      </c>
      <c r="B13" s="3" t="inlineStr">
        <is>
          <t>NOT IN OLD MASTER — retirementPaycheckYear, src/domain/paycheck</t>
        </is>
      </c>
      <c r="C13" s="3" t="inlineStr">
        <is>
          <t>NOT DETERMINED — no source line on record</t>
        </is>
      </c>
      <c r="D13" s="3" t="inlineStr">
        <is>
          <t>—</t>
        </is>
      </c>
      <c r="E13" s="3" t="inlineStr">
        <is>
          <t>MK-PL-M-003 · MK-PL-M-004 · MK-PL-M-005</t>
        </is>
      </c>
      <c r="F13" s="3" t="inlineStr">
        <is>
          <t>Named by 3 figure(s)</t>
        </is>
      </c>
    </row>
    <row r="14" ht="30" customHeight="1">
      <c r="A14" s="3" t="inlineStr">
        <is>
          <t>MK-PL-E-003</t>
        </is>
      </c>
      <c r="B14" s="3" t="inlineStr">
        <is>
          <t>NOT IN OLD MASTER — saved scenarios, src/domain/scenarios</t>
        </is>
      </c>
      <c r="C14" s="3" t="inlineStr">
        <is>
          <t>NOT DETERMINED — no source line on record</t>
        </is>
      </c>
      <c r="D14" s="3" t="inlineStr">
        <is>
          <t>—</t>
        </is>
      </c>
      <c r="E14" s="3" t="inlineStr">
        <is>
          <t>MK-PL-M-007</t>
        </is>
      </c>
      <c r="F14" s="3" t="inlineStr">
        <is>
          <t>Named by 1 figure(s)</t>
        </is>
      </c>
    </row>
    <row r="15" ht="15" customHeight="1">
      <c r="A15" s="3" t="inlineStr">
        <is>
          <t>MK-PL-E-004</t>
        </is>
      </c>
      <c r="B15" s="3" t="inlineStr">
        <is>
          <t>GUARANTEED_STREAMS (engines: B1 rebuild)</t>
        </is>
      </c>
      <c r="C15" s="3" t="inlineStr">
        <is>
          <t>NOT DETERMINED — no source line on record</t>
        </is>
      </c>
      <c r="D15" s="3" t="inlineStr">
        <is>
          <t>—</t>
        </is>
      </c>
      <c r="E15" s="3" t="inlineStr">
        <is>
          <t>MK-PL-M-010</t>
        </is>
      </c>
      <c r="F15" s="3" t="inlineStr">
        <is>
          <t>Named by 1 figure(s)</t>
        </is>
      </c>
    </row>
    <row r="16" ht="30" customHeight="1">
      <c r="A16" s="3" t="inlineStr">
        <is>
          <t>MK-PL-E-005</t>
        </is>
      </c>
      <c r="B16" s="3" t="inlineStr">
        <is>
          <t>RMD_START_AGE (Calculation Module code/engines/rmd.ts)</t>
        </is>
      </c>
      <c r="C16" s="3" t="inlineStr">
        <is>
          <t>NOT DETERMINED — no source line on record</t>
        </is>
      </c>
      <c r="D16" s="3" t="inlineStr">
        <is>
          <t>—</t>
        </is>
      </c>
      <c r="E16" s="3" t="inlineStr">
        <is>
          <t>MK-PL-M-012</t>
        </is>
      </c>
      <c r="F16" s="3" t="inlineStr">
        <is>
          <t>Named by 1 figure(s)</t>
        </is>
      </c>
    </row>
    <row r="17" ht="15" customHeight="1">
      <c r="A17" s="3" t="inlineStr">
        <is>
          <t>MK-PL-E-006</t>
        </is>
      </c>
      <c r="B17" s="3" t="inlineStr">
        <is>
          <t>REQUIRED_WITHDRAWAL</t>
        </is>
      </c>
      <c r="C17" s="3" t="inlineStr">
        <is>
          <t>NOT DETERMINED — no source line on record</t>
        </is>
      </c>
      <c r="D17" s="3" t="inlineStr">
        <is>
          <t>—</t>
        </is>
      </c>
      <c r="E17" s="3" t="inlineStr">
        <is>
          <t>MK-PL-M-013 · MK-PL-M-015</t>
        </is>
      </c>
      <c r="F17" s="3" t="inlineStr">
        <is>
          <t>Named by 2 figure(s)</t>
        </is>
      </c>
    </row>
    <row r="18" ht="15" customHeight="1">
      <c r="A18" s="3" t="inlineStr">
        <is>
          <t>MK-PL-E-007</t>
        </is>
      </c>
      <c r="B18" s="3" t="inlineStr">
        <is>
          <t>HAND_VALUE_AGE</t>
        </is>
      </c>
      <c r="C18" s="3" t="inlineStr">
        <is>
          <t>src/domain/assets/index.ts:97</t>
        </is>
      </c>
      <c r="D18" s="3" t="inlineStr">
        <is>
          <t>How old is this hand-entered value?</t>
        </is>
      </c>
      <c r="E18" s="3" t="inlineStr">
        <is>
          <t>MK-PL-M-016</t>
        </is>
      </c>
      <c r="F18" s="3" t="inlineStr">
        <is>
          <t>Named by 1 figure(s)</t>
        </is>
      </c>
    </row>
    <row r="19" ht="15" customHeight="1">
      <c r="A19" s="3" t="inlineStr">
        <is>
          <t>MK-PL-E-008</t>
        </is>
      </c>
      <c r="B19" s="3" t="inlineStr">
        <is>
          <t>RETIREMENT_INCOME_NOW</t>
        </is>
      </c>
      <c r="C19" s="3" t="inlineStr">
        <is>
          <t>src/domain/income/onboarding.ts:191</t>
        </is>
      </c>
      <c r="D19" s="3" t="inlineStr">
        <is>
          <t>How much retirement income is arriving TODAY?</t>
        </is>
      </c>
      <c r="E19" s="3" t="inlineStr">
        <is>
          <t>MK-PL-M-018 · MK-PL-M-032</t>
        </is>
      </c>
      <c r="F19" s="3" t="inlineStr">
        <is>
          <t>Named by 2 figure(s)</t>
        </is>
      </c>
    </row>
    <row r="20" ht="15" customHeight="1">
      <c r="A20" s="3" t="inlineStr">
        <is>
          <t>MK-PL-E-009</t>
        </is>
      </c>
      <c r="B20" s="3" t="inlineStr">
        <is>
          <t>SS_CLAIM_FACTOR · SS_BENEFIT_AT_AGE</t>
        </is>
      </c>
      <c r="C20" s="3" t="inlineStr">
        <is>
          <t>NOT DETERMINED — no source line on record</t>
        </is>
      </c>
      <c r="D20" s="3" t="inlineStr">
        <is>
          <t>—</t>
        </is>
      </c>
      <c r="E20" s="3" t="inlineStr">
        <is>
          <t>MK-PL-M-019</t>
        </is>
      </c>
      <c r="F20" s="3" t="inlineStr">
        <is>
          <t>Named by 1 figure(s)</t>
        </is>
      </c>
    </row>
    <row r="21" ht="15" customHeight="1">
      <c r="A21" s="3" t="inlineStr">
        <is>
          <t>MK-PL-E-010</t>
        </is>
      </c>
      <c r="B21" s="3" t="inlineStr">
        <is>
          <t>SS_LIFETIME_TOTAL</t>
        </is>
      </c>
      <c r="C21" s="3" t="inlineStr">
        <is>
          <t>NOT DETERMINED — no source line on record</t>
        </is>
      </c>
      <c r="D21" s="3" t="inlineStr">
        <is>
          <t>—</t>
        </is>
      </c>
      <c r="E21" s="3" t="inlineStr">
        <is>
          <t>MK-PL-M-020</t>
        </is>
      </c>
      <c r="F21" s="3" t="inlineStr">
        <is>
          <t>Named by 1 figure(s)</t>
        </is>
      </c>
    </row>
    <row r="22" ht="30" customHeight="1">
      <c r="A22" s="3" t="inlineStr">
        <is>
          <t>MK-PL-E-011</t>
        </is>
      </c>
      <c r="B22" s="3" t="inlineStr">
        <is>
          <t>the worked example used until a real statement goes in</t>
        </is>
      </c>
      <c r="C22" s="3" t="inlineStr">
        <is>
          <t>NOT DETERMINED — no source line on record</t>
        </is>
      </c>
      <c r="D22" s="3" t="inlineStr">
        <is>
          <t>—</t>
        </is>
      </c>
      <c r="E22" s="3" t="inlineStr">
        <is>
          <t>MK-PL-M-021</t>
        </is>
      </c>
      <c r="F22" s="3" t="inlineStr">
        <is>
          <t>Named by 1 figure(s)</t>
        </is>
      </c>
    </row>
    <row r="23" ht="30" customHeight="1">
      <c r="A23" s="3" t="inlineStr">
        <is>
          <t>MK-PL-E-012</t>
        </is>
      </c>
      <c r="B23" s="3" t="inlineStr">
        <is>
          <t>the amount the person chose</t>
        </is>
      </c>
      <c r="C23" s="3" t="inlineStr">
        <is>
          <t>On the screen itself — no engine file</t>
        </is>
      </c>
      <c r="D23" s="3" t="inlineStr">
        <is>
          <t>—</t>
        </is>
      </c>
      <c r="E23" s="3" t="inlineStr">
        <is>
          <t>MK-PL-M-022 · MK-PL-M-025 · MK-PL-M-030</t>
        </is>
      </c>
      <c r="F23" s="3" t="inlineStr">
        <is>
          <t>Named by 3 figure(s)</t>
        </is>
      </c>
    </row>
    <row r="24" ht="15" customHeight="1">
      <c r="A24" s="3" t="inlineStr">
        <is>
          <t>MK-PL-E-013</t>
        </is>
      </c>
      <c r="B24" s="3" t="inlineStr">
        <is>
          <t>TAX_ON_CONVERSION</t>
        </is>
      </c>
      <c r="C24" s="3" t="inlineStr">
        <is>
          <t>NOT DETERMINED — no source line on record</t>
        </is>
      </c>
      <c r="D24" s="3" t="inlineStr">
        <is>
          <t>—</t>
        </is>
      </c>
      <c r="E24" s="3" t="inlineStr">
        <is>
          <t>MK-PL-M-023</t>
        </is>
      </c>
      <c r="F24" s="3" t="inlineStr">
        <is>
          <t>Named by 1 figure(s)</t>
        </is>
      </c>
    </row>
    <row r="25" ht="15" customHeight="1">
      <c r="A25" s="3" t="inlineStr">
        <is>
          <t>MK-PL-E-014</t>
        </is>
      </c>
      <c r="B25" s="3" t="inlineStr">
        <is>
          <t>PRE_TAX_BALANCE</t>
        </is>
      </c>
      <c r="C25" s="3" t="inlineStr">
        <is>
          <t>NOT DETERMINED — no source line on record</t>
        </is>
      </c>
      <c r="D25" s="3" t="inlineStr">
        <is>
          <t>—</t>
        </is>
      </c>
      <c r="E25" s="3" t="inlineStr">
        <is>
          <t>MK-PL-M-024</t>
        </is>
      </c>
      <c r="F25" s="3" t="inlineStr">
        <is>
          <t>Named by 1 figure(s)</t>
        </is>
      </c>
    </row>
    <row r="26" ht="30" customHeight="1">
      <c r="A26" s="3" t="inlineStr">
        <is>
          <t>MK-PL-E-015</t>
        </is>
      </c>
      <c r="B26" s="3" t="inlineStr">
        <is>
          <t>POT_AT_RETIREMENT</t>
        </is>
      </c>
      <c r="C26" s="3" t="inlineStr">
        <is>
          <t>src/domain/retirement/index.ts:324</t>
        </is>
      </c>
      <c r="D26" s="3" t="inlineStr">
        <is>
          <t>What will the pot be worth at retirement, and how big does it need to be?</t>
        </is>
      </c>
      <c r="E26" s="3" t="inlineStr">
        <is>
          <t>MK-PL-M-026 · MK-PL-M-033</t>
        </is>
      </c>
      <c r="F26" s="3" t="inlineStr">
        <is>
          <t>Named by 2 figure(s)</t>
        </is>
      </c>
    </row>
    <row r="27" ht="15" customHeight="1">
      <c r="A27" s="3" t="inlineStr">
        <is>
          <t>MK-PL-E-016</t>
        </is>
      </c>
      <c r="B27" s="3" t="inlineStr">
        <is>
          <t>the amounts the person chose</t>
        </is>
      </c>
      <c r="C27" s="3" t="inlineStr">
        <is>
          <t>On the screen itself — no engine file</t>
        </is>
      </c>
      <c r="D27" s="3" t="inlineStr">
        <is>
          <t>—</t>
        </is>
      </c>
      <c r="E27" s="3" t="inlineStr">
        <is>
          <t>MK-PL-M-028</t>
        </is>
      </c>
      <c r="F27" s="3" t="inlineStr">
        <is>
          <t>Named by 1 figure(s)</t>
        </is>
      </c>
    </row>
    <row r="28" ht="15" customHeight="1">
      <c r="A28" s="3" t="inlineStr">
        <is>
          <t>MK-PL-E-017</t>
        </is>
      </c>
      <c r="B28" s="3" t="inlineStr">
        <is>
          <t>DEBT_PAYOFF</t>
        </is>
      </c>
      <c r="C28" s="3" t="inlineStr">
        <is>
          <t>NOT DETERMINED — no source line on record</t>
        </is>
      </c>
      <c r="D28" s="3" t="inlineStr">
        <is>
          <t>—</t>
        </is>
      </c>
      <c r="E28" s="3" t="inlineStr">
        <is>
          <t>MK-PL-M-031</t>
        </is>
      </c>
      <c r="F28" s="3" t="inlineStr">
        <is>
          <t>Named by 1 figure(s)</t>
        </is>
      </c>
    </row>
    <row r="29" ht="15" customHeight="1">
      <c r="A29" s="3" t="inlineStr">
        <is>
          <t>MK-PL-E-018</t>
        </is>
      </c>
      <c r="B29" s="3" t="inlineStr">
        <is>
          <t>the age the person chose</t>
        </is>
      </c>
      <c r="C29" s="3" t="inlineStr">
        <is>
          <t>On the screen itself — no engine file</t>
        </is>
      </c>
      <c r="D29" s="3" t="inlineStr">
        <is>
          <t>—</t>
        </is>
      </c>
      <c r="E29" s="3" t="inlineStr">
        <is>
          <t>MK-PL-M-035</t>
        </is>
      </c>
      <c r="F29" s="3" t="inlineStr">
        <is>
          <t>Named by 1 figure(s)</t>
        </is>
      </c>
    </row>
    <row r="30" ht="15" customHeight="1">
      <c r="A30" s="3" t="inlineStr">
        <is>
          <t>MK-PL-E-019</t>
        </is>
      </c>
      <c r="B30" s="3" t="inlineStr">
        <is>
          <t>EDUCATION_COST</t>
        </is>
      </c>
      <c r="C30" s="3" t="inlineStr">
        <is>
          <t>NOT DETERMINED — no source line on record</t>
        </is>
      </c>
      <c r="D30" s="3" t="inlineStr">
        <is>
          <t>—</t>
        </is>
      </c>
      <c r="E30" s="3" t="inlineStr">
        <is>
          <t>MK-PL-M-036 · MK-PL-M-037</t>
        </is>
      </c>
      <c r="F30" s="3" t="inlineStr">
        <is>
          <t>Named by 2 figure(s)</t>
        </is>
      </c>
    </row>
    <row r="31" ht="30" customHeight="1">
      <c r="A31" s="3" t="inlineStr">
        <is>
          <t>MK-XS-E-001</t>
        </is>
      </c>
      <c r="B31" s="3" t="inlineStr">
        <is>
          <t>NEST_EGG</t>
        </is>
      </c>
      <c r="C31" s="3" t="inlineStr">
        <is>
          <t>src/domain/assets/index.ts:548</t>
        </is>
      </c>
      <c r="D31" s="3" t="inlineStr">
        <is>
          <t>What is my retirement pot worth?</t>
        </is>
      </c>
      <c r="E31" s="3" t="inlineStr">
        <is>
          <t>—</t>
        </is>
      </c>
      <c r="F31" s="3" t="inlineStr">
        <is>
          <t>Only as another engine’s dependency — no figure names it directly</t>
        </is>
      </c>
    </row>
    <row r="32" ht="30" customHeight="1">
      <c r="A32" s="3" t="inlineStr">
        <is>
          <t>MK-XS-E-002</t>
        </is>
      </c>
      <c r="B32" s="3" t="inlineStr">
        <is>
          <t>ODDS_DISPLAY</t>
        </is>
      </c>
      <c r="C32" s="3" t="inlineStr">
        <is>
          <t>src/domain/retirement/willItLast.ts:55</t>
        </is>
      </c>
      <c r="D32" s="3" t="inlineStr">
        <is>
          <t>The retirement odds a person actually sees. Answers: 0, 5, 10 … 100 — the exact simulation</t>
        </is>
      </c>
      <c r="E32" s="3" t="inlineStr">
        <is>
          <t>—</t>
        </is>
      </c>
      <c r="F32" s="3" t="inlineStr">
        <is>
          <t>Only as another engine’s dependency — no figure names it directly</t>
        </is>
      </c>
    </row>
    <row r="33" ht="15" customHeight="1">
      <c r="A33" s="3" t="inlineStr">
        <is>
          <t>MK-XS-E-003</t>
        </is>
      </c>
      <c r="B33" s="3" t="inlineStr">
        <is>
          <t>RETIREMENT_SPENDING</t>
        </is>
      </c>
      <c r="C33" s="3" t="inlineStr">
        <is>
          <t>src/domain/retirement/index.ts:49</t>
        </is>
      </c>
      <c r="D33" s="3" t="inlineStr">
        <is>
          <t>What will be spent each month in retirement?</t>
        </is>
      </c>
      <c r="E33" s="3" t="inlineStr">
        <is>
          <t>MK-PL-M-009</t>
        </is>
      </c>
      <c r="F33" s="3" t="inlineStr">
        <is>
          <t>Named by 1 figure(s)</t>
        </is>
      </c>
    </row>
    <row r="34" ht="30" customHeight="1">
      <c r="A34" s="3" t="inlineStr">
        <is>
          <t>MK-XS-E-004</t>
        </is>
      </c>
      <c r="B34" s="3" t="inlineStr">
        <is>
          <t>WILL_IT_LAST</t>
        </is>
      </c>
      <c r="C34" s="3" t="inlineStr">
        <is>
          <t>src/domain/retirement/index.ts:156</t>
        </is>
      </c>
      <c r="D34" s="3" t="inlineStr">
        <is>
          <t>Will my money last?</t>
        </is>
      </c>
      <c r="E34" s="3" t="inlineStr">
        <is>
          <t>—</t>
        </is>
      </c>
      <c r="F34" s="3" t="inlineStr">
        <is>
          <t>Only as another engine’s dependency — no figure names it directly</t>
        </is>
      </c>
    </row>
    <row r="35" ht="30" customHeight="1">
      <c r="A35" s="3" t="inlineStr">
        <is>
          <t>MK-XS-E-005</t>
        </is>
      </c>
      <c r="B35" s="3" t="inlineStr">
        <is>
          <t>WILL_IT_LAST_INPUTS</t>
        </is>
      </c>
      <c r="C35" s="3" t="inlineStr">
        <is>
          <t>src/domain/retirement/willItLast.ts:62</t>
        </is>
      </c>
      <c r="D35" s="3" t="inlineStr">
        <is>
          <t>What goes into working out the odds?</t>
        </is>
      </c>
      <c r="E35" s="3" t="inlineStr">
        <is>
          <t>MK-PL-M-008 · MK-PL-M-011 · MK-PL-M-029</t>
        </is>
      </c>
      <c r="F35" s="3" t="inlineStr">
        <is>
          <t>Named by 3 figure(s)</t>
        </is>
      </c>
    </row>
    <row r="36" ht="15" customHeight="1">
      <c r="A36" s="3" t="inlineStr">
        <is>
          <t>MK-XS-E-006</t>
        </is>
      </c>
      <c r="B36" s="3" t="inlineStr">
        <is>
          <t>WILL_IT_LAST_RESULT</t>
        </is>
      </c>
      <c r="C36" s="3" t="inlineStr">
        <is>
          <t>src/domain/retirement/willItLast.ts:149</t>
        </is>
      </c>
      <c r="D36" s="3" t="inlineStr">
        <is>
          <t>What are the odds, and can we honestly show them?</t>
        </is>
      </c>
      <c r="E36" s="3" t="inlineStr">
        <is>
          <t>MK-PL-M-034 · MK-XS-M-002</t>
        </is>
      </c>
      <c r="F36" s="3" t="inlineStr">
        <is>
          <t>Named by 2 figure(s)</t>
        </is>
      </c>
    </row>
    <row r="37" ht="30" customHeight="1">
      <c r="A37" s="3" t="inlineStr">
        <is>
          <t>MK-XS-E-007</t>
        </is>
      </c>
      <c r="B37" s="3" t="inlineStr">
        <is>
          <t>NOT IN OLD MASTER — budgetVsActual, src/domain/budget</t>
        </is>
      </c>
      <c r="C37" s="3" t="inlineStr">
        <is>
          <t>NOT DETERMINED — no source line on record</t>
        </is>
      </c>
      <c r="D37" s="3" t="inlineStr">
        <is>
          <t>—</t>
        </is>
      </c>
      <c r="E37" s="3" t="inlineStr">
        <is>
          <t>MK-XS-M-005</t>
        </is>
      </c>
      <c r="F37" s="3" t="inlineStr">
        <is>
          <t>Named by 1 figure(s)</t>
        </is>
      </c>
    </row>
    <row r="38" ht="30" customHeight="1">
      <c r="A38" s="3" t="inlineStr">
        <is>
          <t>MK-XS-E-008</t>
        </is>
      </c>
      <c r="B38" s="3" t="inlineStr">
        <is>
          <t>NOT IN OLD MASTER — incomeMonthlyGrid, src/domain/income</t>
        </is>
      </c>
      <c r="C38" s="3" t="inlineStr">
        <is>
          <t>NOT DETERMINED — no source line on record</t>
        </is>
      </c>
      <c r="D38" s="3" t="inlineStr">
        <is>
          <t>—</t>
        </is>
      </c>
      <c r="E38" s="3" t="inlineStr">
        <is>
          <t>MK-XS-M-006</t>
        </is>
      </c>
      <c r="F38" s="3" t="inlineStr">
        <is>
          <t>Named by 1 figure(s)</t>
        </is>
      </c>
    </row>
    <row r="39" ht="30" customHeight="1">
      <c r="A39" s="3" t="inlineStr">
        <is>
          <t>MK-XS-E-009</t>
        </is>
      </c>
      <c r="B39" s="3" t="inlineStr">
        <is>
          <t>FETCH_PRICES</t>
        </is>
      </c>
      <c r="C39" s="3" t="inlineStr">
        <is>
          <t>src/services/marketData.ts:71</t>
        </is>
      </c>
      <c r="D39" s="3" t="inlineStr">
        <is>
          <t>What are these holdings worth?</t>
        </is>
      </c>
      <c r="E39" s="3" t="inlineStr">
        <is>
          <t>—</t>
        </is>
      </c>
      <c r="F39" s="3" t="inlineStr">
        <is>
          <t>Only as another engine’s dependency — no figure names it directly</t>
        </is>
      </c>
    </row>
    <row r="40" ht="30" customHeight="1">
      <c r="A40" s="3" t="inlineStr">
        <is>
          <t>MK-XS-E-010</t>
        </is>
      </c>
      <c r="B40" s="3" t="inlineStr">
        <is>
          <t>EFFECTIVE_TAX_RATE</t>
        </is>
      </c>
      <c r="C40" s="3" t="inlineStr">
        <is>
          <t>src/domain/income/tax.ts:130</t>
        </is>
      </c>
      <c r="D40" s="3" t="inlineStr">
        <is>
          <t>What share of my income actually goes in tax?</t>
        </is>
      </c>
      <c r="E40" s="3" t="inlineStr">
        <is>
          <t>—</t>
        </is>
      </c>
      <c r="F40" s="3" t="inlineStr">
        <is>
          <t>Only as another engine’s dependency — no figure names it directly</t>
        </is>
      </c>
    </row>
    <row r="41" ht="30" customHeight="1">
      <c r="A41" s="3" t="inlineStr">
        <is>
          <t>MK-XS-E-011</t>
        </is>
      </c>
      <c r="B41" s="3" t="inlineStr">
        <is>
          <t>EXPECTED_RETURN_BLENDED</t>
        </is>
      </c>
      <c r="C41" s="3" t="inlineStr">
        <is>
          <t>src/domain/assets/index.ts:638</t>
        </is>
      </c>
      <c r="D41" s="3" t="inlineStr">
        <is>
          <t>What return should I expect on everything I hold together?</t>
        </is>
      </c>
      <c r="E41" s="3" t="inlineStr">
        <is>
          <t>—</t>
        </is>
      </c>
      <c r="F41" s="3" t="inlineStr">
        <is>
          <t>Only as another engine’s dependency — no figure names it directly</t>
        </is>
      </c>
    </row>
    <row r="42" ht="30" customHeight="1">
      <c r="A42" s="3" t="inlineStr">
        <is>
          <t>MK-XS-E-012</t>
        </is>
      </c>
      <c r="B42" s="3" t="inlineStr">
        <is>
          <t>EXPECTED_SWING_BLENDED</t>
        </is>
      </c>
      <c r="C42" s="3" t="inlineStr">
        <is>
          <t>src/domain/assets/index.ts:597</t>
        </is>
      </c>
      <c r="D42" s="3" t="inlineStr">
        <is>
          <t>How much does a year's return typically swing around that average?</t>
        </is>
      </c>
      <c r="E42" s="3" t="inlineStr">
        <is>
          <t>—</t>
        </is>
      </c>
      <c r="F42" s="3" t="inlineStr">
        <is>
          <t>Only as another engine’s dependency — no figure names it directly</t>
        </is>
      </c>
    </row>
    <row r="43" ht="30" customHeight="1">
      <c r="A43" s="3" t="inlineStr">
        <is>
          <t>MK-XS-E-013</t>
        </is>
      </c>
      <c r="B43" s="3" t="inlineStr">
        <is>
          <t>FILING_STATUS</t>
        </is>
      </c>
      <c r="C43" s="3" t="inlineStr">
        <is>
          <t>src/domain/income/onboarding.ts:354</t>
        </is>
      </c>
      <c r="D43" s="3" t="inlineStr">
        <is>
          <t>How does this person file?</t>
        </is>
      </c>
      <c r="E43" s="3" t="inlineStr">
        <is>
          <t>—</t>
        </is>
      </c>
      <c r="F43" s="3" t="inlineStr">
        <is>
          <t>Only as another engine’s dependency — no figure names it directly</t>
        </is>
      </c>
    </row>
    <row r="44" ht="30" customHeight="1">
      <c r="A44" s="3" t="inlineStr">
        <is>
          <t>MK-XS-E-014</t>
        </is>
      </c>
      <c r="B44" s="3" t="inlineStr">
        <is>
          <t>GUARANTEED_OUTSIDE_STREAMS</t>
        </is>
      </c>
      <c r="C44" s="3" t="inlineStr">
        <is>
          <t>src/domain/income/onboarding.ts:227</t>
        </is>
      </c>
      <c r="D44" s="3" t="inlineStr">
        <is>
          <t>The plan's guaranteed-income input as separate streams of OUTSIDE money only. Answers: zer</t>
        </is>
      </c>
      <c r="E44" s="3" t="inlineStr">
        <is>
          <t>—</t>
        </is>
      </c>
      <c r="F44" s="3" t="inlineStr">
        <is>
          <t>Only as another engine’s dependency — no figure names it directly</t>
        </is>
      </c>
    </row>
    <row r="45" ht="30" customHeight="1">
      <c r="A45" s="3" t="inlineStr">
        <is>
          <t>MK-XS-E-015</t>
        </is>
      </c>
      <c r="B45" s="3" t="inlineStr">
        <is>
          <t>MONTHLY_SAVING</t>
        </is>
      </c>
      <c r="C45" s="3" t="inlineStr">
        <is>
          <t>src/domain/assets/index.ts:695</t>
        </is>
      </c>
      <c r="D45" s="3" t="inlineStr">
        <is>
          <t>How much goes in each month?</t>
        </is>
      </c>
      <c r="E45" s="3" t="inlineStr">
        <is>
          <t>—</t>
        </is>
      </c>
      <c r="F45" s="3" t="inlineStr">
        <is>
          <t>Only as another engine’s dependency — no figure names it directly</t>
        </is>
      </c>
    </row>
    <row r="46" ht="30" customHeight="1">
      <c r="A46" s="3" t="inlineStr">
        <is>
          <t>MK-XS-E-016</t>
        </is>
      </c>
      <c r="B46" s="3" t="inlineStr">
        <is>
          <t>REPORTED_RETURN</t>
        </is>
      </c>
      <c r="C46" s="3" t="inlineStr">
        <is>
          <t>src/domain/assets/index.ts:108</t>
        </is>
      </c>
      <c r="D46" s="3" t="inlineStr">
        <is>
          <t>What return did the person say they actually earned over the past year?</t>
        </is>
      </c>
      <c r="E46" s="3" t="inlineStr">
        <is>
          <t>—</t>
        </is>
      </c>
      <c r="F46" s="3" t="inlineStr">
        <is>
          <t>Only as another engine’s dependency — no figure names it directly</t>
        </is>
      </c>
    </row>
    <row r="47" ht="30" customHeight="1">
      <c r="A47" s="3" t="inlineStr">
        <is>
          <t>MK-XS-E-017</t>
        </is>
      </c>
      <c r="B47" s="3" t="inlineStr">
        <is>
          <t>SPLIT_BY_HOW_IT_IS_TAXED</t>
        </is>
      </c>
      <c r="C47" s="3" t="inlineStr">
        <is>
          <t>src/domain/decumulation/index.ts:11</t>
        </is>
      </c>
      <c r="D47" s="3" t="inlineStr">
        <is>
          <t>How is the retirement money split by the tax that will be owed on it?</t>
        </is>
      </c>
      <c r="E47" s="3" t="inlineStr">
        <is>
          <t>—</t>
        </is>
      </c>
      <c r="F47" s="3" t="inlineStr">
        <is>
          <t>Only as another engine’s dependency — no figure names it directly</t>
        </is>
      </c>
    </row>
    <row r="48" ht="30" customHeight="1">
      <c r="A48" s="3" t="inlineStr">
        <is>
          <t>MK-XS-E-018</t>
        </is>
      </c>
      <c r="B48" s="3" t="inlineStr">
        <is>
          <t>SS_BENEFIT_AT_AGE</t>
        </is>
      </c>
      <c r="C48" s="3" t="inlineStr">
        <is>
          <t>src/domain/retirement/ssTiming.ts:54</t>
        </is>
      </c>
      <c r="D48" s="3" t="inlineStr">
        <is>
          <t>The monthly Social Security check at a chosen claim age, in today's dollars. Answers: a wh</t>
        </is>
      </c>
      <c r="E48" s="3" t="inlineStr">
        <is>
          <t>MK-PL-M-017</t>
        </is>
      </c>
      <c r="F48" s="3" t="inlineStr">
        <is>
          <t>Named by 1 figure(s)</t>
        </is>
      </c>
    </row>
    <row r="49" ht="30" customHeight="1">
      <c r="A49" s="3" t="inlineStr">
        <is>
          <t>MK-XS-E-019</t>
        </is>
      </c>
      <c r="B49" s="3" t="inlineStr">
        <is>
          <t>STATE_TAX_RATE</t>
        </is>
      </c>
      <c r="C49" s="3" t="inlineStr">
        <is>
          <t>src/domain/income/onboarding.ts:358</t>
        </is>
      </c>
      <c r="D49" s="3" t="inlineStr">
        <is>
          <t>What state tax rate applies?</t>
        </is>
      </c>
      <c r="E49" s="3" t="inlineStr">
        <is>
          <t>—</t>
        </is>
      </c>
      <c r="F49" s="3" t="inlineStr">
        <is>
          <t>Only as another engine’s dependency — no figure names it directly</t>
        </is>
      </c>
    </row>
    <row r="50" ht="30" customHeight="1">
      <c r="A50" s="3" t="inlineStr">
        <is>
          <t>MK-XS-E-020</t>
        </is>
      </c>
      <c r="B50" s="3" t="inlineStr">
        <is>
          <t>SWING_FROM_RETURN</t>
        </is>
      </c>
      <c r="C50" s="3" t="inlineStr">
        <is>
          <t>src/domain/retirement/willItLast.ts:19</t>
        </is>
      </c>
      <c r="D50" s="3" t="inlineStr">
        <is>
          <t>How much might a year's return swing, judged from the return alone?</t>
        </is>
      </c>
      <c r="E50" s="3" t="inlineStr">
        <is>
          <t>—</t>
        </is>
      </c>
      <c r="F50" s="3" t="inlineStr">
        <is>
          <t>Only as another engine’s dependency — no figure names it directly</t>
        </is>
      </c>
    </row>
    <row r="51" ht="30" customHeight="1">
      <c r="A51" s="3" t="inlineStr">
        <is>
          <t>MK-XS-E-021</t>
        </is>
      </c>
      <c r="B51" s="3" t="inlineStr">
        <is>
          <t>TAX_OVER65_COUNT</t>
        </is>
      </c>
      <c r="C51" s="3" t="inlineStr">
        <is>
          <t>src/domain/income/onboarding.ts:405</t>
        </is>
      </c>
      <c r="D51" s="3" t="inlineStr">
        <is>
          <t xml:space="preserve">How many people on the tax return are 65 or older — the input the over-65 deduction needs </t>
        </is>
      </c>
      <c r="E51" s="3" t="inlineStr">
        <is>
          <t>—</t>
        </is>
      </c>
      <c r="F51" s="3" t="inlineStr">
        <is>
          <t>Only as another engine’s dependency — no figure names it directly</t>
        </is>
      </c>
    </row>
    <row r="52" ht="30" customHeight="1">
      <c r="A52" s="3" t="inlineStr">
        <is>
          <t>MK-XS-E-022</t>
        </is>
      </c>
      <c r="B52" s="3" t="inlineStr">
        <is>
          <t>TOTAL_INCOME</t>
        </is>
      </c>
      <c r="C52" s="3" t="inlineStr">
        <is>
          <t>src/domain/income/onboarding.ts:337</t>
        </is>
      </c>
      <c r="D52" s="3" t="inlineStr">
        <is>
          <t>What is the whole household income for the year, before tax?</t>
        </is>
      </c>
      <c r="E52" s="3" t="inlineStr">
        <is>
          <t>MK-MN-M-011 · MK-MN-M-012 · MK-MN-M-013</t>
        </is>
      </c>
      <c r="F52" s="3" t="inlineStr">
        <is>
          <t>Named by 3 figure(s)</t>
        </is>
      </c>
    </row>
    <row r="53" ht="30" customHeight="1">
      <c r="A53" s="3" t="inlineStr">
        <is>
          <t>MK-XS-E-023</t>
        </is>
      </c>
      <c r="B53" s="3" t="inlineStr">
        <is>
          <t>COST_OF_LIVING</t>
        </is>
      </c>
      <c r="C53" s="3" t="inlineStr">
        <is>
          <t>src/domain/retirement/col.ts:53</t>
        </is>
      </c>
      <c r="D53" s="3" t="inlineStr">
        <is>
          <t>How much more or less does life cost where they plan to live?</t>
        </is>
      </c>
      <c r="E53" s="3" t="inlineStr">
        <is>
          <t>—</t>
        </is>
      </c>
      <c r="F53" s="3" t="inlineStr">
        <is>
          <t>Only as another engine’s dependency — no figure names it directly</t>
        </is>
      </c>
    </row>
    <row r="54" ht="30" customHeight="1">
      <c r="A54" s="3" t="inlineStr">
        <is>
          <t>MK-XS-E-024</t>
        </is>
      </c>
      <c r="B54" s="3" t="inlineStr">
        <is>
          <t>READ_A_NUMBER</t>
        </is>
      </c>
      <c r="C54" s="3" t="inlineStr">
        <is>
          <t>src/domain/_shared/num.ts:4</t>
        </is>
      </c>
      <c r="D54" s="3" t="inlineStr">
        <is>
          <t>What number did the person actually type?</t>
        </is>
      </c>
      <c r="E54" s="3" t="inlineStr">
        <is>
          <t>—</t>
        </is>
      </c>
      <c r="F54" s="3" t="inlineStr">
        <is>
          <t>Only as another engine’s dependency — no figure names it directly</t>
        </is>
      </c>
    </row>
    <row r="55" ht="30" customHeight="1">
      <c r="A55" s="3" t="inlineStr">
        <is>
          <t>MK-XS-E-025</t>
        </is>
      </c>
      <c r="B55" s="3" t="inlineStr">
        <is>
          <t>SS_CLAIM_FACTOR</t>
        </is>
      </c>
      <c r="C55" s="3" t="inlineStr">
        <is>
          <t>src/domain/retirement/ssTiming.ts:34</t>
        </is>
      </c>
      <c r="D55" s="3" t="inlineStr">
        <is>
          <t>How much of the statement amount a claim age actually pays, anchored at the person's OWN f</t>
        </is>
      </c>
      <c r="E55" s="3" t="inlineStr">
        <is>
          <t>—</t>
        </is>
      </c>
      <c r="F55" s="3" t="inlineStr">
        <is>
          <t>Only as another engine’s dependency — no figure names it directly</t>
        </is>
      </c>
    </row>
    <row r="56" ht="30" customHeight="1">
      <c r="A56" s="3" t="inlineStr">
        <is>
          <t>MK-XS-E-026</t>
        </is>
      </c>
      <c r="B56" s="3" t="inlineStr">
        <is>
          <t>RETIREMENT_INCOME</t>
        </is>
      </c>
      <c r="C56" s="3" t="inlineStr">
        <is>
          <t>src/domain/income/onboarding.ts:213</t>
        </is>
      </c>
      <c r="D56" s="3" t="inlineStr">
        <is>
          <t>How much retirement income arrives monthly?</t>
        </is>
      </c>
      <c r="E56" s="3" t="inlineStr">
        <is>
          <t>—</t>
        </is>
      </c>
      <c r="F56" s="3" t="inlineStr">
        <is>
          <t>Only as another engine’s dependency — no figure names it directly</t>
        </is>
      </c>
    </row>
    <row r="57" ht="30" customHeight="1">
      <c r="A57" s="3" t="inlineStr">
        <is>
          <t>MK-XS-E-027</t>
        </is>
      </c>
      <c r="B57" s="3" t="inlineStr">
        <is>
          <t>SS_FULL_RETIREMENT_AGE</t>
        </is>
      </c>
      <c r="C57" s="3" t="inlineStr">
        <is>
          <t>src/domain/retirement/ssTiming.ts:23</t>
        </is>
      </c>
      <c r="D57" s="3" t="inlineStr">
        <is>
          <t>The person's own Social Security full retirement age. Answers: 66 (born through 1954) · 66</t>
        </is>
      </c>
      <c r="E57" s="3" t="inlineStr">
        <is>
          <t>—</t>
        </is>
      </c>
      <c r="F57" s="3" t="inlineStr">
        <is>
          <t>Only as another engine’s dependency — no figure names it directly</t>
        </is>
      </c>
    </row>
    <row r="58" ht="30" customHeight="1">
      <c r="A58" s="3" t="inlineStr">
        <is>
          <t>MK-XS-E-028</t>
        </is>
      </c>
      <c r="B58" s="3" t="inlineStr">
        <is>
          <t>SPENDING_BY_KIND</t>
        </is>
      </c>
      <c r="C58" s="3" t="inlineStr">
        <is>
          <t>src/domain/budget/index.ts:72</t>
        </is>
      </c>
      <c r="D58" s="3" t="inlineStr">
        <is>
          <t>What is spent each month, split by kind?</t>
        </is>
      </c>
      <c r="E58" s="3" t="inlineStr">
        <is>
          <t>—</t>
        </is>
      </c>
      <c r="F58" s="3" t="inlineStr">
        <is>
          <t>Only as another engine’s dependency — no figure names it directly</t>
        </is>
      </c>
    </row>
    <row r="59" ht="30" customHeight="1">
      <c r="A59" s="3" t="inlineStr">
        <is>
          <t>MK-XS-E-029</t>
        </is>
      </c>
      <c r="B59" s="3" t="inlineStr">
        <is>
          <t>EQUITY_THIS_YEAR</t>
        </is>
      </c>
      <c r="C59" s="3" t="inlineStr">
        <is>
          <t>src/domain/income/onboarding.ts:114</t>
        </is>
      </c>
      <c r="D59" s="3" t="inlineStr">
        <is>
          <t>How much equity vests this year?</t>
        </is>
      </c>
      <c r="E59" s="3" t="inlineStr">
        <is>
          <t>—</t>
        </is>
      </c>
      <c r="F59" s="3" t="inlineStr">
        <is>
          <t>Only as another engine’s dependency — no figure names it directly</t>
        </is>
      </c>
    </row>
    <row r="60" ht="30" customHeight="1">
      <c r="A60" s="3" t="inlineStr">
        <is>
          <t>MK-XS-E-030</t>
        </is>
      </c>
      <c r="B60" s="3" t="inlineStr">
        <is>
          <t>OTHER_INCOME</t>
        </is>
      </c>
      <c r="C60" s="3" t="inlineStr">
        <is>
          <t>src/domain/income/onboarding.ts:161</t>
        </is>
      </c>
      <c r="D60" s="3" t="inlineStr">
        <is>
          <t>What else comes in?</t>
        </is>
      </c>
      <c r="E60" s="3" t="inlineStr">
        <is>
          <t>—</t>
        </is>
      </c>
      <c r="F60" s="3" t="inlineStr">
        <is>
          <t>Only as another engine’s dependency — no figure names it directly</t>
        </is>
      </c>
    </row>
    <row r="61" ht="30" customHeight="1">
      <c r="A61" s="3" t="inlineStr">
        <is>
          <t>MK-XS-E-031</t>
        </is>
      </c>
      <c r="B61" s="3" t="inlineStr">
        <is>
          <t>RENTAL_INCOME_A_YEAR</t>
        </is>
      </c>
      <c r="C61" s="3" t="inlineStr">
        <is>
          <t>src/domain/income/onboarding.ts:142</t>
        </is>
      </c>
      <c r="D61" s="3" t="inlineStr">
        <is>
          <t>What do the rentals net over a year?</t>
        </is>
      </c>
      <c r="E61" s="3" t="inlineStr">
        <is>
          <t>—</t>
        </is>
      </c>
      <c r="F61" s="3" t="inlineStr">
        <is>
          <t>Only as another engine’s dependency — no figure names it directly</t>
        </is>
      </c>
    </row>
    <row r="62" ht="30" customHeight="1">
      <c r="A62" s="3" t="inlineStr">
        <is>
          <t>MK-XS-E-032</t>
        </is>
      </c>
      <c r="B62" s="3" t="inlineStr">
        <is>
          <t>SALARY_A_YEAR</t>
        </is>
      </c>
      <c r="C62" s="3" t="inlineStr">
        <is>
          <t>src/domain/income/onboarding.ts:331</t>
        </is>
      </c>
      <c r="D62" s="3" t="inlineStr">
        <is>
          <t>What is the salary for the year?</t>
        </is>
      </c>
      <c r="E62" s="3" t="inlineStr">
        <is>
          <t>—</t>
        </is>
      </c>
      <c r="F62" s="3" t="inlineStr">
        <is>
          <t>Only as another engine’s dependency — no figure names it directly</t>
        </is>
      </c>
    </row>
    <row r="63" ht="30" customHeight="1">
      <c r="A63" s="3" t="inlineStr">
        <is>
          <t>MK-XS-E-033</t>
        </is>
      </c>
      <c r="B63" s="3" t="inlineStr">
        <is>
          <t>TIPS_A_YEAR</t>
        </is>
      </c>
      <c r="C63" s="3" t="inlineStr">
        <is>
          <t>src/domain/income/onboarding.ts:204</t>
        </is>
      </c>
      <c r="D63" s="3" t="inlineStr">
        <is>
          <t>What do tips come to over the year?</t>
        </is>
      </c>
      <c r="E63" s="3" t="inlineStr">
        <is>
          <t>—</t>
        </is>
      </c>
      <c r="F63" s="3" t="inlineStr">
        <is>
          <t>Only as another engine’s dependency — no figure names it directly</t>
        </is>
      </c>
    </row>
  </sheetData>
  <autoFilter ref="A1:F6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710"/>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83</v>
      </c>
      <c r="Q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89</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102</v>
      </c>
      <c r="Q4" s="3" t="inlineStr">
        <is>
          <t>1. MK-CF-F-092 incomeMonthlyGrid
2. MK-CF-F-004 spendBuckets
3. MK-XS-F-027 takeHomeMonthly
4. MK-ST-F-052 toNum
5. MK-CF-F-069 benefitActiveMonths
6. MK-CF-F-072 currentRetirementIncomeMonthly
7. MK-CF-F-173 earnerWages
8. MK-CF-F-065 equityVestWeights
9. MK-CF-F-071 extraIncome
10. MK-ST-F-056 has
11. MK-CF-F-206 householdK401ByMonth
12. MK-CF-F-132 map
13. MK-CF-F-087 monthlyTaxRates
14. MK-CF-F-073 otherIncomeMonth
15. MK-CF-F-181 rateInForce
16. MK-CF-F-068 rentalNetAnnual
17. MK-CF-F-066 rsuAnnual
18. MK-CF-F-060 salaryGrossByMonth
19. MK-CF-F-077 scholarshipByCalendarMonth
20. MK-CF-F-088 taxableByCalendarMonth
21. MK-CF-F-177 wageGrossByMonth
22. MK-PL-F-012 waterfall
23. MK-CF-F-003 categoryMonthly
24. MK-CF-F-011 savingsByMonth
25. MK-XS-F-122 n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MK-CF-F-120 pctBaseMonthly
49. MK-CF-F-008 spendByMonth
50. MK-CF-O-010 theMonth
51. MK-CF-F-100 taxableIncomeFor
52. MK-CF-F-074 tipsAnnual
53. MK-CF-F-151 actualSpending
54. MK-CF-F-150 debtPaymentsCountedAsExpenses
55. MK-CF-F-153 radar
56. MK-CF-F-149 recurringDebtPayments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MK-ST-F-065 isoLocalDate
90. MK-NW-F-072 rowOf
91. MK-ST-F-047 activeCurrency
92. MK-NW-F-060 approxYTM
93. MK-NW-F-069 priceAtYield
94. MK-NW-F-011 assetClassOf
95. MK-NW-F-070 accruedInterestCaveat
96. MK-NW-F-058 yearsToMaturity
97. MK-NW-F-119 estimatedAccrued
98. MK-NW-F-008 incomeBearingClassOf
99. MK-ST-F-010 nameEvidence
100. MK-XS-F-147 call
101. MK-XS-F-064 currentIdToken
102. MK-XS-F-112 relayUrl</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S4" s="3" t="inlineStr">
        <is>
          <t>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171</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101</v>
      </c>
      <c r="Q5" s="3" t="inlineStr">
        <is>
          <t>1. MK-CF-F-120 pctBaseMonthly
2. MK-XS-F-027 takeHomeMonthly
3. MK-ST-F-052 toNum
4. MK-CF-F-092 incomeMonthlyGrid
5. MK-CF-F-011 savingsByMonth
6. MK-XS-F-122 n
7. MK-CF-F-069 benefitActiveMonths
8. MK-CF-F-072 currentRetirementIncomeMonthly
9. MK-CF-F-173 earnerWages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MK-CF-F-008 spendByMonth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MK-CF-F-004 spendBuckets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MK-NW-F-112 yearlyInterest
81. MK-ST-F-048 currencySymbol
82. MK-ST-F-027 accountId
83. MK-NW-F-057 annualCoupon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MK-NW-F-058 yearsToMaturity
96. MK-NW-F-119 estimatedAccrued
97. MK-NW-F-008 incomeBearingClassOf
98. MK-ST-F-010 nameEvidence
99. MK-XS-F-147 call
100. MK-XS-F-064 currentIdToken
101. MK-XS-F-112 relayUrl</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MK-ST-F-056 has → MK-CF-F-172 hasWage → MK-CF-F-173 earnerWages → MK-CF-F-092 incomeMonthlyGrid → MK-CF-F-120 pctBaseMonthly → MK-CF-F-003 categoryMonthly
4. MK-ST-F-052 toNum → MK-CF-F-062 equityRowValue → MK-CF-F-065 equityVestWeights → MK-CF-F-092 incomeMonthlyGrid → MK-CF-F-120 pctBaseMonthly → MK-CF-F-003 categoryMonthly
5. MK-CF-F-132 map → MK-CF-F-065 equityVestWeights → MK-CF-F-092 incomeMonthlyGrid → MK-CF-F-120 pctBaseMonthly → MK-CF-F-003 categoryMonthly
6. MK-CF-F-069 benefitActiveMonths → MK-CF-F-070 benefitAnnual → MK-CF-F-071 extraIncome → MK-CF-F-092 incomeMonthlyGrid → MK-CF-F-120 pctBaseMonthly → MK-CF-F-003 categoryMonthly
7. MK-ST-F-052 toNum → MK-CF-F-070 benefitAnnual → MK-CF-F-071 extraIncome → MK-CF-F-092 incomeMonthlyGrid → MK-CF-F-120 pctBaseMonthly → MK-CF-F-003 categoryMonthly
8. MK-ST-F-039 on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222</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101</v>
      </c>
      <c r="Q6" s="3" t="inlineStr">
        <is>
          <t>1. MK-CF-F-003 categoryMonthly
2. MK-ST-F-052 toNum
3. MK-CF-F-120 pctBaseMonthly
4. MK-XS-F-027 takeHomeMonthly
5. MK-XS-F-122 n
6. MK-CF-F-092 incomeMonthlyGrid
7. MK-CF-F-011 savingsByMonth
8. MK-CF-F-069 benefitActiveMonths
9. MK-CF-F-072 currentRetirementIncomeMonthly
10. MK-CF-F-173 earnerWages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MK-CF-F-177 wageGrossByMonth
25. MK-PL-F-012 waterfall
26. MK-CF-F-008 spendByMonth
27. MK-CF-F-075 retirementIncomeMonthly
28. MK-CF-F-172 hasWage
29. MK-CF-F-062 equityRowValue
30. MK-CF-F-070 benefitAnnual
31. MK-ST-F-039 on
32. MK-CF-F-176 sumMonthsOverEarners
33. MK-CF-F-203 MONTH
34. MK-CF-F-090 effectiveRate
35. MK-CF-F-180 enteredLandsAnnual
36. MK-CF-F-085 filingStatusOf
37. MK-CF-F-089 over65CountOf
38. MK-CF-F-082 salaryAnnual
39. MK-CF-F-086 stateRateOf
40. MK-CF-F-101 taxOwedFor
41. MK-CF-F-084 taxableAnnual
42. MK-CF-O-002 expenses
43. MK-CF-F-067 rentalList
44. MK-CF-F-063 rowVestYear
45. MK-CF-F-130 enteredMonthlyRaw
46. MK-CF-F-166 hasMonthlySalaryTable
47. MK-ST-F-036 reconcile
48. MK-CF-F-167 salaryCalendarYear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MK-NW-F-112 yearlyInterest
81. MK-ST-F-048 currencySymbol
82. MK-ST-F-027 accountId
83. MK-NW-F-057 annualCoupon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MK-NW-F-058 yearsToMaturity
96. MK-NW-F-119 estimatedAccrued
97. MK-NW-F-008 incomeBearingClassOf
98. MK-ST-F-010 nameEvidence
99. MK-XS-F-147 call
100. MK-XS-F-064 currentIdToken
101. MK-XS-F-112 relayUrl</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MK-CF-F-172 hasWage → MK-CF-F-173 earnerWages → MK-CF-F-092 incomeMonthlyGrid → MK-CF-F-120 pctBaseMonthly → MK-CF-F-003 categoryMonthly → MK-CF-F-004 spendBuckets
4. MK-CF-F-062 equityRowValue → MK-CF-F-065 equityVestWeights → MK-CF-F-092 incomeMonthlyGrid → MK-CF-F-120 pctBaseMonthly → MK-CF-F-003 categoryMonthly → MK-CF-F-004 spendBuckets
5. MK-CF-F-132 map → MK-CF-F-065 equityVestWeights → MK-CF-F-092 incomeMonthlyGrid → MK-CF-F-120 pctBaseMonthly → MK-CF-F-003 categoryMonthly → MK-CF-F-004 spendBuckets
6. MK-CF-F-070 benefitAnnual → MK-CF-F-071 extraIncome → MK-CF-F-092 incomeMonthlyGrid → MK-CF-F-120 pctBaseMonthly → MK-CF-F-003 categoryMonthly → MK-CF-F-004 spendBuckets
7. MK-ST-F-039 on → MK-CF-F-071 extraIncome → MK-CF-F-092 incomeMonthlyGrid → MK-CF-F-120 pctBaseMonthly → MK-CF-F-003 categoryMonthly → MK-CF-F-004 spendBuckets
8. MK-ST-F-052 toNum → MK-CF-F-071 extraIncome → MK-CF-F-092 incomeMonthlyGrid → MK-CF-F-120 pctBaseMonthly → MK-CF-F-003 categoryMonthly → MK-CF-F-004 spendBuckets
9. … and 5 more paths</t>
        </is>
      </c>
      <c r="S6" s="3" t="inlineStr">
        <is>
          <t>—</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324</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101</v>
      </c>
      <c r="Q7" s="3" t="inlineStr">
        <is>
          <t>1. MK-NW-F-078 ONE
2. MK-CF-F-155 cash
3. MK-CF-F-157 debtPaymentsByDebt
4. MK-CF-F-148 inMonth
5. MK-CF-F-192 inflowLabel
6. MK-CF-F-152 isRadarItem
7. MK-CF-F-023 requiredPayment
8. MK-XS-F-027 takeHomeMonthly
9. MK-ST-F-052 toNum
10. MK-CF-F-191 ym
11. MK-NW-F-077 ALL
12. MK-NW-F-059 currentYield
13. MK-XS-F-180 declareFigures
14. MK-ST-F-049 formatMoney
15. MK-ST-F-053 money
16. MK-NW-O-001 theBonds
17. MK-XS-F-122 n
18. MK-CF-F-203 MONTH
19. MK-CF-F-132 map
20. MK-CF-F-193 inflowSourceWord
21. MK-CF-F-022 paymentShape
22. MK-CF-F-092 incomeMonthlyGrid
23. MK-CF-F-011 savingsByMonth
24. MK-NW-F-112 yearlyInterest
25. MK-ST-F-048 currencySymbol
26. MK-ST-F-039 on
27. MK-ST-F-027 accountId
28. MK-NW-F-057 annualCoupon
29. MK-NW-F-056 bondInfo
30. MK-NW-F-064 bondRateSensitivity
31. MK-NW-F-061 bondSummary
32. MK-NW-F-055 isBond
33. MK-ST-F-065 isoLocalDate
34. MK-NW-F-072 rowOf
35. MK-CF-O-010 theMonth
36. MK-CF-F-021 defaultPaymentType
37. MK-CF-F-069 benefitActiveMonths
38. MK-CF-F-072 currentRetirementIncomeMonthly
39. MK-CF-F-173 earnerWages
40. MK-CF-F-065 equityVestWeights
41. MK-CF-F-071 extraIncome
42. MK-ST-F-056 has
43. MK-CF-F-206 householdK401ByMonth
44. MK-CF-F-087 monthlyTaxRates
45. MK-CF-F-073 otherIncomeMonth
46. MK-CF-F-181 rateInForce
47. MK-CF-F-068 rentalNetAnnual
48. MK-CF-F-066 rsuAnnual
49. MK-CF-F-060 salaryGrossByMonth
50. MK-CF-F-077 scholarshipByCalendarMonth
51. MK-CF-F-088 taxableByCalendarMonth
52. MK-CF-F-177 wageGrossByMonth
53. MK-PL-F-012 waterfall
54. MK-CF-F-008 spendByMonth
55. MK-ST-F-047 activeCurrency
56. MK-NW-F-060 approxYTM
57. MK-NW-F-069 priceAtYield
58. MK-NW-F-011 assetClassOf
59. MK-NW-F-070 accruedInterestCaveat
60. MK-NW-F-058 yearsToMaturity
61. MK-CF-O-002 expenses
62. MK-CF-O-003 thisMonth
63. MK-CF-F-075 retirementIncomeMonthly
64. MK-CF-F-172 hasWage
65. MK-CF-F-062 equityRowValue
66. MK-CF-F-070 benefitAnnual
67. MK-CF-F-176 sumMonthsOverEarners
68. MK-CF-F-090 effectiveRate
69. MK-CF-F-180 enteredLandsAnnual
70. MK-CF-F-085 filingStatusOf
71. MK-CF-F-089 over65CountOf
72. MK-CF-F-082 salaryAnnual
73. MK-CF-F-086 stateRateOf
74. MK-CF-F-101 taxOwedFor
75. MK-CF-F-084 taxableAnnual
76. MK-CF-F-067 rentalList
77. MK-CF-F-063 rowVestYear
78. MK-CF-F-130 enteredMonthlyRaw
79. MK-CF-F-166 hasMonthlySalaryTable
80. MK-ST-F-036 reconcile
81. MK-CF-F-167 salaryCalendarYear
82. MK-CF-F-120 pctBaseMonthly
83. MK-CF-F-004 spendBuckets
84. MK-NW-F-119 estimatedAccrued
85. MK-NW-F-008 incomeBearingClassOf
86. MK-CF-F-151 actualSpending
87. MK-CF-F-150 debtPaymentsCountedAsExpenses
88. MK-CF-F-153 radar
89. MK-CF-F-149 recurringDebtPayments
90. MK-CF-F-156 plannedMonthFlow
91. MK-CF-F-100 taxableIncomeFor
92. MK-CF-F-074 tipsAnnual
93. MK-CF-F-165 salaryMonths
94. MK-CF-F-003 categoryMonthly
95. MK-ST-F-010 nameEvidence
96. MK-CF-F-099 deductionFor
97. MK-CF-F-081 salaryActiveMonths
98. MK-XS-F-147 call
99. MK-CF-F-187 seniorDeductionFor
100. MK-XS-F-064 currentIdToken
101. MK-XS-F-112 relayUrl</t>
        </is>
      </c>
      <c r="R7" s="3" t="inlineStr">
        <is>
          <t>1. MK-ST-F-027 accountId → MK-NW-O-001 theBonds → MK-NW-F-077 ALL → MK-NW-F-078 ONE → MK-CF-F-005 actualMonthFlow
2. MK-NW-F-057 annualCoupon → MK-NW-O-001 theBonds → MK-NW-F-077 ALL → MK-NW-F-078 ONE → MK-CF-F-005 actualMonthFlow
3. MK-CF-F-155 cash → MK-NW-F-056 bondInfo → MK-NW-O-001 theBonds → MK-NW-F-077 ALL → MK-NW-F-078 ONE → MK-CF-F-005 actualMonthFlow
4. MK-NW-F-060 approxYTM → MK-NW-F-064 bondRateSensitivity → MK-NW-O-001 theBonds → MK-NW-F-077 ALL → MK-NW-F-078 ONE → MK-CF-F-005 actualMonthFlow
5. MK-NW-F-069 priceAtYield → MK-NW-F-064 bondRateSensitivity → MK-NW-O-001 theBonds → MK-NW-F-077 ALL → MK-NW-F-078 ONE → MK-CF-F-005 actualMonthFlow
6. MK-ST-F-065 isoLocalDate → MK-NW-F-061 bondSummary → MK-NW-O-001 theBonds → MK-NW-F-077 ALL → MK-NW-F-078 ONE → MK-CF-F-005 actualMonthFlow
7. MK-CF-F-132 map → MK-NW-F-061 bondSummary → MK-NW-O-001 theBonds → MK-NW-F-077 ALL → MK-NW-F-078 ONE → MK-CF-F-005 actualMonthFlow
8. MK-NW-F-112 yearlyInterest → MK-NW-F-061 bondSummary → MK-NW-O-001 theBonds → MK-NW-F-077 ALL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259</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292</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346</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101</v>
      </c>
      <c r="Q10" s="3" t="inlineStr">
        <is>
          <t>1. MK-CF-F-132 map
2. MK-CF-F-120 pctBaseMonthly
3. MK-CF-F-004 spendBuckets
4. MK-ST-F-052 toNum
5. MK-CF-F-092 incomeMonthlyGrid
6. MK-CF-F-003 categoryMonthly
7. MK-XS-F-122 n
8. MK-CF-F-069 benefitActiveMonths
9. MK-CF-F-072 currentRetirementIncomeMonthly
10. MK-CF-F-173 earnerWages
11. MK-CF-F-065 equityVestWeights
12. MK-CF-F-071 extraIncome
13. MK-ST-F-056 has
14. MK-CF-F-206 householdK401ByMonth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MK-XS-F-027 takeHomeMonthly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MK-CF-F-011 savingsByMonth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MK-NW-F-112 yearlyInterest
81. MK-ST-F-048 currencySymbol
82. MK-ST-F-027 accountId
83. MK-NW-F-057 annualCoupon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MK-NW-F-058 yearsToMaturity
96. MK-NW-F-119 estimatedAccrued
97. MK-NW-F-008 incomeBearingClassOf
98. MK-ST-F-010 nameEvidence
99. MK-XS-F-147 call
100. MK-XS-F-064 currentIdToken
101. MK-XS-F-112 relayUrl</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MK-ST-F-056 has → MK-CF-F-172 hasWage → MK-CF-F-173 earnerWages → MK-CF-F-092 incomeMonthlyGrid → MK-CF-F-120 pctBaseMonthly → MK-CF-F-008 spendByMonth
5. MK-ST-F-052 toNum → MK-CF-F-062 equityRowValue → MK-CF-F-065 equityVestWeights → MK-CF-F-092 incomeMonthlyGrid → MK-CF-F-120 pctBaseMonthly → MK-CF-F-008 spendByMonth
6. MK-CF-F-132 map → MK-CF-F-065 equityVestWeights → MK-CF-F-092 incomeMonthlyGrid → MK-CF-F-120 pctBaseMonthly → MK-CF-F-008 spendByMonth
7. MK-CF-F-069 benefitActiveMonths → MK-CF-F-070 benefitAnnual → MK-CF-F-071 extraIncome → MK-CF-F-092 incomeMonthlyGrid → MK-CF-F-120 pctBaseMonthly → MK-CF-F-008 spendByMonth
8. MK-ST-F-052 toNum → MK-CF-F-070 benefitAnnual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409</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103</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MK-CF-F-173 earnerWages
12. MK-CF-F-065 equityVestWeights
13. MK-CF-F-071 extraIncome
14. MK-ST-F-056 has
15. MK-CF-F-206 householdK401ByMonth
16. MK-CF-F-132 map
17. MK-CF-F-087 monthlyTaxRates
18. MK-CF-F-073 otherIncomeMonth
19. MK-CF-F-181 rateInForce
20. MK-CF-F-068 rentalNetAnnual
21. MK-CF-F-066 rsuAnnual
22. MK-CF-F-060 salaryGrossByMonth
23. MK-CF-F-077 scholarshipByCalendarMonth
24. MK-CF-F-088 taxableByCalendarMonth
25. MK-CF-F-177 wageGrossByMonth
26. MK-PL-F-012 waterfall
27. MK-CF-F-011 savingsByMonth
28. MK-CF-F-075 retirementIncomeMonthly
29. MK-CF-F-172 hasWage
30. MK-CF-F-062 equityRowValue
31. MK-CF-F-070 benefitAnnual
32. MK-ST-F-039 on
33. MK-CF-F-176 sumMonthsOverEarners
34. MK-CF-F-203 MONTH
35. MK-CF-F-090 effectiveRate
36. MK-CF-F-180 enteredLandsAnnual
37. MK-CF-F-085 filingStatusOf
38. MK-CF-F-089 over65CountOf
39. MK-CF-F-082 salaryAnnual
40. MK-CF-F-086 stateRateOf
41. MK-CF-F-101 taxOwedFor
42. MK-CF-F-084 taxableAnnual
43. MK-CF-O-002 expenses
44. MK-CF-F-067 rentalList
45. MK-CF-F-063 rowVestYear
46. MK-CF-F-130 enteredMonthlyRaw
47. MK-CF-F-166 hasMonthlySalaryTable
48. MK-ST-F-036 reconcile
49. MK-CF-F-167 salaryCalendarYear
50. MK-CF-F-008 spendByMonth
51. MK-CF-O-010 theMonth
52. MK-CF-F-100 taxableIncomeFor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MK-ST-F-065 isoLocalDate
91. MK-NW-F-072 rowOf
92. MK-ST-F-047 activeCurrency
93. MK-NW-F-060 approxYTM
94. MK-NW-F-069 priceAtYield
95. MK-NW-F-011 assetClassOf
96. MK-NW-F-070 accruedInterestCaveat
97. MK-NW-F-058 yearsToMaturity
98. MK-NW-F-119 estimatedAccrued
99. MK-NW-F-008 incomeBearingClassOf
100. MK-ST-F-010 nameEvidence
101. MK-XS-F-147 call
102. MK-XS-F-064 currentIdToken
103. MK-XS-F-112 relayUrl</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MK-ST-F-056 has → MK-CF-F-172 hasWage → MK-CF-F-173 earnerWages → MK-CF-F-092 incomeMonthlyGrid → MK-CF-F-120 pctBaseMonthly → MK-CF-F-009 monthlyEssentials
4. MK-ST-F-052 toNum → MK-CF-F-062 equityRowValue → MK-CF-F-065 equityVestWeights → MK-CF-F-092 incomeMonthlyGrid → MK-CF-F-120 pctBaseMonthly → MK-CF-F-009 monthlyEssentials
5. MK-CF-F-132 map → MK-CF-F-065 equityVestWeights → MK-CF-F-092 incomeMonthlyGrid → MK-CF-F-120 pctBaseMonthly → MK-CF-F-009 monthlyEssentials
6. MK-CF-F-069 benefitActiveMonths → MK-CF-F-070 benefitAnnual → MK-CF-F-071 extraIncome → MK-CF-F-092 incomeMonthlyGrid → MK-CF-F-120 pctBaseMonthly → MK-CF-F-009 monthlyEssentials
7. MK-ST-F-052 toNum → MK-CF-F-070 benefitAnnual → MK-CF-F-071 extraIncome → MK-CF-F-092 incomeMonthlyGrid → MK-CF-F-120 pctBaseMonthly → MK-CF-F-009 monthlyEssentials
8. MK-ST-F-039 on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468</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104</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MK-CF-F-173 earnerWages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MK-CF-F-177 wageGrossByMonth
28. MK-PL-F-012 waterfall
29. MK-CF-F-011 savingsByMonth
30. MK-CF-F-075 retirementIncomeMonthly
31. MK-CF-F-172 hasWage
32. MK-CF-F-062 equityRowValue
33. MK-CF-F-070 benefitAnnual
34. MK-ST-F-039 on
35. MK-CF-F-176 sumMonthsOverEarners
36. MK-CF-F-203 MONTH
37. MK-CF-F-090 effectiveRate
38. MK-CF-F-180 enteredLandsAnnual
39. MK-CF-F-085 filingStatusOf
40. MK-CF-F-089 over65CountOf
41. MK-CF-F-082 salaryAnnual
42. MK-CF-F-086 stateRateOf
43. MK-CF-F-101 taxOwedFor
44. MK-CF-F-084 taxableAnnual
45. MK-CF-O-002 expenses
46. MK-CF-F-067 rentalList
47. MK-CF-F-063 rowVestYear
48. MK-CF-F-130 enteredMonthlyRaw
49. MK-CF-F-166 hasMonthlySalaryTable
50. MK-ST-F-036 reconcile
51. MK-CF-F-167 salaryCalendarYear
52. MK-CF-F-008 spendByMonth
53. MK-CF-O-010 theMonth
54. MK-CF-F-100 taxableIncomeFor
55. MK-CF-F-074 tipsAnnual
56. MK-CF-F-151 actualSpending
57. MK-CF-F-150 debtPaymentsCountedAsExpenses
58. MK-CF-F-153 radar
59. MK-CF-F-149 recurringDebtPayments
60. MK-CF-F-165 salaryMonths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MK-NW-F-112 yearlyInterest
84. MK-ST-F-048 currencySymbol
85. MK-ST-F-027 accountId
86. MK-NW-F-057 annualCoupon
87. MK-NW-F-056 bondInfo
88. MK-NW-F-064 bondRateSensitivity
89. MK-NW-F-061 bondSummary
90. MK-NW-F-055 isBond
91. MK-ST-F-065 isoLocalDate
92. MK-NW-F-072 rowOf
93. MK-ST-F-047 activeCurrency
94. MK-NW-F-060 approxYTM
95. MK-NW-F-069 priceAtYield
96. MK-NW-F-011 assetClassOf
97. MK-NW-F-070 accruedInterestCaveat
98. MK-NW-F-058 yearsToMaturity
99. MK-NW-F-119 estimatedAccrued
100. MK-NW-F-008 incomeBearingClassOf
101. MK-ST-F-010 nameEvidence
102. MK-XS-F-147 call
103. MK-XS-F-064 currentIdToken
104. MK-XS-F-112 relayUrl</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MK-CF-F-172 hasWage → MK-CF-F-173 earnerWages → MK-CF-F-092 incomeMonthlyGrid → MK-CF-F-120 pctBaseMonthly → MK-CF-F-009 monthlyEssentials → MK-CF-F-010 emergencyTest
5. MK-CF-F-062 equityRowValue → MK-CF-F-065 equityVestWeights → MK-CF-F-092 incomeMonthlyGrid → MK-CF-F-120 pctBaseMonthly → MK-CF-F-009 monthlyEssentials → MK-CF-F-010 emergencyTest
6. MK-CF-F-132 map → MK-CF-F-065 equityVestWeights → MK-CF-F-092 incomeMonthlyGrid → MK-CF-F-120 pctBaseMonthly → MK-CF-F-009 monthlyEssentials → MK-CF-F-010 emergencyTest
7. MK-CF-F-070 benefitAnnual → MK-CF-F-071 extraIncome → MK-CF-F-092 incomeMonthlyGrid → MK-CF-F-120 pctBaseMonthly → MK-CF-F-009 monthlyEssentials → MK-CF-F-010 emergencyTest
8. MK-ST-F-039 on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522</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101</v>
      </c>
      <c r="Q13" s="3" t="inlineStr">
        <is>
          <t>1. MK-CF-F-092 incomeMonthlyGrid
2. MK-CF-F-132 map
3. MK-CF-F-008 spendByMonth
4. MK-CF-F-069 benefitActiveMonths
5. MK-CF-F-072 currentRetirementIncomeMonthly
6. MK-CF-F-173 earnerWages
7. MK-CF-F-065 equityVestWeights
8. MK-CF-F-071 extraIncome
9. MK-ST-F-056 has
10. MK-CF-F-206 householdK401ByMonth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MK-CF-F-165 salaryMonths
56. MK-XS-F-027 takeHomeMonthly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MK-NW-F-112 yearlyInterest
81. MK-ST-F-048 currencySymbol
82. MK-ST-F-027 accountId
83. MK-NW-F-057 annualCoupon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MK-NW-F-058 yearsToMaturity
96. MK-NW-F-119 estimatedAccrued
97. MK-NW-F-008 incomeBearingClassOf
98. MK-ST-F-010 nameEvidence
99. MK-XS-F-147 call
100. MK-XS-F-064 currentIdToken
101. MK-XS-F-112 relayUrl</t>
        </is>
      </c>
      <c r="R13" s="3" t="inlineStr">
        <is>
          <t>1. MK-CF-F-069 benefitActiveMonths → MK-CF-F-092 incomeMonthlyGrid → MK-CF-F-011 savingsByMonth
2. MK-XS-F-122 n → MK-ST-F-052 toNum → MK-CF-F-075 retirementIncomeMonthly → MK-CF-F-072 currentRetirementIncomeMonthly → MK-CF-F-092 incomeMonthlyGrid → MK-CF-F-011 savingsByMonth
3. MK-ST-F-056 has → MK-CF-F-172 hasWage → MK-CF-F-173 earnerWages → MK-CF-F-092 incomeMonthlyGrid → MK-CF-F-011 savingsByMonth
4. MK-XS-F-122 n → MK-ST-F-052 toNum → MK-CF-F-062 equityRowValue → MK-CF-F-065 equityVestWeights → MK-CF-F-092 incomeMonthlyGrid → MK-CF-F-011 savingsByMonth
5. MK-CF-F-132 map → MK-CF-F-065 equityVestWeights → MK-CF-F-092 incomeMonthlyGrid → MK-CF-F-011 savingsByMonth
6. MK-CF-F-069 benefitActiveMonths → MK-CF-F-070 benefitAnnual → MK-CF-F-071 extraIncome → MK-CF-F-092 incomeMonthlyGrid → MK-CF-F-011 savingsByMonth
7. MK-XS-F-122 n → MK-ST-F-052 toNum → MK-CF-F-070 benefitAnnual → MK-CF-F-071 extraIncome → MK-CF-F-092 incomeMonthlyGrid → MK-CF-F-011 savingsByMonth
8. MK-ST-F-039 on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552</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102</v>
      </c>
      <c r="Q14" s="3" t="inlineStr">
        <is>
          <t>1. MK-CF-F-092 incomeMonthlyGrid
2. MK-CF-F-008 spendByMonth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MK-CF-F-165 salaryMonths
56. MK-XS-F-027 takeHomeMonthly
57. MK-CF-F-155 cash
58. MK-CF-O-003 thisMonth
59. MK-CF-F-099 deductionFor
60. MK-CF-F-081 salaryActiveMonths
61. MK-CF-F-148 inMonth
62. MK-CF-F-191 ym
63. MK-CF-F-022 paymentShape
64. MK-CF-F-152 isRadarItem
65. MK-CF-F-023 requiredPayment
66. MK-CF-F-011 savingsByMonth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MK-ST-F-065 isoLocalDate
90. MK-NW-F-072 rowOf
91. MK-ST-F-047 activeCurrency
92. MK-NW-F-060 approxYTM
93. MK-NW-F-069 priceAtYield
94. MK-NW-F-011 assetClassOf
95. MK-NW-F-070 accruedInterestCaveat
96. MK-NW-F-058 yearsToMaturity
97. MK-NW-F-119 estimatedAccrued
98. MK-NW-F-008 incomeBearingClassOf
99. MK-ST-F-010 nameEvidence
100. MK-XS-F-147 call
101. MK-XS-F-064 currentIdToken
102. MK-XS-F-112 relayUrl</t>
        </is>
      </c>
      <c r="R14" s="3" t="inlineStr">
        <is>
          <t>1. MK-CF-F-069 benefitActiveMonths → MK-CF-F-092 incomeMonthlyGrid → MK-CF-F-012 annualCashflow
2. MK-XS-F-122 n → MK-ST-F-052 toNum → MK-CF-F-075 retirementIncomeMonthly → MK-CF-F-072 currentRetirementIncomeMonthly → MK-CF-F-092 incomeMonthlyGrid → MK-CF-F-012 annualCashflow
3. MK-ST-F-056 has → MK-CF-F-172 hasWage → MK-CF-F-173 earnerWages → MK-CF-F-092 incomeMonthlyGrid → MK-CF-F-012 annualCashflow
4. MK-XS-F-122 n → MK-ST-F-052 toNum → MK-CF-F-062 equityRowValue → MK-CF-F-065 equityVestWeights → MK-CF-F-092 incomeMonthlyGrid → MK-CF-F-012 annualCashflow
5. MK-CF-F-132 map → MK-CF-F-065 equityVestWeights → MK-CF-F-092 incomeMonthlyGrid → MK-CF-F-012 annualCashflow
6. MK-CF-F-069 benefitActiveMonths → MK-CF-F-070 benefitAnnual → MK-CF-F-071 extraIncome → MK-CF-F-092 incomeMonthlyGrid → MK-CF-F-012 annualCashflow
7. MK-XS-F-122 n → MK-ST-F-052 toNum → MK-CF-F-070 benefitAnnual → MK-CF-F-071 extraIncome → MK-CF-F-092 incomeMonthlyGrid → MK-CF-F-012 annualCashflow
8. MK-ST-F-039 on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591</v>
      </c>
      <c r="E15" s="3" t="inlineStr">
        <is>
          <t>3 · DEPENDENT</t>
        </is>
      </c>
      <c r="F15" s="3" t="inlineStr">
        <is>
          <t>Turns the answers about expenses given during setup into the stored budget: the monthly total and its three parts, which are fixed bills, once-in-a-while costs and everyday expenses.</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159</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MK-CF-F-069 benefitActiveMonths
37. MK-CF-F-072 currentRetirementIncomeMonthly
38. MK-CF-F-173 earnerWages
39. MK-CF-F-065 equityVestWeights
40. MK-CF-F-071 extraIncome
41. MK-CF-F-206 householdK401ByMonth
42. MK-CF-F-087 monthlyTaxRates
43. MK-CF-F-073 otherIncomeMonth
44. MK-CF-F-181 rateInForce
45. MK-CF-F-068 rentalNetAnnual
46. MK-CF-F-066 rsuAnnual
47. MK-CF-F-060 salaryGrossByMonth
48. MK-CF-F-077 scholarshipByCalendarMonth
49. MK-CF-F-088 taxableByCalendarMonth
50. MK-CF-F-177 wageGrossByMonth
51. MK-PL-F-012 waterfall
52. MK-CF-F-011 savingsByMonth
53. MK-CF-F-120 pctBaseMonthly
54. MK-CF-F-138 addLot
55. MK-CF-F-136 bumpCash
56. MK-CF-F-137 findPos
57. MK-CF-F-139 removeShares
58. MK-PF-F-001 totalShares
59. MK-ST-F-053 money
60. MK-CF-F-085 filingStatusOf
61. MK-CF-F-097 grossFromNet
62. MK-CF-F-185 needsTakeHomeConversion
63. MK-CF-F-089 over65CountOf
64. MK-CF-F-037 inferDebtType
65. MK-ST-F-069 amountOf
66. MK-CF-F-133 cashOf
67. MK-ST-F-066 isDayKey
68. MK-ST-F-070 isOpening
69. MK-ST-F-039 on
70. MK-ST-F-071 rebuildableFrom
71. MK-ST-F-068 stepDay
72. MK-ST-F-072 undo
73. MK-NW-F-053 correctClassOf
74. MK-NW-F-008 incomeBearingClassOf
75. MK-PF-F-002 costBasis
76. MK-PF-F-009 latestClose
77. MK-PF-F-004 marketValue
78. MK-ST-F-030 record
79. MK-XS-F-024 resolveLens
80. MK-ST-F-055 round2
81. MK-CF-F-162 daysApart
82. MK-CF-F-108 isMoneyOut
83. MK-PL-F-074 median
84. MK-CF-F-131 normPayee
85. MK-CF-F-113 affectedAccountIds
86. MK-CF-F-075 retirementIncomeMonthly
87. MK-CF-F-172 hasWage
88. MK-CF-F-062 equityRowValue
89. MK-CF-F-070 benefitAnnual
90. MK-CF-F-176 sumMonthsOverEarners
91. MK-CF-F-203 MONTH
92. MK-CF-F-090 effectiveRate
93. MK-CF-F-180 enteredLandsAnnual
94. MK-CF-F-082 salaryAnnual
95. MK-CF-F-086 stateRateOf
96. MK-CF-F-101 taxOwedFor
97. MK-CF-F-084 taxableAnnual
98. MK-CF-O-002 expenses
99. MK-CF-F-067 rentalList
100. MK-CF-F-063 rowVestYear
101. MK-CF-F-130 enteredMonthlyRaw
102. MK-CF-F-166 hasMonthlySalaryTable
103. MK-ST-F-036 reconcile
104. MK-CF-F-167 salaryCalendarYear
105. MK-CF-F-008 spendByMonth
106. MK-CF-F-134 usesSleeve
107. MK-ST-F-049 formatMoney
108. MK-ST-F-067 utcOfDay
109. MK-CF-F-155 cash
110. MK-ST-F-035 covers
111. MK-NW-F-009 maturityClass
112. MK-ST-F-010 nameEvidence
113. MK-PF-F-031 contractMultiplier
114. MK-CF-O-010 theMonth
115. MK-CF-F-100 taxableIncomeFor
116. MK-CF-F-074 tipsAnnual
117. MK-CF-F-151 actualSpending
118. MK-CF-F-150 debtPaymentsCountedAsExpenses
119. MK-CF-F-153 radar
120. MK-CF-F-149 recurringDebtPayments
121. MK-CF-F-165 salaryMonths
122. MK-ST-F-048 currencySymbol
123. MK-ST-F-034 firstDate
124. MK-NW-F-011 assetClassOf
125. MK-XS-F-147 call
126. MK-CF-O-003 thisMonth
127. MK-CF-F-099 deductionFor
128. MK-CF-F-081 salaryActiveMonths
129. MK-CF-F-148 inMonth
130. MK-CF-F-022 paymentShape
131. MK-CF-F-152 isRadarItem
132. MK-CF-F-023 requiredPayment
133. MK-ST-F-047 activeCurrency
134. MK-XS-F-064 currentIdToken
135. MK-XS-F-112 relayUrl
136. MK-CF-F-005 actualMonthFlow
137. MK-CF-F-156 plannedMonthFlow
138. MK-CF-F-187 seniorDeductionFor
139. MK-CF-F-021 defaultPaymentType
140. MK-NW-F-078 ONE
141. MK-CF-F-157 debtPaymentsByDebt
142. MK-CF-F-192 inflowLabel
143. MK-NW-F-077 ALL
144. MK-NW-F-059 currentYield
145. MK-XS-F-180 declareFigures
146. MK-NW-O-001 theBonds
147. MK-CF-F-193 inflowSourceWord
148. MK-NW-F-112 yearlyInterest
149. MK-NW-F-057 annualCoupon
150. MK-NW-F-056 bondInfo
151. MK-NW-F-064 bondRateSensitivity
152. MK-NW-F-061 bondSummary
153. MK-NW-F-055 isBond
154. MK-NW-F-072 rowOf
155. MK-NW-F-060 approxYTM
156. MK-NW-F-069 priceAtYield
157. MK-NW-F-070 accruedInterestCaveat
158. MK-NW-F-058 yearsToMaturity
159. MK-NW-F-119 estimatedAccrued</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MK-ST-F-056 has → MK-CF-F-172 hasWage → MK-CF-F-173 earnerWages → MK-CF-F-092 incomeMonthlyGrid → MK-CF-F-002 plannedMonthlySpend → MK-CF-F-013 budgetFromOnboarding
4. MK-ST-F-052 toNum → MK-CF-F-062 equityRowValue → MK-CF-F-065 equityVestWeights → MK-CF-F-092 incomeMonthlyGrid → MK-CF-F-002 plannedMonthlySpend → MK-CF-F-013 budgetFromOnboarding
5. MK-CF-F-132 map → MK-CF-F-065 equityVestWeights → MK-CF-F-092 incomeMonthlyGrid → MK-CF-F-002 plannedMonthlySpend → MK-CF-F-013 budgetFromOnboarding
6. MK-CF-F-069 benefitActiveMonths → MK-CF-F-070 benefitAnnual → MK-CF-F-071 extraIncome → MK-CF-F-092 incomeMonthlyGrid → MK-CF-F-002 plannedMonthlySpend → MK-CF-F-013 budgetFromOnboarding
7. MK-ST-F-052 toNum → MK-CF-F-070 benefitAnnual → MK-CF-F-071 extraIncome → MK-CF-F-092 incomeMonthlyGrid → MK-CF-F-002 plannedMonthlySpend → MK-CF-F-013 budgetFromOnboarding
8. MK-ST-F-039 on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645</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"Actual expenses so far" — on the Home screen, under "THIS MONTH"</t>
        </is>
      </c>
      <c r="M16" s="3" t="inlineStr">
        <is>
          <t>· Uses today's date from the device clock, so the answer changes by itself overnight.</t>
        </is>
      </c>
      <c r="N16" s="3" t="inlineStr">
        <is>
          <t>Yes</t>
        </is>
      </c>
      <c r="O16" s="3" t="inlineStr">
        <is>
          <t>1. MK-CF-F-132 map
2. MK-CF-F-004 spendBuckets
3. MK-ST-F-052 toNum
4. MK-CF-F-191 ym</t>
        </is>
      </c>
      <c r="P16" s="3" t="n">
        <v>102</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MK-CF-F-177 wageGrossByMonth
27. MK-PL-F-012 waterfall
28. MK-CF-F-008 spendByMonth
29. MK-CF-F-075 retirementIncomeMonthly
30. MK-CF-F-172 hasWage
31. MK-CF-F-062 equityRowValue
32. MK-CF-F-070 benefitAnnual
33. MK-ST-F-039 on
34. MK-CF-F-176 sumMonthsOverEarners
35. MK-CF-F-203 MONTH
36. MK-CF-F-090 effectiveRate
37. MK-CF-F-180 enteredLandsAnnual
38. MK-CF-F-085 filingStatusOf
39. MK-CF-F-089 over65CountOf
40. MK-CF-F-082 salaryAnnual
41. MK-CF-F-086 stateRateOf
42. MK-CF-F-101 taxOwedFor
43. MK-CF-F-084 taxableAnnual
44. MK-CF-O-002 expenses
45. MK-CF-F-067 rentalList
46. MK-CF-F-063 rowVestYear
47. MK-CF-F-130 enteredMonthlyRaw
48. MK-CF-F-166 hasMonthlySalaryTable
49. MK-ST-F-036 reconcile
50. MK-CF-F-167 salaryCalendarYear
51. MK-CF-O-010 theMonth
52. MK-CF-F-100 taxableIncomeFor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MK-ST-F-065 isoLocalDate
90. MK-NW-F-072 rowOf
91. MK-ST-F-047 activeCurrency
92. MK-NW-F-060 approxYTM
93. MK-NW-F-069 priceAtYield
94. MK-NW-F-011 assetClassOf
95. MK-NW-F-070 accruedInterestCaveat
96. MK-NW-F-058 yearsToMaturity
97. MK-NW-F-119 estimatedAccrued
98. MK-NW-F-008 incomeBearingClassOf
99. MK-ST-F-010 nameEvidence
100. MK-XS-F-147 call
101. MK-XS-F-064 currentIdToken
102. MK-XS-F-112 relayUrl</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685</v>
      </c>
      <c r="E17" s="3" t="inlineStr">
        <is>
          <t>3 · DEPENDENT (feeds an action only)</t>
        </is>
      </c>
      <c r="F17" s="3" t="inlineStr">
        <is>
          <t>Reads a person's saved budget from storage and calculates nothing.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83</v>
      </c>
      <c r="Q1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703</v>
      </c>
      <c r="E18" s="3" t="inlineStr">
        <is>
          <t>1 · ACTION</t>
        </is>
      </c>
      <c r="F18" s="3" t="inlineStr">
        <is>
          <t>Saves a person's budget to storage and calculates nothing.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84</v>
      </c>
      <c r="Q18"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720</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84</v>
      </c>
      <c r="Q19" s="3" t="inlineStr">
        <is>
          <t>1. MK-ST-F-040 emit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72</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233</v>
      </c>
      <c r="E21" s="3" t="inlineStr">
        <is>
          <t>3 · DEPENDENT</t>
        </is>
      </c>
      <c r="F21" s="3" t="inlineStr">
        <is>
          <t>The dated bills coming due over the next year, each with the day the money must be there, the cash expected by that day and how much short it would be.</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107</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MK-CF-F-180 enteredLandsAnnual
29. MK-CF-F-085 filingStatusOf
30. MK-CF-F-206 householdK401ByMonth
31. MK-CF-F-089 over65CountOf
32. MK-CF-F-086 stateRateOf
33. MK-CF-F-101 taxOwedFor
34. MK-CF-F-176 sumMonthsOverEarners
35. MK-CF-F-177 wageGrossByMonth
36. MK-CF-F-151 actualSpending
37. MK-CF-F-150 debtPaymentsCountedAsExpenses
38. MK-CF-F-153 radar
39. MK-CF-F-149 recurringDebtPayments
40. MK-CF-F-120 pctBaseMonthly
41. MK-XS-F-027 takeHomeMonthly
42. MK-ST-F-039 on
43. MK-CF-F-062 equityRowValue
44. MK-CF-F-063 rowVestYear
45. MK-CF-F-081 salaryActiveMonths
46. MK-CF-F-172 hasWage
47. MK-CF-F-100 taxableIncomeFor
48. MK-CF-F-130 enteredMonthlyRaw
49. MK-CF-F-166 hasMonthlySalaryTable
50. MK-ST-F-036 reconcile
51. MK-CF-F-167 salaryCalendarYear
52. MK-CF-F-148 inMonth
53. MK-CF-F-191 ym
54. MK-ST-F-056 has
55. MK-CF-F-022 paymentShape
56. MK-CF-F-152 isRadarItem
57. MK-CF-F-023 requiredPayment
58. MK-CF-F-092 incomeMonthlyGrid
59. MK-CF-F-011 savingsByMonth
60. MK-CF-F-099 deductionFor
61. MK-CF-F-165 salaryMonths
62. MK-CF-F-021 defaultPaymentType
63. MK-CF-F-065 equityVestWeights
64. MK-CF-F-087 monthlyTaxRates
65. MK-CF-F-073 otherIncomeMonth
66. MK-CF-F-077 scholarshipByCalendarMonth
67. MK-CF-F-088 taxableByCalendarMonth
68. MK-PL-F-012 waterfall
69. MK-CF-F-008 spendByMonth
70. MK-CF-F-187 seniorDeductionFor
71. MK-CF-F-203 MONTH
72. MK-CF-O-010 theMonth
73. MK-CF-F-155 cash
74. MK-CF-O-003 thisMonth
75. MK-CF-F-005 actualMonthFlow
76. MK-CF-F-156 plannedMonthFlow
77. MK-NW-F-078 ONE
78. MK-CF-F-157 debtPaymentsByDebt
79. MK-CF-F-192 inflowLabel
80. MK-NW-F-077 ALL
81. MK-NW-F-059 currentYield
82. MK-XS-F-180 declareFigures
83. MK-ST-F-049 formatMoney
84. MK-ST-F-053 money
85. MK-NW-O-001 theBonds
86. MK-CF-F-193 inflowSourceWord
87. MK-NW-F-112 yearlyInterest
88. MK-ST-F-048 currencySymbol
89. MK-ST-F-027 accountId
90. MK-NW-F-057 annualCoupon
91. MK-NW-F-056 bondInfo
92. MK-NW-F-064 bondRateSensitivity
93. MK-NW-F-061 bondSummary
94. MK-NW-F-055 isBond
95. MK-NW-F-072 rowOf
96. MK-ST-F-047 activeCurrency
97. MK-NW-F-060 approxYTM
98. MK-NW-F-069 priceAtYield
99. MK-NW-F-011 assetClassOf
100. MK-NW-F-070 accruedInterestCaveat
101. MK-NW-F-058 yearsToMaturity
102. MK-NW-F-119 estimatedAccrued
103. MK-NW-F-008 incomeBearingClassOf
104. MK-ST-F-010 nameEvidence
105. MK-XS-F-147 call
106. MK-XS-F-064 currentIdToken
107. MK-XS-F-112 relayUrl</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MK-CF-F-172 hasWage → MK-CF-F-173 earnerWages → MK-CF-F-180 enteredLandsAnnual → MK-CF-F-181 rateInForce → MK-CF-F-090 effectiveRate → MK-CF-F-019 upcomingBills
8. MK-XS-F-122 n → MK-ST-F-052 toNum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352</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104</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MK-CF-F-180 enteredLandsAnnual
26. MK-CF-F-085 filingStatusOf
27. MK-CF-F-206 householdK401ByMonth
28. MK-CF-F-089 over65CountOf
29. MK-CF-F-082 salaryAnnual
30. MK-CF-F-086 stateRateOf
31. MK-CF-F-101 taxOwedFor
32. MK-CF-F-084 taxableAnnual
33. MK-CF-F-063 rowVestYear
34. MK-CF-F-151 actualSpending
35. MK-CF-F-150 debtPaymentsCountedAsExpenses
36. MK-CF-F-153 radar
37. MK-CF-F-149 recurringDebtPayments
38. MK-CF-F-130 enteredMonthlyRaw
39. MK-CF-F-166 hasMonthlySalaryTable
40. MK-ST-F-036 reconcile
41. MK-CF-F-167 salaryCalendarYear
42. MK-CF-F-092 incomeMonthlyGrid
43. MK-CF-F-003 categoryMonthly
44. MK-CF-F-172 hasWage
45. MK-CF-F-100 taxableIncomeFor
46. MK-CF-F-071 extraIncome
47. MK-CF-F-074 tipsAnnual
48. MK-CF-F-148 inMonth
49. MK-CF-F-191 ym
50. MK-CF-F-022 paymentShape
51. MK-CF-F-152 isRadarItem
52. MK-CF-F-023 requiredPayment
53. MK-CF-F-165 salaryMonths
54. MK-CF-F-065 equityVestWeights
55. MK-CF-F-087 monthlyTaxRates
56. MK-CF-F-077 scholarshipByCalendarMonth
57. MK-CF-F-088 taxableByCalendarMonth
58. MK-PL-F-012 waterfall
59. MK-XS-F-027 takeHomeMonthly
60. MK-CF-F-099 deductionFor
61. MK-CF-F-070 benefitAnnual
62. MK-ST-F-039 on
63. MK-CF-F-081 salaryActiveMonths
64. MK-CF-F-021 defaultPaymentType
65. MK-CF-F-203 MONTH
66. MK-CF-F-011 savingsByMonth
67. MK-CF-F-187 seniorDeductionFor
68. MK-CF-O-010 theMonth
69. MK-CF-F-155 cash
70. MK-CF-O-003 thisMonth
71. MK-CF-F-005 actualMonthFlow
72. MK-CF-F-156 plannedMonthFlow
73. MK-NW-F-078 ONE
74. MK-CF-F-157 debtPaymentsByDebt
75. MK-CF-F-192 inflowLabel
76. MK-NW-F-077 ALL
77. MK-NW-F-059 currentYield
78. MK-XS-F-180 declareFigures
79. MK-ST-F-049 formatMoney
80. MK-ST-F-053 money
81. MK-NW-O-001 theBonds
82. MK-CF-F-193 inflowSourceWord
83. MK-NW-F-112 yearlyInterest
84. MK-ST-F-048 currencySymbol
85. MK-ST-F-027 accountId
86. MK-NW-F-057 annualCoupon
87. MK-NW-F-056 bondInfo
88. MK-NW-F-064 bondRateSensitivity
89. MK-NW-F-061 bondSummary
90. MK-NW-F-055 isBond
91. MK-ST-F-065 isoLocalDate
92. MK-NW-F-072 rowOf
93. MK-ST-F-047 activeCurrency
94. MK-NW-F-060 approxYTM
95. MK-NW-F-069 priceAtYield
96. MK-NW-F-011 assetClassOf
97. MK-NW-F-070 accruedInterestCaveat
98. MK-NW-F-058 yearsToMaturity
99. MK-NW-F-119 estimatedAccrued
100. MK-NW-F-008 incomeBearingClassOf
101. MK-ST-F-010 nameEvidence
102. MK-XS-F-147 call
103. MK-XS-F-064 currentIdToken
104. MK-XS-F-112 relayUrl</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MK-CF-F-172 hasWage → MK-CF-F-173 earnerWages → MK-CF-F-180 enteredLandsAnnual → MK-CF-F-181 rateInForce → MK-CF-F-090 effectiveRate → MK-CF-F-020 cashflowYear
5. MK-XS-F-122 n → MK-ST-F-052 toNum → MK-CF-F-180 enteredLandsAnnual → MK-CF-F-181 rateInForce → MK-CF-F-090 effectiveRate → MK-CF-F-020 cashflowYear
6. MK-CF-F-085 filingStatusOf → MK-CF-F-181 rateInForce → MK-CF-F-090 effectiveRate → MK-CF-F-020 cashflowYear
7. MK-CF-F-132 map → MK-CF-F-206 householdK401ByMonth → MK-CF-F-181 rateInForce → MK-CF-F-090 effectiveRate → MK-CF-F-020 cashflowYear
8. MK-CF-F-173 earnerWages → MK-CF-F-176 sumMonthsOverEarners → MK-CF-F-206 householdK401ByMonth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60" customHeight="1">
      <c r="A23" s="3" t="inlineStr">
        <is>
          <t>MK-CF-F-021</t>
        </is>
      </c>
      <c r="B23" s="3" t="inlineStr">
        <is>
          <t>defaultPaymentType</t>
        </is>
      </c>
      <c r="C23" s="3" t="inlineStr">
        <is>
          <t>src/domain/debt/index.ts</t>
        </is>
      </c>
      <c r="D23" s="3" t="n">
        <v>69</v>
      </c>
      <c r="E23" s="3" t="inlineStr">
        <is>
          <t>2 · DISPLAYED</t>
        </is>
      </c>
      <c r="F23" s="3" t="inlineStr">
        <is>
          <t>How a kind of debt is normally repaid: a card or a credit line revolves, and every other kind is a loan paid in fixed instalments.</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106</v>
      </c>
      <c r="E24" s="3" t="inlineStr">
        <is>
          <t>2 · DISPLAYED</t>
        </is>
      </c>
      <c r="F24" s="3" t="inlineStr">
        <is>
          <t>How this debt is repaid: the way the person said, or the normal way for its kind when they did not say.</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150</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182</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124</v>
      </c>
      <c r="Q26" s="3" t="inlineStr">
        <is>
          <t>1. MK-CF-F-201 INCOME
2. MK-CF-F-023 requiredPayment
3. MK-CF-F-207 SOURCE
4. MK-CF-O-004 incomeSummary
5. MK-CF-F-022 paymentShape
6. MK-CF-O-016 incomeSources
7. MK-CF-F-203 MONTH
8. MK-CF-O-001 basePay
9. MK-CF-F-069 benefitActiveMonths
10. MK-CF-F-072 currentRetirementIncomeMonthly
11. MK-CF-F-173 earnerWages
12. MK-CF-F-179 entryFromWage
13. MK-CF-F-071 extraIncome
14. MK-CF-F-085 filingStatusOf
15. MK-CF-F-092 incomeMonthlyGrid
16. MK-CF-F-192 inflowLabel
17. MK-CF-F-132 map
18. MK-CF-F-103 marginalBracketFor
19. MK-CF-F-089 over65CountOf
20. MK-CF-F-181 rateInForce
21. MK-CF-F-068 rentalNetAnnual
22. MK-CF-F-082 salaryAnnual
23. MK-CF-F-060 salaryGrossByMonth
24. MK-CF-F-084 taxableAnnual
25. MK-ST-F-052 toNum
26. MK-CF-F-021 defaultPaymentType
27. MK-CF-F-075 retirementIncomeMonthly
28. MK-CF-F-066 rsuAnnual
29. MK-CF-O-010 theMonth
30. MK-ST-F-035 covers
31. MK-CF-F-171 earnerPay
32. MK-CF-F-204 line
33. MK-ST-F-053 money
34. MK-HM-F-006 money0
35. MK-XS-F-122 n
36. MK-CF-F-198 payrollTaxWithheld
37. MK-CF-F-172 hasWage
38. MK-CF-F-165 salaryMonths
39. MK-CF-F-070 benefitAnnual
40. MK-ST-F-039 on
41. MK-CF-F-065 equityVestWeights
42. MK-ST-F-056 has
43. MK-CF-F-206 householdK401ByMonth
44. MK-CF-F-087 monthlyTaxRates
45. MK-CF-F-073 otherIncomeMonth
46. MK-CF-F-077 scholarshipByCalendarMonth
47. MK-CF-F-088 taxableByCalendarMonth
48. MK-CF-F-177 wageGrossByMonth
49. MK-PL-F-012 waterfall
50. MK-CF-F-193 inflowSourceWord
51. MK-CF-F-100 taxableIncomeFor
52. MK-CF-F-180 enteredLandsAnnual
53. MK-CF-F-086 stateRateOf
54. MK-CF-F-101 taxOwedFor
55. MK-CF-O-002 expenses
56. MK-CF-F-067 rentalList
57. MK-CF-F-176 sumMonthsOverEarners
58. MK-CF-F-074 tipsAnnual
59. MK-CF-F-062 equityRowValue
60. MK-CF-F-063 rowVestYear
61. MK-CF-F-155 cash
62. MK-CF-O-003 thisMonth
63. MK-ST-F-034 firstDate
64. MK-CF-F-143 annualisedGross
65. MK-CF-F-145 deductionsFromPay
66. MK-CF-F-128 grossByMonth
67. MK-CF-F-146 payFiguresAgree
68. MK-CF-F-144 takeHomeAsEntered
69. MK-XS-F-180 declareFigures
70. MK-ST-F-049 formatMoney
71. MK-HM-F-005 pctTxt
72. MK-CF-F-090 effectiveRate
73. MK-CF-F-130 enteredMonthlyRaw
74. MK-CF-F-166 hasMonthlySalaryTable
75. MK-ST-F-036 reconcile
76. MK-CF-F-167 salaryCalendarYear
77. MK-CF-F-099 deductionFor
78. MK-CF-F-151 actualSpending
79. MK-CF-F-150 debtPaymentsCountedAsExpenses
80. MK-CF-F-153 radar
81. MK-CF-F-149 recurringDebtPayments
82. MK-CF-F-081 salaryActiveMonths
83. MK-CF-F-005 actualMonthFlow
84. MK-CF-F-156 plannedMonthFlow
85. MK-CF-F-142 monthsOf
86. MK-CF-F-141 perMonth
87. MK-ST-F-048 currencySymbol
88. MK-CF-F-187 seniorDeductionFor
89. MK-CF-F-148 inMonth
90. MK-CF-F-191 ym
91. MK-CF-F-152 isRadarItem
92. MK-NW-F-078 ONE
93. MK-CF-F-157 debtPaymentsByDebt
94. MK-XS-F-027 takeHomeMonthly
95. MK-CF-F-140 periodsAYear
96. MK-ST-F-047 activeCurrency
97. MK-NW-F-077 ALL
98. MK-NW-F-059 currentYield
99. MK-NW-O-001 theBonds
100. MK-CF-F-011 savingsByMonth
101. MK-NW-F-112 yearlyInterest
102. MK-ST-F-027 accountId
103. MK-NW-F-057 annualCoupon
104. MK-NW-F-056 bondInfo
105. MK-NW-F-064 bondRateSensitivity
106. MK-NW-F-061 bondSummary
107. MK-NW-F-055 isBond
108. MK-ST-F-065 isoLocalDate
109. MK-NW-F-072 rowOf
110. MK-CF-F-008 spendByMonth
111. MK-NW-F-060 approxYTM
112. MK-NW-F-069 priceAtYield
113. MK-NW-F-011 assetClassOf
114. MK-NW-F-070 accruedInterestCaveat
115. MK-NW-F-058 yearsToMaturity
116. MK-CF-F-120 pctBaseMonthly
117. MK-CF-F-004 spendBuckets
118. MK-NW-F-119 estimatedAccrued
119. MK-NW-F-008 incomeBearingClassOf
120. MK-CF-F-003 categoryMonthly
121. MK-ST-F-010 nameEvidence
122. MK-XS-F-147 call
123. MK-XS-F-064 currentIdToken
124. MK-XS-F-112 relayUrl</t>
        </is>
      </c>
      <c r="R26" s="3" t="inlineStr">
        <is>
          <t>1. SOURCE (already above — a loop) → MK-CF-O-016 incomeSources → MK-CF-F-207 SOURCE → MK-CF-F-201 INCOME → MK-CF-F-024 totalDebtMonthly
2. MK-CF-F-075 retirementIncomeMonthly → MK-CF-F-072 currentRetirementIncomeMonthly → MK-CF-O-016 incomeSources → MK-CF-F-207 SOURCE → MK-CF-F-201 INCOME → MK-CF-F-024 totalDebtMonthly
3. MK-CF-F-172 hasWage → MK-CF-F-173 earnerWages → MK-CF-O-016 incomeSources → MK-CF-F-207 SOURCE → MK-CF-F-201 INCOME → MK-CF-F-024 totalDebtMonthly
4. MK-CF-O-002 expenses → MK-CF-F-068 rentalNetAnnual → MK-CF-O-016 incomeSources → MK-CF-F-207 SOURCE → MK-CF-F-201 INCOME → MK-CF-F-024 totalDebtMonthly
5. MK-CF-F-067 rentalList → MK-CF-F-068 rentalNetAnnual → MK-CF-O-016 incomeSources → MK-CF-F-207 SOURCE → MK-CF-F-201 INCOME → MK-CF-F-024 totalDebtMonthly
6. MK-ST-F-052 toNum → MK-CF-F-075 retirementIncomeMonthly → MK-CF-O-016 incomeSources → MK-CF-F-207 SOURCE → MK-CF-F-201 INCOME → MK-CF-F-024 totalDebtMonthly
7. MK-CF-F-062 equityRowValue → MK-CF-F-066 rsuAnnual → MK-CF-O-016 incomeSources → MK-CF-F-207 SOURCE → MK-CF-F-201 INCOME → MK-CF-F-024 totalDebtMonthly
8. MK-CF-F-132 map → MK-CF-F-066 rsuAnnual → MK-CF-O-016 incomeSources → MK-CF-F-207 SOURCE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218</v>
      </c>
      <c r="E27" s="3" t="inlineStr">
        <is>
          <t>2 · DISPLAYED</t>
        </is>
      </c>
      <c r="F27" s="3" t="inlineStr">
        <is>
          <t>The minimum payments every debt requires in a month, added up, leaving out any debt due in one lump on a date.</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NOT FOUND — a screen calls it, but the words printed beside its answer could not be traced automatically. Needs reading.</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244</v>
      </c>
      <c r="E28" s="3" t="inlineStr">
        <is>
          <t>3 · DEPENDENT</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t>
        </is>
      </c>
      <c r="M28" s="3" t="inlineStr">
        <is>
          <t>None found in this function — anything it assumes comes from the functions it depends on.</t>
        </is>
      </c>
      <c r="N28" s="3" t="inlineStr">
        <is>
          <t>Yes</t>
        </is>
      </c>
      <c r="O28" s="3" t="inlineStr">
        <is>
          <t>MK-CF-F-024 totalDebtMonthly</t>
        </is>
      </c>
      <c r="P28" s="3" t="n">
        <v>125</v>
      </c>
      <c r="Q28" s="3" t="inlineStr">
        <is>
          <t>1. MK-CF-F-024 totalDebtMonthly
2. MK-CF-F-201 INCOME
3. MK-CF-F-023 requiredPayment
4. MK-CF-F-207 SOURCE
5. MK-CF-O-004 incomeSummary
6. MK-CF-F-022 paymentShape
7. MK-CF-O-016 incomeSources
8. MK-CF-F-203 MONTH
9. MK-CF-O-001 basePay
10. MK-CF-F-069 benefitActiveMonths
11. MK-CF-F-072 currentRetirementIncomeMonthly
12. MK-CF-F-173 earnerWages
13. MK-CF-F-179 entryFromWage
14. MK-CF-F-071 extraIncome
15. MK-CF-F-085 filingStatusOf
16. MK-CF-F-092 incomeMonthlyGrid
17. MK-CF-F-192 inflowLabel
18. MK-CF-F-132 map
19. MK-CF-F-103 marginalBracketFor
20. MK-CF-F-089 over65CountOf
21. MK-CF-F-181 rateInForce
22. MK-CF-F-068 rentalNetAnnual
23. MK-CF-F-082 salaryAnnual
24. MK-CF-F-060 salaryGrossByMonth
25. MK-CF-F-084 taxableAnnual
26. MK-ST-F-052 toNum
27. MK-CF-F-021 defaultPaymentType
28. MK-CF-F-075 retirementIncomeMonthly
29. MK-CF-F-066 rsuAnnual
30. MK-CF-O-010 theMonth
31. MK-ST-F-035 covers
32. MK-CF-F-171 earnerPay
33. MK-CF-F-204 line
34. MK-ST-F-053 money
35. MK-HM-F-006 money0
36. MK-XS-F-122 n
37. MK-CF-F-198 payrollTaxWithheld
38. MK-CF-F-172 hasWage
39. MK-CF-F-165 salaryMonths
40. MK-CF-F-070 benefitAnnual
41. MK-ST-F-039 on
42. MK-CF-F-065 equityVestWeights
43. MK-ST-F-056 has
44. MK-CF-F-206 householdK401ByMonth
45. MK-CF-F-087 monthlyTaxRates
46. MK-CF-F-073 otherIncomeMonth
47. MK-CF-F-077 scholarshipByCalendarMonth
48. MK-CF-F-088 taxableByCalendarMonth
49. MK-CF-F-177 wageGrossByMonth
50. MK-PL-F-012 waterfall
51. MK-CF-F-193 inflowSourceWord
52. MK-CF-F-100 taxableIncomeFor
53. MK-CF-F-180 enteredLandsAnnual
54. MK-CF-F-086 stateRateOf
55. MK-CF-F-101 taxOwedFor
56. MK-CF-O-002 expenses
57. MK-CF-F-067 rentalList
58. MK-CF-F-176 sumMonthsOverEarners
59. MK-CF-F-074 tipsAnnual
60. MK-CF-F-062 equityRowValue
61. MK-CF-F-063 rowVestYear
62. MK-CF-F-155 cash
63. MK-CF-O-003 thisMonth
64. MK-ST-F-034 firstDate
65. MK-CF-F-143 annualisedGross
66. MK-CF-F-145 deductionsFromPay
67. MK-CF-F-128 grossByMonth
68. MK-CF-F-146 payFiguresAgree
69. MK-CF-F-144 takeHomeAsEntered
70. MK-XS-F-180 declareFigures
71. MK-ST-F-049 formatMoney
72. MK-HM-F-005 pctTxt
73. MK-CF-F-090 effectiveRate
74. MK-CF-F-130 enteredMonthlyRaw
75. MK-CF-F-166 hasMonthlySalaryTable
76. MK-ST-F-036 reconcile
77. MK-CF-F-167 salaryCalendarYear
78. MK-CF-F-099 deductionFor
79. MK-CF-F-151 actualSpending
80. MK-CF-F-150 debtPaymentsCountedAsExpenses
81. MK-CF-F-153 radar
82. MK-CF-F-149 recurringDebtPayments
83. MK-CF-F-081 salaryActiveMonths
84. MK-CF-F-005 actualMonthFlow
85. MK-CF-F-156 plannedMonthFlow
86. MK-CF-F-142 monthsOf
87. MK-CF-F-141 perMonth
88. MK-ST-F-048 currencySymbol
89. MK-CF-F-187 seniorDeductionFor
90. MK-CF-F-148 inMonth
91. MK-CF-F-191 ym
92. MK-CF-F-152 isRadarItem
93. MK-NW-F-078 ONE
94. MK-CF-F-157 debtPaymentsByDebt
95. MK-XS-F-027 takeHomeMonthly
96. MK-CF-F-140 periodsAYear
97. MK-ST-F-047 activeCurrency
98. MK-NW-F-077 ALL
99. MK-NW-F-059 currentYield
100. MK-NW-O-001 theBonds
101. MK-CF-F-011 savingsByMonth
102. MK-NW-F-112 yearlyInterest
103. MK-ST-F-027 accountId
104. MK-NW-F-057 annualCoupon
105. MK-NW-F-056 bondInfo
106. MK-NW-F-064 bondRateSensitivity
107. MK-NW-F-061 bondSummary
108. MK-NW-F-055 isBond
109. MK-ST-F-065 isoLocalDate
110. MK-NW-F-072 rowOf
111. MK-CF-F-008 spendByMonth
112. MK-NW-F-060 approxYTM
113. MK-NW-F-069 priceAtYield
114. MK-NW-F-011 assetClassOf
115. MK-NW-F-070 accruedInterestCaveat
116. MK-NW-F-058 yearsToMaturity
117. MK-CF-F-120 pctBaseMonthly
118. MK-CF-F-004 spendBuckets
119. MK-NW-F-119 estimatedAccrued
120. MK-NW-F-008 incomeBearingClassOf
121. MK-CF-F-003 categoryMonthly
122. MK-ST-F-010 nameEvidence
123. MK-XS-F-147 call
124. MK-XS-F-064 currentIdToken
125. MK-XS-F-112 relayUrl</t>
        </is>
      </c>
      <c r="R28" s="3" t="inlineStr">
        <is>
          <t>1. SOURCE (already above — a loop) → MK-CF-O-016 incomeSources → MK-CF-F-207 SOURCE → MK-CF-F-201 INCOME → MK-CF-F-024 totalDebtMonthly → MK-CF-F-026 actualDebtPayment
2. MK-CF-F-072 currentRetirementIncomeMonthly → MK-CF-O-016 incomeSources → MK-CF-F-207 SOURCE → MK-CF-F-201 INCOME → MK-CF-F-024 totalDebtMonthly → MK-CF-F-026 actualDebtPayment
3. MK-CF-F-173 earnerWages → MK-CF-O-016 incomeSources → MK-CF-F-207 SOURCE → MK-CF-F-201 INCOME → MK-CF-F-024 totalDebtMonthly → MK-CF-F-026 actualDebtPayment
4. MK-CF-F-068 rentalNetAnnual → MK-CF-O-016 incomeSources → MK-CF-F-207 SOURCE → MK-CF-F-201 INCOME → MK-CF-F-024 totalDebtMonthly → MK-CF-F-026 actualDebtPayment
5. MK-CF-F-075 retirementIncomeMonthly → MK-CF-O-016 incomeSources → MK-CF-F-207 SOURCE → MK-CF-F-201 INCOME → MK-CF-F-024 totalDebtMonthly → MK-CF-F-026 actualDebtPayment
6. MK-CF-F-066 rsuAnnual → MK-CF-O-016 incomeSources → MK-CF-F-207 SOURCE → MK-CF-F-201 INCOME → MK-CF-F-024 totalDebtMonthly → MK-CF-F-026 actualDebtPayment
7. MK-ST-F-052 toNum → MK-CF-O-016 incomeSources → MK-CF-F-207 SOURCE → MK-CF-F-201 INCOME → MK-CF-F-024 totalDebtMonthly → MK-CF-F-026 actualDebtPayment
8. MK-CF-O-010 theMonth → MK-CF-F-203 MONTH → MK-CF-O-004 incomeSummary → MK-CF-F-201 INCOME → MK-CF-F-024 totalDebtMonthly → MK-CF-F-026 actualDebtPayment
9. … and 4 more paths</t>
        </is>
      </c>
      <c r="S28" s="3" t="inlineStr">
        <is>
          <t>—</t>
        </is>
      </c>
      <c r="T28" s="3" t="inlineStr">
        <is>
          <t>DEBT_PAYMENTS_ACTUAL</t>
        </is>
      </c>
      <c r="U28" s="3" t="inlineStr">
        <is>
          <t>ACTIVE</t>
        </is>
      </c>
      <c r="V28" s="3" t="inlineStr">
        <is>
          <t>2026-10-03</t>
        </is>
      </c>
      <c r="W28" s="3" t="n"/>
      <c r="X28" s="3" t="n"/>
      <c r="Y28" s="3" t="inlineStr">
        <is>
          <t>NOTHING OPEN</t>
        </is>
      </c>
    </row>
    <row r="29" ht="45" customHeight="1">
      <c r="A29" s="3" t="inlineStr">
        <is>
          <t>MK-CF-F-027</t>
        </is>
      </c>
      <c r="B29" s="3" t="inlineStr">
        <is>
          <t>totalDebtBalance</t>
        </is>
      </c>
      <c r="C29" s="3" t="inlineStr">
        <is>
          <t>src/domain/debt/index.ts</t>
        </is>
      </c>
      <c r="D29" s="3" t="n">
        <v>268</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309</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349</v>
      </c>
      <c r="E31" s="3" t="inlineStr">
        <is>
          <t>2 · DISPLAYED</t>
        </is>
      </c>
      <c r="F31" s="3" t="inlineStr">
        <is>
          <t>How many months it takes to clear a balance at a given yearly rate and monthly payment, or never when the payment does not cover the interest.</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378</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421</v>
      </c>
      <c r="E33" s="3" t="inlineStr">
        <is>
          <t>3 · DEPENDENT</t>
        </is>
      </c>
      <c r="F33" s="3" t="inlineStr">
        <is>
          <t>How much of a credit limit is in use, as a share, and whether that is good (30% or less), a caution (up to 50%) or high.</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452</v>
      </c>
      <c r="E34" s="3" t="inlineStr">
        <is>
          <t>2 · DISPLAYED</t>
        </is>
      </c>
      <c r="F34" s="3" t="inlineStr">
        <is>
          <t>The word for a credit score: Excellent from 800, Very good from 740, Good from 670, Fair from 580 and Poor below that.</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494</v>
      </c>
      <c r="E35" s="3" t="inlineStr">
        <is>
          <t>2 · DISPLAYED</t>
        </is>
      </c>
      <c r="F35" s="3" t="inlineStr">
        <is>
          <t>Monthly debt payments as a share of gross monthly income, judged against a guideline of 36% for a homeowner and 20% for anyone else.</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548</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under "YOUR DEBTS"
2. "Extra / month (beyond minimums)" — on the Goals screen, under "DEBT PAYOFF PLAN"
3. "Extra / month" — on the budget screen, under "YOUR DEBT"
4. "Income (take-home)" — on the budget screen
5. "No budget yet" — on the budget screen
6. "Payoff plan" — on the budget screen, under "YOUR DEBT"</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623</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"Add a debt →" — on the Net worth screen, under "💳  DEBTS"</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666</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"DEBTS" — on the Net worth screen, under "DEBTS"</t>
        </is>
      </c>
      <c r="M38" s="3" t="inlineStr">
        <is>
          <t>None found in this function — anything it assumes comes from the functions it depends on.</t>
        </is>
      </c>
      <c r="N38" s="3" t="inlineStr">
        <is>
          <t>Yes</t>
        </is>
      </c>
      <c r="O38" s="3" t="inlineStr">
        <is>
          <t>1. MK-CF-F-026 actualDebtPayment
2. MK-CF-F-204 line
3. MK-CF-F-025 minimumDebtService
4. MK-XS-F-175 uid</t>
        </is>
      </c>
      <c r="P38" s="3" t="n">
        <v>181</v>
      </c>
      <c r="Q38" s="3" t="inlineStr">
        <is>
          <t>1. MK-CF-F-026 actualDebtPayment
2. MK-CF-F-204 line
3. MK-CF-F-025 minimumDebtService
4. MK-XS-F-175 uid
5. MK-CF-F-024 totalDebtMonthly
6. MK-CF-F-203 MONTH
7. MK-XS-F-180 declareFigures
8. MK-CF-F-022 paymentShape
9. MK-ST-F-027 accountId
10. MK-CF-F-111 applyTransaction
11. MK-NW-F-040 assetsFromOnboarding
12. MK-PF-F-013 benchmarkTicker
13. MK-ST-F-028 buildDayFromAccounts
14. MK-PF-F-034 closeOnOrBefore
15. MK-CF-F-186 convertTakeHomeMode
16. MK-ST-F-079 dailyWindowStart
17. MK-CF-F-038 debtsFromOnboarding
18. MK-XS-F-083 fetchPriceSeries
19. MK-ST-F-084 fillBetweenObservations
20. MK-PL-F-013 goalsFromOnboarding
21. MK-ST-F-056 has
22. MK-CF-F-116 inverseOf
23. MK-ST-F-065 isoLocalDate
24. MK-CF-F-112 makeTransaction
25. MK-CF-F-132 map
26. MK-XS-F-122 n
27. MK-ST-F-043 newEntityId
28. MK-XS-F-006 pruneDaily
29. MK-ST-F-073 rebuildDays
30. MK-NW-F-054 reclassifyAccounts
31. MK-XS-F-174 recomputeBalances
32. MK-CF-F-115 restoreUndo
33. MK-CF-F-109 reviewTransactions
34. MK-ST-F-044 setMoneyFormat
35. MK-CF-F-114 undoSnapshot
36. MK-CF-F-191 ym
37. MK-CF-F-201 INCOME
38. MK-CF-F-023 requiredPayment
39. MK-CF-O-010 theMonth
40. MK-CF-F-021 defaultPaymentType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MK-ST-F-039 on
58. MK-ST-F-071 rebuildableFrom
59. MK-ST-F-068 stepDay
60. MK-ST-F-072 undo
61. MK-NW-F-053 correctClassOf
62. MK-NW-F-008 incomeBearingClassOf
63. MK-PF-F-002 costBasis
64. MK-PF-F-009 latestClose
65. MK-PF-F-004 marketValue
66. MK-ST-F-030 record
67. MK-XS-F-024 resolveLens
68. MK-ST-F-055 round2
69. MK-CF-F-162 daysApart
70. MK-CF-F-108 isMoneyOut
71. MK-PL-F-074 median
72. MK-CF-F-131 normPayee
73. MK-CF-F-113 affectedAccountIds
74. MK-CF-F-207 SOURCE
75. MK-CF-O-004 incomeSummary
76. MK-CF-F-155 cash
77. MK-CF-O-002 expenses
78. MK-CF-O-003 thisMonth
79. MK-CF-F-134 usesSleeve
80. MK-ST-F-049 formatMoney
81. MK-CF-F-101 taxOwedFor
82. MK-ST-F-067 utcOfDay
83. MK-ST-F-035 covers
84. MK-NW-F-009 maturityClass
85. MK-ST-F-010 nameEvidence
86. MK-PF-F-031 contractMultiplier
87. MK-CF-F-072 currentRetirementIncomeMonthly
88. MK-CF-O-016 incomeSources
89. MK-CF-O-001 basePay
90. MK-CF-F-069 benefitActiveMonths
91. MK-CF-F-173 earnerWages
92. MK-CF-F-179 entryFromWage
93. MK-CF-F-071 extraIncome
94. MK-CF-F-092 incomeMonthlyGrid
95. MK-CF-F-192 inflowLabel
96. MK-CF-F-103 marginalBracketFor
97. MK-CF-F-181 rateInForce
98. MK-CF-F-068 rentalNetAnnual
99. MK-CF-F-082 salaryAnnual
100. MK-CF-F-060 salaryGrossByMonth
101. MK-CF-F-084 taxableAnnual
102. MK-CF-F-151 actualSpending
103. MK-CF-F-150 debtPaymentsCountedAsExpenses
104. MK-CF-F-153 radar
105. MK-CF-F-149 recurringDebtPayments
106. MK-CF-F-005 actualMonthFlow
107. MK-CF-F-156 plannedMonthFlow
108. MK-ST-F-048 currencySymbol
109. MK-CF-F-100 taxableIncomeFor
110. MK-ST-F-034 firstDate
111. MK-NW-F-011 assetClassOf
112. MK-XS-F-147 call
113. MK-CF-F-075 retirementIncomeMonthly
114. MK-CF-F-066 rsuAnnual
115. MK-CF-F-171 earnerPay
116. MK-HM-F-006 money0
117. MK-CF-F-198 payrollTaxWithheld
118. MK-CF-F-172 hasWage
119. MK-CF-F-165 salaryMonths
120. MK-CF-F-070 benefitAnnual
121. MK-CF-F-065 equityVestWeights
122. MK-CF-F-206 householdK401ByMonth
123. MK-CF-F-087 monthlyTaxRates
124. MK-CF-F-073 otherIncomeMonth
125. MK-CF-F-077 scholarshipByCalendarMonth
126. MK-CF-F-088 taxableByCalendarMonth
127. MK-CF-F-177 wageGrossByMonth
128. MK-PL-F-012 waterfall
129. MK-CF-F-193 inflowSourceWord
130. MK-CF-F-180 enteredLandsAnnual
131. MK-CF-F-086 stateRateOf
132. MK-CF-F-067 rentalList
133. MK-CF-F-176 sumMonthsOverEarners
134. MK-CF-F-074 tipsAnnual
135. MK-CF-F-148 inMonth
136. MK-CF-F-152 isRadarItem
137. MK-NW-F-078 ONE
138. MK-CF-F-157 debtPaymentsByDebt
139. MK-XS-F-027 takeHomeMonthly
140. MK-ST-F-047 activeCurrency
141. MK-CF-F-099 deductionFor
142. MK-XS-F-064 currentIdToken
143. MK-XS-F-112 relayUrl
144. MK-CF-F-062 equityRowValue
145. MK-CF-F-063 rowVestYear
146. MK-CF-F-143 annualisedGross
147. MK-CF-F-145 deductionsFromPay
148. MK-CF-F-128 grossByMonth
149. MK-CF-F-146 payFiguresAgree
150. MK-CF-F-144 takeHomeAsEntered
151. MK-HM-F-005 pctTxt
152. MK-CF-F-090 effectiveRate
153. MK-CF-F-130 enteredMonthlyRaw
154. MK-CF-F-166 hasMonthlySalaryTable
155. MK-ST-F-036 reconcile
156. MK-CF-F-167 salaryCalendarYear
157. MK-CF-F-081 salaryActiveMonths
158. MK-NW-F-077 ALL
159. MK-NW-F-059 currentYield
160. MK-NW-O-001 theBonds
161. MK-CF-F-011 savingsByMonth
162. MK-CF-F-187 seniorDeductionFor
163. MK-CF-F-142 monthsOf
164. MK-CF-F-141 perMonth
165. MK-NW-F-112 yearlyInterest
166. MK-NW-F-057 annualCoupon
167. MK-NW-F-056 bondInfo
168. MK-NW-F-064 bondRateSensitivity
169. MK-NW-F-061 bondSummary
170. MK-NW-F-055 isBond
171. MK-NW-F-072 rowOf
172. MK-CF-F-008 spendByMonth
173. MK-CF-F-140 periodsAYear
174. MK-NW-F-060 approxYTM
175. MK-NW-F-069 priceAtYield
176. MK-NW-F-070 accruedInterestCaveat
177. MK-NW-F-058 yearsToMaturity
178. MK-CF-F-120 pctBaseMonthly
179. MK-CF-F-004 spendBuckets
180. MK-NW-F-119 estimatedAccrued
181. MK-CF-F-003 categoryMonthly</t>
        </is>
      </c>
      <c r="R38" s="3" t="inlineStr">
        <is>
          <t>1. MK-CF-O-016 incomeSources → MK-CF-F-207 SOURCE → MK-CF-F-201 INCOME → MK-CF-F-024 totalDebtMonthly → MK-CF-F-026 actualDebtPayment → MK-CF-F-036 buildDebtState
2. MK-CF-F-203 MONTH → MK-CF-O-004 incomeSummary → MK-CF-F-201 INCOME → MK-CF-F-024 totalDebtMonthly → MK-CF-F-026 actualDebtPayment → MK-CF-F-036 buildDebtState
3. MK-CF-O-001 basePay → MK-CF-O-004 incomeSummary → MK-CF-F-201 INCOME → MK-CF-F-024 totalDebtMonthly → MK-CF-F-026 actualDebtPayment → MK-CF-F-036 buildDebtState
4. MK-CF-F-069 benefitActiveMonths → MK-CF-O-004 incomeSummary → MK-CF-F-201 INCOME → MK-CF-F-024 totalDebtMonthly → MK-CF-F-026 actualDebtPayment → MK-CF-F-036 buildDebtState
5. MK-CF-F-072 currentRetirementIncomeMonthly → MK-CF-O-004 incomeSummary → MK-CF-F-201 INCOME → MK-CF-F-024 totalDebtMonthly → MK-CF-F-026 actualDebtPayment → MK-CF-F-036 buildDebtState
6. MK-CF-F-173 earnerWages → MK-CF-O-004 incomeSummary → MK-CF-F-201 INCOME → MK-CF-F-024 totalDebtMonthly → MK-CF-F-026 actualDebtPayment → MK-CF-F-036 buildDebtState
7. MK-CF-F-179 entryFromWage → MK-CF-O-004 incomeSummary → MK-CF-F-201 INCOME → MK-CF-F-024 totalDebtMonthly → MK-CF-F-026 actualDebtPayment → MK-CF-F-036 buildDebtState
8. MK-CF-F-071 extraIncome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717</v>
      </c>
      <c r="E39" s="3" t="inlineStr">
        <is>
          <t>3 · DEPENDENT</t>
        </is>
      </c>
      <c r="F39" s="3" t="inlineStr">
        <is>
          <t>The kind of debt, judged from its name: a home-equity credit line, a mortgage, a car loan, a student loan, a credit card, a medical debt, a personal loan or something else.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766</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82</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MK-ST-F-053 money
37. MK-CF-F-085 filingStatusOf
38. MK-CF-F-097 grossFromNet
39. MK-CF-F-185 needsTakeHomeConversion
40. MK-CF-F-089 over65CountOf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MK-NW-F-011 assetClassOf
76. MK-XS-F-147 call
77. MK-CF-F-075 retirementIncomeMonthly
78. MK-ST-F-047 activeCurrency
79. MK-CF-F-099 deductionFor
80. MK-XS-F-064 currentIdToken
81. MK-XS-F-112 relayUrl
82. MK-CF-F-187 seniorDeductionFor</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803</v>
      </c>
      <c r="E41" s="3" t="inlineStr">
        <is>
          <t>3 · DEPENDENT (feeds an action only)</t>
        </is>
      </c>
      <c r="F41" s="3" t="inlineStr">
        <is>
          <t>Reads a person's saved debts from storage and calculates nothing.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83</v>
      </c>
      <c r="Q4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821</v>
      </c>
      <c r="E42" s="3" t="inlineStr">
        <is>
          <t>1 · ACTION</t>
        </is>
      </c>
      <c r="F42" s="3" t="inlineStr">
        <is>
          <t>Saves a person's debts to storage, tells the rest of the app it changed, and calculates nothing.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85</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840</v>
      </c>
      <c r="E43" s="3" t="inlineStr">
        <is>
          <t>3 · DEPENDENT (feeds an action only)</t>
        </is>
      </c>
      <c r="F43" s="3" t="inlineStr">
        <is>
          <t>Reads a person's saved debts and returns their totals, or nothing when none are saved.</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183</v>
      </c>
      <c r="Q43" s="3" t="inlineStr">
        <is>
          <t>1. MK-CF-F-036 buildDebtState
2. MK-CF-F-039 loadDebt
3. MK-XS-F-175 uid
4. MK-CF-F-026 actualDebtPayment
5. MK-CF-F-204 line
6. MK-CF-F-025 minimumDebtService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MK-CF-F-024 totalDebtMonthly
36. MK-CF-F-203 MONTH
37. MK-XS-F-180 declareFigures
38. MK-CF-F-022 paymentShape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MK-ST-F-039 on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MK-PL-F-074 median
70. MK-CF-F-131 normPayee
71. MK-CF-F-113 affectedAccountIds
72. MK-CF-F-201 INCOME
73. MK-CF-F-023 requiredPayment
74. MK-CF-O-010 theMonth
75. MK-CF-F-021 defaultPaymentType
76. MK-CF-F-134 usesSleeve
77. MK-ST-F-049 formatMoney
78. MK-CF-F-101 taxOwedFor
79. MK-ST-F-067 utcOfDay
80. MK-CF-F-155 cash
81. MK-ST-F-035 covers
82. MK-NW-F-009 maturityClass
83. MK-ST-F-010 nameEvidence
84. MK-PF-F-031 contractMultiplier
85. MK-CF-F-072 currentRetirementIncomeMonthly
86. MK-CF-F-207 SOURCE
87. MK-CF-O-004 incomeSummary
88. MK-CF-O-002 expenses
89. MK-CF-O-003 thisMonth
90. MK-ST-F-048 currencySymbol
91. MK-CF-F-100 taxableIncomeFor
92. MK-ST-F-034 firstDate
93. MK-NW-F-011 assetClassOf
94. MK-XS-F-147 call
95. MK-CF-F-075 retirementIncomeMonthly
96. MK-CF-O-016 incomeSources
97. MK-CF-O-001 basePay
98. MK-CF-F-069 benefitActiveMonths
99. MK-CF-F-173 earnerWages
100. MK-CF-F-179 entryFromWage
101. MK-CF-F-071 extraIncome
102. MK-CF-F-092 incomeMonthlyGrid
103. MK-CF-F-192 inflowLabel
104. MK-CF-F-103 marginalBracketFor
105. MK-CF-F-181 rateInForce
106. MK-CF-F-068 rentalNetAnnual
107. MK-CF-F-082 salaryAnnual
108. MK-CF-F-060 salaryGrossByMonth
109. MK-CF-F-084 taxableAnnual
110. MK-CF-F-151 actualSpending
111. MK-CF-F-150 debtPaymentsCountedAsExpenses
112. MK-CF-F-153 radar
113. MK-CF-F-149 recurringDebtPayments
114. MK-CF-F-005 actualMonthFlow
115. MK-CF-F-156 plannedMonthFlow
116. MK-ST-F-047 activeCurrency
117. MK-CF-F-099 deductionFor
118. MK-XS-F-064 currentIdToken
119. MK-XS-F-112 relayUrl
120. MK-CF-F-066 rsuAnnual
121. MK-CF-F-171 earnerPay
122. MK-HM-F-006 money0
123. MK-CF-F-198 payrollTaxWithheld
124. MK-CF-F-172 hasWage
125. MK-CF-F-165 salaryMonths
126. MK-CF-F-070 benefitAnnual
127. MK-CF-F-065 equityVestWeights
128. MK-CF-F-206 householdK401ByMonth
129. MK-CF-F-087 monthlyTaxRates
130. MK-CF-F-073 otherIncomeMonth
131. MK-CF-F-077 scholarshipByCalendarMonth
132. MK-CF-F-088 taxableByCalendarMonth
133. MK-CF-F-177 wageGrossByMonth
134. MK-PL-F-012 waterfall
135. MK-CF-F-193 inflowSourceWord
136. MK-CF-F-180 enteredLandsAnnual
137. MK-CF-F-086 stateRateOf
138. MK-CF-F-067 rentalList
139. MK-CF-F-176 sumMonthsOverEarners
140. MK-CF-F-074 tipsAnnual
141. MK-CF-F-148 inMonth
142. MK-CF-F-152 isRadarItem
143. MK-NW-F-078 ONE
144. MK-CF-F-157 debtPaymentsByDebt
145. MK-XS-F-027 takeHomeMonthly
146. MK-CF-F-187 seniorDeductionFor
147. MK-CF-F-062 equityRowValue
148. MK-CF-F-063 rowVestYear
149. MK-CF-F-143 annualisedGross
150. MK-CF-F-145 deductionsFromPay
151. MK-CF-F-128 grossByMonth
152. MK-CF-F-146 payFiguresAgree
153. MK-CF-F-144 takeHomeAsEntered
154. MK-HM-F-005 pctTxt
155. MK-CF-F-090 effectiveRate
156. MK-CF-F-130 enteredMonthlyRaw
157. MK-CF-F-166 hasMonthlySalaryTable
158. MK-ST-F-036 reconcile
159. MK-CF-F-167 salaryCalendarYear
160. MK-CF-F-081 salaryActiveMonths
161. MK-NW-F-077 ALL
162. MK-NW-F-059 currentYield
163. MK-NW-O-001 theBonds
164. MK-CF-F-011 savingsByMonth
165. MK-CF-F-142 monthsOf
166. MK-CF-F-141 perMonth
167. MK-NW-F-112 yearlyInterest
168. MK-NW-F-057 annualCoupon
169. MK-NW-F-056 bondInfo
170. MK-NW-F-064 bondRateSensitivity
171. MK-NW-F-061 bondSummary
172. MK-NW-F-055 isBond
173. MK-NW-F-072 rowOf
174. MK-CF-F-008 spendByMonth
175. MK-CF-F-140 periodsAYear
176. MK-NW-F-060 approxYTM
177. MK-NW-F-069 priceAtYield
178. MK-NW-F-070 accruedInterestCaveat
179. MK-NW-F-058 yearsToMaturity
180. MK-CF-F-120 pctBaseMonthly
181. MK-CF-F-004 spendBuckets
182. MK-NW-F-119 estimatedAccrued
183. MK-CF-F-003 categoryMonthly</t>
        </is>
      </c>
      <c r="R43" s="3" t="inlineStr">
        <is>
          <t>1. MK-CF-F-207 SOURCE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MONTH (already above — a loop) → MK-CF-O-010 theMonth → MK-CF-F-203 MONTH → MK-CF-F-204 line → MK-CF-F-036 buildDebtState → MK-CF-F-041 getDebtState
5. MK-CF-F-155 cash → MK-CF-O-010 theMonth → MK-CF-F-203 MONTH → MK-CF-F-204 line → MK-CF-F-036 buildDebtState → MK-CF-F-041 getDebtState
6. MK-CF-O-002 expenses → MK-CF-O-010 theMonth → MK-CF-F-203 MONTH → MK-CF-F-204 line → MK-CF-F-036 buildDebtState → MK-CF-F-041 getDebtState
7. MK-CF-O-003 thisMonth → MK-CF-O-010 theMonth → MK-CF-F-203 MONTH → MK-CF-F-204 line → MK-CF-F-036 buildDebtState → MK-CF-F-041 getDebtState
8. MK-XS-F-180 declareFigures → MK-CF-F-204 line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59</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84</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112</v>
      </c>
      <c r="E48" s="3" t="inlineStr">
        <is>
          <t>3 · DEPENDENT</t>
        </is>
      </c>
      <c r="F48" s="3" t="inlineStr">
        <is>
          <t>The employer's 401(k) match for a year, added up across every job.</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147</v>
      </c>
      <c r="E49" s="3" t="inlineStr">
        <is>
          <t>3 · DEPENDENT</t>
        </is>
      </c>
      <c r="F49" s="3" t="inlineStr">
        <is>
          <t>The share of gross income that goes to tax: the person's own rate where they gave one, otherwise the calculated federal rate for the way they file.</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234</v>
      </c>
      <c r="E50" s="3" t="inlineStr">
        <is>
          <t>2 · DISPLAYED</t>
        </is>
      </c>
      <c r="F50" s="3" t="inlineStr">
        <is>
          <t>The income picture for a year: gross, tax rate and take-home, and the gross, tax and take-home of each of the twelve months.</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38</v>
      </c>
      <c r="E51" s="3" t="inlineStr">
        <is>
          <t>3 · DEPENDENT (feeds an action only)</t>
        </is>
      </c>
      <c r="F51" s="3" t="inlineStr">
        <is>
          <t>Reads a person's saved income from storage and calculates nothing.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83</v>
      </c>
      <c r="Q5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58</v>
      </c>
      <c r="E52" s="3" t="inlineStr">
        <is>
          <t>1 · ACTION</t>
        </is>
      </c>
      <c r="F52" s="3" t="inlineStr">
        <is>
          <t>Saves a person's income to storage, tells the rest of the app it changed, and calculates nothing.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85</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81</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104</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MK-XS-F-122 n
28. MK-ST-F-043 newEntityId
29. MK-XS-F-006 pruneDaily
30. MK-ST-F-073 rebuildDays
31. MK-NW-F-054 reclassifyAccounts
32. MK-XS-F-174 recomputeBalances
33. MK-CF-F-115 restoreUndo
34. MK-CF-F-109 reviewTransactions
35. MK-ST-F-044 setMoneyFormat
36. MK-CF-F-114 undoSnapshot
37. MK-CF-F-191 ym
38. MK-CF-F-102 effectiveRateOnGrossFor
39. MK-CF-F-044 annualNet
40. MK-CF-F-127 isRental
41. MK-CF-F-101 taxOwedFor
42. MK-CF-F-100 taxableIncomeFor
43. MK-CF-F-138 addLot
44. MK-CF-F-136 bumpCash
45. MK-CF-F-137 findPos
46. MK-CF-F-139 removeShares
47. MK-PF-F-001 totalShares
48. MK-ST-F-052 toNum
49. MK-ST-F-053 money
50. MK-CF-F-085 filingStatusOf
51. MK-CF-F-097 grossFromNet
52. MK-CF-F-185 needsTakeHomeConversion
53. MK-CF-F-089 over65CountOf
54. MK-CF-F-037 inferDebtType
55. MK-ST-F-069 amountOf
56. MK-CF-F-133 cashOf
57. MK-ST-F-066 isDayKey
58. MK-ST-F-070 isOpening
59. MK-ST-F-039 on
60. MK-ST-F-071 rebuildableFrom
61. MK-ST-F-068 stepDay
62. MK-ST-F-072 undo
63. MK-NW-F-053 correctClassOf
64. MK-NW-F-008 incomeBearingClassOf
65. MK-PF-F-002 costBasis
66. MK-PF-F-009 latestClose
67. MK-PF-F-004 marketValue
68. MK-ST-F-030 record
69. MK-XS-F-024 resolveLens
70. MK-ST-F-055 round2
71. MK-CF-F-162 daysApart
72. MK-CF-F-108 isMoneyOut
73. MK-PL-F-074 median
74. MK-CF-F-131 normPayee
75. MK-CF-F-113 affectedAccountIds
76. MK-CF-O-002 expenses
77. MK-CF-F-099 deductionFor
78. MK-CF-F-134 usesSleeve
79. MK-ST-F-049 formatMoney
80. MK-ST-F-067 utcOfDay
81. MK-CF-F-155 cash
82. MK-ST-F-035 covers
83. MK-NW-F-009 maturityClass
84. MK-ST-F-010 nameEvidence
85. MK-PF-F-031 contractMultiplier
86. MK-CF-F-072 currentRetirementIncomeMonthly
87. MK-CF-F-151 actualSpending
88. MK-CF-F-150 debtPaymentsCountedAsExpenses
89. MK-CF-F-153 radar
90. MK-CF-F-149 recurringDebtPayments
91. MK-CF-F-187 seniorDeductionFor
92. MK-ST-F-048 currencySymbol
93. MK-ST-F-034 firstDate
94. MK-NW-F-011 assetClassOf
95. MK-XS-F-147 call
96. MK-CF-F-075 retirementIncomeMonthly
97. MK-CF-F-148 inMonth
98. MK-CF-F-022 paymentShape
99. MK-CF-F-152 isRadarItem
100. MK-CF-F-023 requiredPayment
101. MK-ST-F-047 activeCurrency
102. MK-XS-F-064 currentIdToken
103. MK-XS-F-112 relayUrl
104. MK-CF-F-021 defaultPaymentType</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143</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173</v>
      </c>
      <c r="E55" s="3" t="inlineStr">
        <is>
          <t>2 · DISPLAYED</t>
        </is>
      </c>
      <c r="F55" s="3" t="inlineStr">
        <is>
          <t>How much a person may put into an IRA this year: the standard limit, plus the catch-up amount from age 50.</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201</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235</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259</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283</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130</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216</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255</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294</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321</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378</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435</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482</v>
      </c>
      <c r="E68" s="3" t="inlineStr">
        <is>
          <t>3 · DEPENDENT</t>
        </is>
      </c>
      <c r="F68" s="3" t="inlineStr">
        <is>
          <t>Normalized list of rental properties.</t>
        </is>
      </c>
      <c r="G68" s="11" t="inlineStr">
        <is>
          <t>a = op (or none when missing)
norm = (t: any): 'long' | 'short' =&gt; (t = 'short' ? 'short' : 'long')
[{ type: norm(rental type), income: to num(rental income), expenses: to num(rental expenses) }]   when to num(rental income) &gt; 0
the answer = []</t>
        </is>
      </c>
      <c r="H68" s="3" t="inlineStr">
        <is>
          <t>A is op (or none — when missing). Norm is (t: any): 'long' | 'short' =&gt; (t = 'short' ? 'short' : 'long'). When to num(rental income) &gt; 0, it answers [{ type: norm(rental type), income: to num(rental income), expenses: to num(rental expenses) }].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MK-ST-F-052 toNum</t>
        </is>
      </c>
      <c r="P68" s="3" t="n">
        <v>15</v>
      </c>
      <c r="Q68" s="3" t="inlineStr">
        <is>
          <t>1. MK-CF-O-002 expenses
2. MK-CF-F-132 map
3. MK-ST-F-052 toNum
4. MK-CF-F-151 actualSpending
5. MK-CF-F-150 debtPaymentsCountedAsExpenses
6. MK-CF-F-153 radar
7. MK-CF-F-149 recurringDebtPayments
8. MK-XS-F-122 n
9. MK-CF-F-148 inMonth
10. MK-CF-F-191 ym
11. MK-ST-F-056 has
12. MK-CF-F-022 paymentShape
13. MK-CF-F-152 isRadarItem
14. MK-CF-F-023 requiredPayment
15.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2026-08-27</t>
        </is>
      </c>
      <c r="W68" s="3" t="n"/>
      <c r="X68" s="3" t="n"/>
      <c r="Y68" s="3" t="inlineStr">
        <is>
          <t>NOTHING OPEN</t>
        </is>
      </c>
    </row>
    <row r="69" ht="60" customHeight="1">
      <c r="A69" s="3" t="inlineStr">
        <is>
          <t>MK-CF-F-068</t>
        </is>
      </c>
      <c r="B69" s="3" t="inlineStr">
        <is>
          <t>rentalNetAnnual</t>
        </is>
      </c>
      <c r="C69" s="3" t="inlineStr">
        <is>
          <t>src/domain/income/onboarding.ts</t>
        </is>
      </c>
      <c r="D69" s="3" t="n">
        <v>531</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"Net" — on the setup questions, which appear on more than one screen</t>
        </is>
      </c>
      <c r="M69" s="3" t="inlineStr">
        <is>
          <t>· Turns a monthly figure into a year by multiplying by twelve.</t>
        </is>
      </c>
      <c r="N69" s="3" t="inlineStr">
        <is>
          <t>Yes</t>
        </is>
      </c>
      <c r="O69" s="3" t="inlineStr">
        <is>
          <t>1. MK-CF-O-002 expenses
2. MK-CF-F-067 rentalList</t>
        </is>
      </c>
      <c r="P69" s="3" t="n">
        <v>16</v>
      </c>
      <c r="Q69" s="3" t="inlineStr">
        <is>
          <t>1. MK-CF-O-002 expenses
2. MK-CF-F-067 rentalList
3. MK-CF-F-151 actualSpending
4. MK-CF-F-150 debtPaymentsCountedAsExpenses
5. MK-CF-F-153 radar
6. MK-CF-F-149 recurringDebtPayments
7. MK-CF-F-132 map
8. MK-ST-F-052 toNum
9. MK-CF-F-148 inMonth
10. MK-CF-F-191 ym
11. MK-ST-F-056 has
12. MK-CF-F-022 paymentShape
13. MK-CF-F-152 isRadarItem
14. MK-CF-F-023 requiredPayment
15. MK-XS-F-122 n
16.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569</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603</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657</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736</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771</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810</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855</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"Your guaranteed income" — on the Monthly income screen, under "Other steady income"</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901</v>
      </c>
      <c r="E77" s="3" t="inlineStr">
        <is>
          <t>2 · DISPLAYED</t>
        </is>
      </c>
      <c r="F77" s="3" t="inlineStr">
        <is>
          <t>The guaranteed income that comes from outside the person's own savings, one row for each source that pays anything: Social Security, a pension, an annuity or another, each as a monthly amount with whether it rises with prices.</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951</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993</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1064</v>
      </c>
      <c r="E80" s="3" t="inlineStr">
        <is>
          <t>2 · DISPLAYED</t>
        </is>
      </c>
      <c r="F80" s="3" t="inlineStr">
        <is>
          <t>Turns the income answers given during setup into the list of income sources the app stores.</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116</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MK-CF-F-063 rowVestYear
24. MK-CF-F-060 salaryGrossByMonth
25. MK-CF-F-081 salaryActiveMonths
26. MK-XS-F-122 n
27. MK-ST-F-027 accountId
28. MK-CF-F-111 applyTransaction
29. MK-NW-F-040 assetsFromOnboarding
30. MK-PF-F-013 benchmarkTicker
31. MK-ST-F-028 buildDayFromAccounts
32. MK-PF-F-034 closeOnOrBefore
33. MK-CF-F-186 convertTakeHomeMode
34. MK-ST-F-079 dailyWindowStart
35. MK-CF-F-038 debtsFromOnboarding
36. MK-XS-F-083 fetchPriceSeries
37. MK-ST-F-084 fillBetweenObservations
38. MK-PL-F-013 goalsFromOnboarding
39. MK-ST-F-056 has
40. MK-CF-F-116 inverseOf
41. MK-ST-F-065 isoLocalDate
42. MK-CF-F-112 makeTransaction
43. MK-XS-F-006 pruneDaily
44. MK-ST-F-073 rebuildDays
45. MK-NW-F-054 reclassifyAccounts
46. MK-XS-F-174 recomputeBalances
47. MK-CF-F-115 restoreUndo
48. MK-CF-F-109 reviewTransactions
49. MK-ST-F-044 setMoneyFormat
50. MK-CF-F-114 undoSnapshot
51. MK-CF-F-191 ym
52. MK-CF-F-173 earnerWages
53. MK-CF-F-148 inMonth
54. MK-CF-F-022 paymentShape
55. MK-CF-F-152 isRadarItem
56. MK-CF-F-023 requiredPayment
57. MK-CF-F-176 sumMonthsOverEarners
58. MK-CF-F-177 wageGrossByMonth
59. MK-CF-F-138 addLot
60. MK-CF-F-136 bumpCash
61. MK-CF-F-137 findPos
62. MK-CF-F-139 removeShares
63. MK-PF-F-001 totalShares
64. MK-ST-F-053 money
65. MK-CF-F-085 filingStatusOf
66. MK-CF-F-097 grossFromNet
67. MK-CF-F-185 needsTakeHomeConversion
68. MK-CF-F-089 over65CountOf
69. MK-CF-F-037 inferDebtType
70. MK-ST-F-069 amountOf
71. MK-CF-F-133 cashOf
72. MK-ST-F-066 isDayKey
73. MK-ST-F-070 isOpening
74. MK-ST-F-039 on
75. MK-ST-F-071 rebuildableFrom
76. MK-ST-F-068 stepDay
77. MK-ST-F-072 undo
78. MK-NW-F-053 correctClassOf
79. MK-NW-F-008 incomeBearingClassOf
80. MK-PF-F-002 costBasis
81. MK-PF-F-009 latestClose
82. MK-PF-F-004 marketValue
83. MK-ST-F-030 record
84. MK-XS-F-024 resolveLens
85. MK-ST-F-055 round2
86. MK-CF-F-162 daysApart
87. MK-CF-F-108 isMoneyOut
88. MK-PL-F-074 median
89. MK-CF-F-131 normPayee
90. MK-CF-F-113 affectedAccountIds
91. MK-CF-F-172 hasWage
92. MK-CF-F-021 defaultPaymentType
93. MK-CF-F-130 enteredMonthlyRaw
94. MK-CF-F-166 hasMonthlySalaryTable
95. MK-ST-F-036 reconcile
96. MK-CF-F-167 salaryCalendarYear
97. MK-CF-F-134 usesSleeve
98. MK-ST-F-049 formatMoney
99. MK-CF-F-101 taxOwedFor
100. MK-ST-F-067 utcOfDay
101. MK-CF-F-155 cash
102. MK-ST-F-035 covers
103. MK-NW-F-009 maturityClass
104. MK-ST-F-010 nameEvidence
105. MK-PF-F-031 contractMultiplier
106. MK-CF-F-165 salaryMonths
107. MK-ST-F-048 currencySymbol
108. MK-CF-F-100 taxableIncomeFor
109. MK-ST-F-034 firstDate
110. MK-NW-F-011 assetClassOf
111. MK-XS-F-147 call
112. MK-ST-F-047 activeCurrency
113. MK-CF-F-099 deductionFor
114. MK-XS-F-064 currentIdToken
115. MK-XS-F-112 relayUrl
116. MK-CF-F-187 seniorDeductionFor</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1136</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1170</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1208</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1242</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39</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1284</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39</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1329</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1377</v>
      </c>
      <c r="E87" s="3" t="inlineStr">
        <is>
          <t>2 · DISPLAYED</t>
        </is>
      </c>
      <c r="F87" s="3" t="inlineStr">
        <is>
          <t>The state income tax rate the person entered, as a share, held between 0% and 15%.</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1422</v>
      </c>
      <c r="E88" s="3" t="inlineStr">
        <is>
          <t>3 · DEPENDENT</t>
        </is>
      </c>
      <c r="F88" s="3" t="inlineStr">
        <is>
          <t>The tax rate for each of the twelve months, as a share: the one rate in force in every month — the person's own where they gave one, otherwise the calculated rate.</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t>
        </is>
      </c>
      <c r="M88" s="3" t="inlineStr">
        <is>
          <t>· Uses today's date from the device clock, so the answer changes by itself overnight.</t>
        </is>
      </c>
      <c r="N88" s="3" t="inlineStr">
        <is>
          <t>Yes</t>
        </is>
      </c>
      <c r="O88" s="3" t="inlineStr">
        <is>
          <t>1. MK-CF-F-203 MONTH
2. MK-CF-F-090 effectiveRate
3. MK-ST-F-039 on
4. MK-ST-F-052 toNum</t>
        </is>
      </c>
      <c r="P88" s="3" t="n">
        <v>101</v>
      </c>
      <c r="Q88" s="3" t="inlineStr">
        <is>
          <t>1. MK-CF-F-203 MONTH
2. MK-CF-F-090 effectiveRate
3. MK-ST-F-039 on
4. MK-ST-F-052 toNum
5. MK-CF-O-010 theMonth
6. MK-CF-F-181 rateInForce
7. MK-XS-F-122 n
8. MK-CF-F-155 cash
9. MK-CF-O-002 expenses
10. MK-CF-O-003 thisMonth
11. MK-CF-F-173 earnerWages
12. MK-CF-F-180 enteredLandsAnnual
13. MK-CF-F-085 filingStatusOf
14. MK-CF-F-206 householdK401ByMonth
15. MK-CF-F-089 over65CountOf
16. MK-CF-F-082 salaryAnnual
17. MK-CF-F-086 stateRateOf
18. MK-CF-F-101 taxOwedFor
19. MK-CF-F-084 taxableAnnual
20. MK-CF-F-151 actualSpending
21. MK-CF-F-150 debtPaymentsCountedAsExpenses
22. MK-CF-F-153 radar
23. MK-CF-F-149 recurringDebtPayments
24. MK-CF-F-005 actualMonthFlow
25. MK-CF-F-156 plannedMonthFlow
26. MK-CF-F-172 hasWage
27. MK-CF-F-132 map
28. MK-CF-F-176 sumMonthsOverEarners
29. MK-CF-F-177 wageGrossByMonth
30. MK-CF-F-060 salaryGrossByMonth
31. MK-CF-F-100 taxableIncomeFor
32. MK-CF-F-072 currentRetirementIncomeMonthly
33. MK-CF-F-071 extraIncome
34. MK-CF-F-068 rentalNetAnnual
35. MK-CF-F-066 rsuAnnual
36. MK-CF-F-074 tipsAnnual
37. MK-CF-F-148 inMonth
38. MK-CF-F-191 ym
39. MK-ST-F-056 has
40. MK-CF-F-022 paymentShape
41. MK-CF-F-152 isRadarItem
42. MK-CF-F-023 requiredPayment
43. MK-NW-F-078 ONE
44. MK-CF-F-157 debtPaymentsByDebt
45. MK-CF-F-192 inflowLabel
46. MK-XS-F-027 takeHomeMonthly
47. MK-CF-F-130 enteredMonthlyRaw
48. MK-CF-F-166 hasMonthlySalaryTable
49. MK-ST-F-036 reconcile
50. MK-CF-F-167 salaryCalendarYear
51. MK-CF-F-099 deductionFor
52. MK-CF-F-075 retirementIncomeMonthly
53. MK-CF-F-070 benefitAnnual
54. MK-CF-F-067 rentalList
55. MK-CF-F-062 equityRowValue
56. MK-CF-F-063 rowVestYear
57. MK-CF-F-081 salaryActiveMonths
58. MK-CF-F-021 defaultPaymentType
59. MK-NW-F-077 ALL
60. MK-NW-F-059 currentYield
61. MK-XS-F-180 declareFigures
62. MK-ST-F-049 formatMoney
63. MK-ST-F-053 money
64. MK-NW-O-001 theBonds
65. MK-CF-F-193 inflowSourceWord
66. MK-CF-F-092 incomeMonthlyGrid
67. MK-CF-F-011 savingsByMonth
68. MK-CF-F-165 salaryMonths
69. MK-CF-F-187 seniorDeductionFor
70. MK-CF-F-069 benefitActiveMonths
71. MK-NW-F-112 yearlyInterest
72. MK-ST-F-048 currencySymbol
73. MK-ST-F-027 accountId
74. MK-NW-F-057 annualCoupon
75. MK-NW-F-056 bondInfo
76. MK-NW-F-064 bondRateSensitivity
77. MK-NW-F-061 bondSummary
78. MK-NW-F-055 isBond
79. MK-ST-F-065 isoLocalDate
80. MK-NW-F-072 rowOf
81. MK-CF-F-065 equityVestWeights
82. MK-CF-F-073 otherIncomeMonth
83. MK-CF-F-077 scholarshipByCalendarMonth
84. MK-CF-F-088 taxableByCalendarMonth
85. MK-PL-F-012 waterfall
86. MK-CF-F-008 spendByMonth
87. MK-ST-F-047 activeCurrency
88. MK-NW-F-060 approxYTM
89. MK-NW-F-069 priceAtYield
90. MK-NW-F-011 assetClassOf
91. MK-NW-F-070 accruedInterestCaveat
92. MK-NW-F-058 yearsToMaturity
93. MK-CF-F-120 pctBaseMonthly
94. MK-CF-F-004 spendBuckets
95. MK-NW-F-119 estimatedAccrued
96. MK-NW-F-008 incomeBearingClassOf
97. MK-CF-F-003 categoryMonthly
98. MK-ST-F-010 nameEvidence
99. MK-XS-F-147 call
100. MK-XS-F-064 currentIdToken
101. MK-XS-F-112 relayUrl</t>
        </is>
      </c>
      <c r="R88" s="3" t="inlineStr">
        <is>
          <t>1. MONTH (already above — a loop) → MK-CF-O-010 theMonth → MK-CF-F-203 MONTH → MK-CF-F-087 monthlyTaxRates
2. MK-XS-F-122 n → MK-CF-F-155 cash → MK-CF-O-010 theMonth → MK-CF-F-203 MONTH → MK-CF-F-087 monthlyTaxRates
3. MK-CF-F-148 inMonth → MK-CF-F-151 actualSpending → MK-CF-O-002 expenses → MK-CF-O-010 theMonth → MK-CF-F-203 MONTH → MK-CF-F-087 monthlyTaxRates
4. MK-ST-F-052 toNum → MK-CF-F-151 actualSpending → MK-CF-O-002 expenses → MK-CF-O-010 theMonth → MK-CF-F-203 MONTH → MK-CF-F-087 monthlyTaxRates
5. MK-CF-F-191 ym → MK-CF-F-151 actualSpending → MK-CF-O-002 expenses → MK-CF-O-010 theMonth → MK-CF-F-203 MONTH → MK-CF-F-087 monthlyTaxRates
6. MK-ST-F-056 has → MK-CF-F-150 debtPaymentsCountedAsExpenses → MK-CF-O-002 expenses → MK-CF-O-010 theMonth → MK-CF-F-203 MONTH → MK-CF-F-087 monthlyTaxRates
7. MK-CF-F-148 inMonth → MK-CF-F-150 debtPaymentsCountedAsExpenses → MK-CF-O-002 expenses → MK-CF-O-010 theMonth → MK-CF-F-203 MONTH → MK-CF-F-087 monthlyTaxRates
8. MK-CF-F-022 paymentShape → MK-CF-F-150 debtPaymentsCountedAsExpenses → MK-CF-O-002 expenses → MK-CF-O-010 theMonth → MK-CF-F-203 MONTH → MK-CF-F-087 monthlyTaxRates
9. … and 5 more paths</t>
        </is>
      </c>
      <c r="S88" s="3" t="inlineStr">
        <is>
          <t>—</t>
        </is>
      </c>
      <c r="T88" s="3" t="inlineStr">
        <is>
          <t>—</t>
        </is>
      </c>
      <c r="U88" s="3" t="inlineStr">
        <is>
          <t>ACTIVE</t>
        </is>
      </c>
      <c r="V88" s="3" t="inlineStr">
        <is>
          <t>2026-10-04</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1545</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39</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MK-CF-F-172 hasWage
32. MK-CF-F-165 salaryMonths
33. MK-CF-F-148 inMonth
34. MK-CF-F-191 ym
35. MK-ST-F-056 has
36. MK-CF-F-022 paymentShape
37. MK-CF-F-152 isRadarItem
38. MK-CF-F-023 requiredPayment
39.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1621</v>
      </c>
      <c r="E90" s="3" t="inlineStr">
        <is>
          <t>2 · DISPLAYED</t>
        </is>
      </c>
      <c r="F90" s="3" t="inlineStr">
        <is>
          <t>How many people on the tax return are 65 or older: none, one or two.</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1665</v>
      </c>
      <c r="E91" s="3" t="inlineStr">
        <is>
          <t>3 · DEPENDENT</t>
        </is>
      </c>
      <c r="F91" s="3" t="inlineStr">
        <is>
          <t>The one tax rate in force for the household, as a share of gross: their own figure where they gave one, otherwise the calculated rate.</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50</v>
      </c>
      <c r="Q91" s="3" t="inlineStr">
        <is>
          <t>1. MK-CF-F-181 rateInForce
2. MK-CF-F-173 earnerWages
3. MK-CF-F-180 enteredLandsAnnual
4. MK-CF-F-085 filingStatusOf
5. MK-CF-F-206 householdK401ByMonth
6. MK-CF-F-089 over65CountOf
7. MK-CF-F-082 salaryAnnual
8. MK-CF-F-086 stateRateOf
9. MK-CF-F-101 taxOwedFor
10. MK-CF-F-084 taxableAnnual
11. MK-ST-F-052 toNum
12. MK-CF-F-172 hasWage
13. MK-CF-F-132 map
14. MK-CF-F-176 sumMonthsOverEarners
15. MK-CF-F-177 wageGrossByMonth
16. MK-CF-F-060 salaryGrossByMonth
17. MK-CF-F-100 taxableIncomeFor
18. MK-CF-F-072 currentRetirementIncomeMonthly
19. MK-CF-F-071 extraIncome
20. MK-CF-F-068 rentalNetAnnual
21. MK-CF-F-066 rsuAnnual
22. MK-CF-F-074 tipsAnnual
23. MK-XS-F-122 n
24. MK-ST-F-056 has
25. MK-CF-F-130 enteredMonthlyRaw
26. MK-CF-F-166 hasMonthlySalaryTable
27. MK-ST-F-036 reconcile
28. MK-CF-F-167 salaryCalendarYear
29. MK-CF-F-099 deductionFor
30. MK-CF-F-075 retirementIncomeMonthly
31. MK-CF-F-070 benefitAnnual
32. MK-ST-F-039 on
33. MK-CF-O-002 expenses
34. MK-CF-F-067 rentalList
35. MK-CF-F-062 equityRowValue
36. MK-CF-F-063 rowVestYear
37. MK-CF-F-081 salaryActiveMonths
38. MK-CF-F-165 salaryMonths
39. MK-CF-F-187 seniorDeductionFor
40. MK-CF-F-069 benefitActiveMonths
41. MK-CF-F-151 actualSpending
42. MK-CF-F-150 debtPaymentsCountedAsExpenses
43. MK-CF-F-153 radar
44. MK-CF-F-149 recurringDebtPayments
45. MK-CF-F-148 inMonth
46. MK-CF-F-191 ym
47. MK-CF-F-022 paymentShape
48. MK-CF-F-152 isRadarItem
49. MK-CF-F-023 requiredPayment
50. MK-CF-F-021 defaultPaymentType</t>
        </is>
      </c>
      <c r="R91" s="3" t="inlineStr">
        <is>
          <t>1. MK-ST-F-056 has → MK-CF-F-172 hasWage → MK-CF-F-173 earnerWages → MK-CF-F-181 rateInForce → MK-CF-F-090 effectiveRate
2. MK-ST-F-056 has → MK-CF-F-172 hasWage → MK-CF-F-173 earnerWages → MK-CF-F-180 enteredLandsAnnual → MK-CF-F-181 rateInForce → MK-CF-F-090 effectiveRate
3. MK-XS-F-122 n → MK-ST-F-052 toNum → MK-CF-F-180 enteredLandsAnnual → MK-CF-F-181 rateInForce → MK-CF-F-090 effectiveRate
4. MK-CF-F-085 filingStatusOf → MK-CF-F-181 rateInForce → MK-CF-F-090 effectiveRate
5. MK-CF-F-132 map → MK-CF-F-206 householdK401ByMonth → MK-CF-F-181 rateInForce → MK-CF-F-090 effectiveRate
6. MK-CF-F-172 hasWage → MK-CF-F-173 earnerWages → MK-CF-F-176 sumMonthsOverEarners → MK-CF-F-206 householdK401ByMonth → MK-CF-F-181 rateInForce → MK-CF-F-090 effectiveRate
7. MK-CF-F-132 map → MK-CF-F-176 sumMonthsOverEarners → MK-CF-F-206 householdK401ByMonth → MK-CF-F-181 rateInForce → MK-CF-F-090 effectiveRate
8. MK-XS-F-122 n → MK-ST-F-052 toNum → MK-CF-F-206 householdK401ByMonth → MK-CF-F-181 rateInForce → MK-CF-F-090 effectiveRate
9. … and 4 more paths</t>
        </is>
      </c>
      <c r="S91" s="3" t="inlineStr">
        <is>
          <t>—</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1701</v>
      </c>
      <c r="E92" s="3" t="inlineStr">
        <is>
          <t>3 · DEPENDENT (feeds an action only)</t>
        </is>
      </c>
      <c r="F92" s="3" t="inlineStr">
        <is>
          <t>The person's own capital-gains tax rates, long-term and short-term, each with their state rate added.</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48</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MK-CF-F-176 sumMonthsOverEarners
34. MK-CF-F-177 wageGrossByMonth
35. MK-CF-F-148 inMonth
36. MK-CF-F-191 ym
37. MK-ST-F-056 has
38. MK-CF-F-022 paymentShape
39. MK-CF-F-152 isRadarItem
40. MK-CF-F-023 requiredPayment
41. MK-CF-F-173 earnerWages
42. MK-CF-F-130 enteredMonthlyRaw
43. MK-CF-F-166 hasMonthlySalaryTable
44. MK-ST-F-036 reconcile
45. MK-CF-F-167 salaryCalendarYear
46. MK-CF-F-021 defaultPaymentType
47. MK-CF-F-172 hasWage
48.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1763</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1. Turns a monthly figure into a year by multiplying by twelve.
2. Uses today's date from the device clock, so the answer changes by itself overnight.
3. Never lets earned before401k fall below 0.</t>
        </is>
      </c>
      <c r="N93" s="3" t="inlineStr">
        <is>
          <t>Yes</t>
        </is>
      </c>
      <c r="O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t>
        </is>
      </c>
      <c r="P93" s="3" t="n">
        <v>101</v>
      </c>
      <c r="Q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
20. MK-CF-F-075 retirementIncomeMonthly
21. MK-CF-F-172 hasWage
22. MK-CF-F-062 equityRowValue
23. MK-CF-F-070 benefitAnnual
24. MK-ST-F-039 on
25. MK-CF-F-176 sumMonthsOverEarners
26. MK-CF-F-203 MONTH
27. MK-CF-F-090 effectiveRate
28. MK-CF-F-180 enteredLandsAnnual
29. MK-CF-F-085 filingStatusOf
30. MK-CF-F-089 over65CountOf
31. MK-CF-F-082 salaryAnnual
32. MK-CF-F-086 stateRateOf
33. MK-CF-F-101 taxOwedFor
34. MK-CF-F-084 taxableAnnual
35. MK-CF-O-002 expenses
36. MK-CF-F-067 rentalList
37. MK-CF-F-063 rowVestYear
38. MK-XS-F-122 n
39. MK-CF-F-130 enteredMonthlyRaw
40. MK-CF-F-166 hasMonthlySalaryTable
41. MK-ST-F-036 reconcile
42. MK-CF-F-167 salaryCalendarYear
43. MK-CF-O-010 theMonth
44. MK-CF-F-100 taxableIncomeFor
45. MK-CF-F-074 tipsAnnual
46. MK-CF-F-151 actualSpending
47. MK-CF-F-150 debtPaymentsCountedAsExpenses
48. MK-CF-F-153 radar
49. MK-CF-F-149 recurringDebtPayments
50. MK-CF-F-165 salaryMonths
51. MK-CF-F-155 cash
52. MK-CF-O-003 thisMonth
53. MK-CF-F-099 deductionFor
54. MK-CF-F-081 salaryActiveMonths
55. MK-CF-F-148 inMonth
56. MK-CF-F-191 ym
57. MK-CF-F-022 paymentShape
58. MK-CF-F-152 isRadarItem
59. MK-CF-F-023 requiredPayment
60. MK-CF-F-005 actualMonthFlow
61. MK-CF-F-156 plannedMonthFlow
62. MK-CF-F-187 seniorDeductionFor
63. MK-CF-F-021 defaultPaymentType
64. MK-NW-F-078 ONE
65. MK-CF-F-157 debtPaymentsByDebt
66. MK-CF-F-192 inflowLabel
67. MK-XS-F-027 takeHomeMonthly
68. MK-NW-F-077 ALL
69. MK-NW-F-059 currentYield
70. MK-XS-F-180 declareFigures
71. MK-ST-F-049 formatMoney
72. MK-ST-F-053 money
73. MK-NW-O-001 theBonds
74. MK-CF-F-193 inflowSourceWord
75. MK-CF-F-011 savingsByMonth
76. MK-NW-F-112 yearlyInterest
77. MK-ST-F-048 currencySymbol
78. MK-ST-F-027 accountId
79. MK-NW-F-057 annualCoupon
80. MK-NW-F-056 bondInfo
81. MK-NW-F-064 bondRateSensitivity
82. MK-NW-F-061 bondSummary
83. MK-NW-F-055 isBond
84. MK-ST-F-065 isoLocalDate
85. MK-NW-F-072 rowOf
86. MK-CF-F-008 spendByMonth
87. MK-ST-F-047 activeCurrency
88. MK-NW-F-060 approxYTM
89. MK-NW-F-069 priceAtYield
90. MK-NW-F-011 assetClassOf
91. MK-NW-F-070 accruedInterestCaveat
92. MK-NW-F-058 yearsToMaturity
93. MK-CF-F-120 pctBaseMonthly
94. MK-CF-F-004 spendBuckets
95. MK-NW-F-119 estimatedAccrued
96. MK-NW-F-008 incomeBearingClassOf
97. MK-CF-F-003 categoryMonthly
98. MK-ST-F-010 nameEvidence
99. MK-XS-F-147 call
100. MK-XS-F-064 currentIdToken
101. MK-XS-F-112 relayUrl</t>
        </is>
      </c>
      <c r="R93"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S93" s="3" t="inlineStr">
        <is>
          <t>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97</v>
      </c>
      <c r="E95" s="3" t="inlineStr">
        <is>
          <t>3 · DEPENDENT</t>
        </is>
      </c>
      <c r="F95" s="3" t="inlineStr">
        <is>
          <t>The tax taken in each of the twelve months when the brackets fill as the year's income builds up, so a month with a bonus is taxed higher and the twelve add up to the year's tax exactly.</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256</v>
      </c>
      <c r="E96" s="3" t="inlineStr">
        <is>
          <t>3 · DEPENDENT</t>
        </is>
      </c>
      <c r="F96" s="3" t="inlineStr">
        <is>
          <t>The amount of income that is free of tax before the brackets start: the standard deduction for the way the person files, plus the extra amounts for anyone 65 or older.</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290</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333</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371</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406</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444</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2026-10-03</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2026-10-03</t>
        </is>
      </c>
      <c r="W103" s="3" t="n"/>
      <c r="X103" s="3" t="n"/>
      <c r="Y103" s="3" t="inlineStr">
        <is>
          <t>NOTHING OPEN</t>
        </is>
      </c>
    </row>
    <row r="104" ht="60" customHeight="1">
      <c r="A104" s="3" t="inlineStr">
        <is>
          <t>MK-CF-F-107</t>
        </is>
      </c>
      <c r="B104" s="3" t="inlineStr">
        <is>
          <t>buildPaycheckYear</t>
        </is>
      </c>
      <c r="C104" s="3" t="inlineStr">
        <is>
          <t>src/domain/paycheck/index.ts</t>
        </is>
      </c>
      <c r="D104" s="3" t="n">
        <v>225</v>
      </c>
      <c r="E104" s="3" t="inlineStr">
        <is>
          <t>3 · DEPENDENT</t>
        </is>
      </c>
      <c r="F104" s="3" t="inlineStr">
        <is>
          <t>Build the month-by-month paycheck.</t>
        </is>
      </c>
      <c r="G104" s="11" t="inlineStr">
        <is>
          <t>now = opts.now (or new date() when missing)
rows = guaranteed rows(op, now)
nest egg = opts.nest egg (or retirement earmarked value(opts.accounts ?? [])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124</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MK-NW-F-110 primaryHomeIdOf
24. MK-PL-F-050 simulate
25. MK-CF-F-075 retirementIncomeMonthly
26. MK-CF-F-062 equityRowValue
27. MK-CF-F-066 rsuAnnual
28. MK-CF-F-121 zero12
29. MK-CF-F-151 actualSpending
30. MK-CF-F-150 debtPaymentsCountedAsExpenses
31. MK-CF-F-153 radar
32. MK-CF-F-149 recurringDebtPayments
33. MK-CF-F-203 MONTH
34. MK-XS-F-180 declareFigures
35. MK-ST-F-049 formatMoney
36. MK-XS-F-122 n
37. MK-CF-F-090 effectiveRate
38. MK-ST-F-039 on
39. MK-CF-F-021 defaultPaymentType
40. MK-CF-F-067 rentalList
41. MK-CF-F-176 sumMonthsOverEarners
42. MK-CF-F-177 wageGrossByMonth
43. MK-CF-F-120 pctBaseMonthly
44. MK-CF-F-004 spendBuckets
45. MK-NW-F-030 earmarkDefault
46. MK-NW-F-117 propertyUseMap
47. MK-PL-F-074 median
48. MK-PL-F-072 mulberry32
49. MK-PL-F-073 normal
50. MK-PL-F-075 pctOfSorted
51. MK-ST-F-025 rmdStartAgeFromAge
52. MK-CF-F-063 rowVestYear
53. MK-CF-F-148 inMonth
54. MK-CF-F-191 ym
55. MK-CF-F-152 isRadarItem
56. MK-CF-O-010 theMonth
57. MK-ST-F-048 currencySymbol
58. MK-CF-F-181 rateInForce
59. MK-CF-F-173 earnerWages
60. MK-CF-F-130 enteredMonthlyRaw
61. MK-CF-F-166 hasMonthlySalaryTable
62. MK-ST-F-036 reconcile
63. MK-CF-F-167 salaryCalendarYear
64. MK-CF-F-092 incomeMonthlyGrid
65. MK-CF-F-003 categoryMonthly
66. MK-NW-F-011 assetClassOf
67. MK-NW-F-115 liveRent
68. MK-NW-F-116 rentedIdsOf
69. MK-ST-F-024 rmdStartAge
70. MK-CF-F-155 cash
71. MK-CF-O-003 thisMonth
72. MK-ST-F-047 activeCurrency
73. MK-CF-F-180 enteredLandsAnnual
74. MK-CF-F-085 filingStatusOf
75. MK-CF-F-206 householdK401ByMonth
76. MK-CF-F-089 over65CountOf
77. MK-CF-F-082 salaryAnnual
78. MK-CF-F-086 stateRateOf
79. MK-CF-F-101 taxOwedFor
80. MK-CF-F-084 taxableAnnual
81. MK-CF-F-172 hasWage
82. MK-CF-F-165 salaryMonths
83. MK-CF-F-065 equityVestWeights
84. MK-CF-F-071 extraIncome
85. MK-CF-F-077 scholarshipByCalendarMonth
86. MK-CF-F-088 taxableByCalendarMonth
87. MK-PL-F-012 waterfall
88. MK-XS-F-027 takeHomeMonthly
89. MK-NW-F-008 incomeBearingClassOf
90. MK-NW-F-114 rentAmount
91. MK-CF-F-005 actualMonthFlow
92. MK-CF-F-156 plannedMonthFlow
93. MK-CF-F-100 taxableIncomeFor
94. MK-CF-F-074 tipsAnnual
95. MK-CF-F-070 benefitAnnual
96. MK-CF-F-011 savingsByMonth
97. MK-ST-F-010 nameEvidence
98. MK-NW-F-078 ONE
99. MK-CF-F-157 debtPaymentsByDebt
100. MK-CF-F-192 inflowLabel
101. MK-CF-F-099 deductionFor
102. MK-CF-F-081 salaryActiveMonths
103. MK-XS-F-147 call
104. MK-NW-F-077 ALL
105. MK-NW-F-059 currentYield
106. MK-NW-O-001 theBonds
107. MK-CF-F-193 inflowSourceWord
108. MK-CF-F-187 seniorDeductionFor
109. MK-ST-F-027 accountId
110. MK-XS-F-064 currentIdToken
111. MK-XS-F-112 relayUrl
112. MK-NW-F-112 yearlyInterest
113. MK-NW-F-057 annualCoupon
114. MK-NW-F-056 bondInfo
115. MK-NW-F-064 bondRateSensitivity
116. MK-NW-F-061 bondSummary
117. MK-NW-F-055 isBond
118. MK-ST-F-065 isoLocalDate
119. MK-NW-F-072 rowOf
120. MK-NW-F-060 approxYTM
121. MK-NW-F-069 priceAtYield
122. MK-NW-F-070 accruedInterestCaveat
123. MK-NW-F-058 yearsToMaturity
124. MK-NW-F-119 estimatedAccrued</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2026-10-03</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206</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329</v>
      </c>
      <c r="E107" s="3" t="inlineStr">
        <is>
          <t>3 · DEPENDENT (feeds an action only)</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t>
        </is>
      </c>
      <c r="M107" s="3" t="inlineStr">
        <is>
          <t>· Rounds the answer to a whole number.</t>
        </is>
      </c>
      <c r="N107" s="3" t="inlineStr">
        <is>
          <t>No</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2026-10-02</t>
        </is>
      </c>
      <c r="W107" s="3" t="n"/>
      <c r="X107" s="3" t="n"/>
      <c r="Y107" s="3" t="inlineStr">
        <is>
          <t>NOTHING OPEN</t>
        </is>
      </c>
    </row>
    <row r="108" ht="60" customHeight="1">
      <c r="A108" s="3" t="inlineStr">
        <is>
          <t>MK-CF-F-111</t>
        </is>
      </c>
      <c r="B108" s="3" t="inlineStr">
        <is>
          <t>applyTransaction</t>
        </is>
      </c>
      <c r="C108" s="3" t="inlineStr">
        <is>
          <t>src/domain/transactions/index.ts</t>
        </is>
      </c>
      <c r="D108" s="3" t="n">
        <v>486</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574</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613</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646</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682</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724</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764</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797</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832</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126</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101</v>
      </c>
      <c r="Q117" s="3" t="inlineStr">
        <is>
          <t>1. MK-CF-F-092 incomeMonthlyGrid
2. MK-CF-F-069 benefitActiveMonths
3. MK-CF-F-072 currentRetirementIncomeMonthly
4. MK-CF-F-173 earnerWages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MK-CF-F-177 wageGrossByMonth
20. MK-PL-F-012 waterfall
21. MK-CF-F-075 retirementIncomeMonthly
22. MK-CF-F-172 hasWage
23. MK-CF-F-062 equityRowValue
24. MK-CF-F-070 benefitAnnual
25. MK-ST-F-039 on
26. MK-CF-F-176 sumMonthsOverEarners
27. MK-CF-F-203 MONTH
28. MK-CF-F-090 effectiveRate
29. MK-CF-F-180 enteredLandsAnnual
30. MK-CF-F-085 filingStatusOf
31. MK-CF-F-089 over65CountOf
32. MK-CF-F-082 salaryAnnual
33. MK-CF-F-086 stateRateOf
34. MK-CF-F-101 taxOwedFor
35. MK-CF-F-084 taxableAnnual
36. MK-CF-O-002 expenses
37. MK-CF-F-067 rentalList
38. MK-CF-F-063 rowVestYear
39. MK-XS-F-122 n
40. MK-CF-F-130 enteredMonthlyRaw
41. MK-CF-F-166 hasMonthlySalaryTable
42. MK-ST-F-036 reconcile
43. MK-CF-F-167 salaryCalendarYear
44. MK-CF-O-010 theMonth
45. MK-CF-F-100 taxableIncomeFor
46. MK-CF-F-074 tipsAnnual
47. MK-CF-F-151 actualSpending
48. MK-CF-F-150 debtPaymentsCountedAsExpenses
49. MK-CF-F-153 radar
50. MK-CF-F-149 recurringDebtPayments
51. MK-CF-F-165 salaryMonths
52. MK-CF-F-155 cash
53. MK-CF-O-003 thisMonth
54. MK-CF-F-099 deductionFor
55. MK-CF-F-081 salaryActiveMonths
56. MK-CF-F-148 inMonth
57. MK-CF-F-191 ym
58. MK-CF-F-022 paymentShape
59. MK-CF-F-152 isRadarItem
60. MK-CF-F-023 requiredPayment
61. MK-CF-F-005 actualMonthFlow
62. MK-CF-F-156 plannedMonthFlow
63. MK-CF-F-187 seniorDeductionFor
64. MK-CF-F-021 defaultPaymentType
65. MK-NW-F-078 ONE
66. MK-CF-F-157 debtPaymentsByDebt
67. MK-CF-F-192 inflowLabel
68. MK-XS-F-027 takeHomeMonthly
69. MK-NW-F-077 ALL
70. MK-NW-F-059 currentYield
71. MK-XS-F-180 declareFigures
72. MK-ST-F-049 formatMoney
73. MK-ST-F-053 money
74. MK-NW-O-001 theBonds
75. MK-CF-F-193 inflowSourceWord
76. MK-CF-F-011 savingsByMonth
77. MK-NW-F-112 yearlyInterest
78. MK-ST-F-048 currencySymbol
79. MK-ST-F-027 accountId
80. MK-NW-F-057 annualCoupon
81. MK-NW-F-056 bondInfo
82. MK-NW-F-064 bondRateSensitivity
83. MK-NW-F-061 bondSummary
84. MK-NW-F-055 isBond
85. MK-ST-F-065 isoLocalDate
86. MK-NW-F-072 rowOf
87. MK-CF-F-008 spendByMonth
88. MK-ST-F-047 activeCurrency
89. MK-NW-F-060 approxYTM
90. MK-NW-F-069 priceAtYield
91. MK-NW-F-011 assetClassOf
92. MK-NW-F-070 accruedInterestCaveat
93. MK-NW-F-058 yearsToMaturity
94. MK-CF-F-004 spendBuckets
95. MK-NW-F-119 estimatedAccrued
96. MK-NW-F-008 incomeBearingClassOf
97. MK-CF-F-003 categoryMonthly
98. MK-ST-F-010 nameEvidence
99. MK-XS-F-147 call
100. MK-XS-F-064 currentIdToken
101. MK-XS-F-112 relayUrl</t>
        </is>
      </c>
      <c r="R117" s="3" t="inlineStr">
        <is>
          <t>1. MK-CF-F-069 benefitActiveMonths → MK-CF-F-092 incomeMonthlyGrid → MK-CF-F-120 pctBaseMonthly
2. MK-XS-F-122 n → MK-ST-F-052 toNum → MK-CF-F-075 retirementIncomeMonthly → MK-CF-F-072 currentRetirementIncomeMonthly → MK-CF-F-092 incomeMonthlyGrid → MK-CF-F-120 pctBaseMonthly
3. MK-ST-F-056 has → MK-CF-F-172 hasWage → MK-CF-F-173 earnerWages → MK-CF-F-092 incomeMonthlyGrid → MK-CF-F-120 pctBaseMonthly
4. MK-XS-F-122 n → MK-ST-F-052 toNum → MK-CF-F-062 equityRowValue → MK-CF-F-065 equityVestWeights → MK-CF-F-092 incomeMonthlyGrid → MK-CF-F-120 pctBaseMonthly
5. MK-CF-F-132 map → MK-CF-F-065 equityVestWeights → MK-CF-F-092 incomeMonthlyGrid → MK-CF-F-120 pctBaseMonthly
6. MK-CF-F-069 benefitActiveMonths → MK-CF-F-070 benefitAnnual → MK-CF-F-071 extraIncome → MK-CF-F-092 incomeMonthlyGrid → MK-CF-F-120 pctBaseMonthly
7. MK-XS-F-122 n → MK-ST-F-052 toNum → MK-CF-F-070 benefitAnnual → MK-CF-F-071 extraIncome → MK-CF-F-092 incomeMonthlyGrid → MK-CF-F-120 pctBaseMonthly
8. MK-ST-F-039 on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45" customHeight="1">
      <c r="A118" s="3" t="inlineStr">
        <is>
          <t>MK-CF-F-121</t>
        </is>
      </c>
      <c r="B118" s="3" t="inlineStr">
        <is>
          <t>zero12</t>
        </is>
      </c>
      <c r="C118" s="3" t="inlineStr">
        <is>
          <t>src/domain/cashflow/index.ts</t>
        </is>
      </c>
      <c r="D118" s="3" t="n">
        <v>36</v>
      </c>
      <c r="E118" s="3" t="inlineStr">
        <is>
          <t>3 · DEPENDENT</t>
        </is>
      </c>
      <c r="F118" s="3" t="inlineStr">
        <is>
          <t>Twelve zeros: an empty year, one slot for each month.</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45" customHeight="1">
      <c r="A119" s="3" t="inlineStr">
        <is>
          <t>MK-CF-F-122</t>
        </is>
      </c>
      <c r="B119" s="3" t="inlineStr">
        <is>
          <t>addDays</t>
        </is>
      </c>
      <c r="C119" s="3" t="inlineStr">
        <is>
          <t>src/domain/cashflow/index.ts</t>
        </is>
      </c>
      <c r="D119" s="3" t="n">
        <v>140</v>
      </c>
      <c r="E119" s="3" t="inlineStr">
        <is>
          <t>2 · DISPLAYED</t>
        </is>
      </c>
      <c r="F119" s="3" t="inlineStr">
        <is>
          <t>The date a given number of days after another date.</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166</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45" customHeight="1">
      <c r="A123" s="3" t="inlineStr">
        <is>
          <t>MK-CF-F-127</t>
        </is>
      </c>
      <c r="B123" s="3" t="inlineStr">
        <is>
          <t>isRental</t>
        </is>
      </c>
      <c r="C123" s="3" t="inlineStr">
        <is>
          <t>src/domain/income/calc.ts</t>
        </is>
      </c>
      <c r="D123" s="3" t="n">
        <v>30</v>
      </c>
      <c r="E123" s="3" t="inlineStr">
        <is>
          <t>1 · ACTION</t>
        </is>
      </c>
      <c r="F123" s="3" t="inlineStr">
        <is>
          <t>Whether an income source is rent from a property, long-term or short-term.</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45" customHeight="1">
      <c r="A125" s="3" t="inlineStr">
        <is>
          <t>MK-CF-F-129</t>
        </is>
      </c>
      <c r="B125" s="3" t="inlineStr">
        <is>
          <t>round4</t>
        </is>
      </c>
      <c r="C125" s="3" t="inlineStr">
        <is>
          <t>src/domain/income/calc.ts</t>
        </is>
      </c>
      <c r="D125" s="3" t="n">
        <v>282</v>
      </c>
      <c r="E125" s="3" t="inlineStr">
        <is>
          <t>1 · ACTION</t>
        </is>
      </c>
      <c r="F125" s="3" t="inlineStr">
        <is>
          <t>Returns a number unchanged, because rounding is done once, where a figure is shown.</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45" customHeight="1">
      <c r="A127" s="3" t="inlineStr">
        <is>
          <t>MK-CF-F-131</t>
        </is>
      </c>
      <c r="B127" s="3" t="inlineStr">
        <is>
          <t>normPayee</t>
        </is>
      </c>
      <c r="C127" s="3" t="inlineStr">
        <is>
          <t>src/domain/transactions/flags.ts</t>
        </is>
      </c>
      <c r="D127" s="3" t="n">
        <v>93</v>
      </c>
      <c r="E127" s="3" t="inlineStr">
        <is>
          <t>1 · ACTION</t>
        </is>
      </c>
      <c r="F127" s="3" t="inlineStr">
        <is>
          <t>Tidies a payee's name so two can be compared: trims the spaces and puts it in lower case.</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131</v>
      </c>
      <c r="E128" s="3" t="inlineStr">
        <is>
          <t>1 · ACTION</t>
        </is>
      </c>
      <c r="F128" s="3" t="inlineStr">
        <is>
          <t>Applies one change to the one account named and leaves every other account as it was.</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"ACCOUNTS (year-end)" — on the Tax organiser screen, under "ACCOUNTS (year-end)"
2. "Account name" — on the Import holdings screen, under "REVIEW YOUR HOLDINGS"
3. "Add a goal ›" — on the Goals together screen, under "TRY THESE TOGETHER"
4. "Add your income ›" — on the income summary screen
5. "COMING UP" — on the Bill calendar screen, under "COMING UP"
6. "Certain months" — on the setup questions, which appear on more than one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45" customHeight="1">
      <c r="A129" s="3" t="inlineStr">
        <is>
          <t>MK-CF-F-133</t>
        </is>
      </c>
      <c r="B129" s="3" t="inlineStr">
        <is>
          <t>cashOf</t>
        </is>
      </c>
      <c r="C129" s="3" t="inlineStr">
        <is>
          <t>src/domain/transactions/index.ts</t>
        </is>
      </c>
      <c r="D129" s="3" t="n">
        <v>166</v>
      </c>
      <c r="E129" s="3" t="inlineStr">
        <is>
          <t>1 · ACTION</t>
        </is>
      </c>
      <c r="F129" s="3" t="inlineStr">
        <is>
          <t>The uninvested cash held inside an account, or zero when none is recorded.</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202</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230</v>
      </c>
      <c r="E131" s="3" t="inlineStr">
        <is>
          <t>1 · ACTION</t>
        </is>
      </c>
      <c r="F131" s="3" t="inlineStr">
        <is>
          <t>The cash an account can spend right now: the uninvested cash inside an investment account, or the whole balance of a bank account.</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272</v>
      </c>
      <c r="E132" s="3" t="inlineStr">
        <is>
          <t>3 · DEPENDENT</t>
        </is>
      </c>
      <c r="F132" s="3" t="inlineStr">
        <is>
          <t>Adds cash to an account, or takes it out, in the right place: the uninvested cash of an investment account, or the balance of a bank account.</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45" customHeight="1">
      <c r="A133" s="3" t="inlineStr">
        <is>
          <t>MK-CF-F-137</t>
        </is>
      </c>
      <c r="B133" s="3" t="inlineStr">
        <is>
          <t>findPos</t>
        </is>
      </c>
      <c r="C133" s="3" t="inlineStr">
        <is>
          <t>src/domain/transactions/index.ts</t>
        </is>
      </c>
      <c r="D133" s="3" t="n">
        <v>323</v>
      </c>
      <c r="E133" s="3" t="inlineStr">
        <is>
          <t>1 · ACTION</t>
        </is>
      </c>
      <c r="F133" s="3" t="inlineStr">
        <is>
          <t>Finds the holding a transaction refers to, by the holding's own identifier or by its ticker.</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371</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418</v>
      </c>
      <c r="E135" s="3" t="inlineStr">
        <is>
          <t>3 · DEPENDENT</t>
        </is>
      </c>
      <c r="F135" s="3" t="inlineStr">
        <is>
          <t>Remove `shares` from a position FIFO (oldest lots first); returns updated account.</t>
        </is>
      </c>
      <c r="G135" s="11" t="inlineStr">
        <is>
          <t>pos = find pos(a, t)
a   when pos is missing
remaining = shares
lots = for each of pos.lots: { ...each }
oldest first = [...lots].sort((x, y) =&gt; string(purchase date or '9999').locale compare(string(purchase date or '9999')))
take = min(shares, remaining)
kept = lots where shares &gt; 1e − 9
the answer = { ...a, positions }</t>
        </is>
      </c>
      <c r="H135" s="3" t="inlineStr">
        <is>
          <t>Pos is find pos(a, t). When pos is missing, it answers a. Remaining is shares. Lots is for each of pos.lots: { ...each }. Oldest first is [...lots].sort((x, y) =&gt; string(purchase date or '9999').locale compare(string(purchase date or '9999'))). Take: the smaller of shares and remaining. Kept is lots where shares &gt; 1e minus 9. The answer is { ...a, positions }.</t>
        </is>
      </c>
      <c r="I135" s="3" t="inlineStr">
        <is>
          <t>PARTLY READ — some of the code is still showing through; needs a hand pass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2026-10-04</t>
        </is>
      </c>
      <c r="W135" s="3" t="n"/>
      <c r="X135" s="3" t="n"/>
      <c r="Y135" s="3" t="inlineStr">
        <is>
          <t>NOTHING OPEN</t>
        </is>
      </c>
    </row>
    <row r="136" ht="45" customHeight="1">
      <c r="A136" s="3" t="inlineStr">
        <is>
          <t>MK-CF-F-140</t>
        </is>
      </c>
      <c r="B136" s="3" t="inlineStr">
        <is>
          <t>periodsAYear</t>
        </is>
      </c>
      <c r="C136" s="3" t="inlineStr">
        <is>
          <t>MoneyKeel/functions/cashflow/base-pay.ts</t>
        </is>
      </c>
      <c r="D136" s="3" t="n">
        <v>80</v>
      </c>
      <c r="E136" s="3" t="inlineStr">
        <is>
          <t>1 · ACTION</t>
        </is>
      </c>
      <c r="F136" s="3" t="inlineStr">
        <is>
          <t>How many pay periods a year a pay frequency has, taken as 12 when it is monthly or not stated.</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MK-CF-F-128 grossByMonth</t>
        </is>
      </c>
      <c r="P139" s="3" t="n">
        <v>9</v>
      </c>
      <c r="Q139" s="3" t="inlineStr">
        <is>
          <t>1. MK-CF-F-128 grossByMonth
2. MK-CF-F-142 monthsOf
3. MK-CF-F-141 perMonth
4. MK-ST-F-035 covers
5. MK-CF-F-132 map
6. MK-ST-F-052 toNum
7. MK-CF-F-140 periodsAYear
8. MK-ST-F-034 firstDate
9.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291</v>
      </c>
      <c r="E140" s="3" t="inlineStr">
        <is>
          <t>3 · DEPENDENT</t>
        </is>
      </c>
      <c r="F140" s="3" t="inlineStr">
        <is>
          <t>A person's monthly take-home exactly as they entered it, averaged over their month-by-month table when their pay varies, or a calculated figure marked as calculated when they entered none.</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MK-CF-F-101 taxOwedFor
5. MK-ST-F-052 toNum</t>
        </is>
      </c>
      <c r="P140" s="3" t="n">
        <v>15</v>
      </c>
      <c r="Q140" s="3" t="inlineStr">
        <is>
          <t>1. MK-CF-F-143 annualisedGross
2. MK-CF-F-142 monthsOf
3. MK-ST-F-039 on
4. MK-CF-F-101 taxOwedFor
5. MK-ST-F-052 toNum
6. MK-CF-F-128 grossByMonth
7. MK-ST-F-035 covers
8. MK-CF-F-132 map
9. MK-CF-F-100 taxableIncomeFor
10. MK-XS-F-122 n
11. MK-CF-F-141 perMonth
12. MK-ST-F-034 firstDate
13. MK-CF-F-099 deductionFor
14. MK-CF-F-140 periodsAYear
15.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3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373</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16</v>
      </c>
      <c r="Q141" s="3" t="inlineStr">
        <is>
          <t>1. MK-CF-F-143 annualisedGross
2. MK-CF-F-144 takeHomeAsEntered
3. MK-ST-F-052 toNum
4. MK-CF-F-128 grossByMonth
5. MK-CF-F-142 monthsOf
6. MK-ST-F-039 on
7. MK-CF-F-101 taxOwedFor
8. MK-XS-F-122 n
9. MK-CF-F-141 perMonth
10. MK-ST-F-035 covers
11. MK-CF-F-132 map
12. MK-CF-F-100 taxableIncomeFor
13. MK-CF-F-140 periodsAYear
14. MK-ST-F-034 firstDate
15. MK-CF-F-099 deductionFor
16.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441</v>
      </c>
      <c r="E142" s="3" t="inlineStr">
        <is>
          <t>3 · DEPENDENT</t>
        </is>
      </c>
      <c r="F142" s="3" t="inlineStr">
        <is>
          <t>Checks month by month that gross pay, less the 401(k), is enough to leave the take-home the person entered, and says in words when it is not or when an unusually large share goes elsewhere.</t>
        </is>
      </c>
      <c r="G142" s="11" t="inlineStr">
        <is>
          <t>t = take home as entered(e)
ok = true
warn = false
say = ''   when estimated
k401 = monthly401k read as a number (0 when it is not one)
gm = gross by month(e)
lands = a lookup of lm
landed = lands.get(key) as number   if lands.has(key)
lands typical read as a number (0 when it is not one)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lands typical read as a number (0 — when it is one is missing)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MK-CF-F-144 takeHomeAsEntered
7. MK-ST-F-052 toNum</t>
        </is>
      </c>
      <c r="P142" s="3" t="n">
        <v>21</v>
      </c>
      <c r="Q142" s="3" t="inlineStr">
        <is>
          <t>1. MK-CF-F-128 grossByMonth
2. MK-ST-F-056 has
3. MK-CF-F-132 map
4. MK-ST-F-053 money
5. MK-CF-F-142 monthsOf
6. MK-CF-F-144 takeHomeAsEntered
7. MK-ST-F-052 toNum
8. MK-CF-F-141 perMonth
9. MK-ST-F-049 formatMoney
10. MK-XS-F-122 n
11. MK-ST-F-035 covers
12. MK-CF-F-143 annualisedGross
13. MK-ST-F-039 on
14. MK-CF-F-101 taxOwedFor
15. MK-CF-F-140 periodsAYear
16. MK-ST-F-048 currencySymbol
17. MK-ST-F-034 firstDate
18. MK-CF-F-100 taxableIncomeFor
19. MK-ST-F-047 activeCurrency
20. MK-CF-F-099 deductionFor
21.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2026-10-04</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160</v>
      </c>
      <c r="E146" s="3" t="inlineStr">
        <is>
          <t>3 · DEPENDENT</t>
        </is>
      </c>
      <c r="F146" s="3" t="inlineStr">
        <is>
          <t>What was actually spent in a month, debt payments left out: every expense newest first, the five shown, how many more there are and the totals, for all of them or only those entered by hand or only those imported.</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1. s: ExpensesInput
2. origin?: 'by-hand' | 'imported'</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217</v>
      </c>
      <c r="E147" s="3" t="inlineStr">
        <is>
          <t>3 · DEPENDENT</t>
        </is>
      </c>
      <c r="F147" s="3" t="inlineStr">
        <is>
          <t>Whether a debt belongs on the big-ticket radar: yes for a card or a credit line and for a debt due in one lump, no for a loan paid the same every month.</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259</v>
      </c>
      <c r="E148" s="3" t="inlineStr">
        <is>
          <t>3 · DEPENDENT</t>
        </is>
      </c>
      <c r="F148" s="3" t="inlineStr">
        <is>
          <t>The big-ticket radar for a month: each card, credit-line or lump-sum debt payment and each large dated bill, with its amount and whether it is already counted as an expense.</t>
        </is>
      </c>
      <c r="G148" s="11" t="inlineStr">
        <is>
          <t>out = []
reason = is radar item(d)
amount = paid   if paid &gt; 0
required payment(d)   otherwise
counted = !purchases captured.has(string(debt id))
name = label   if ÷ payment$ ÷ test(string(label).trim())
`${label} payment`   otherwise
the answer = out</t>
        </is>
      </c>
      <c r="H148" s="3" t="inlineStr">
        <is>
          <t>Out is []. Reason is is radar item(d). Amount is paid — when paid &gt; 0; required payment(d) — otherwise. Counted is !purchases captured.has(string(debt id)). Name is label — when divided by payment$ divided by test(string(label).trim()); `${label} payment` — otherwise.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MK-CF-O-002 expenses
2. MK-ST-F-056 has
3. MK-CF-F-148 inMonth
4. MK-CF-F-152 isRadarItem
5. MK-CF-F-023 requiredPayment
6. MK-ST-F-052 toNum
7. MK-CF-F-191 ym</t>
        </is>
      </c>
      <c r="P148" s="3" t="n">
        <v>14</v>
      </c>
      <c r="Q148" s="3" t="inlineStr">
        <is>
          <t>1. MK-CF-O-002 expenses
2. MK-ST-F-056 has
3. MK-CF-F-148 inMonth
4. MK-CF-F-152 isRadarItem
5. MK-CF-F-023 requiredPayment
6. MK-ST-F-052 toNum
7. MK-CF-F-191 ym
8. MK-CF-F-151 actualSpending
9. MK-CF-F-150 debtPaymentsCountedAsExpenses
10. MK-CF-F-149 recurringDebtPayments
11. MK-CF-F-022 paymentShape
12. MK-XS-F-122 n
13. MK-CF-F-132 map
14. MK-CF-F-021 defaultPaymentType</t>
        </is>
      </c>
      <c r="R148" s="3" t="inlineStr">
        <is>
          <t>1. MK-CF-F-191 ym → MK-CF-F-148 inMonth → MK-CF-F-151 actualSpending → MK-CF-O-002 expenses → MK-CF-F-153 radar
2. MK-XS-F-122 n → MK-ST-F-052 toNum → MK-CF-F-151 actualSpending → MK-CF-O-002 expenses → MK-CF-F-153 radar
3. MK-CF-F-191 ym → MK-CF-F-151 actualSpending → MK-CF-O-002 expenses → MK-CF-F-153 radar
4. MK-ST-F-056 has → MK-CF-F-150 debtPaymentsCountedAsExpenses → MK-CF-O-002 expenses → MK-CF-F-153 radar
5. MK-CF-F-191 ym → MK-CF-F-148 inMonth → MK-CF-F-150 debtPaymentsCountedAsExpenses → MK-CF-O-002 expenses → MK-CF-F-153 radar
6. MK-CF-F-021 defaultPaymentType → MK-CF-F-022 paymentShape → MK-CF-F-150 debtPaymentsCountedAsExpenses → MK-CF-O-002 expenses → MK-CF-F-153 radar
7. MK-XS-F-122 n → MK-ST-F-052 toNum → MK-CF-F-150 debtPaymentsCountedAsExpenses → MK-CF-O-002 expenses → MK-CF-F-153 radar
8. MK-CF-F-191 ym → MK-CF-F-150 debtPaymentsCountedAsExpenses → MK-CF-O-002 expenses → MK-CF-F-153 radar
9. … and 5 more paths</t>
        </is>
      </c>
      <c r="S148" s="3" t="inlineStr">
        <is>
          <t>—</t>
        </is>
      </c>
      <c r="T148" s="3" t="inlineStr">
        <is>
          <t>—</t>
        </is>
      </c>
      <c r="U148" s="3" t="inlineStr">
        <is>
          <t>ACTIVE</t>
        </is>
      </c>
      <c r="V148" s="3" t="inlineStr">
        <is>
          <t>2026-10-03</t>
        </is>
      </c>
      <c r="W148" s="3" t="n"/>
      <c r="X148" s="3" t="n"/>
      <c r="Y148" s="3" t="inlineStr">
        <is>
          <t>NOTHING OPEN</t>
        </is>
      </c>
    </row>
    <row r="149" ht="60" customHeight="1">
      <c r="A149" s="3" t="inlineStr">
        <is>
          <t>MK-CF-F-155</t>
        </is>
      </c>
      <c r="B149" s="3" t="inlineStr">
        <is>
          <t>cash</t>
        </is>
      </c>
      <c r="C149" s="3" t="inlineStr">
        <is>
          <t>MoneyKeel/functions/cashflow/this-month.ts</t>
        </is>
      </c>
      <c r="D149" s="3" t="n">
        <v>205</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251</v>
      </c>
      <c r="E150" s="3" t="inlineStr">
        <is>
          <t>3 · DEPENDENT</t>
        </is>
      </c>
      <c r="F150" s="3" t="inlineStr">
        <is>
          <t>THE PLAN for this month: the take-home, less each debt, less planned expenses.</t>
        </is>
      </c>
      <c r="G150" s="11" t="inlineStr">
        <is>
          <t>plan set = (planned expenses ?? 0) &gt; 0
every month = debts (or none when missing) where !is radar item(each)
radar = debts (or none when missing) where is radar item(each)
due = required payment(d)
radar kind = is radar item(d)
the answer:
lines = lines
surplus = cash(lines.reduce((t, l) =&gt; t + amount, 0))
plan set = plan set</t>
        </is>
      </c>
      <c r="H150" s="3" t="inlineStr">
        <is>
          <t>Plan set is (planned expenses ?? 0) &gt; 0. Every month is debts (or none — when missing) where !is radar item(each). Radar is debts (or none — when missing) where is radar item(each). Due is required payment(d). Radar kind is is radar item(d). The answer is lines = lines; surplus = cash(lines.reduce((t, l) =&gt; t plus amount, 0)); plan set = plan set.</t>
        </is>
      </c>
      <c r="I150" s="3" t="inlineStr">
        <is>
          <t>PARTLY READ — some of the code is still showing through; needs a hand pass</t>
        </is>
      </c>
      <c r="J150" s="3" t="inlineStr">
        <is>
          <t>m: MonthInput</t>
        </is>
      </c>
      <c r="K150" s="3" t="inlineStr">
        <is>
          <t>MonthBlock</t>
        </is>
      </c>
      <c r="L150" s="3" t="inlineStr">
        <is>
          <t>—</t>
        </is>
      </c>
      <c r="M150" s="3" t="inlineStr">
        <is>
          <t>· If planned expenses is missing it uses 0.</t>
        </is>
      </c>
      <c r="N150" s="3" t="inlineStr">
        <is>
          <t>Yes</t>
        </is>
      </c>
      <c r="O150" s="3" t="inlineStr">
        <is>
          <t>1. MK-CF-F-155 cash
2. MK-CF-F-192 inflowLabel
3. MK-CF-F-152 isRadarItem
4. MK-CF-F-023 requiredPayment
5. MK-XS-F-027 takeHomeMonthly</t>
        </is>
      </c>
      <c r="P150" s="3" t="n">
        <v>101</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MK-CF-F-173 earnerWages
15. MK-CF-F-065 equityVestWeights
16. MK-CF-F-071 extraIncome
17. MK-ST-F-056 has
18. MK-CF-F-206 householdK401ByMonth
19. MK-CF-F-132 map
20. MK-CF-F-087 monthlyTaxRates
21. MK-CF-F-073 otherIncomeMonth
22. MK-CF-F-181 rateInForce
23. MK-CF-F-068 rentalNetAnnual
24. MK-CF-F-066 rsuAnnual
25. MK-CF-F-060 salaryGrossByMonth
26. MK-CF-F-077 scholarshipByCalendarMonth
27. MK-CF-F-088 taxableByCalendarMonth
28. MK-ST-F-052 toNum
29. MK-CF-F-177 wageGrossByMonth
30. MK-PL-F-012 waterfall
31. MK-CF-F-008 spendByMonth
32. MK-CF-F-075 retirementIncomeMonthly
33. MK-CF-F-172 hasWage
34. MK-CF-F-062 equityRowValue
35. MK-CF-F-070 benefitAnnual
36. MK-ST-F-039 on
37. MK-CF-F-176 sumMonthsOverEarners
38. MK-CF-F-203 MONTH
39. MK-CF-F-090 effectiveRate
40. MK-CF-F-180 enteredLandsAnnual
41. MK-CF-F-085 filingStatusOf
42. MK-CF-F-089 over65CountOf
43. MK-CF-F-082 salaryAnnual
44. MK-CF-F-086 stateRateOf
45. MK-CF-F-101 taxOwedFor
46. MK-CF-F-084 taxableAnnual
47. MK-CF-O-002 expenses
48. MK-CF-F-067 rentalList
49. MK-CF-F-063 rowVestYear
50. MK-CF-F-130 enteredMonthlyRaw
51. MK-CF-F-166 hasMonthlySalaryTable
52. MK-ST-F-036 reconcile
53. MK-CF-F-167 salaryCalendarYear
54. MK-CF-F-120 pctBaseMonthly
55. MK-CF-F-004 spendBuckets
56. MK-CF-O-010 theMonth
57. MK-CF-F-100 taxableIncomeFor
58. MK-CF-F-074 tipsAnnual
59. MK-CF-F-151 actualSpending
60. MK-CF-F-150 debtPaymentsCountedAsExpenses
61. MK-CF-F-153 radar
62. MK-CF-F-149 recurringDebtPayments
63. MK-CF-F-165 salaryMonths
64. MK-CF-F-003 categoryMonthly
65. MK-CF-O-003 thisMonth
66. MK-CF-F-099 deductionFor
67. MK-CF-F-081 salaryActiveMonths
68. MK-CF-F-148 inMonth
69. MK-CF-F-191 ym
70. MK-CF-F-005 actualMonthFlow
71. MK-CF-F-187 seniorDeductionFor
72. MK-NW-F-078 ONE
73. MK-CF-F-157 debtPaymentsByDebt
74. MK-NW-F-077 ALL
75. MK-NW-F-059 currentYield
76. MK-XS-F-180 declareFigures
77. MK-ST-F-049 formatMoney
78. MK-ST-F-053 money
79. MK-NW-O-001 theBonds
80. MK-NW-F-112 yearlyInterest
81. MK-ST-F-048 currencySymbol
82. MK-ST-F-027 accountId
83. MK-NW-F-057 annualCoupon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MK-NW-F-058 yearsToMaturity
96. MK-NW-F-119 estimatedAccrued
97. MK-NW-F-008 incomeBearingClassOf
98. MK-ST-F-010 nameEvidence
99. MK-XS-F-147 call
100. MK-XS-F-064 currentIdToken
101. MK-XS-F-112 relayUrl</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MK-ST-F-056 has → MK-CF-F-172 hasWage → MK-CF-F-173 earnerWages → MK-CF-F-092 incomeMonthlyGrid → MK-XS-F-027 takeHomeMonthly → MK-CF-F-156 plannedMonthFlow
8. MK-ST-F-052 toNum → MK-CF-F-062 equityRowValue → MK-CF-F-065 equityVestWeights → MK-CF-F-092 incomeMonthlyGrid → MK-XS-F-027 takeHomeMonthly → MK-CF-F-156 plannedMonthFlow
9. … and 4 more paths</t>
        </is>
      </c>
      <c r="S150" s="3" t="inlineStr">
        <is>
          <t>—</t>
        </is>
      </c>
      <c r="T150" s="3" t="inlineStr">
        <is>
          <t>—</t>
        </is>
      </c>
      <c r="U150" s="3" t="inlineStr">
        <is>
          <t>ACTIVE</t>
        </is>
      </c>
      <c r="V150" s="3" t="inlineStr">
        <is>
          <t>2026-10-03</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417</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101</v>
      </c>
      <c r="Q151" s="3" t="inlineStr">
        <is>
          <t>1. MK-CF-F-203 MONTH
2. MK-CF-F-148 inMonth
3. MK-CF-F-132 map
4. MK-ST-F-052 toNum
5. MK-CF-F-191 ym
6. MK-CF-O-010 theMonth
7. MK-XS-F-122 n
8. MK-CF-F-155 cash
9. MK-CF-O-002 expenses
10. MK-CF-O-003 thisMonth
11. MK-CF-F-151 actualSpending
12. MK-CF-F-150 debtPaymentsCountedAsExpenses
13. MK-CF-F-153 radar
14. MK-CF-F-149 recurringDebtPayments
15. MK-CF-F-005 actualMonthFlow
16. MK-CF-F-156 plannedMonthFlow
17. MK-ST-F-056 has
18. MK-CF-F-022 paymentShape
19. MK-CF-F-152 isRadarItem
20. MK-CF-F-023 requiredPayment
21. MK-NW-F-078 ONE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MK-ST-F-065 isoLocalDate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MK-NW-F-011 assetClassOf
66. MK-NW-F-070 accruedInterestCaveat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MK-NW-F-119 estimatedAccrued
90. MK-NW-F-008 incomeBearingClassOf
91. MK-CF-F-100 taxableIncomeFor
92. MK-CF-F-074 tipsAnnual
93. MK-CF-F-165 salaryMonths
94. MK-CF-F-003 categoryMonthly
95. MK-ST-F-010 nameEvidence
96. MK-CF-F-099 deductionFor
97. MK-CF-F-081 salaryActiveMonths
98. MK-XS-F-147 call
99. MK-CF-F-187 seniorDeductionFor
100. MK-XS-F-064 currentIdToken
101. MK-XS-F-112 relayUrl</t>
        </is>
      </c>
      <c r="R151" s="3" t="inlineStr">
        <is>
          <t>1. MONTH (already above — a loop) → MK-CF-O-010 theMonth → MK-CF-F-203 MONTH → MK-CF-F-157 debtPaymentsByDebt
2. MK-XS-F-122 n → MK-CF-F-155 cash → MK-CF-O-010 theMonth → MK-CF-F-203 MONTH → MK-CF-F-157 debtPaymentsByDebt
3. MK-CF-F-148 inMonth → MK-CF-F-151 actualSpending → MK-CF-O-002 expenses → MK-CF-O-010 theMonth → MK-CF-F-203 MONTH → MK-CF-F-157 debtPaymentsByDebt
4. MK-ST-F-052 toNum → MK-CF-F-151 actualSpending → MK-CF-O-002 expenses → MK-CF-O-010 theMonth → MK-CF-F-203 MONTH → MK-CF-F-157 debtPaymentsByDebt
5. MK-CF-F-191 ym → MK-CF-F-151 actualSpending → MK-CF-O-002 expenses → MK-CF-O-010 theMonth → MK-CF-F-203 MONTH → MK-CF-F-157 debtPaymentsByDebt
6. MK-ST-F-056 has → MK-CF-F-150 debtPaymentsCountedAsExpenses → MK-CF-O-002 expenses → MK-CF-O-010 theMonth → MK-CF-F-203 MONTH → MK-CF-F-157 debtPaymentsByDebt
7. MK-CF-F-148 inMonth → MK-CF-F-150 debtPaymentsCountedAsExpenses → MK-CF-O-002 expenses → MK-CF-O-010 theMonth → MK-CF-F-203 MONTH → MK-CF-F-157 debtPaymentsByDebt
8. MK-CF-F-022 paymentShape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684</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30" customHeight="1">
      <c r="A153" s="3" t="inlineStr">
        <is>
          <t>MK-CF-F-160</t>
        </is>
      </c>
      <c r="B153" s="3" t="inlineStr">
        <is>
          <t>daysBetweenDates</t>
        </is>
      </c>
      <c r="C153" s="3" t="inlineStr">
        <is>
          <t>src/domain/cashflow/index.ts</t>
        </is>
      </c>
      <c r="D153" s="3" t="n">
        <v>118</v>
      </c>
      <c r="E153" s="3" t="inlineStr">
        <is>
          <t>3 · DEPENDENT</t>
        </is>
      </c>
      <c r="F153" s="3" t="inlineStr">
        <is>
          <t>The number of whole days from one date to another.</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191</v>
      </c>
      <c r="E154" s="3" t="inlineStr">
        <is>
          <t>3 · DEPENDENT</t>
        </is>
      </c>
      <c r="F154" s="3" t="inlineStr">
        <is>
          <t>The gross amount one income source brings in each of the twelve months, with rent taken after its running costs and lump payments placed in the months they arrive.</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133</v>
      </c>
      <c r="E155" s="3" t="inlineStr">
        <is>
          <t>1 · ACTION</t>
        </is>
      </c>
      <c r="F155" s="3" t="inlineStr">
        <is>
          <t>How many days lie between two dates, whichever comes first.</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535</v>
      </c>
      <c r="E164" s="3" t="inlineStr">
        <is>
          <t>3 · DEPENDENT</t>
        </is>
      </c>
      <c r="F164" s="3" t="inlineStr">
        <is>
          <t>One earner's pay: gross for a month and for a year, their 401(k), their take-home and whether it was entered or calculated, and everything else taken out.</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23</v>
      </c>
      <c r="Q164" s="3" t="inlineStr">
        <is>
          <t>1. MK-CF-F-143 annualisedGross
2. MK-CF-F-145 deductionsFromPay
3. MK-CF-F-128 grossByMonth
4. MK-ST-F-053 money
5. MK-CF-F-146 payFiguresAgree
6. MK-CF-F-144 takeHomeAsEntered
7. MK-ST-F-052 toNum
8. MK-CF-F-142 monthsOf
9. MK-CF-F-141 perMonth
10. MK-ST-F-049 formatMoney
11. MK-XS-F-122 n
12. MK-ST-F-056 has
13. MK-CF-F-132 map
14. MK-ST-F-039 on
15. MK-CF-F-101 taxOwedFor
16. MK-ST-F-035 covers
17. MK-CF-F-140 periodsAYear
18. MK-ST-F-048 currencySymbol
19. MK-CF-F-100 taxableIncomeFor
20. MK-ST-F-034 firstDate
21. MK-ST-F-047 activeCurrency
22. MK-CF-F-099 deductionFor
23.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MK-ST-F-035 covers → MK-CF-F-142 monthsOf → MK-CF-F-128 grossByMonth → MK-CF-F-143 annualisedGross → MK-CF-F-145 deductionsFromPay → MK-CF-F-171 earnerPay
7. MK-CF-F-132 map → MK-CF-F-142 monthsOf → MK-CF-F-128 grossByMonth → MK-CF-F-143 annualisedGross → MK-CF-F-145 deductionsFromPay → MK-CF-F-171 earnerPay
8. MK-ST-F-052 toNum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45" customHeight="1">
      <c r="A165" s="3" t="inlineStr">
        <is>
          <t>MK-CF-F-172</t>
        </is>
      </c>
      <c r="B165" s="3" t="inlineStr">
        <is>
          <t>hasWage</t>
        </is>
      </c>
      <c r="C165" s="3" t="inlineStr">
        <is>
          <t>src/domain/income/earners.ts</t>
        </is>
      </c>
      <c r="D165" s="3" t="n">
        <v>63</v>
      </c>
      <c r="E165" s="3" t="inlineStr">
        <is>
          <t>1 · ACTION</t>
        </is>
      </c>
      <c r="F165" s="3" t="inlineStr">
        <is>
          <t>Whether a person has a wage on record: a base salary above zero, or a month-by-month pay table.</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107</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139</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170</v>
      </c>
      <c r="E168" s="3" t="inlineStr">
        <is>
          <t>3 · DEPENDENT</t>
        </is>
      </c>
      <c r="F168" s="3" t="inlineStr">
        <is>
          <t>Adds up one figure across every earner in the household.</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206</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173</v>
      </c>
      <c r="E170" s="3" t="inlineStr">
        <is>
          <t>3 · DEPENDENT</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2026-10-04</t>
        </is>
      </c>
      <c r="W170" s="3" t="n"/>
      <c r="X170" s="3" t="n"/>
      <c r="Y170" s="3" t="inlineStr">
        <is>
          <t>NOTHING OPEN</t>
        </is>
      </c>
    </row>
    <row r="171" ht="60" customHeight="1">
      <c r="A171" s="3" t="inlineStr">
        <is>
          <t>MK-CF-F-178</t>
        </is>
      </c>
      <c r="B171" s="3" t="inlineStr">
        <is>
          <t>wageMatchMonthly</t>
        </is>
      </c>
      <c r="C171" s="3" t="inlineStr">
        <is>
          <t>src/domain/income/onboarding.ts</t>
        </is>
      </c>
      <c r="D171" s="3" t="n">
        <v>1028</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1102</v>
      </c>
      <c r="E172" s="3" t="inlineStr">
        <is>
          <t>2 · DISPLAYED</t>
        </is>
      </c>
      <c r="F172" s="3" t="inlineStr">
        <is>
          <t>Turns a wage as the profile stores it into the form the pay calculations read: how often it is paid, whether it varies, the gross, the 401(k) and the take-home entered.</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77</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1. Uses a built-in total of 0.
2. Turns a monthly figure into a year by multiplying by twelve.</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132</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taxed = taxable annual(op)
k401 = Σ over household k401 by month(op) of (each)</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Taxed is taxable annual(op). K401: the each added up across household k401 by month(op).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MK-CF-F-180 enteredLandsAnnual
3. MK-CF-F-085 filingStatusOf
4. MK-CF-F-206 householdK401ByMonth
5. MK-CF-F-089 over65CountOf
6. MK-CF-F-082 salaryAnnual
7. MK-CF-F-086 stateRateOf
8. MK-CF-F-101 taxOwedFor
9. MK-CF-F-084 taxableAnnual
10. MK-ST-F-052 toNum</t>
        </is>
      </c>
      <c r="P174" s="3" t="n">
        <v>49</v>
      </c>
      <c r="Q174" s="3" t="inlineStr">
        <is>
          <t>1. MK-CF-F-173 earnerWages
2. MK-CF-F-180 enteredLandsAnnual
3. MK-CF-F-085 filingStatusOf
4. MK-CF-F-206 householdK401ByMonth
5. MK-CF-F-089 over65CountOf
6. MK-CF-F-082 salaryAnnual
7. MK-CF-F-086 stateRateOf
8. MK-CF-F-101 taxOwedFor
9. MK-CF-F-084 taxableAnnual
10. MK-ST-F-052 toNum
11. MK-CF-F-172 hasWage
12. MK-CF-F-132 map
13. MK-CF-F-176 sumMonthsOverEarners
14. MK-CF-F-177 wageGrossByMonth
15. MK-CF-F-060 salaryGrossByMonth
16. MK-CF-F-100 taxableIncomeFor
17. MK-CF-F-072 currentRetirementIncomeMonthly
18. MK-CF-F-071 extraIncome
19. MK-CF-F-068 rentalNetAnnual
20. MK-CF-F-066 rsuAnnual
21. MK-CF-F-074 tipsAnnual
22. MK-XS-F-122 n
23. MK-ST-F-056 has
24. MK-CF-F-130 enteredMonthlyRaw
25. MK-CF-F-166 hasMonthlySalaryTable
26. MK-ST-F-036 reconcile
27. MK-CF-F-167 salaryCalendarYear
28. MK-CF-F-099 deductionFor
29. MK-CF-F-075 retirementIncomeMonthly
30. MK-CF-F-070 benefitAnnual
31. MK-ST-F-039 on
32. MK-CF-O-002 expenses
33. MK-CF-F-067 rentalList
34. MK-CF-F-062 equityRowValue
35. MK-CF-F-063 rowVestYear
36. MK-CF-F-081 salaryActiveMonths
37. MK-CF-F-165 salaryMonths
38. MK-CF-F-187 seniorDeductionFor
39. MK-CF-F-069 benefitActiveMonths
40. MK-CF-F-151 actualSpending
41. MK-CF-F-150 debtPaymentsCountedAsExpenses
42. MK-CF-F-153 radar
43. MK-CF-F-149 recurringDebtPayments
44. MK-CF-F-148 inMonth
45. MK-CF-F-191 ym
46. MK-CF-F-022 paymentShape
47. MK-CF-F-152 isRadarItem
48. MK-CF-F-023 requiredPayment
49. MK-CF-F-021 defaultPaymentType</t>
        </is>
      </c>
      <c r="R174" s="3" t="inlineStr">
        <is>
          <t>1. MK-ST-F-056 has → MK-CF-F-172 hasWage → MK-CF-F-173 earnerWages → MK-CF-F-181 rateInForce
2. MK-ST-F-056 has → MK-CF-F-172 hasWage → MK-CF-F-173 earnerWages → MK-CF-F-180 enteredLandsAnnual → MK-CF-F-181 rateInForce
3. MK-XS-F-122 n → MK-ST-F-052 toNum → MK-CF-F-180 enteredLandsAnnual → MK-CF-F-181 rateInForce
4. MK-CF-F-085 filingStatusOf → MK-CF-F-181 rateInForce
5. MK-CF-F-132 map → MK-CF-F-206 householdK401ByMonth → MK-CF-F-181 rateInForce
6. MK-ST-F-056 has → MK-CF-F-172 hasWage → MK-CF-F-173 earnerWages → MK-CF-F-176 sumMonthsOverEarners → MK-CF-F-206 householdK401ByMonth → MK-CF-F-181 rateInForce
7. MK-CF-F-132 map → MK-CF-F-176 sumMonthsOverEarners → MK-CF-F-206 householdK401ByMonth → MK-CF-F-181 rateInForce
8. MK-XS-F-122 n → MK-ST-F-052 toNum → MK-CF-F-206 householdK401ByMonth → MK-CF-F-181 rateInForce
9. … and 5 more paths</t>
        </is>
      </c>
      <c r="S174" s="3" t="inlineStr">
        <is>
          <t>—</t>
        </is>
      </c>
      <c r="T174" s="3" t="inlineStr">
        <is>
          <t>—</t>
        </is>
      </c>
      <c r="U174" s="3" t="inlineStr">
        <is>
          <t>ACTIVE</t>
        </is>
      </c>
      <c r="V174" s="3" t="inlineStr">
        <is>
          <t>2026-10-04</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59</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0.038 × 100 is 3.8000000000000003</t>
        </is>
      </c>
      <c r="L175" s="3" t="inlineStr">
        <is>
          <t>—</t>
        </is>
      </c>
      <c r="M175" s="3" t="inlineStr">
        <is>
          <t>· Shows 2 decimal places.</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90</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150</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"From your accounts" — on the Income manager screen</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19</v>
      </c>
      <c r="Q177" s="3" t="inlineStr">
        <is>
          <t>1. MK-CF-F-182 asPercent
2. MK-NW-F-011 assetClassOf
3. MK-ST-F-053 money
4. MK-CF-F-183 paidOutByAccount
5. MK-NW-F-008 incomeBearingClassOf
6. MK-ST-F-049 formatMoney
7. MK-XS-F-122 n
8. MK-ST-F-065 isoLocalDate
9. MK-CF-F-155 cash
10. MK-ST-F-010 nameEvidence
11. MK-ST-F-048 currencySymbol
12. MK-ST-F-039 on
13. MK-XS-F-147 call
14. MK-ST-F-056 has
15. MK-CF-F-132 map
16. MK-ST-F-047 activeCurrency
17. MK-ST-F-027 accountId
18. MK-XS-F-064 currentIdToken
19. MK-XS-F-112 relayUrl</t>
        </is>
      </c>
      <c r="R177" s="3" t="inlineStr">
        <is>
          <t>1. MK-CF-F-182 asPercent → MK-CF-F-184 incomeFromAccounts
2. MK-XS-F-122 n → MK-CF-F-155 cash → MK-NW-F-008 incomeBearingClassOf → MK-NW-F-011 assetClassOf → MK-CF-F-184 incomeFromAccounts
3. MK-ST-F-027 accountId → MK-XS-F-147 call → MK-ST-F-010 nameEvidence → MK-NW-F-008 incomeBearingClassOf → MK-NW-F-011 assetClassOf → MK-CF-F-184 incomeFromAccounts
4. MK-XS-F-064 currentIdToken → MK-XS-F-147 call → MK-ST-F-010 nameEvidence → MK-NW-F-008 incomeBearingClassOf → MK-NW-F-011 assetClassOf → MK-CF-F-184 incomeFromAccounts
5. MK-XS-F-112 relayUrl → MK-XS-F-147 call → MK-ST-F-010 nameEvidence → MK-NW-F-008 incomeBearingClassOf → MK-NW-F-011 assetClassOf → MK-CF-F-184 incomeFromAccounts
6. MK-ST-F-056 has → MK-ST-F-010 nameEvidence → MK-NW-F-008 incomeBearingClassOf → MK-NW-F-011 assetClassOf → MK-CF-F-184 incomeFromAccounts
7. MK-CF-F-132 map → MK-ST-F-010 nameEvidence → MK-NW-F-008 incomeBearingClassOf → MK-NW-F-011 assetClassOf → MK-CF-F-184 incomeFromAccounts
8. MK-ST-F-047 activeCurrency → MK-ST-F-048 currencySymbol → MK-ST-F-049 formatMoney → MK-ST-F-053 money → MK-CF-F-184 incomeFromAccounts
9. … and 4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94</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 Treats a year as twelve equal months.</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209</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238</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89</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140</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t>
        </is>
      </c>
      <c r="P183" s="3" t="n">
        <v>16</v>
      </c>
      <c r="Q183" s="3" t="inlineStr">
        <is>
          <t>1. MK-CF-F-189 essentialsFromLoggedSpending
2. MK-CF-O-002 expenses
3. MK-ST-F-056 has
4. MK-XS-F-122 n
5. MK-ST-F-052 toNum
6. MK-CF-F-191 ym
7. MK-CF-F-151 actualSpending
8. MK-CF-F-150 debtPaymentsCountedAsExpenses
9. MK-CF-F-153 radar
10. MK-CF-F-149 recurringDebtPayments
11. MK-CF-F-148 inMonth
12. MK-CF-F-022 paymentShape
13. MK-CF-F-152 isRadarItem
14. MK-CF-F-023 requiredPayment
15. MK-CF-F-132 map
16.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4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30" customHeight="1">
      <c r="A184" s="3" t="inlineStr">
        <is>
          <t>MK-CF-F-191</t>
        </is>
      </c>
      <c r="B184" s="3" t="inlineStr">
        <is>
          <t>ym</t>
        </is>
      </c>
      <c r="C184" s="3" t="inlineStr">
        <is>
          <t>MoneyKeel/functions/cashflow/essentials.ts</t>
        </is>
      </c>
      <c r="D184" s="3" t="n">
        <v>54</v>
      </c>
      <c r="E184" s="3" t="inlineStr">
        <is>
          <t>1 · ACTION</t>
        </is>
      </c>
      <c r="F184" s="3" t="inlineStr">
        <is>
          <t>Writes a date as its year and month: 2026-08.</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106</v>
      </c>
      <c r="E185" s="3" t="inlineStr">
        <is>
          <t>3 · DEPENDENT</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2026-10-02</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149</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65</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85</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112</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53</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1056</v>
      </c>
      <c r="E191" s="3" t="inlineStr">
        <is>
          <t>3 · DEPENDENT</t>
        </is>
      </c>
      <c r="F191" s="3" t="inlineStr">
        <is>
          <t>Social Security and Medicare tax on a year's wages: 6.2% up to the wage cap, 1.45% of all of it, and 0.9% more above the higher-earner threshold.</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145</v>
      </c>
      <c r="E192" s="3" t="inlineStr">
        <is>
          <t>1 · ACTION</t>
        </is>
      </c>
      <c r="F192" s="3" t="inlineStr">
        <is>
          <t>Example only: runs theContributionRoom on the worked example and calculates nothing of its own.</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98</v>
      </c>
      <c r="E193" s="3" t="inlineStr">
        <is>
          <t>1 · ACTION</t>
        </is>
      </c>
      <c r="F193" s="3" t="inlineStr">
        <is>
          <t>Example only: runs theCreditLine on the worked example and calculates nothing of its own.</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105</v>
      </c>
      <c r="Q193" s="3" t="inlineStr">
        <is>
          <t>1. MK-XS-F-180 declareFigures
2. MK-CF-O-006 theCreditLine
3. MK-CF-F-031 creditUtilization
4. MK-CF-F-204 line
5. MK-CF-F-203 MONTH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MK-NW-F-112 yearlyInterest
39. MK-ST-F-048 currencySymbol
40. MK-ST-F-039 on
41. MK-ST-F-027 accountId
42. MK-NW-F-057 annualCoupon
43. MK-NW-F-056 bondInfo
44. MK-NW-F-064 bondRateSensitivity
45. MK-NW-F-061 bondSummary
46. MK-NW-F-055 isBond
47. MK-ST-F-065 isoLocalDate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MK-NW-F-011 assetClassOf
70. MK-NW-F-070 accruedInterestCaveat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MK-NW-F-119 estimatedAccrued
94. MK-NW-F-008 incomeBearingClassOf
95. MK-CF-F-100 taxableIncomeFor
96. MK-CF-F-074 tipsAnnual
97. MK-CF-F-165 salaryMonths
98. MK-CF-F-003 categoryMonthly
99. MK-ST-F-010 nameEvidence
100. MK-CF-F-099 deductionFor
101. MK-CF-F-081 salaryActiveMonths
102. MK-XS-F-147 call
103. MK-CF-F-187 seniorDeductionFor
104. MK-XS-F-064 currentIdToken
105. MK-XS-F-112 relayUrl</t>
        </is>
      </c>
      <c r="R193" s="3" t="inlineStr">
        <is>
          <t>1. MK-XS-F-180 declareFigures → MK-CF-F-200 LINE
2. MK-CF-F-031 creditUtilization → MK-CF-O-006 theCreditLine → MK-CF-F-200 LINE
3. MONTH (already above — a loop) → MK-CF-O-010 theMonth → MK-CF-F-203 MONTH → MK-CF-F-204 line → MK-CF-O-006 theCreditLine → MK-CF-F-200 LINE
4. MK-CF-F-155 cash → MK-CF-O-010 theMonth → MK-CF-F-203 MONTH → MK-CF-F-204 line → MK-CF-O-006 theCreditLine → MK-CF-F-200 LINE
5. MK-CF-O-002 expenses → MK-CF-O-010 theMonth → MK-CF-F-203 MONTH → MK-CF-F-204 line → MK-CF-O-006 theCreditLine → MK-CF-F-200 LINE
6. MK-CF-O-003 thisMonth → MK-CF-O-010 theMonth → MK-CF-F-203 MONTH → MK-CF-F-204 line → MK-CF-O-006 theCreditLine → MK-CF-F-200 LINE
7.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119</v>
      </c>
      <c r="E194" s="3" t="inlineStr">
        <is>
          <t>1 · ACTION</t>
        </is>
      </c>
      <c r="F194" s="3" t="inlineStr">
        <is>
          <t>Example only: runs incomeSummary on the worked example and calculates nothing of its own.</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MK-CF-F-207 SOURCE
2. MK-CF-O-004 incomeSummary</t>
        </is>
      </c>
      <c r="P194" s="3" t="n">
        <v>123</v>
      </c>
      <c r="Q194" s="3" t="inlineStr">
        <is>
          <t>1. MK-CF-F-207 SOURCE
2. MK-CF-O-004 incomeSummary
3. MK-CF-O-016 incomeSources
4. MK-CF-F-203 MONTH
5. MK-CF-O-001 basePay
6. MK-CF-F-069 benefitActiveMonths
7. MK-CF-F-072 currentRetirementIncomeMonthly
8. MK-CF-F-173 earnerWages
9. MK-CF-F-179 entryFromWage
10. MK-CF-F-071 extraIncome
11. MK-CF-F-085 filingStatusOf
12. MK-CF-F-092 incomeMonthlyGrid
13. MK-CF-F-192 inflowLabel
14. MK-CF-F-132 map
15. MK-CF-F-103 marginalBracketFor
16. MK-CF-F-089 over65CountOf
17. MK-CF-F-181 rateInForce
18. MK-CF-F-068 rentalNetAnnual
19. MK-CF-F-082 salaryAnnual
20. MK-CF-F-060 salaryGrossByMonth
21. MK-CF-F-084 taxableAnnual
22. MK-ST-F-052 toNum
23. MK-CF-F-075 retirementIncomeMonthly
24. MK-CF-F-066 rsuAnnual
25. MK-CF-O-010 theMonth
26. MK-ST-F-035 covers
27. MK-CF-F-171 earnerPay
28. MK-CF-F-204 line
29. MK-ST-F-053 money
30. MK-HM-F-006 money0
31. MK-XS-F-122 n
32. MK-CF-F-198 payrollTaxWithheld
33. MK-CF-F-172 hasWage
34. MK-CF-F-165 salaryMonths
35. MK-CF-F-070 benefitAnnual
36. MK-ST-F-039 on
37. MK-CF-F-065 equityVestWeights
38. MK-ST-F-056 has
39. MK-CF-F-206 householdK401ByMonth
40. MK-CF-F-087 monthlyTaxRates
41. MK-CF-F-073 otherIncomeMonth
42. MK-CF-F-077 scholarshipByCalendarMonth
43. MK-CF-F-088 taxableByCalendarMonth
44. MK-CF-F-177 wageGrossByMonth
45. MK-PL-F-012 waterfall
46. MK-CF-F-193 inflowSourceWord
47. MK-CF-F-100 taxableIncomeFor
48. MK-CF-F-180 enteredLandsAnnual
49. MK-CF-F-086 stateRateOf
50. MK-CF-F-101 taxOwedFor
51. MK-CF-O-002 expenses
52. MK-CF-F-067 rentalList
53. MK-CF-F-176 sumMonthsOverEarners
54. MK-CF-F-074 tipsAnnual
55. MK-CF-F-062 equityRowValue
56. MK-CF-F-063 rowVestYear
57. MK-CF-F-155 cash
58. MK-CF-O-003 thisMonth
59. MK-ST-F-034 firstDate
60. MK-CF-F-143 annualisedGross
61. MK-CF-F-145 deductionsFromPay
62. MK-CF-F-128 grossByMonth
63. MK-CF-F-146 payFiguresAgree
64. MK-CF-F-144 takeHomeAsEntered
65. MK-XS-F-180 declareFigures
66. MK-ST-F-049 formatMoney
67. MK-HM-F-005 pctTxt
68. MK-CF-F-090 effectiveRate
69. MK-CF-F-130 enteredMonthlyRaw
70. MK-CF-F-166 hasMonthlySalaryTable
71. MK-ST-F-036 reconcile
72. MK-CF-F-167 salaryCalendarYear
73. MK-CF-F-099 deductionFor
74. MK-CF-F-151 actualSpending
75. MK-CF-F-150 debtPaymentsCountedAsExpenses
76. MK-CF-F-153 radar
77. MK-CF-F-149 recurringDebtPayments
78. MK-CF-F-081 salaryActiveMonths
79. MK-CF-F-005 actualMonthFlow
80. MK-CF-F-156 plannedMonthFlow
81. MK-CF-F-142 monthsOf
82. MK-CF-F-141 perMonth
83. MK-ST-F-048 currencySymbol
84. MK-CF-F-187 seniorDeductionFor
85. MK-CF-F-148 inMonth
86. MK-CF-F-191 ym
87. MK-CF-F-022 paymentShape
88. MK-CF-F-152 isRadarItem
89. MK-CF-F-023 requiredPayment
90. MK-NW-F-078 ONE
91. MK-CF-F-157 debtPaymentsByDebt
92. MK-XS-F-027 takeHomeMonthly
93. MK-CF-F-140 periodsAYear
94. MK-ST-F-047 activeCurrency
95. MK-CF-F-021 defaultPaymentType
96. MK-NW-F-077 ALL
97. MK-NW-F-059 currentYield
98. MK-NW-O-001 theBonds
99. MK-CF-F-011 savingsByMonth
100. MK-NW-F-112 yearlyInterest
101. MK-ST-F-027 accountId
102. MK-NW-F-057 annualCoupon
103. MK-NW-F-056 bondInfo
104. MK-NW-F-064 bondRateSensitivity
105. MK-NW-F-061 bondSummary
106. MK-NW-F-055 isBond
107. MK-ST-F-065 isoLocalDate
108. MK-NW-F-072 rowOf
109. MK-CF-F-008 spendByMonth
110. MK-NW-F-060 approxYTM
111. MK-NW-F-069 priceAtYield
112. MK-NW-F-011 assetClassOf
113. MK-NW-F-070 accruedInterestCaveat
114. MK-NW-F-058 yearsToMaturity
115. MK-CF-F-120 pctBaseMonthly
116. MK-CF-F-004 spendBuckets
117. MK-NW-F-119 estimatedAccrued
118. MK-NW-F-008 incomeBearingClassOf
119. MK-CF-F-003 categoryMonthly
120. MK-ST-F-010 nameEvidence
121. MK-XS-F-147 call
122. MK-XS-F-064 currentIdToken
123. MK-XS-F-112 relayUrl</t>
        </is>
      </c>
      <c r="R194" s="3" t="inlineStr">
        <is>
          <t>1. SOURCE (already above — a loop) → MK-CF-O-016 incomeSources → MK-CF-F-207 SOURCE → MK-CF-F-201 INCOME
2. MK-ST-F-052 toNum → MK-CF-F-075 retirementIncomeMonthly → MK-CF-F-072 currentRetirementIncomeMonthly → MK-CF-O-016 incomeSources → MK-CF-F-207 SOURCE → MK-CF-F-201 INCOME
3. MK-ST-F-056 has → MK-CF-F-172 hasWage → MK-CF-F-173 earnerWages → MK-CF-O-016 incomeSources → MK-CF-F-207 SOURCE → MK-CF-F-201 INCOME
4. MK-CF-F-151 actualSpending → MK-CF-O-002 expenses → MK-CF-F-068 rentalNetAnnual → MK-CF-O-016 incomeSources → MK-CF-F-207 SOURCE → MK-CF-F-201 INCOME
5. MK-CF-F-150 debtPaymentsCountedAsExpenses → MK-CF-O-002 expenses → MK-CF-F-068 rentalNetAnnual → MK-CF-O-016 incomeSources → MK-CF-F-207 SOURCE → MK-CF-F-201 INCOME
6. MK-CF-F-153 radar → MK-CF-O-002 expenses → MK-CF-F-068 rentalNetAnnual → MK-CF-O-016 incomeSources → MK-CF-F-207 SOURCE → MK-CF-F-201 INCOME
7. MK-CF-F-149 recurringDebtPayments → MK-CF-O-002 expenses → MK-CF-F-068 rentalNetAnnual → MK-CF-O-016 incomeSources → MK-CF-F-207 SOURCE → MK-CF-F-201 INCOME
8. MK-CF-O-002 expenses → MK-CF-F-067 rentalList → MK-CF-F-068 rentalNetAnnual → MK-CF-O-016 incomeSources → MK-CF-F-207 SOURCE → MK-CF-F-201 INCOME
9. … and 5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105</v>
      </c>
      <c r="E195" s="3" t="inlineStr">
        <is>
          <t>1 · ACTION</t>
        </is>
      </c>
      <c r="F195" s="3" t="inlineStr">
        <is>
          <t>Example only: runs theTaxOrganizer on the worked example and calculates nothing of its own.</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73</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MK-NW-F-008 incomeBearingClassOf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MK-ST-F-010 nameEvidence
41. MK-ST-F-048 currencySymbol
42. MK-CF-F-173 earnerWages
43. MK-CF-F-180 enteredLandsAnnual
44. MK-CF-F-206 householdK401ByMonth
45. MK-CF-F-086 stateRateOf
46. MK-CF-F-101 taxOwedFor
47. MK-CF-F-084 taxableAnnual
48. MK-CF-F-151 actualSpending
49. MK-CF-F-150 debtPaymentsCountedAsExpenses
50. MK-CF-F-153 radar
51. MK-CF-F-149 recurringDebtPayments
52. MK-CF-F-176 sumMonthsOverEarners
53. MK-CF-F-177 wageGrossByMonth
54. MK-CF-F-175 sumOverEarners
55. MK-XS-F-147 call
56. MK-ST-F-047 activeCurrency
57. MK-CF-F-172 hasWage
58. MK-CF-F-100 taxableIncomeFor
59. MK-CF-F-071 extraIncome
60. MK-CF-F-148 inMonth
61. MK-CF-F-191 ym
62. MK-CF-F-022 paymentShape
63. MK-CF-F-152 isRadarItem
64. MK-CF-F-023 requiredPayment
65. MK-CF-F-130 enteredMonthlyRaw
66. MK-CF-F-166 hasMonthlySalaryTable
67. MK-ST-F-036 reconcile
68. MK-CF-F-167 salaryCalendarYear
69. MK-ST-F-027 accountId
70. MK-XS-F-064 currentIdToken
71. MK-XS-F-112 relayUrl
72. MK-CF-F-021 defaultPaymentType
73. MK-CF-F-165 salaryMonths</t>
        </is>
      </c>
      <c r="R195" s="3" t="inlineStr">
        <is>
          <t>1. MK-XS-F-180 declareFigures → MK-CF-F-202 TAX
2. MK-ST-F-039 on → MK-CF-F-202 TAX
3. MK-CF-F-182 asPercent → MK-CF-F-184 incomeFromAccounts → MK-CF-O-007 theTaxOrganizer → MK-CF-F-202 TAX
4. MK-CF-F-155 cash → MK-NW-F-008 incomeBearingClassOf → MK-NW-F-011 assetClassOf → MK-CF-F-184 incomeFromAccounts → MK-CF-O-007 theTaxOrganizer → MK-CF-F-202 TAX
5. MK-ST-F-010 nameEvidence → MK-NW-F-008 incomeBearingClassOf → MK-NW-F-011 assetClassOf → MK-CF-F-184 incomeFromAccounts → MK-CF-O-007 theTaxOrganizer → MK-CF-F-202 TAX
6. MK-ST-F-048 currencySymbol → MK-ST-F-049 formatMoney → MK-ST-F-053 money → MK-CF-F-184 incomeFromAccounts → MK-CF-O-007 theTaxOrganizer → MK-CF-F-202 TAX
7. MK-XS-F-122 n → MK-ST-F-049 formatMoney → MK-ST-F-053 money → MK-CF-F-184 incomeFromAccounts → MK-CF-O-007 theTaxOrganizer → MK-CF-F-202 TAX
8. MK-ST-F-039 on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174</v>
      </c>
      <c r="E196" s="3" t="inlineStr">
        <is>
          <t>1 · ACTION</t>
        </is>
      </c>
      <c r="F196" s="3" t="inlineStr">
        <is>
          <t>Example only: runs theMonth on the worked example and calculates nothing of its own.</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101</v>
      </c>
      <c r="Q196" s="3" t="inlineStr">
        <is>
          <t>1. MK-CF-O-010 theMonth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MK-ST-F-065 isoLocalDate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MK-NW-F-011 assetClassOf
66. MK-NW-F-070 accruedInterestCaveat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MK-NW-F-119 estimatedAccrued
90. MK-NW-F-008 incomeBearingClassOf
91. MK-CF-F-100 taxableIncomeFor
92. MK-CF-F-074 tipsAnnual
93. MK-CF-F-165 salaryMonths
94. MK-CF-F-003 categoryMonthly
95. MK-ST-F-010 nameEvidence
96. MK-CF-F-099 deductionFor
97. MK-CF-F-081 salaryActiveMonths
98. MK-XS-F-147 call
99. MK-CF-F-187 seniorDeductionFor
100. MK-XS-F-064 currentIdToken
101. MK-XS-F-112 relayUrl</t>
        </is>
      </c>
      <c r="R196" s="3" t="inlineStr">
        <is>
          <t>1. MONTH (already above — a loop) → MK-CF-O-010 theMonth → MK-CF-F-203 MONTH
2. MK-XS-F-122 n → MK-CF-F-155 cash → MK-CF-O-010 theMonth → MK-CF-F-203 MONTH
3. MK-CF-F-191 ym → MK-CF-F-148 inMonth → MK-CF-F-151 actualSpending → MK-CF-O-002 expenses → MK-CF-O-010 theMonth → MK-CF-F-203 MONTH
4. MK-XS-F-122 n → MK-ST-F-052 toNum → MK-CF-F-151 actualSpending → MK-CF-O-002 expenses → MK-CF-O-010 theMonth → MK-CF-F-203 MONTH
5. MK-CF-F-191 ym → MK-CF-F-151 actualSpending → MK-CF-O-002 expenses → MK-CF-O-010 theMonth → MK-CF-F-203 MONTH
6. MK-ST-F-056 has → MK-CF-F-150 debtPaymentsCountedAsExpenses → MK-CF-O-002 expenses → MK-CF-O-010 theMonth → MK-CF-F-203 MONTH
7. MK-CF-F-191 ym → MK-CF-F-148 inMonth → MK-CF-F-150 debtPaymentsCountedAsExpenses → MK-CF-O-002 expenses → MK-CF-O-010 theMonth → MK-CF-F-203 MONTH
8. MK-CF-F-021 defaultPaymentType → MK-CF-F-022 paymentShape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213</v>
      </c>
      <c r="E197" s="3" t="inlineStr">
        <is>
          <t>1 · ACTION</t>
        </is>
      </c>
      <c r="F197" s="3" t="inlineStr">
        <is>
          <t>Example only: reads one row's amount from the worked example of the month.</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102</v>
      </c>
      <c r="Q197" s="3" t="inlineStr">
        <is>
          <t>1. MK-CF-F-203 MONTH
2. MK-XS-F-180 declareFigures
3. MK-CF-O-010 theMonth
4. MK-CF-F-155 cash
5. MK-CF-O-002 expenses
6. MK-CF-O-003 thisMonth
7. MK-XS-F-122 n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MK-CF-F-157 debtPaymentsByDebt
24. MK-CF-F-192 inflowLabel
25. MK-XS-F-027 takeHomeMonthly
26. MK-CF-F-021 defaultPaymentType
27. MK-NW-F-077 ALL
28. MK-NW-F-059 currentYield
29. MK-ST-F-049 formatMoney
30. MK-ST-F-053 money
31. MK-NW-O-001 theBonds
32. MK-CF-F-193 inflowSourceWord
33. MK-CF-F-092 incomeMonthlyGrid
34. MK-CF-F-011 savingsByMonth
35. MK-NW-F-112 yearlyInterest
36. MK-ST-F-048 currencySymbol
37. MK-ST-F-039 on
38. MK-ST-F-027 accountId
39. MK-NW-F-057 annualCoupon
40. MK-NW-F-056 bondInfo
41. MK-NW-F-064 bondRateSensitivity
42. MK-NW-F-061 bondSummary
43. MK-NW-F-055 isBond
44. MK-ST-F-065 isoLocalDate
45. MK-NW-F-072 rowOf
46. MK-CF-F-069 benefitActiveMonths
47. MK-CF-F-072 currentRetirementIncomeMonthly
48. MK-CF-F-173 earnerWages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MK-CF-F-177 wageGrossByMonth
61. MK-PL-F-012 waterfall
62. MK-CF-F-008 spendByMonth
63. MK-ST-F-047 activeCurrency
64. MK-NW-F-060 approxYTM
65. MK-NW-F-069 priceAtYield
66. MK-NW-F-011 assetClassOf
67. MK-NW-F-070 accruedInterestCaveat
68. MK-NW-F-058 yearsToMaturity
69. MK-CF-F-075 retirementIncomeMonthly
70. MK-CF-F-172 hasWage
71. MK-CF-F-062 equityRowValue
72. MK-CF-F-070 benefitAnnual
73. MK-CF-F-176 sumMonthsOverEarners
74. MK-CF-F-090 effectiveRate
75. MK-CF-F-180 enteredLandsAnnual
76. MK-CF-F-085 filingStatusOf
77. MK-CF-F-089 over65CountOf
78. MK-CF-F-082 salaryAnnual
79. MK-CF-F-086 stateRateOf
80. MK-CF-F-101 taxOwedFor
81. MK-CF-F-084 taxableAnnual
82. MK-CF-F-067 rentalList
83. MK-CF-F-063 rowVestYear
84. MK-CF-F-130 enteredMonthlyRaw
85. MK-CF-F-166 hasMonthlySalaryTable
86. MK-ST-F-036 reconcile
87. MK-CF-F-167 salaryCalendarYear
88. MK-CF-F-120 pctBaseMonthly
89. MK-CF-F-004 spendBuckets
90. MK-NW-F-119 estimatedAccrued
91. MK-NW-F-008 incomeBearingClassOf
92. MK-CF-F-100 taxableIncomeFor
93. MK-CF-F-074 tipsAnnual
94. MK-CF-F-165 salaryMonths
95. MK-CF-F-003 categoryMonthly
96. MK-ST-F-010 nameEvidence
97. MK-CF-F-099 deductionFor
98. MK-CF-F-081 salaryActiveMonths
99. MK-XS-F-147 call
100. MK-CF-F-187 seniorDeductionFor
101. MK-XS-F-064 currentIdToken
102. MK-XS-F-112 relayUrl</t>
        </is>
      </c>
      <c r="R197" s="3" t="inlineStr">
        <is>
          <t>1. MONTH (already above — a loop) → MK-CF-O-010 theMonth → MK-CF-F-203 MONTH → MK-CF-F-204 line
2. MK-XS-F-122 n → MK-CF-F-155 cash → MK-CF-O-010 theMonth → MK-CF-F-203 MONTH → MK-CF-F-204 line
3. MK-CF-F-148 inMonth → MK-CF-F-151 actualSpending → MK-CF-O-002 expenses → MK-CF-O-010 theMonth → MK-CF-F-203 MONTH → MK-CF-F-204 line
4. MK-ST-F-052 toNum → MK-CF-F-151 actualSpending → MK-CF-O-002 expenses → MK-CF-O-010 theMonth → MK-CF-F-203 MONTH → MK-CF-F-204 line
5. MK-CF-F-191 ym → MK-CF-F-151 actualSpending → MK-CF-O-002 expenses → MK-CF-O-010 theMonth → MK-CF-F-203 MONTH → MK-CF-F-204 line
6. MK-ST-F-056 has → MK-CF-F-150 debtPaymentsCountedAsExpenses → MK-CF-O-002 expenses → MK-CF-O-010 theMonth → MK-CF-F-203 MONTH → MK-CF-F-204 line
7. MK-CF-F-148 inMonth → MK-CF-F-150 debtPaymentsCountedAsExpenses → MK-CF-O-002 expenses → MK-CF-O-010 theMonth → MK-CF-F-203 MONTH → MK-CF-F-204 line
8. MK-CF-F-022 paymentShape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118</v>
      </c>
      <c r="E198" s="3" t="inlineStr">
        <is>
          <t>1 · ACTION</t>
        </is>
      </c>
      <c r="F198" s="3" t="inlineStr">
        <is>
          <t>Example only: runs whatsComing on the worked example and calculates nothing of its own.</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Yes</t>
        </is>
      </c>
      <c r="O198" s="3" t="inlineStr">
        <is>
          <t>1. MK-CF-F-203 MONTH
2. MK-CF-O-008 whatsComing</t>
        </is>
      </c>
      <c r="P198" s="3" t="n">
        <v>109</v>
      </c>
      <c r="Q198" s="3" t="inlineStr">
        <is>
          <t>1. MK-CF-F-203 MONTH
2. MK-CF-O-008 whatsComing
3. MK-CF-O-010 theMonth
4. MK-CF-F-019 upcomingBills
5. MK-CF-F-155 cash
6. MK-CF-O-002 expenses
7. MK-CF-O-003 thisMonth
8. MK-CF-F-122 addDays
9. MK-CF-F-070 benefitAnnual
10. MK-CF-F-072 currentRetirementIncomeMonthly
11. MK-CF-F-160 daysBetweenDates
12. MK-CF-F-090 effectiveRate
13. MK-CF-F-061 grossSalaryMonthly
14. MK-ST-F-065 isoLocalDate
15. MK-CF-F-132 map
16. MK-CF-F-124 nextOccurrence
17. MK-CF-F-068 rentalNetAnnual
18. MK-CF-F-004 spendBuckets
19. MK-CF-F-084 taxableAnnual
20. MK-ST-F-052 toNum
21. MK-CF-F-083 totalGrossAnnual
22. MK-XS-F-122 n
23. MK-CF-F-151 actualSpending
24. MK-CF-F-150 debtPaymentsCountedAsExpenses
25. MK-CF-F-153 radar
26. MK-CF-F-149 recurringDebtPayments
27. MK-CF-F-005 actualMonthFlow
28. MK-CF-F-156 plannedMonthFlow
29. MK-CF-F-069 benefitActiveMonths
30. MK-CF-F-075 retirementIncomeMonthly
31. MK-CF-F-181 rateInForce
32. MK-CF-F-060 salaryGrossByMonth
33. MK-CF-F-067 rentalList
34. MK-CF-F-003 categoryMonthly
35. MK-CF-F-071 extraIncome
36. MK-CF-F-066 rsuAnnual
37. MK-CF-F-082 salaryAnnual
38. MK-CF-F-074 tipsAnnual
39. MK-CF-F-148 inMonth
40. MK-CF-F-191 ym
41. MK-ST-F-056 has
42. MK-CF-F-022 paymentShape
43. MK-CF-F-152 isRadarItem
44. MK-CF-F-023 requiredPayment
45. MK-NW-F-078 ONE
46. MK-CF-F-157 debtPaymentsByDebt
47. MK-CF-F-192 inflowLabel
48. MK-XS-F-027 takeHomeMonthly
49. MK-CF-F-173 earnerWages
50. MK-CF-F-180 enteredLandsAnnual
51. MK-CF-F-085 filingStatusOf
52. MK-CF-F-206 householdK401ByMonth
53. MK-CF-F-089 over65CountOf
54. MK-CF-F-086 stateRateOf
55. MK-CF-F-101 taxOwedFor
56. MK-CF-F-176 sumMonthsOverEarners
57. MK-CF-F-177 wageGrossByMonth
58. MK-CF-F-120 pctBaseMonthly
59. MK-ST-F-039 on
60. MK-CF-F-062 equityRowValue
61. MK-CF-F-063 rowVestYear
62. MK-CF-F-081 salaryActiveMonths
63. MK-CF-F-021 defaultPaymentType
64. MK-NW-F-077 ALL
65. MK-NW-F-059 currentYield
66. MK-XS-F-180 declareFigures
67. MK-ST-F-049 formatMoney
68. MK-ST-F-053 money
69. MK-NW-O-001 theBonds
70. MK-CF-F-193 inflowSourceWord
71. MK-CF-F-092 incomeMonthlyGrid
72. MK-CF-F-011 savingsByMonth
73. MK-CF-F-172 hasWage
74. MK-CF-F-100 taxableIncomeFor
75. MK-CF-F-130 enteredMonthlyRaw
76. MK-CF-F-166 hasMonthlySalaryTable
77. MK-ST-F-036 reconcile
78. MK-CF-F-167 salaryCalendarYear
79. MK-NW-F-112 yearlyInterest
80. MK-ST-F-048 currencySymbol
81. MK-ST-F-027 accountId
82. MK-NW-F-057 annualCoupon
83. MK-NW-F-056 bondInfo
84. MK-NW-F-064 bondRateSensitivity
85. MK-NW-F-061 bondSummary
86. MK-NW-F-055 isBond
87. MK-NW-F-072 rowOf
88. MK-CF-F-065 equityVestWeights
89. MK-CF-F-087 monthlyTaxRates
90. MK-CF-F-073 otherIncomeMonth
91. MK-CF-F-077 scholarshipByCalendarMonth
92. MK-CF-F-088 taxableByCalendarMonth
93. MK-PL-F-012 waterfall
94. MK-CF-F-008 spendByMonth
95. MK-CF-F-099 deductionFor
96. MK-CF-F-165 salaryMonths
97. MK-ST-F-047 activeCurrency
98. MK-NW-F-060 approxYTM
99. MK-NW-F-069 priceAtYield
100. MK-NW-F-011 assetClassOf
101. MK-NW-F-070 accruedInterestCaveat
102. MK-NW-F-058 yearsToMaturity
103. MK-CF-F-187 seniorDeductionFor
104. MK-NW-F-119 estimatedAccrued
105. MK-NW-F-008 incomeBearingClassOf
106. MK-ST-F-010 nameEvidence
107. MK-XS-F-147 call
108. MK-XS-F-064 currentIdToken
109. MK-XS-F-112 relayUrl</t>
        </is>
      </c>
      <c r="R198" s="3" t="inlineStr">
        <is>
          <t>1. MONTH (already above — a loop) → MK-CF-O-010 theMonth → MK-CF-F-203 MONTH → MK-CF-F-205 COMING
2. MK-XS-F-122 n → MK-CF-F-155 cash → MK-CF-O-010 theMonth → MK-CF-F-203 MONTH → MK-CF-F-205 COMING
3. MK-CF-F-148 inMonth → MK-CF-F-151 actualSpending → MK-CF-O-002 expenses → MK-CF-O-010 theMonth → MK-CF-F-203 MONTH → MK-CF-F-205 COMING
4. MK-ST-F-052 toNum → MK-CF-F-151 actualSpending → MK-CF-O-002 expenses → MK-CF-O-010 theMonth → MK-CF-F-203 MONTH → MK-CF-F-205 COMING
5. MK-CF-F-191 ym → MK-CF-F-151 actualSpending → MK-CF-O-002 expenses → MK-CF-O-010 theMonth → MK-CF-F-203 MONTH → MK-CF-F-205 COMING
6. MK-ST-F-056 has → MK-CF-F-150 debtPaymentsCountedAsExpenses → MK-CF-O-002 expenses → MK-CF-O-010 theMonth → MK-CF-F-203 MONTH → MK-CF-F-205 COMING
7. MK-CF-F-148 inMonth → MK-CF-F-150 debtPaymentsCountedAsExpenses → MK-CF-O-002 expenses → MK-CF-O-010 theMonth → MK-CF-F-203 MONTH → MK-CF-F-205 COMING
8. MK-CF-F-022 paymentShape → MK-CF-F-150 debtPaymentsCountedAsExpenses → MK-CF-O-002 expenses → MK-CF-O-010 theMonth → MK-CF-F-203 MONTH → MK-CF-F-205 COMING
9. … and 5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1491</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MK-CF-F-207</t>
        </is>
      </c>
      <c r="B200" s="3" t="inlineStr">
        <is>
          <t>SOURCE</t>
        </is>
      </c>
      <c r="C200" s="3" t="inlineStr">
        <is>
          <t>MoneyKeel/functions/cashflow/income-summary.ts</t>
        </is>
      </c>
      <c r="D200" s="3" t="n">
        <v>165</v>
      </c>
      <c r="E200" s="3" t="inlineStr">
        <is>
          <t>1 · ACTION</t>
        </is>
      </c>
      <c r="F200" s="3" t="inlineStr">
        <is>
          <t>Example only: picks one kind of income source out of the worked example household.</t>
        </is>
      </c>
      <c r="G200" s="11" t="inlineStr">
        <is>
          <t>income sources(SOURCES_EXAMPLE).find((x) =&gt; kind = kind)!</t>
        </is>
      </c>
      <c r="H200" s="3" t="inlineStr">
        <is>
          <t>income sources(SOURCES_EXAMPLE).find((x) =&gt; kind = kind)!</t>
        </is>
      </c>
      <c r="I200" s="3" t="inlineStr">
        <is>
          <t>PARTLY READ — some of the code is still showing through; needs a hand pass</t>
        </is>
      </c>
      <c r="J200" s="3" t="inlineStr">
        <is>
          <t>kind: IncomeSource['kind']</t>
        </is>
      </c>
      <c r="K200" s="3" t="inlineStr">
        <is>
          <t>NOT DECLARED — the code does not say what it gives back</t>
        </is>
      </c>
      <c r="L200" s="3" t="inlineStr">
        <is>
          <t>—</t>
        </is>
      </c>
      <c r="M200" s="3" t="inlineStr">
        <is>
          <t>None found in this function — anything it assumes comes from the functions it depends on.</t>
        </is>
      </c>
      <c r="N200" s="3" t="inlineStr">
        <is>
          <t>Yes</t>
        </is>
      </c>
      <c r="O200" s="3" t="inlineStr">
        <is>
          <t>MK-CF-O-016 incomeSources</t>
        </is>
      </c>
      <c r="P200" s="3" t="n">
        <v>25</v>
      </c>
      <c r="Q200" s="3" t="inlineStr">
        <is>
          <t>1. MK-CF-O-016 incomeSources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00" s="3" t="inlineStr">
        <is>
          <t>1. SOURCE (already above — a loop) → MK-CF-O-016 incomeSources → MK-CF-F-207 SOURCE
2. MK-XS-F-122 n → MK-ST-F-052 toNum → MK-CF-F-075 retirementIncomeMonthly → MK-CF-F-072 currentRetirementIncomeMonthly → MK-CF-O-016 incomeSources → MK-CF-F-207 SOURCE
3. MK-ST-F-056 has → MK-CF-F-172 hasWage → MK-CF-F-173 earnerWages → MK-CF-O-016 incomeSources → MK-CF-F-207 SOURCE
4. MK-CF-F-148 inMonth → MK-CF-F-151 actualSpending → MK-CF-O-002 expenses → MK-CF-F-068 rentalNetAnnual → MK-CF-O-016 incomeSources → MK-CF-F-207 SOURCE
5. MK-ST-F-052 toNum → MK-CF-F-151 actualSpending → MK-CF-O-002 expenses → MK-CF-F-068 rentalNetAnnual → MK-CF-O-016 incomeSources → MK-CF-F-207 SOURCE
6. MK-CF-F-191 ym → MK-CF-F-151 actualSpending → MK-CF-O-002 expenses → MK-CF-F-068 rentalNetAnnual → MK-CF-O-016 incomeSources → MK-CF-F-207 SOURCE
7. MK-ST-F-056 has → MK-CF-F-150 debtPaymentsCountedAsExpenses → MK-CF-O-002 expenses → MK-CF-F-068 rentalNetAnnual → MK-CF-O-016 incomeSources → MK-CF-F-207 SOURCE
8. MK-CF-F-148 inMonth → MK-CF-F-150 debtPaymentsCountedAsExpenses → MK-CF-O-002 expenses → MK-CF-F-068 rentalNetAnnual → MK-CF-O-016 incomeSources → MK-CF-F-207 SOURCE
9. … and 4 more paths</t>
        </is>
      </c>
      <c r="S200" s="3" t="inlineStr">
        <is>
          <t>—</t>
        </is>
      </c>
      <c r="T200" s="3" t="inlineStr">
        <is>
          <t>—</t>
        </is>
      </c>
      <c r="U200" s="3" t="inlineStr">
        <is>
          <t>ACTIVE</t>
        </is>
      </c>
      <c r="V200" s="3" t="inlineStr">
        <is>
          <t>2026-10-02</t>
        </is>
      </c>
      <c r="W200" s="3" t="n"/>
      <c r="X200" s="3" t="n"/>
      <c r="Y200" s="3" t="inlineStr">
        <is>
          <t>NOTHING OPEN</t>
        </is>
      </c>
    </row>
    <row r="201" ht="60" customHeight="1">
      <c r="A201" s="3" t="inlineStr">
        <is>
          <t>MK-CF-F-210</t>
        </is>
      </c>
      <c r="B201" s="3" t="inlineStr">
        <is>
          <t>annualOfSource</t>
        </is>
      </c>
      <c r="C201" s="3" t="inlineStr">
        <is>
          <t>MoneyKeel/functions/cashflow/income-summary.ts</t>
        </is>
      </c>
      <c r="D201" s="3" t="n">
        <v>195</v>
      </c>
      <c r="E201" s="3" t="inlineStr">
        <is>
          <t>3 · DEPENDENT (feeds an action only)</t>
        </is>
      </c>
      <c r="F201" s="3" t="inlineStr">
        <is>
          <t>A source's yearly amount: a monthly one × 12, a yearly one as it is, a salary from its pay period.</t>
        </is>
      </c>
      <c r="G201" s="11" t="inlineStr">
        <is>
          <t>amount × 12   when per = 'month'
amount   when per = 'year'
salary annual((op ?? {}) as any) (or amount when missing or zero)</t>
        </is>
      </c>
      <c r="H201" s="3" t="inlineStr">
        <is>
          <t>When per = 'month', it answers amount times 12. When per = 'year', it answers amount. salary annual((op ?? {}) as any) (or amount — when missing or zero).</t>
        </is>
      </c>
      <c r="I201" s="3" t="inlineStr">
        <is>
          <t>PARTLY READ — some of the code is still showing through; needs a hand pass</t>
        </is>
      </c>
      <c r="J201" s="3" t="inlineStr">
        <is>
          <t>1. x: IncomeSource
2. op?: Record&lt;string, any&gt; | null</t>
        </is>
      </c>
      <c r="K201" s="3" t="inlineStr">
        <is>
          <t>number</t>
        </is>
      </c>
      <c r="L201" s="3" t="inlineStr">
        <is>
          <t>—</t>
        </is>
      </c>
      <c r="M201" s="3" t="inlineStr">
        <is>
          <t>· Turns a monthly figure into a year by multiplying by twelve.</t>
        </is>
      </c>
      <c r="N201" s="3" t="inlineStr">
        <is>
          <t>No</t>
        </is>
      </c>
      <c r="O201" s="3" t="inlineStr">
        <is>
          <t>1. MK-CF-F-201 INCOME
2. MK-CF-F-207 SOURCE
3. MK-XS-F-180 declareFigures
4. MK-CF-F-076 guaranteedOutsideStreams
5. MK-CF-F-184 incomeFromAccounts
6. MK-CF-O-004 incomeSummary
7. MK-CF-F-075 retirementIncomeMonthly
8. MK-CF-F-082 salaryAnnual
9. MK-CF-O-019 theIncomeManager</t>
        </is>
      </c>
      <c r="P201" s="3" t="n">
        <v>129</v>
      </c>
      <c r="Q201" s="3" t="inlineStr">
        <is>
          <t>1. MK-CF-F-201 INCOME
2. MK-CF-F-207 SOURCE
3. MK-XS-F-180 declareFigures
4. MK-CF-F-076 guaranteedOutsideStreams
5. MK-CF-F-184 incomeFromAccounts
6. MK-CF-O-004 incomeSummary
7. MK-CF-F-075 retirementIncomeMonthly
8. MK-CF-F-082 salaryAnnual
9. MK-CF-O-019 theIncomeManager
10. MK-CF-O-016 incomeSources
11. MK-ST-F-052 toNum
12. MK-CF-F-182 asPercent
13. MK-NW-F-011 assetClassOf
14. MK-ST-F-053 money
15. MK-CF-F-183 paidOutByAccount
16. MK-CF-F-203 MONTH
17. MK-CF-O-001 basePay
18. MK-CF-F-069 benefitActiveMonths
19. MK-CF-F-072 currentRetirementIncomeMonthly
20. MK-CF-F-173 earnerWages
21. MK-CF-F-179 entryFromWage
22. MK-CF-F-071 extraIncome
23. MK-CF-F-085 filingStatusOf
24. MK-CF-F-092 incomeMonthlyGrid
25. MK-CF-F-192 inflowLabel
26. MK-CF-F-132 map
27. MK-CF-F-103 marginalBracketFor
28. MK-CF-F-089 over65CountOf
29. MK-CF-F-181 rateInForce
30. MK-CF-F-068 rentalNetAnnual
31. MK-CF-F-060 salaryGrossByMonth
32. MK-CF-F-084 taxableAnnual
33. MK-CF-F-067 rentalList
34. MK-CF-F-066 rsuAnnual
35. MK-XS-F-122 n
36. MK-NW-F-008 incomeBearingClassOf
37. MK-ST-F-049 formatMoney
38. MK-ST-F-065 isoLocalDate
39. MK-CF-O-010 theMonth
40. MK-ST-F-035 covers
41. MK-CF-F-171 earnerPay
42. MK-CF-F-204 line
43. MK-HM-F-006 money0
44. MK-CF-F-198 payrollTaxWithheld
45. MK-CF-F-172 hasWage
46. MK-CF-F-165 salaryMonths
47. MK-CF-F-070 benefitAnnual
48. MK-ST-F-039 on
49. MK-CF-F-065 equityVestWeights
50. MK-ST-F-056 has
51. MK-CF-F-206 householdK401ByMonth
52. MK-CF-F-087 monthlyTaxRates
53. MK-CF-F-073 otherIncomeMonth
54. MK-CF-F-077 scholarshipByCalendarMonth
55. MK-CF-F-088 taxableByCalendarMonth
56. MK-CF-F-177 wageGrossByMonth
57. MK-PL-F-012 waterfall
58. MK-CF-F-193 inflowSourceWord
59. MK-CF-F-100 taxableIncomeFor
60. MK-CF-F-180 enteredLandsAnnual
61. MK-CF-F-086 stateRateOf
62. MK-CF-F-101 taxOwedFor
63. MK-CF-O-002 expenses
64. MK-CF-F-176 sumMonthsOverEarners
65. MK-CF-F-074 tipsAnnual
66. MK-CF-F-062 equityRowValue
67. MK-CF-F-063 rowVestYear
68. MK-CF-F-155 cash
69. MK-ST-F-010 nameEvidence
70. MK-ST-F-048 currencySymbol
71. MK-CF-O-003 thisMonth
72. MK-ST-F-034 firstDate
73. MK-CF-F-143 annualisedGross
74. MK-CF-F-145 deductionsFromPay
75. MK-CF-F-128 grossByMonth
76. MK-CF-F-146 payFiguresAgree
77. MK-CF-F-144 takeHomeAsEntered
78. MK-HM-F-005 pctTxt
79. MK-CF-F-090 effectiveRate
80. MK-CF-F-130 enteredMonthlyRaw
81. MK-CF-F-166 hasMonthlySalaryTable
82. MK-ST-F-036 reconcile
83. MK-CF-F-167 salaryCalendarYear
84. MK-CF-F-099 deductionFor
85. MK-CF-F-151 actualSpending
86. MK-CF-F-150 debtPaymentsCountedAsExpenses
87. MK-CF-F-153 radar
88. MK-CF-F-149 recurringDebtPayments
89. MK-CF-F-081 salaryActiveMonths
90. MK-XS-F-147 call
91. MK-ST-F-047 activeCurrency
92. MK-CF-F-005 actualMonthFlow
93. MK-CF-F-156 plannedMonthFlow
94. MK-CF-F-142 monthsOf
95. MK-CF-F-141 perMonth
96. MK-CF-F-187 seniorDeductionFor
97. MK-CF-F-148 inMonth
98. MK-CF-F-191 ym
99. MK-CF-F-022 paymentShape
100. MK-CF-F-152 isRadarItem
101. MK-CF-F-023 requiredPayment
102. MK-ST-F-027 accountId
103. MK-XS-F-064 currentIdToken
104. MK-XS-F-112 relayUrl
105. MK-NW-F-078 ONE
106. MK-CF-F-157 debtPaymentsByDebt
107. MK-XS-F-027 takeHomeMonthly
108. MK-CF-F-140 periodsAYear
109. MK-CF-F-021 defaultPaymentType
110. MK-NW-F-077 ALL
111. MK-NW-F-059 currentYield
112. MK-NW-O-001 theBonds
113. MK-CF-F-011 savingsByMonth
114. MK-NW-F-112 yearlyInterest
115. MK-NW-F-057 annualCoupon
116. MK-NW-F-056 bondInfo
117. MK-NW-F-064 bondRateSensitivity
118. MK-NW-F-061 bondSummary
119. MK-NW-F-055 isBond
120. MK-NW-F-072 rowOf
121. MK-CF-F-008 spendByMonth
122. MK-NW-F-060 approxYTM
123. MK-NW-F-069 priceAtYield
124. MK-NW-F-070 accruedInterestCaveat
125. MK-NW-F-058 yearsToMaturity
126. MK-CF-F-120 pctBaseMonthly
127. MK-CF-F-004 spendBuckets
128. MK-NW-F-119 estimatedAccrued
129. MK-CF-F-003 categoryMonthly</t>
        </is>
      </c>
      <c r="R201" s="3" t="inlineStr">
        <is>
          <t>1. SOURCE (already above — a loop) → MK-CF-O-016 incomeSources → MK-CF-F-207 SOURCE → MK-CF-F-201 INCOME → MK-CF-F-210 annualOfSource
2. MK-CF-F-075 retirementIncomeMonthly → MK-CF-F-072 currentRetirementIncomeMonthly → MK-CF-O-016 incomeSources → MK-CF-F-207 SOURCE → MK-CF-F-201 INCOME → MK-CF-F-210 annualOfSource
3. MK-CF-F-172 hasWage → MK-CF-F-173 earnerWages → MK-CF-O-016 incomeSources → MK-CF-F-207 SOURCE → MK-CF-F-201 INCOME → MK-CF-F-210 annualOfSource
4. MK-CF-O-002 expenses → MK-CF-F-068 rentalNetAnnual → MK-CF-O-016 incomeSources → MK-CF-F-207 SOURCE → MK-CF-F-201 INCOME → MK-CF-F-210 annualOfSource
5. MK-CF-F-067 rentalList → MK-CF-F-068 rentalNetAnnual → MK-CF-O-016 incomeSources → MK-CF-F-207 SOURCE → MK-CF-F-201 INCOME → MK-CF-F-210 annualOfSource
6. MK-ST-F-052 toNum → MK-CF-F-075 retirementIncomeMonthly → MK-CF-O-016 incomeSources → MK-CF-F-207 SOURCE → MK-CF-F-201 INCOME → MK-CF-F-210 annualOfSource
7. MK-CF-F-062 equityRowValue → MK-CF-F-066 rsuAnnual → MK-CF-O-016 incomeSources → MK-CF-F-207 SOURCE → MK-CF-F-201 INCOME → MK-CF-F-210 annualOfSource
8. MK-CF-F-132 map → MK-CF-F-066 rsuAnnual → MK-CF-O-016 incomeSources → MK-CF-F-207 SOURCE → MK-CF-F-201 INCOME → MK-CF-F-210 annualOfSource
9. … and 5 more paths</t>
        </is>
      </c>
      <c r="S201" s="3" t="inlineStr">
        <is>
          <t>—</t>
        </is>
      </c>
      <c r="T201" s="3" t="inlineStr">
        <is>
          <t>—</t>
        </is>
      </c>
      <c r="U201" s="3" t="inlineStr">
        <is>
          <t>ACTIVE</t>
        </is>
      </c>
      <c r="V201" s="3" t="inlineStr">
        <is>
          <t>2026-10-02</t>
        </is>
      </c>
      <c r="W201" s="3" t="n"/>
      <c r="X201" s="3" t="n"/>
      <c r="Y201" s="3" t="inlineStr">
        <is>
          <t>NOTHING OPEN</t>
        </is>
      </c>
    </row>
    <row r="202" ht="60" customHeight="1">
      <c r="A202" s="3" t="inlineStr">
        <is>
          <t>MK-CF-F-211</t>
        </is>
      </c>
      <c r="B202" s="3" t="inlineStr">
        <is>
          <t>DEBTS</t>
        </is>
      </c>
      <c r="C202" s="3" t="inlineStr">
        <is>
          <t>MoneyKeel/functions/cashflow/the-debts.ts</t>
        </is>
      </c>
      <c r="D202" s="3" t="n">
        <v>110</v>
      </c>
      <c r="E202" s="3" t="inlineStr">
        <is>
          <t>1 · ACTION</t>
        </is>
      </c>
      <c r="F202" s="3" t="inlineStr">
        <is>
          <t>Example only: runs theDebts on the worked example and calculates nothing of its own.</t>
        </is>
      </c>
      <c r="G202" s="11" t="inlineStr">
        <is>
          <t>the debts(EXAMPLE)</t>
        </is>
      </c>
      <c r="H202" s="3" t="inlineStr">
        <is>
          <t>the debts(EXAMPLE)</t>
        </is>
      </c>
      <c r="I202" s="3" t="inlineStr">
        <is>
          <t>READ FROM THE CODE — rendered from the expressions the function runs</t>
        </is>
      </c>
      <c r="J202" s="3" t="inlineStr">
        <is>
          <t>Nothing is handed to it</t>
        </is>
      </c>
      <c r="K202" s="3" t="inlineStr">
        <is>
          <t>NOT DECLARED — the code does not say what it gives back</t>
        </is>
      </c>
      <c r="L202" s="3" t="inlineStr">
        <is>
          <t>—</t>
        </is>
      </c>
      <c r="M202" s="3" t="inlineStr">
        <is>
          <t>None found in this function — anything it assumes comes from the functions it depends on.</t>
        </is>
      </c>
      <c r="N202" s="3" t="inlineStr">
        <is>
          <t>No</t>
        </is>
      </c>
      <c r="O202" s="3" t="inlineStr">
        <is>
          <t>1. MK-XS-F-180 declareFigures
2. MK-ST-F-030 record
3. MK-CF-F-023 requiredPayment
4. MK-CF-O-018 theDebts</t>
        </is>
      </c>
      <c r="P202" s="3" t="n">
        <v>129</v>
      </c>
      <c r="Q202" s="3" t="inlineStr">
        <is>
          <t>1. MK-XS-F-180 declareFigures
2. MK-ST-F-030 record
3. MK-CF-F-023 requiredPayment
4. MK-CF-O-018 theDebts
5. MK-CF-F-022 paymentShape
6. MK-CF-F-025 minimumDebtService
7. MK-CF-F-034 payoffPlan
8. MK-CF-F-024 totalDebtMonthly
9. MK-CF-F-021 defaultPaymentType
10. MK-CF-F-132 map
11. MK-CF-F-201 INCOME
12. MK-CF-F-207 SOURCE
13. MK-CF-O-004 incomeSummary
14. MK-CF-O-016 incomeSources
15. MK-CF-F-203 MONTH
16. MK-CF-O-001 basePay
17. MK-CF-F-069 benefitActiveMonths
18. MK-CF-F-072 currentRetirementIncomeMonthly
19. MK-CF-F-173 earnerWages
20. MK-CF-F-179 entryFromWage
21. MK-CF-F-071 extraIncome
22. MK-CF-F-085 filingStatusOf
23. MK-CF-F-092 incomeMonthlyGrid
24. MK-CF-F-192 inflowLabel
25. MK-CF-F-103 marginalBracketFor
26. MK-CF-F-089 over65CountOf
27. MK-CF-F-181 rateInForce
28. MK-CF-F-068 rentalNetAnnual
29. MK-CF-F-082 salaryAnnual
30. MK-CF-F-060 salaryGrossByMonth
31. MK-CF-F-084 taxableAnnual
32. MK-ST-F-052 toNum
33. MK-CF-F-075 retirementIncomeMonthly
34. MK-CF-F-066 rsuAnnual
35. MK-CF-O-010 theMonth
36. MK-ST-F-035 covers
37. MK-CF-F-171 earnerPay
38. MK-CF-F-204 line
39. MK-ST-F-053 money
40. MK-HM-F-006 money0
41. MK-XS-F-122 n
42. MK-CF-F-198 payrollTaxWithheld
43. MK-CF-F-172 hasWage
44. MK-CF-F-165 salaryMonths
45. MK-CF-F-070 benefitAnnual
46. MK-ST-F-039 on
47. MK-CF-F-065 equityVestWeights
48. MK-ST-F-056 has
49. MK-CF-F-206 householdK401ByMonth
50. MK-CF-F-087 monthlyTaxRates
51. MK-CF-F-073 otherIncomeMonth
52. MK-CF-F-077 scholarshipByCalendarMonth
53. MK-CF-F-088 taxableByCalendarMonth
54. MK-CF-F-177 wageGrossByMonth
55. MK-PL-F-012 waterfall
56. MK-CF-F-193 inflowSourceWord
57. MK-CF-F-100 taxableIncomeFor
58. MK-CF-F-180 enteredLandsAnnual
59. MK-CF-F-086 stateRateOf
60. MK-CF-F-101 taxOwedFor
61. MK-CF-O-002 expenses
62. MK-CF-F-067 rentalList
63. MK-CF-F-176 sumMonthsOverEarners
64. MK-CF-F-074 tipsAnnual
65. MK-CF-F-062 equityRowValue
66. MK-CF-F-063 rowVestYear
67. MK-CF-F-155 cash
68. MK-CF-O-003 thisMonth
69. MK-ST-F-034 firstDate
70. MK-CF-F-143 annualisedGross
71. MK-CF-F-145 deductionsFromPay
72. MK-CF-F-128 grossByMonth
73. MK-CF-F-146 payFiguresAgree
74. MK-CF-F-144 takeHomeAsEntered
75. MK-ST-F-049 formatMoney
76. MK-HM-F-005 pctTxt
77. MK-CF-F-090 effectiveRate
78. MK-CF-F-130 enteredMonthlyRaw
79. MK-CF-F-166 hasMonthlySalaryTable
80. MK-ST-F-036 reconcile
81. MK-CF-F-167 salaryCalendarYear
82. MK-CF-F-099 deductionFor
83. MK-CF-F-151 actualSpending
84. MK-CF-F-150 debtPaymentsCountedAsExpenses
85. MK-CF-F-153 radar
86. MK-CF-F-149 recurringDebtPayments
87. MK-CF-F-081 salaryActiveMonths
88. MK-CF-F-005 actualMonthFlow
89. MK-CF-F-156 plannedMonthFlow
90. MK-CF-F-142 monthsOf
91. MK-CF-F-141 perMonth
92. MK-ST-F-048 currencySymbol
93. MK-CF-F-187 seniorDeductionFor
94. MK-CF-F-148 inMonth
95. MK-CF-F-191 ym
96. MK-CF-F-152 isRadarItem
97. MK-NW-F-078 ONE
98. MK-CF-F-157 debtPaymentsByDebt
99. MK-XS-F-027 takeHomeMonthly
100. MK-CF-F-140 periodsAYear
101. MK-ST-F-047 activeCurrency
102. MK-NW-F-077 ALL
103. MK-NW-F-059 currentYield
104. MK-NW-O-001 theBonds
105. MK-CF-F-011 savingsByMonth
106. MK-NW-F-112 yearlyInterest
107. MK-ST-F-027 accountId
108. MK-NW-F-057 annualCoupon
109. MK-NW-F-056 bondInfo
110. MK-NW-F-064 bondRateSensitivity
111. MK-NW-F-061 bondSummary
112. MK-NW-F-055 isBond
113. MK-ST-F-065 isoLocalDate
114. MK-NW-F-072 rowOf
115. MK-CF-F-008 spendByMonth
116. MK-NW-F-060 approxYTM
117. MK-NW-F-069 priceAtYield
118. MK-NW-F-011 assetClassOf
119. MK-NW-F-070 accruedInterestCaveat
120. MK-NW-F-058 yearsToMaturity
121. MK-CF-F-120 pctBaseMonthly
122. MK-CF-F-004 spendBuckets
123. MK-NW-F-119 estimatedAccrued
124. MK-NW-F-008 incomeBearingClassOf
125. MK-CF-F-003 categoryMonthly
126. MK-ST-F-010 nameEvidence
127. MK-XS-F-147 call
128. MK-XS-F-064 currentIdToken
129. MK-XS-F-112 relayUrl</t>
        </is>
      </c>
      <c r="R202" s="3" t="inlineStr">
        <is>
          <t>1. MK-XS-F-180 declareFigures → MK-CF-F-211 DEBTS
2. MK-ST-F-030 record → MK-CF-F-211 DEBTS
3. MK-CF-F-021 defaultPaymentType → MK-CF-F-022 paymentShape → MK-CF-F-023 requiredPayment → MK-CF-F-211 DEBTS
4. MK-CF-F-021 defaultPaymentType → MK-CF-F-022 paymentShape → MK-CF-F-025 minimumDebtService → MK-CF-O-018 theDebts → MK-CF-F-211 DEBTS
5. MK-CF-F-132 map → MK-CF-F-034 payoffPlan → MK-CF-O-018 theDebts → MK-CF-F-211 DEBTS
6. MK-CF-F-021 defaultPaymentType → MK-CF-F-022 paymentShape → MK-CF-F-034 payoffPlan → MK-CF-O-018 theDebts → MK-CF-F-211 DEBTS
7. MK-CF-O-016 incomeSources → MK-CF-F-207 SOURCE → MK-CF-F-201 INCOME → MK-CF-F-024 totalDebtMonthly → MK-CF-O-018 theDebts → MK-CF-F-211 DEBTS
8. MK-CF-F-203 MONTH → MK-CF-O-004 incomeSummary → MK-CF-F-201 INCOME → MK-CF-F-024 totalDebtMonthly → MK-CF-O-018 theDebts → MK-CF-F-211 DEBTS
9. … and 4 more paths</t>
        </is>
      </c>
      <c r="S202" s="3" t="inlineStr">
        <is>
          <t>—</t>
        </is>
      </c>
      <c r="T202" s="3" t="inlineStr">
        <is>
          <t>—</t>
        </is>
      </c>
      <c r="U202" s="3" t="inlineStr">
        <is>
          <t>ACTIVE</t>
        </is>
      </c>
      <c r="V202" s="3" t="inlineStr">
        <is>
          <t>2026-10-02</t>
        </is>
      </c>
      <c r="W202" s="3" t="n"/>
      <c r="X202" s="3" t="n"/>
      <c r="Y202" s="3" t="inlineStr">
        <is>
          <t>NOTHING OPEN</t>
        </is>
      </c>
    </row>
    <row r="203" ht="60" customHeight="1">
      <c r="A203" s="3" t="inlineStr">
        <is>
          <t>MK-CF-F-212</t>
        </is>
      </c>
      <c r="B203" s="3" t="inlineStr">
        <is>
          <t>receivedInMonth</t>
        </is>
      </c>
      <c r="C203" s="3" t="inlineStr">
        <is>
          <t>MoneyKeel/functions/cashflow/whats-coming.ts</t>
        </is>
      </c>
      <c r="D203" s="3" t="n">
        <v>141</v>
      </c>
      <c r="E203" s="3" t="inlineStr">
        <is>
          <t>2 · DISPLAYED</t>
        </is>
      </c>
      <c r="F203" s="3" t="inlineStr">
        <is>
          <t>RECEIVED THIS MONTH (MK-CF-M-012) — the income records dated inside the month, newest first.</t>
        </is>
      </c>
      <c r="G203" s="11" t="inlineStr">
        <is>
          <t>NOT READ YET — the body is not a shape this can render faithfully, so nothing is claimed rather than something being guessed. It needs reading by hand.</t>
        </is>
      </c>
      <c r="H203" s="3" t="inlineStr">
        <is>
          <t>NOT READ YET — the body is not a shape this can render faithfully, so nothing is claimed rather than something being guessed. It needs reading by hand.</t>
        </is>
      </c>
      <c r="I203" s="3" t="inlineStr">
        <is>
          <t>NOT READ — nothing is claimed rather than something guessed</t>
        </is>
      </c>
      <c r="J203" s="3" t="inlineStr">
        <is>
          <t>1. incomes: { date?: string; amount?: any }[] | null | undefined
2. ym: string</t>
        </is>
      </c>
      <c r="K203" s="3" t="inlineStr">
        <is>
          <t>NOT DECLARED — the code does not say what it gives back</t>
        </is>
      </c>
      <c r="L203" s="3" t="inlineStr">
        <is>
          <t>"Nothing received yet this month." — on the Cash flow screen, under "current ?"</t>
        </is>
      </c>
      <c r="M203" s="3" t="inlineStr">
        <is>
          <t>None found in this function — anything it assumes comes from the functions it depends on.</t>
        </is>
      </c>
      <c r="N203" s="3" t="inlineStr">
        <is>
          <t>Yes</t>
        </is>
      </c>
      <c r="O203" s="3" t="inlineStr">
        <is>
          <t>1. MK-CF-F-205 COMING
2. MK-XS-F-004 buildDatedGrid
3. MK-XS-F-180 declareFigures
4. MK-CF-F-191 ym</t>
        </is>
      </c>
      <c r="P203" s="3" t="n">
        <v>114</v>
      </c>
      <c r="Q203" s="3" t="inlineStr">
        <is>
          <t>1. MK-CF-F-205 COMING
2. MK-XS-F-004 buildDatedGrid
3. MK-XS-F-180 declareFigures
4. MK-CF-F-191 ym
5. MK-CF-F-203 MONTH
6. MK-CF-O-008 whatsComing
7. MK-CF-F-069 benefitActiveMonths
8. MK-CF-F-072 currentRetirementIncomeMonthly
9. MK-CF-F-018 equityByMonth
10. MK-CF-O-002 expenses
11. MK-ST-F-056 has
12. MK-CF-F-204 line
13. MK-CF-F-132 map
14. MK-ST-F-053 money
15. MK-CF-F-087 monthlyTaxRates
16. MK-CF-F-073 otherIncomeMonth
17. MK-CF-F-022 paymentShape
18. MK-CF-F-068 rentalNetAnnual
19. MK-CF-F-023 requiredPayment
20. MK-CF-F-060 salaryGrossByMonth
21. MK-CF-F-008 spendByMonth
22. MK-ST-F-052 toNum
23. MK-CF-O-010 theMonth
24. MK-CF-F-019 upcomingBills
25. MK-CF-F-075 retirementIncomeMonthly
26. MK-CF-F-062 equityRowValue
27. MK-CF-F-066 rsuAnnual
28. MK-CF-F-121 zero12
29. MK-CF-F-151 actualSpending
30. MK-CF-F-150 debtPaymentsCountedAsExpenses
31. MK-CF-F-153 radar
32. MK-CF-F-149 recurringDebtPayments
33. MK-ST-F-049 formatMoney
34. MK-XS-F-122 n
35. MK-CF-F-090 effectiveRate
36. MK-ST-F-039 on
37. MK-CF-F-021 defaultPaymentType
38. MK-CF-F-067 rentalList
39. MK-CF-F-176 sumMonthsOverEarners
40. MK-CF-F-177 wageGrossByMonth
41. MK-CF-F-120 pctBaseMonthly
42. MK-CF-F-004 spendBuckets
43. MK-CF-F-155 cash
44. MK-CF-O-003 thisMonth
45. MK-CF-F-122 addDays
46. MK-CF-F-070 benefitAnnual
47. MK-CF-F-160 daysBetweenDates
48. MK-CF-F-061 grossSalaryMonthly
49. MK-ST-F-065 isoLocalDate
50. MK-CF-F-124 nextOccurrence
51. MK-CF-F-084 taxableAnnual
52. MK-CF-F-083 totalGrossAnnual
53. MK-CF-F-063 rowVestYear
54. MK-CF-F-148 inMonth
55. MK-CF-F-152 isRadarItem
56. MK-ST-F-048 currencySymbol
57. MK-CF-F-181 rateInForce
58. MK-CF-F-173 earnerWages
59. MK-CF-F-130 enteredMonthlyRaw
60. MK-CF-F-166 hasMonthlySalaryTable
61. MK-ST-F-036 reconcile
62. MK-CF-F-167 salaryCalendarYear
63. MK-CF-F-092 incomeMonthlyGrid
64. MK-CF-F-003 categoryMonthly
65. MK-CF-F-005 actualMonthFlow
66. MK-CF-F-156 plannedMonthFlow
67. MK-CF-F-071 extraIncome
68. MK-CF-F-082 salaryAnnual
69. MK-CF-F-074 tipsAnnual
70. MK-ST-F-047 activeCurrency
71. MK-CF-F-180 enteredLandsAnnual
72. MK-CF-F-085 filingStatusOf
73. MK-CF-F-206 householdK401ByMonth
74. MK-CF-F-089 over65CountOf
75. MK-CF-F-086 stateRateOf
76. MK-CF-F-101 taxOwedFor
77. MK-CF-F-172 hasWage
78. MK-CF-F-165 salaryMonths
79. MK-CF-F-065 equityVestWeights
80. MK-CF-F-077 scholarshipByCalendarMonth
81. MK-CF-F-088 taxableByCalendarMonth
82. MK-PL-F-012 waterfall
83. MK-XS-F-027 takeHomeMonthly
84. MK-NW-F-078 ONE
85. MK-CF-F-157 debtPaymentsByDebt
86. MK-CF-F-192 inflowLabel
87. MK-CF-F-081 salaryActiveMonths
88. MK-CF-F-100 taxableIncomeFor
89. MK-CF-F-011 savingsByMonth
90. MK-NW-F-077 ALL
91. MK-NW-F-059 currentYield
92. MK-NW-O-001 theBonds
93. MK-CF-F-193 inflowSourceWord
94. MK-CF-F-099 deductionFor
95. MK-NW-F-112 yearlyInterest
96. MK-ST-F-027 accountId
97. MK-NW-F-057 annualCoupon
98. MK-NW-F-056 bondInfo
99. MK-NW-F-064 bondRateSensitivity
100. MK-NW-F-061 bondSummary
101. MK-NW-F-055 isBond
102. MK-NW-F-072 rowOf
103. MK-CF-F-187 seniorDeductionFor
104. MK-NW-F-060 approxYTM
105. MK-NW-F-069 priceAtYield
106. MK-NW-F-011 assetClassOf
107. MK-NW-F-070 accruedInterestCaveat
108. MK-NW-F-058 yearsToMaturity
109. MK-NW-F-119 estimatedAccrued
110. MK-NW-F-008 incomeBearingClassOf
111. MK-ST-F-010 nameEvidence
112. MK-XS-F-147 call
113. MK-XS-F-064 currentIdToken
114. MK-XS-F-112 relayUrl</t>
        </is>
      </c>
      <c r="R203" s="3" t="inlineStr">
        <is>
          <t>1. MONTH (already above — a loop) → MK-CF-O-010 theMonth → MK-CF-F-203 MONTH → MK-CF-F-205 COMING → MK-CF-F-212 receivedInMonth
2. MK-XS-F-122 n → MK-CF-F-155 cash → MK-CF-O-010 theMonth → MK-CF-F-203 MONTH → MK-CF-F-205 COMING → MK-CF-F-212 receivedInMonth
3. MK-CF-F-151 actualSpending → MK-CF-O-002 expenses → MK-CF-O-010 theMonth → MK-CF-F-203 MONTH → MK-CF-F-205 COMING → MK-CF-F-212 receivedInMonth
4. MK-CF-F-150 debtPaymentsCountedAsExpenses → MK-CF-O-002 expenses → MK-CF-O-010 theMonth → MK-CF-F-203 MONTH → MK-CF-F-205 COMING → MK-CF-F-212 receivedInMonth
5. MK-CF-F-153 radar → MK-CF-O-002 expenses → MK-CF-O-010 theMonth → MK-CF-F-203 MONTH → MK-CF-F-205 COMING → MK-CF-F-212 receivedInMonth
6. MK-CF-F-149 recurringDebtPayments → MK-CF-O-002 expenses → MK-CF-O-010 theMonth → MK-CF-F-203 MONTH → MK-CF-F-205 COMING → MK-CF-F-212 receivedInMonth
7. MK-CF-F-005 actualMonthFlow → MK-CF-O-003 thisMonth → MK-CF-O-010 theMonth → MK-CF-F-203 MONTH → MK-CF-F-205 COMING → MK-CF-F-212 receivedInMonth
8. MK-CF-F-156 plannedMonthFlow → MK-CF-O-003 thisMonth → MK-CF-O-010 theMonth → MK-CF-F-203 MONTH → MK-CF-F-205 COMING → MK-CF-F-212 receivedInMonth
9. … and 5 more paths</t>
        </is>
      </c>
      <c r="S203" s="3" t="inlineStr">
        <is>
          <t>—</t>
        </is>
      </c>
      <c r="T203" s="3" t="inlineStr">
        <is>
          <t>—</t>
        </is>
      </c>
      <c r="U203" s="3" t="inlineStr">
        <is>
          <t>ACTIVE</t>
        </is>
      </c>
      <c r="V203" s="3" t="inlineStr">
        <is>
          <t>2026-10-02</t>
        </is>
      </c>
      <c r="W203" s="3" t="n"/>
      <c r="X203" s="3" t="n"/>
      <c r="Y203" s="3" t="inlineStr">
        <is>
          <t>NOTHING OPEN</t>
        </is>
      </c>
    </row>
    <row r="204" ht="60" customHeight="1">
      <c r="A204" s="3" t="inlineStr">
        <is>
          <t>MK-CF-O-001</t>
        </is>
      </c>
      <c r="B204" s="3" t="inlineStr">
        <is>
          <t>basePay</t>
        </is>
      </c>
      <c r="C204" s="3" t="inlineStr">
        <is>
          <t>MoneyKeel/functions/cashflow/base-pay.ts</t>
        </is>
      </c>
      <c r="D204" s="3" t="n">
        <v>904</v>
      </c>
      <c r="E204" s="3" t="inlineStr">
        <is>
          <t>2 · DISPLAYED</t>
        </is>
      </c>
      <c r="F204" s="3" t="inlineStr">
        <is>
          <t>What does this household's base pay come to: each earner's pay, and the household's gross, tax bracket, tax, 401(k)s and take-home for a month?</t>
        </is>
      </c>
      <c r="G204"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4"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4" s="3" t="inlineStr">
        <is>
          <t>PARTLY READ — some of the code is still showing through; needs a hand pass</t>
        </is>
      </c>
      <c r="J204" s="3" t="inlineStr">
        <is>
          <t>h: HouseholdPayInput</t>
        </is>
      </c>
      <c r="K204" s="3" t="inlineStr">
        <is>
          <t>BasePay</t>
        </is>
      </c>
      <c r="L204" s="3" t="inlineStr">
        <is>
          <t>1. "Calculated federal tax" — on the base pay screen
2. "Everything else taken out" — on the base pay screen
3. "Federal tax bracket" — on the base pay screen
4. "Gross /year" — on the base pay screen
5. "Nothing is taken out for a 401(k)" — on the base pay screen
6. "Your 401(k)s" — on the base pay screen</t>
        </is>
      </c>
      <c r="M204" s="3" t="inlineStr">
        <is>
          <t>1. If over65 is missing it uses 0.
2. If gross annualised is missing it uses 0.
3. Uses a built-in f i c a s h a r e of 7.65%.
4. Treats a year as twelve equal months.
5. Rounds the answer to a whole number.</t>
        </is>
      </c>
      <c r="N204" s="3" t="inlineStr">
        <is>
          <t>Yes</t>
        </is>
      </c>
      <c r="O204" s="3" t="inlineStr">
        <is>
          <t>1. MK-ST-F-035 covers
2. MK-CF-F-171 earnerPay
3. MK-CF-F-204 line
4. MK-CF-F-132 map
5. MK-CF-F-103 marginalBracketFor
6. MK-ST-F-053 money
7. MK-HM-F-006 money0
8. MK-XS-F-122 n
9. MK-CF-F-198 payrollTaxWithheld
10. MK-CF-F-181 rateInForce</t>
        </is>
      </c>
      <c r="P204" s="3" t="n">
        <v>118</v>
      </c>
      <c r="Q204"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MK-CF-F-173 earnerWages
25. MK-CF-F-180 enteredLandsAnnual
26. MK-CF-F-085 filingStatusOf
27. MK-CF-F-206 householdK401ByMonth
28. MK-CF-F-089 over65CountOf
29. MK-CF-F-082 salaryAnnual
30. MK-CF-F-086 stateRateOf
31. MK-CF-F-101 taxOwedFor
32. MK-CF-F-084 taxableAnnual
33. MK-CF-F-142 monthsOf
34. MK-CF-F-141 perMonth
35. MK-ST-F-056 has
36. MK-ST-F-039 on
37. MK-CF-O-010 theMonth
38. MK-CF-F-099 deductionFor
39. MK-ST-F-048 currencySymbol
40. MK-CF-F-172 hasWage
41. MK-CF-F-176 sumMonthsOverEarners
42. MK-CF-F-177 wageGrossByMonth
43. MK-CF-F-060 salaryGrossByMonth
44. MK-CF-F-072 currentRetirementIncomeMonthly
45. MK-CF-F-071 extraIncome
46. MK-CF-F-068 rentalNetAnnual
47. MK-CF-F-066 rsuAnnual
48. MK-CF-F-074 tipsAnnual
49. MK-CF-F-140 periodsAYear
50. MK-CF-O-002 expenses
51. MK-CF-O-003 thisMonth
52. MK-CF-F-187 seniorDeductionFor
53. MK-ST-F-047 activeCurrency
54. MK-CF-F-130 enteredMonthlyRaw
55. MK-CF-F-166 hasMonthlySalaryTable
56. MK-ST-F-036 reconcile
57. MK-CF-F-167 salaryCalendarYear
58. MK-CF-F-075 retirementIncomeMonthly
59. MK-CF-F-070 benefitAnnual
60. MK-CF-F-067 rentalList
61. MK-CF-F-062 equityRowValue
62. MK-CF-F-063 rowVestYear
63. MK-CF-F-081 salaryActiveMonths
64. MK-CF-F-151 actualSpending
65. MK-CF-F-150 debtPaymentsCountedAsExpenses
66. MK-CF-F-153 radar
67. MK-CF-F-149 recurringDebtPayments
68. MK-CF-F-005 actualMonthFlow
69. MK-CF-F-156 plannedMonthFlow
70. MK-CF-F-165 salaryMonths
71. MK-CF-F-069 benefitActiveMonths
72. MK-CF-F-148 inMonth
73. MK-CF-F-191 ym
74. MK-CF-F-022 paymentShape
75. MK-CF-F-152 isRadarItem
76. MK-CF-F-023 requiredPayment
77. MK-NW-F-078 ONE
78. MK-CF-F-157 debtPaymentsByDebt
79. MK-CF-F-192 inflowLabel
80. MK-XS-F-027 takeHomeMonthly
81. MK-CF-F-021 defaultPaymentType
82. MK-NW-F-077 ALL
83. MK-NW-F-059 currentYield
84. MK-NW-O-001 theBonds
85. MK-CF-F-193 inflowSourceWord
86. MK-CF-F-092 incomeMonthlyGrid
87. MK-CF-F-011 savingsByMonth
88. MK-NW-F-112 yearlyInterest
89. MK-ST-F-027 accountId
90. MK-NW-F-057 annualCoupon
91. MK-NW-F-056 bondInfo
92. MK-NW-F-064 bondRateSensitivity
93. MK-NW-F-061 bondSummary
94. MK-NW-F-055 isBond
95. MK-ST-F-065 isoLocalDate
96. MK-NW-F-072 rowOf
97. MK-CF-F-065 equityVestWeights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MK-NW-F-058 yearsToMaturity
109. MK-CF-F-090 effectiveRate
110. MK-CF-F-120 pctBaseMonthly
111. MK-CF-F-004 spendBuckets
112. MK-NW-F-119 estimatedAccrued
113. MK-NW-F-008 incomeBearingClassOf
114. MK-CF-F-003 categoryMonthly
115. MK-ST-F-010 nameEvidence
116. MK-XS-F-147 call
117. MK-XS-F-064 currentIdToken
118. MK-XS-F-112 relayUrl</t>
        </is>
      </c>
      <c r="R204"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MK-CF-F-142 monthsOf → MK-CF-F-128 grossByMonth → MK-CF-F-143 annualisedGross → MK-CF-F-145 deductionsFromPay → MK-CF-F-171 earnerPay → MK-CF-O-001 basePay
8. MK-CF-F-141 perMonth → MK-CF-F-128 grossByMonth → MK-CF-F-143 annualisedGross → MK-CF-F-145 deductionsFromPay → MK-CF-F-171 earnerPay → MK-CF-O-001 basePay
9. … and 5 more paths</t>
        </is>
      </c>
      <c r="S204" s="3" t="inlineStr">
        <is>
          <t>MK-CF-M-030 · MK-CF-M-031 · MK-CF-M-032 · MK-CF-M-033 · MK-CF-M-034 · MK-CF-M-035 · MK-CF-M-036 · MK-CF-M-045 · MK-CF-M-046</t>
        </is>
      </c>
      <c r="T204" s="3" t="inlineStr">
        <is>
          <t>—</t>
        </is>
      </c>
      <c r="U204" s="3" t="inlineStr">
        <is>
          <t>ACTIVE</t>
        </is>
      </c>
      <c r="V204" s="3" t="inlineStr">
        <is>
          <t>2026-09-09</t>
        </is>
      </c>
      <c r="W204" s="3" t="n"/>
      <c r="X204" s="3" t="n"/>
      <c r="Y204" s="6" t="inlineStr">
        <is>
          <t>TESTED, NOT VERIFIED (G37, G38, G4, G41, G42, G45)</t>
        </is>
      </c>
    </row>
    <row r="205" ht="60" customHeight="1">
      <c r="A205" s="3" t="inlineStr">
        <is>
          <t>MK-CF-O-002</t>
        </is>
      </c>
      <c r="B205" s="3" t="inlineStr">
        <is>
          <t>expenses</t>
        </is>
      </c>
      <c r="C205" s="3" t="inlineStr">
        <is>
          <t>MoneyKeel/functions/cashflow/expenses.ts</t>
        </is>
      </c>
      <c r="D205" s="3" t="n">
        <v>345</v>
      </c>
      <c r="E205" s="3" t="inlineStr">
        <is>
          <t>2 · DISPLAYED</t>
        </is>
      </c>
      <c r="F205" s="3" t="inlineStr">
        <is>
          <t>What is being spent this month: the debts that repeat every month, the planned expenses by category, what was actually spent by where it came from, and the big-ticket radar?</t>
        </is>
      </c>
      <c r="G205" s="11" t="inlineStr">
        <is>
          <t>rec = recurring debt payments(s)
act = actual expenses(s)
debt exp = debt payments counted as expenses(s, purchases captured)</t>
        </is>
      </c>
      <c r="H205" s="3" t="inlineStr">
        <is>
          <t>Rec is recurring debt payments(s). Act is actual expenses(s). Debt exp is debt payments counted as expenses(s, purchases captured).</t>
        </is>
      </c>
      <c r="I205" s="3" t="inlineStr">
        <is>
          <t>READ FROM THE CODE — rendered from the expressions the function runs</t>
        </is>
      </c>
      <c r="J205" s="3" t="inlineStr">
        <is>
          <t>1. s: ExpensesInput
2. purchasesCaptured: Set&lt;string&gt; = new Set()</t>
        </is>
      </c>
      <c r="K205" s="3" t="inlineStr">
        <is>
          <t>Expenses</t>
        </is>
      </c>
      <c r="L205" s="3" t="inlineStr">
        <is>
          <t>NOT FOUND — a screen calls it, but the words printed beside its answer could not be traced automatically. Needs reading.</t>
        </is>
      </c>
      <c r="M205" s="3" t="inlineStr">
        <is>
          <t>None found in this function — anything it assumes comes from the functions it depends on.</t>
        </is>
      </c>
      <c r="N205" s="3" t="inlineStr">
        <is>
          <t>Yes</t>
        </is>
      </c>
      <c r="O205" s="3" t="inlineStr">
        <is>
          <t>1. MK-CF-F-151 actualSpending
2. MK-CF-F-150 debtPaymentsCountedAsExpenses
3. MK-CF-F-153 radar
4. MK-CF-F-149 recurringDebtPayments</t>
        </is>
      </c>
      <c r="P205" s="3" t="n">
        <v>14</v>
      </c>
      <c r="Q205"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5"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5" s="3" t="inlineStr">
        <is>
          <t>—</t>
        </is>
      </c>
      <c r="T205" s="3" t="inlineStr">
        <is>
          <t>—</t>
        </is>
      </c>
      <c r="U205" s="3" t="inlineStr">
        <is>
          <t>DECOMMISSIONED 2026-09-28 — it was here and is not any more. Kept so the number is never reused and earlier work can still be traced.</t>
        </is>
      </c>
      <c r="V205" s="3" t="inlineStr">
        <is>
          <t>2026-09-28</t>
        </is>
      </c>
      <c r="W205" s="3" t="n"/>
      <c r="X205" s="3" t="n"/>
      <c r="Y205" s="9" t="inlineStr">
        <is>
          <t>CODED, NOT TESTED (Cash-flow worked example)</t>
        </is>
      </c>
    </row>
    <row r="206" ht="60" customHeight="1">
      <c r="A206" s="3" t="inlineStr">
        <is>
          <t>MK-CF-O-003</t>
        </is>
      </c>
      <c r="B206" s="3" t="inlineStr">
        <is>
          <t>thisMonth</t>
        </is>
      </c>
      <c r="C206" s="3" t="inlineStr">
        <is>
          <t>MoneyKeel/functions/cashflow/this-month.ts</t>
        </is>
      </c>
      <c r="D206" s="3" t="n">
        <v>662</v>
      </c>
      <c r="E206" s="3" t="inlineStr">
        <is>
          <t>3 · DEPENDENT</t>
        </is>
      </c>
      <c r="F206" s="3" t="inlineStr">
        <is>
          <t>How is the month going: what the plan says it holds and what has actually happened so far, each row by row and each ending in its surplus?</t>
        </is>
      </c>
      <c r="G206" s="11" t="inlineStr">
        <is>
          <t>planned = planned month flow(m)
actual = actual month flow(m)</t>
        </is>
      </c>
      <c r="H206" s="3" t="inlineStr">
        <is>
          <t>planned = planned month flow(m); actual = actual month flow(m).</t>
        </is>
      </c>
      <c r="I206" s="3" t="inlineStr">
        <is>
          <t>READ FROM THE CODE — rendered from the expressions the function runs</t>
        </is>
      </c>
      <c r="J206" s="3" t="inlineStr">
        <is>
          <t>m: MonthInput</t>
        </is>
      </c>
      <c r="K206" s="3" t="inlineStr">
        <is>
          <t>ThisMonth</t>
        </is>
      </c>
      <c r="L206" s="3" t="inlineStr">
        <is>
          <t>—</t>
        </is>
      </c>
      <c r="M206" s="3" t="inlineStr">
        <is>
          <t>None found in this function — anything it assumes comes from the functions it depends on.</t>
        </is>
      </c>
      <c r="N206" s="3" t="inlineStr">
        <is>
          <t>Yes</t>
        </is>
      </c>
      <c r="O206" s="3" t="inlineStr">
        <is>
          <t>1. MK-CF-F-005 actualMonthFlow
2. MK-CF-F-156 plannedMonthFlow</t>
        </is>
      </c>
      <c r="P206" s="3" t="n">
        <v>101</v>
      </c>
      <c r="Q206"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MK-NW-F-077 ALL
14. MK-NW-F-059 currentYield
15. MK-XS-F-180 declareFigures
16. MK-ST-F-049 formatMoney
17. MK-ST-F-053 money
18. MK-NW-O-001 theBonds
19. MK-XS-F-122 n
20. MK-CF-F-203 MONTH
21. MK-CF-F-132 map
22. MK-CF-F-193 inflowSourceWord
23. MK-CF-F-022 paymentShape
24. MK-CF-F-092 incomeMonthlyGrid
25. MK-CF-F-011 savingsByMonth
26. MK-NW-F-112 yearlyInterest
27. MK-ST-F-048 currencySymbol
28. MK-ST-F-039 on
29. MK-ST-F-027 accountId
30. MK-NW-F-057 annualCoupon
31. MK-NW-F-056 bondInfo
32. MK-NW-F-064 bondRateSensitivity
33. MK-NW-F-061 bondSummary
34. MK-NW-F-055 isBond
35. MK-ST-F-065 isoLocalDate
36. MK-NW-F-072 rowOf
37. MK-CF-O-010 theMonth
38. MK-CF-F-021 defaultPaymentType
39. MK-CF-F-069 benefitActiveMonths
40. MK-CF-F-072 currentRetirementIncomeMonthly
41. MK-CF-F-173 earnerWages
42. MK-CF-F-065 equityVestWeights
43. MK-CF-F-071 extraIncome
44. MK-ST-F-056 has
45. MK-CF-F-206 householdK401ByMonth
46. MK-CF-F-087 monthlyTaxRates
47. MK-CF-F-073 otherIncomeMonth
48. MK-CF-F-181 rateInForce
49. MK-CF-F-068 rentalNetAnnual
50. MK-CF-F-066 rsuAnnual
51. MK-CF-F-060 salaryGrossByMonth
52. MK-CF-F-077 scholarshipByCalendarMonth
53. MK-CF-F-088 taxableByCalendarMonth
54. MK-CF-F-177 wageGrossByMonth
55. MK-PL-F-012 waterfall
56. MK-CF-F-008 spendByMonth
57. MK-ST-F-047 activeCurrency
58. MK-NW-F-060 approxYTM
59. MK-NW-F-069 priceAtYield
60. MK-NW-F-011 assetClassOf
61. MK-NW-F-070 accruedInterestCaveat
62. MK-NW-F-058 yearsToMaturity
63. MK-CF-O-002 expenses
64. MK-CF-F-075 retirementIncomeMonthly
65. MK-CF-F-172 hasWage
66. MK-CF-F-062 equityRowValue
67. MK-CF-F-070 benefitAnnual
68. MK-CF-F-176 sumMonthsOverEarners
69. MK-CF-F-090 effectiveRate
70. MK-CF-F-180 enteredLandsAnnual
71. MK-CF-F-085 filingStatusOf
72. MK-CF-F-089 over65CountOf
73. MK-CF-F-082 salaryAnnual
74. MK-CF-F-086 stateRateOf
75. MK-CF-F-101 taxOwedFor
76. MK-CF-F-084 taxableAnnual
77. MK-CF-F-067 rentalList
78. MK-CF-F-063 rowVestYear
79. MK-CF-F-130 enteredMonthlyRaw
80. MK-CF-F-166 hasMonthlySalaryTable
81. MK-ST-F-036 reconcile
82. MK-CF-F-167 salaryCalendarYear
83. MK-CF-F-120 pctBaseMonthly
84. MK-CF-F-004 spendBuckets
85. MK-NW-F-119 estimatedAccrued
86. MK-NW-F-008 incomeBearingClassOf
87. MK-CF-F-151 actualSpending
88. MK-CF-F-150 debtPaymentsCountedAsExpenses
89. MK-CF-F-153 radar
90. MK-CF-F-149 recurringDebtPayments
91. MK-CF-F-100 taxableIncomeFor
92. MK-CF-F-074 tipsAnnual
93. MK-CF-F-165 salaryMonths
94. MK-CF-F-003 categoryMonthly
95. MK-ST-F-010 nameEvidence
96. MK-CF-F-099 deductionFor
97. MK-CF-F-081 salaryActiveMonths
98. MK-XS-F-147 call
99. MK-CF-F-187 seniorDeductionFor
100. MK-XS-F-064 currentIdToken
101. MK-XS-F-112 relayUrl</t>
        </is>
      </c>
      <c r="R206" s="3" t="inlineStr">
        <is>
          <t>1. MK-ST-F-027 accountId → MK-NW-O-001 theBonds → MK-NW-F-077 ALL → MK-NW-F-078 ONE → MK-CF-F-005 actualMonthFlow → MK-CF-O-003 thisMonth
2. MK-NW-F-057 annualCoupon → MK-NW-O-001 theBonds → MK-NW-F-077 ALL → MK-NW-F-078 ONE → MK-CF-F-005 actualMonthFlow → MK-CF-O-003 thisMonth
3. MK-NW-F-056 bondInfo → MK-NW-O-001 theBonds → MK-NW-F-077 ALL → MK-NW-F-078 ONE → MK-CF-F-005 actualMonthFlow → MK-CF-O-003 thisMonth
4. MK-NW-F-064 bondRateSensitivity → MK-NW-O-001 theBonds → MK-NW-F-077 ALL → MK-NW-F-078 ONE → MK-CF-F-005 actualMonthFlow → MK-CF-O-003 thisMonth
5. MK-NW-F-061 bondSummary → MK-NW-O-001 theBonds → MK-NW-F-077 ALL → MK-NW-F-078 ONE → MK-CF-F-005 actualMonthFlow → MK-CF-O-003 thisMonth
6. MK-NW-F-055 isBond → MK-NW-O-001 theBonds → MK-NW-F-077 ALL → MK-NW-F-078 ONE → MK-CF-F-005 actualMonthFlow → MK-CF-O-003 thisMonth
7. MK-ST-F-065 isoLocalDate → MK-NW-O-001 theBonds → MK-NW-F-077 ALL → MK-NW-F-078 ONE → MK-CF-F-005 actualMonthFlow → MK-CF-O-003 thisMonth
8. MK-CF-F-132 map → MK-NW-O-001 theBonds → MK-NW-F-077 ALL → MK-NW-F-078 ONE → MK-CF-F-005 actualMonthFlow → MK-CF-O-003 thisMonth
9. … and 5 more paths</t>
        </is>
      </c>
      <c r="S206" s="3" t="inlineStr">
        <is>
          <t>MK-CF-M-047 · MK-CF-M-048 · MK-CF-M-049 · MK-CF-M-050 · MK-CF-M-051 · MK-CF-M-052 · MK-CF-M-053 · MK-CF-M-054</t>
        </is>
      </c>
      <c r="T206" s="3" t="inlineStr">
        <is>
          <t>—</t>
        </is>
      </c>
      <c r="U206" s="3" t="inlineStr">
        <is>
          <t>ACTIVE</t>
        </is>
      </c>
      <c r="V206" s="3" t="inlineStr">
        <is>
          <t>2026-09-28</t>
        </is>
      </c>
      <c r="W206" s="3" t="n"/>
      <c r="X206" s="3" t="n"/>
      <c r="Y206" s="9" t="inlineStr">
        <is>
          <t>CODED, NOT TESTED (Cash-flow worked example)</t>
        </is>
      </c>
    </row>
    <row r="207" ht="60" customHeight="1">
      <c r="A207" s="3" t="inlineStr">
        <is>
          <t>MK-CF-O-004</t>
        </is>
      </c>
      <c r="B207" s="3" t="inlineStr">
        <is>
          <t>incomeSummary</t>
        </is>
      </c>
      <c r="C207" s="3" t="inlineStr">
        <is>
          <t>MoneyKeel/functions/cashflow/income-summary.ts</t>
        </is>
      </c>
      <c r="D207" s="3" t="n">
        <v>596</v>
      </c>
      <c r="E207" s="3" t="inlineStr">
        <is>
          <t>2 · DISPLAYED</t>
        </is>
      </c>
      <c r="F207" s="3" t="inlineStr">
        <is>
          <t>What is this household's income: what reaches the bank each month, and what the year is taxed on?</t>
        </is>
      </c>
      <c r="G207" s="11" t="inlineStr">
        <is>
          <t>a = op (or none when missing)
wages = earner wages(op as any)
inf = rate in force(op as any)
r = inf.rate, theirs = inf.mine
after tax = (x: number) =&gt; x × (1 − r)
steady pay = salary gross by month(op as any).every((m) =&gt; m &gt; 0)
tips = tips monthly read as a number (0 when it is not one)   if steady pay
0   otherwise
self employed = to num(se amount) ÷ 12   if se freq = 'annual'
se amount read as a number (0 when it is not one)   otherwise
rent = rental net annual(op as any) ÷ 12
rent arriving = rent   if theirs
after tax(rent)   otherwise   if rent &gt; 0
0   otherwise
inv monthly = to num(inv annual) ÷ 12
… the first steps only — the rest of the body needs reading by hand.</t>
        </is>
      </c>
      <c r="H207" s="3" t="inlineStr">
        <is>
          <t>A is op (or none — when missing). Wages is earner wages(op as any). Inf is rate in force(op as any). R is inf.rate, theirs = inf.mine. After tax is (x: number) =&gt; x times (1 minus r). Steady pay is salary gross by month(op as any).every((m) =&gt; m &gt; 0). Tips is tips monthly read as a number (0 when it is one is missing) — when steady pay; 0 — otherwise. Self employed is to num(se amount) divided by 12 — when se freq = 'annual'; se amount read as a number (0 — when it is one is missing) — otherwise. Rent is rental net annual(op as any) divided by 12. Rent arriving is rent — when theirs; after tax(rent) — otherwise — when rent &gt; 0; 0 — otherwise. Inv monthly is to num(inv annual) divided by 12. Only the first steps are shown; the rest of the body needs reading by hand.</t>
        </is>
      </c>
      <c r="I207" s="3" t="inlineStr">
        <is>
          <t>PARTLY READ — some of the code is still showing through; needs a hand pass</t>
        </is>
      </c>
      <c r="J207" s="3" t="inlineStr">
        <is>
          <t>op: Record&lt;string, any&gt; | null</t>
        </is>
      </c>
      <c r="K207" s="3" t="inlineStr">
        <is>
          <t>IncomeSummary</t>
        </is>
      </c>
      <c r="L207" s="3" t="inlineStr">
        <is>
          <t>1. "Add your income ›" — on the income summary screen
2. "Federal tax bracket" — on the income summary screen
3. "Take-home each month" — on the income summary screen
4. "What it is taxed on" — on the income summary screen</t>
        </is>
      </c>
      <c r="M207" s="3" t="inlineStr">
        <is>
          <t>· Rounds the answer to a whole number.</t>
        </is>
      </c>
      <c r="N207" s="3" t="inlineStr">
        <is>
          <t>Yes</t>
        </is>
      </c>
      <c r="O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t>
        </is>
      </c>
      <c r="P207" s="3" t="n">
        <v>120</v>
      </c>
      <c r="Q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
20. MK-CF-O-010 theMonth
21. MK-ST-F-035 covers
22. MK-CF-F-171 earnerPay
23. MK-CF-F-204 line
24. MK-ST-F-053 money
25. MK-HM-F-006 money0
26. MK-XS-F-122 n
27. MK-CF-F-198 payrollTaxWithheld
28. MK-CF-F-075 retirementIncomeMonthly
29. MK-CF-F-172 hasWage
30. MK-CF-F-165 salaryMonths
31. MK-CF-F-070 benefitAnnual
32. MK-ST-F-039 on
33. MK-CF-F-065 equityVestWeights
34. MK-ST-F-056 has
35. MK-CF-F-206 householdK401ByMonth
36. MK-CF-F-087 monthlyTaxRates
37. MK-CF-F-073 otherIncomeMonth
38. MK-CF-F-066 rsuAnnual
39. MK-CF-F-077 scholarshipByCalendarMonth
40. MK-CF-F-088 taxableByCalendarMonth
41. MK-CF-F-177 wageGrossByMonth
42. MK-PL-F-012 waterfall
43. MK-CF-F-193 inflowSourceWord
44. MK-CF-F-100 taxableIncomeFor
45. MK-CF-F-180 enteredLandsAnnual
46. MK-CF-F-086 stateRateOf
47. MK-CF-F-101 taxOwedFor
48. MK-CF-O-002 expenses
49. MK-CF-F-067 rentalList
50. MK-CF-F-176 sumMonthsOverEarners
51. MK-CF-F-074 tipsAnnual
52. MK-CF-F-155 cash
53. MK-CF-O-003 thisMonth
54. MK-ST-F-034 firstDate
55. MK-CF-F-143 annualisedGross
56. MK-CF-F-145 deductionsFromPay
57. MK-CF-F-128 grossByMonth
58. MK-CF-F-146 payFiguresAgree
59. MK-CF-F-144 takeHomeAsEntered
60. MK-XS-F-180 declareFigures
61. MK-ST-F-049 formatMoney
62. MK-HM-F-005 pctTxt
63. MK-CF-F-062 equityRowValue
64. MK-CF-F-090 effectiveRate
65. MK-CF-F-063 rowVestYear
66. MK-CF-F-130 enteredMonthlyRaw
67. MK-CF-F-166 hasMonthlySalaryTable
68. MK-ST-F-036 reconcile
69. MK-CF-F-167 salaryCalendarYear
70. MK-CF-F-099 deductionFor
71. MK-CF-F-151 actualSpending
72. MK-CF-F-150 debtPaymentsCountedAsExpenses
73. MK-CF-F-153 radar
74. MK-CF-F-149 recurringDebtPayments
75. MK-CF-F-081 salaryActiveMonths
76. MK-CF-F-005 actualMonthFlow
77. MK-CF-F-156 plannedMonthFlow
78. MK-CF-F-142 monthsOf
79. MK-CF-F-141 perMonth
80. MK-ST-F-048 currencySymbol
81. MK-CF-F-187 seniorDeductionFor
82. MK-CF-F-148 inMonth
83. MK-CF-F-191 ym
84. MK-CF-F-022 paymentShape
85. MK-CF-F-152 isRadarItem
86. MK-CF-F-023 requiredPayment
87. MK-NW-F-078 ONE
88. MK-CF-F-157 debtPaymentsByDebt
89. MK-XS-F-027 takeHomeMonthly
90. MK-CF-F-140 periodsAYear
91. MK-ST-F-047 activeCurrency
92. MK-CF-F-021 defaultPaymentType
93. MK-NW-F-077 ALL
94. MK-NW-F-059 currentYield
95. MK-NW-O-001 theBonds
96. MK-CF-F-011 savingsByMonth
97. MK-NW-F-112 yearlyInterest
98. MK-ST-F-027 accountId
99. MK-NW-F-057 annualCoupon
100. MK-NW-F-056 bondInfo
101. MK-NW-F-064 bondRateSensitivity
102. MK-NW-F-061 bondSummary
103. MK-NW-F-055 isBond
104. MK-ST-F-065 isoLocalDate
105. MK-NW-F-072 rowOf
106. MK-CF-F-008 spendByMonth
107. MK-NW-F-060 approxYTM
108. MK-NW-F-069 priceAtYield
109. MK-NW-F-011 assetClassOf
110. MK-NW-F-070 accruedInterestCaveat
111. MK-NW-F-058 yearsToMaturity
112. MK-CF-F-120 pctBaseMonthly
113. MK-CF-F-004 spendBuckets
114. MK-NW-F-119 estimatedAccrued
115. MK-NW-F-008 incomeBearingClassOf
116. MK-CF-F-003 categoryMonthly
117. MK-ST-F-010 nameEvidence
118. MK-XS-F-147 call
119. MK-XS-F-064 currentIdToken
120. MK-XS-F-112 relayUrl</t>
        </is>
      </c>
      <c r="R207" s="3" t="inlineStr">
        <is>
          <t>1. MONTH (already above — a loop) → MK-CF-O-010 theMonth → MK-CF-F-203 MONTH → MK-CF-O-004 incomeSummary
2. MK-XS-F-122 n → MK-CF-F-155 cash → MK-CF-O-010 theMonth → MK-CF-F-203 MONTH → MK-CF-O-004 incomeSummary
3. MK-CF-F-148 inMonth → MK-CF-F-151 actualSpending → MK-CF-O-002 expenses → MK-CF-O-010 theMonth → MK-CF-F-203 MONTH → MK-CF-O-004 incomeSummary
4. MK-ST-F-052 toNum → MK-CF-F-151 actualSpending → MK-CF-O-002 expenses → MK-CF-O-010 theMonth → MK-CF-F-203 MONTH → MK-CF-O-004 incomeSummary
5. MK-CF-F-191 ym → MK-CF-F-151 actualSpending → MK-CF-O-002 expenses → MK-CF-O-010 theMonth → MK-CF-F-203 MONTH → MK-CF-O-004 incomeSummary
6. MK-ST-F-056 has → MK-CF-F-150 debtPaymentsCountedAsExpenses → MK-CF-O-002 expenses → MK-CF-O-010 theMonth → MK-CF-F-203 MONTH → MK-CF-O-004 incomeSummary
7. MK-CF-F-148 inMonth → MK-CF-F-150 debtPaymentsCountedAsExpenses → MK-CF-O-002 expenses → MK-CF-O-010 theMonth → MK-CF-F-203 MONTH → MK-CF-O-004 incomeSummary
8. MK-CF-F-022 paymentShape → MK-CF-F-150 debtPaymentsCountedAsExpenses → MK-CF-O-002 expenses → MK-CF-O-010 theMonth → MK-CF-F-203 MONTH → MK-CF-O-004 incomeSummary
9. … and 5 more paths</t>
        </is>
      </c>
      <c r="S207" s="3" t="inlineStr">
        <is>
          <t>MK-CF-M-006 · MK-CF-M-007 · MK-CF-M-008 · MK-CF-M-009 · MK-CF-M-010 · MK-CF-M-011 · MK-CF-M-024 · MK-CF-M-027 · MK-CF-M-037 · MK-CF-M-038 · MK-CF-M-039 · MK-CF-M-040 · MK-CF-M-041 · MK-CF-M-042 · MK-CF-M-043 · MK-CF-M-044 · MK-CF-M-066 · MK-CF-M-069 · MK-MN-M-011 · MK-MN-M-012 · MK-MN-M-013</t>
        </is>
      </c>
      <c r="T207" s="3" t="inlineStr">
        <is>
          <t>—</t>
        </is>
      </c>
      <c r="U207" s="3" t="inlineStr">
        <is>
          <t>ACTIVE</t>
        </is>
      </c>
      <c r="V207" s="3" t="inlineStr">
        <is>
          <t>2026-10-04</t>
        </is>
      </c>
      <c r="W207" s="3" t="n"/>
      <c r="X207" s="3" t="n"/>
      <c r="Y207" s="6" t="inlineStr">
        <is>
          <t>TESTED, NOT VERIFIED (G37, G47, G48)</t>
        </is>
      </c>
    </row>
    <row r="208" ht="60" customHeight="1">
      <c r="A208" s="3" t="inlineStr">
        <is>
          <t>MK-CF-O-005</t>
        </is>
      </c>
      <c r="B208" s="3" t="inlineStr">
        <is>
          <t>theContributionRoom</t>
        </is>
      </c>
      <c r="C208" s="3" t="inlineStr">
        <is>
          <t>MoneyKeel/functions/cashflow/contribution-room.ts</t>
        </is>
      </c>
      <c r="D208" s="3" t="n">
        <v>75</v>
      </c>
      <c r="E208" s="3" t="inlineStr">
        <is>
          <t>2 · DISPLAYED</t>
        </is>
      </c>
      <c r="F208" s="3" t="inlineStr">
        <is>
          <t>How much room is left in my 401(k), IRA and HSA this year, and what would fill it?</t>
        </is>
      </c>
      <c r="G208"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08"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08" s="3" t="inlineStr">
        <is>
          <t>PARTLY READ — some of the code is still showing through; needs a hand pass</t>
        </is>
      </c>
      <c r="J208" s="3" t="inlineStr">
        <is>
          <t>Nothing is handed to it</t>
        </is>
      </c>
      <c r="K208" s="3" t="inlineStr">
        <is>
          <t>NOT DECLARED — the code does not say what it gives back</t>
        </is>
      </c>
      <c r="L208" s="3" t="inlineStr">
        <is>
          <t>NOT FOUND — a screen calls it, but the words printed beside its answer could not be traced automatically. Needs reading.</t>
        </is>
      </c>
      <c r="M208" s="3" t="inlineStr">
        <is>
          <t>· Turns a monthly figure into a year by multiplying by twelve.</t>
        </is>
      </c>
      <c r="N208" s="3" t="inlineStr">
        <is>
          <t>Yes</t>
        </is>
      </c>
      <c r="O208" s="3" t="inlineStr">
        <is>
          <t>1. MK-CF-F-197 ageAttainedInYear
2. MK-CF-F-055 annualHsaLimit
3. MK-CF-F-054 annualIraLimit
4. MK-CF-F-056 k401Headroom
5. MK-CF-F-195 monthsLeftInYear
6. MK-CF-F-196 perMonthToFill</t>
        </is>
      </c>
      <c r="P208" s="3" t="n">
        <v>7</v>
      </c>
      <c r="Q208" s="3" t="inlineStr">
        <is>
          <t>1. MK-CF-F-197 ageAttainedInYear
2. MK-CF-F-055 annualHsaLimit
3. MK-CF-F-054 annualIraLimit
4. MK-CF-F-056 k401Headroom
5. MK-CF-F-195 monthsLeftInYear
6. MK-CF-F-196 perMonthToFill
7. MK-CF-F-053 annual401kLimit</t>
        </is>
      </c>
      <c r="R208"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08" s="3" t="inlineStr">
        <is>
          <t>—</t>
        </is>
      </c>
      <c r="T208" s="3" t="inlineStr">
        <is>
          <t>—</t>
        </is>
      </c>
      <c r="U208" s="3" t="inlineStr">
        <is>
          <t>ACTIVE</t>
        </is>
      </c>
      <c r="V208" s="3" t="inlineStr">
        <is>
          <t>2026-09-28</t>
        </is>
      </c>
      <c r="W208" s="3" t="n"/>
      <c r="X208" s="3" t="n"/>
      <c r="Y208" s="3" t="inlineStr">
        <is>
          <t>NOTHING OPEN</t>
        </is>
      </c>
    </row>
    <row r="209" ht="60" customHeight="1">
      <c r="A209" s="3" t="inlineStr">
        <is>
          <t>MK-CF-O-006</t>
        </is>
      </c>
      <c r="B209" s="3" t="inlineStr">
        <is>
          <t>theCreditLine</t>
        </is>
      </c>
      <c r="C209" s="3" t="inlineStr">
        <is>
          <t>MoneyKeel/functions/cashflow/credit-line.ts</t>
        </is>
      </c>
      <c r="D209" s="3" t="n">
        <v>60</v>
      </c>
      <c r="E209" s="3" t="inlineStr">
        <is>
          <t>2 · DISPLAYED</t>
        </is>
      </c>
      <c r="F209" s="3" t="inlineStr">
        <is>
          <t>How much of my credit limit am I using?</t>
        </is>
      </c>
      <c r="G209"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09"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09" s="3" t="inlineStr">
        <is>
          <t>PARTLY READ — some of the code is still showing through; needs a hand pass</t>
        </is>
      </c>
      <c r="J209" s="3" t="inlineStr">
        <is>
          <t>input: { balance: number; limit: number }</t>
        </is>
      </c>
      <c r="K209" s="3" t="inlineStr">
        <is>
          <t>CreditLine</t>
        </is>
      </c>
      <c r="L209" s="3" t="inlineStr">
        <is>
          <t>NOT FOUND — a screen calls it, but the words printed beside its answer could not be traced automatically. Needs reading.</t>
        </is>
      </c>
      <c r="M209" s="3" t="inlineStr">
        <is>
          <t>1. If balance is missing it counts as zero, so nothing recorded and a real zero look the same.
2. If limit is missing it counts as zero, so nothing recorded and a real zero look the same.</t>
        </is>
      </c>
      <c r="N209" s="3" t="inlineStr">
        <is>
          <t>Yes</t>
        </is>
      </c>
      <c r="O209" s="3" t="inlineStr">
        <is>
          <t>1. MK-CF-F-031 creditUtilization
2. MK-CF-F-204 line</t>
        </is>
      </c>
      <c r="P209" s="3" t="n">
        <v>104</v>
      </c>
      <c r="Q209" s="3" t="inlineStr">
        <is>
          <t>1. MK-CF-F-031 creditUtilization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MK-CF-F-132 map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MK-NW-F-112 yearlyInterest
38. MK-ST-F-048 currencySymbol
39. MK-ST-F-039 on
40. MK-ST-F-027 accountId
41. MK-NW-F-057 annualCoupon
42. MK-NW-F-056 bondInfo
43. MK-NW-F-064 bondRateSensitivity
44. MK-NW-F-061 bondSummary
45. MK-NW-F-055 isBond
46. MK-ST-F-065 isoLocalDate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MK-NW-F-011 assetClassOf
69. MK-NW-F-070 accruedInterestCaveat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MK-NW-F-119 estimatedAccrued
93. MK-NW-F-008 incomeBearingClassOf
94. MK-CF-F-100 taxableIncomeFor
95. MK-CF-F-074 tipsAnnual
96. MK-CF-F-165 salaryMonths
97. MK-CF-F-003 categoryMonthly
98. MK-ST-F-010 nameEvidence
99. MK-CF-F-099 deductionFor
100. MK-CF-F-081 salaryActiveMonths
101. MK-XS-F-147 call
102. MK-CF-F-187 seniorDeductionFor
103. MK-XS-F-064 currentIdToken
104. MK-XS-F-112 relayUrl</t>
        </is>
      </c>
      <c r="R209" s="3" t="inlineStr">
        <is>
          <t>1. MK-CF-F-031 creditUtilization → MK-CF-O-006 theCreditLine
2. MONTH (already above — a loop) → MK-CF-O-010 theMonth → MK-CF-F-203 MONTH → MK-CF-F-204 line → MK-CF-O-006 theCreditLine
3. MK-XS-F-122 n → MK-CF-F-155 cash → MK-CF-O-010 theMonth → MK-CF-F-203 MONTH → MK-CF-F-204 line → MK-CF-O-006 theCreditLine
4. MK-CF-F-151 actualSpending → MK-CF-O-002 expenses → MK-CF-O-010 theMonth → MK-CF-F-203 MONTH → MK-CF-F-204 line → MK-CF-O-006 theCreditLine
5. MK-CF-F-150 debtPaymentsCountedAsExpenses → MK-CF-O-002 expenses → MK-CF-O-010 theMonth → MK-CF-F-203 MONTH → MK-CF-F-204 line → MK-CF-O-006 theCreditLine
6. MK-CF-F-153 radar → MK-CF-O-002 expenses → MK-CF-O-010 theMonth → MK-CF-F-203 MONTH → MK-CF-F-204 line → MK-CF-O-006 theCreditLine
7. MK-CF-F-149 recurringDebtPayments → MK-CF-O-002 expenses → MK-CF-O-010 theMonth → MK-CF-F-203 MONTH → MK-CF-F-204 line → MK-CF-O-006 theCreditLine
8. MK-CF-F-005 actualMonthFlow → MK-CF-O-003 thisMonth → MK-CF-O-010 theMonth → MK-CF-F-203 MONTH → MK-CF-F-204 line → MK-CF-O-006 theCreditLine
9. … and 2 more paths</t>
        </is>
      </c>
      <c r="S209" s="3" t="inlineStr">
        <is>
          <t>MK-MN-M-006</t>
        </is>
      </c>
      <c r="T209" s="3" t="inlineStr">
        <is>
          <t>—</t>
        </is>
      </c>
      <c r="U209" s="3" t="inlineStr">
        <is>
          <t>ACTIVE</t>
        </is>
      </c>
      <c r="V209" s="3" t="inlineStr">
        <is>
          <t>2026-09-28</t>
        </is>
      </c>
      <c r="W209" s="3" t="n"/>
      <c r="X209" s="3" t="n"/>
      <c r="Y209" s="3" t="inlineStr">
        <is>
          <t>NOTHING OPEN</t>
        </is>
      </c>
    </row>
    <row r="210" ht="60" customHeight="1">
      <c r="A210" s="3" t="inlineStr">
        <is>
          <t>MK-CF-O-007</t>
        </is>
      </c>
      <c r="B210" s="3" t="inlineStr">
        <is>
          <t>theTaxOrganizer</t>
        </is>
      </c>
      <c r="C210" s="3" t="inlineStr">
        <is>
          <t>MoneyKeel/functions/cashflow/tax-organizer.ts</t>
        </is>
      </c>
      <c r="D210" s="3" t="n">
        <v>46</v>
      </c>
      <c r="E210" s="3" t="inlineStr">
        <is>
          <t>2 · DISPLAYED</t>
        </is>
      </c>
      <c r="F210" s="3" t="inlineStr">
        <is>
          <t>What will my taxes look like: each taxable line, the deduction and the tax?</t>
        </is>
      </c>
      <c r="G210" s="11" t="inlineStr">
        <is>
          <t>year = input.year (or the date ).get full year( when missing)
actual passive = round(income from accounts(input.accounts ?? [], input.transactions ?? []).annual)</t>
        </is>
      </c>
      <c r="H210" s="3" t="inlineStr">
        <is>
          <t>Year is input.year (or the date ).get full year( — when missing). Actual passive is income from accounts(input.accounts ?? [], input.transactions ?? [], to a whole number.annual).</t>
        </is>
      </c>
      <c r="I210" s="3" t="inlineStr">
        <is>
          <t>PARTLY READ — some of the code is still showing through; needs a hand pass</t>
        </is>
      </c>
      <c r="J210" s="3" t="inlineStr">
        <is>
          <t>Nothing is handed to it</t>
        </is>
      </c>
      <c r="K210" s="3" t="inlineStr">
        <is>
          <t>NOT DECLARED — the code does not say what it gives back</t>
        </is>
      </c>
      <c r="L210" s="3" t="inlineStr">
        <is>
          <t>NOT FOUND — a screen calls it, but the words printed beside its answer could not be traced automatically. Needs reading.</t>
        </is>
      </c>
      <c r="M210" s="3" t="inlineStr">
        <is>
          <t>1. Uses today's date from the device clock, so the answer changes by itself overnight.
2. Rounds the answer to a whole number.</t>
        </is>
      </c>
      <c r="N210" s="3" t="inlineStr">
        <is>
          <t>Yes</t>
        </is>
      </c>
      <c r="O210" s="3" t="inlineStr">
        <is>
          <t>1. MK-CF-F-184 incomeFromAccounts
2. MK-PL-F-031 taxOrganizer</t>
        </is>
      </c>
      <c r="P210" s="3" t="n">
        <v>71</v>
      </c>
      <c r="Q210"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MK-NW-F-008 incomeBearingClassOf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MK-ST-F-010 nameEvidence
39. MK-ST-F-048 currencySymbol
40. MK-CF-F-173 earnerWages
41. MK-CF-F-180 enteredLandsAnnual
42. MK-CF-F-206 householdK401ByMonth
43. MK-CF-F-086 stateRateOf
44. MK-CF-F-101 taxOwedFor
45. MK-CF-F-084 taxableAnnual
46. MK-CF-F-151 actualSpending
47. MK-CF-F-150 debtPaymentsCountedAsExpenses
48. MK-CF-F-153 radar
49. MK-CF-F-149 recurringDebtPayments
50. MK-CF-F-176 sumMonthsOverEarners
51. MK-CF-F-177 wageGrossByMonth
52. MK-CF-F-175 sumOverEarners
53. MK-XS-F-147 call
54. MK-ST-F-047 activeCurrency
55. MK-CF-F-172 hasWage
56. MK-CF-F-100 taxableIncomeFor
57. MK-CF-F-071 extraIncome
58. MK-CF-F-148 inMonth
59. MK-CF-F-191 ym
60. MK-CF-F-022 paymentShape
61. MK-CF-F-152 isRadarItem
62. MK-CF-F-023 requiredPayment
63. MK-CF-F-130 enteredMonthlyRaw
64. MK-CF-F-166 hasMonthlySalaryTable
65. MK-ST-F-036 reconcile
66. MK-CF-F-167 salaryCalendarYear
67. MK-ST-F-027 accountId
68. MK-XS-F-064 currentIdToken
69. MK-XS-F-112 relayUrl
70. MK-CF-F-021 defaultPaymentType
71. MK-CF-F-165 salaryMonths</t>
        </is>
      </c>
      <c r="R210" s="3" t="inlineStr">
        <is>
          <t>1. MK-CF-F-182 asPercent → MK-CF-F-184 incomeFromAccounts → MK-CF-O-007 theTaxOrganizer
2. MK-XS-F-122 n → MK-CF-F-155 cash → MK-NW-F-008 incomeBearingClassOf → MK-NW-F-011 assetClassOf → MK-CF-F-184 incomeFromAccounts → MK-CF-O-007 theTaxOrganizer
3. MK-XS-F-147 call → MK-ST-F-010 nameEvidence → MK-NW-F-008 incomeBearingClassOf → MK-NW-F-011 assetClassOf → MK-CF-F-184 incomeFromAccounts → MK-CF-O-007 theTaxOrganizer
4. MK-ST-F-056 has → MK-ST-F-010 nameEvidence → MK-NW-F-008 incomeBearingClassOf → MK-NW-F-011 assetClassOf → MK-CF-F-184 incomeFromAccounts → MK-CF-O-007 theTaxOrganizer
5. MK-CF-F-132 map → MK-ST-F-010 nameEvidence → MK-NW-F-008 incomeBearingClassOf → MK-NW-F-011 assetClassOf → MK-CF-F-184 incomeFromAccounts → MK-CF-O-007 theTaxOrganizer
6. MK-ST-F-047 activeCurrency → MK-ST-F-048 currencySymbol → MK-ST-F-049 formatMoney → MK-ST-F-053 money → MK-CF-F-184 incomeFromAccounts → MK-CF-O-007 theTaxOrganizer
7. MK-XS-F-122 n → MK-ST-F-049 formatMoney → MK-ST-F-053 money → MK-CF-F-184 incomeFromAccounts → MK-CF-O-007 theTaxOrganizer
8. MK-ST-F-039 on → MK-ST-F-049 formatMoney → MK-ST-F-053 money → MK-CF-F-184 incomeFromAccounts → MK-CF-O-007 theTaxOrganizer
9. … and 4 more paths</t>
        </is>
      </c>
      <c r="S210" s="3" t="inlineStr">
        <is>
          <t>—</t>
        </is>
      </c>
      <c r="T210" s="3" t="inlineStr">
        <is>
          <t>—</t>
        </is>
      </c>
      <c r="U210" s="3" t="inlineStr">
        <is>
          <t>ACTIVE</t>
        </is>
      </c>
      <c r="V210" s="3" t="inlineStr">
        <is>
          <t>2026-09-28</t>
        </is>
      </c>
      <c r="W210" s="3" t="n"/>
      <c r="X210" s="3" t="n"/>
      <c r="Y210" s="3" t="inlineStr">
        <is>
          <t>NOTHING OPEN</t>
        </is>
      </c>
    </row>
    <row r="211" ht="60" customHeight="1">
      <c r="A211" s="3" t="inlineStr">
        <is>
          <t>MK-CF-O-008</t>
        </is>
      </c>
      <c r="B211" s="3" t="inlineStr">
        <is>
          <t>whatsComing</t>
        </is>
      </c>
      <c r="C211" s="3" t="inlineStr">
        <is>
          <t>MoneyKeel/functions/cashflow/whats-coming.ts</t>
        </is>
      </c>
      <c r="D211" s="3" t="n">
        <v>58</v>
      </c>
      <c r="E211" s="3" t="inlineStr">
        <is>
          <t>2 · DISPLAYED</t>
        </is>
      </c>
      <c r="F211" s="3" t="inlineStr">
        <is>
          <t>Which bills and paychecks are coming over the next twelve months, and which look out of the ordinary?</t>
        </is>
      </c>
      <c r="G211" s="11" t="inlineStr">
        <is>
          <t>bills = bills
next = the first of bills   if count of bills
nothing   otherwise</t>
        </is>
      </c>
      <c r="H211" s="3" t="inlineStr">
        <is>
          <t>bills = bills; next = the first of bills — when how many bills there are; no answer — otherwise.</t>
        </is>
      </c>
      <c r="I211" s="3" t="inlineStr">
        <is>
          <t>READ FROM THE CODE — rendered from the expressions the function runs</t>
        </is>
      </c>
      <c r="J211" s="3" t="inlineStr">
        <is>
          <t>Nothing is handed to it</t>
        </is>
      </c>
      <c r="K211" s="3" t="inlineStr">
        <is>
          <t>NOT DECLARED — the code does not say what it gives back</t>
        </is>
      </c>
      <c r="L211" s="3" t="inlineStr">
        <is>
          <t>1. "Bill calendar" — on the Bill calendar screen
2. "IF YOU CAN" — on the Bill calendar screen, under "IF YOU CAN"</t>
        </is>
      </c>
      <c r="M211" s="3" t="inlineStr">
        <is>
          <t>1. If start balance is missing it uses 0.
2. Uses today's date from the device clock, so the answer changes by itself overnight.</t>
        </is>
      </c>
      <c r="N211" s="3" t="inlineStr">
        <is>
          <t>Yes</t>
        </is>
      </c>
      <c r="O211" s="3" t="inlineStr">
        <is>
          <t>MK-CF-F-019 upcomingBills</t>
        </is>
      </c>
      <c r="P211" s="3" t="n">
        <v>108</v>
      </c>
      <c r="Q211"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MK-CF-F-180 enteredLandsAnnual
30. MK-CF-F-085 filingStatusOf
31. MK-CF-F-206 householdK401ByMonth
32. MK-CF-F-089 over65CountOf
33. MK-CF-F-086 stateRateOf
34. MK-CF-F-101 taxOwedFor
35. MK-CF-F-176 sumMonthsOverEarners
36. MK-CF-F-177 wageGrossByMonth
37. MK-CF-F-151 actualSpending
38. MK-CF-F-150 debtPaymentsCountedAsExpenses
39. MK-CF-F-153 radar
40. MK-CF-F-149 recurringDebtPayments
41. MK-CF-F-120 pctBaseMonthly
42. MK-XS-F-027 takeHomeMonthly
43. MK-ST-F-039 on
44. MK-CF-F-062 equityRowValue
45. MK-CF-F-063 rowVestYear
46. MK-CF-F-081 salaryActiveMonths
47. MK-CF-F-172 hasWage
48. MK-CF-F-100 taxableIncomeFor
49. MK-CF-F-130 enteredMonthlyRaw
50. MK-CF-F-166 hasMonthlySalaryTable
51. MK-ST-F-036 reconcile
52. MK-CF-F-167 salaryCalendarYear
53. MK-CF-F-148 inMonth
54. MK-CF-F-191 ym
55. MK-ST-F-056 has
56. MK-CF-F-022 paymentShape
57. MK-CF-F-152 isRadarItem
58. MK-CF-F-023 requiredPayment
59. MK-CF-F-092 incomeMonthlyGrid
60. MK-CF-F-011 savingsByMonth
61. MK-CF-F-099 deductionFor
62. MK-CF-F-165 salaryMonths
63. MK-CF-F-021 defaultPaymentType
64. MK-CF-F-065 equityVestWeights
65. MK-CF-F-087 monthlyTaxRates
66. MK-CF-F-073 otherIncomeMonth
67. MK-CF-F-077 scholarshipByCalendarMonth
68. MK-CF-F-088 taxableByCalendarMonth
69. MK-PL-F-012 waterfall
70. MK-CF-F-008 spendByMonth
71. MK-CF-F-187 seniorDeductionFor
72. MK-CF-F-203 MONTH
73. MK-CF-O-010 theMonth
74. MK-CF-F-155 cash
75. MK-CF-O-003 thisMonth
76. MK-CF-F-005 actualMonthFlow
77. MK-CF-F-156 plannedMonthFlow
78. MK-NW-F-078 ONE
79. MK-CF-F-157 debtPaymentsByDebt
80. MK-CF-F-192 inflowLabel
81. MK-NW-F-077 ALL
82. MK-NW-F-059 currentYield
83. MK-XS-F-180 declareFigures
84. MK-ST-F-049 formatMoney
85. MK-ST-F-053 money
86. MK-NW-O-001 theBonds
87. MK-CF-F-193 inflowSourceWord
88. MK-NW-F-112 yearlyInterest
89. MK-ST-F-048 currencySymbol
90. MK-ST-F-027 accountId
91. MK-NW-F-057 annualCoupon
92. MK-NW-F-056 bondInfo
93. MK-NW-F-064 bondRateSensitivity
94. MK-NW-F-061 bondSummary
95. MK-NW-F-055 isBond
96. MK-NW-F-072 rowOf
97. MK-ST-F-047 activeCurrency
98. MK-NW-F-060 approxYTM
99. MK-NW-F-069 priceAtYield
100. MK-NW-F-011 assetClassOf
101. MK-NW-F-070 accruedInterestCaveat
102. MK-NW-F-058 yearsToMaturity
103. MK-NW-F-119 estimatedAccrued
104. MK-NW-F-008 incomeBearingClassOf
105. MK-ST-F-010 nameEvidence
106. MK-XS-F-147 call
107. MK-XS-F-064 currentIdToken
108. MK-XS-F-112 relayUrl</t>
        </is>
      </c>
      <c r="R211"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MK-CF-F-173 earnerWages → MK-CF-F-180 enteredLandsAnnual → MK-CF-F-181 rateInForce → MK-CF-F-090 effectiveRate → MK-CF-F-019 upcomingBills → MK-CF-O-008 whatsComing
8. MK-ST-F-052 toNum → MK-CF-F-180 enteredLandsAnnual → MK-CF-F-181 rateInForce → MK-CF-F-090 effectiveRate → MK-CF-F-019 upcomingBills → MK-CF-O-008 whatsComing
9. … and 4 more paths</t>
        </is>
      </c>
      <c r="S211" s="3" t="inlineStr">
        <is>
          <t>MK-CF-M-012 · MK-CF-M-016 · MK-CF-M-028 · MK-CF-M-060 · MK-CF-M-061 · MK-CF-M-062 · MK-CF-M-063 · MK-MN-M-030</t>
        </is>
      </c>
      <c r="T211" s="3" t="inlineStr">
        <is>
          <t>—</t>
        </is>
      </c>
      <c r="U211" s="3" t="inlineStr">
        <is>
          <t>ACTIVE</t>
        </is>
      </c>
      <c r="V211" s="3" t="inlineStr">
        <is>
          <t>2026-09-28</t>
        </is>
      </c>
      <c r="W211" s="3" t="n"/>
      <c r="X211" s="3" t="n"/>
      <c r="Y211" s="3" t="inlineStr">
        <is>
          <t>NOTHING OPEN</t>
        </is>
      </c>
    </row>
    <row r="212" ht="60" customHeight="1">
      <c r="A212" s="3" t="inlineStr">
        <is>
          <t>MK-CF-O-010</t>
        </is>
      </c>
      <c r="B212" s="3" t="inlineStr">
        <is>
          <t>theMonth</t>
        </is>
      </c>
      <c r="C212" s="3" t="inlineStr">
        <is>
          <t>MoneyKeel/functions/cashflow/the-month.ts</t>
        </is>
      </c>
      <c r="D212" s="3" t="n">
        <v>86</v>
      </c>
      <c r="E212" s="3" t="inlineStr">
        <is>
          <t>2 · DISPLAYED</t>
        </is>
      </c>
      <c r="F212" s="3" t="inlineStr">
        <is>
          <t>How is this month going: the plan, what has actually happened, the detail behind the expenses, and what is free after anything already promised to a goal?</t>
        </is>
      </c>
      <c r="G212" s="11" t="inlineStr">
        <is>
          <t>flow = this month(input)
committed = cash((input.commitments ?? []).reduce((t, c) =&gt; t + (monthly amount or 0), 0))</t>
        </is>
      </c>
      <c r="H212" s="3" t="inlineStr">
        <is>
          <t>Flow is this month(input). Committed is cash((input.commitments ?? []).reduce((t, c) =&gt; t plus (monthly amount or 0), 0)).</t>
        </is>
      </c>
      <c r="I212" s="3" t="inlineStr">
        <is>
          <t>PARTLY READ — some of the code is still showing through; needs a hand pass</t>
        </is>
      </c>
      <c r="J212" s="3" t="inlineStr">
        <is>
          <t>input: MonthInput &amp; ExpensesInput</t>
        </is>
      </c>
      <c r="K212" s="3" t="inlineStr">
        <is>
          <t>TheMonth</t>
        </is>
      </c>
      <c r="L212" s="3" t="inlineStr">
        <is>
          <t>1. "ACTUAL EXPENSES" — on the Cash flow screen, under "ACTUAL EXPENSES"
2. "Cash flow" — on the Cash flow screen
3. "DEBT PAYMENTS COUNTED AS EXPENSES" — on the Cash flow screen, under "DEBT PAYMENTS COUNTED AS EXPENSES"
4. "ENTERED BY HAND" — on the Cash flow screen, under "ENTERED BY HAND"
5. "IMPORTED FROM YOUR CARD" — on the Cash flow screen, under "IMPORTED FROM YOUR CARD"
6. "MONTHLY RECURRING EXPENSES" — on the Cash flow screen, under "MONTHLY RECURRING EXPENSES"</t>
        </is>
      </c>
      <c r="M212" s="3" t="inlineStr">
        <is>
          <t>· If monthly amount is missing it counts as zero, so nothing recorded and a real zero look the same.</t>
        </is>
      </c>
      <c r="N212" s="3" t="inlineStr">
        <is>
          <t>Yes</t>
        </is>
      </c>
      <c r="O212" s="3" t="inlineStr">
        <is>
          <t>1. MK-CF-F-203 MONTH
2. MK-CF-F-155 cash
3. MK-CF-O-002 expenses
4. MK-CF-O-003 thisMonth</t>
        </is>
      </c>
      <c r="P212" s="3" t="n">
        <v>101</v>
      </c>
      <c r="Q212" s="3" t="inlineStr">
        <is>
          <t>1. MK-CF-F-203 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MK-ST-F-065 isoLocalDate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MK-NW-F-011 assetClassOf
66. MK-NW-F-070 accruedInterestCaveat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MK-NW-F-119 estimatedAccrued
90. MK-NW-F-008 incomeBearingClassOf
91. MK-CF-F-100 taxableIncomeFor
92. MK-CF-F-074 tipsAnnual
93. MK-CF-F-165 salaryMonths
94. MK-CF-F-003 categoryMonthly
95. MK-ST-F-010 nameEvidence
96. MK-CF-F-099 deductionFor
97. MK-CF-F-081 salaryActiveMonths
98. MK-XS-F-147 call
99. MK-CF-F-187 seniorDeductionFor
100. MK-XS-F-064 currentIdToken
101. MK-XS-F-112 relayUrl</t>
        </is>
      </c>
      <c r="R212" s="3" t="inlineStr">
        <is>
          <t>1. theMonth (already above — a loop) → MK-CF-F-203 MONTH → MK-CF-O-010 theMonth
2. MK-XS-F-122 n → MK-CF-F-155 cash → MK-CF-O-010 theMonth
3. MK-CF-F-191 ym → MK-CF-F-148 inMonth → MK-CF-F-151 actualSpending → MK-CF-O-002 expenses → MK-CF-O-010 theMonth
4. MK-XS-F-122 n → MK-ST-F-052 toNum → MK-CF-F-151 actualSpending → MK-CF-O-002 expenses → MK-CF-O-010 theMonth
5. MK-CF-F-191 ym → MK-CF-F-151 actualSpending → MK-CF-O-002 expenses → MK-CF-O-010 theMonth
6. MK-ST-F-056 has → MK-CF-F-150 debtPaymentsCountedAsExpenses → MK-CF-O-002 expenses → MK-CF-O-010 theMonth
7. MK-CF-F-191 ym → MK-CF-F-148 inMonth → MK-CF-F-150 debtPaymentsCountedAsExpenses → MK-CF-O-002 expenses → MK-CF-O-010 theMonth
8. MK-CF-F-021 defaultPaymentType → MK-CF-F-022 paymentShape → MK-CF-F-150 debtPaymentsCountedAsExpenses → MK-CF-O-002 expenses → MK-CF-O-010 theMonth
9. … and 5 more paths</t>
        </is>
      </c>
      <c r="S212" s="3" t="inlineStr">
        <is>
          <t>MK-CF-M-001 · MK-CF-M-002 · MK-CF-M-003 · MK-CF-M-013 · MK-CF-M-014 · MK-CF-M-015 · MK-CF-M-020 · MK-CF-M-021 · MK-CF-M-056</t>
        </is>
      </c>
      <c r="T212" s="3" t="inlineStr">
        <is>
          <t>—</t>
        </is>
      </c>
      <c r="U212" s="3" t="inlineStr">
        <is>
          <t>ACTIVE</t>
        </is>
      </c>
      <c r="V212" s="3" t="inlineStr">
        <is>
          <t>2026-10-01</t>
        </is>
      </c>
      <c r="W212" s="3" t="n"/>
      <c r="X212" s="3" t="n"/>
      <c r="Y212" s="3" t="inlineStr">
        <is>
          <t>NOTHING OPEN</t>
        </is>
      </c>
    </row>
    <row r="213" ht="60" customHeight="1">
      <c r="A213" s="3" t="inlineStr">
        <is>
          <t>MK-CF-O-011</t>
        </is>
      </c>
      <c r="B213" s="3" t="inlineStr">
        <is>
          <t>PAY</t>
        </is>
      </c>
      <c r="C213" s="3" t="inlineStr">
        <is>
          <t>MoneyKeel/functions/cashflow/base-pay.ts</t>
        </is>
      </c>
      <c r="D213" s="3" t="n">
        <v>672</v>
      </c>
      <c r="E213" s="3" t="inlineStr">
        <is>
          <t>1 · ACTION</t>
        </is>
      </c>
      <c r="F213" s="3" t="inlineStr">
        <is>
          <t>Example only: runs basePay on the worked example household with a tax rate of their own.</t>
        </is>
      </c>
      <c r="G213" s="11" t="inlineStr">
        <is>
          <t>NOT READ YET — the body is not a shape this can render faithfully, so nothing is claimed rather than something being guessed. It needs reading by hand.</t>
        </is>
      </c>
      <c r="H213" s="3" t="inlineStr">
        <is>
          <t>NOT READ YET — the body is not a shape this can render faithfully, so nothing is claimed rather than something being guessed. It needs reading by hand.</t>
        </is>
      </c>
      <c r="I213" s="3" t="inlineStr">
        <is>
          <t>NOT READ — nothing is claimed rather than something guessed</t>
        </is>
      </c>
      <c r="J213" s="3" t="inlineStr">
        <is>
          <t>Nothing is handed to it</t>
        </is>
      </c>
      <c r="K213" s="3" t="inlineStr">
        <is>
          <t>EXAMPLE_EARNERS as any, filingStatus: 'married', over65: 0,</t>
        </is>
      </c>
      <c r="L213" s="3" t="inlineStr">
        <is>
          <t>—</t>
        </is>
      </c>
      <c r="M213" s="3" t="inlineStr">
        <is>
          <t>None found in this function — anything it assumes comes from the functions it depends on.</t>
        </is>
      </c>
      <c r="N213" s="3" t="inlineStr">
        <is>
          <t>No</t>
        </is>
      </c>
      <c r="O213" s="3" t="inlineStr">
        <is>
          <t>MK-CF-O-001 basePay</t>
        </is>
      </c>
      <c r="P213" s="3" t="n">
        <v>119</v>
      </c>
      <c r="Q213"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MK-CF-F-148 inMonth
74. MK-CF-F-191 ym
75. MK-CF-F-022 paymentShape
76. MK-CF-F-152 isRadarItem
77. MK-CF-F-023 requiredPayment
78. MK-NW-F-078 ONE
79. MK-CF-F-157 debtPaymentsByDebt
80. MK-CF-F-192 inflowLabel
81. MK-XS-F-027 takeHomeMonthly
82. MK-CF-F-021 defaultPaymentType
83. MK-NW-F-077 ALL
84. MK-NW-F-059 currentYield
85. MK-NW-O-001 theBonds
86. MK-CF-F-193 inflowSourceWord
87. MK-CF-F-092 incomeMonthlyGrid
88. MK-CF-F-011 savingsByMonth
89. MK-NW-F-112 yearlyInterest
90. MK-ST-F-027 accountId
91. MK-NW-F-057 annualCoupon
92. MK-NW-F-056 bondInfo
93. MK-NW-F-064 bondRateSensitivity
94. MK-NW-F-061 bondSummary
95. MK-NW-F-055 isBond
96. MK-ST-F-065 isoLocalDate
97. MK-NW-F-072 rowOf
98. MK-CF-F-065 equityVestWeights
99. MK-CF-F-087 monthlyTaxRates
100. MK-CF-F-073 otherIncomeMonth
101. MK-CF-F-077 scholarshipByCalendarMonth
102. MK-CF-F-088 taxableByCalendarMonth
103. MK-PL-F-012 waterfall
104. MK-CF-F-008 spendByMonth
105. MK-NW-F-060 approxYTM
106. MK-NW-F-069 priceAtYield
107. MK-NW-F-011 assetClassOf
108. MK-NW-F-070 accruedInterestCaveat
109. MK-NW-F-058 yearsToMaturity
110. MK-CF-F-090 effectiveRate
111. MK-CF-F-120 pctBaseMonthly
112. MK-CF-F-004 spendBuckets
113. MK-NW-F-119 estimatedAccrued
114. MK-NW-F-008 incomeBearingClassOf
115. MK-CF-F-003 categoryMonthly
116. MK-ST-F-010 nameEvidence
117. MK-XS-F-147 call
118. MK-XS-F-064 currentIdToken
119. MK-XS-F-112 relayUrl</t>
        </is>
      </c>
      <c r="R213"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MK-CF-F-128 grossByMonth → MK-CF-F-143 annualisedGross → MK-CF-F-145 deductionsFromPay → MK-CF-F-171 earnerPay → MK-CF-O-001 basePay → MK-CF-O-011 PAY
5. MK-CF-F-143 annualisedGross → MK-CF-F-144 takeHomeAsEntered → MK-CF-F-145 deductionsFromPay → MK-CF-F-171 earnerPay → MK-CF-O-001 basePay → MK-CF-O-011 PAY
6. MK-CF-F-142 monthsOf → MK-CF-F-144 takeHomeAsEntered → MK-CF-F-145 deductionsFromPay → MK-CF-F-171 earnerPay → MK-CF-O-001 basePay → MK-CF-O-011 PAY
7. MK-ST-F-039 on → MK-CF-F-144 takeHomeAsEntered → MK-CF-F-145 deductionsFromPay → MK-CF-F-171 earnerPay → MK-CF-O-001 basePay → MK-CF-O-011 PAY
8. MK-CF-F-101 taxOwedFor → MK-CF-F-144 takeHomeAsEntered → MK-CF-F-145 deductionsFromPay → MK-CF-F-171 earnerPay → MK-CF-O-001 basePay → MK-CF-O-011 PAY
9. … and 4 more paths</t>
        </is>
      </c>
      <c r="S213" s="3" t="inlineStr">
        <is>
          <t>—</t>
        </is>
      </c>
      <c r="T213" s="3" t="inlineStr">
        <is>
          <t>—</t>
        </is>
      </c>
      <c r="U213" s="3" t="inlineStr">
        <is>
          <t>ACTIVE</t>
        </is>
      </c>
      <c r="V213" s="3" t="inlineStr">
        <is>
          <t>2026-09-28</t>
        </is>
      </c>
      <c r="W213" s="3" t="n"/>
      <c r="X213" s="3" t="n"/>
      <c r="Y213" s="3" t="inlineStr">
        <is>
          <t>NOTHING OPEN</t>
        </is>
      </c>
    </row>
    <row r="214" ht="60" customHeight="1">
      <c r="A214" s="3" t="inlineStr">
        <is>
          <t>MK-CF-O-012</t>
        </is>
      </c>
      <c r="B214" s="3" t="inlineStr">
        <is>
          <t>PAY_ESTIMATED</t>
        </is>
      </c>
      <c r="C214" s="3" t="inlineStr">
        <is>
          <t>MoneyKeel/functions/cashflow/base-pay.ts</t>
        </is>
      </c>
      <c r="D214" s="3" t="n">
        <v>695</v>
      </c>
      <c r="E214" s="3" t="inlineStr">
        <is>
          <t>1 · ACTION</t>
        </is>
      </c>
      <c r="F214" s="3" t="inlineStr">
        <is>
          <t>Example only: runs basePay on the worked example household with the tax rate calculated.</t>
        </is>
      </c>
      <c r="G214" s="11" t="inlineStr">
        <is>
          <t>NOT READ YET — the body is not a shape this can render faithfully, so nothing is claimed rather than something being guessed. It needs reading by hand.</t>
        </is>
      </c>
      <c r="H214" s="3" t="inlineStr">
        <is>
          <t>NOT READ YET — the body is not a shape this can render faithfully, so nothing is claimed rather than something being guessed. It needs reading by hand.</t>
        </is>
      </c>
      <c r="I214" s="3" t="inlineStr">
        <is>
          <t>NOT READ — nothing is claimed rather than something guessed</t>
        </is>
      </c>
      <c r="J214" s="3" t="inlineStr">
        <is>
          <t>Nothing is handed to it</t>
        </is>
      </c>
      <c r="K214" s="3" t="inlineStr">
        <is>
          <t>EXAMPLE_EARNERS as any, filingStatus: 'married', over65: 0, profile:</t>
        </is>
      </c>
      <c r="L214" s="3" t="inlineStr">
        <is>
          <t>—</t>
        </is>
      </c>
      <c r="M214" s="3" t="inlineStr">
        <is>
          <t>None found in this function — anything it assumes comes from the functions it depends on.</t>
        </is>
      </c>
      <c r="N214" s="3" t="inlineStr">
        <is>
          <t>No</t>
        </is>
      </c>
      <c r="O214" s="3" t="inlineStr">
        <is>
          <t>MK-CF-O-001 basePay</t>
        </is>
      </c>
      <c r="P214" s="3" t="n">
        <v>119</v>
      </c>
      <c r="Q214"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MK-CF-F-148 inMonth
74. MK-CF-F-191 ym
75. MK-CF-F-022 paymentShape
76. MK-CF-F-152 isRadarItem
77. MK-CF-F-023 requiredPayment
78. MK-NW-F-078 ONE
79. MK-CF-F-157 debtPaymentsByDebt
80. MK-CF-F-192 inflowLabel
81. MK-XS-F-027 takeHomeMonthly
82. MK-CF-F-021 defaultPaymentType
83. MK-NW-F-077 ALL
84. MK-NW-F-059 currentYield
85. MK-NW-O-001 theBonds
86. MK-CF-F-193 inflowSourceWord
87. MK-CF-F-092 incomeMonthlyGrid
88. MK-CF-F-011 savingsByMonth
89. MK-NW-F-112 yearlyInterest
90. MK-ST-F-027 accountId
91. MK-NW-F-057 annualCoupon
92. MK-NW-F-056 bondInfo
93. MK-NW-F-064 bondRateSensitivity
94. MK-NW-F-061 bondSummary
95. MK-NW-F-055 isBond
96. MK-ST-F-065 isoLocalDate
97. MK-NW-F-072 rowOf
98. MK-CF-F-065 equityVestWeights
99. MK-CF-F-087 monthlyTaxRates
100. MK-CF-F-073 otherIncomeMonth
101. MK-CF-F-077 scholarshipByCalendarMonth
102. MK-CF-F-088 taxableByCalendarMonth
103. MK-PL-F-012 waterfall
104. MK-CF-F-008 spendByMonth
105. MK-NW-F-060 approxYTM
106. MK-NW-F-069 priceAtYield
107. MK-NW-F-011 assetClassOf
108. MK-NW-F-070 accruedInterestCaveat
109. MK-NW-F-058 yearsToMaturity
110. MK-CF-F-090 effectiveRate
111. MK-CF-F-120 pctBaseMonthly
112. MK-CF-F-004 spendBuckets
113. MK-NW-F-119 estimatedAccrued
114. MK-NW-F-008 incomeBearingClassOf
115. MK-CF-F-003 categoryMonthly
116. MK-ST-F-010 nameEvidence
117. MK-XS-F-147 call
118. MK-XS-F-064 currentIdToken
119. MK-XS-F-112 relayUrl</t>
        </is>
      </c>
      <c r="R214"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MK-CF-F-128 grossByMonth → MK-CF-F-143 annualisedGross → MK-CF-F-145 deductionsFromPay → MK-CF-F-171 earnerPay → MK-CF-O-001 basePay → MK-CF-O-012 PAY_ESTIMATED
5. MK-CF-F-143 annualisedGross → MK-CF-F-144 takeHomeAsEntered → MK-CF-F-145 deductionsFromPay → MK-CF-F-171 earnerPay → MK-CF-O-001 basePay → MK-CF-O-012 PAY_ESTIMATED
6. MK-CF-F-142 monthsOf → MK-CF-F-144 takeHomeAsEntered → MK-CF-F-145 deductionsFromPay → MK-CF-F-171 earnerPay → MK-CF-O-001 basePay → MK-CF-O-012 PAY_ESTIMATED
7. MK-ST-F-039 on → MK-CF-F-144 takeHomeAsEntered → MK-CF-F-145 deductionsFromPay → MK-CF-F-171 earnerPay → MK-CF-O-001 basePay → MK-CF-O-012 PAY_ESTIMATED
8. MK-CF-F-101 taxOwedFor → MK-CF-F-144 takeHomeAsEntered → MK-CF-F-145 deductionsFromPay → MK-CF-F-171 earnerPay → MK-CF-O-001 basePay → MK-CF-O-012 PAY_ESTIMATED
9. … and 4 more paths</t>
        </is>
      </c>
      <c r="S214" s="3" t="inlineStr">
        <is>
          <t>—</t>
        </is>
      </c>
      <c r="T214" s="3" t="inlineStr">
        <is>
          <t>—</t>
        </is>
      </c>
      <c r="U214" s="3" t="inlineStr">
        <is>
          <t>ACTIVE</t>
        </is>
      </c>
      <c r="V214" s="3" t="inlineStr">
        <is>
          <t>2026-09-28</t>
        </is>
      </c>
      <c r="W214" s="3" t="n"/>
      <c r="X214" s="3" t="n"/>
      <c r="Y214" s="3" t="inlineStr">
        <is>
          <t>NOTHING OPEN</t>
        </is>
      </c>
    </row>
    <row r="215" ht="60" customHeight="1">
      <c r="A215" s="3" t="inlineStr">
        <is>
          <t>MK-CF-O-013</t>
        </is>
      </c>
      <c r="B215" s="3" t="inlineStr">
        <is>
          <t>PAY_LANDS_TYPED</t>
        </is>
      </c>
      <c r="C215" s="3" t="inlineStr">
        <is>
          <t>MoneyKeel/functions/cashflow/base-pay.ts</t>
        </is>
      </c>
      <c r="D215" s="3" t="n">
        <v>715</v>
      </c>
      <c r="E215" s="3" t="inlineStr">
        <is>
          <t>1 · ACTION</t>
        </is>
      </c>
      <c r="F215" s="3" t="inlineStr">
        <is>
          <t>Example only: runs basePay on the worked example household with the take-home entered.</t>
        </is>
      </c>
      <c r="G215" s="11" t="inlineStr">
        <is>
          <t>NOT READ YET — the body is not a shape this can render faithfully, so nothing is claimed rather than something being guessed. It needs reading by hand.</t>
        </is>
      </c>
      <c r="H215" s="3" t="inlineStr">
        <is>
          <t>NOT READ YET — the body is not a shape this can render faithfully, so nothing is claimed rather than something being guessed. It needs reading by hand.</t>
        </is>
      </c>
      <c r="I215" s="3" t="inlineStr">
        <is>
          <t>NOT READ — nothing is claimed rather than something guessed</t>
        </is>
      </c>
      <c r="J215" s="3" t="inlineStr">
        <is>
          <t>Nothing is handed to it</t>
        </is>
      </c>
      <c r="K215" s="3" t="inlineStr">
        <is>
          <t>EXAMPLE_EARNERS_WITH_LANDS as any, filingStatus: 'married', over65: 0, profile:</t>
        </is>
      </c>
      <c r="L215" s="3" t="inlineStr">
        <is>
          <t>—</t>
        </is>
      </c>
      <c r="M215" s="3" t="inlineStr">
        <is>
          <t>None found in this function — anything it assumes comes from the functions it depends on.</t>
        </is>
      </c>
      <c r="N215" s="3" t="inlineStr">
        <is>
          <t>No</t>
        </is>
      </c>
      <c r="O215" s="3" t="inlineStr">
        <is>
          <t>1. MK-CF-O-011 PAY
2. MK-CF-O-012 PAY_ESTIMATED
3. MK-CF-O-001 basePay
4. MK-XS-F-180 declareFigures
5. MK-ST-F-039 on</t>
        </is>
      </c>
      <c r="P215" s="3" t="n">
        <v>121</v>
      </c>
      <c r="Q215"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MK-CF-F-173 earnerWages
29. MK-CF-F-180 enteredLandsAnnual
30. MK-CF-F-085 filingStatusOf
31. MK-CF-F-206 householdK401ByMonth
32. MK-CF-F-089 over65CountOf
33. MK-CF-F-082 salaryAnnual
34. MK-CF-F-086 stateRateOf
35. MK-CF-F-101 taxOwedFor
36. MK-CF-F-084 taxableAnnual
37. MK-CF-F-142 monthsOf
38. MK-CF-F-141 perMonth
39. MK-ST-F-056 has
40. MK-CF-O-010 theMonth
41. MK-CF-F-099 deductionFor
42. MK-ST-F-048 currencySymbol
43. MK-CF-F-172 hasWage
44. MK-CF-F-176 sumMonthsOverEarners
45. MK-CF-F-177 wageGrossByMonth
46. MK-CF-F-060 salaryGrossByMonth
47. MK-CF-F-072 currentRetirementIncomeMonthly
48. MK-CF-F-071 extraIncome
49. MK-CF-F-068 rentalNetAnnual
50. MK-CF-F-066 rsuAnnual
51. MK-CF-F-074 tipsAnnual
52. MK-CF-F-140 periodsAYear
53. MK-CF-O-002 expenses
54. MK-CF-O-003 thisMonth
55. MK-CF-F-187 seniorDeductionFor
56. MK-ST-F-047 activeCurrency
57. MK-CF-F-130 enteredMonthlyRaw
58. MK-CF-F-166 hasMonthlySalaryTable
59. MK-ST-F-036 reconcile
60. MK-CF-F-167 salaryCalendarYear
61. MK-CF-F-075 retirementIncomeMonthly
62. MK-CF-F-070 benefitAnnual
63. MK-CF-F-067 rentalList
64. MK-CF-F-062 equityRowValue
65. MK-CF-F-063 rowVestYear
66. MK-CF-F-081 salaryActiveMonths
67. MK-CF-F-151 actualSpending
68. MK-CF-F-150 debtPaymentsCountedAsExpenses
69. MK-CF-F-153 radar
70. MK-CF-F-149 recurringDebtPayments
71. MK-CF-F-005 actualMonthFlow
72. MK-CF-F-156 plannedMonthFlow
73. MK-CF-F-165 salaryMonths
74. MK-CF-F-069 benefitActiveMonths
75. MK-CF-F-148 inMonth
76. MK-CF-F-191 ym
77. MK-CF-F-022 paymentShape
78. MK-CF-F-152 isRadarItem
79. MK-CF-F-023 requiredPayment
80. MK-NW-F-078 ONE
81. MK-CF-F-157 debtPaymentsByDebt
82. MK-CF-F-192 inflowLabel
83. MK-XS-F-027 takeHomeMonthly
84. MK-CF-F-021 defaultPaymentType
85. MK-NW-F-077 ALL
86. MK-NW-F-059 currentYield
87. MK-NW-O-001 theBonds
88. MK-CF-F-193 inflowSourceWord
89. MK-CF-F-092 incomeMonthlyGrid
90. MK-CF-F-011 savingsByMonth
91. MK-NW-F-112 yearlyInterest
92. MK-ST-F-027 accountId
93. MK-NW-F-057 annualCoupon
94. MK-NW-F-056 bondInfo
95. MK-NW-F-064 bondRateSensitivity
96. MK-NW-F-061 bondSummary
97. MK-NW-F-055 isBond
98. MK-ST-F-065 isoLocalDate
99. MK-NW-F-072 rowOf
100. MK-CF-F-065 equityVestWeights
101. MK-CF-F-087 monthlyTaxRates
102. MK-CF-F-073 otherIncomeMonth
103. MK-CF-F-077 scholarshipByCalendarMonth
104. MK-CF-F-088 taxableByCalendarMonth
105. MK-PL-F-012 waterfall
106. MK-CF-F-008 spendByMonth
107. MK-NW-F-060 approxYTM
108. MK-NW-F-069 priceAtYield
109. MK-NW-F-011 assetClassOf
110. MK-NW-F-070 accruedInterestCaveat
111. MK-NW-F-058 yearsToMaturity
112. MK-CF-F-090 effectiveRate
113. MK-CF-F-120 pctBaseMonthly
114. MK-CF-F-004 spendBuckets
115. MK-NW-F-119 estimatedAccrued
116. MK-NW-F-008 incomeBearingClassOf
117. MK-CF-F-003 categoryMonthly
118. MK-ST-F-010 nameEvidence
119. MK-XS-F-147 call
120. MK-XS-F-064 currentIdToken
121. MK-XS-F-112 relayUrl</t>
        </is>
      </c>
      <c r="R215" s="3" t="inlineStr">
        <is>
          <t>1. MK-ST-F-034 firstDate → MK-ST-F-035 covers → MK-CF-O-001 basePay → MK-CF-O-011 PAY → MK-CF-O-013 PAY_LANDS_TYPED
2. MK-CF-F-128 grossByMonth → MK-CF-F-143 annualisedGross → MK-CF-F-171 earnerPay → MK-CF-O-001 basePay → MK-CF-O-011 PAY → MK-CF-O-013 PAY_LANDS_TYPED
3. MK-CF-F-143 annualisedGross → MK-CF-F-145 deductionsFromPay → MK-CF-F-171 earnerPay → MK-CF-O-001 basePay → MK-CF-O-011 PAY → MK-CF-O-013 PAY_LANDS_TYPED
4. MK-CF-F-144 takeHomeAsEntered → MK-CF-F-145 deductionsFromPay → MK-CF-F-171 earnerPay → MK-CF-O-001 basePay → MK-CF-O-011 PAY → MK-CF-O-013 PAY_LANDS_TYPED
5. MK-ST-F-052 toNum → MK-CF-F-145 deductionsFromPay → MK-CF-F-171 earnerPay → MK-CF-O-001 basePay → MK-CF-O-011 PAY → MK-CF-O-013 PAY_LANDS_TYPED
6. MK-CF-F-142 monthsOf → MK-CF-F-128 grossByMonth → MK-CF-F-171 earnerPay → MK-CF-O-001 basePay → MK-CF-O-011 PAY → MK-CF-O-013 PAY_LANDS_TYPED
7. MK-CF-F-141 perMonth → MK-CF-F-128 grossByMonth → MK-CF-F-171 earnerPay → MK-CF-O-001 basePay → MK-CF-O-011 PAY → MK-CF-O-013 PAY_LANDS_TYPED
8. MK-ST-F-049 formatMoney → MK-ST-F-053 money → MK-CF-F-171 earnerPay → MK-CF-O-001 basePay → MK-CF-O-011 PAY → MK-CF-O-013 PAY_LANDS_TYPED
9. … and 5 more paths</t>
        </is>
      </c>
      <c r="S215" s="3" t="inlineStr">
        <is>
          <t>—</t>
        </is>
      </c>
      <c r="T215" s="3" t="inlineStr">
        <is>
          <t>—</t>
        </is>
      </c>
      <c r="U215" s="3" t="inlineStr">
        <is>
          <t>ACTIVE</t>
        </is>
      </c>
      <c r="V215" s="3" t="inlineStr">
        <is>
          <t>2026-09-28</t>
        </is>
      </c>
      <c r="W215" s="3" t="n"/>
      <c r="X215" s="3" t="n"/>
      <c r="Y215" s="3" t="inlineStr">
        <is>
          <t>NOTHING OPEN</t>
        </is>
      </c>
    </row>
    <row r="216" ht="60" customHeight="1">
      <c r="A216" s="3" t="inlineStr">
        <is>
          <t>MK-CF-O-014</t>
        </is>
      </c>
      <c r="B216" s="3" t="inlineStr">
        <is>
          <t>M</t>
        </is>
      </c>
      <c r="C216" s="3" t="inlineStr">
        <is>
          <t>MoneyKeel/functions/cashflow/this-month.ts</t>
        </is>
      </c>
      <c r="D216" s="3" t="n">
        <v>484</v>
      </c>
      <c r="E216" s="3" t="inlineStr">
        <is>
          <t>1 · ACTION</t>
        </is>
      </c>
      <c r="F216" s="3" t="inlineStr">
        <is>
          <t>Example only: runs thisMonth on the worked example and calculates nothing of its own.</t>
        </is>
      </c>
      <c r="G216" s="11" t="inlineStr">
        <is>
          <t>this month(EXAMPLE)</t>
        </is>
      </c>
      <c r="H216" s="3" t="inlineStr">
        <is>
          <t>this month(EXAMPLE)</t>
        </is>
      </c>
      <c r="I216" s="3" t="inlineStr">
        <is>
          <t>READ FROM THE CODE — rendered from the expressions the function runs</t>
        </is>
      </c>
      <c r="J216" s="3" t="inlineStr">
        <is>
          <t>Nothing is handed to it</t>
        </is>
      </c>
      <c r="K216" s="3" t="inlineStr">
        <is>
          <t>NOT DECLARED — the code does not say what it gives back</t>
        </is>
      </c>
      <c r="L216" s="3" t="inlineStr">
        <is>
          <t>—</t>
        </is>
      </c>
      <c r="M216" s="3" t="inlineStr">
        <is>
          <t>None found in this function — anything it assumes comes from the functions it depends on.</t>
        </is>
      </c>
      <c r="N216" s="3" t="inlineStr">
        <is>
          <t>No</t>
        </is>
      </c>
      <c r="O216" s="3" t="inlineStr">
        <is>
          <t>MK-CF-O-003 thisMonth</t>
        </is>
      </c>
      <c r="P216" s="3" t="n">
        <v>102</v>
      </c>
      <c r="Q216"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MK-NW-F-077 ALL
15. MK-NW-F-059 currentYield
16. MK-XS-F-180 declareFigures
17. MK-ST-F-049 formatMoney
18. MK-ST-F-053 money
19. MK-NW-O-001 theBonds
20. MK-XS-F-122 n
21. MK-CF-F-203 MONTH
22. MK-CF-F-132 map
23. MK-CF-F-193 inflowSourceWord
24. MK-CF-F-022 paymentShape
25. MK-CF-F-092 incomeMonthlyGrid
26. MK-CF-F-011 savingsByMonth
27. MK-NW-F-112 yearlyInterest
28. MK-ST-F-048 currencySymbol
29. MK-ST-F-039 on
30. MK-ST-F-027 accountId
31. MK-NW-F-057 annualCoupon
32. MK-NW-F-056 bondInfo
33. MK-NW-F-064 bondRateSensitivity
34. MK-NW-F-061 bondSummary
35. MK-NW-F-055 isBond
36. MK-ST-F-065 isoLocalDate
37. MK-NW-F-072 rowOf
38. MK-CF-O-010 theMonth
39. MK-CF-F-021 defaultPaymentType
40. MK-CF-F-069 benefitActiveMonths
41. MK-CF-F-072 currentRetirementIncomeMonthly
42. MK-CF-F-173 earnerWages
43. MK-CF-F-065 equityVestWeights
44. MK-CF-F-071 extraIncome
45. MK-ST-F-056 has
46. MK-CF-F-206 householdK401ByMonth
47. MK-CF-F-087 monthlyTaxRates
48. MK-CF-F-073 otherIncomeMonth
49. MK-CF-F-181 rateInForce
50. MK-CF-F-068 rentalNetAnnual
51. MK-CF-F-066 rsuAnnual
52. MK-CF-F-060 salaryGrossByMonth
53. MK-CF-F-077 scholarshipByCalendarMonth
54. MK-CF-F-088 taxableByCalendarMonth
55. MK-CF-F-177 wageGrossByMonth
56. MK-PL-F-012 waterfall
57. MK-CF-F-008 spendByMonth
58. MK-ST-F-047 activeCurrency
59. MK-NW-F-060 approxYTM
60. MK-NW-F-069 priceAtYield
61. MK-NW-F-011 assetClassOf
62. MK-NW-F-070 accruedInterestCaveat
63. MK-NW-F-058 yearsToMaturity
64. MK-CF-O-002 expenses
65. MK-CF-F-075 retirementIncomeMonthly
66. MK-CF-F-172 hasWage
67. MK-CF-F-062 equityRowValue
68. MK-CF-F-070 benefitAnnual
69. MK-CF-F-176 sumMonthsOverEarners
70. MK-CF-F-090 effectiveRate
71. MK-CF-F-180 enteredLandsAnnual
72. MK-CF-F-085 filingStatusOf
73. MK-CF-F-089 over65CountOf
74. MK-CF-F-082 salaryAnnual
75. MK-CF-F-086 stateRateOf
76. MK-CF-F-101 taxOwedFor
77. MK-CF-F-084 taxableAnnual
78. MK-CF-F-067 rentalList
79. MK-CF-F-063 rowVestYear
80. MK-CF-F-130 enteredMonthlyRaw
81. MK-CF-F-166 hasMonthlySalaryTable
82. MK-ST-F-036 reconcile
83. MK-CF-F-167 salaryCalendarYear
84. MK-CF-F-120 pctBaseMonthly
85. MK-CF-F-004 spendBuckets
86. MK-NW-F-119 estimatedAccrued
87. MK-NW-F-008 incomeBearingClassOf
88. MK-CF-F-151 actualSpending
89. MK-CF-F-150 debtPaymentsCountedAsExpenses
90. MK-CF-F-153 radar
91. MK-CF-F-149 recurringDebtPayments
92. MK-CF-F-100 taxableIncomeFor
93. MK-CF-F-074 tipsAnnual
94. MK-CF-F-165 salaryMonths
95. MK-CF-F-003 categoryMonthly
96. MK-ST-F-010 nameEvidence
97. MK-CF-F-099 deductionFor
98. MK-CF-F-081 salaryActiveMonths
99. MK-XS-F-147 call
100. MK-CF-F-187 seniorDeductionFor
101. MK-XS-F-064 currentIdToken
102. MK-XS-F-112 relayUrl</t>
        </is>
      </c>
      <c r="R216" s="3" t="inlineStr">
        <is>
          <t>1. MK-NW-O-001 theBonds → MK-NW-F-077 ALL → MK-NW-F-078 ONE → MK-CF-F-005 actualMonthFlow → MK-CF-O-003 thisMonth → MK-CF-O-014 M
2. MK-NW-F-112 yearlyInterest → MK-NW-F-059 currentYield → MK-NW-F-078 ONE → MK-CF-F-005 actualMonthFlow → MK-CF-O-003 thisMonth → MK-CF-O-014 M
3. MK-XS-F-180 declareFigures → MK-NW-F-078 ONE → MK-CF-F-005 actualMonthFlow → MK-CF-O-003 thisMonth → MK-CF-O-014 M
4. MK-ST-F-048 currencySymbol → MK-ST-F-049 formatMoney → MK-NW-F-078 ONE → MK-CF-F-005 actualMonthFlow → MK-CF-O-003 thisMonth → MK-CF-O-014 M
5. MK-XS-F-122 n → MK-ST-F-049 formatMoney → MK-NW-F-078 ONE → MK-CF-F-005 actualMonthFlow → MK-CF-O-003 thisMonth → MK-CF-O-014 M
6. MK-ST-F-039 on → MK-ST-F-049 formatMoney → MK-NW-F-078 ONE → MK-CF-F-005 actualMonthFlow → MK-CF-O-003 thisMonth → MK-CF-O-014 M
7. MK-ST-F-049 formatMoney → MK-ST-F-053 money → MK-NW-F-078 ONE → MK-CF-F-005 actualMonthFlow → MK-CF-O-003 thisMonth → MK-CF-O-014 M
8. MK-XS-F-122 n → MK-ST-F-053 money → MK-NW-F-078 ONE → MK-CF-F-005 actualMonthFlow → MK-CF-O-003 thisMonth → MK-CF-O-014 M
9. … and 4 more paths</t>
        </is>
      </c>
      <c r="S216" s="3" t="inlineStr">
        <is>
          <t>—</t>
        </is>
      </c>
      <c r="T216" s="3" t="inlineStr">
        <is>
          <t>—</t>
        </is>
      </c>
      <c r="U216" s="3" t="inlineStr">
        <is>
          <t>ACTIVE</t>
        </is>
      </c>
      <c r="V216" s="3" t="inlineStr">
        <is>
          <t>2026-09-28</t>
        </is>
      </c>
      <c r="W216" s="3" t="n"/>
      <c r="X216" s="3" t="n"/>
      <c r="Y216" s="3" t="inlineStr">
        <is>
          <t>NOTHING OPEN</t>
        </is>
      </c>
    </row>
    <row r="217" ht="60" customHeight="1">
      <c r="A217" s="3" t="inlineStr">
        <is>
          <t>MK-CF-O-015</t>
        </is>
      </c>
      <c r="B217" s="3" t="inlineStr">
        <is>
          <t>workedLineAmount</t>
        </is>
      </c>
      <c r="C217" s="3" t="inlineStr">
        <is>
          <t>MoneyKeel/functions/cashflow/this-month.ts</t>
        </is>
      </c>
      <c r="D217" s="3" t="n">
        <v>504</v>
      </c>
      <c r="E217" s="3" t="inlineStr">
        <is>
          <t>1 · ACTION</t>
        </is>
      </c>
      <c r="F217" s="3" t="inlineStr">
        <is>
          <t>Example only: reads one row's amount from the worked example of the month.</t>
        </is>
      </c>
      <c r="G217" s="11" t="inlineStr">
        <is>
          <t>NOT READ YET — the body is not a shape this can render faithfully, so nothing is claimed rather than something being guessed. It needs reading by hand.</t>
        </is>
      </c>
      <c r="H217" s="3" t="inlineStr">
        <is>
          <t>NOT READ YET — the body is not a shape this can render faithfully, so nothing is claimed rather than something being guessed. It needs reading by hand.</t>
        </is>
      </c>
      <c r="I217" s="3" t="inlineStr">
        <is>
          <t>NOT READ — nothing is claimed rather than something guessed</t>
        </is>
      </c>
      <c r="J217" s="3" t="inlineStr">
        <is>
          <t>1. block: 'planned' | 'actual'
2. startsWith: string</t>
        </is>
      </c>
      <c r="K217" s="3" t="inlineStr">
        <is>
          <t>NOT DECLARED — the code does not say what it gives back</t>
        </is>
      </c>
      <c r="L217" s="3" t="inlineStr">
        <is>
          <t>—</t>
        </is>
      </c>
      <c r="M217" s="3" t="inlineStr">
        <is>
          <t>None found in this function — anything it assumes comes from the functions it depends on.</t>
        </is>
      </c>
      <c r="N217" s="3" t="inlineStr">
        <is>
          <t>No</t>
        </is>
      </c>
      <c r="O217" s="3" t="inlineStr">
        <is>
          <t>1. MK-CF-O-014 M
2. MK-XS-F-180 declareFigures</t>
        </is>
      </c>
      <c r="P217" s="3" t="n">
        <v>103</v>
      </c>
      <c r="Q217"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MK-NW-F-077 ALL
17. MK-NW-F-059 currentYield
18. MK-ST-F-049 formatMoney
19. MK-ST-F-053 money
20. MK-NW-O-001 theBonds
21. MK-XS-F-122 n
22. MK-CF-F-203 MONTH
23. MK-CF-F-132 map
24. MK-CF-F-193 inflowSourceWord
25. MK-CF-F-022 paymentShape
26. MK-CF-F-092 incomeMonthlyGrid
27. MK-CF-F-011 savingsByMonth
28. MK-NW-F-112 yearlyInterest
29. MK-ST-F-048 currencySymbol
30. MK-ST-F-039 on
31. MK-ST-F-027 accountId
32. MK-NW-F-057 annualCoupon
33. MK-NW-F-056 bondInfo
34. MK-NW-F-064 bondRateSensitivity
35. MK-NW-F-061 bondSummary
36. MK-NW-F-055 isBond
37. MK-ST-F-065 isoLocalDate
38. MK-NW-F-072 rowOf
39. MK-CF-O-010 theMonth
40. MK-CF-F-021 defaultPaymentType
41. MK-CF-F-069 benefitActiveMonths
42. MK-CF-F-072 currentRetirementIncomeMonthly
43. MK-CF-F-173 earnerWages
44. MK-CF-F-065 equityVestWeights
45. MK-CF-F-071 extraIncome
46. MK-ST-F-056 has
47. MK-CF-F-206 householdK401ByMonth
48. MK-CF-F-087 monthlyTaxRates
49. MK-CF-F-073 otherIncomeMonth
50. MK-CF-F-181 rateInForce
51. MK-CF-F-068 rentalNetAnnual
52. MK-CF-F-066 rsuAnnual
53. MK-CF-F-060 salaryGrossByMonth
54. MK-CF-F-077 scholarshipByCalendarMonth
55. MK-CF-F-088 taxableByCalendarMonth
56. MK-CF-F-177 wageGrossByMonth
57. MK-PL-F-012 waterfall
58. MK-CF-F-008 spendByMonth
59. MK-ST-F-047 activeCurrency
60. MK-NW-F-060 approxYTM
61. MK-NW-F-069 priceAtYield
62. MK-NW-F-011 assetClassOf
63. MK-NW-F-070 accruedInterestCaveat
64. MK-NW-F-058 yearsToMaturity
65. MK-CF-O-002 expenses
66. MK-CF-F-075 retirementIncomeMonthly
67. MK-CF-F-172 hasWage
68. MK-CF-F-062 equityRowValue
69. MK-CF-F-070 benefitAnnual
70. MK-CF-F-176 sumMonthsOverEarners
71. MK-CF-F-090 effectiveRate
72. MK-CF-F-180 enteredLandsAnnual
73. MK-CF-F-085 filingStatusOf
74. MK-CF-F-089 over65CountOf
75. MK-CF-F-082 salaryAnnual
76. MK-CF-F-086 stateRateOf
77. MK-CF-F-101 taxOwedFor
78. MK-CF-F-084 taxableAnnual
79. MK-CF-F-067 rentalList
80. MK-CF-F-063 rowVestYear
81. MK-CF-F-130 enteredMonthlyRaw
82. MK-CF-F-166 hasMonthlySalaryTable
83. MK-ST-F-036 reconcile
84. MK-CF-F-167 salaryCalendarYear
85. MK-CF-F-120 pctBaseMonthly
86. MK-CF-F-004 spendBuckets
87. MK-NW-F-119 estimatedAccrued
88. MK-NW-F-008 incomeBearingClassOf
89. MK-CF-F-151 actualSpending
90. MK-CF-F-150 debtPaymentsCountedAsExpenses
91. MK-CF-F-153 radar
92. MK-CF-F-149 recurringDebtPayments
93. MK-CF-F-100 taxableIncomeFor
94. MK-CF-F-074 tipsAnnual
95. MK-CF-F-165 salaryMonths
96. MK-CF-F-003 categoryMonthly
97. MK-ST-F-010 nameEvidence
98. MK-CF-F-099 deductionFor
99. MK-CF-F-081 salaryActiveMonths
100. MK-XS-F-147 call
101. MK-CF-F-187 seniorDeductionFor
102. MK-XS-F-064 currentIdToken
103. MK-XS-F-112 relayUrl</t>
        </is>
      </c>
      <c r="R217" s="3" t="inlineStr">
        <is>
          <t>1. MK-NW-F-077 ALL → MK-NW-F-078 ONE → MK-CF-F-005 actualMonthFlow → MK-CF-O-003 thisMonth → MK-CF-O-014 M → MK-CF-O-015 workedLineAmount
2. MK-NW-F-059 currentYield → MK-NW-F-078 ONE → MK-CF-F-005 actualMonthFlow → MK-CF-O-003 thisMonth → MK-CF-O-014 M → MK-CF-O-015 workedLineAmount
3. MK-XS-F-180 declareFigures → MK-NW-F-078 ONE → MK-CF-F-005 actualMonthFlow → MK-CF-O-003 thisMonth → MK-CF-O-014 M → MK-CF-O-015 workedLineAmount
4. MK-ST-F-049 formatMoney → MK-NW-F-078 ONE → MK-CF-F-005 actualMonthFlow → MK-CF-O-003 thisMonth → MK-CF-O-014 M → MK-CF-O-015 workedLineAmount
5. MK-ST-F-053 money → MK-NW-F-078 ONE → MK-CF-F-005 actualMonthFlow → MK-CF-O-003 thisMonth → MK-CF-O-014 M → MK-CF-O-015 workedLineAmount
6. MK-NW-O-001 theBonds → MK-NW-F-078 ONE → MK-CF-F-005 actualMonthFlow → MK-CF-O-003 thisMonth → MK-CF-O-014 M → MK-CF-O-015 workedLineAmount
7. MK-XS-F-122 n → MK-CF-F-155 cash → MK-CF-F-005 actualMonthFlow → MK-CF-O-003 thisMonth → MK-CF-O-014 M → MK-CF-O-015 workedLineAmount
8. MK-CF-F-203 MONTH → MK-CF-F-157 debtPaymentsByDebt → MK-CF-F-005 actualMonthFlow → MK-CF-O-003 thisMonth → MK-CF-O-014 M → MK-CF-O-015 workedLineAmount
9. … and 5 more paths</t>
        </is>
      </c>
      <c r="S217" s="3" t="inlineStr">
        <is>
          <t>—</t>
        </is>
      </c>
      <c r="T217" s="3" t="inlineStr">
        <is>
          <t>—</t>
        </is>
      </c>
      <c r="U217" s="3" t="inlineStr">
        <is>
          <t>ACTIVE</t>
        </is>
      </c>
      <c r="V217" s="3" t="inlineStr">
        <is>
          <t>2026-09-28</t>
        </is>
      </c>
      <c r="W217" s="3" t="n"/>
      <c r="X217" s="3" t="n"/>
      <c r="Y217" s="3" t="inlineStr">
        <is>
          <t>NOTHING OPEN</t>
        </is>
      </c>
    </row>
    <row r="218" ht="60" customHeight="1">
      <c r="A218" s="3" t="inlineStr">
        <is>
          <t>MK-CF-O-016</t>
        </is>
      </c>
      <c r="B218" s="3" t="inlineStr">
        <is>
          <t>incomeSources</t>
        </is>
      </c>
      <c r="C218" s="3" t="inlineStr">
        <is>
          <t>MoneyKeel/functions/cashflow/income-summary.ts</t>
        </is>
      </c>
      <c r="D218" s="3" t="n">
        <v>480</v>
      </c>
      <c r="E218" s="3" t="inlineStr">
        <is>
          <t>3 · DEPENDENT</t>
        </is>
      </c>
      <c r="F218" s="3" t="inlineStr">
        <is>
          <t>Which sources of income has this household entered, and what does each one bring in?</t>
        </is>
      </c>
      <c r="G218" s="11" t="inlineStr">
        <is>
          <t>o = (op ?? {}) as any
out = []
wages = earner wages(o)
varies = string((w as any).salary mode) = 'varies' (or !!(w as any).salary by month when missing or zero)
whose = 'You'   if w = o
spouse name (or 'Spouse' when missing or zero)   otherwise   if wages.length &gt; 1
nothing   otherwise
m = bonus month read as a number
vesting = rsu annual(o)
rent = rental net annual(o)
guaranteed = retirement income monthly(o)
the answer = out</t>
        </is>
      </c>
      <c r="H218" s="3" t="inlineStr">
        <is>
          <t>O is (op ?? {}) as any. Out is []. Wages is earner wages(o). Varies is string((w as any).salary mode) = 'varies' (or !!(w as any).salary by month — when missing or zero). Whose is 'You' — when w = o; spouse name (or 'Spouse' when missing or zero) — otherwise — when wages.length &gt; 1; no answer — otherwise. M is bonus month read as a number. Vesting is rsu annual(o). Rent is rental net annual(o). Guaranteed is retirement income monthly(o). The answer is out.</t>
        </is>
      </c>
      <c r="I218" s="3" t="inlineStr">
        <is>
          <t>PARTLY READ — some of the code is still showing through; needs a hand pass</t>
        </is>
      </c>
      <c r="J218" s="3" t="inlineStr">
        <is>
          <t>op: Record&lt;string, any&gt; | null</t>
        </is>
      </c>
      <c r="K218" s="3" t="inlineStr">
        <is>
          <t>IncomeSource[]</t>
        </is>
      </c>
      <c r="L218" s="3" t="inlineStr">
        <is>
          <t>—</t>
        </is>
      </c>
      <c r="M218" s="3" t="inlineStr">
        <is>
          <t>None found in this function — anything it assumes comes from the functions it depends on.</t>
        </is>
      </c>
      <c r="N218" s="3" t="inlineStr">
        <is>
          <t>Yes</t>
        </is>
      </c>
      <c r="O218" s="3" t="inlineStr">
        <is>
          <t>1. MK-CF-F-207 SOURCE
2. MK-CF-F-072 currentRetirementIncomeMonthly
3. MK-CF-F-173 earnerWages
4. MK-CF-F-068 rentalNetAnnual
5. MK-CF-F-075 retirementIncomeMonthly
6. MK-CF-F-066 rsuAnnual
7. MK-ST-F-052 toNum</t>
        </is>
      </c>
      <c r="P218" s="3" t="n">
        <v>25</v>
      </c>
      <c r="Q218" s="3" t="inlineStr">
        <is>
          <t>1. MK-CF-F-207 SOURCE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18" s="3" t="inlineStr">
        <is>
          <t>1. incomeSources (already above — a loop) → MK-CF-F-207 SOURCE → MK-CF-O-016 incomeSources
2. MK-XS-F-122 n → MK-ST-F-052 toNum → MK-CF-F-075 retirementIncomeMonthly → MK-CF-F-072 currentRetirementIncomeMonthly → MK-CF-O-016 incomeSources
3. MK-ST-F-056 has → MK-CF-F-172 hasWage → MK-CF-F-173 earnerWages → MK-CF-O-016 incomeSources
4. MK-CF-F-191 ym → MK-CF-F-148 inMonth → MK-CF-F-151 actualSpending → MK-CF-O-002 expenses → MK-CF-F-068 rentalNetAnnual → MK-CF-O-016 incomeSources
5. MK-XS-F-122 n → MK-ST-F-052 toNum → MK-CF-F-151 actualSpending → MK-CF-O-002 expenses → MK-CF-F-068 rentalNetAnnual → MK-CF-O-016 incomeSources
6. MK-CF-F-191 ym → MK-CF-F-151 actualSpending → MK-CF-O-002 expenses → MK-CF-F-068 rentalNetAnnual → MK-CF-O-016 incomeSources
7. MK-ST-F-056 has → MK-CF-F-150 debtPaymentsCountedAsExpenses → MK-CF-O-002 expenses → MK-CF-F-068 rentalNetAnnual → MK-CF-O-016 incomeSources
8. MK-CF-F-191 ym → MK-CF-F-148 inMonth → MK-CF-F-150 debtPaymentsCountedAsExpenses → MK-CF-O-002 expenses → MK-CF-F-068 rentalNetAnnual → MK-CF-O-016 incomeSources
9. … and 5 more paths</t>
        </is>
      </c>
      <c r="S218" s="3" t="inlineStr">
        <is>
          <t>—</t>
        </is>
      </c>
      <c r="T218" s="3" t="inlineStr">
        <is>
          <t>—</t>
        </is>
      </c>
      <c r="U218" s="3" t="inlineStr">
        <is>
          <t>ACTIVE</t>
        </is>
      </c>
      <c r="V218" s="3" t="inlineStr">
        <is>
          <t>2026-10-02</t>
        </is>
      </c>
      <c r="W218" s="3" t="n"/>
      <c r="X218" s="3" t="n"/>
      <c r="Y218" s="3" t="inlineStr">
        <is>
          <t>NOTHING OPEN</t>
        </is>
      </c>
    </row>
    <row r="219" ht="60" customHeight="1">
      <c r="A219" s="3" t="inlineStr">
        <is>
          <t>MK-CF-O-017</t>
        </is>
      </c>
      <c r="B219" s="3" t="inlineStr">
        <is>
          <t>futurePaycheck</t>
        </is>
      </c>
      <c r="C219" s="3" t="inlineStr">
        <is>
          <t>MoneyKeel/functions/cashflow/future-paycheck.ts</t>
        </is>
      </c>
      <c r="D219" s="3" t="n">
        <v>67</v>
      </c>
      <c r="E219" s="3" t="inlineStr">
        <is>
          <t>2 · DISPLAYED</t>
        </is>
      </c>
      <c r="F219" s="3" t="inlineStr">
        <is>
          <t>About what would a month bring in at retirement: the guaranteed income plus a level draw from savings?</t>
        </is>
      </c>
      <c r="G219" s="11" t="inlineStr">
        <is>
          <t>age = age from profile(op)
retire age = A.retire age (or op.target retirement age read as a number (or 67 when missing or zero) when missing)
guaranteed = Σ over guaranteed outside streams(op) of (monthly)
nothing   when age = nothing (or age ≥ retire age when missing or zero)
inputs = will it last inputs({ op, accounts: input.accounts ?? [], assumptions: A, big costs: input.big costs, inflation rate: input.inflation rate, employment status: input.employment status } as any)
nothing   when inputs is missing (or inputs.start balance ≤ 0 when missing or zero)
projected egg = simulate(inputs).projected at retirement
nothing   when projected egg is missing (or projected egg ≤ 0 when missing or zero)
the answer:
retire age = retire age
monthly = round(guaranteed + proj year.draw from savings monthly)
guaranteed = round(guaranteed)
draw = round(proj year.draw from savings monthly)</t>
        </is>
      </c>
      <c r="H219" s="3" t="inlineStr">
        <is>
          <t>Age is age from profile(op). Retire age is A.retire age (or op.target retirement age read as a number (or 67 — when missing or zero) — when missing). Guaranteed: the monthly added up across guaranteed outside streams(op). When age is missing (or age is at least retire age — when missing or zero), it answers no answer. Inputs is will it last inputs({ op, accounts: input.accounts ?? [], assumptions: A, big costs: input.big costs, inflation rate: input.inflation rate, employment status: input.employment status } as any). When inputs is missing (or inputs.start balance is at most 0 — when missing or zero), it answers no answer. Projected egg is simulate(inputs).projected at retirement. When projected egg is missing (or projected egg is at most 0 — when missing or zero), it answers no answer. The answer is retire age = retire age; monthly = guaranteed plus proj year.draw from savings monthly, to a whole number; guaranteed = guaranteed, to a whole number; draw = proj year.draw from savings monthly, to a whole number.</t>
        </is>
      </c>
      <c r="I219" s="3" t="inlineStr">
        <is>
          <t>PARTLY READ — some of the code is still showing through; needs a hand pass</t>
        </is>
      </c>
      <c r="J219" s="3" t="inlineStr">
        <is>
          <t>Nothing is handed to it</t>
        </is>
      </c>
      <c r="K219" s="3" t="inlineStr">
        <is>
          <t>NOT DECLARED — the code does not say what it gives back</t>
        </is>
      </c>
      <c r="L219" s="3" t="inlineStr">
        <is>
          <t>1. "Draw from savings" — on the Cash flow screen, under "YOUR FUTURE PAYCHECK"
2. "PROJECTION — an estimate, not a promise" — on the Cash flow screen, under "YOUR FUTURE PAYCHECK"
3. "Social Security
4. pension" — on the Cash flow screen, under "YOUR FUTURE PAYCHECK"</t>
        </is>
      </c>
      <c r="M219" s="3" t="inlineStr">
        <is>
          <t>· Rounds the answer to a whole number.</t>
        </is>
      </c>
      <c r="N219" s="3" t="inlineStr">
        <is>
          <t>Yes</t>
        </is>
      </c>
      <c r="O219" s="3" t="inlineStr">
        <is>
          <t>1. MK-CF-F-107 buildPaycheckYear
2. MK-XS-F-180 declareFigures
3. MK-CF-F-076 guaranteedOutsideStreams
4. MK-ST-F-039 on
5. MK-PL-F-050 simulate
6. MK-PL-F-001 taxBucketSplit
7. MK-PL-F-067 willItLastInputs
8. MK-PL-F-004 withdrawalOrder</t>
        </is>
      </c>
      <c r="P219" s="3" t="n">
        <v>156</v>
      </c>
      <c r="Q219" s="3" t="inlineStr">
        <is>
          <t>1. MK-CF-F-107 buildPaycheckYear
2. MK-XS-F-180 declareFigures
3. MK-CF-F-076 guaranteedOutsideStreams
4. MK-ST-F-039 on
5. MK-PL-F-050 simulate
6. MK-PL-F-001 taxBucketSplit
7. MK-PL-F-067 willItLastInputs
8. MK-PL-F-004 withdrawalOrder
9. MK-XS-F-004 buildDatedGrid
10. MK-CF-F-105 guaranteedRows
11. MK-CF-F-132 map
12. MK-NW-F-033 retirementEarmarkedValue
13. MK-CF-F-106 solveSafeDraw
14. MK-ST-F-052 toNum
15. MK-CF-O-002 expenses
16. MK-PL-F-074 median
17. MK-PL-F-072 mulberry32
18. MK-XS-F-122 n
19. MK-PL-F-073 normal
20. MK-PL-F-075 pctOfSorted
21. MK-ST-F-025 rmdStartAgeFromAge
22. MK-NW-F-032 earmarkedAmount
23. MK-CF-F-197 ageAttainedInYear
24. MK-XS-F-179 ageToday
25. MK-NW-F-037 blendedReturn
26. MK-NW-F-035 blendedVolatility
27. MK-CF-F-102 effectiveRateOnGrossFor
28. MK-CF-F-085 filingStatusOf
29. MK-PL-F-083 inflationRateInForce
30. MK-NW-F-041 monthlyContributionsFromOnboarding
31. MK-PL-F-079 numOrZero
32. MK-CF-F-089 over65CountOf
33. MK-NW-F-004 portfolioActualReturn
34. MK-PL-F-049 retirementSpendMonthly
35. MK-PL-F-060 ssBenefitAt
36. MK-CF-F-086 stateRateOf
37. MK-CF-F-083 totalGrossAnnual
38. MK-PL-F-065 volOf
39. MK-PL-F-007 rmdAtAge
40. MK-PL-F-005 rmdStartAgeFor
41. MK-CF-F-069 benefitActiveMonths
42. MK-CF-F-072 currentRetirementIncomeMonthly
43. MK-CF-F-018 equityByMonth
44. MK-ST-F-056 has
45. MK-CF-F-204 line
46. MK-ST-F-053 money
47. MK-CF-F-087 monthlyTaxRates
48. MK-CF-F-073 otherIncomeMonth
49. MK-CF-F-022 paymentShape
50. MK-CF-F-068 rentalNetAnnual
51. MK-CF-F-023 requiredPayment
52. MK-CF-F-060 salaryGrossByMonth
53. MK-CF-F-008 spendByMonth
54. MK-NW-F-031 primaryCarIdOf
55. MK-NW-F-110 primaryHomeIdOf
56. MK-CF-F-151 actualSpending
57. MK-CF-F-150 debtPaymentsCountedAsExpenses
58. MK-CF-F-153 radar
59. MK-CF-F-149 recurringDebtPayments
60. MK-ST-F-024 rmdStartAge
61. MK-NW-F-030 earmarkDefault
62. MK-XS-F-017 currentAge
63. MK-NW-F-034 benchmarkReturn
64. MK-CF-F-155 cash
65. MK-CF-F-101 taxOwedFor
66. MK-CF-F-053 annual401kLimit
67. MK-CF-F-078 employerMatchMonthly
68. MK-PL-F-047 colFactor
69. MK-PL-F-058 ssClaimFactorFor
70. MK-CF-F-071 extraIncome
71. MK-CF-F-066 rsuAnnual
72. MK-CF-F-082 salaryAnnual
73. MK-CF-F-074 tipsAnnual
74. MK-PL-F-077 clamp
75. MK-PL-F-078 rmdDivisorAtAge
76. MK-CF-F-075 retirementIncomeMonthly
77. MK-CF-F-062 equityRowValue
78. MK-CF-F-121 zero12
79. MK-CF-F-203 MONTH
80. MK-ST-F-049 formatMoney
81. MK-CF-F-090 effectiveRate
82. MK-CF-F-021 defaultPaymentType
83. MK-CF-F-067 rentalList
84. MK-CF-F-176 sumMonthsOverEarners
85. MK-CF-F-177 wageGrossByMonth
86. MK-CF-F-120 pctBaseMonthly
87. MK-CF-F-004 spendBuckets
88. MK-NW-F-117 propertyUseMap
89. MK-CF-F-148 inMonth
90. MK-CF-F-191 ym
91. MK-CF-F-152 isRadarItem
92. MK-NW-F-011 assetClassOf
93. MK-NW-F-007 assetKind
94. MK-CF-F-100 taxableIncomeFor
95. MK-CF-F-175 sumOverEarners
96. MK-CF-F-178 wageMatchMonthly
97. MK-PL-F-057 fullRetirementAge
98. MK-CF-F-070 benefitAnnual
99. MK-CF-F-063 rowVestYear
100. MK-CF-F-081 salaryActiveMonths
101. MK-CF-O-010 theMonth
102. MK-ST-F-048 currencySymbol
103. MK-CF-F-181 rateInForce
104. MK-CF-F-173 earnerWages
105. MK-CF-F-130 enteredMonthlyRaw
106. MK-CF-F-166 hasMonthlySalaryTable
107. MK-ST-F-036 reconcile
108. MK-CF-F-167 salaryCalendarYear
109. MK-CF-F-092 incomeMonthlyGrid
110. MK-CF-F-003 categoryMonthly
111. MK-NW-F-115 liveRent
112. MK-NW-F-116 rentedIdsOf
113. MK-NW-F-008 incomeBearingClassOf
114. MK-CF-F-099 deductionFor
115. MK-CF-O-003 thisMonth
116. MK-ST-F-047 activeCurrency
117. MK-CF-F-180 enteredLandsAnnual
118. MK-CF-F-206 householdK401ByMonth
119. MK-CF-F-084 taxableAnnual
120. MK-CF-F-172 hasWage
121. MK-CF-F-165 salaryMonths
122. MK-CF-F-065 equityVestWeights
123. MK-CF-F-077 scholarshipByCalendarMonth
124. MK-CF-F-088 taxableByCalendarMonth
125. MK-PL-F-012 waterfall
126. MK-XS-F-027 takeHomeMonthly
127. MK-NW-F-114 rentAmount
128. MK-ST-F-010 nameEvidence
129. MK-CF-F-187 seniorDeductionFor
130. MK-CF-F-005 actualMonthFlow
131. MK-CF-F-156 plannedMonthFlow
132. MK-CF-F-011 savingsByMonth
133. MK-XS-F-147 call
134. MK-NW-F-078 ONE
135. MK-CF-F-157 debtPaymentsByDebt
136. MK-CF-F-192 inflowLabel
137. MK-ST-F-027 accountId
138. MK-XS-F-064 currentIdToken
139. MK-XS-F-112 relayUrl
140. MK-NW-F-077 ALL
141. MK-NW-F-059 currentYield
142. MK-NW-O-001 theBonds
143. MK-CF-F-193 inflowSourceWord
144. MK-NW-F-112 yearlyInterest
145. MK-NW-F-057 annualCoupon
146. MK-NW-F-056 bondInfo
147. MK-NW-F-064 bondRateSensitivity
148. MK-NW-F-061 bondSummary
149. MK-NW-F-055 isBond
150. MK-ST-F-065 isoLocalDate
151. MK-NW-F-072 rowOf
152. MK-NW-F-060 approxYTM
153. MK-NW-F-069 priceAtYield
154. MK-NW-F-070 accruedInterestCaveat
155. MK-NW-F-058 yearsToMaturity
156. MK-NW-F-119 estimatedAccrued</t>
        </is>
      </c>
      <c r="R219" s="3" t="inlineStr">
        <is>
          <t>1. MK-CF-F-069 benefitActiveMonths → MK-XS-F-004 buildDatedGrid → MK-CF-F-107 buildPaycheckYear → MK-CF-O-017 futurePaycheck
2. MK-ST-F-052 toNum → MK-CF-F-075 retirementIncomeMonthly → MK-CF-F-072 currentRetirementIncomeMonthly → MK-XS-F-004 buildDatedGrid → MK-CF-F-107 buildPaycheckYear → MK-CF-O-017 futurePaycheck
3. MK-ST-F-052 toNum → MK-CF-F-062 equityRowValue → MK-CF-F-018 equityByMonth → MK-XS-F-004 buildDatedGrid → MK-CF-F-107 buildPaycheckYear → MK-CF-O-017 futurePaycheck
4. MK-CF-F-062 equityRowValue → MK-CF-F-066 rsuAnnual → MK-CF-F-018 equityByMonth → MK-XS-F-004 buildDatedGrid → MK-CF-F-107 buildPaycheckYear → MK-CF-O-017 futurePaycheck
5. MK-CF-F-132 map → MK-CF-F-066 rsuAnnual → MK-CF-F-018 equityByMonth → MK-XS-F-004 buildDatedGrid → MK-CF-F-107 buildPaycheckYear → MK-CF-O-017 futurePaycheck
6. MK-CF-F-063 rowVestYear → MK-CF-F-066 rsuAnnual → MK-CF-F-018 equityByMonth → MK-XS-F-004 buildDatedGrid → MK-CF-F-107 buildPaycheckYear → MK-CF-O-017 futurePaycheck
7. MK-ST-F-052 toNum → MK-CF-F-066 rsuAnnual → MK-CF-F-018 equityByMonth → MK-XS-F-004 buildDatedGrid → MK-CF-F-107 buildPaycheckYear → MK-CF-O-017 futurePaycheck
8. MK-CF-F-121 zero12 → MK-CF-F-018 equityByMonth → MK-XS-F-004 buildDatedGrid → MK-CF-F-107 buildPaycheckYear → MK-CF-O-017 futurePaycheck
9. … and 5 more paths</t>
        </is>
      </c>
      <c r="S219" s="3" t="inlineStr">
        <is>
          <t>MK-CF-M-055 · MK-CF-M-070</t>
        </is>
      </c>
      <c r="T219" s="3" t="inlineStr">
        <is>
          <t>—</t>
        </is>
      </c>
      <c r="U219" s="3" t="inlineStr">
        <is>
          <t>DECOMMISSIONED 2026-10-03 — it was here and is not any more. Kept so the number is never reused and earlier work can still be traced.</t>
        </is>
      </c>
      <c r="V219" s="3" t="inlineStr">
        <is>
          <t>2026-10-03</t>
        </is>
      </c>
      <c r="W219" s="3" t="n"/>
      <c r="X219" s="3" t="n"/>
      <c r="Y219" s="3" t="inlineStr">
        <is>
          <t>NOTHING OPEN</t>
        </is>
      </c>
    </row>
    <row r="220" ht="60" customHeight="1">
      <c r="A220" s="3" t="inlineStr">
        <is>
          <t>MK-CF-O-018</t>
        </is>
      </c>
      <c r="B220" s="3" t="inlineStr">
        <is>
          <t>theDebts</t>
        </is>
      </c>
      <c r="C220" s="3" t="inlineStr">
        <is>
          <t>MoneyKeel/functions/cashflow/the-debts.ts</t>
        </is>
      </c>
      <c r="D220" s="3" t="n">
        <v>65</v>
      </c>
      <c r="E220" s="3" t="inlineStr">
        <is>
          <t>2 · DISPLAYED</t>
        </is>
      </c>
      <c r="F220" s="3" t="inlineStr">
        <is>
          <t>What do I owe, what does it ask of me each month, when would I be clear of it, and how much have I paid down this year?</t>
        </is>
      </c>
      <c r="G220" s="11" t="inlineStr">
        <is>
          <t>active = input.debts (or none when missing) where (remaining balance or 0) &gt; 0
total now = Σ over active of (remaining balance (or 0 when missing or zero))
began = input.start of year debt (or 0 when missing)
paid down = began − total now</t>
        </is>
      </c>
      <c r="H220" s="3" t="inlineStr">
        <is>
          <t>Active is input.debts (or none — when missing) where (remaining balance or 0) &gt; 0. Total now: the remaining balance (or 0 — when missing or zero) added up across active. Began is input.start of year debt (or 0 — when missing). Paid down is began minus total now.</t>
        </is>
      </c>
      <c r="I220" s="3" t="inlineStr">
        <is>
          <t>PARTLY READ — some of the code is still showing through; needs a hand pass</t>
        </is>
      </c>
      <c r="J220" s="3" t="inlineStr">
        <is>
          <t>Nothing is handed to it</t>
        </is>
      </c>
      <c r="K220" s="3" t="inlineStr">
        <is>
          <t>NOT DECLARED — the code does not say what it gives back</t>
        </is>
      </c>
      <c r="L220" s="3" t="inlineStr">
        <is>
          <t>"PROGRESS" — on the budget screen, under "PROGRESS"</t>
        </is>
      </c>
      <c r="M220" s="3" t="inlineStr">
        <is>
          <t>1. If start of year debt is missing it uses 0.
2. If extra monthly is missing it uses 0.
3. If remaining balance is missing it counts as zero, so nothing recorded and a real zero look the same.
4. If interest rate apr is missing it counts as zero, so nothing recorded and a real zero look the same.
5. Uses today's date from the device clock, so the answer changes by itself overnight.</t>
        </is>
      </c>
      <c r="N220" s="3" t="inlineStr">
        <is>
          <t>Yes</t>
        </is>
      </c>
      <c r="O220" s="3" t="inlineStr">
        <is>
          <t>1. MK-CF-F-025 minimumDebtService
2. MK-CF-F-034 payoffPlan
3. MK-CF-F-024 totalDebtMonthly</t>
        </is>
      </c>
      <c r="P220" s="3" t="n">
        <v>127</v>
      </c>
      <c r="Q220" s="3" t="inlineStr">
        <is>
          <t>1. MK-CF-F-025 minimumDebtService
2. MK-CF-F-034 payoffPlan
3. MK-CF-F-024 totalDebtMonthly
4. MK-CF-F-022 paymentShape
5. MK-CF-F-132 map
6. MK-CF-F-201 INCOME
7. MK-CF-F-023 requiredPayment
8. MK-CF-F-021 defaultPaymentType
9. MK-CF-F-207 SOURCE
10. MK-CF-O-004 incomeSummary
11. MK-CF-O-016 incomeSources
12. MK-CF-F-203 MONTH
13. MK-CF-O-001 basePay
14. MK-CF-F-069 benefitActiveMonths
15. MK-CF-F-072 currentRetirementIncomeMonthly
16. MK-CF-F-173 earnerWages
17. MK-CF-F-179 entryFromWage
18. MK-CF-F-071 extraIncome
19. MK-CF-F-085 filingStatusOf
20. MK-CF-F-092 incomeMonthlyGrid
21. MK-CF-F-192 inflowLabel
22. MK-CF-F-103 marginalBracketFor
23. MK-CF-F-089 over65CountOf
24. MK-CF-F-181 rateInForce
25. MK-CF-F-068 rentalNetAnnual
26. MK-CF-F-082 salaryAnnual
27. MK-CF-F-060 salaryGrossByMonth
28. MK-CF-F-084 taxableAnnual
29. MK-ST-F-052 toNum
30. MK-CF-F-075 retirementIncomeMonthly
31. MK-CF-F-066 rsuAnnual
32. MK-CF-O-010 theMonth
33. MK-ST-F-035 covers
34. MK-CF-F-171 earnerPay
35. MK-CF-F-204 line
36. MK-ST-F-053 money
37. MK-HM-F-006 money0
38. MK-XS-F-122 n
39. MK-CF-F-198 payrollTaxWithheld
40. MK-CF-F-172 hasWage
41. MK-CF-F-165 salaryMonths
42. MK-CF-F-070 benefitAnnual
43. MK-ST-F-039 on
44. MK-CF-F-065 equityVestWeights
45. MK-ST-F-056 has
46. MK-CF-F-206 householdK401ByMonth
47. MK-CF-F-087 monthlyTaxRates
48. MK-CF-F-073 otherIncomeMonth
49. MK-CF-F-077 scholarshipByCalendarMonth
50. MK-CF-F-088 taxableByCalendarMonth
51. MK-CF-F-177 wageGrossByMonth
52. MK-PL-F-012 waterfall
53. MK-CF-F-193 inflowSourceWord
54. MK-CF-F-100 taxableIncomeFor
55. MK-CF-F-180 enteredLandsAnnual
56. MK-CF-F-086 stateRateOf
57. MK-CF-F-101 taxOwedFor
58. MK-CF-O-002 expenses
59. MK-CF-F-067 rentalList
60. MK-CF-F-176 sumMonthsOverEarners
61. MK-CF-F-074 tipsAnnual
62. MK-CF-F-062 equityRowValue
63. MK-CF-F-063 rowVestYear
64. MK-CF-F-155 cash
65. MK-CF-O-003 thisMonth
66. MK-ST-F-034 firstDate
67. MK-CF-F-143 annualisedGross
68. MK-CF-F-145 deductionsFromPay
69. MK-CF-F-128 grossByMonth
70. MK-CF-F-146 payFiguresAgree
71. MK-CF-F-144 takeHomeAsEntered
72. MK-XS-F-180 declareFigures
73. MK-ST-F-049 formatMoney
74. MK-HM-F-005 pctTxt
75. MK-CF-F-090 effectiveRate
76. MK-CF-F-130 enteredMonthlyRaw
77. MK-CF-F-166 hasMonthlySalaryTable
78. MK-ST-F-036 reconcile
79. MK-CF-F-167 salaryCalendarYear
80. MK-CF-F-099 deductionFor
81. MK-CF-F-151 actualSpending
82. MK-CF-F-150 debtPaymentsCountedAsExpenses
83. MK-CF-F-153 radar
84. MK-CF-F-149 recurringDebtPayments
85. MK-CF-F-081 salaryActiveMonths
86. MK-CF-F-005 actualMonthFlow
87. MK-CF-F-156 plannedMonthFlow
88. MK-CF-F-142 monthsOf
89. MK-CF-F-141 perMonth
90. MK-ST-F-048 currencySymbol
91. MK-CF-F-187 seniorDeductionFor
92. MK-CF-F-148 inMonth
93. MK-CF-F-191 ym
94. MK-CF-F-152 isRadarItem
95. MK-NW-F-078 ONE
96. MK-CF-F-157 debtPaymentsByDebt
97. MK-XS-F-027 takeHomeMonthly
98. MK-CF-F-140 periodsAYear
99. MK-ST-F-047 activeCurrency
100. MK-NW-F-077 ALL
101. MK-NW-F-059 currentYield
102. MK-NW-O-001 theBonds
103. MK-CF-F-011 savingsByMonth
104. MK-NW-F-112 yearlyInterest
105. MK-ST-F-027 accountId
106. MK-NW-F-057 annualCoupon
107. MK-NW-F-056 bondInfo
108. MK-NW-F-064 bondRateSensitivity
109. MK-NW-F-061 bondSummary
110. MK-NW-F-055 isBond
111. MK-ST-F-065 isoLocalDate
112. MK-NW-F-072 rowOf
113. MK-CF-F-008 spendByMonth
114. MK-NW-F-060 approxYTM
115. MK-NW-F-069 priceAtYield
116. MK-NW-F-011 assetClassOf
117. MK-NW-F-070 accruedInterestCaveat
118. MK-NW-F-058 yearsToMaturity
119. MK-CF-F-120 pctBaseMonthly
120. MK-CF-F-004 spendBuckets
121. MK-NW-F-119 estimatedAccrued
122. MK-NW-F-008 incomeBearingClassOf
123. MK-CF-F-003 categoryMonthly
124. MK-ST-F-010 nameEvidence
125. MK-XS-F-147 call
126. MK-XS-F-064 currentIdToken
127. MK-XS-F-112 relayUrl</t>
        </is>
      </c>
      <c r="R220" s="3" t="inlineStr">
        <is>
          <t>1. MK-CF-F-021 defaultPaymentType → MK-CF-F-022 paymentShape → MK-CF-F-025 minimumDebtService → MK-CF-O-018 theDebts
2. MK-CF-F-132 map → MK-CF-F-034 payoffPlan → MK-CF-O-018 theDebts
3. MK-CF-F-021 defaultPaymentType → MK-CF-F-022 paymentShape → MK-CF-F-034 payoffPlan → MK-CF-O-018 theDebts
4. SOURCE (already above — a loop) → MK-CF-O-016 incomeSources → MK-CF-F-207 SOURCE → MK-CF-F-201 INCOME → MK-CF-F-024 totalDebtMonthly → MK-CF-O-018 theDebts
5. MK-CF-F-072 currentRetirementIncomeMonthly → MK-CF-O-016 incomeSources → MK-CF-F-207 SOURCE → MK-CF-F-201 INCOME → MK-CF-F-024 totalDebtMonthly → MK-CF-O-018 theDebts
6. MK-CF-F-173 earnerWages → MK-CF-O-016 incomeSources → MK-CF-F-207 SOURCE → MK-CF-F-201 INCOME → MK-CF-F-024 totalDebtMonthly → MK-CF-O-018 theDebts
7. MK-CF-F-068 rentalNetAnnual → MK-CF-O-016 incomeSources → MK-CF-F-207 SOURCE → MK-CF-F-201 INCOME → MK-CF-F-024 totalDebtMonthly → MK-CF-O-018 theDebts
8. MK-CF-F-075 retirementIncomeMonthly → MK-CF-O-016 incomeSources → MK-CF-F-207 SOURCE → MK-CF-F-201 INCOME → MK-CF-F-024 totalDebtMonthly → MK-CF-O-018 theDebts
9. … and 4 more paths</t>
        </is>
      </c>
      <c r="S220" s="3" t="inlineStr">
        <is>
          <t>MK-CF-M-057 · MK-CF-M-058 · MK-CF-M-059 · MK-CF-M-071 · MK-CF-M-072 · MK-CF-M-073 · MK-CF-M-074 · MK-CF-M-075</t>
        </is>
      </c>
      <c r="T220" s="3" t="inlineStr">
        <is>
          <t>—</t>
        </is>
      </c>
      <c r="U220" s="3" t="inlineStr">
        <is>
          <t>ACTIVE</t>
        </is>
      </c>
      <c r="V220" s="3" t="inlineStr">
        <is>
          <t>2026-10-03</t>
        </is>
      </c>
      <c r="W220" s="3" t="n"/>
      <c r="X220" s="3" t="n"/>
      <c r="Y220" s="3" t="inlineStr">
        <is>
          <t>NOTHING OPEN</t>
        </is>
      </c>
    </row>
    <row r="221" ht="60" customHeight="1">
      <c r="A221" s="3" t="inlineStr">
        <is>
          <t>MK-CF-O-019</t>
        </is>
      </c>
      <c r="B221" s="3" t="inlineStr">
        <is>
          <t>theIncomeManager</t>
        </is>
      </c>
      <c r="C221" s="3" t="inlineStr">
        <is>
          <t>MoneyKeel/functions/cashflow/income-summary.ts</t>
        </is>
      </c>
      <c r="D221" s="3" t="n">
        <v>772</v>
      </c>
      <c r="E221" s="3" t="inlineStr">
        <is>
          <t>2 · DISPLAYED</t>
        </is>
      </c>
      <c r="F221" s="3" t="inlineStr">
        <is>
          <t>Which of the ten sources of income has this household entered, what does each one's line say, and which are still one tap away?</t>
        </is>
      </c>
      <c r="G221" s="11" t="inlineStr">
        <is>
          <t>a = op (or none when missing)
wages = earner wages(op as any) where to num(base salary) &gt; 0 (or salary by month and object.keys(salary by month).length &gt; 0 when missing or zero)
who = for each of pay.earners: name.join(' and ')
rentals = rental list(op as any)
count = ['No', 'One', 'Two', 'Three', 'Four', 'Five']
inv = inv annual read as a number (0 when it is not one)
self per = 'year'   if se freq = 'annual'
'month'   otherwise
benefit months = count of benefit active months(op as any)
other per = 'year'   if other freq = 'annual'
'one − time'   if other freq = 'onetime'
'month'   otherwise   otherwise
mo = ['January', 'February', 'March', 'April', 'May', 'June', 'July', 'August', 'September', 'October', 'November', 'December']
lumps = to num(bonus annual) + rsu annual(op as any)
… the first steps only — the rest of the body needs reading by hand.</t>
        </is>
      </c>
      <c r="H221" s="3" t="inlineStr">
        <is>
          <t>A is op (or none — when missing). Wages is earner wages(op as any) where to num(base salary) &gt; 0 (or salary by month and object.keys(salary by month).length &gt; 0 — when missing or zero). Who is for each of pay.earners: name.join(' and '). Rentals is rental list(op as any). Count is ['No', 'One', 'Two', 'Three', 'Four', 'Five']. Inv is inv annual read as a number (0 — when it is one is missing). Self per is 'year' — when se freq = 'annual'; 'month' — otherwise. Benefit months: how many benefit active months(op as any) there are. Other per is 'year' — when other freq = 'annual'; 'one minus time' — when other freq = 'onetime'; 'month' — otherwise — otherwise. Mo is ['January', 'February', 'March', 'April', 'May', 'June', 'July', 'August', 'September', 'October', 'November', 'December']. Lumps is to num(bonus annual) plus rsu annual(op as any). Only the first steps are shown; the rest of the body needs reading by hand.</t>
        </is>
      </c>
      <c r="I221" s="3" t="inlineStr">
        <is>
          <t>PARTLY READ — some of the code is still showing through; needs a hand pass</t>
        </is>
      </c>
      <c r="J221" s="3" t="inlineStr">
        <is>
          <t>op: Record&lt;string, any&gt; | null</t>
        </is>
      </c>
      <c r="K221" s="3" t="inlineStr">
        <is>
          <t>IncomeManager</t>
        </is>
      </c>
      <c r="L221" s="3" t="inlineStr">
        <is>
          <t>1. "Anything else?" — on the Income manager screen
2. "Bonus and stock" — on the Income manager screen
3. "Stock that vests, a year" — on the Income manager screen
4. "You entered about" — on the Income manager screen</t>
        </is>
      </c>
      <c r="M221" s="3" t="inlineStr">
        <is>
          <t>None found in this function — anything it assumes comes from the functions it depends on.</t>
        </is>
      </c>
      <c r="N221" s="3" t="inlineStr">
        <is>
          <t>Yes</t>
        </is>
      </c>
      <c r="O221" s="3" t="inlineStr">
        <is>
          <t>1. MK-CF-O-001 basePay
2. MK-CF-F-069 benefitActiveMonths
3. MK-CF-F-173 earnerWages
4. MK-CF-F-179 entryFromWage
5. MK-CF-F-085 filingStatusOf
6. MK-CF-F-132 map
7. MK-CF-F-089 over65CountOf
8. MK-CF-F-067 rentalList
9. MK-CF-F-068 rentalNetAnnual
10. MK-CF-F-075 retirementIncomeMonthly
11. MK-CF-F-066 rsuAnnual
12. MK-ST-F-052 toNum</t>
        </is>
      </c>
      <c r="P221" s="3" t="n">
        <v>120</v>
      </c>
      <c r="Q221" s="3" t="inlineStr">
        <is>
          <t>1. MK-CF-O-001 basePay
2. MK-CF-F-069 benefitActiveMonths
3. MK-CF-F-173 earnerWages
4. MK-CF-F-179 entryFromWage
5. MK-CF-F-085 filingStatusOf
6. MK-CF-F-132 map
7. MK-CF-F-089 over65CountOf
8. MK-CF-F-067 rentalList
9. MK-CF-F-068 rentalNetAnnual
10. MK-CF-F-075 retirementIncomeMonthly
11. MK-CF-F-066 rsuAnnual
12. MK-ST-F-052 toNum
13. MK-ST-F-035 covers
14. MK-CF-F-171 earnerPay
15. MK-CF-F-204 line
16. MK-CF-F-103 marginalBracketFor
17. MK-ST-F-053 money
18. MK-HM-F-006 money0
19. MK-XS-F-122 n
20. MK-CF-F-198 payrollTaxWithheld
21. MK-CF-F-181 rateInForce
22. MK-CF-F-172 hasWage
23. MK-CF-F-165 salaryMonths
24. MK-CF-O-002 expenses
25. MK-CF-F-062 equityRowValue
26. MK-CF-F-063 rowVestYear
27. MK-ST-F-034 firstDate
28. MK-CF-F-143 annualisedGross
29. MK-CF-F-145 deductionsFromPay
30. MK-CF-F-128 grossByMonth
31. MK-CF-F-146 payFiguresAgree
32. MK-CF-F-144 takeHomeAsEntered
33. MK-CF-F-203 MONTH
34. MK-XS-F-180 declareFigures
35. MK-CF-F-100 taxableIncomeFor
36. MK-ST-F-049 formatMoney
37. MK-CF-F-155 cash
38. MK-HM-F-005 pctTxt
39. MK-CF-F-180 enteredLandsAnnual
40. MK-CF-F-206 householdK401ByMonth
41. MK-CF-F-082 salaryAnnual
42. MK-CF-F-086 stateRateOf
43. MK-CF-F-101 taxOwedFor
44. MK-CF-F-084 taxableAnnual
45. MK-ST-F-056 has
46. MK-CF-F-151 actualSpending
47. MK-CF-F-150 debtPaymentsCountedAsExpenses
48. MK-CF-F-153 radar
49. MK-CF-F-149 recurringDebtPayments
50. MK-CF-F-142 monthsOf
51. MK-CF-F-141 perMonth
52. MK-ST-F-039 on
53. MK-CF-O-010 theMonth
54. MK-CF-F-099 deductionFor
55. MK-ST-F-048 currencySymbol
56. MK-CF-F-176 sumMonthsOverEarners
57. MK-CF-F-177 wageGrossByMonth
58. MK-CF-F-060 salaryGrossByMonth
59. MK-CF-F-072 currentRetirementIncomeMonthly
60. MK-CF-F-071 extraIncome
61. MK-CF-F-074 tipsAnnual
62. MK-CF-F-148 inMonth
63. MK-CF-F-191 ym
64. MK-CF-F-022 paymentShape
65. MK-CF-F-152 isRadarItem
66. MK-CF-F-023 requiredPayment
67. MK-CF-F-140 periodsAYear
68. MK-CF-O-003 thisMonth
69. MK-CF-F-187 seniorDeductionFor
70. MK-ST-F-047 activeCurrency
71. MK-CF-F-130 enteredMonthlyRaw
72. MK-CF-F-166 hasMonthlySalaryTable
73. MK-ST-F-036 reconcile
74. MK-CF-F-167 salaryCalendarYear
75. MK-CF-F-070 benefitAnnual
76. MK-CF-F-081 salaryActiveMonths
77. MK-CF-F-021 defaultPaymentType
78. MK-CF-F-005 actualMonthFlow
79. MK-CF-F-156 plannedMonthFlow
80. MK-NW-F-078 ONE
81. MK-CF-F-157 debtPaymentsByDebt
82. MK-CF-F-192 inflowLabel
83. MK-XS-F-027 takeHomeMonthly
84. MK-NW-F-077 ALL
85. MK-NW-F-059 currentYield
86. MK-NW-O-001 theBonds
87. MK-CF-F-193 inflowSourceWord
88. MK-CF-F-092 incomeMonthlyGrid
89. MK-CF-F-011 savingsByMonth
90. MK-NW-F-112 yearlyInterest
91. MK-ST-F-027 accountId
92. MK-NW-F-057 annualCoupon
93. MK-NW-F-056 bondInfo
94. MK-NW-F-064 bondRateSensitivity
95. MK-NW-F-061 bondSummary
96. MK-NW-F-055 isBond
97. MK-ST-F-065 isoLocalDate
98. MK-NW-F-072 rowOf
99. MK-CF-F-065 equityVestWeights
100. MK-CF-F-087 monthlyTaxRates
101. MK-CF-F-073 otherIncomeMonth
102. MK-CF-F-077 scholarshipByCalendarMonth
103. MK-CF-F-088 taxableByCalendarMonth
104. MK-PL-F-012 waterfall
105. MK-CF-F-008 spendByMonth
106. MK-NW-F-060 approxYTM
107. MK-NW-F-069 priceAtYield
108. MK-NW-F-011 assetClassOf
109. MK-NW-F-070 accruedInterestCaveat
110. MK-NW-F-058 yearsToMaturity
111. MK-CF-F-090 effectiveRate
112. MK-CF-F-120 pctBaseMonthly
113. MK-CF-F-004 spendBuckets
114. MK-NW-F-119 estimatedAccrued
115. MK-NW-F-008 incomeBearingClassOf
116. MK-CF-F-003 categoryMonthly
117. MK-ST-F-010 nameEvidence
118. MK-XS-F-147 call
119. MK-XS-F-064 currentIdToken
120. MK-XS-F-112 relayUrl</t>
        </is>
      </c>
      <c r="R221" s="3" t="inlineStr">
        <is>
          <t>1. MK-ST-F-034 firstDate → MK-ST-F-035 covers → MK-CF-O-001 basePay → MK-CF-O-019 theIncomeManager
2. MK-CF-F-142 monthsOf → MK-CF-F-128 grossByMonth → MK-CF-F-143 annualisedGross → MK-CF-F-171 earnerPay → MK-CF-O-001 basePay → MK-CF-O-019 theIncomeManager
3. MK-CF-F-141 perMonth → MK-CF-F-128 grossByMonth → MK-CF-F-143 annualisedGross → MK-CF-F-171 earnerPay → MK-CF-O-001 basePay → MK-CF-O-019 theIncomeManager
4. MK-CF-F-128 grossByMonth → MK-CF-F-143 annualisedGross → MK-CF-F-145 deductionsFromPay → MK-CF-F-171 earnerPay → MK-CF-O-001 basePay → MK-CF-O-019 theIncomeManager
5. MK-CF-F-143 annualisedGross → MK-CF-F-144 takeHomeAsEntered → MK-CF-F-145 deductionsFromPay → MK-CF-F-171 earnerPay → MK-CF-O-001 basePay → MK-CF-O-019 theIncomeManager
6. MK-CF-F-142 monthsOf → MK-CF-F-144 takeHomeAsEntered → MK-CF-F-145 deductionsFromPay → MK-CF-F-171 earnerPay → MK-CF-O-001 basePay → MK-CF-O-019 theIncomeManager
7. MK-ST-F-039 on → MK-CF-F-144 takeHomeAsEntered → MK-CF-F-145 deductionsFromPay → MK-CF-F-171 earnerPay → MK-CF-O-001 basePay → MK-CF-O-019 theIncomeManager
8. MK-CF-F-101 taxOwedFor → MK-CF-F-144 takeHomeAsEntered → MK-CF-F-145 deductionsFromPay → MK-CF-F-171 earnerPay → MK-CF-O-001 basePay → MK-CF-O-019 theIncomeManager
9. … and 5 more paths</t>
        </is>
      </c>
      <c r="S221" s="3" t="inlineStr">
        <is>
          <t>—</t>
        </is>
      </c>
      <c r="T221" s="3" t="inlineStr">
        <is>
          <t>—</t>
        </is>
      </c>
      <c r="U221" s="3" t="inlineStr">
        <is>
          <t>ACTIVE</t>
        </is>
      </c>
      <c r="V221" s="3" t="inlineStr">
        <is>
          <t>2026-10-04</t>
        </is>
      </c>
      <c r="W221" s="3" t="n"/>
      <c r="X221" s="3" t="n"/>
      <c r="Y221" s="3" t="inlineStr">
        <is>
          <t>NOTHING OPEN</t>
        </is>
      </c>
    </row>
    <row r="222" ht="60" customHeight="1">
      <c r="A222" s="3" t="inlineStr">
        <is>
          <t>MK-CF-O-020</t>
        </is>
      </c>
      <c r="B222" s="3" t="inlineStr">
        <is>
          <t>theBudgetCounted</t>
        </is>
      </c>
      <c r="C222" s="3" t="inlineStr">
        <is>
          <t>MoneyKeel/functions/cashflow/budget-counted.ts</t>
        </is>
      </c>
      <c r="D222" s="3" t="n">
        <v>68</v>
      </c>
      <c r="E222" s="3" t="inlineStr">
        <is>
          <t>2 · DISPLAYED</t>
        </is>
      </c>
      <c r="F222" s="3" t="inlineStr">
        <is>
          <t>Which of my planned expenses are counted, now that my debts are taken from Debts?</t>
        </is>
      </c>
      <c r="G222" s="11" t="inlineStr">
        <is>
          <t>profile = input.profile (or none when missing)
cats = profile.spend cats   if array.is array(profile.spend cats)
[]   otherwise
budgeted = cats.reduce((t: number, c: any) =&gt; (id = 'rent' ? t + (number(amount) or 0) : t), 0)
uses = property uses(input.accounts ?? [], array.is array(profile.rentals) ? profile.rentals : [])
home = the first of [...uses].find(([, use]) =&gt; use = 'home')?.
on home = mortgages by property(input.accounts ?? [], input.debts ?? []).by property.find((p) =&gt; property id = home)   if home
undefined   otherwise
home mortgage = string(on home.mortgage ?? 'your mortgage')   if on home.mortgage id
nothing   otherwise
typed total = string(profile.monthly expenses ?? '').replace( ÷ [^0 − 9.-] ÷ g, '') read as a number (or 0 when missing or zero)
profile = profile
rent line in debts = nothing
sentence = ''
home mortgage = home mortgage   when home mortgage is missing (or not (budgeted &gt; 0) when missing or zero)</t>
        </is>
      </c>
      <c r="H222" s="3" t="inlineStr">
        <is>
          <t>Profile is input.profile (or none — when missing). Cats is profile.spend cats — when array.is array(profile.spend cats); [] — otherwise. Budgeted is cats.reduce((t: number, c: any) =&gt; (id = 'rent' ? t plus (number(amount) or 0) : t), 0). Uses is property uses(input.accounts ?? [], array.is array(profile.rentals) ? profile.rentals : []). Home: the first of [...uses].find(([, use]) =&gt; use = 'home')?.. On home is mortgages by property(input.accounts ?? [], input.debts ?? []).by property.find((p) =&gt; property id = home) — when home; undefined — otherwise. Home mortgage is string(on home.mortgage ?? 'your mortgage') — when on home.mortgage id; no answer — otherwise. Typed total is string(profile.monthly expenses ?? '').replace( divided by [^0 minus 9.-] divided by g, '') read as a number (or 0 — when missing or zero). When home mortgage is missing (or not (budgeted &gt; 0) — when missing or zero), it answers profile = profile; rent line in debts is missing; sentence = ''; home mortgage = home mortgage.</t>
        </is>
      </c>
      <c r="I222" s="3" t="inlineStr">
        <is>
          <t>PARTLY READ — some of the code is still showing through; needs a hand pass</t>
        </is>
      </c>
      <c r="J222" s="3" t="inlineStr">
        <is>
          <t>input: { profile: any; accounts: AssetAccount[]; debts: Debt[] }</t>
        </is>
      </c>
      <c r="K222" s="3" t="inlineStr">
        <is>
          <t>BudgetCounted</t>
        </is>
      </c>
      <c r="L222" s="3" t="inlineStr">
        <is>
          <t>1. "Set your budget" — on the Cash flow screen, under "PLANNED EXPENSES"
2. "Set your budget" — on the Cash flow screen, under "PLANNED
3. $"
4. "Surplus after your budget" — on the Cash flow screen, under "PLANNED
5. $"
6. "Your budget" — on the Cash flow screen</t>
        </is>
      </c>
      <c r="M222" s="3" t="inlineStr">
        <is>
          <t>None found in this function — anything it assumes comes from the functions it depends on.</t>
        </is>
      </c>
      <c r="N222" s="3" t="inlineStr">
        <is>
          <t>Yes</t>
        </is>
      </c>
      <c r="O222" s="3" t="inlineStr">
        <is>
          <t>1. MK-CF-F-132 map
2. MK-NW-F-106 mortgagesByProperty
3. MK-NW-F-107 propertyUses</t>
        </is>
      </c>
      <c r="P222" s="3" t="n">
        <v>29</v>
      </c>
      <c r="Q222" s="3" t="inlineStr">
        <is>
          <t>1. MK-CF-F-132 map
2. MK-NW-F-106 mortgagesByProperty
3. MK-NW-F-107 propertyUses
4. MK-NW-F-011 assetClassOf
5. MK-ST-F-056 has
6. MK-CF-F-023 requiredPayment
7. MK-NW-F-117 propertyUseMap
8. MK-NW-F-008 incomeBearingClassOf
9. MK-CF-F-022 paymentShape
10. MK-NW-F-115 liveRent
11. MK-NW-F-116 rentedIdsOf
12. MK-CF-F-155 cash
13. MK-ST-F-010 nameEvidence
14. MK-CF-F-021 defaultPaymentType
15. MK-CF-O-002 expenses
16. MK-NW-F-114 rentAmount
17. MK-XS-F-122 n
18. MK-XS-F-147 call
19. MK-CF-F-151 actualSpending
20. MK-CF-F-150 debtPaymentsCountedAsExpenses
21. MK-CF-F-153 radar
22. MK-CF-F-149 recurringDebtPayments
23. MK-ST-F-027 accountId
24. MK-XS-F-064 currentIdToken
25. MK-XS-F-112 relayUrl
26. MK-CF-F-148 inMonth
27. MK-ST-F-052 toNum
28. MK-CF-F-191 ym
29. MK-CF-F-152 isRadarItem</t>
        </is>
      </c>
      <c r="R222" s="3" t="inlineStr">
        <is>
          <t>1. MK-CF-F-132 map → MK-CF-O-020 theBudgetCounted
2. MK-XS-F-122 n → MK-CF-F-155 cash → MK-NW-F-008 incomeBearingClassOf → MK-NW-F-011 assetClassOf → MK-NW-F-106 mortgagesByProperty → MK-CF-O-020 theBudgetCounted
3. MK-XS-F-147 call → MK-ST-F-010 nameEvidence → MK-NW-F-008 incomeBearingClassOf → MK-NW-F-011 assetClassOf → MK-NW-F-106 mortgagesByProperty → MK-CF-O-020 theBudgetCounted
4. MK-ST-F-056 has → MK-ST-F-010 nameEvidence → MK-NW-F-008 incomeBearingClassOf → MK-NW-F-011 assetClassOf → MK-NW-F-106 mortgagesByProperty → MK-CF-O-020 theBudgetCounted
5. MK-CF-F-132 map → MK-ST-F-010 nameEvidence → MK-NW-F-008 incomeBearingClassOf → MK-NW-F-011 assetClassOf → MK-NW-F-106 mortgagesByProperty → MK-CF-O-020 theBudgetCounted
6. MK-ST-F-056 has → MK-NW-F-106 mortgagesByProperty → MK-CF-O-020 theBudgetCounted
7. MK-CF-F-132 map → MK-NW-F-106 mortgagesByProperty → MK-CF-O-020 theBudgetCounted
8. MK-CF-F-021 defaultPaymentType → MK-CF-F-022 paymentShape → MK-CF-F-023 requiredPayment → MK-NW-F-106 mortgagesByProperty → MK-CF-O-020 theBudgetCounted
9. … and 4 more paths</t>
        </is>
      </c>
      <c r="S222" s="3" t="inlineStr">
        <is>
          <t>—</t>
        </is>
      </c>
      <c r="T222" s="3" t="inlineStr">
        <is>
          <t>—</t>
        </is>
      </c>
      <c r="U222" s="3" t="inlineStr">
        <is>
          <t>ACTIVE</t>
        </is>
      </c>
      <c r="V222" s="3" t="inlineStr">
        <is>
          <t>2026-10-09</t>
        </is>
      </c>
      <c r="W222" s="3" t="n"/>
      <c r="X222" s="3" t="n"/>
      <c r="Y222" s="3" t="inlineStr">
        <is>
          <t>NOTHING OPEN</t>
        </is>
      </c>
    </row>
    <row r="223" ht="45" customHeight="1">
      <c r="A223" s="3" t="inlineStr">
        <is>
          <t>MK-HM-F-001</t>
        </is>
      </c>
      <c r="B223" s="3" t="inlineStr">
        <is>
          <t>buildInsights</t>
        </is>
      </c>
      <c r="C223" s="3" t="inlineStr">
        <is>
          <t>src/domain/insights/index.ts</t>
        </is>
      </c>
      <c r="D223" s="3" t="n">
        <v>173</v>
      </c>
      <c r="E223" s="3" t="inlineStr">
        <is>
          <t>2 · DISPLAYED</t>
        </is>
      </c>
      <c r="F223" s="3" t="inlineStr">
        <is>
          <t>Ranked insights (highest priority first).</t>
        </is>
      </c>
      <c r="G223" s="11" t="inlineStr">
        <is>
          <t>the first limit of out   if limit ≠ nothing
out   otherwise</t>
        </is>
      </c>
      <c r="H223" s="3" t="inlineStr">
        <is>
          <t>the first limit of out — when limit is not no answer; out — otherwise.</t>
        </is>
      </c>
      <c r="I223" s="3" t="inlineStr">
        <is>
          <t>READ FROM THE CODE — rendered from the expressions the function runs</t>
        </is>
      </c>
      <c r="J223" s="3" t="inlineStr">
        <is>
          <t>1. input: InsightInput
2. limit?: number</t>
        </is>
      </c>
      <c r="K223" s="3" t="inlineStr">
        <is>
          <t>Insight[]</t>
        </is>
      </c>
      <c r="L223" s="3" t="inlineStr">
        <is>
          <t>NOT FOUND — a screen calls it, but the words printed beside its answer could not be traced automatically. Needs reading.</t>
        </is>
      </c>
      <c r="M223" s="3" t="inlineStr">
        <is>
          <t>None found in this function — anything it assumes comes from the functions it depends on.</t>
        </is>
      </c>
      <c r="N223" s="3" t="inlineStr">
        <is>
          <t>Yes</t>
        </is>
      </c>
      <c r="O223" s="3" t="inlineStr">
        <is>
          <t>MK-CF-F-132 map</t>
        </is>
      </c>
      <c r="P223" s="3" t="n">
        <v>1</v>
      </c>
      <c r="Q223" s="3" t="inlineStr">
        <is>
          <t>MK-CF-F-132 map</t>
        </is>
      </c>
      <c r="R223" s="3" t="inlineStr">
        <is>
          <t>MK-CF-F-132 map → MK-HM-F-001 buildInsights</t>
        </is>
      </c>
      <c r="S223" s="3" t="inlineStr">
        <is>
          <t>—</t>
        </is>
      </c>
      <c r="T223" s="3" t="inlineStr">
        <is>
          <t>—</t>
        </is>
      </c>
      <c r="U223" s="3" t="inlineStr">
        <is>
          <t>ACTIVE</t>
        </is>
      </c>
      <c r="V223" s="3" t="inlineStr">
        <is>
          <t>2026-08-27</t>
        </is>
      </c>
      <c r="W223" s="3" t="n"/>
      <c r="X223" s="3" t="n"/>
      <c r="Y223" s="3" t="inlineStr">
        <is>
          <t>NOTHING OPEN</t>
        </is>
      </c>
    </row>
    <row r="224" ht="45" customHeight="1">
      <c r="A224" s="3" t="inlineStr">
        <is>
          <t>MK-HM-F-002</t>
        </is>
      </c>
      <c r="B224" s="3" t="inlineStr">
        <is>
          <t>milestoneLabel</t>
        </is>
      </c>
      <c r="C224" s="3" t="inlineStr">
        <is>
          <t>src/domain/milestones.ts</t>
        </is>
      </c>
      <c r="D224" s="3" t="n">
        <v>34</v>
      </c>
      <c r="E224" s="3" t="inlineStr">
        <is>
          <t>2 · DISPLAYED</t>
        </is>
      </c>
      <c r="F224" s="3" t="inlineStr">
        <is>
          <t>'$500k' / '$1M' — the label the celebration line uses.</t>
        </is>
      </c>
      <c r="G224" s="11" t="inlineStr">
        <is>
          <t>m = threshold ÷ 1000000
the answer = `$${number.is integer(m) ? m : to fixed(1)}M`</t>
        </is>
      </c>
      <c r="H224" s="3" t="inlineStr">
        <is>
          <t>M is threshold divided by 1000000. The answer is `$${number.is integer(m) ? m : to fixed(1)}M`.</t>
        </is>
      </c>
      <c r="I224" s="3" t="inlineStr">
        <is>
          <t>PARTLY READ — some of the code is still showing through; needs a hand pass</t>
        </is>
      </c>
      <c r="J224" s="3" t="inlineStr">
        <is>
          <t>threshold: number</t>
        </is>
      </c>
      <c r="K224" s="3" t="inlineStr">
        <is>
          <t>string</t>
        </is>
      </c>
      <c r="L224" s="3" t="inlineStr">
        <is>
          <t>NOT FOUND — a screen calls it, but the words printed beside its answer could not be traced automatically. Needs reading.</t>
        </is>
      </c>
      <c r="M224" s="3" t="inlineStr">
        <is>
          <t>1. Rounds the answer to a whole number.
2. Shows 1 decimal place.</t>
        </is>
      </c>
      <c r="N224" s="3" t="inlineStr">
        <is>
          <t>Yes</t>
        </is>
      </c>
      <c r="O224" s="3" t="inlineStr">
        <is>
          <t>—</t>
        </is>
      </c>
      <c r="P224" s="3" t="n">
        <v>0</v>
      </c>
      <c r="Q224" s="3" t="inlineStr">
        <is>
          <t>None — no dependent function stands behind it</t>
        </is>
      </c>
      <c r="R224" s="3" t="inlineStr">
        <is>
          <t>No dependent function — it reads its inputs and answers</t>
        </is>
      </c>
      <c r="S224" s="3" t="inlineStr">
        <is>
          <t>—</t>
        </is>
      </c>
      <c r="T224" s="3" t="inlineStr">
        <is>
          <t>—</t>
        </is>
      </c>
      <c r="U224" s="3" t="inlineStr">
        <is>
          <t>ACTIVE</t>
        </is>
      </c>
      <c r="V224" s="3" t="inlineStr">
        <is>
          <t>2026-08-27</t>
        </is>
      </c>
      <c r="W224" s="3" t="n"/>
      <c r="X224" s="3" t="n"/>
      <c r="Y224" s="3" t="inlineStr">
        <is>
          <t>NOTHING OPEN</t>
        </is>
      </c>
    </row>
    <row r="225" ht="45" customHeight="1">
      <c r="A225" s="3" t="inlineStr">
        <is>
          <t>MK-HM-F-003</t>
        </is>
      </c>
      <c r="B225" s="3" t="inlineStr">
        <is>
          <t>milestoneFloor</t>
        </is>
      </c>
      <c r="C225" s="3" t="inlineStr">
        <is>
          <t>src/domain/milestones.ts</t>
        </is>
      </c>
      <c r="D225" s="3" t="n">
        <v>65</v>
      </c>
      <c r="E225" s="3" t="inlineStr">
        <is>
          <t>2 · DISPLAYED</t>
        </is>
      </c>
      <c r="F225" s="3" t="inlineStr">
        <is>
          <t>The highest ladder rung at or below `netWorth` (0 when below the first rung).</t>
        </is>
      </c>
      <c r="G225" s="11" t="inlineStr">
        <is>
          <t>floor = 0
the answer = floor</t>
        </is>
      </c>
      <c r="H225" s="3" t="inlineStr">
        <is>
          <t>Floor is 0. The answer is floor.</t>
        </is>
      </c>
      <c r="I225" s="3" t="inlineStr">
        <is>
          <t>READ FROM THE CODE — rendered from the expressions the function runs</t>
        </is>
      </c>
      <c r="J225" s="3" t="inlineStr">
        <is>
          <t>netWorth: number</t>
        </is>
      </c>
      <c r="K225" s="3" t="inlineStr">
        <is>
          <t>number</t>
        </is>
      </c>
      <c r="L225" s="3" t="inlineStr">
        <is>
          <t>NOT FOUND — a screen calls it, but the words printed beside its answer could not be traced automatically. Needs reading.</t>
        </is>
      </c>
      <c r="M225" s="3" t="inlineStr">
        <is>
          <t>· Uses a built-in floor of 0.</t>
        </is>
      </c>
      <c r="N225" s="3" t="inlineStr">
        <is>
          <t>Yes</t>
        </is>
      </c>
      <c r="O225" s="3" t="inlineStr">
        <is>
          <t>—</t>
        </is>
      </c>
      <c r="P225" s="3" t="n">
        <v>0</v>
      </c>
      <c r="Q225" s="3" t="inlineStr">
        <is>
          <t>None — no dependent function stands behind it</t>
        </is>
      </c>
      <c r="R225" s="3" t="inlineStr">
        <is>
          <t>No dependent function — it reads its inputs and answers</t>
        </is>
      </c>
      <c r="S225" s="3" t="inlineStr">
        <is>
          <t>—</t>
        </is>
      </c>
      <c r="T225" s="3" t="inlineStr">
        <is>
          <t>—</t>
        </is>
      </c>
      <c r="U225" s="3" t="inlineStr">
        <is>
          <t>ACTIVE</t>
        </is>
      </c>
      <c r="V225" s="3" t="inlineStr">
        <is>
          <t>2026-08-27</t>
        </is>
      </c>
      <c r="W225" s="3" t="n"/>
      <c r="X225" s="3" t="n"/>
      <c r="Y225" s="3" t="inlineStr">
        <is>
          <t>NOTHING OPEN</t>
        </is>
      </c>
    </row>
    <row r="226" ht="60" customHeight="1">
      <c r="A226" s="3" t="inlineStr">
        <is>
          <t>MK-HM-F-004</t>
        </is>
      </c>
      <c r="B226" s="3" t="inlineStr">
        <is>
          <t>milestoneCrossed</t>
        </is>
      </c>
      <c r="C226" s="3" t="inlineStr">
        <is>
          <t>src/domain/milestones.ts</t>
        </is>
      </c>
      <c r="D226" s="3" t="n">
        <v>95</v>
      </c>
      <c r="E226" s="3" t="inlineStr">
        <is>
          <t>2 · DISPLAYED</t>
        </is>
      </c>
      <c r="F226" s="3" t="inlineStr">
        <is>
          <t>The one decision rule.</t>
        </is>
      </c>
      <c r="G226" s="11" t="inlineStr">
        <is>
          <t>nothing   when high seen = nothing
floor = milestone floor(net worth)
the answer:
floor   if floor &gt; high seen
nothing   otherwise</t>
        </is>
      </c>
      <c r="H226" s="3" t="inlineStr">
        <is>
          <t>When high seen is missing, it answers no answer. Floor is milestone floor(net worth). The answer is floor — when floor &gt; high seen; no answer — otherwise.</t>
        </is>
      </c>
      <c r="I226" s="3" t="inlineStr">
        <is>
          <t>READ FROM THE CODE — rendered from the expressions the function runs</t>
        </is>
      </c>
      <c r="J226" s="3" t="inlineStr">
        <is>
          <t>1. netWorth: number
2. highSeen: number | null</t>
        </is>
      </c>
      <c r="K226" s="3" t="inlineStr">
        <is>
          <t>number | null</t>
        </is>
      </c>
      <c r="L226" s="3" t="inlineStr">
        <is>
          <t>NOT FOUND — a screen calls it, but the words printed beside its answer could not be traced automatically. Needs reading.</t>
        </is>
      </c>
      <c r="M226" s="3" t="inlineStr">
        <is>
          <t>None found in this function — anything it assumes comes from the functions it depends on.</t>
        </is>
      </c>
      <c r="N226" s="3" t="inlineStr">
        <is>
          <t>Yes</t>
        </is>
      </c>
      <c r="O226" s="3" t="inlineStr">
        <is>
          <t>MK-HM-F-003 milestoneFloor</t>
        </is>
      </c>
      <c r="P226" s="3" t="n">
        <v>1</v>
      </c>
      <c r="Q226" s="3" t="inlineStr">
        <is>
          <t>MK-HM-F-003 milestoneFloor</t>
        </is>
      </c>
      <c r="R226" s="3" t="inlineStr">
        <is>
          <t>MK-HM-F-003 milestoneFloor → MK-HM-F-004 milestoneCrossed</t>
        </is>
      </c>
      <c r="S226" s="3" t="inlineStr">
        <is>
          <t>MK-HM-M-002</t>
        </is>
      </c>
      <c r="T226" s="3" t="inlineStr">
        <is>
          <t>—</t>
        </is>
      </c>
      <c r="U226" s="3" t="inlineStr">
        <is>
          <t>ACTIVE</t>
        </is>
      </c>
      <c r="V226" s="3" t="inlineStr">
        <is>
          <t>2026-08-27</t>
        </is>
      </c>
      <c r="W226" s="3" t="n"/>
      <c r="X226" s="3" t="n"/>
      <c r="Y226" s="3" t="inlineStr">
        <is>
          <t>NOTHING OPEN</t>
        </is>
      </c>
    </row>
    <row r="227" ht="60" customHeight="1">
      <c r="A227" s="3" t="inlineStr">
        <is>
          <t>MK-HM-F-005</t>
        </is>
      </c>
      <c r="B227" s="3" t="inlineStr">
        <is>
          <t>pctTxt</t>
        </is>
      </c>
      <c r="C227" s="3" t="inlineStr">
        <is>
          <t>src/domain/insights/index.ts</t>
        </is>
      </c>
      <c r="D227" s="3" t="n">
        <v>69</v>
      </c>
      <c r="E227" s="3" t="inlineStr">
        <is>
          <t>1 · ACTION</t>
        </is>
      </c>
      <c r="F227" s="3" t="inlineStr">
        <is>
          <t>NOT DETERMINED — the code carries no note saying what this is for, and it has no row in the old inventory. Needs reading.</t>
        </is>
      </c>
      <c r="G227" s="11" t="inlineStr">
        <is>
          <t>the answer = round(d × 100) followed by '%'</t>
        </is>
      </c>
      <c r="H227" s="3" t="inlineStr">
        <is>
          <t>A share written as a whole percent — 0.234 becomes 23%. Display only.</t>
        </is>
      </c>
      <c r="I227" s="3" t="inlineStr">
        <is>
          <t>READ BY HAND 2026-08-26 — checked line by line against the code</t>
        </is>
      </c>
      <c r="J227" s="3" t="inlineStr">
        <is>
          <t>d: number</t>
        </is>
      </c>
      <c r="K227" s="3" t="inlineStr">
        <is>
          <t>NOT DECLARED — the code does not say what it gives back</t>
        </is>
      </c>
      <c r="L227" s="3" t="inlineStr">
        <is>
          <t>—</t>
        </is>
      </c>
      <c r="M227" s="3" t="inlineStr">
        <is>
          <t>· Rounds the answer to a whole number.</t>
        </is>
      </c>
      <c r="N227" s="3" t="inlineStr">
        <is>
          <t>Yes</t>
        </is>
      </c>
      <c r="O227" s="3" t="inlineStr">
        <is>
          <t>—</t>
        </is>
      </c>
      <c r="P227" s="3" t="n">
        <v>0</v>
      </c>
      <c r="Q227" s="3" t="inlineStr">
        <is>
          <t>None — no dependent function stands behind it</t>
        </is>
      </c>
      <c r="R227" s="3" t="inlineStr">
        <is>
          <t>No dependent function — it reads its inputs and answers</t>
        </is>
      </c>
      <c r="S227" s="3" t="inlineStr">
        <is>
          <t>—</t>
        </is>
      </c>
      <c r="T227" s="3" t="inlineStr">
        <is>
          <t>—</t>
        </is>
      </c>
      <c r="U227" s="3" t="inlineStr">
        <is>
          <t>ACTIVE</t>
        </is>
      </c>
      <c r="V227" s="3" t="inlineStr">
        <is>
          <t>2026-09-12</t>
        </is>
      </c>
      <c r="W227" s="3" t="n"/>
      <c r="X227" s="3" t="n"/>
      <c r="Y227" s="3" t="inlineStr">
        <is>
          <t>NOTHING OPEN</t>
        </is>
      </c>
    </row>
    <row r="228" ht="60" customHeight="1">
      <c r="A228" s="3" t="inlineStr">
        <is>
          <t>MK-HM-F-006</t>
        </is>
      </c>
      <c r="B228" s="3" t="inlineStr">
        <is>
          <t>money0</t>
        </is>
      </c>
      <c r="C228" s="3" t="inlineStr">
        <is>
          <t>src/domain/insights/index.ts</t>
        </is>
      </c>
      <c r="D228" s="3" t="n">
        <v>103</v>
      </c>
      <c r="E228" s="3" t="inlineStr">
        <is>
          <t>3 · DEPENDENT</t>
        </is>
      </c>
      <c r="F228" s="3" t="inlineStr">
        <is>
          <t>NOT DETERMINED — the code carries no note saying what this is for, and it has no row in the old inventory. Needs reading.</t>
        </is>
      </c>
      <c r="G228" s="11" t="inlineStr">
        <is>
          <t>the answer = '$' + round(n) with thousands separators</t>
        </is>
      </c>
      <c r="H228" s="3" t="inlineStr">
        <is>
          <t>A dollar amount to the whole dollar with thousands separators, for the insight sentences. Display only.</t>
        </is>
      </c>
      <c r="I228" s="3" t="inlineStr">
        <is>
          <t>READ BY HAND 2026-08-26 — checked line by line against the code</t>
        </is>
      </c>
      <c r="J228" s="3" t="inlineStr">
        <is>
          <t>n: number</t>
        </is>
      </c>
      <c r="K228" s="3" t="inlineStr">
        <is>
          <t>NOT DECLARED — the code does not say what it gives back</t>
        </is>
      </c>
      <c r="L228" s="3" t="inlineStr">
        <is>
          <t>—</t>
        </is>
      </c>
      <c r="M228" s="3" t="inlineStr">
        <is>
          <t>1. Rounds the answer to a whole number.
2. Shows 1 decimal place.</t>
        </is>
      </c>
      <c r="N228" s="3" t="inlineStr">
        <is>
          <t>Yes</t>
        </is>
      </c>
      <c r="O228" s="3" t="inlineStr">
        <is>
          <t>1. MK-CF-F-155 cash
2. MK-XS-F-122 n
3. MK-HM-F-005 pctTxt</t>
        </is>
      </c>
      <c r="P228" s="3" t="n">
        <v>3</v>
      </c>
      <c r="Q228" s="3" t="inlineStr">
        <is>
          <t>1. MK-CF-F-155 cash
2. MK-XS-F-122 n
3. MK-HM-F-005 pctTxt</t>
        </is>
      </c>
      <c r="R228" s="3" t="inlineStr">
        <is>
          <t>1. MK-XS-F-122 n → MK-CF-F-155 cash → MK-HM-F-006 money0
2. MK-XS-F-122 n → MK-HM-F-006 money0
3. MK-HM-F-005 pctTxt → MK-HM-F-006 money0</t>
        </is>
      </c>
      <c r="S228" s="3" t="inlineStr">
        <is>
          <t>—</t>
        </is>
      </c>
      <c r="T228" s="3" t="inlineStr">
        <is>
          <t>—</t>
        </is>
      </c>
      <c r="U228" s="3" t="inlineStr">
        <is>
          <t>ACTIVE</t>
        </is>
      </c>
      <c r="V228" s="3" t="inlineStr">
        <is>
          <t>2026-09-12</t>
        </is>
      </c>
      <c r="W228" s="3" t="n"/>
      <c r="X228" s="3" t="n"/>
      <c r="Y228" s="3" t="inlineStr">
        <is>
          <t>NOTHING OPEN</t>
        </is>
      </c>
    </row>
    <row r="229" ht="60" customHeight="1">
      <c r="A229" s="3" t="inlineStr">
        <is>
          <t>MK-NW-F-001</t>
        </is>
      </c>
      <c r="B229" s="3" t="inlineStr">
        <is>
          <t>isAlternative</t>
        </is>
      </c>
      <c r="C229" s="3" t="inlineStr">
        <is>
          <t>src/domain/alternatives/index.ts</t>
        </is>
      </c>
      <c r="D229" s="3" t="n">
        <v>33</v>
      </c>
      <c r="E229" s="3" t="inlineStr">
        <is>
          <t>2 · DISPLAYED</t>
        </is>
      </c>
      <c r="F229" s="3" t="inlineStr">
        <is>
          <t>Is this account an "other investment" — an alternative held at a manual value (not a bond, not cash/property)?</t>
        </is>
      </c>
      <c r="G229" s="11" t="inlineStr">
        <is>
          <t>asset class of(a) = 'alternatives'</t>
        </is>
      </c>
      <c r="H229" s="3" t="inlineStr">
        <is>
          <t>asset class of(a) = 'alternatives'.</t>
        </is>
      </c>
      <c r="I229" s="3" t="inlineStr">
        <is>
          <t>READ FROM THE CODE — rendered from the expressions the function runs</t>
        </is>
      </c>
      <c r="J229" s="3" t="inlineStr">
        <is>
          <t>a: AssetAccount</t>
        </is>
      </c>
      <c r="K229" s="3" t="inlineStr">
        <is>
          <t>boolean</t>
        </is>
      </c>
      <c r="L229" s="3" t="inlineStr">
        <is>
          <t>NOT FOUND — a screen calls it, but the words printed beside its answer could not be traced automatically. Needs reading.</t>
        </is>
      </c>
      <c r="M229" s="3" t="inlineStr">
        <is>
          <t>None found in this function — anything it assumes comes from the functions it depends on.</t>
        </is>
      </c>
      <c r="N229" s="3" t="inlineStr">
        <is>
          <t>Yes</t>
        </is>
      </c>
      <c r="O229" s="3" t="inlineStr">
        <is>
          <t>MK-NW-F-011 assetClassOf</t>
        </is>
      </c>
      <c r="P229" s="3" t="n">
        <v>11</v>
      </c>
      <c r="Q229" s="3" t="inlineStr">
        <is>
          <t>1. MK-NW-F-011 assetClassOf
2. MK-NW-F-008 incomeBearingClassOf
3. MK-CF-F-155 cash
4. MK-ST-F-010 nameEvidence
5. MK-XS-F-122 n
6. MK-XS-F-147 call
7. MK-ST-F-056 has
8. MK-CF-F-132 map
9. MK-ST-F-027 accountId
10. MK-XS-F-064 currentIdToken
11. MK-XS-F-112 relayUrl</t>
        </is>
      </c>
      <c r="R229" s="3" t="inlineStr">
        <is>
          <t>1. MK-XS-F-122 n → MK-CF-F-155 cash → MK-NW-F-008 incomeBearingClassOf → MK-NW-F-011 assetClassOf → MK-NW-F-001 isAlternative
2. MK-ST-F-027 accountId → MK-XS-F-147 call → MK-ST-F-010 nameEvidence → MK-NW-F-008 incomeBearingClassOf → MK-NW-F-011 assetClassOf → MK-NW-F-001 isAlternative
3. MK-XS-F-064 currentIdToken → MK-XS-F-147 call → MK-ST-F-010 nameEvidence → MK-NW-F-008 incomeBearingClassOf → MK-NW-F-011 assetClassOf → MK-NW-F-001 isAlternative
4. MK-XS-F-112 relayUrl → MK-XS-F-147 call → MK-ST-F-010 nameEvidence → MK-NW-F-008 incomeBearingClassOf → MK-NW-F-011 assetClassOf → MK-NW-F-001 isAlternative
5. MK-ST-F-056 has → MK-ST-F-010 nameEvidence → MK-NW-F-008 incomeBearingClassOf → MK-NW-F-011 assetClassOf → MK-NW-F-001 isAlternative
6. MK-CF-F-132 map → MK-ST-F-010 nameEvidence → MK-NW-F-008 incomeBearingClassOf → MK-NW-F-011 assetClassOf → MK-NW-F-001 isAlternative</t>
        </is>
      </c>
      <c r="S229" s="3" t="inlineStr">
        <is>
          <t>—</t>
        </is>
      </c>
      <c r="T229" s="3" t="inlineStr">
        <is>
          <t>IS_ALTERNATIVE</t>
        </is>
      </c>
      <c r="U229" s="3" t="inlineStr">
        <is>
          <t>ACTIVE</t>
        </is>
      </c>
      <c r="V229" s="3" t="inlineStr">
        <is>
          <t>2026-10-04</t>
        </is>
      </c>
      <c r="W229" s="3" t="n"/>
      <c r="X229" s="3" t="n"/>
      <c r="Y229" s="3" t="inlineStr">
        <is>
          <t>NOTHING OPEN</t>
        </is>
      </c>
    </row>
    <row r="230" ht="60" customHeight="1">
      <c r="A230" s="3" t="inlineStr">
        <is>
          <t>MK-NW-F-002</t>
        </is>
      </c>
      <c r="B230" s="3" t="inlineStr">
        <is>
          <t>alternativesSummary</t>
        </is>
      </c>
      <c r="C230" s="3" t="inlineStr">
        <is>
          <t>src/domain/alternatives/index.ts</t>
        </is>
      </c>
      <c r="D230" s="3" t="n">
        <v>72</v>
      </c>
      <c r="E230" s="3" t="inlineStr">
        <is>
          <t>3 · DEPENDENT</t>
        </is>
      </c>
      <c r="F230" s="3" t="inlineStr">
        <is>
          <t>Adds up the alternative investments: how many there are, what they are worth together, their blended yearly growth rate and the growth in dollars that rate gives over a year.</t>
        </is>
      </c>
      <c r="G230" s="11" t="inlineStr">
        <is>
          <t>parts = for each of accounts (or none when missing): each = each
parts = alt parts of(each) where parts.length &gt; 0
flat = parts.flat map((x) =&gt; parts)
total = Σ over flat of (value)
weighted = Σ over total &gt; 0 ? flat of (value × benchmark return(kind, overrides))÷ total : nothing</t>
        </is>
      </c>
      <c r="H230" s="3" t="inlineStr">
        <is>
          <t>Parts is for each of accounts (or none — when missing): each = each; parts = alt parts of(each) where parts.length &gt; 0. Flat is parts.flat map((x) =&gt; parts). Total: the value added up across flat. Weighted: the value times benchmark return(kind, overrides added up across total &gt; 0 ? flat)÷ total : no answer.</t>
        </is>
      </c>
      <c r="I230" s="3" t="inlineStr">
        <is>
          <t>PARTLY READ — some of the code is still showing through; needs a hand pass</t>
        </is>
      </c>
      <c r="J230" s="3" t="inlineStr">
        <is>
          <t>1. accounts: AssetAccount[]
2. overrides?: Record&lt;string, number&gt;</t>
        </is>
      </c>
      <c r="K230" s="3" t="inlineStr">
        <is>
          <t>AltSummary</t>
        </is>
      </c>
      <c r="L230" s="3" t="inlineStr">
        <is>
          <t>—</t>
        </is>
      </c>
      <c r="M230" s="3" t="inlineStr">
        <is>
          <t>None found in this function — anything it assumes comes from the functions it depends on.</t>
        </is>
      </c>
      <c r="N230" s="3" t="inlineStr">
        <is>
          <t>Yes</t>
        </is>
      </c>
      <c r="O230" s="3" t="inlineStr">
        <is>
          <t>1. MK-CF-F-200 LINE
2. MK-NW-F-113 altPartsOf
3. MK-NW-F-034 benchmarkReturn
4. MK-CF-F-204 line
5. MK-CF-F-132 map</t>
        </is>
      </c>
      <c r="P230" s="3" t="n">
        <v>112</v>
      </c>
      <c r="Q230" s="3" t="inlineStr">
        <is>
          <t>1. MK-CF-F-200 LINE
2. MK-NW-F-113 altPartsOf
3. MK-NW-F-034 benchmarkReturn
4. MK-CF-F-204 line
5. MK-CF-F-132 map
6. MK-XS-F-180 declareFigures
7. MK-CF-O-006 theCreditLine
8. MK-NW-F-027 accountClassBreakdown
9. MK-NW-F-109 holdingClassOf
10. MK-NW-F-001 isAlternative
11. MK-NW-F-007 assetKind
12. MK-CF-F-203 MONTH
13. MK-CF-F-031 creditUtilization
14. MK-NW-F-011 assetClassOf
15. MK-CF-F-155 cash
16. MK-ST-F-056 has
17. MK-NW-F-008 incomeBearingClassOf
18. MK-CF-O-010 theMonth
19. MK-XS-F-122 n
20. MK-ST-F-010 nameEvidence
21. MK-CF-O-002 expenses
22. MK-CF-O-003 thisMonth
23. MK-XS-F-147 call
24. MK-CF-F-151 actualSpending
25. MK-CF-F-150 debtPaymentsCountedAsExpenses
26. MK-CF-F-153 radar
27. MK-CF-F-149 recurringDebtPayments
28. MK-CF-F-005 actualMonthFlow
29. MK-CF-F-156 plannedMonthFlow
30. MK-ST-F-027 accountId
31. MK-XS-F-064 currentIdToken
32. MK-XS-F-112 relayUrl
33. MK-CF-F-148 inMonth
34. MK-ST-F-052 toNum
35. MK-CF-F-191 ym
36. MK-CF-F-022 paymentShape
37. MK-CF-F-152 isRadarItem
38. MK-CF-F-023 requiredPayment
39. MK-NW-F-078 ONE
40. MK-CF-F-157 debtPaymentsByDebt
41. MK-CF-F-192 inflowLabel
42. MK-XS-F-027 takeHomeMonthly
43. MK-CF-F-021 defaultPaymentType
44. MK-NW-F-077 ALL
45. MK-NW-F-059 currentYield
46. MK-ST-F-049 formatMoney
47. MK-ST-F-053 money
48. MK-NW-O-001 theBonds
49. MK-CF-F-193 inflowSourceWord
50. MK-CF-F-092 incomeMonthlyGrid
51. MK-CF-F-011 savingsByMonth
52. MK-NW-F-112 yearlyInterest
53. MK-ST-F-048 currencySymbol
54. MK-ST-F-039 on
55. MK-NW-F-057 annualCoupon
56. MK-NW-F-056 bondInfo
57. MK-NW-F-064 bondRateSensitivity
58. MK-NW-F-061 bondSummary
59. MK-NW-F-055 isBond
60. MK-ST-F-065 isoLocalDate
61. MK-NW-F-072 rowOf
62. MK-CF-F-069 benefitActiveMonths
63. MK-CF-F-072 currentRetirementIncomeMonthly
64. MK-CF-F-173 earnerWages
65. MK-CF-F-065 equityVestWeights
66. MK-CF-F-071 extraIncome
67. MK-CF-F-206 householdK401ByMonth
68. MK-CF-F-087 monthlyTaxRates
69. MK-CF-F-073 otherIncomeMonth
70. MK-CF-F-181 rateInForce
71. MK-CF-F-068 rentalNetAnnual
72. MK-CF-F-066 rsuAnnual
73. MK-CF-F-060 salaryGrossByMonth
74. MK-CF-F-077 scholarshipByCalendarMonth
75. MK-CF-F-088 taxableByCalendarMonth
76. MK-CF-F-177 wageGrossByMonth
77. MK-PL-F-012 waterfall
78. MK-CF-F-008 spendByMonth
79. MK-ST-F-047 activeCurrency
80. MK-NW-F-060 approxYTM
81. MK-NW-F-069 priceAtYield
82. MK-NW-F-070 accruedInterestCaveat
83. MK-NW-F-058 yearsToMaturity
84. MK-CF-F-075 retirementIncomeMonthly
85. MK-CF-F-172 hasWage
86. MK-CF-F-062 equityRowValue
87. MK-CF-F-070 benefitAnnual
88. MK-CF-F-176 sumMonthsOverEarners
89. MK-CF-F-090 effectiveRate
90. MK-CF-F-180 enteredLandsAnnual
91. MK-CF-F-085 filingStatusOf
92. MK-CF-F-089 over65CountOf
93. MK-CF-F-082 salaryAnnual
94. MK-CF-F-086 stateRateOf
95. MK-CF-F-101 taxOwedFor
96. MK-CF-F-084 taxableAnnual
97. MK-CF-F-067 rentalList
98. MK-CF-F-063 rowVestYear
99. MK-CF-F-130 enteredMonthlyRaw
100. MK-CF-F-166 hasMonthlySalaryTable
101. MK-ST-F-036 reconcile
102. MK-CF-F-167 salaryCalendarYear
103. MK-CF-F-120 pctBaseMonthly
104. MK-CF-F-004 spendBuckets
105. MK-NW-F-119 estimatedAccrued
106. MK-CF-F-100 taxableIncomeFor
107. MK-CF-F-074 tipsAnnual
108. MK-CF-F-165 salaryMonths
109. MK-CF-F-003 categoryMonthly
110. MK-CF-F-099 deductionFor
111. MK-CF-F-081 salaryActiveMonths
112. MK-CF-F-187 seniorDeductionFor</t>
        </is>
      </c>
      <c r="R230" s="3" t="inlineStr">
        <is>
          <t>1. MK-XS-F-180 declareFigures → MK-CF-F-200 LINE → MK-NW-F-002 alternativesSummary
2. MK-CF-F-031 creditUtilization → MK-CF-O-006 theCreditLine → MK-CF-F-200 LINE → MK-NW-F-002 alternativesSummary
3. MK-CF-O-010 theMonth → MK-CF-F-203 MONTH → MK-CF-F-204 line → MK-CF-O-006 theCreditLine → MK-CF-F-200 LINE → MK-NW-F-002 alternativesSummary
4. MK-XS-F-180 declareFigures → MK-CF-F-204 line → MK-CF-O-006 theCreditLine → MK-CF-F-200 LINE → MK-NW-F-002 alternativesSummary
5. MK-CF-F-155 cash → MK-NW-F-008 incomeBearingClassOf → MK-NW-F-011 assetClassOf → MK-NW-F-027 accountClassBreakdown → MK-NW-F-113 altPartsOf → MK-NW-F-002 alternativesSummary
6. MK-ST-F-010 nameEvidence → MK-NW-F-008 incomeBearingClassOf → MK-NW-F-011 assetClassOf → MK-NW-F-027 accountClassBreakdown → MK-NW-F-113 altPartsOf → MK-NW-F-002 alternativesSummary
7. MK-XS-F-122 n → MK-CF-F-155 cash → MK-NW-F-027 accountClassBreakdown → MK-NW-F-113 altPartsOf → MK-NW-F-002 alternativesSummary
8. MK-ST-F-056 has → MK-NW-F-027 accountClassBreakdown → MK-NW-F-113 altPartsOf → MK-NW-F-002 alternativesSummary
9. … and 5 more paths</t>
        </is>
      </c>
      <c r="S230" s="3" t="inlineStr">
        <is>
          <t>—</t>
        </is>
      </c>
      <c r="T230" s="3" t="inlineStr">
        <is>
          <t>—</t>
        </is>
      </c>
      <c r="U230" s="3" t="inlineStr">
        <is>
          <t>ACTIVE</t>
        </is>
      </c>
      <c r="V230" s="3" t="inlineStr">
        <is>
          <t>2026-10-07</t>
        </is>
      </c>
      <c r="W230" s="3" t="n"/>
      <c r="X230" s="3" t="n"/>
      <c r="Y230" s="3" t="inlineStr">
        <is>
          <t>NOTHING OPEN</t>
        </is>
      </c>
    </row>
    <row r="231" ht="60" customHeight="1">
      <c r="A231" s="3" t="inlineStr">
        <is>
          <t>MK-NW-F-003</t>
        </is>
      </c>
      <c r="B231" s="3" t="inlineStr">
        <is>
          <t>valueFreshness</t>
        </is>
      </c>
      <c r="C231" s="3" t="inlineStr">
        <is>
          <t>src/domain/assets/index.ts</t>
        </is>
      </c>
      <c r="D231" s="3" t="n">
        <v>137</v>
      </c>
      <c r="E231" s="3" t="inlineStr">
        <is>
          <t>2 · DISPLAYED</t>
        </is>
      </c>
      <c r="F231" s="3" t="inlineStr">
        <is>
          <t>How many whole months old is a value typed by hand, and is that old enough to ask about it?</t>
        </is>
      </c>
      <c r="G231" s="11" t="inlineStr">
        <is>
          <t>nothing   when derive balance
nothing   when value as of is missing
m = value as of.match( ÷ ^(\d{4}) − (\d{2})(?:-(\d{2}))? ÷ )
nothing   when m is missing
crossed = (now.get full year() - +m[1]) × 12 + (now.get month() + 1 - +m[2])
set on = +m[3]   if m[3]
1   otherwise
last day this month = the date now.get full year(), now.get month() + 1, 0).get date(
reached = now.get date() ≥ set on (or now.get date() = last day this month when missing or zero)
months old = max(0, crossed − (reached ? 0 : 1))
the answer:
as of = value as of   if m[3]
`${m[1]}-${m[2]}-01`   otherwise
months old = months old
stale = months old ≥ 6</t>
        </is>
      </c>
      <c r="H231" s="3" t="inlineStr">
        <is>
          <t>When derive balance, it answers no answer. When value as of is missing, it answers no answer. M is value as of.match( divided by ^(\d{4}) minus (\d{2})(?:-(\d{2}))? divided by ). When m is missing, it answers no answer. Crossed is (now.get full year() - +m[1]) times 12 plus (now.get month() plus 1 - +m[2]). Set on is +m[3] — when m[3]; 1 — otherwise. Last day this month: the date now.get full year(), now.get month() plus 1, 0).get date(. Reached is now.get date() is at least set on (or now.get date() = last day this month — when missing or zero). Months old is crossed minus (reached ? 0 : 1, never below zero). The answer is as of = value as of — when m[3]; `${m[1]}-${m[2]}-01` — otherwise; months old = months old; stale = months old is at least 6.</t>
        </is>
      </c>
      <c r="I231" s="3" t="inlineStr">
        <is>
          <t>PARTLY READ — some of the code is still showing through; needs a hand pass</t>
        </is>
      </c>
      <c r="J231" s="3" t="inlineStr">
        <is>
          <t>1. a: AssetAccount
2. now: Date = new Date()</t>
        </is>
      </c>
      <c r="K231" s="3" t="inlineStr">
        <is>
          <t>NOT DECLARED — the code does not say what it gives back</t>
        </is>
      </c>
      <c r="L231" s="3" t="inlineStr">
        <is>
          <t>NOT FOUND — a screen calls it, but the words printed beside its answer could not be traced automatically. Needs reading.</t>
        </is>
      </c>
      <c r="M231" s="3" t="inlineStr">
        <is>
          <t>1. Turns a monthly figure into a year by multiplying by twelve.
2. Uses today's date from the device clock, so the answer changes by itself overnight.</t>
        </is>
      </c>
      <c r="N231" s="3" t="inlineStr">
        <is>
          <t>Yes</t>
        </is>
      </c>
      <c r="O231" s="3" t="inlineStr">
        <is>
          <t>MK-NW-F-037 blendedReturn</t>
        </is>
      </c>
      <c r="P231" s="3" t="n">
        <v>34</v>
      </c>
      <c r="Q231" s="3" t="inlineStr">
        <is>
          <t>1. MK-NW-F-037 blendedReturn
2. MK-NW-F-034 benchmarkReturn
3. MK-NW-F-032 earmarkedAmount
4. MK-NW-F-031 primaryCarIdOf
5. MK-NW-F-110 primaryHomeIdOf
6. MK-NW-F-007 assetKind
7. MK-NW-F-030 earmarkDefault
8. MK-NW-F-117 propertyUseMap
9. MK-NW-F-011 assetClassOf
10. MK-CF-F-155 cash
11. MK-ST-F-056 has
12. MK-NW-F-115 liveRent
13. MK-NW-F-116 rentedIdsOf
14. MK-NW-F-008 incomeBearingClassOf
15. MK-XS-F-122 n
16. MK-CF-O-002 expenses
17. MK-NW-F-114 rentAmount
18. MK-CF-F-132 map
19. MK-ST-F-010 nameEvidence
20. MK-CF-F-151 actualSpending
21. MK-CF-F-150 debtPaymentsCountedAsExpenses
22. MK-CF-F-153 radar
23. MK-CF-F-149 recurringDebtPayments
24. MK-XS-F-147 call
25. MK-CF-F-148 inMonth
26. MK-ST-F-052 toNum
27. MK-CF-F-191 ym
28. MK-CF-F-022 paymentShape
29. MK-CF-F-152 isRadarItem
30. MK-CF-F-023 requiredPayment
31. MK-ST-F-027 accountId
32. MK-XS-F-064 currentIdToken
33. MK-XS-F-112 relayUrl
34. MK-CF-F-021 defaultPaymentType</t>
        </is>
      </c>
      <c r="R231" s="3" t="inlineStr">
        <is>
          <t>1. MK-NW-F-008 incomeBearingClassOf → MK-NW-F-011 assetClassOf → MK-NW-F-007 assetKind → MK-NW-F-034 benchmarkReturn → MK-NW-F-037 blendedReturn → MK-NW-F-003 valueFreshness
2. MK-XS-F-122 n → MK-CF-F-155 cash → MK-NW-F-007 assetKind → MK-NW-F-034 benchmarkReturn → MK-NW-F-037 blendedReturn → MK-NW-F-003 valueFreshness
3. MK-NW-F-008 incomeBearingClassOf → MK-NW-F-011 assetClassOf → MK-NW-F-030 earmarkDefault → MK-NW-F-032 earmarkedAmount → MK-NW-F-037 blendedReturn → MK-NW-F-003 valueFreshness
4. MK-NW-F-031 primaryCarIdOf → MK-NW-F-037 blendedReturn → MK-NW-F-003 valueFreshness
5. MK-NW-F-008 incomeBearingClassOf → MK-NW-F-011 assetClassOf → MK-NW-F-030 earmarkDefault → MK-NW-F-110 primaryHomeIdOf → MK-NW-F-037 blendedReturn → MK-NW-F-003 valueFreshness
6. MK-NW-F-008 incomeBearingClassOf → MK-NW-F-011 assetClassOf → MK-NW-F-117 propertyUseMap → MK-NW-F-110 primaryHomeIdOf → MK-NW-F-037 blendedReturn → MK-NW-F-003 valueFreshness
7. MK-ST-F-056 has → MK-NW-F-117 propertyUseMap → MK-NW-F-110 primaryHomeIdOf → MK-NW-F-037 blendedReturn → MK-NW-F-003 valueFreshness
8. MK-CF-O-002 expenses → MK-NW-F-115 liveRent → MK-NW-F-117 propertyUseMap → MK-NW-F-110 primaryHomeIdOf → MK-NW-F-037 blendedReturn → MK-NW-F-003 valueFreshness
9. … and 3 more paths</t>
        </is>
      </c>
      <c r="S231" s="3" t="inlineStr">
        <is>
          <t>—</t>
        </is>
      </c>
      <c r="T231" s="3" t="inlineStr">
        <is>
          <t>HAND_VALUE_AGE</t>
        </is>
      </c>
      <c r="U231" s="3" t="inlineStr">
        <is>
          <t>ACTIVE</t>
        </is>
      </c>
      <c r="V231" s="3" t="inlineStr">
        <is>
          <t>2026-10-07</t>
        </is>
      </c>
      <c r="W231" s="3" t="n"/>
      <c r="X231" s="3" t="n"/>
      <c r="Y231" s="3" t="inlineStr">
        <is>
          <t>NOTHING OPEN</t>
        </is>
      </c>
    </row>
    <row r="232" ht="60" customHeight="1">
      <c r="A232" s="3" t="inlineStr">
        <is>
          <t>MK-NW-F-004</t>
        </is>
      </c>
      <c r="B232" s="3" t="inlineStr">
        <is>
          <t>portfolioActualReturn</t>
        </is>
      </c>
      <c r="C232" s="3" t="inlineStr">
        <is>
          <t>src/domain/assets/index.ts</t>
        </is>
      </c>
      <c r="D232" s="3" t="n">
        <v>184</v>
      </c>
      <c r="E232" s="3" t="inlineStr">
        <is>
          <t>2 · DISPLAYED</t>
        </is>
      </c>
      <c r="F232" s="3" t="inlineStr">
        <is>
          <t>What the money set aside for retirement returned over the last twelve months, from the returns the person reported.</t>
        </is>
      </c>
      <c r="G232" s="11" t="inlineStr">
        <is>
          <t>items = accounts (or none when missing) where tax bucket ! = 'PROPERTY' and actual ttm ≠ nothing and earmarked amount(each) &gt; 0 and (actual ttm as number) &gt; -1
now = Σ over items of (earmarked amount(each))
start = Σ over items of (earmarked amount(each) ÷ (1 + (actual ttm as number)))
nothing   when now ≤ 0 (or start ≤ 0 when missing or zero)
the answer = now ÷ start − 1</t>
        </is>
      </c>
      <c r="H232" s="3" t="inlineStr">
        <is>
          <t>Items is accounts (or none — when missing) where tax bucket ! = 'PROPERTY' and actual ttm is not no answer and earmarked amount(each) &gt; 0 and (actual ttm as number) &gt; -1. Now: the earmarked amount(each) added up across items. Start: the earmarked amount(each) divided by (1 plus (actual ttm as number)) added up across items. When now is at most 0 (or start is at most 0 — when missing or zero), it answers no answer. The answer is now divided by start minus 1.</t>
        </is>
      </c>
      <c r="I232" s="3" t="inlineStr">
        <is>
          <t>READ FROM THE CODE — rendered from the expressions the function runs</t>
        </is>
      </c>
      <c r="J232" s="3" t="inlineStr">
        <is>
          <t>accounts: AssetAccount[]</t>
        </is>
      </c>
      <c r="K232" s="3" t="inlineStr">
        <is>
          <t>number | null</t>
        </is>
      </c>
      <c r="L232" s="3" t="inlineStr">
        <is>
          <t>"Expected return" — on the Retirement cockpit screen, under "scRetired ?"</t>
        </is>
      </c>
      <c r="M232" s="3" t="inlineStr">
        <is>
          <t>None found in this function — anything it assumes comes from the functions it depends on.</t>
        </is>
      </c>
      <c r="N232" s="3" t="inlineStr">
        <is>
          <t>Yes</t>
        </is>
      </c>
      <c r="O232" s="3" t="inlineStr">
        <is>
          <t>1. MK-CF-F-155 cash
2. MK-NW-F-032 earmarkedAmount</t>
        </is>
      </c>
      <c r="P232" s="3" t="n">
        <v>13</v>
      </c>
      <c r="Q232" s="3" t="inlineStr">
        <is>
          <t>1. MK-CF-F-155 cash
2. MK-NW-F-032 earmarkedAmount
3. MK-XS-F-122 n
4. MK-NW-F-030 earmarkDefault
5. MK-NW-F-011 assetClassOf
6. MK-NW-F-008 incomeBearingClassOf
7. MK-ST-F-010 nameEvidence
8. MK-XS-F-147 call
9. MK-ST-F-056 has
10. MK-CF-F-132 map
11. MK-ST-F-027 accountId
12. MK-XS-F-064 currentIdToken
13. MK-XS-F-112 relayUrl</t>
        </is>
      </c>
      <c r="R232" s="3" t="inlineStr">
        <is>
          <t>1. MK-XS-F-122 n → MK-CF-F-155 cash → MK-NW-F-004 portfolioActualReturn
2. MK-CF-F-155 cash → MK-NW-F-008 incomeBearingClassOf → MK-NW-F-011 assetClassOf → MK-NW-F-030 earmarkDefault → MK-NW-F-032 earmarkedAmount → MK-NW-F-004 portfolioActualReturn
3. MK-ST-F-010 nameEvidence → MK-NW-F-008 incomeBearingClassOf → MK-NW-F-011 assetClassOf → MK-NW-F-030 earmarkDefault → MK-NW-F-032 earmarkedAmount → MK-NW-F-004 portfolioActualReturn</t>
        </is>
      </c>
      <c r="S232" s="3" t="inlineStr">
        <is>
          <t>—</t>
        </is>
      </c>
      <c r="T232" s="3" t="inlineStr">
        <is>
          <t>REPORTED_RETURN</t>
        </is>
      </c>
      <c r="U232" s="3" t="inlineStr">
        <is>
          <t>ACTIVE</t>
        </is>
      </c>
      <c r="V232" s="3" t="inlineStr">
        <is>
          <t>2026-10-07</t>
        </is>
      </c>
      <c r="W232" s="3" t="n"/>
      <c r="X232" s="3" t="n"/>
      <c r="Y232" s="3" t="inlineStr">
        <is>
          <t>NOTHING OPEN</t>
        </is>
      </c>
    </row>
    <row r="233" ht="60" customHeight="1">
      <c r="A233" s="3" t="inlineStr">
        <is>
          <t>MK-NW-F-005</t>
        </is>
      </c>
      <c r="B233" s="3" t="inlineStr">
        <is>
          <t>accountAllowsTicker</t>
        </is>
      </c>
      <c r="C233" s="3" t="inlineStr">
        <is>
          <t>src/domain/assets/index.ts</t>
        </is>
      </c>
      <c r="D233" s="3" t="n">
        <v>228</v>
      </c>
      <c r="E233" s="3" t="inlineStr">
        <is>
          <t>2 · DISPLAYED</t>
        </is>
      </c>
      <c r="F233" s="3" t="inlineStr">
        <is>
          <t>Can a share or fund bought by its ticker be recorded in this account?</t>
        </is>
      </c>
      <c r="G233" s="11" t="inlineStr">
        <is>
          <t>false   when tax bucket = 'PROPERTY' (or tax bucket = 'CASH' when missing or zero)
false   when kind = 'college_529'
false   when kind = 'checking' (or kind = 'savings' when missing or zero)
true   when (positions.length ?? 0) &gt; 0
cls = asset class of(a)
false   when cls = 'bonds' (or cls = 'alternatives' when missing or zero)
the answer = true</t>
        </is>
      </c>
      <c r="H233" s="3" t="inlineStr">
        <is>
          <t>When tax bucket = 'PROPERTY' (or tax bucket = 'CASH' — when missing or zero), it answers false. When kind = 'college_529', it answers false. When kind = 'checking' (or kind = 'savings' — when missing or zero), it answers false. When (positions.length ?? 0) &gt; 0, it answers true. Cls is asset class of(a). When cls = 'bonds' (or cls = 'alternatives' — when missing or zero), it answers false. The answer is true.</t>
        </is>
      </c>
      <c r="I233" s="3" t="inlineStr">
        <is>
          <t>PARTLY READ — some of the code is still showing through; needs a hand pass</t>
        </is>
      </c>
      <c r="J233" s="3" t="inlineStr">
        <is>
          <t>a: AssetAccount</t>
        </is>
      </c>
      <c r="K233" s="3" t="inlineStr">
        <is>
          <t>boolean</t>
        </is>
      </c>
      <c r="L233" s="3" t="inlineStr">
        <is>
          <t>NOT FOUND — a screen calls it, but the words printed beside its answer could not be traced automatically. Needs reading.</t>
        </is>
      </c>
      <c r="M233" s="3" t="inlineStr">
        <is>
          <t>· If length is missing it uses 0.</t>
        </is>
      </c>
      <c r="N233" s="3" t="inlineStr">
        <is>
          <t>Yes</t>
        </is>
      </c>
      <c r="O233" s="3" t="inlineStr">
        <is>
          <t>1. MK-NW-F-011 assetClassOf
2. MK-CF-F-155 cash</t>
        </is>
      </c>
      <c r="P233" s="3" t="n">
        <v>11</v>
      </c>
      <c r="Q233" s="3" t="inlineStr">
        <is>
          <t>1. MK-NW-F-011 assetClassOf
2. MK-CF-F-155 cash
3. MK-NW-F-008 incomeBearingClassOf
4. MK-XS-F-122 n
5. MK-ST-F-010 nameEvidence
6. MK-XS-F-147 call
7. MK-ST-F-056 has
8. MK-CF-F-132 map
9. MK-ST-F-027 accountId
10. MK-XS-F-064 currentIdToken
11. MK-XS-F-112 relayUrl</t>
        </is>
      </c>
      <c r="R233" s="3" t="inlineStr">
        <is>
          <t>1. MK-XS-F-122 n → MK-CF-F-155 cash → MK-NW-F-008 incomeBearingClassOf → MK-NW-F-011 assetClassOf → MK-NW-F-005 accountAllowsTicker
2. MK-ST-F-027 accountId → MK-XS-F-147 call → MK-ST-F-010 nameEvidence → MK-NW-F-008 incomeBearingClassOf → MK-NW-F-011 assetClassOf → MK-NW-F-005 accountAllowsTicker
3. MK-XS-F-064 currentIdToken → MK-XS-F-147 call → MK-ST-F-010 nameEvidence → MK-NW-F-008 incomeBearingClassOf → MK-NW-F-011 assetClassOf → MK-NW-F-005 accountAllowsTicker
4. MK-XS-F-112 relayUrl → MK-XS-F-147 call → MK-ST-F-010 nameEvidence → MK-NW-F-008 incomeBearingClassOf → MK-NW-F-011 assetClassOf → MK-NW-F-005 accountAllowsTicker
5. MK-ST-F-056 has → MK-ST-F-010 nameEvidence → MK-NW-F-008 incomeBearingClassOf → MK-NW-F-011 assetClassOf → MK-NW-F-005 accountAllowsTicker
6. MK-CF-F-132 map → MK-ST-F-010 nameEvidence → MK-NW-F-008 incomeBearingClassOf → MK-NW-F-011 assetClassOf → MK-NW-F-005 accountAllowsTicker
7. MK-XS-F-122 n → MK-CF-F-155 cash → MK-NW-F-005 accountAllowsTicker</t>
        </is>
      </c>
      <c r="S233" s="3" t="inlineStr">
        <is>
          <t>—</t>
        </is>
      </c>
      <c r="T233" s="3" t="inlineStr">
        <is>
          <t>CAN_HOLD_TICKERS</t>
        </is>
      </c>
      <c r="U233" s="3" t="inlineStr">
        <is>
          <t>ACTIVE</t>
        </is>
      </c>
      <c r="V233" s="3" t="inlineStr">
        <is>
          <t>2026-10-05</t>
        </is>
      </c>
      <c r="W233" s="3" t="n"/>
      <c r="X233" s="3" t="n"/>
      <c r="Y233" s="3" t="inlineStr">
        <is>
          <t>NOTHING OPEN</t>
        </is>
      </c>
    </row>
    <row r="234" ht="60" customHeight="1">
      <c r="A234" s="3" t="inlineStr">
        <is>
          <t>MK-NW-F-006</t>
        </is>
      </c>
      <c r="B234" s="3" t="inlineStr">
        <is>
          <t>isCashKind</t>
        </is>
      </c>
      <c r="C234" s="3" t="inlineStr">
        <is>
          <t>src/domain/assets/index.ts</t>
        </is>
      </c>
      <c r="D234" s="3" t="n">
        <v>300</v>
      </c>
      <c r="E234" s="3" t="inlineStr">
        <is>
          <t>1 · ACTION</t>
        </is>
      </c>
      <c r="F234" s="3" t="inlineStr">
        <is>
          <t>Does this account type sit under the Cash heading on screen?</t>
        </is>
      </c>
      <c r="G234" s="11" t="inlineStr">
        <is>
          <t>asset kind(kind).bucket = 'CASH'</t>
        </is>
      </c>
      <c r="H234" s="3" t="inlineStr">
        <is>
          <t>asset kind(kind).bucket = 'CASH'</t>
        </is>
      </c>
      <c r="I234" s="3" t="inlineStr">
        <is>
          <t>PARTLY READ — some of the code is still showing through; needs a hand pass</t>
        </is>
      </c>
      <c r="J234" s="3" t="inlineStr">
        <is>
          <t>kind?: string</t>
        </is>
      </c>
      <c r="K234" s="3" t="inlineStr">
        <is>
          <t>NOT DECLARED — the code does not say what it gives back</t>
        </is>
      </c>
      <c r="L234" s="3" t="inlineStr">
        <is>
          <t>—</t>
        </is>
      </c>
      <c r="M234" s="3" t="inlineStr">
        <is>
          <t>None found in this function — anything it assumes comes from the functions it depends on.</t>
        </is>
      </c>
      <c r="N234" s="3" t="inlineStr">
        <is>
          <t>No</t>
        </is>
      </c>
      <c r="O234" s="3" t="inlineStr">
        <is>
          <t>MK-NW-F-007 assetKind</t>
        </is>
      </c>
      <c r="P234" s="3" t="n">
        <v>12</v>
      </c>
      <c r="Q234" s="3" t="inlineStr">
        <is>
          <t>1. MK-NW-F-007 assetKind
2. MK-NW-F-011 assetClassOf
3. MK-CF-F-155 cash
4. MK-NW-F-008 incomeBearingClassOf
5. MK-XS-F-122 n
6. MK-ST-F-010 nameEvidence
7. MK-XS-F-147 call
8. MK-ST-F-056 has
9. MK-CF-F-132 map
10. MK-ST-F-027 accountId
11. MK-XS-F-064 currentIdToken
12. MK-XS-F-112 relayUrl</t>
        </is>
      </c>
      <c r="R234" s="3" t="inlineStr">
        <is>
          <t>1. MK-XS-F-122 n → MK-CF-F-155 cash → MK-NW-F-008 incomeBearingClassOf → MK-NW-F-011 assetClassOf → MK-NW-F-007 assetKind → MK-NW-F-006 isCashKind
2. MK-XS-F-147 call → MK-ST-F-010 nameEvidence → MK-NW-F-008 incomeBearingClassOf → MK-NW-F-011 assetClassOf → MK-NW-F-007 assetKind → MK-NW-F-006 isCashKind
3. MK-ST-F-056 has → MK-ST-F-010 nameEvidence → MK-NW-F-008 incomeBearingClassOf → MK-NW-F-011 assetClassOf → MK-NW-F-007 assetKind → MK-NW-F-006 isCashKind
4. MK-CF-F-132 map → MK-ST-F-010 nameEvidence → MK-NW-F-008 incomeBearingClassOf → MK-NW-F-011 assetClassOf → MK-NW-F-007 assetKind → MK-NW-F-006 isCashKind
5. MK-XS-F-122 n → MK-CF-F-155 cash → MK-NW-F-007 assetKind → MK-NW-F-006 isCashKind</t>
        </is>
      </c>
      <c r="S234" s="3" t="inlineStr">
        <is>
          <t>—</t>
        </is>
      </c>
      <c r="T234" s="3" t="inlineStr">
        <is>
          <t>KIND_IS_CASH</t>
        </is>
      </c>
      <c r="U234" s="3" t="inlineStr">
        <is>
          <t>ACTIVE</t>
        </is>
      </c>
      <c r="V234" s="3" t="inlineStr">
        <is>
          <t>2026-08-27</t>
        </is>
      </c>
      <c r="W234" s="3" t="n"/>
      <c r="X234" s="3" t="n"/>
      <c r="Y234" s="3" t="inlineStr">
        <is>
          <t>NOTHING OPEN</t>
        </is>
      </c>
    </row>
    <row r="235" ht="60" customHeight="1">
      <c r="A235" s="3" t="inlineStr">
        <is>
          <t>MK-NW-F-007</t>
        </is>
      </c>
      <c r="B235" s="3" t="inlineStr">
        <is>
          <t>assetKind</t>
        </is>
      </c>
      <c r="C235" s="3" t="inlineStr">
        <is>
          <t>src/domain/assets/index.ts</t>
        </is>
      </c>
      <c r="D235" s="3" t="n">
        <v>325</v>
      </c>
      <c r="E235" s="3" t="inlineStr">
        <is>
          <t>2 · DISPLAYED</t>
        </is>
      </c>
      <c r="F235" s="3" t="inlineStr">
        <is>
          <t>What do we know about this kind of account?</t>
        </is>
      </c>
      <c r="G235" s="11" t="inlineStr">
        <is>
          <t>id = id); }</t>
        </is>
      </c>
      <c r="H235" s="3" t="inlineStr">
        <is>
          <t>id = id); }</t>
        </is>
      </c>
      <c r="I235" s="3" t="inlineStr">
        <is>
          <t>READ FROM THE CODE — rendered from the expressions the function runs</t>
        </is>
      </c>
      <c r="J235" s="3" t="inlineStr">
        <is>
          <t>id?: string</t>
        </is>
      </c>
      <c r="K235" s="3" t="inlineStr">
        <is>
          <t>NOT DECLARED — the code does not say what it gives back</t>
        </is>
      </c>
      <c r="L235" s="3" t="inlineStr">
        <is>
          <t>1. "ACCOUNTS / INVESTING" — on a card used on more than one screen (MoneySheets)
2. "Type" — on the Other investments screen
3. "Type" — on the account portfolio screen, under "IF INTEREST RATES MOVE"</t>
        </is>
      </c>
      <c r="M235" s="3" t="inlineStr">
        <is>
          <t>None found in this function — anything it assumes comes from the functions it depends on.</t>
        </is>
      </c>
      <c r="N235" s="3" t="inlineStr">
        <is>
          <t>Yes</t>
        </is>
      </c>
      <c r="O235" s="3" t="inlineStr">
        <is>
          <t>1. MK-NW-F-011 assetClassOf
2. MK-CF-F-155 cash</t>
        </is>
      </c>
      <c r="P235" s="3" t="n">
        <v>11</v>
      </c>
      <c r="Q235" s="3" t="inlineStr">
        <is>
          <t>1. MK-NW-F-011 assetClassOf
2. MK-CF-F-155 cash
3. MK-NW-F-008 incomeBearingClassOf
4. MK-XS-F-122 n
5. MK-ST-F-010 nameEvidence
6. MK-XS-F-147 call
7. MK-ST-F-056 has
8. MK-CF-F-132 map
9. MK-ST-F-027 accountId
10. MK-XS-F-064 currentIdToken
11. MK-XS-F-112 relayUrl</t>
        </is>
      </c>
      <c r="R235" s="3" t="inlineStr">
        <is>
          <t>1. MK-XS-F-122 n → MK-CF-F-155 cash → MK-NW-F-008 incomeBearingClassOf → MK-NW-F-011 assetClassOf → MK-NW-F-007 assetKind
2. MK-ST-F-027 accountId → MK-XS-F-147 call → MK-ST-F-010 nameEvidence → MK-NW-F-008 incomeBearingClassOf → MK-NW-F-011 assetClassOf → MK-NW-F-007 assetKind
3. MK-XS-F-064 currentIdToken → MK-XS-F-147 call → MK-ST-F-010 nameEvidence → MK-NW-F-008 incomeBearingClassOf → MK-NW-F-011 assetClassOf → MK-NW-F-007 assetKind
4. MK-XS-F-112 relayUrl → MK-XS-F-147 call → MK-ST-F-010 nameEvidence → MK-NW-F-008 incomeBearingClassOf → MK-NW-F-011 assetClassOf → MK-NW-F-007 assetKind
5. MK-ST-F-056 has → MK-ST-F-010 nameEvidence → MK-NW-F-008 incomeBearingClassOf → MK-NW-F-011 assetClassOf → MK-NW-F-007 assetKind
6. MK-CF-F-132 map → MK-ST-F-010 nameEvidence → MK-NW-F-008 incomeBearingClassOf → MK-NW-F-011 assetClassOf → MK-NW-F-007 assetKind
7. MK-XS-F-122 n → MK-CF-F-155 cash → MK-NW-F-007 assetKind</t>
        </is>
      </c>
      <c r="S235" s="3" t="inlineStr">
        <is>
          <t>—</t>
        </is>
      </c>
      <c r="T235" s="3" t="inlineStr">
        <is>
          <t>ACCOUNT_TYPE_FACTS</t>
        </is>
      </c>
      <c r="U235" s="3" t="inlineStr">
        <is>
          <t>ACTIVE</t>
        </is>
      </c>
      <c r="V235" s="3" t="inlineStr">
        <is>
          <t>2026-08-27</t>
        </is>
      </c>
      <c r="W235" s="3" t="n"/>
      <c r="X235" s="3" t="n"/>
      <c r="Y235" s="3" t="inlineStr">
        <is>
          <t>NOTHING OPEN</t>
        </is>
      </c>
    </row>
    <row r="236" ht="60" customHeight="1">
      <c r="A236" s="3" t="inlineStr">
        <is>
          <t>MK-NW-F-008</t>
        </is>
      </c>
      <c r="B236" s="3" t="inlineStr">
        <is>
          <t>incomeBearingClassOf</t>
        </is>
      </c>
      <c r="C236" s="3" t="inlineStr">
        <is>
          <t>src/domain/assets/index.ts</t>
        </is>
      </c>
      <c r="D236" s="3" t="n">
        <v>380</v>
      </c>
      <c r="E236" s="3" t="inlineStr">
        <is>
          <t>3 · DEPENDENT</t>
        </is>
      </c>
      <c r="F236" s="3" t="inlineStr">
        <is>
          <t>FOUNDER RULE 2026-08-04 (supersedes the money-market=cash rule and the 12-month CD split): CASH means cash only — a sweep/settlement balance.</t>
        </is>
      </c>
      <c r="G236" s="11" t="inlineStr">
        <is>
          <t>name evidence(label)</t>
        </is>
      </c>
      <c r="H236" s="3" t="inlineStr">
        <is>
          <t>name evidence(label).</t>
        </is>
      </c>
      <c r="I236" s="3" t="inlineStr">
        <is>
          <t>READ FROM THE CODE — rendered from the expressions the function runs</t>
        </is>
      </c>
      <c r="J236" s="3" t="inlineStr">
        <is>
          <t>label?: string</t>
        </is>
      </c>
      <c r="K236" s="3" t="inlineStr">
        <is>
          <t>AssetClass | null</t>
        </is>
      </c>
      <c r="L236" s="3" t="inlineStr">
        <is>
          <t>—</t>
        </is>
      </c>
      <c r="M236" s="3" t="inlineStr">
        <is>
          <t>None found in this function — anything it assumes comes from the functions it depends on.</t>
        </is>
      </c>
      <c r="N236" s="3" t="inlineStr">
        <is>
          <t>Yes</t>
        </is>
      </c>
      <c r="O236" s="3" t="inlineStr">
        <is>
          <t>1. MK-CF-F-155 cash
2. MK-ST-F-010 nameEvidence</t>
        </is>
      </c>
      <c r="P236" s="3" t="n">
        <v>9</v>
      </c>
      <c r="Q236" s="3" t="inlineStr">
        <is>
          <t>1. MK-CF-F-155 cash
2. MK-ST-F-010 nameEvidence
3. MK-XS-F-122 n
4. MK-XS-F-147 call
5. MK-ST-F-056 has
6. MK-CF-F-132 map
7. MK-ST-F-027 accountId
8. MK-XS-F-064 currentIdToken
9. MK-XS-F-112 relayUrl</t>
        </is>
      </c>
      <c r="R236"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36" s="3" t="inlineStr">
        <is>
          <t>—</t>
        </is>
      </c>
      <c r="T236" s="3" t="inlineStr">
        <is>
          <t>CLASS_FROM_NAME_TEXT</t>
        </is>
      </c>
      <c r="U236" s="3" t="inlineStr">
        <is>
          <t>ACTIVE</t>
        </is>
      </c>
      <c r="V236" s="3" t="inlineStr">
        <is>
          <t>2026-08-27</t>
        </is>
      </c>
      <c r="W236" s="3" t="n"/>
      <c r="X236" s="3" t="n"/>
      <c r="Y236" s="3" t="inlineStr">
        <is>
          <t>NOTHING OPEN</t>
        </is>
      </c>
    </row>
    <row r="237" ht="60" customHeight="1">
      <c r="A237" s="3" t="inlineStr">
        <is>
          <t>MK-NW-F-009</t>
        </is>
      </c>
      <c r="B237" s="3" t="inlineStr">
        <is>
          <t>maturityClass</t>
        </is>
      </c>
      <c r="C237" s="3" t="inlineStr">
        <is>
          <t>src/domain/assets/index.ts</t>
        </is>
      </c>
      <c r="D237" s="3" t="n">
        <v>415</v>
      </c>
      <c r="E237" s="3" t="inlineStr">
        <is>
          <t>2 · DISPLAYED</t>
        </is>
      </c>
      <c r="F237" s="3" t="inlineStr">
        <is>
          <t>FOUNDER RULE 2026-08-04 (supersedes build-34 #8's 12-month split): ANY maturity-dated instrument is a BOND — it pays interest, so it must sit in the measured bucket regardless of how soon it matures.</t>
        </is>
      </c>
      <c r="G237" s="11" t="inlineStr">
        <is>
          <t>'bonds'   if maturity date and string(maturity date).trim()
'cash'   otherwise</t>
        </is>
      </c>
      <c r="H237" s="3" t="inlineStr">
        <is>
          <t>'bonds' — when maturity date and string(maturity date).trim(); 'cash' — otherwise.</t>
        </is>
      </c>
      <c r="I237" s="3" t="inlineStr">
        <is>
          <t>PARTLY READ — some of the code is still showing through; needs a hand pass</t>
        </is>
      </c>
      <c r="J237" s="3" t="inlineStr">
        <is>
          <t>maturityDate?: string | null</t>
        </is>
      </c>
      <c r="K237" s="3" t="inlineStr">
        <is>
          <t>'cash' | 'bonds'</t>
        </is>
      </c>
      <c r="L237" s="3" t="inlineStr">
        <is>
          <t>NOT FOUND — a screen calls it, but the words printed beside its answer could not be traced automatically. Needs reading.</t>
        </is>
      </c>
      <c r="M237" s="3" t="inlineStr">
        <is>
          <t>None found in this function — anything it assumes comes from the functions it depends on.</t>
        </is>
      </c>
      <c r="N237" s="3" t="inlineStr">
        <is>
          <t>Yes</t>
        </is>
      </c>
      <c r="O237" s="3" t="inlineStr">
        <is>
          <t>MK-NW-F-011 assetClassOf</t>
        </is>
      </c>
      <c r="P237" s="3" t="n">
        <v>11</v>
      </c>
      <c r="Q237" s="3" t="inlineStr">
        <is>
          <t>1. MK-NW-F-011 assetClassOf
2. MK-NW-F-008 incomeBearingClassOf
3. MK-CF-F-155 cash
4. MK-ST-F-010 nameEvidence
5. MK-XS-F-122 n
6. MK-XS-F-147 call
7. MK-ST-F-056 has
8. MK-CF-F-132 map
9. MK-ST-F-027 accountId
10. MK-XS-F-064 currentIdToken
11. MK-XS-F-112 relayUrl</t>
        </is>
      </c>
      <c r="R237" s="3" t="inlineStr">
        <is>
          <t>1. MK-XS-F-122 n → MK-CF-F-155 cash → MK-NW-F-008 incomeBearingClassOf → MK-NW-F-011 assetClassOf → MK-NW-F-009 maturityClass
2. MK-ST-F-027 accountId → MK-XS-F-147 call → MK-ST-F-010 nameEvidence → MK-NW-F-008 incomeBearingClassOf → MK-NW-F-011 assetClassOf → MK-NW-F-009 maturityClass
3. MK-XS-F-064 currentIdToken → MK-XS-F-147 call → MK-ST-F-010 nameEvidence → MK-NW-F-008 incomeBearingClassOf → MK-NW-F-011 assetClassOf → MK-NW-F-009 maturityClass
4. MK-XS-F-112 relayUrl → MK-XS-F-147 call → MK-ST-F-010 nameEvidence → MK-NW-F-008 incomeBearingClassOf → MK-NW-F-011 assetClassOf → MK-NW-F-009 maturityClass
5. MK-ST-F-056 has → MK-ST-F-010 nameEvidence → MK-NW-F-008 incomeBearingClassOf → MK-NW-F-011 assetClassOf → MK-NW-F-009 maturityClass
6. MK-CF-F-132 map → MK-ST-F-010 nameEvidence → MK-NW-F-008 incomeBearingClassOf → MK-NW-F-011 assetClassOf → MK-NW-F-009 maturityClass</t>
        </is>
      </c>
      <c r="S237" s="3" t="inlineStr">
        <is>
          <t>—</t>
        </is>
      </c>
      <c r="T237" s="3" t="inlineStr">
        <is>
          <t>MATURITY_MEANS_BOND</t>
        </is>
      </c>
      <c r="U237" s="3" t="inlineStr">
        <is>
          <t>ACTIVE</t>
        </is>
      </c>
      <c r="V237" s="3" t="inlineStr">
        <is>
          <t>2026-08-27</t>
        </is>
      </c>
      <c r="W237" s="3" t="n"/>
      <c r="X237" s="3" t="n"/>
      <c r="Y237" s="3" t="inlineStr">
        <is>
          <t>NOTHING OPEN</t>
        </is>
      </c>
    </row>
    <row r="238" ht="60" customHeight="1">
      <c r="A238" s="3" t="inlineStr">
        <is>
          <t>MK-NW-F-010</t>
        </is>
      </c>
      <c r="B238" s="3" t="inlineStr">
        <is>
          <t>wrapperAccount</t>
        </is>
      </c>
      <c r="C238" s="3" t="inlineStr">
        <is>
          <t>src/domain/assets/index.ts</t>
        </is>
      </c>
      <c r="D238" s="3" t="n">
        <v>448</v>
      </c>
      <c r="E238" s="3" t="inlineStr">
        <is>
          <t>2 · DISPLAYED</t>
        </is>
      </c>
      <c r="F238" s="3" t="inlineStr">
        <is>
          <t>The person picked how this account is taxed — what does that make it?</t>
        </is>
      </c>
      <c r="G238" s="11" t="inlineStr">
        <is>
          <t>401k → kind '401k', bucket PRE_TAX
trad_ira → 'trad_ira', PRE_TAX
roth → 'roth_ira', ROTH
roth_401k → '401k', ROTH
hsa → 'hsa', PRE_TAX
anything else → 'brokerage', TAXABLE</t>
        </is>
      </c>
      <c r="H238" s="3" t="inlineStr">
        <is>
          <t>The account kind and tax bucket for the wrapper a person picked when adding an account — a 401(k), traditional IRA and HSA are pre-tax, a Roth IRA and a Roth 401(k) are tax-free, anything else (or nothing) is a taxable brokerage. No arithmetic.</t>
        </is>
      </c>
      <c r="I238" s="3" t="inlineStr">
        <is>
          <t>READ BY HAND 2026-08-26 — checked line by line against the code</t>
        </is>
      </c>
      <c r="J238" s="3" t="inlineStr">
        <is>
          <t>w?: AddWrapper | null</t>
        </is>
      </c>
      <c r="K238" s="3" t="inlineStr">
        <is>
          <t>NOT DECLARED — the code does not say what it gives back</t>
        </is>
      </c>
      <c r="L238" s="3" t="inlineStr">
        <is>
          <t>NOT FOUND — a screen calls it, but the words printed beside its answer could not be traced automatically. Needs reading.</t>
        </is>
      </c>
      <c r="M238" s="3" t="inlineStr">
        <is>
          <t>None found in this function — anything it assumes comes from the functions it depends on.</t>
        </is>
      </c>
      <c r="N238" s="3" t="inlineStr">
        <is>
          <t>Yes</t>
        </is>
      </c>
      <c r="O238" s="3" t="inlineStr">
        <is>
          <t>MK-CF-F-155 cash</t>
        </is>
      </c>
      <c r="P238" s="3" t="n">
        <v>2</v>
      </c>
      <c r="Q238" s="3" t="inlineStr">
        <is>
          <t>1. MK-CF-F-155 cash
2. MK-XS-F-122 n</t>
        </is>
      </c>
      <c r="R238" s="3" t="inlineStr">
        <is>
          <t>MK-XS-F-122 n → MK-CF-F-155 cash → MK-NW-F-010 wrapperAccount</t>
        </is>
      </c>
      <c r="S238" s="3" t="inlineStr">
        <is>
          <t>—</t>
        </is>
      </c>
      <c r="T238" s="3" t="inlineStr">
        <is>
          <t>TAX_TYPE_TO_ACCOUNT</t>
        </is>
      </c>
      <c r="U238" s="3" t="inlineStr">
        <is>
          <t>ACTIVE</t>
        </is>
      </c>
      <c r="V238" s="3" t="inlineStr">
        <is>
          <t>2026-10-05</t>
        </is>
      </c>
      <c r="W238" s="3" t="n"/>
      <c r="X238" s="3" t="n"/>
      <c r="Y238" s="3" t="inlineStr">
        <is>
          <t>NOTHING OPEN</t>
        </is>
      </c>
    </row>
    <row r="239" ht="60" customHeight="1">
      <c r="A239" s="3" t="inlineStr">
        <is>
          <t>MK-NW-F-011</t>
        </is>
      </c>
      <c r="B239" s="3" t="inlineStr">
        <is>
          <t>assetClassOf</t>
        </is>
      </c>
      <c r="C239" s="3" t="inlineStr">
        <is>
          <t>src/domain/assets/index.ts</t>
        </is>
      </c>
      <c r="D239" s="3" t="n">
        <v>518</v>
      </c>
      <c r="E239" s="3" t="inlineStr">
        <is>
          <t>2 · DISPLAYED</t>
        </is>
      </c>
      <c r="F239" s="3" t="inlineStr">
        <is>
          <t>What an account is: cash, bonds and CDs, stocks and funds, an alternative, real estate, personal property, or not yet known.</t>
        </is>
      </c>
      <c r="G239" s="11" t="inlineStr">
        <is>
          <t>asset class   when asset class
'bonds'   when maturity date and string(maturity date).trim()
is property = tax bucket = 'PROPERTY' (or kind = 'home' (or kind = 'real_estate' (or kind = 'vehicle' when missing or zero) when missing or zero) when missing or zero)
by label = nothing   if is property
income bearing class of(label)   otherwise
by label   when by label
by kind = KIND_TO_CLASS[kind]   if kind
undefined   otherwise
by kind   when by kind
'stocks_etf'   when count of positions and positions
'cash'   when tax bucket = 'CASH'
'real_estate'   if kind is missing (or re use when missing or zero)
'personal_property'   otherwise   when tax bucket = 'PROPERTY'
the answer = 'mixed'
… the first steps only — the rest of the body needs reading by hand.</t>
        </is>
      </c>
      <c r="H239" s="3" t="inlineStr">
        <is>
          <t>When asset class, it answers asset class. When maturity date and string(maturity date).trim(), it answers 'bonds'. Is property is tax bucket = 'PROPERTY' (or kind = 'home' (or kind = 'real_estate' (or kind = 'vehicle' — when missing or zero) — when missing or zero) — when missing or zero). By label is no answer — when is property; income bearing class of(label) — otherwise. When by label, it answers by label. By kind is KIND_TO_CLASS[kind] — when kind; undefined — otherwise. When by kind, it answers by kind. When how many positions and positions there are, it answers 'stocks_etf'. When tax bucket = 'CASH', it answers 'cash'. When tax bucket = 'PROPERTY', it answers 'real_estate' — when kind is missing (or re use when missing or zero); 'personal_property' — otherwise. The answer is 'mixed'. Only the first steps are shown; the rest of the body needs reading by hand.</t>
        </is>
      </c>
      <c r="I239" s="3" t="inlineStr">
        <is>
          <t>PARTLY READ — some of the code is still showing through; needs a hand pass</t>
        </is>
      </c>
      <c r="J239" s="3" t="inlineStr">
        <is>
          <t>a: AssetAccount</t>
        </is>
      </c>
      <c r="K239" s="3" t="inlineStr">
        <is>
          <t>AssetClass</t>
        </is>
      </c>
      <c r="L239" s="3" t="inlineStr">
        <is>
          <t>1. "Bonds &amp; alternatives — recorded on their own pages" — on the Performance screen
2. "Nothing entered yet." — on the Net worth screen, under "DEBTS"</t>
        </is>
      </c>
      <c r="M239" s="3" t="inlineStr">
        <is>
          <t>None found in this function — anything it assumes comes from the functions it depends on.</t>
        </is>
      </c>
      <c r="N239" s="3" t="inlineStr">
        <is>
          <t>Yes</t>
        </is>
      </c>
      <c r="O239" s="3" t="inlineStr">
        <is>
          <t>MK-NW-F-008 incomeBearingClassOf</t>
        </is>
      </c>
      <c r="P239" s="3" t="n">
        <v>10</v>
      </c>
      <c r="Q239" s="3" t="inlineStr">
        <is>
          <t>1. MK-NW-F-008 incomeBearingClassOf
2. MK-CF-F-155 cash
3. MK-ST-F-010 nameEvidence
4. MK-XS-F-122 n
5. MK-XS-F-147 call
6. MK-ST-F-056 has
7. MK-CF-F-132 map
8. MK-ST-F-027 accountId
9. MK-XS-F-064 currentIdToken
10. MK-XS-F-112 relayUrl</t>
        </is>
      </c>
      <c r="R239" s="3" t="inlineStr">
        <is>
          <t>1. MK-XS-F-122 n → MK-CF-F-155 cash → MK-NW-F-008 incomeBearingClassOf → MK-NW-F-011 assetClassOf
2. MK-ST-F-027 accountId → MK-XS-F-147 call → MK-ST-F-010 nameEvidence → MK-NW-F-008 incomeBearingClassOf → MK-NW-F-011 assetClassOf
3. MK-XS-F-064 currentIdToken → MK-XS-F-147 call → MK-ST-F-010 nameEvidence → MK-NW-F-008 incomeBearingClassOf → MK-NW-F-011 assetClassOf
4. MK-XS-F-112 relayUrl → MK-XS-F-147 call → MK-ST-F-010 nameEvidence → MK-NW-F-008 incomeBearingClassOf → MK-NW-F-011 assetClassOf
5. MK-ST-F-056 has → MK-ST-F-010 nameEvidence → MK-NW-F-008 incomeBearingClassOf → MK-NW-F-011 assetClassOf
6. MK-CF-F-132 map → MK-ST-F-010 nameEvidence → MK-NW-F-008 incomeBearingClassOf → MK-NW-F-011 assetClassOf</t>
        </is>
      </c>
      <c r="S239" s="3" t="inlineStr">
        <is>
          <t>—</t>
        </is>
      </c>
      <c r="T239" s="3" t="inlineStr">
        <is>
          <t>ASSET_CLASS_OF_ACCOUNT</t>
        </is>
      </c>
      <c r="U239" s="3" t="inlineStr">
        <is>
          <t>ACTIVE</t>
        </is>
      </c>
      <c r="V239" s="3" t="inlineStr">
        <is>
          <t>2026-10-07</t>
        </is>
      </c>
      <c r="W239" s="3" t="n"/>
      <c r="X239" s="3" t="n"/>
      <c r="Y239" s="3" t="inlineStr">
        <is>
          <t>NOTHING OPEN</t>
        </is>
      </c>
    </row>
    <row r="240" ht="60" customHeight="1">
      <c r="A240" s="3" t="inlineStr">
        <is>
          <t>MK-NW-F-012</t>
        </is>
      </c>
      <c r="B240" s="3" t="inlineStr">
        <is>
          <t>taxTreatmentOf</t>
        </is>
      </c>
      <c r="C240" s="3" t="inlineStr">
        <is>
          <t>src/domain/assets/index.ts</t>
        </is>
      </c>
      <c r="D240" s="3" t="n">
        <v>569</v>
      </c>
      <c r="E240" s="3" t="inlineStr">
        <is>
          <t>3 · DEPENDENT</t>
        </is>
      </c>
      <c r="F240" s="3" t="inlineStr">
        <is>
          <t>How an account's money is taxed: as it is earned, when it comes out, or not at all.</t>
        </is>
      </c>
      <c r="G240" s="11" t="inlineStr">
        <is>
          <t>tax treatment   when tax treatment
'tax_free'   when kind = 'college_529'
'tax_deferred'   when tax bucket = 'PRE_TAX'
'tax_free'   when tax bucket = 'ROTH'
'taxable'</t>
        </is>
      </c>
      <c r="H240" s="3" t="inlineStr">
        <is>
          <t>When tax treatment, it answers tax treatment. When kind = 'college_529', it answers 'tax_free'. When tax bucket = 'PRE_TAX', it answers 'tax_deferred'. When tax bucket = 'ROTH', it answers 'tax_free'. 'taxable'.</t>
        </is>
      </c>
      <c r="I240" s="3" t="inlineStr">
        <is>
          <t>READ FROM THE CODE — rendered from the expressions the function runs</t>
        </is>
      </c>
      <c r="J240" s="3" t="inlineStr">
        <is>
          <t>a: AssetAccount</t>
        </is>
      </c>
      <c r="K240" s="3" t="inlineStr">
        <is>
          <t>TaxTreatment</t>
        </is>
      </c>
      <c r="L240" s="3" t="inlineStr">
        <is>
          <t>—</t>
        </is>
      </c>
      <c r="M240" s="3" t="inlineStr">
        <is>
          <t>None found in this function — anything it assumes comes from the functions it depends on.</t>
        </is>
      </c>
      <c r="N240" s="3" t="inlineStr">
        <is>
          <t>Yes</t>
        </is>
      </c>
      <c r="O240" s="3" t="inlineStr">
        <is>
          <t>—</t>
        </is>
      </c>
      <c r="P240" s="3" t="n">
        <v>0</v>
      </c>
      <c r="Q240" s="3" t="inlineStr">
        <is>
          <t>None — no dependent function stands behind it</t>
        </is>
      </c>
      <c r="R240" s="3" t="inlineStr">
        <is>
          <t>No dependent function — it reads its inputs and answers</t>
        </is>
      </c>
      <c r="S240" s="3" t="inlineStr">
        <is>
          <t>—</t>
        </is>
      </c>
      <c r="T240" s="3" t="inlineStr">
        <is>
          <t>TAX_TREATMENT</t>
        </is>
      </c>
      <c r="U240" s="3" t="inlineStr">
        <is>
          <t>ACTIVE</t>
        </is>
      </c>
      <c r="V240" s="3" t="inlineStr">
        <is>
          <t>2026-10-05</t>
        </is>
      </c>
      <c r="W240" s="3" t="n"/>
      <c r="X240" s="3" t="n"/>
      <c r="Y240" s="3" t="inlineStr">
        <is>
          <t>NOTHING OPEN</t>
        </is>
      </c>
    </row>
    <row r="241" ht="60" customHeight="1">
      <c r="A241" s="3" t="inlineStr">
        <is>
          <t>MK-NW-F-013</t>
        </is>
      </c>
      <c r="B241" s="3" t="inlineStr">
        <is>
          <t>realEstateUseOf</t>
        </is>
      </c>
      <c r="C241" s="3" t="inlineStr">
        <is>
          <t>src/domain/assets/index.ts</t>
        </is>
      </c>
      <c r="D241" s="3" t="n">
        <v>638</v>
      </c>
      <c r="E241" s="3" t="inlineStr">
        <is>
          <t>3 · DEPENDENT (feeds an action only)</t>
        </is>
      </c>
      <c r="F241" s="3" t="inlineStr">
        <is>
          <t>Real-estate use (primary/rental/secondary/land); only meaningful when assetClassOf === 'real_estate'.</t>
        </is>
      </c>
      <c r="G241" s="11" t="inlineStr">
        <is>
          <t>nothing   when asset class of(a) ! = 'real_estate'
'land'   when re use = 'land'
'rental'   when rentals and rented ids of(rentals).has(string(asset id))
the answer = re use (or 'primary' when missing)
use = property use map(accounts, rentals).get(string(asset id))</t>
        </is>
      </c>
      <c r="H241" s="3" t="inlineStr">
        <is>
          <t>When asset class of(a) ! = 'real_estate', it answers no answer. When re use = 'land', it answers 'land'. When rentals and rented ids of(rentals).has(string(asset id)), it answers 'rental'. The answer is re use (or 'primary' — when missing). Use is property use map(accounts, rentals).get(string(asset id)).</t>
        </is>
      </c>
      <c r="I241" s="3" t="inlineStr">
        <is>
          <t>PARTLY READ — some of the code is still showing through; needs a hand pass</t>
        </is>
      </c>
      <c r="J241" s="3" t="inlineStr">
        <is>
          <t>1. a: AssetAccount
2. accounts?: AssetAccount[]
3. rentals?: RentEntry[] | null</t>
        </is>
      </c>
      <c r="K241" s="3" t="inlineStr">
        <is>
          <t>RealEstateUse | null</t>
        </is>
      </c>
      <c r="L241" s="3" t="inlineStr">
        <is>
          <t>—</t>
        </is>
      </c>
      <c r="M241" s="3" t="inlineStr">
        <is>
          <t>None found in this function — anything it assumes comes from the functions it depends on.</t>
        </is>
      </c>
      <c r="N241" s="3" t="inlineStr">
        <is>
          <t>No</t>
        </is>
      </c>
      <c r="O241" s="3" t="inlineStr">
        <is>
          <t>1. MK-NW-F-011 assetClassOf
2. MK-ST-F-056 has
3. MK-NW-F-117 propertyUseMap
4. MK-NW-F-116 rentedIdsOf</t>
        </is>
      </c>
      <c r="P241" s="3" t="n">
        <v>27</v>
      </c>
      <c r="Q241" s="3" t="inlineStr">
        <is>
          <t>1. MK-NW-F-011 assetClassOf
2. MK-ST-F-056 has
3. MK-NW-F-117 propertyUseMap
4. MK-NW-F-116 rentedIdsOf
5. MK-NW-F-008 incomeBearingClassOf
6. MK-NW-F-115 liveRent
7. MK-CF-F-132 map
8. MK-CF-F-155 cash
9. MK-ST-F-010 nameEvidence
10. MK-CF-O-002 expenses
11. MK-NW-F-114 rentAmount
12. MK-XS-F-122 n
13. MK-XS-F-147 call
14. MK-CF-F-151 actualSpending
15. MK-CF-F-150 debtPaymentsCountedAsExpenses
16. MK-CF-F-153 radar
17. MK-CF-F-149 recurringDebtPayments
18. MK-ST-F-027 accountId
19. MK-XS-F-064 currentIdToken
20. MK-XS-F-112 relayUrl
21. MK-CF-F-148 inMonth
22. MK-ST-F-052 toNum
23. MK-CF-F-191 ym
24. MK-CF-F-022 paymentShape
25. MK-CF-F-152 isRadarItem
26. MK-CF-F-023 requiredPayment
27. MK-CF-F-021 defaultPaymentType</t>
        </is>
      </c>
      <c r="R241" s="3" t="inlineStr">
        <is>
          <t>1. MK-XS-F-122 n → MK-CF-F-155 cash → MK-NW-F-008 incomeBearingClassOf → MK-NW-F-011 assetClassOf → MK-NW-F-013 realEstateUseOf
2. MK-ST-F-027 accountId → MK-XS-F-147 call → MK-ST-F-010 nameEvidence → MK-NW-F-008 incomeBearingClassOf → MK-NW-F-011 assetClassOf → MK-NW-F-013 realEstateUseOf
3. MK-XS-F-064 currentIdToken → MK-XS-F-147 call → MK-ST-F-010 nameEvidence → MK-NW-F-008 incomeBearingClassOf → MK-NW-F-011 assetClassOf → MK-NW-F-013 realEstateUseOf
4. MK-XS-F-112 relayUrl → MK-XS-F-147 call → MK-ST-F-010 nameEvidence → MK-NW-F-008 incomeBearingClassOf → MK-NW-F-011 assetClassOf → MK-NW-F-013 realEstateUseOf
5. MK-ST-F-056 has → MK-ST-F-010 nameEvidence → MK-NW-F-008 incomeBearingClassOf → MK-NW-F-011 assetClassOf → MK-NW-F-013 realEstateUseOf
6. MK-CF-F-132 map → MK-ST-F-010 nameEvidence → MK-NW-F-008 incomeBearingClassOf → MK-NW-F-011 assetClassOf → MK-NW-F-013 realEstateUseOf
7. MK-ST-F-056 has → MK-NW-F-013 realEstateUseOf
8. MK-XS-F-122 n → MK-CF-F-155 cash → MK-NW-F-008 incomeBearingClassOf → MK-NW-F-011 assetClassOf → MK-NW-F-117 propertyUseMap → MK-NW-F-013 realEstateUseOf
9. … and 5 more paths</t>
        </is>
      </c>
      <c r="S241" s="3" t="inlineStr">
        <is>
          <t>—</t>
        </is>
      </c>
      <c r="T241" s="3" t="inlineStr">
        <is>
          <t>HOW_A_HOME_IS_USED</t>
        </is>
      </c>
      <c r="U241" s="3" t="inlineStr">
        <is>
          <t>ACTIVE</t>
        </is>
      </c>
      <c r="V241" s="3" t="inlineStr">
        <is>
          <t>2026-10-07</t>
        </is>
      </c>
      <c r="W241" s="3" t="n"/>
      <c r="X241" s="3" t="n"/>
      <c r="Y241" s="3" t="inlineStr">
        <is>
          <t>NOTHING OPEN</t>
        </is>
      </c>
    </row>
    <row r="242" ht="60" customHeight="1">
      <c r="A242" s="3" t="inlineStr">
        <is>
          <t>MK-NW-F-014</t>
        </is>
      </c>
      <c r="B242" s="3" t="inlineStr">
        <is>
          <t>isRealAsset</t>
        </is>
      </c>
      <c r="C242" s="3" t="inlineStr">
        <is>
          <t>src/domain/assets/index.ts</t>
        </is>
      </c>
      <c r="D242" s="3" t="n">
        <v>881</v>
      </c>
      <c r="E242" s="3" t="inlineStr">
        <is>
          <t>3 · DEPENDENT</t>
        </is>
      </c>
      <c r="F242" s="3" t="inlineStr">
        <is>
          <t>Whether an account is a physical asset, meaning real estate or personal property.</t>
        </is>
      </c>
      <c r="G242" s="11" t="inlineStr">
        <is>
          <t>c = asset class of(a)
the answer = c = 'real_estate' (or c = 'personal_property' when missing or zero)</t>
        </is>
      </c>
      <c r="H242" s="3" t="inlineStr">
        <is>
          <t>C is asset class of(a). The answer is c = 'real_estate' (or c = 'personal_property' — when missing or zero).</t>
        </is>
      </c>
      <c r="I242" s="3" t="inlineStr">
        <is>
          <t>READ FROM THE CODE — rendered from the expressions the function runs</t>
        </is>
      </c>
      <c r="J242" s="3" t="inlineStr">
        <is>
          <t>a: AssetAccount</t>
        </is>
      </c>
      <c r="K242" s="3" t="inlineStr">
        <is>
          <t>boolean</t>
        </is>
      </c>
      <c r="L242" s="3" t="inlineStr">
        <is>
          <t>—</t>
        </is>
      </c>
      <c r="M242" s="3" t="inlineStr">
        <is>
          <t>None found in this function — anything it assumes comes from the functions it depends on.</t>
        </is>
      </c>
      <c r="N242" s="3" t="inlineStr">
        <is>
          <t>Yes</t>
        </is>
      </c>
      <c r="O242" s="3" t="inlineStr">
        <is>
          <t>MK-NW-F-011 assetClassOf</t>
        </is>
      </c>
      <c r="P242" s="3" t="n">
        <v>11</v>
      </c>
      <c r="Q242" s="3" t="inlineStr">
        <is>
          <t>1. MK-NW-F-011 assetClassOf
2. MK-NW-F-008 incomeBearingClassOf
3. MK-CF-F-155 cash
4. MK-ST-F-010 nameEvidence
5. MK-XS-F-122 n
6. MK-XS-F-147 call
7. MK-ST-F-056 has
8. MK-CF-F-132 map
9. MK-ST-F-027 accountId
10. MK-XS-F-064 currentIdToken
11. MK-XS-F-112 relayUrl</t>
        </is>
      </c>
      <c r="R242" s="3" t="inlineStr">
        <is>
          <t>1. MK-XS-F-122 n → MK-CF-F-155 cash → MK-NW-F-008 incomeBearingClassOf → MK-NW-F-011 assetClassOf → MK-NW-F-014 isRealAsset
2. MK-ST-F-027 accountId → MK-XS-F-147 call → MK-ST-F-010 nameEvidence → MK-NW-F-008 incomeBearingClassOf → MK-NW-F-011 assetClassOf → MK-NW-F-014 isRealAsset
3. MK-XS-F-064 currentIdToken → MK-XS-F-147 call → MK-ST-F-010 nameEvidence → MK-NW-F-008 incomeBearingClassOf → MK-NW-F-011 assetClassOf → MK-NW-F-014 isRealAsset
4. MK-XS-F-112 relayUrl → MK-XS-F-147 call → MK-ST-F-010 nameEvidence → MK-NW-F-008 incomeBearingClassOf → MK-NW-F-011 assetClassOf → MK-NW-F-014 isRealAsset
5. MK-ST-F-056 has → MK-ST-F-010 nameEvidence → MK-NW-F-008 incomeBearingClassOf → MK-NW-F-011 assetClassOf → MK-NW-F-014 isRealAsset
6. MK-CF-F-132 map → MK-ST-F-010 nameEvidence → MK-NW-F-008 incomeBearingClassOf → MK-NW-F-011 assetClassOf → MK-NW-F-014 isRealAsset</t>
        </is>
      </c>
      <c r="S242" s="3" t="inlineStr">
        <is>
          <t>—</t>
        </is>
      </c>
      <c r="T242" s="3" t="inlineStr">
        <is>
          <t>IS_PHYSICAL_ASSET</t>
        </is>
      </c>
      <c r="U242" s="3" t="inlineStr">
        <is>
          <t>ACTIVE</t>
        </is>
      </c>
      <c r="V242" s="3" t="inlineStr">
        <is>
          <t>2026-08-27</t>
        </is>
      </c>
      <c r="W242" s="3" t="n"/>
      <c r="X242" s="3" t="n"/>
      <c r="Y242" s="3" t="inlineStr">
        <is>
          <t>NOTHING OPEN</t>
        </is>
      </c>
    </row>
    <row r="243" ht="60" customHeight="1">
      <c r="A243" s="3" t="inlineStr">
        <is>
          <t>MK-NW-F-015</t>
        </is>
      </c>
      <c r="B243" s="3" t="inlineStr">
        <is>
          <t>totalAssets</t>
        </is>
      </c>
      <c r="C243" s="3" t="inlineStr">
        <is>
          <t>src/domain/assets/index.ts</t>
        </is>
      </c>
      <c r="D243" s="3" t="n">
        <v>953</v>
      </c>
      <c r="E243" s="3" t="inlineStr">
        <is>
          <t>3 · DEPENDENT</t>
        </is>
      </c>
      <c r="F243" s="3" t="inlineStr">
        <is>
          <t>Everything owned, added up: the balance of every account.</t>
        </is>
      </c>
      <c r="G243" s="11" t="inlineStr">
        <is>
          <t>Σ over accounts (or none when missing) of (balance (or 0 when missing or zero))</t>
        </is>
      </c>
      <c r="H243" s="3" t="inlineStr">
        <is>
          <t>the balance (or 0 — when missing or zero) added up across accounts (or none — when missing).</t>
        </is>
      </c>
      <c r="I243" s="3" t="inlineStr">
        <is>
          <t>READ FROM THE CODE — rendered from the expressions the function runs</t>
        </is>
      </c>
      <c r="J243" s="3" t="inlineStr">
        <is>
          <t>accounts: AssetAccount[]</t>
        </is>
      </c>
      <c r="K243" s="3" t="inlineStr">
        <is>
          <t>number</t>
        </is>
      </c>
      <c r="L243" s="3" t="inlineStr">
        <is>
          <t>—</t>
        </is>
      </c>
      <c r="M243" s="3" t="inlineStr">
        <is>
          <t>· If balance is missing it counts as zero, so nothing recorded and a real zero look the same.</t>
        </is>
      </c>
      <c r="N243" s="3" t="inlineStr">
        <is>
          <t>Yes</t>
        </is>
      </c>
      <c r="O243" s="3" t="inlineStr">
        <is>
          <t>MK-NW-F-027 accountClassBreakdown</t>
        </is>
      </c>
      <c r="P243" s="3" t="n">
        <v>13</v>
      </c>
      <c r="Q243" s="3" t="inlineStr">
        <is>
          <t>1. MK-NW-F-027 accountClassBreakdown
2. MK-NW-F-011 assetClassOf
3. MK-CF-F-155 cash
4. MK-ST-F-056 has
5. MK-NW-F-109 holdingClassOf
6. MK-CF-F-132 map
7. MK-NW-F-008 incomeBearingClassOf
8. MK-XS-F-122 n
9. MK-ST-F-010 nameEvidence
10. MK-XS-F-147 call
11. MK-ST-F-027 accountId
12. MK-XS-F-064 currentIdToken
13. MK-XS-F-112 relayUrl</t>
        </is>
      </c>
      <c r="R243" s="3" t="inlineStr">
        <is>
          <t>1. MK-XS-F-122 n → MK-CF-F-155 cash → MK-NW-F-008 incomeBearingClassOf → MK-NW-F-011 assetClassOf → MK-NW-F-027 accountClassBreakdown → MK-NW-F-015 totalAssets
2. MK-XS-F-147 call → MK-ST-F-010 nameEvidence → MK-NW-F-008 incomeBearingClassOf → MK-NW-F-011 assetClassOf → MK-NW-F-027 accountClassBreakdown → MK-NW-F-015 totalAssets
3. MK-ST-F-056 has → MK-ST-F-010 nameEvidence → MK-NW-F-008 incomeBearingClassOf → MK-NW-F-011 assetClassOf → MK-NW-F-027 accountClassBreakdown → MK-NW-F-015 totalAssets
4. MK-CF-F-132 map → MK-ST-F-010 nameEvidence → MK-NW-F-008 incomeBearingClassOf → MK-NW-F-011 assetClassOf → MK-NW-F-027 accountClassBreakdown → MK-NW-F-015 totalAssets
5. MK-XS-F-122 n → MK-CF-F-155 cash → MK-NW-F-027 accountClassBreakdown → MK-NW-F-015 totalAssets
6. MK-ST-F-056 has → MK-NW-F-027 accountClassBreakdown → MK-NW-F-015 totalAssets
7. MK-XS-F-122 n → MK-CF-F-155 cash → MK-NW-F-109 holdingClassOf → MK-NW-F-027 accountClassBreakdown → MK-NW-F-015 totalAssets
8. MK-XS-F-122 n → MK-CF-F-155 cash → MK-NW-F-008 incomeBearingClassOf → MK-NW-F-109 holdingClassOf → MK-NW-F-027 accountClassBreakdown → MK-NW-F-015 totalAssets
9. … and 4 more paths</t>
        </is>
      </c>
      <c r="S243" s="3" t="inlineStr">
        <is>
          <t>—</t>
        </is>
      </c>
      <c r="T243" s="3" t="inlineStr">
        <is>
          <t>—</t>
        </is>
      </c>
      <c r="U243" s="3" t="inlineStr">
        <is>
          <t>ACTIVE</t>
        </is>
      </c>
      <c r="V243" s="3" t="inlineStr">
        <is>
          <t>2026-09-09</t>
        </is>
      </c>
      <c r="W243" s="3" t="n"/>
      <c r="X243" s="3" t="n"/>
      <c r="Y243" s="3" t="inlineStr">
        <is>
          <t>NOTHING OPEN</t>
        </is>
      </c>
    </row>
    <row r="244" ht="60" customHeight="1">
      <c r="A244" s="3" t="inlineStr">
        <is>
          <t>MK-NW-F-016</t>
        </is>
      </c>
      <c r="B244" s="3" t="inlineStr">
        <is>
          <t>cashTotal</t>
        </is>
      </c>
      <c r="C244" s="3" t="inlineStr">
        <is>
          <t>src/domain/assets/index.ts</t>
        </is>
      </c>
      <c r="D244" s="3" t="n">
        <v>990</v>
      </c>
      <c r="E244" s="3" t="inlineStr">
        <is>
          <t>2 · DISPLAYED</t>
        </is>
      </c>
      <c r="F244" s="3" t="inlineStr">
        <is>
          <t>All the cash a person has: every bank account, plus the uninvested cash sitting inside investment accounts.</t>
        </is>
      </c>
      <c r="G244" s="11" t="inlineStr">
        <is>
          <t>b = account class breakdown(a)
the answer = t + (b ? cash : asset class of(a) = 'cash' ? (balance or 0) : 0)</t>
        </is>
      </c>
      <c r="H244" s="3" t="inlineStr">
        <is>
          <t>B is account class breakdown(a). The answer is t plus (b ? cash : asset class of(a) = 'cash' ? (balance or 0) : 0).</t>
        </is>
      </c>
      <c r="I244" s="3" t="inlineStr">
        <is>
          <t>READ FROM THE CODE — rendered from the expressions the function runs</t>
        </is>
      </c>
      <c r="J244" s="3" t="inlineStr">
        <is>
          <t>accounts: AssetAccount[]</t>
        </is>
      </c>
      <c r="K244" s="3" t="inlineStr">
        <is>
          <t>number</t>
        </is>
      </c>
      <c r="L244" s="3" t="inlineStr">
        <is>
          <t>"Cash on hand now" — on the Bill calendar screen</t>
        </is>
      </c>
      <c r="M244" s="3" t="inlineStr">
        <is>
          <t>· If balance is missing it counts as zero, so nothing recorded and a real zero look the same.</t>
        </is>
      </c>
      <c r="N244" s="3" t="inlineStr">
        <is>
          <t>Yes</t>
        </is>
      </c>
      <c r="O244" s="3" t="inlineStr">
        <is>
          <t>1. MK-NW-F-027 accountClassBreakdown
2. MK-NW-F-029 assetAllocation
3. MK-NW-F-011 assetClassOf</t>
        </is>
      </c>
      <c r="P244" s="3" t="n">
        <v>14</v>
      </c>
      <c r="Q244" s="3" t="inlineStr">
        <is>
          <t>1. MK-NW-F-027 accountClassBreakdown
2. MK-NW-F-029 assetAllocation
3. MK-NW-F-011 assetClassOf
4. MK-CF-F-155 cash
5. MK-ST-F-056 has
6. MK-NW-F-109 holdingClassOf
7. MK-CF-F-132 map
8. MK-NW-F-008 incomeBearingClassOf
9. MK-XS-F-122 n
10. MK-ST-F-010 nameEvidence
11. MK-XS-F-147 call
12. MK-ST-F-027 accountId
13. MK-XS-F-064 currentIdToken
14. MK-XS-F-112 relayUrl</t>
        </is>
      </c>
      <c r="R244" s="3" t="inlineStr">
        <is>
          <t>1. MK-XS-F-122 n → MK-CF-F-155 cash → MK-NW-F-008 incomeBearingClassOf → MK-NW-F-011 assetClassOf → MK-NW-F-027 accountClassBreakdown → MK-NW-F-016 cashTotal
2. MK-XS-F-147 call → MK-ST-F-010 nameEvidence → MK-NW-F-008 incomeBearingClassOf → MK-NW-F-011 assetClassOf → MK-NW-F-027 accountClassBreakdown → MK-NW-F-016 cashTotal
3. MK-ST-F-056 has → MK-ST-F-010 nameEvidence → MK-NW-F-008 incomeBearingClassOf → MK-NW-F-011 assetClassOf → MK-NW-F-027 accountClassBreakdown → MK-NW-F-016 cashTotal
4. MK-CF-F-132 map → MK-ST-F-010 nameEvidence → MK-NW-F-008 incomeBearingClassOf → MK-NW-F-011 assetClassOf → MK-NW-F-027 accountClassBreakdown → MK-NW-F-016 cashTotal
5. MK-XS-F-122 n → MK-CF-F-155 cash → MK-NW-F-027 accountClassBreakdown → MK-NW-F-016 cashTotal
6. MK-ST-F-056 has → MK-NW-F-027 accountClassBreakdown → MK-NW-F-016 cashTotal
7. MK-XS-F-122 n → MK-CF-F-155 cash → MK-NW-F-109 holdingClassOf → MK-NW-F-027 accountClassBreakdown → MK-NW-F-016 cashTotal
8. MK-XS-F-122 n → MK-CF-F-155 cash → MK-NW-F-008 incomeBearingClassOf → MK-NW-F-109 holdingClassOf → MK-NW-F-027 accountClassBreakdown → MK-NW-F-016 cashTotal
9. … and 5 more paths</t>
        </is>
      </c>
      <c r="S244" s="3" t="inlineStr">
        <is>
          <t>MK-NW-M-014</t>
        </is>
      </c>
      <c r="T244" s="3" t="inlineStr">
        <is>
          <t>TOTAL_CASH</t>
        </is>
      </c>
      <c r="U244" s="3" t="inlineStr">
        <is>
          <t>ACTIVE</t>
        </is>
      </c>
      <c r="V244" s="3" t="inlineStr">
        <is>
          <t>2026-08-27</t>
        </is>
      </c>
      <c r="W244" s="3" t="n"/>
      <c r="X244" s="3" t="n"/>
      <c r="Y244" s="3" t="inlineStr">
        <is>
          <t>NOTHING OPEN</t>
        </is>
      </c>
    </row>
    <row r="245" ht="60" customHeight="1">
      <c r="A245" s="3" t="inlineStr">
        <is>
          <t>MK-NW-F-017</t>
        </is>
      </c>
      <c r="B245" s="3" t="inlineStr">
        <is>
          <t>equitiesTotal</t>
        </is>
      </c>
      <c r="C245" s="3" t="inlineStr">
        <is>
          <t>src/domain/assets/index.ts</t>
        </is>
      </c>
      <c r="D245" s="3" t="n">
        <v>1013</v>
      </c>
      <c r="E245" s="3" t="inlineStr">
        <is>
          <t>3 · DEPENDENT (feeds an action only)</t>
        </is>
      </c>
      <c r="F245" s="3" t="inlineStr">
        <is>
          <t>Everything classed as Stocks / Funds, wherever it sits — an account that holds several classes gives only its Stocks / Funds part (MK-NW-F-029 assetAllocation).</t>
        </is>
      </c>
      <c r="G245" s="11" t="inlineStr">
        <is>
          <t>asset allocation(accounts).stocks etf</t>
        </is>
      </c>
      <c r="H245" s="3" t="inlineStr">
        <is>
          <t>asset allocation(accounts).stocks etf.</t>
        </is>
      </c>
      <c r="I245" s="3" t="inlineStr">
        <is>
          <t>PARTLY READ — some of the code is still showing through; needs a hand pass</t>
        </is>
      </c>
      <c r="J245" s="3" t="inlineStr">
        <is>
          <t>accounts: AssetAccount[]</t>
        </is>
      </c>
      <c r="K245" s="3" t="inlineStr">
        <is>
          <t>number</t>
        </is>
      </c>
      <c r="L245" s="3" t="inlineStr">
        <is>
          <t>—</t>
        </is>
      </c>
      <c r="M245" s="3" t="inlineStr">
        <is>
          <t>None found in this function — anything it assumes comes from the functions it depends on.</t>
        </is>
      </c>
      <c r="N245" s="3" t="inlineStr">
        <is>
          <t>No</t>
        </is>
      </c>
      <c r="O245" s="3" t="inlineStr">
        <is>
          <t>MK-NW-F-029 assetAllocation</t>
        </is>
      </c>
      <c r="P245" s="3" t="n">
        <v>14</v>
      </c>
      <c r="Q245" s="3" t="inlineStr">
        <is>
          <t>1. MK-NW-F-029 assetAllocation
2. MK-NW-F-027 accountClassBreakdown
3. MK-NW-F-011 assetClassOf
4. MK-CF-F-155 cash
5. MK-ST-F-056 has
6. MK-NW-F-109 holdingClassOf
7. MK-CF-F-132 map
8. MK-NW-F-008 incomeBearingClassOf
9. MK-XS-F-122 n
10. MK-ST-F-010 nameEvidence
11. MK-XS-F-147 call
12. MK-ST-F-027 accountId
13. MK-XS-F-064 currentIdToken
14. MK-XS-F-112 relayUrl</t>
        </is>
      </c>
      <c r="R245" s="3" t="inlineStr">
        <is>
          <t>1. MK-CF-F-155 cash → MK-NW-F-008 incomeBearingClassOf → MK-NW-F-011 assetClassOf → MK-NW-F-027 accountClassBreakdown → MK-NW-F-029 assetAllocation → MK-NW-F-017 equitiesTotal
2. MK-ST-F-010 nameEvidence → MK-NW-F-008 incomeBearingClassOf → MK-NW-F-011 assetClassOf → MK-NW-F-027 accountClassBreakdown → MK-NW-F-029 assetAllocation → MK-NW-F-017 equitiesTotal
3. MK-XS-F-122 n → MK-CF-F-155 cash → MK-NW-F-027 accountClassBreakdown → MK-NW-F-029 assetAllocation → MK-NW-F-017 equitiesTotal
4. MK-ST-F-056 has → MK-NW-F-027 accountClassBreakdown → MK-NW-F-029 assetAllocation → MK-NW-F-017 equitiesTotal
5. MK-XS-F-122 n → MK-CF-F-155 cash → MK-NW-F-109 holdingClassOf → MK-NW-F-027 accountClassBreakdown → MK-NW-F-029 assetAllocation → MK-NW-F-017 equitiesTotal
6. MK-CF-F-155 cash → MK-NW-F-008 incomeBearingClassOf → MK-NW-F-109 holdingClassOf → MK-NW-F-027 accountClassBreakdown → MK-NW-F-029 assetAllocation → MK-NW-F-017 equitiesTotal
7. MK-ST-F-010 nameEvidence → MK-NW-F-008 incomeBearingClassOf → MK-NW-F-109 holdingClassOf → MK-NW-F-027 accountClassBreakdown → MK-NW-F-029 assetAllocation → MK-NW-F-017 equitiesTotal
8. MK-CF-F-132 map → MK-NW-F-027 accountClassBreakdown → MK-NW-F-029 assetAllocation → MK-NW-F-017 equitiesTotal
9. … and 4 more paths</t>
        </is>
      </c>
      <c r="S245" s="3" t="inlineStr">
        <is>
          <t>—</t>
        </is>
      </c>
      <c r="T245" s="3" t="inlineStr">
        <is>
          <t>—</t>
        </is>
      </c>
      <c r="U245" s="3" t="inlineStr">
        <is>
          <t>ACTIVE</t>
        </is>
      </c>
      <c r="V245" s="3" t="inlineStr">
        <is>
          <t>2026-10-05</t>
        </is>
      </c>
      <c r="W245" s="3" t="n"/>
      <c r="X245" s="3" t="n"/>
      <c r="Y245" s="3" t="inlineStr">
        <is>
          <t>NOTHING OPEN</t>
        </is>
      </c>
    </row>
    <row r="246" ht="60" customHeight="1">
      <c r="A246" s="3" t="inlineStr">
        <is>
          <t>MK-NW-F-018</t>
        </is>
      </c>
      <c r="B246" s="3" t="inlineStr">
        <is>
          <t>fixedIncomeTotal</t>
        </is>
      </c>
      <c r="C246" s="3" t="inlineStr">
        <is>
          <t>src/domain/assets/index.ts</t>
        </is>
      </c>
      <c r="D246" s="3" t="n">
        <v>1033</v>
      </c>
      <c r="E246" s="3" t="inlineStr">
        <is>
          <t>3 · DEPENDENT (feeds an action only)</t>
        </is>
      </c>
      <c r="F246" s="3" t="inlineStr">
        <is>
          <t>Everything classed as Bonds &amp; CDs, wherever it sits — an account that holds several classes gives only its Bonds &amp; CDs part (MK-NW-F-029 assetAllocation).</t>
        </is>
      </c>
      <c r="G246" s="11" t="inlineStr">
        <is>
          <t>asset allocation(accounts).bonds</t>
        </is>
      </c>
      <c r="H246" s="3" t="inlineStr">
        <is>
          <t>asset allocation(accounts).bonds.</t>
        </is>
      </c>
      <c r="I246" s="3" t="inlineStr">
        <is>
          <t>PARTLY READ — some of the code is still showing through; needs a hand pass</t>
        </is>
      </c>
      <c r="J246" s="3" t="inlineStr">
        <is>
          <t>accounts: AssetAccount[]</t>
        </is>
      </c>
      <c r="K246" s="3" t="inlineStr">
        <is>
          <t>number</t>
        </is>
      </c>
      <c r="L246" s="3" t="inlineStr">
        <is>
          <t>—</t>
        </is>
      </c>
      <c r="M246" s="3" t="inlineStr">
        <is>
          <t>None found in this function — anything it assumes comes from the functions it depends on.</t>
        </is>
      </c>
      <c r="N246" s="3" t="inlineStr">
        <is>
          <t>No</t>
        </is>
      </c>
      <c r="O246" s="3" t="inlineStr">
        <is>
          <t>MK-NW-F-029 assetAllocation</t>
        </is>
      </c>
      <c r="P246" s="3" t="n">
        <v>14</v>
      </c>
      <c r="Q246" s="3" t="inlineStr">
        <is>
          <t>1. MK-NW-F-029 assetAllocation
2. MK-NW-F-027 accountClassBreakdown
3. MK-NW-F-011 assetClassOf
4. MK-CF-F-155 cash
5. MK-ST-F-056 has
6. MK-NW-F-109 holdingClassOf
7. MK-CF-F-132 map
8. MK-NW-F-008 incomeBearingClassOf
9. MK-XS-F-122 n
10. MK-ST-F-010 nameEvidence
11. MK-XS-F-147 call
12. MK-ST-F-027 accountId
13. MK-XS-F-064 currentIdToken
14. MK-XS-F-112 relayUrl</t>
        </is>
      </c>
      <c r="R246" s="3" t="inlineStr">
        <is>
          <t>1. MK-CF-F-155 cash → MK-NW-F-008 incomeBearingClassOf → MK-NW-F-011 assetClassOf → MK-NW-F-027 accountClassBreakdown → MK-NW-F-029 assetAllocation → MK-NW-F-018 fixedIncomeTotal
2. MK-ST-F-010 nameEvidence → MK-NW-F-008 incomeBearingClassOf → MK-NW-F-011 assetClassOf → MK-NW-F-027 accountClassBreakdown → MK-NW-F-029 assetAllocation → MK-NW-F-018 fixedIncomeTotal
3. MK-XS-F-122 n → MK-CF-F-155 cash → MK-NW-F-027 accountClassBreakdown → MK-NW-F-029 assetAllocation → MK-NW-F-018 fixedIncomeTotal
4. MK-ST-F-056 has → MK-NW-F-027 accountClassBreakdown → MK-NW-F-029 assetAllocation → MK-NW-F-018 fixedIncomeTotal
5. MK-XS-F-122 n → MK-CF-F-155 cash → MK-NW-F-109 holdingClassOf → MK-NW-F-027 accountClassBreakdown → MK-NW-F-029 assetAllocation → MK-NW-F-018 fixedIncomeTotal
6. MK-CF-F-155 cash → MK-NW-F-008 incomeBearingClassOf → MK-NW-F-109 holdingClassOf → MK-NW-F-027 accountClassBreakdown → MK-NW-F-029 assetAllocation → MK-NW-F-018 fixedIncomeTotal
7. MK-ST-F-010 nameEvidence → MK-NW-F-008 incomeBearingClassOf → MK-NW-F-109 holdingClassOf → MK-NW-F-027 accountClassBreakdown → MK-NW-F-029 assetAllocation → MK-NW-F-018 fixedIncomeTotal
8. MK-CF-F-132 map → MK-NW-F-027 accountClassBreakdown → MK-NW-F-029 assetAllocation → MK-NW-F-018 fixedIncomeTotal
9. … and 4 more paths</t>
        </is>
      </c>
      <c r="S246" s="3" t="inlineStr">
        <is>
          <t>—</t>
        </is>
      </c>
      <c r="T246" s="3" t="inlineStr">
        <is>
          <t>—</t>
        </is>
      </c>
      <c r="U246" s="3" t="inlineStr">
        <is>
          <t>ACTIVE</t>
        </is>
      </c>
      <c r="V246" s="3" t="inlineStr">
        <is>
          <t>2026-10-05</t>
        </is>
      </c>
      <c r="W246" s="3" t="n"/>
      <c r="X246" s="3" t="n"/>
      <c r="Y246" s="3" t="inlineStr">
        <is>
          <t>NOTHING OPEN</t>
        </is>
      </c>
    </row>
    <row r="247" ht="60" customHeight="1">
      <c r="A247" s="3" t="inlineStr">
        <is>
          <t>MK-NW-F-019</t>
        </is>
      </c>
      <c r="B247" s="3" t="inlineStr">
        <is>
          <t>alternativesTotal</t>
        </is>
      </c>
      <c r="C247" s="3" t="inlineStr">
        <is>
          <t>src/domain/assets/index.ts</t>
        </is>
      </c>
      <c r="D247" s="3" t="n">
        <v>1053</v>
      </c>
      <c r="E247" s="3" t="inlineStr">
        <is>
          <t>3 · DEPENDENT (feeds an action only)</t>
        </is>
      </c>
      <c r="F247" s="3" t="inlineStr">
        <is>
          <t>Everything classed as Alternatives, wherever it sits — an account that holds several classes gives only its Alternatives part (MK-NW-F-029 assetAllocation).</t>
        </is>
      </c>
      <c r="G247" s="11" t="inlineStr">
        <is>
          <t>asset allocation(accounts).alternatives</t>
        </is>
      </c>
      <c r="H247" s="3" t="inlineStr">
        <is>
          <t>asset allocation(accounts).alternatives.</t>
        </is>
      </c>
      <c r="I247" s="3" t="inlineStr">
        <is>
          <t>PARTLY READ — some of the code is still showing through; needs a hand pass</t>
        </is>
      </c>
      <c r="J247" s="3" t="inlineStr">
        <is>
          <t>accounts: AssetAccount[]</t>
        </is>
      </c>
      <c r="K247" s="3" t="inlineStr">
        <is>
          <t>number</t>
        </is>
      </c>
      <c r="L247" s="3" t="inlineStr">
        <is>
          <t>—</t>
        </is>
      </c>
      <c r="M247" s="3" t="inlineStr">
        <is>
          <t>None found in this function — anything it assumes comes from the functions it depends on.</t>
        </is>
      </c>
      <c r="N247" s="3" t="inlineStr">
        <is>
          <t>No</t>
        </is>
      </c>
      <c r="O247" s="3" t="inlineStr">
        <is>
          <t>MK-NW-F-029 assetAllocation</t>
        </is>
      </c>
      <c r="P247" s="3" t="n">
        <v>14</v>
      </c>
      <c r="Q247" s="3" t="inlineStr">
        <is>
          <t>1. MK-NW-F-029 assetAllocation
2. MK-NW-F-027 accountClassBreakdown
3. MK-NW-F-011 assetClassOf
4. MK-CF-F-155 cash
5. MK-ST-F-056 has
6. MK-NW-F-109 holdingClassOf
7. MK-CF-F-132 map
8. MK-NW-F-008 incomeBearingClassOf
9. MK-XS-F-122 n
10. MK-ST-F-010 nameEvidence
11. MK-XS-F-147 call
12. MK-ST-F-027 accountId
13. MK-XS-F-064 currentIdToken
14. MK-XS-F-112 relayUrl</t>
        </is>
      </c>
      <c r="R247" s="3" t="inlineStr">
        <is>
          <t>1. MK-CF-F-155 cash → MK-NW-F-008 incomeBearingClassOf → MK-NW-F-011 assetClassOf → MK-NW-F-027 accountClassBreakdown → MK-NW-F-029 assetAllocation → MK-NW-F-019 alternativesTotal
2. MK-ST-F-010 nameEvidence → MK-NW-F-008 incomeBearingClassOf → MK-NW-F-011 assetClassOf → MK-NW-F-027 accountClassBreakdown → MK-NW-F-029 assetAllocation → MK-NW-F-019 alternativesTotal
3. MK-XS-F-122 n → MK-CF-F-155 cash → MK-NW-F-027 accountClassBreakdown → MK-NW-F-029 assetAllocation → MK-NW-F-019 alternativesTotal
4. MK-ST-F-056 has → MK-NW-F-027 accountClassBreakdown → MK-NW-F-029 assetAllocation → MK-NW-F-019 alternativesTotal
5. MK-XS-F-122 n → MK-CF-F-155 cash → MK-NW-F-109 holdingClassOf → MK-NW-F-027 accountClassBreakdown → MK-NW-F-029 assetAllocation → MK-NW-F-019 alternativesTotal
6. MK-CF-F-155 cash → MK-NW-F-008 incomeBearingClassOf → MK-NW-F-109 holdingClassOf → MK-NW-F-027 accountClassBreakdown → MK-NW-F-029 assetAllocation → MK-NW-F-019 alternativesTotal
7. MK-ST-F-010 nameEvidence → MK-NW-F-008 incomeBearingClassOf → MK-NW-F-109 holdingClassOf → MK-NW-F-027 accountClassBreakdown → MK-NW-F-029 assetAllocation → MK-NW-F-019 alternativesTotal
8. MK-CF-F-132 map → MK-NW-F-027 accountClassBreakdown → MK-NW-F-029 assetAllocation → MK-NW-F-019 alternativesTotal
9. … and 4 more paths</t>
        </is>
      </c>
      <c r="S247" s="3" t="inlineStr">
        <is>
          <t>—</t>
        </is>
      </c>
      <c r="T247" s="3" t="inlineStr">
        <is>
          <t>—</t>
        </is>
      </c>
      <c r="U247" s="3" t="inlineStr">
        <is>
          <t>ACTIVE</t>
        </is>
      </c>
      <c r="V247" s="3" t="inlineStr">
        <is>
          <t>2026-10-05</t>
        </is>
      </c>
      <c r="W247" s="3" t="n"/>
      <c r="X247" s="3" t="n"/>
      <c r="Y247" s="3" t="inlineStr">
        <is>
          <t>NOTHING OPEN</t>
        </is>
      </c>
    </row>
    <row r="248" ht="60" customHeight="1">
      <c r="A248" s="3" t="inlineStr">
        <is>
          <t>MK-NW-F-020</t>
        </is>
      </c>
      <c r="B248" s="3" t="inlineStr">
        <is>
          <t>realEstateTotal</t>
        </is>
      </c>
      <c r="C248" s="3" t="inlineStr">
        <is>
          <t>src/domain/assets/index.ts</t>
        </is>
      </c>
      <c r="D248" s="3" t="n">
        <v>1073</v>
      </c>
      <c r="E248" s="3" t="inlineStr">
        <is>
          <t>3 · DEPENDENT (feeds an action only)</t>
        </is>
      </c>
      <c r="F248" s="3" t="inlineStr">
        <is>
          <t>Everything classed as Real estate, wherever it sits — an account that holds several classes gives only its Real estate part (MK-NW-F-029 assetAllocation).</t>
        </is>
      </c>
      <c r="G248" s="11" t="inlineStr">
        <is>
          <t>asset allocation(accounts).real estate</t>
        </is>
      </c>
      <c r="H248" s="3" t="inlineStr">
        <is>
          <t>asset allocation(accounts).real estate.</t>
        </is>
      </c>
      <c r="I248" s="3" t="inlineStr">
        <is>
          <t>PARTLY READ — some of the code is still showing through; needs a hand pass</t>
        </is>
      </c>
      <c r="J248" s="3" t="inlineStr">
        <is>
          <t>accounts: AssetAccount[]</t>
        </is>
      </c>
      <c r="K248" s="3" t="inlineStr">
        <is>
          <t>number</t>
        </is>
      </c>
      <c r="L248" s="3" t="inlineStr">
        <is>
          <t>—</t>
        </is>
      </c>
      <c r="M248" s="3" t="inlineStr">
        <is>
          <t>None found in this function — anything it assumes comes from the functions it depends on.</t>
        </is>
      </c>
      <c r="N248" s="3" t="inlineStr">
        <is>
          <t>No</t>
        </is>
      </c>
      <c r="O248" s="3" t="inlineStr">
        <is>
          <t>MK-NW-F-029 assetAllocation</t>
        </is>
      </c>
      <c r="P248" s="3" t="n">
        <v>14</v>
      </c>
      <c r="Q248" s="3" t="inlineStr">
        <is>
          <t>1. MK-NW-F-029 assetAllocation
2. MK-NW-F-027 accountClassBreakdown
3. MK-NW-F-011 assetClassOf
4. MK-CF-F-155 cash
5. MK-ST-F-056 has
6. MK-NW-F-109 holdingClassOf
7. MK-CF-F-132 map
8. MK-NW-F-008 incomeBearingClassOf
9. MK-XS-F-122 n
10. MK-ST-F-010 nameEvidence
11. MK-XS-F-147 call
12. MK-ST-F-027 accountId
13. MK-XS-F-064 currentIdToken
14. MK-XS-F-112 relayUrl</t>
        </is>
      </c>
      <c r="R248" s="3" t="inlineStr">
        <is>
          <t>1. MK-CF-F-155 cash → MK-NW-F-008 incomeBearingClassOf → MK-NW-F-011 assetClassOf → MK-NW-F-027 accountClassBreakdown → MK-NW-F-029 assetAllocation → MK-NW-F-020 realEstateTotal
2. MK-ST-F-010 nameEvidence → MK-NW-F-008 incomeBearingClassOf → MK-NW-F-011 assetClassOf → MK-NW-F-027 accountClassBreakdown → MK-NW-F-029 assetAllocation → MK-NW-F-020 realEstateTotal
3. MK-XS-F-122 n → MK-CF-F-155 cash → MK-NW-F-027 accountClassBreakdown → MK-NW-F-029 assetAllocation → MK-NW-F-020 realEstateTotal
4. MK-ST-F-056 has → MK-NW-F-027 accountClassBreakdown → MK-NW-F-029 assetAllocation → MK-NW-F-020 realEstateTotal
5. MK-XS-F-122 n → MK-CF-F-155 cash → MK-NW-F-109 holdingClassOf → MK-NW-F-027 accountClassBreakdown → MK-NW-F-029 assetAllocation → MK-NW-F-020 realEstateTotal
6. MK-CF-F-155 cash → MK-NW-F-008 incomeBearingClassOf → MK-NW-F-109 holdingClassOf → MK-NW-F-027 accountClassBreakdown → MK-NW-F-029 assetAllocation → MK-NW-F-020 realEstateTotal
7. MK-ST-F-010 nameEvidence → MK-NW-F-008 incomeBearingClassOf → MK-NW-F-109 holdingClassOf → MK-NW-F-027 accountClassBreakdown → MK-NW-F-029 assetAllocation → MK-NW-F-020 realEstateTotal
8. MK-CF-F-132 map → MK-NW-F-027 accountClassBreakdown → MK-NW-F-029 assetAllocation → MK-NW-F-020 realEstateTotal
9. … and 4 more paths</t>
        </is>
      </c>
      <c r="S248" s="3" t="inlineStr">
        <is>
          <t>—</t>
        </is>
      </c>
      <c r="T248" s="3" t="inlineStr">
        <is>
          <t>—</t>
        </is>
      </c>
      <c r="U248" s="3" t="inlineStr">
        <is>
          <t>ACTIVE</t>
        </is>
      </c>
      <c r="V248" s="3" t="inlineStr">
        <is>
          <t>2026-10-05</t>
        </is>
      </c>
      <c r="W248" s="3" t="n"/>
      <c r="X248" s="3" t="n"/>
      <c r="Y248" s="3" t="inlineStr">
        <is>
          <t>NOTHING OPEN</t>
        </is>
      </c>
    </row>
    <row r="249" ht="60" customHeight="1">
      <c r="A249" s="3" t="inlineStr">
        <is>
          <t>MK-NW-F-021</t>
        </is>
      </c>
      <c r="B249" s="3" t="inlineStr">
        <is>
          <t>investmentsTotal</t>
        </is>
      </c>
      <c r="C249" s="3" t="inlineStr">
        <is>
          <t>src/domain/assets/index.ts</t>
        </is>
      </c>
      <c r="D249" s="3" t="n">
        <v>1102</v>
      </c>
      <c r="E249" s="3" t="inlineStr">
        <is>
          <t>3 · DEPENDENT</t>
        </is>
      </c>
      <c r="F249" s="3" t="inlineStr">
        <is>
          <t>The total value of everything invested: stocks and funds, bonds and CDs, alternatives and what is not yet classed, in whatever kind of account they sit, with cash and property left out.</t>
        </is>
      </c>
      <c r="G249" s="11" t="inlineStr">
        <is>
          <t>by = asset allocation(accounts)
the answer = by.stocks etf + by.bonds + by.alternatives + by.mixed</t>
        </is>
      </c>
      <c r="H249" s="3" t="inlineStr">
        <is>
          <t>By is asset allocation(accounts). The answer is by.stocks etf plus by.bonds plus by.alternatives plus by.mixed.</t>
        </is>
      </c>
      <c r="I249" s="3" t="inlineStr">
        <is>
          <t>READ FROM THE CODE — rendered from the expressions the function runs</t>
        </is>
      </c>
      <c r="J249" s="3" t="inlineStr">
        <is>
          <t>accounts: AssetAccount[]</t>
        </is>
      </c>
      <c r="K249" s="3" t="inlineStr">
        <is>
          <t>number</t>
        </is>
      </c>
      <c r="L249" s="3" t="inlineStr">
        <is>
          <t>—</t>
        </is>
      </c>
      <c r="M249" s="3" t="inlineStr">
        <is>
          <t>None found in this function — anything it assumes comes from the functions it depends on.</t>
        </is>
      </c>
      <c r="N249" s="3" t="inlineStr">
        <is>
          <t>Yes</t>
        </is>
      </c>
      <c r="O249" s="3" t="inlineStr">
        <is>
          <t>1. MK-NW-F-029 assetAllocation
2. MK-CF-F-155 cash</t>
        </is>
      </c>
      <c r="P249" s="3" t="n">
        <v>14</v>
      </c>
      <c r="Q249" s="3" t="inlineStr">
        <is>
          <t>1. MK-NW-F-029 assetAllocation
2. MK-CF-F-155 cash
3. MK-NW-F-027 accountClassBreakdown
4. MK-NW-F-011 assetClassOf
5. MK-XS-F-122 n
6. MK-ST-F-056 has
7. MK-NW-F-109 holdingClassOf
8. MK-CF-F-132 map
9. MK-NW-F-008 incomeBearingClassOf
10. MK-ST-F-010 nameEvidence
11. MK-XS-F-147 call
12. MK-ST-F-027 accountId
13. MK-XS-F-064 currentIdToken
14. MK-XS-F-112 relayUrl</t>
        </is>
      </c>
      <c r="R249" s="3" t="inlineStr">
        <is>
          <t>1. MK-CF-F-155 cash → MK-NW-F-008 incomeBearingClassOf → MK-NW-F-011 assetClassOf → MK-NW-F-027 accountClassBreakdown → MK-NW-F-029 assetAllocation → MK-NW-F-021 investmentsTotal
2. MK-ST-F-010 nameEvidence → MK-NW-F-008 incomeBearingClassOf → MK-NW-F-011 assetClassOf → MK-NW-F-027 accountClassBreakdown → MK-NW-F-029 assetAllocation → MK-NW-F-021 investmentsTotal
3. MK-XS-F-122 n → MK-CF-F-155 cash → MK-NW-F-027 accountClassBreakdown → MK-NW-F-029 assetAllocation → MK-NW-F-021 investmentsTotal
4. MK-ST-F-056 has → MK-NW-F-027 accountClassBreakdown → MK-NW-F-029 assetAllocation → MK-NW-F-021 investmentsTotal
5. MK-XS-F-122 n → MK-CF-F-155 cash → MK-NW-F-109 holdingClassOf → MK-NW-F-027 accountClassBreakdown → MK-NW-F-029 assetAllocation → MK-NW-F-021 investmentsTotal
6. MK-CF-F-155 cash → MK-NW-F-008 incomeBearingClassOf → MK-NW-F-109 holdingClassOf → MK-NW-F-027 accountClassBreakdown → MK-NW-F-029 assetAllocation → MK-NW-F-021 investmentsTotal
7. MK-ST-F-010 nameEvidence → MK-NW-F-008 incomeBearingClassOf → MK-NW-F-109 holdingClassOf → MK-NW-F-027 accountClassBreakdown → MK-NW-F-029 assetAllocation → MK-NW-F-021 investmentsTotal
8. MK-CF-F-132 map → MK-NW-F-027 accountClassBreakdown → MK-NW-F-029 assetAllocation → MK-NW-F-021 investmentsTotal
9. … and 5 more paths</t>
        </is>
      </c>
      <c r="S249" s="3" t="inlineStr">
        <is>
          <t>—</t>
        </is>
      </c>
      <c r="T249" s="3" t="inlineStr">
        <is>
          <t>TOTAL_INVESTMENTS</t>
        </is>
      </c>
      <c r="U249" s="3" t="inlineStr">
        <is>
          <t>ACTIVE</t>
        </is>
      </c>
      <c r="V249" s="3" t="inlineStr">
        <is>
          <t>2026-10-05</t>
        </is>
      </c>
      <c r="W249" s="3" t="n"/>
      <c r="X249" s="3" t="n"/>
      <c r="Y249" s="6" t="inlineStr">
        <is>
          <t>TESTED, NOT VERIFIED (C3)</t>
        </is>
      </c>
    </row>
    <row r="250" ht="60" customHeight="1">
      <c r="A250" s="3" t="inlineStr">
        <is>
          <t>MK-NW-F-022</t>
        </is>
      </c>
      <c r="B250" s="3" t="inlineStr">
        <is>
          <t>investableAssets</t>
        </is>
      </c>
      <c r="C250" s="3" t="inlineStr">
        <is>
          <t>src/domain/assets/index.ts</t>
        </is>
      </c>
      <c r="D250" s="3" t="n">
        <v>1129</v>
      </c>
      <c r="E250" s="3" t="inlineStr">
        <is>
          <t>2 · DISPLAYED</t>
        </is>
      </c>
      <c r="F250" s="3" t="inlineStr">
        <is>
          <t>Everything owned except real estate and personal property: cash, investments and retirement balances.</t>
        </is>
      </c>
      <c r="G250" s="11" t="inlineStr">
        <is>
          <t>sum where(accounts, (a) =&gt; !is real asset(a)).total</t>
        </is>
      </c>
      <c r="H250" s="3" t="inlineStr">
        <is>
          <t>sum where(accounts, (a) =&gt; !is real asset(a)).total.</t>
        </is>
      </c>
      <c r="I250" s="3" t="inlineStr">
        <is>
          <t>PARTLY READ — some of the code is still showing through; needs a hand pass</t>
        </is>
      </c>
      <c r="J250" s="3" t="inlineStr">
        <is>
          <t>accounts: AssetAccount[]</t>
        </is>
      </c>
      <c r="K250" s="3" t="inlineStr">
        <is>
          <t>number</t>
        </is>
      </c>
      <c r="L250" s="3" t="inlineStr">
        <is>
          <t>NOT FOUND — a screen calls it, but the words printed beside its answer could not be traced automatically. Needs reading.</t>
        </is>
      </c>
      <c r="M250" s="3" t="inlineStr">
        <is>
          <t>None found in this function — anything it assumes comes from the functions it depends on.</t>
        </is>
      </c>
      <c r="N250" s="3" t="inlineStr">
        <is>
          <t>Yes</t>
        </is>
      </c>
      <c r="O250" s="3" t="inlineStr">
        <is>
          <t>1. MK-NW-F-014 isRealAsset
2. MK-NW-F-066 sumWhere
3. MK-NW-F-015 totalAssets
4. MK-NW-F-023 wrapperWord</t>
        </is>
      </c>
      <c r="P250" s="3" t="n">
        <v>17</v>
      </c>
      <c r="Q250" s="3" t="inlineStr">
        <is>
          <t>1. MK-NW-F-014 isRealAsset
2. MK-NW-F-066 sumWhere
3. MK-NW-F-015 totalAssets
4. MK-NW-F-023 wrapperWord
5. MK-NW-F-011 assetClassOf
6. MK-NW-F-027 accountClassBreakdown
7. MK-NW-F-008 incomeBearingClassOf
8. MK-CF-F-155 cash
9. MK-ST-F-056 has
10. MK-NW-F-109 holdingClassOf
11. MK-CF-F-132 map
12. MK-ST-F-010 nameEvidence
13. MK-XS-F-122 n
14. MK-XS-F-147 call
15. MK-ST-F-027 accountId
16. MK-XS-F-064 currentIdToken
17. MK-XS-F-112 relayUrl</t>
        </is>
      </c>
      <c r="R250" s="3" t="inlineStr">
        <is>
          <t>1. MK-XS-F-122 n → MK-CF-F-155 cash → MK-NW-F-008 incomeBearingClassOf → MK-NW-F-011 assetClassOf → MK-NW-F-014 isRealAsset → MK-NW-F-022 investableAssets
2. MK-XS-F-147 call → MK-ST-F-010 nameEvidence → MK-NW-F-008 incomeBearingClassOf → MK-NW-F-011 assetClassOf → MK-NW-F-014 isRealAsset → MK-NW-F-022 investableAssets
3. MK-ST-F-056 has → MK-ST-F-010 nameEvidence → MK-NW-F-008 incomeBearingClassOf → MK-NW-F-011 assetClassOf → MK-NW-F-014 isRealAsset → MK-NW-F-022 investableAssets
4. MK-CF-F-132 map → MK-ST-F-010 nameEvidence → MK-NW-F-008 incomeBearingClassOf → MK-NW-F-011 assetClassOf → MK-NW-F-014 isRealAsset → MK-NW-F-022 investableAssets
5. MK-NW-F-066 sumWhere → MK-NW-F-022 investableAssets
6. MK-CF-F-155 cash → MK-NW-F-008 incomeBearingClassOf → MK-NW-F-011 assetClassOf → MK-NW-F-027 accountClassBreakdown → MK-NW-F-015 totalAssets → MK-NW-F-022 investableAssets
7. MK-ST-F-010 nameEvidence → MK-NW-F-008 incomeBearingClassOf → MK-NW-F-011 assetClassOf → MK-NW-F-027 accountClassBreakdown → MK-NW-F-015 totalAssets → MK-NW-F-022 investableAssets
8. MK-XS-F-122 n → MK-CF-F-155 cash → MK-NW-F-027 accountClassBreakdown → MK-NW-F-015 totalAssets → MK-NW-F-022 investableAssets
9. … and 5 more paths</t>
        </is>
      </c>
      <c r="S250" s="3" t="inlineStr">
        <is>
          <t>—</t>
        </is>
      </c>
      <c r="T250" s="3" t="inlineStr">
        <is>
          <t>TOTAL_INVESTABLE</t>
        </is>
      </c>
      <c r="U250" s="3" t="inlineStr">
        <is>
          <t>ACTIVE</t>
        </is>
      </c>
      <c r="V250" s="3" t="inlineStr">
        <is>
          <t>2026-10-08</t>
        </is>
      </c>
      <c r="W250" s="3" t="n"/>
      <c r="X250" s="3" t="n"/>
      <c r="Y250" s="3" t="inlineStr">
        <is>
          <t>NOTHING OPEN</t>
        </is>
      </c>
    </row>
    <row r="251" ht="60" customHeight="1">
      <c r="A251" s="3" t="inlineStr">
        <is>
          <t>MK-NW-F-023</t>
        </is>
      </c>
      <c r="B251" s="3" t="inlineStr">
        <is>
          <t>wrapperWord</t>
        </is>
      </c>
      <c r="C251" s="3" t="inlineStr">
        <is>
          <t>src/domain/assets/index.ts</t>
        </is>
      </c>
      <c r="D251" s="3" t="n">
        <v>1175</v>
      </c>
      <c r="E251" s="3" t="inlineStr">
        <is>
          <t>1 · ACTION</t>
        </is>
      </c>
      <c r="F251" s="3" t="inlineStr">
        <is>
          <t>The plain word for the kind of account something sits in, such as 401(k) or IRA, or nothing when that kind has no such word.</t>
        </is>
      </c>
      <c r="G251" s="11" t="inlineStr">
        <is>
          <t>NOT READ YET — the body is not a shape this can render faithfully, so nothing is claimed rather than something being guessed. It needs reading by hand.</t>
        </is>
      </c>
      <c r="H251" s="3" t="inlineStr">
        <is>
          <t>NOT READ YET — the body is not a shape this can render faithfully, so nothing is claimed rather than something being guessed. It needs reading by hand.</t>
        </is>
      </c>
      <c r="I251" s="3" t="inlineStr">
        <is>
          <t>NOT READ — nothing is claimed rather than something guessed</t>
        </is>
      </c>
      <c r="J251" s="3" t="inlineStr">
        <is>
          <t>1. kind?: string
2. a?: { wrapper_confirmed?: boolean }</t>
        </is>
      </c>
      <c r="K251" s="3" t="inlineStr">
        <is>
          <t>string</t>
        </is>
      </c>
      <c r="L251" s="3" t="inlineStr">
        <is>
          <t>—</t>
        </is>
      </c>
      <c r="M251" s="3" t="inlineStr">
        <is>
          <t>None found in this function — anything it assumes comes from the functions it depends on.</t>
        </is>
      </c>
      <c r="N251" s="3" t="inlineStr">
        <is>
          <t>Yes</t>
        </is>
      </c>
      <c r="O251" s="3" t="inlineStr">
        <is>
          <t>—</t>
        </is>
      </c>
      <c r="P251" s="3" t="n">
        <v>0</v>
      </c>
      <c r="Q251" s="3" t="inlineStr">
        <is>
          <t>None — no dependent function stands behind it</t>
        </is>
      </c>
      <c r="R251" s="3" t="inlineStr">
        <is>
          <t>No dependent function — it reads its inputs and answers</t>
        </is>
      </c>
      <c r="S251" s="3" t="inlineStr">
        <is>
          <t>—</t>
        </is>
      </c>
      <c r="T251" s="3" t="inlineStr">
        <is>
          <t>—</t>
        </is>
      </c>
      <c r="U251" s="3" t="inlineStr">
        <is>
          <t>ACTIVE</t>
        </is>
      </c>
      <c r="V251" s="3" t="inlineStr">
        <is>
          <t>2026-10-08</t>
        </is>
      </c>
      <c r="W251" s="3" t="n"/>
      <c r="X251" s="3" t="n"/>
      <c r="Y251" s="3" t="inlineStr">
        <is>
          <t>NOTHING OPEN</t>
        </is>
      </c>
    </row>
    <row r="252" ht="60" customHeight="1">
      <c r="A252" s="3" t="inlineStr">
        <is>
          <t>MK-NW-F-024</t>
        </is>
      </c>
      <c r="B252" s="3" t="inlineStr">
        <is>
          <t>accountLastFour</t>
        </is>
      </c>
      <c r="C252" s="3" t="inlineStr">
        <is>
          <t>src/domain/assets/index.ts</t>
        </is>
      </c>
      <c r="D252" s="3" t="n">
        <v>1204</v>
      </c>
      <c r="E252" s="3" t="inlineStr">
        <is>
          <t>3 · DEPENDENT</t>
        </is>
      </c>
      <c r="F252" s="3" t="inlineStr">
        <is>
          <t>The last four digits of an account, or null when we genuinely don't have them.</t>
        </is>
      </c>
      <c r="G252" s="11" t="inlineStr">
        <is>
          <t>digits = string(raw ?? '').replace( ÷ \D ÷ g, '')
digits.slice(-4)   when digits.length ≥ 4
[LOOP — the answer is found inside a loop the extractor cannot render; the steps above are the ones before it. Read by hand.]</t>
        </is>
      </c>
      <c r="H252" s="3" t="inlineStr">
        <is>
          <t>Digits is string(raw ?? '').replace( divided by \D divided by g, ''). When digits.length is at least 4, it answers digits.slice(-4). The answer is no answer. The answer is found inside a loop that cannot be rendered here; read the code by hand.</t>
        </is>
      </c>
      <c r="I252" s="3" t="inlineStr">
        <is>
          <t>PARTLY READ — the body has a loop the extractor cannot render; the steps shown are the ones before it. Needs a hand pass (G23).</t>
        </is>
      </c>
      <c r="J252" s="3" t="inlineStr">
        <is>
          <t>a: { mask?: string; account_number?: string }</t>
        </is>
      </c>
      <c r="K252" s="3" t="inlineStr">
        <is>
          <t>string | null</t>
        </is>
      </c>
      <c r="L252" s="3" t="inlineStr">
        <is>
          <t>—</t>
        </is>
      </c>
      <c r="M252" s="3" t="inlineStr">
        <is>
          <t>None found in this function — anything it assumes comes from the functions it depends on.</t>
        </is>
      </c>
      <c r="N252" s="3" t="inlineStr">
        <is>
          <t>Yes</t>
        </is>
      </c>
      <c r="O252" s="3" t="inlineStr">
        <is>
          <t>—</t>
        </is>
      </c>
      <c r="P252" s="3" t="n">
        <v>0</v>
      </c>
      <c r="Q252" s="3" t="inlineStr">
        <is>
          <t>None — no dependent function stands behind it</t>
        </is>
      </c>
      <c r="R252" s="3" t="inlineStr">
        <is>
          <t>No dependent function — it reads its inputs and answers</t>
        </is>
      </c>
      <c r="S252" s="3" t="inlineStr">
        <is>
          <t>—</t>
        </is>
      </c>
      <c r="T252" s="3" t="inlineStr">
        <is>
          <t>—</t>
        </is>
      </c>
      <c r="U252" s="3" t="inlineStr">
        <is>
          <t>ACTIVE</t>
        </is>
      </c>
      <c r="V252" s="3" t="inlineStr">
        <is>
          <t>2026-09-08</t>
        </is>
      </c>
      <c r="W252" s="3" t="n"/>
      <c r="X252" s="3" t="n"/>
      <c r="Y252" s="3" t="inlineStr">
        <is>
          <t>NOTHING OPEN</t>
        </is>
      </c>
    </row>
    <row r="253" ht="60" customHeight="1">
      <c r="A253" s="3" t="inlineStr">
        <is>
          <t>MK-NW-F-025</t>
        </is>
      </c>
      <c r="B253" s="3" t="inlineStr">
        <is>
          <t>accountDisplayName</t>
        </is>
      </c>
      <c r="C253" s="3" t="inlineStr">
        <is>
          <t>src/domain/assets/index.ts</t>
        </is>
      </c>
      <c r="D253" s="3" t="n">
        <v>1254</v>
      </c>
      <c r="E253" s="3" t="inlineStr">
        <is>
          <t>3 · DEPENDENT</t>
        </is>
      </c>
      <c r="F253" s="3" t="inlineStr">
        <is>
          <t>The one name an account is shown by, built from its institution, the kind of account and its last four digits where they are known.</t>
        </is>
      </c>
      <c r="G253" s="11" t="inlineStr">
        <is>
          <t>inst raw = (institution ?? '').trim()
last4 = account last four(a)
kind word = wrapper word((a as any).kind, a as any)
treatment = tax treatment of(a as asset account)
tax advantaged = treatment ! = 'taxable'
tax word = 'Roth'   if treatment = 'tax_free'
'401(k) ÷ IRA'   otherwise
`${inst raw} ${wrapper} -${last4}`   if last4
`${inst raw} ${wrapper}`   otherwise   when tax advantaged and wrapper
`${inst raw} -${last4}`   when last4
`${inst raw} ${wrapper}`   when wrapper
label = (label ?? '').trim()
pos = ((a as any).positions ?? []) as any[]
… the first steps only — the rest of the body needs reading by hand.</t>
        </is>
      </c>
      <c r="H253" s="3" t="inlineStr">
        <is>
          <t>Inst raw is (institution ?? '').trim(). Last4 is account last four(a). Kind word is wrapper word((a as any).kind, a as any). Treatment is tax treatment of(a as asset account). Tax advantaged is treatment ! = 'taxable'. Tax word is 'Roth' — when treatment = 'tax_free'; '401(k) divided by IRA' — otherwise. When tax advantaged and wrapper, it answers `${inst raw} ${wrapper} -${last4}` — when last4; `${inst raw} ${wrapper}` — otherwise. When last4, it answers `${inst raw} -${last4}`. When wrapper, it answers `${inst raw} ${wrapper}`. Label is (label ?? '').trim(). Pos is ((a as any).positions ?? []) as any[]. Only the first steps are shown; the rest of the body needs reading by hand.</t>
        </is>
      </c>
      <c r="I253" s="3" t="inlineStr">
        <is>
          <t>PARTLY READ — some of the code is still showing through; needs a hand pass</t>
        </is>
      </c>
      <c r="J253" s="3" t="inlineStr">
        <is>
          <t>a: Pick&lt;AssetAccount, 'label' | 'institution' | 'mask'&gt; &amp; { positions?: unknown[]; kind?: string; tax_bucket?: TaxBucket; tax_treatment?: TaxTreatment }</t>
        </is>
      </c>
      <c r="K253" s="3" t="inlineStr">
        <is>
          <t>string</t>
        </is>
      </c>
      <c r="L253" s="3" t="inlineStr">
        <is>
          <t>—</t>
        </is>
      </c>
      <c r="M253" s="3" t="inlineStr">
        <is>
          <t>None found in this function — anything it assumes comes from the functions it depends on.</t>
        </is>
      </c>
      <c r="N253" s="3" t="inlineStr">
        <is>
          <t>Yes</t>
        </is>
      </c>
      <c r="O253" s="3" t="inlineStr">
        <is>
          <t>1. MK-NW-F-026 accountDisplayNames
2. MK-NW-F-024 accountLastFour
3. MK-ST-F-039 on
4. MK-NW-F-012 taxTreatmentOf
5. MK-NW-F-023 wrapperWord</t>
        </is>
      </c>
      <c r="P253" s="3" t="n">
        <v>8</v>
      </c>
      <c r="Q253" s="3" t="inlineStr">
        <is>
          <t>1. MK-NW-F-026 accountDisplayNames
2. MK-NW-F-024 accountLastFour
3. MK-ST-F-039 on
4. MK-NW-F-012 taxTreatmentOf
5. MK-NW-F-023 wrapperWord
6. MK-ST-F-056 has
7. MK-CF-F-132 map
8. MK-XS-F-122 n</t>
        </is>
      </c>
      <c r="R253" s="3" t="inlineStr">
        <is>
          <t>1. accountDisplayName (already above — a loop) → MK-NW-F-026 accountDisplayNames → MK-NW-F-025 accountDisplayName
2. MK-ST-F-056 has → MK-NW-F-026 accountDisplayNames → MK-NW-F-025 accountDisplayName
3. MK-CF-F-132 map → MK-NW-F-026 accountDisplayNames → MK-NW-F-025 accountDisplayName
4. MK-XS-F-122 n → MK-NW-F-026 accountDisplayNames → MK-NW-F-025 accountDisplayName
5. MK-NW-F-024 accountLastFour → MK-NW-F-025 accountDisplayName
6. MK-ST-F-039 on → MK-NW-F-025 accountDisplayName
7. MK-NW-F-012 taxTreatmentOf → MK-NW-F-025 accountDisplayName
8. MK-NW-F-023 wrapperWord → MK-NW-F-025 accountDisplayName</t>
        </is>
      </c>
      <c r="S253" s="3" t="inlineStr">
        <is>
          <t>—</t>
        </is>
      </c>
      <c r="T253" s="3" t="inlineStr">
        <is>
          <t>—</t>
        </is>
      </c>
      <c r="U253" s="3" t="inlineStr">
        <is>
          <t>ACTIVE</t>
        </is>
      </c>
      <c r="V253" s="3" t="inlineStr">
        <is>
          <t>2026-10-08</t>
        </is>
      </c>
      <c r="W253" s="3" t="n"/>
      <c r="X253" s="3" t="n"/>
      <c r="Y253" s="3" t="inlineStr">
        <is>
          <t>NOTHING OPEN</t>
        </is>
      </c>
    </row>
    <row r="254" ht="60" customHeight="1">
      <c r="A254" s="3" t="inlineStr">
        <is>
          <t>MK-NW-F-026</t>
        </is>
      </c>
      <c r="B254" s="3" t="inlineStr">
        <is>
          <t>accountDisplayNames</t>
        </is>
      </c>
      <c r="C254" s="3" t="inlineStr">
        <is>
          <t>src/domain/assets/index.ts</t>
        </is>
      </c>
      <c r="D254" s="3" t="n">
        <v>1347</v>
      </c>
      <c r="E254" s="3" t="inlineStr">
        <is>
          <t>2 · DISPLAYED</t>
        </is>
      </c>
      <c r="F254" s="3" t="inlineStr">
        <is>
          <t>The name each account in a list is shown by, with no two alike.</t>
        </is>
      </c>
      <c r="G254" s="11" t="inlineStr">
        <is>
          <t>base = a lookup of for each of accounts: [asset id, account display name(each)]
counts = new map&lt;string, number&gt;()
seen = new map&lt;string, number&gt;()
out = new map&lt;string, string&gt;()
taken = a list with no repeats of [...base.values()] where counts.get(each) = 1
by id = (x: { asset id: unknown }, y: { asset id: unknown }) =&gt; (string(asset id) &lt; string(asset id) ? -1 : string(asset id) &gt; string(asset id) ? 1 : 0)
n = base.get(asset id)!
i = (seen.get(n) ?? 0) + 1
the answer = out</t>
        </is>
      </c>
      <c r="H254" s="3" t="inlineStr">
        <is>
          <t>Base is a lookup of for each of accounts: [asset id, account display name(each)]. Counts is new map&lt;string, number&gt;(). Seen is new map&lt;string, number&gt;(). Out is new map&lt;string, string&gt;(). Taken is a list with no repeats of [...base.values()] where counts.get(each) = 1. By id is (x: { asset id: unknown }, y: { asset id: unknown }) =&gt; (string(asset id) &lt; string(asset id) ? -1 : string(asset id) &gt; string(asset id) ? 1 : 0). N is base.get(asset id)!. I is (seen.get(n) ?? 0) plus 1. The answer is out.</t>
        </is>
      </c>
      <c r="I254" s="3" t="inlineStr">
        <is>
          <t>PARTLY READ — some of the code is still showing through; needs a hand pass</t>
        </is>
      </c>
      <c r="J254" s="3" t="inlineStr">
        <is>
          <t>accounts: (Pick&lt;AssetAccount, 'asset_id' | 'label' | 'institution' | 'mask'&gt; &amp; { positions?: unknown[] })[]</t>
        </is>
      </c>
      <c r="K254" s="3" t="inlineStr">
        <is>
          <t>Map&lt;string, string&gt;</t>
        </is>
      </c>
      <c r="L254" s="3" t="inlineStr">
        <is>
          <t>"Bonds &amp; alternatives — recorded on their own pages" — on the Performance screen</t>
        </is>
      </c>
      <c r="M254" s="3" t="inlineStr">
        <is>
          <t>None found in this function — anything it assumes comes from the functions it depends on.</t>
        </is>
      </c>
      <c r="N254" s="3" t="inlineStr">
        <is>
          <t>Yes</t>
        </is>
      </c>
      <c r="O254" s="3" t="inlineStr">
        <is>
          <t>1. MK-NW-F-025 accountDisplayName
2. MK-ST-F-056 has
3. MK-CF-F-132 map
4. MK-XS-F-122 n</t>
        </is>
      </c>
      <c r="P254" s="3" t="n">
        <v>8</v>
      </c>
      <c r="Q254" s="3" t="inlineStr">
        <is>
          <t>1. MK-NW-F-025 accountDisplayName
2. MK-ST-F-056 has
3. MK-CF-F-132 map
4. MK-XS-F-122 n
5. MK-NW-F-024 accountLastFour
6. MK-ST-F-039 on
7. MK-NW-F-012 taxTreatmentOf
8. MK-NW-F-023 wrapperWord</t>
        </is>
      </c>
      <c r="R254" s="3" t="inlineStr">
        <is>
          <t>1. accountDisplayNames (already above — a loop) → MK-NW-F-025 accountDisplayName → MK-NW-F-026 accountDisplayNames
2. MK-NW-F-024 accountLastFour → MK-NW-F-025 accountDisplayName → MK-NW-F-026 accountDisplayNames
3. MK-ST-F-039 on → MK-NW-F-025 accountDisplayName → MK-NW-F-026 accountDisplayNames
4. MK-NW-F-012 taxTreatmentOf → MK-NW-F-025 accountDisplayName → MK-NW-F-026 accountDisplayNames
5. MK-NW-F-023 wrapperWord → MK-NW-F-025 accountDisplayName → MK-NW-F-026 accountDisplayNames
6. MK-ST-F-056 has → MK-NW-F-026 accountDisplayNames
7. MK-CF-F-132 map → MK-NW-F-026 accountDisplayNames
8. MK-XS-F-122 n → MK-NW-F-026 accountDisplayNames</t>
        </is>
      </c>
      <c r="S254" s="3" t="inlineStr">
        <is>
          <t>—</t>
        </is>
      </c>
      <c r="T254" s="3" t="inlineStr">
        <is>
          <t>ACCOUNT_NAMES</t>
        </is>
      </c>
      <c r="U254" s="3" t="inlineStr">
        <is>
          <t>ACTIVE</t>
        </is>
      </c>
      <c r="V254" s="3" t="inlineStr">
        <is>
          <t>2026-10-05</t>
        </is>
      </c>
      <c r="W254" s="3" t="n"/>
      <c r="X254" s="3" t="n"/>
      <c r="Y254" s="3" t="inlineStr">
        <is>
          <t>NOTHING OPEN</t>
        </is>
      </c>
    </row>
    <row r="255" ht="60" customHeight="1">
      <c r="A255" s="3" t="inlineStr">
        <is>
          <t>MK-NW-F-027</t>
        </is>
      </c>
      <c r="B255" s="3" t="inlineStr">
        <is>
          <t>accountClassBreakdown</t>
        </is>
      </c>
      <c r="C255" s="3" t="inlineStr">
        <is>
          <t>src/domain/assets/index.ts</t>
        </is>
      </c>
      <c r="D255" s="3" t="n">
        <v>1508</v>
      </c>
      <c r="E255" s="3" t="inlineStr">
        <is>
          <t>2 · DISPLAYED</t>
        </is>
      </c>
      <c r="F255" s="3" t="inlineStr">
        <is>
          <t>How much of one account sits in each class, with the parts adding up exactly to the account's balance.</t>
        </is>
      </c>
      <c r="G255" s="11" t="inlineStr">
        <is>
          <t>out = cash = 0
bonds = 0
stocks etf = 0
alternatives = 0
real estate = 0
personal property = 0
mixed = 0
keeps its own cash = tax bucket ! = 'CASH' and tax bucket ! = 'PROPERTY' and (derive balance = true or cash balance ≠ nothing)
uninvested = cash balance (or 0 when missing)
held = (derive balance = true ? (positions ?? []) : []) as any[]
sh = (lots ?? []).reduce((t: number, l: any) =&gt; t + (shares or 0), 0)
paid = (lots ?? []).reduce((t: number, l: any) =&gt; t + (shares or 0) × (cost per share or 0), 0)
the answer:
cls = holding class of(p)
w = sh × last price   if last price ≠ nothing
value now   if value now ≠ nothing
paid   otherwise   otherwise
classes = a list with no repeats of for each of weights: cls
splits by holding = classes.size &gt; 1 (or classes.size = 1 and !classes.has(asset class of(a)) when missing or zero)
nothing   when !(keeps its own cash and uninvested &gt; 0) and !splits by holding
invested = (balance or 0) − out.cash
… the first steps only — the rest of the body needs reading by hand.</t>
        </is>
      </c>
      <c r="H255" s="3" t="inlineStr">
        <is>
          <t>Out is cash = 0; bonds = 0; stocks etf = 0; alternatives = 0; real estate = 0; personal property = 0; mixed = 0. Keeps its own cash is tax bucket ! = 'CASH' and tax bucket ! = 'PROPERTY' and (derive balance = true or cash balance is not no answer). Uninvested is cash balance (or 0 — when missing). Held is (derive balance = true ? (positions ?? []) : []) as any[]. Sh is (lots ?? []).reduce((t: number, l: any) =&gt; t plus (shares or 0), 0). Paid is (lots ?? []).reduce((t: number, l: any) =&gt; t plus (shares or 0) times (cost per share or 0), 0). The answer is cls = holding class of(p); w = sh times last price — when last price is not no answer; value now — when value now is not no answer; paid — otherwise — otherwise. Classes is a list with no repeats of for each of weights: cls. Splits by holding is classes.size &gt; 1 (or classes.size = 1 and !classes.has(asset class of(a)) — when missing or zero). When !(keeps its own cash and uninvested &gt; 0) and !splits by holding, it answers no answer. Invested is (balance or 0) minus out.cash. Only the first steps are shown; the rest of the body needs reading by hand.</t>
        </is>
      </c>
      <c r="I255" s="3" t="inlineStr">
        <is>
          <t>PARTLY READ — some of the code is still showing through; needs a hand pass</t>
        </is>
      </c>
      <c r="J255" s="3" t="inlineStr">
        <is>
          <t>a: AssetAccount</t>
        </is>
      </c>
      <c r="K255" s="3" t="inlineStr">
        <is>
          <t>Record&lt;AssetClass, number&gt; | null</t>
        </is>
      </c>
      <c r="L255" s="3" t="inlineStr">
        <is>
          <t>NOT FOUND — a screen calls it, but the words printed beside its answer could not be traced automatically. Needs reading.</t>
        </is>
      </c>
      <c r="M255" s="3" t="inlineStr">
        <is>
          <t>1. If cash balance is missing it uses 0.
2. If shares is missing it counts as zero, so nothing recorded and a real zero look the same.
3. If cost per share is missing it counts as zero, so nothing recorded and a real zero look the same.
4. If balance is missing it counts as zero, so nothing recorded and a real zero look the same.
5. If value is missing it counts as zero, so nothing recorded and a real zero look the same.</t>
        </is>
      </c>
      <c r="N255" s="3" t="inlineStr">
        <is>
          <t>Yes</t>
        </is>
      </c>
      <c r="O255" s="3" t="inlineStr">
        <is>
          <t>1. MK-NW-F-011 assetClassOf
2. MK-CF-F-155 cash
3. MK-ST-F-056 has
4. MK-NW-F-109 holdingClassOf
5. MK-CF-F-132 map</t>
        </is>
      </c>
      <c r="P255" s="3" t="n">
        <v>12</v>
      </c>
      <c r="Q255" s="3" t="inlineStr">
        <is>
          <t>1. MK-NW-F-011 assetClassOf
2. MK-CF-F-155 cash
3. MK-ST-F-056 has
4. MK-NW-F-109 holdingClassOf
5. MK-CF-F-132 map
6. MK-NW-F-008 incomeBearingClassOf
7. MK-XS-F-122 n
8. MK-ST-F-010 nameEvidence
9. MK-XS-F-147 call
10. MK-ST-F-027 accountId
11. MK-XS-F-064 currentIdToken
12. MK-XS-F-112 relayUrl</t>
        </is>
      </c>
      <c r="R255" s="3" t="inlineStr">
        <is>
          <t>1. MK-XS-F-122 n → MK-CF-F-155 cash → MK-NW-F-008 incomeBearingClassOf → MK-NW-F-011 assetClassOf → MK-NW-F-027 accountClassBreakdown
2. MK-ST-F-027 accountId → MK-XS-F-147 call → MK-ST-F-010 nameEvidence → MK-NW-F-008 incomeBearingClassOf → MK-NW-F-011 assetClassOf → MK-NW-F-027 accountClassBreakdown
3. MK-XS-F-064 currentIdToken → MK-XS-F-147 call → MK-ST-F-010 nameEvidence → MK-NW-F-008 incomeBearingClassOf → MK-NW-F-011 assetClassOf → MK-NW-F-027 accountClassBreakdown
4. MK-XS-F-112 relayUrl → MK-XS-F-147 call → MK-ST-F-010 nameEvidence → MK-NW-F-008 incomeBearingClassOf → MK-NW-F-011 assetClassOf → MK-NW-F-027 accountClassBreakdown
5. MK-ST-F-056 has → MK-ST-F-010 nameEvidence → MK-NW-F-008 incomeBearingClassOf → MK-NW-F-011 assetClassOf → MK-NW-F-027 accountClassBreakdown
6. MK-CF-F-132 map → MK-ST-F-010 nameEvidence → MK-NW-F-008 incomeBearingClassOf → MK-NW-F-011 assetClassOf → MK-NW-F-027 accountClassBreakdown
7. MK-XS-F-122 n → MK-CF-F-155 cash → MK-NW-F-027 accountClassBreakdown
8. MK-ST-F-056 has → MK-NW-F-027 accountClassBreakdown
9. … and 5 more paths</t>
        </is>
      </c>
      <c r="S255" s="3" t="inlineStr">
        <is>
          <t>—</t>
        </is>
      </c>
      <c r="T255" s="3" t="inlineStr">
        <is>
          <t>ACCOUNT_SPLIT</t>
        </is>
      </c>
      <c r="U255" s="3" t="inlineStr">
        <is>
          <t>ACTIVE</t>
        </is>
      </c>
      <c r="V255" s="3" t="inlineStr">
        <is>
          <t>2026-10-07</t>
        </is>
      </c>
      <c r="W255" s="3" t="n"/>
      <c r="X255" s="3" t="n"/>
      <c r="Y255" s="3" t="inlineStr">
        <is>
          <t>NOTHING OPEN</t>
        </is>
      </c>
    </row>
    <row r="256" ht="60" customHeight="1">
      <c r="A256" s="3" t="inlineStr">
        <is>
          <t>MK-NW-F-028</t>
        </is>
      </c>
      <c r="B256" s="3" t="inlineStr">
        <is>
          <t>classPortionLabel</t>
        </is>
      </c>
      <c r="C256" s="3" t="inlineStr">
        <is>
          <t>src/domain/assets/index.ts</t>
        </is>
      </c>
      <c r="D256" s="3" t="n">
        <v>1664</v>
      </c>
      <c r="E256" s="3" t="inlineStr">
        <is>
          <t>2 · DISPLAYED</t>
        </is>
      </c>
      <c r="F256" s="3" t="inlineStr">
        <is>
          <t>The words under an account's name saying what it holds of one class — "3 CDs &amp; 1 Treasury in this account".</t>
        </is>
      </c>
      <c r="G256" s="11" t="inlineStr">
        <is>
          <t>pos = (positions ?? []) as any[]
in class = pos where holding class of(each) = cls
name of = (p: any) =&gt; `${ticker ?? ''} ${name ?? label ?? ''}`
joined = the first -1).join(', ')} &amp; ${parts[parts.length − 1]}` of (parts: string[]) =&gt; (parts.length ≤ 2 ? parts.join(' &amp; ') : `${parts
opts = count of ((a as any).option holdings ?? []) as any[]
cds = in class where CD_RE.test(name of(each))count of 
treas = in class where !CD_RE.test(name of(each)) and TREASURY_RE.test(name of(each))count of 
rest = in class.length − cds − treas
the answer:
`${joined(parts)} in this account`   if count of parts
'bonds &amp; cds in this account'   otherwise
parts = [opts ? plural(opts, 'option') : '', in class.length ? plural(in class.length, 'holding') : ''] where boolean</t>
        </is>
      </c>
      <c r="H256" s="3" t="inlineStr">
        <is>
          <t>Pos is (positions ?? []) as any[]. In class is pos where holding class of(each) = cls. Name of is (p: any) =&gt; `${ticker ?? ''} ${name ?? label ?? ''}`. Joined: the first -1).join(', ')} &amp; ${parts[parts.length minus 1]}` of (parts: string[]) =&gt; (parts.length is at most 2 ? parts.join(' &amp; ') : `${parts. Opts: how many ((a as any).option holdings ?? []) as any[] there are. Cds is in class where CD_RE.test(name of(each))count of. Treas is in class where !CD_RE.test(name of(each)) and TREASURY_RE.test(name of(each))count of. Rest is in class.length minus cds minus treas. The answer is `${joined(parts)} in this account` — when how many parts there are; 'bonds &amp; cds in this account' — otherwise. Parts is [opts ? plural(opts, 'option') : '', in class.length ? plural(in class.length, 'holding') : ''] where boolean.</t>
        </is>
      </c>
      <c r="I256" s="3" t="inlineStr">
        <is>
          <t>PARTLY READ — some of the code is still showing through; needs a hand pass</t>
        </is>
      </c>
      <c r="J256" s="3" t="inlineStr">
        <is>
          <t>1. a: AssetAccount
2. cls: AssetClass</t>
        </is>
      </c>
      <c r="K256" s="3" t="inlineStr">
        <is>
          <t>string</t>
        </is>
      </c>
      <c r="L256" s="3" t="inlineStr">
        <is>
          <t>NOT FOUND — a screen calls it, but the words printed beside its answer could not be traced automatically. Needs reading.</t>
        </is>
      </c>
      <c r="M256" s="3" t="inlineStr">
        <is>
          <t>None found in this function — anything it assumes comes from the functions it depends on.</t>
        </is>
      </c>
      <c r="N256" s="3" t="inlineStr">
        <is>
          <t>Yes</t>
        </is>
      </c>
      <c r="O256" s="3" t="inlineStr">
        <is>
          <t>1. MK-NW-F-109 holdingClassOf
2. MK-CF-F-204 line
3. MK-XS-F-120 nameOf
4. MK-NW-F-067 plural</t>
        </is>
      </c>
      <c r="P256" s="3" t="n">
        <v>106</v>
      </c>
      <c r="Q256" s="3" t="inlineStr">
        <is>
          <t>1. MK-NW-F-109 holdingClassOf
2. MK-CF-F-204 line
3. MK-XS-F-120 nameOf
4. MK-NW-F-067 plural
5. MK-CF-F-155 cash
6. MK-NW-F-008 incomeBearingClassOf
7. MK-CF-F-203 MONTH
8. MK-XS-F-180 declareFigures
9. MK-XS-F-122 n
10. MK-ST-F-010 nameEvidence
11. MK-CF-O-010 theMonth
12. MK-XS-F-147 call
13. MK-ST-F-056 has
14. MK-CF-F-132 map
15. MK-CF-O-002 expenses
16. MK-CF-O-003 thisMonth
17. MK-ST-F-027 accountId
18. MK-XS-F-064 currentIdToken
19. MK-XS-F-112 relayUrl
20. MK-CF-F-151 actualSpending
21. MK-CF-F-150 debtPaymentsCountedAsExpenses
22. MK-CF-F-153 radar
23. MK-CF-F-149 recurringDebtPayments
24. MK-CF-F-005 actualMonthFlow
25. MK-CF-F-156 plannedMonthFlow
26. MK-CF-F-148 inMonth
27. MK-ST-F-052 toNum
28. MK-CF-F-191 ym
29. MK-CF-F-022 paymentShape
30. MK-CF-F-152 isRadarItem
31. MK-CF-F-023 requiredPayment
32. MK-NW-F-078 ONE
33. MK-CF-F-157 debtPaymentsByDebt
34. MK-CF-F-192 inflowLabel
35. MK-XS-F-027 takeHomeMonthly
36. MK-CF-F-021 defaultPaymentType
37. MK-NW-F-077 ALL
38. MK-NW-F-059 currentYield
39. MK-ST-F-049 formatMoney
40. MK-ST-F-053 money
41. MK-NW-O-001 theBonds
42. MK-CF-F-193 inflowSourceWord
43. MK-CF-F-092 incomeMonthlyGrid
44. MK-CF-F-011 savingsByMonth
45. MK-NW-F-112 yearlyInterest
46. MK-ST-F-048 currencySymbol
47. MK-ST-F-039 on
48. MK-NW-F-057 annualCoupon
49. MK-NW-F-056 bondInfo
50. MK-NW-F-064 bondRateSensitivity
51. MK-NW-F-061 bondSummary
52. MK-NW-F-055 isBond
53. MK-ST-F-065 isoLocalDate
54. MK-NW-F-072 rowOf
55. MK-CF-F-069 benefitActiveMonths
56. MK-CF-F-072 currentRetirementIncomeMonthly
57. MK-CF-F-173 earnerWages
58. MK-CF-F-065 equityVestWeights
59. MK-CF-F-071 extraIncome
60. MK-CF-F-206 householdK401ByMonth
61. MK-CF-F-087 monthlyTaxRates
62. MK-CF-F-073 otherIncomeMonth
63. MK-CF-F-181 rateInForce
64. MK-CF-F-068 rentalNetAnnual
65. MK-CF-F-066 rsuAnnual
66. MK-CF-F-060 salaryGrossByMonth
67. MK-CF-F-077 scholarshipByCalendarMonth
68. MK-CF-F-088 taxableByCalendarMonth
69. MK-CF-F-177 wageGrossByMonth
70. MK-PL-F-012 waterfall
71. MK-CF-F-008 spendByMonth
72. MK-ST-F-047 activeCurrency
73. MK-NW-F-060 approxYTM
74. MK-NW-F-069 priceAtYield
75. MK-NW-F-011 assetClassOf
76. MK-NW-F-070 accruedInterestCaveat
77. MK-NW-F-058 yearsToMaturity
78. MK-CF-F-075 retirementIncomeMonthly
79. MK-CF-F-172 hasWage
80. MK-CF-F-062 equityRowValue
81. MK-CF-F-070 benefitAnnual
82. MK-CF-F-176 sumMonthsOverEarners
83. MK-CF-F-090 effectiveRate
84. MK-CF-F-180 enteredLandsAnnual
85. MK-CF-F-085 filingStatusOf
86. MK-CF-F-089 over65CountOf
87. MK-CF-F-082 salaryAnnual
88. MK-CF-F-086 stateRateOf
89. MK-CF-F-101 taxOwedFor
90. MK-CF-F-084 taxableAnnual
91. MK-CF-F-067 rentalList
92. MK-CF-F-063 rowVestYear
93. MK-CF-F-130 enteredMonthlyRaw
94. MK-CF-F-166 hasMonthlySalaryTable
95. MK-ST-F-036 reconcile
96. MK-CF-F-167 salaryCalendarYear
97. MK-CF-F-120 pctBaseMonthly
98. MK-CF-F-004 spendBuckets
99. MK-NW-F-119 estimatedAccrued
100. MK-CF-F-100 taxableIncomeFor
101. MK-CF-F-074 tipsAnnual
102. MK-CF-F-165 salaryMonths
103. MK-CF-F-003 categoryMonthly
104. MK-CF-F-099 deductionFor
105. MK-CF-F-081 salaryActiveMonths
106. MK-CF-F-187 seniorDeductionFor</t>
        </is>
      </c>
      <c r="R256" s="3" t="inlineStr">
        <is>
          <t>1. MK-XS-F-122 n → MK-CF-F-155 cash → MK-NW-F-109 holdingClassOf → MK-NW-F-028 classPortionLabel
2. MK-XS-F-122 n → MK-CF-F-155 cash → MK-NW-F-008 incomeBearingClassOf → MK-NW-F-109 holdingClassOf → MK-NW-F-028 classPortionLabel
3. MK-ST-F-027 accountId → MK-XS-F-147 call → MK-ST-F-010 nameEvidence → MK-NW-F-008 incomeBearingClassOf → MK-NW-F-109 holdingClassOf → MK-NW-F-028 classPortionLabel
4. MK-XS-F-064 currentIdToken → MK-XS-F-147 call → MK-ST-F-010 nameEvidence → MK-NW-F-008 incomeBearingClassOf → MK-NW-F-109 holdingClassOf → MK-NW-F-028 classPortionLabel
5. MK-XS-F-112 relayUrl → MK-XS-F-147 call → MK-ST-F-010 nameEvidence → MK-NW-F-008 incomeBearingClassOf → MK-NW-F-109 holdingClassOf → MK-NW-F-028 classPortionLabel
6. MK-ST-F-056 has → MK-ST-F-010 nameEvidence → MK-NW-F-008 incomeBearingClassOf → MK-NW-F-109 holdingClassOf → MK-NW-F-028 classPortionLabel
7. MK-CF-F-132 map → MK-ST-F-010 nameEvidence → MK-NW-F-008 incomeBearingClassOf → MK-NW-F-109 holdingClassOf → MK-NW-F-028 classPortionLabel
8. MONTH (already above — a loop) → MK-CF-O-010 theMonth → MK-CF-F-203 MONTH → MK-CF-F-204 line → MK-NW-F-028 classPortionLabel
9. … and 5 more paths</t>
        </is>
      </c>
      <c r="S256" s="3" t="inlineStr">
        <is>
          <t>—</t>
        </is>
      </c>
      <c r="T256" s="3" t="inlineStr">
        <is>
          <t>SLICE_WORDING</t>
        </is>
      </c>
      <c r="U256" s="3" t="inlineStr">
        <is>
          <t>ACTIVE</t>
        </is>
      </c>
      <c r="V256" s="3" t="inlineStr">
        <is>
          <t>2026-10-05</t>
        </is>
      </c>
      <c r="W256" s="3" t="n"/>
      <c r="X256" s="3" t="n"/>
      <c r="Y256" s="3" t="inlineStr">
        <is>
          <t>NOTHING OPEN</t>
        </is>
      </c>
    </row>
    <row r="257" ht="60" customHeight="1">
      <c r="A257" s="3" t="inlineStr">
        <is>
          <t>MK-NW-F-029</t>
        </is>
      </c>
      <c r="B257" s="3" t="inlineStr">
        <is>
          <t>assetAllocation</t>
        </is>
      </c>
      <c r="C257" s="3" t="inlineStr">
        <is>
          <t>src/domain/assets/index.ts</t>
        </is>
      </c>
      <c r="D257" s="3" t="n">
        <v>1738</v>
      </c>
      <c r="E257" s="3" t="inlineStr">
        <is>
          <t>2 · DISPLAYED</t>
        </is>
      </c>
      <c r="F257" s="3" t="inlineStr">
        <is>
          <t>How much money sits in each of the seven classes?</t>
        </is>
      </c>
      <c r="G257" s="11" t="inlineStr">
        <is>
          <t>out = cash = 0
bonds = 0
stocks etf = 0
alternatives = 0
real estate = 0
personal property = 0
mixed = 0
b = account class breakdown(a)
the answer = out</t>
        </is>
      </c>
      <c r="H257" s="3" t="inlineStr">
        <is>
          <t>Out is cash = 0; bonds = 0; stocks etf = 0; alternatives = 0; real estate = 0; personal property = 0; mixed = 0. B is account class breakdown(a). The answer is out.</t>
        </is>
      </c>
      <c r="I257" s="3" t="inlineStr">
        <is>
          <t>READ FROM THE CODE — rendered from the expressions the function runs</t>
        </is>
      </c>
      <c r="J257" s="3" t="inlineStr">
        <is>
          <t>accounts: AssetAccount[]</t>
        </is>
      </c>
      <c r="K257" s="3" t="inlineStr">
        <is>
          <t>Record&lt;AssetClass, number&gt;</t>
        </is>
      </c>
      <c r="L257" s="3" t="inlineStr">
        <is>
          <t>NOT FOUND — a screen calls it, but the words printed beside its answer could not be traced automatically. Needs reading.</t>
        </is>
      </c>
      <c r="M257" s="3" t="inlineStr">
        <is>
          <t>· If balance is missing it counts as zero, so nothing recorded and a real zero look the same.</t>
        </is>
      </c>
      <c r="N257" s="3" t="inlineStr">
        <is>
          <t>Yes</t>
        </is>
      </c>
      <c r="O257" s="3" t="inlineStr">
        <is>
          <t>1. MK-NW-F-027 accountClassBreakdown
2. MK-NW-F-011 assetClassOf</t>
        </is>
      </c>
      <c r="P257" s="3" t="n">
        <v>13</v>
      </c>
      <c r="Q257" s="3" t="inlineStr">
        <is>
          <t>1. MK-NW-F-027 accountClassBreakdown
2. MK-NW-F-011 assetClassOf
3. MK-CF-F-155 cash
4. MK-ST-F-056 has
5. MK-NW-F-109 holdingClassOf
6. MK-CF-F-132 map
7. MK-NW-F-008 incomeBearingClassOf
8. MK-XS-F-122 n
9. MK-ST-F-010 nameEvidence
10. MK-XS-F-147 call
11. MK-ST-F-027 accountId
12. MK-XS-F-064 currentIdToken
13. MK-XS-F-112 relayUrl</t>
        </is>
      </c>
      <c r="R257" s="3" t="inlineStr">
        <is>
          <t>1. MK-XS-F-122 n → MK-CF-F-155 cash → MK-NW-F-008 incomeBearingClassOf → MK-NW-F-011 assetClassOf → MK-NW-F-027 accountClassBreakdown → MK-NW-F-029 assetAllocation
2. MK-XS-F-147 call → MK-ST-F-010 nameEvidence → MK-NW-F-008 incomeBearingClassOf → MK-NW-F-011 assetClassOf → MK-NW-F-027 accountClassBreakdown → MK-NW-F-029 assetAllocation
3. MK-ST-F-056 has → MK-ST-F-010 nameEvidence → MK-NW-F-008 incomeBearingClassOf → MK-NW-F-011 assetClassOf → MK-NW-F-027 accountClassBreakdown → MK-NW-F-029 assetAllocation
4. MK-CF-F-132 map → MK-ST-F-010 nameEvidence → MK-NW-F-008 incomeBearingClassOf → MK-NW-F-011 assetClassOf → MK-NW-F-027 accountClassBreakdown → MK-NW-F-029 assetAllocation
5. MK-XS-F-122 n → MK-CF-F-155 cash → MK-NW-F-027 accountClassBreakdown → MK-NW-F-029 assetAllocation
6. MK-ST-F-056 has → MK-NW-F-027 accountClassBreakdown → MK-NW-F-029 assetAllocation
7. MK-XS-F-122 n → MK-CF-F-155 cash → MK-NW-F-109 holdingClassOf → MK-NW-F-027 accountClassBreakdown → MK-NW-F-029 assetAllocation
8. MK-XS-F-122 n → MK-CF-F-155 cash → MK-NW-F-008 incomeBearingClassOf → MK-NW-F-109 holdingClassOf → MK-NW-F-027 accountClassBreakdown → MK-NW-F-029 assetAllocation
9. … and 5 more paths</t>
        </is>
      </c>
      <c r="S257" s="3" t="inlineStr">
        <is>
          <t>—</t>
        </is>
      </c>
      <c r="T257" s="3" t="inlineStr">
        <is>
          <t>ALLOCATION_BY_CLASS</t>
        </is>
      </c>
      <c r="U257" s="3" t="inlineStr">
        <is>
          <t>ACTIVE</t>
        </is>
      </c>
      <c r="V257" s="3" t="inlineStr">
        <is>
          <t>2026-08-27</t>
        </is>
      </c>
      <c r="W257" s="3" t="n"/>
      <c r="X257" s="3" t="n"/>
      <c r="Y257" s="3" t="inlineStr">
        <is>
          <t>NOTHING OPEN</t>
        </is>
      </c>
    </row>
    <row r="258" ht="60" customHeight="1">
      <c r="A258" s="3" t="inlineStr">
        <is>
          <t>MK-NW-F-030</t>
        </is>
      </c>
      <c r="B258" s="3" t="inlineStr">
        <is>
          <t>earmarkDefault</t>
        </is>
      </c>
      <c r="C258" s="3" t="inlineStr">
        <is>
          <t>src/domain/assets/index.ts</t>
        </is>
      </c>
      <c r="D258" s="3" t="n">
        <v>1798</v>
      </c>
      <c r="E258" s="3" t="inlineStr">
        <is>
          <t>2 · DISPLAYED</t>
        </is>
      </c>
      <c r="F258" s="3" t="inlineStr">
        <is>
          <t>Default % of an account that's earmarked for retirement (rest funds other goals).</t>
        </is>
      </c>
      <c r="G258" s="11" t="inlineStr">
        <is>
          <t>0   when kind = 'college_529'
0   if string(asset id) = primary home id
100   otherwise   when primary home id ! = undefined
0   if re use = 'primary'
100   otherwise   when re use
0
0   when asset id = primary car id</t>
        </is>
      </c>
      <c r="H258" s="3" t="inlineStr">
        <is>
          <t>When kind = 'college_529', it answers 0. When primary home id ! = undefined, it answers 0 — when string(asset id) = primary home id; 100 — otherwise. When re use, it answers 0 — when re use = 'primary'; 100 — otherwise. 0. When asset id = primary car id, it answers 0.</t>
        </is>
      </c>
      <c r="I258" s="3" t="inlineStr">
        <is>
          <t>PARTLY READ — some of the code is still showing through; needs a hand pass</t>
        </is>
      </c>
      <c r="J258" s="3" t="inlineStr">
        <is>
          <t>1. a: AssetAccount
2. primaryCarId?: string
3. primaryHomeId?: string | null</t>
        </is>
      </c>
      <c r="K258" s="3" t="inlineStr">
        <is>
          <t>number</t>
        </is>
      </c>
      <c r="L258"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8" s="3" t="inlineStr">
        <is>
          <t>None found in this function — anything it assumes comes from the functions it depends on.</t>
        </is>
      </c>
      <c r="N258" s="3" t="inlineStr">
        <is>
          <t>Yes</t>
        </is>
      </c>
      <c r="O258" s="3" t="inlineStr">
        <is>
          <t>MK-NW-F-011 assetClassOf</t>
        </is>
      </c>
      <c r="P258" s="3" t="n">
        <v>11</v>
      </c>
      <c r="Q258" s="3" t="inlineStr">
        <is>
          <t>1. MK-NW-F-011 assetClassOf
2. MK-NW-F-008 incomeBearingClassOf
3. MK-CF-F-155 cash
4. MK-ST-F-010 nameEvidence
5. MK-XS-F-122 n
6. MK-XS-F-147 call
7. MK-ST-F-056 has
8. MK-CF-F-132 map
9. MK-ST-F-027 accountId
10. MK-XS-F-064 currentIdToken
11. MK-XS-F-112 relayUrl</t>
        </is>
      </c>
      <c r="R258" s="3" t="inlineStr">
        <is>
          <t>1. MK-XS-F-122 n → MK-CF-F-155 cash → MK-NW-F-008 incomeBearingClassOf → MK-NW-F-011 assetClassOf → MK-NW-F-030 earmarkDefault
2. MK-ST-F-027 accountId → MK-XS-F-147 call → MK-ST-F-010 nameEvidence → MK-NW-F-008 incomeBearingClassOf → MK-NW-F-011 assetClassOf → MK-NW-F-030 earmarkDefault
3. MK-XS-F-064 currentIdToken → MK-XS-F-147 call → MK-ST-F-010 nameEvidence → MK-NW-F-008 incomeBearingClassOf → MK-NW-F-011 assetClassOf → MK-NW-F-030 earmarkDefault
4. MK-XS-F-112 relayUrl → MK-XS-F-147 call → MK-ST-F-010 nameEvidence → MK-NW-F-008 incomeBearingClassOf → MK-NW-F-011 assetClassOf → MK-NW-F-030 earmarkDefault
5. MK-ST-F-056 has → MK-ST-F-010 nameEvidence → MK-NW-F-008 incomeBearingClassOf → MK-NW-F-011 assetClassOf → MK-NW-F-030 earmarkDefault
6. MK-CF-F-132 map → MK-ST-F-010 nameEvidence → MK-NW-F-008 incomeBearingClassOf → MK-NW-F-011 assetClassOf → MK-NW-F-030 earmarkDefault</t>
        </is>
      </c>
      <c r="S258" s="3" t="inlineStr">
        <is>
          <t>—</t>
        </is>
      </c>
      <c r="T258" s="3" t="inlineStr">
        <is>
          <t>RETIREMENT_SHARE_DEFAULT</t>
        </is>
      </c>
      <c r="U258" s="3" t="inlineStr">
        <is>
          <t>ACTIVE</t>
        </is>
      </c>
      <c r="V258" s="3" t="inlineStr">
        <is>
          <t>2026-10-07</t>
        </is>
      </c>
      <c r="W258" s="3" t="n"/>
      <c r="X258" s="3" t="n"/>
      <c r="Y258" s="3" t="inlineStr">
        <is>
          <t>NOTHING OPEN</t>
        </is>
      </c>
    </row>
    <row r="259" ht="60" customHeight="1">
      <c r="A259" s="3" t="inlineStr">
        <is>
          <t>MK-NW-F-031</t>
        </is>
      </c>
      <c r="B259" s="3" t="inlineStr">
        <is>
          <t>primaryCarIdOf</t>
        </is>
      </c>
      <c r="C259" s="3" t="inlineStr">
        <is>
          <t>src/domain/assets/index.ts</t>
        </is>
      </c>
      <c r="D259" s="3" t="n">
        <v>1847</v>
      </c>
      <c r="E259" s="3" t="inlineStr">
        <is>
          <t>2 · DISPLAYED</t>
        </is>
      </c>
      <c r="F259" s="3" t="inlineStr">
        <is>
          <t>The vehicle treated as "the car you drive" — the most valuable one, so a second car stays a real asset.</t>
        </is>
      </c>
      <c r="G259" s="11" t="inlineStr">
        <is>
          <t>cars = accounts (or none when missing) where kind = 'vehicle'
undefined   when count of cars is missing
the answer = [...cars].sort((x, y) =&gt; (balance or 0) − (balance or 0) or (string(asset id) &lt; string(asset id) ? -1 : string(asset id) &gt; string(asset id) ? 1 : 0))[0].asset id</t>
        </is>
      </c>
      <c r="H259" s="3" t="inlineStr">
        <is>
          <t>Cars is accounts (or none — when missing) where kind = 'vehicle'. When how many cars is missing there are, it answers undefined. The answer is [...cars].sort((x, y) =&gt; (balance or 0) minus (balance or 0) or (string(asset id) &lt; string(asset id) ? -1 : string(asset id) &gt; string(asset id) ? 1 : 0))[0].asset id.</t>
        </is>
      </c>
      <c r="I259" s="3" t="inlineStr">
        <is>
          <t>PARTLY READ — some of the code is still showing through; needs a hand pass</t>
        </is>
      </c>
      <c r="J259" s="3" t="inlineStr">
        <is>
          <t>accounts: AssetAccount[]</t>
        </is>
      </c>
      <c r="K259" s="3" t="inlineStr">
        <is>
          <t>string | undefined</t>
        </is>
      </c>
      <c r="L259"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9" s="3" t="inlineStr">
        <is>
          <t>· If balance is missing it counts as zero, so nothing recorded and a real zero look the same.</t>
        </is>
      </c>
      <c r="N259" s="3" t="inlineStr">
        <is>
          <t>Yes</t>
        </is>
      </c>
      <c r="O259" s="3" t="inlineStr">
        <is>
          <t>—</t>
        </is>
      </c>
      <c r="P259" s="3" t="n">
        <v>0</v>
      </c>
      <c r="Q259" s="3" t="inlineStr">
        <is>
          <t>None — no dependent function stands behind it</t>
        </is>
      </c>
      <c r="R259" s="3" t="inlineStr">
        <is>
          <t>No dependent function — it reads its inputs and answers</t>
        </is>
      </c>
      <c r="S259" s="3" t="inlineStr">
        <is>
          <t>—</t>
        </is>
      </c>
      <c r="T259" s="3" t="inlineStr">
        <is>
          <t>PRIMARY_CAR</t>
        </is>
      </c>
      <c r="U259" s="3" t="inlineStr">
        <is>
          <t>ACTIVE</t>
        </is>
      </c>
      <c r="V259" s="3" t="inlineStr">
        <is>
          <t>2026-10-07</t>
        </is>
      </c>
      <c r="W259" s="3" t="n"/>
      <c r="X259" s="3" t="n"/>
      <c r="Y259" s="3" t="inlineStr">
        <is>
          <t>NOTHING OPEN</t>
        </is>
      </c>
    </row>
    <row r="260" ht="60" customHeight="1">
      <c r="A260" s="3" t="inlineStr">
        <is>
          <t>MK-NW-F-032</t>
        </is>
      </c>
      <c r="B260" s="3" t="inlineStr">
        <is>
          <t>earmarkedAmount</t>
        </is>
      </c>
      <c r="C260" s="3" t="inlineStr">
        <is>
          <t>src/domain/assets/index.ts</t>
        </is>
      </c>
      <c r="D260" s="3" t="n">
        <v>1893</v>
      </c>
      <c r="E260" s="3" t="inlineStr">
        <is>
          <t>2 · DISPLAYED</t>
        </is>
      </c>
      <c r="F260" s="3" t="inlineStr">
        <is>
          <t>The retirement-earmarked $ for one account (uses the saved % or the smart default).</t>
        </is>
      </c>
      <c r="G260" s="11" t="inlineStr">
        <is>
          <t>pct = earmark default(a, primary car id, primary home id)   if retirement pct = nothing
retirement pct   otherwise
the answer = (balance or 0) × max(0, min(100, pct)) ÷ 100</t>
        </is>
      </c>
      <c r="H260" s="3" t="inlineStr">
        <is>
          <t>Pct is earmark default(a, primary car id, primary home id) — when retirement pct is missing; retirement pct — otherwise. The answer is (balance or 0) times the smaller of 100 and pct, never below zero divided by 100.</t>
        </is>
      </c>
      <c r="I260" s="3" t="inlineStr">
        <is>
          <t>READ FROM THE CODE — rendered from the expressions the function runs</t>
        </is>
      </c>
      <c r="J260" s="3" t="inlineStr">
        <is>
          <t>1. a: AssetAccount
2. primaryCarId?: string
3. primaryHomeId?: string | null</t>
        </is>
      </c>
      <c r="K260" s="3" t="inlineStr">
        <is>
          <t>number</t>
        </is>
      </c>
      <c r="L260" s="3" t="inlineStr">
        <is>
          <t>"WHAT COUNTS TOWARD RETIREMENT" — on a card used on more than one screen (PlanInputs), under "WHAT COUNTS TOWARD RETIREMENT"</t>
        </is>
      </c>
      <c r="M260" s="3" t="inlineStr">
        <is>
          <t>1. If balance is missing it counts as zero, so nothing recorded and a real zero look the same.
2. Caps percent at 100.</t>
        </is>
      </c>
      <c r="N260" s="3" t="inlineStr">
        <is>
          <t>Yes</t>
        </is>
      </c>
      <c r="O260" s="3" t="inlineStr">
        <is>
          <t>MK-NW-F-030 earmarkDefault</t>
        </is>
      </c>
      <c r="P260" s="3" t="n">
        <v>12</v>
      </c>
      <c r="Q260" s="3" t="inlineStr">
        <is>
          <t>1. MK-NW-F-030 earmarkDefault
2. MK-NW-F-011 assetClassOf
3. MK-NW-F-008 incomeBearingClassOf
4. MK-CF-F-155 cash
5. MK-ST-F-010 nameEvidence
6. MK-XS-F-122 n
7. MK-XS-F-147 call
8. MK-ST-F-056 has
9. MK-CF-F-132 map
10. MK-ST-F-027 accountId
11. MK-XS-F-064 currentIdToken
12. MK-XS-F-112 relayUrl</t>
        </is>
      </c>
      <c r="R260" s="3" t="inlineStr">
        <is>
          <t>1. MK-XS-F-122 n → MK-CF-F-155 cash → MK-NW-F-008 incomeBearingClassOf → MK-NW-F-011 assetClassOf → MK-NW-F-030 earmarkDefault → MK-NW-F-032 earmarkedAmount
2. MK-XS-F-147 call → MK-ST-F-010 nameEvidence → MK-NW-F-008 incomeBearingClassOf → MK-NW-F-011 assetClassOf → MK-NW-F-030 earmarkDefault → MK-NW-F-032 earmarkedAmount
3. MK-ST-F-056 has → MK-ST-F-010 nameEvidence → MK-NW-F-008 incomeBearingClassOf → MK-NW-F-011 assetClassOf → MK-NW-F-030 earmarkDefault → MK-NW-F-032 earmarkedAmount
4. MK-CF-F-132 map → MK-ST-F-010 nameEvidence → MK-NW-F-008 incomeBearingClassOf → MK-NW-F-011 assetClassOf → MK-NW-F-030 earmarkDefault → MK-NW-F-032 earmarkedAmount</t>
        </is>
      </c>
      <c r="S260" s="3" t="inlineStr">
        <is>
          <t>—</t>
        </is>
      </c>
      <c r="T260" s="3" t="inlineStr">
        <is>
          <t>RETIREMENT_SHARE_AMOUNT</t>
        </is>
      </c>
      <c r="U260" s="3" t="inlineStr">
        <is>
          <t>ACTIVE</t>
        </is>
      </c>
      <c r="V260" s="3" t="inlineStr">
        <is>
          <t>2026-10-07</t>
        </is>
      </c>
      <c r="W260" s="3" t="n"/>
      <c r="X260" s="3" t="n"/>
      <c r="Y260" s="3" t="inlineStr">
        <is>
          <t>NOTHING OPEN</t>
        </is>
      </c>
    </row>
    <row r="261" ht="60" customHeight="1">
      <c r="A261" s="3" t="inlineStr">
        <is>
          <t>MK-NW-F-033</t>
        </is>
      </c>
      <c r="B261" s="3" t="inlineStr">
        <is>
          <t>retirementEarmarkedValue</t>
        </is>
      </c>
      <c r="C261" s="3" t="inlineStr">
        <is>
          <t>src/domain/assets/index.ts</t>
        </is>
      </c>
      <c r="D261" s="3" t="n">
        <v>1922</v>
      </c>
      <c r="E261" s="3" t="inlineStr">
        <is>
          <t>2 · DISPLAYED</t>
        </is>
      </c>
      <c r="F261" s="3" t="inlineStr">
        <is>
          <t>Total nest egg = sum of each account's retirement-earmarked portion.</t>
        </is>
      </c>
      <c r="G261" s="11" t="inlineStr">
        <is>
          <t>car = primary car id of(accounts), home = primary home id of(accounts)
the answer = Σ over accounts (or none when missing) of (earmarked amount(each, car, home))</t>
        </is>
      </c>
      <c r="H261" s="3" t="inlineStr">
        <is>
          <t>Car is primary car id of(accounts), home = primary home id of(accounts). The answer: the earmarked amount(each, car, home) added up across accounts (or none — when missing).</t>
        </is>
      </c>
      <c r="I261" s="3" t="inlineStr">
        <is>
          <t>READ FROM THE CODE — rendered from the expressions the function runs</t>
        </is>
      </c>
      <c r="J261" s="3" t="inlineStr">
        <is>
          <t>accounts: AssetAccount[]</t>
        </is>
      </c>
      <c r="K261" s="3" t="inlineStr">
        <is>
          <t>number</t>
        </is>
      </c>
      <c r="L261"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61" s="3" t="inlineStr">
        <is>
          <t>None found in this function — anything it assumes comes from the functions it depends on.</t>
        </is>
      </c>
      <c r="N261" s="3" t="inlineStr">
        <is>
          <t>Yes</t>
        </is>
      </c>
      <c r="O261" s="3" t="inlineStr">
        <is>
          <t>1. MK-NW-F-032 earmarkedAmount
2. MK-NW-F-031 primaryCarIdOf
3. MK-NW-F-110 primaryHomeIdOf</t>
        </is>
      </c>
      <c r="P261" s="3" t="n">
        <v>31</v>
      </c>
      <c r="Q261" s="3" t="inlineStr">
        <is>
          <t>1. MK-NW-F-032 earmarkedAmount
2. MK-NW-F-031 primaryCarIdOf
3. MK-NW-F-110 primaryHomeIdOf
4. MK-NW-F-030 earmarkDefault
5. MK-NW-F-117 propertyUseMap
6. MK-NW-F-011 assetClassOf
7. MK-ST-F-056 has
8. MK-NW-F-115 liveRent
9. MK-NW-F-116 rentedIdsOf
10. MK-NW-F-008 incomeBearingClassOf
11. MK-CF-O-002 expenses
12. MK-NW-F-114 rentAmount
13. MK-CF-F-132 map
14. MK-CF-F-155 cash
15. MK-ST-F-010 nameEvidence
16. MK-CF-F-151 actualSpending
17. MK-CF-F-150 debtPaymentsCountedAsExpenses
18. MK-CF-F-153 radar
19. MK-CF-F-149 recurringDebtPayments
20. MK-XS-F-122 n
21. MK-XS-F-147 call
22. MK-CF-F-148 inMonth
23. MK-ST-F-052 toNum
24. MK-CF-F-191 ym
25. MK-CF-F-022 paymentShape
26. MK-CF-F-152 isRadarItem
27. MK-CF-F-023 requiredPayment
28. MK-ST-F-027 accountId
29. MK-XS-F-064 currentIdToken
30. MK-XS-F-112 relayUrl
31. MK-CF-F-021 defaultPaymentType</t>
        </is>
      </c>
      <c r="R261" s="3" t="inlineStr">
        <is>
          <t>1. MK-CF-F-155 cash → MK-NW-F-008 incomeBearingClassOf → MK-NW-F-011 assetClassOf → MK-NW-F-030 earmarkDefault → MK-NW-F-032 earmarkedAmount → MK-NW-F-033 retirementEarmarkedValue
2. MK-ST-F-010 nameEvidence → MK-NW-F-008 incomeBearingClassOf → MK-NW-F-011 assetClassOf → MK-NW-F-030 earmarkDefault → MK-NW-F-032 earmarkedAmount → MK-NW-F-033 retirementEarmarkedValue
3. MK-NW-F-031 primaryCarIdOf → MK-NW-F-033 retirementEarmarkedValue
4. MK-CF-F-155 cash → MK-NW-F-008 incomeBearingClassOf → MK-NW-F-011 assetClassOf → MK-NW-F-030 earmarkDefault → MK-NW-F-110 primaryHomeIdOf → MK-NW-F-033 retirementEarmarkedValue
5. MK-ST-F-010 nameEvidence → MK-NW-F-008 incomeBearingClassOf → MK-NW-F-011 assetClassOf → MK-NW-F-030 earmarkDefault → MK-NW-F-110 primaryHomeIdOf → MK-NW-F-033 retirementEarmarkedValue
6. MK-CF-F-155 cash → MK-NW-F-008 incomeBearingClassOf → MK-NW-F-011 assetClassOf → MK-NW-F-117 propertyUseMap → MK-NW-F-110 primaryHomeIdOf → MK-NW-F-033 retirementEarmarkedValue
7. MK-ST-F-010 nameEvidence → MK-NW-F-008 incomeBearingClassOf → MK-NW-F-011 assetClassOf → MK-NW-F-117 propertyUseMap → MK-NW-F-110 primaryHomeIdOf → MK-NW-F-033 retirementEarmarkedValue
8. MK-ST-F-056 has → MK-NW-F-117 propertyUseMap → MK-NW-F-110 primaryHomeIdOf → MK-NW-F-033 retirementEarmarkedValue
9. … and 4 more paths</t>
        </is>
      </c>
      <c r="S261" s="3" t="inlineStr">
        <is>
          <t>—</t>
        </is>
      </c>
      <c r="T261" s="3" t="inlineStr">
        <is>
          <t>NEST_EGG</t>
        </is>
      </c>
      <c r="U261" s="3" t="inlineStr">
        <is>
          <t>ACTIVE</t>
        </is>
      </c>
      <c r="V261" s="3" t="inlineStr">
        <is>
          <t>2026-10-07</t>
        </is>
      </c>
      <c r="W261" s="3" t="n"/>
      <c r="X261" s="3" t="n"/>
      <c r="Y261" s="3" t="inlineStr">
        <is>
          <t>NOTHING OPEN</t>
        </is>
      </c>
    </row>
    <row r="262" ht="60" customHeight="1">
      <c r="A262" s="3" t="inlineStr">
        <is>
          <t>MK-NW-F-034</t>
        </is>
      </c>
      <c r="B262" s="3" t="inlineStr">
        <is>
          <t>benchmarkReturn</t>
        </is>
      </c>
      <c r="C262" s="3" t="inlineStr">
        <is>
          <t>src/domain/assets/index.ts</t>
        </is>
      </c>
      <c r="D262" s="3" t="n">
        <v>1958</v>
      </c>
      <c r="E262" s="3" t="inlineStr">
        <is>
          <t>2 · DISPLAYED</t>
        </is>
      </c>
      <c r="F262" s="3" t="inlineStr">
        <is>
          <t>Benchmark expected annual return for an asset kind — user override if set, else the ASSET_KINDS default.</t>
        </is>
      </c>
      <c r="G262" s="11" t="inlineStr">
        <is>
          <t>overrides[kind]   when kind and overrides and overrides[kind] ≠ nothing
asset kind(kind).ret (or 0.06 when missing)</t>
        </is>
      </c>
      <c r="H262" s="3" t="inlineStr">
        <is>
          <t>When kind and overrides and overrides[kind] is not no answer, it answers overrides[kind]. asset kind(kind).ret (or 0.06 — when missing).</t>
        </is>
      </c>
      <c r="I262" s="3" t="inlineStr">
        <is>
          <t>PARTLY READ — some of the code is still showing through; needs a hand pass</t>
        </is>
      </c>
      <c r="J262" s="3" t="inlineStr">
        <is>
          <t>1. kind: string | undefined
2. overrides?: Record&lt;string, number&gt;</t>
        </is>
      </c>
      <c r="K262" s="3" t="inlineStr">
        <is>
          <t>number</t>
        </is>
      </c>
      <c r="L262" s="3" t="inlineStr">
        <is>
          <t>1. "Type" — on the Other investments screen
2. "Typical yearly return for this type" — on the account portfolio screen, under "IF INTEREST RATES MOVE"</t>
        </is>
      </c>
      <c r="M262" s="3" t="inlineStr">
        <is>
          <t>· If return is missing it uses 6%.</t>
        </is>
      </c>
      <c r="N262" s="3" t="inlineStr">
        <is>
          <t>Yes</t>
        </is>
      </c>
      <c r="O262" s="3" t="inlineStr">
        <is>
          <t>MK-NW-F-007 assetKind</t>
        </is>
      </c>
      <c r="P262" s="3" t="n">
        <v>12</v>
      </c>
      <c r="Q262" s="3" t="inlineStr">
        <is>
          <t>1. MK-NW-F-007 assetKind
2. MK-NW-F-011 assetClassOf
3. MK-CF-F-155 cash
4. MK-NW-F-008 incomeBearingClassOf
5. MK-XS-F-122 n
6. MK-ST-F-010 nameEvidence
7. MK-XS-F-147 call
8. MK-ST-F-056 has
9. MK-CF-F-132 map
10. MK-ST-F-027 accountId
11. MK-XS-F-064 currentIdToken
12. MK-XS-F-112 relayUrl</t>
        </is>
      </c>
      <c r="R262" s="3" t="inlineStr">
        <is>
          <t>1. MK-XS-F-122 n → MK-CF-F-155 cash → MK-NW-F-008 incomeBearingClassOf → MK-NW-F-011 assetClassOf → MK-NW-F-007 assetKind → MK-NW-F-034 benchmarkReturn
2. MK-XS-F-147 call → MK-ST-F-010 nameEvidence → MK-NW-F-008 incomeBearingClassOf → MK-NW-F-011 assetClassOf → MK-NW-F-007 assetKind → MK-NW-F-034 benchmarkReturn
3. MK-ST-F-056 has → MK-ST-F-010 nameEvidence → MK-NW-F-008 incomeBearingClassOf → MK-NW-F-011 assetClassOf → MK-NW-F-007 assetKind → MK-NW-F-034 benchmarkReturn
4. MK-CF-F-132 map → MK-ST-F-010 nameEvidence → MK-NW-F-008 incomeBearingClassOf → MK-NW-F-011 assetClassOf → MK-NW-F-007 assetKind → MK-NW-F-034 benchmarkReturn
5. MK-XS-F-122 n → MK-CF-F-155 cash → MK-NW-F-007 assetKind → MK-NW-F-034 benchmarkReturn</t>
        </is>
      </c>
      <c r="S262" s="3" t="inlineStr">
        <is>
          <t>—</t>
        </is>
      </c>
      <c r="T262" s="3" t="inlineStr">
        <is>
          <t>EXPECTED_RETURN_BY_KIND</t>
        </is>
      </c>
      <c r="U262" s="3" t="inlineStr">
        <is>
          <t>ACTIVE</t>
        </is>
      </c>
      <c r="V262" s="3" t="inlineStr">
        <is>
          <t>2026-08-27</t>
        </is>
      </c>
      <c r="W262" s="3" t="n"/>
      <c r="X262" s="3" t="n"/>
      <c r="Y262" s="3" t="inlineStr">
        <is>
          <t>NOTHING OPEN</t>
        </is>
      </c>
    </row>
    <row r="263" ht="60" customHeight="1">
      <c r="A263" s="3" t="inlineStr">
        <is>
          <t>MK-NW-F-035</t>
        </is>
      </c>
      <c r="B263" s="3" t="inlineStr">
        <is>
          <t>blendedVolatility</t>
        </is>
      </c>
      <c r="C263" s="3" t="inlineStr">
        <is>
          <t>src/domain/assets/index.ts</t>
        </is>
      </c>
      <c r="D263" s="3" t="n">
        <v>2033</v>
      </c>
      <c r="E263" s="3" t="inlineStr">
        <is>
          <t>3 · DEPENDENT</t>
        </is>
      </c>
      <c r="F263" s="3" t="inlineStr">
        <is>
          <t>The volatility of THIS portfolio — each account's own class volatility, weighted the way the money actually is (the same weighting `blendedReturn` uses, so the pair always describes one portfolio).</t>
        </is>
      </c>
      <c r="G263" s="11" t="inlineStr">
        <is>
          <t>car = primary car id of(accounts), home = primary home id of(accounts)
items = accounts (or none when missing)
total = Σ over items of (earmarked amount(each, car, home))
nothing   when total ≤ 0
v = overrides[kind]   if kind and overrides.[kind] ≠ nothing
KIND_VOLATILITY[kind]   if kind
undefined   otherwise   otherwise
the answer = t + (v ?? 0.12) × earmarked amount(a, car, home)</t>
        </is>
      </c>
      <c r="H263" s="3" t="inlineStr">
        <is>
          <t>Car is primary car id of(accounts), home = primary home id of(accounts). Items is accounts (or none — when missing). Total: the earmarked amount(each, car, home) added up across items. When total is at most 0, it answers no answer. V is overrides[kind] — when kind and overrides.[kind] is not no answer; KIND_VOLATILITY[kind] — when kind; undefined — otherwise — otherwise. The answer is t plus (v ?? 0.12) times earmarked amount(a, car, home).</t>
        </is>
      </c>
      <c r="I263" s="3" t="inlineStr">
        <is>
          <t>PARTLY READ — some of the code is still showing through; needs a hand pass</t>
        </is>
      </c>
      <c r="J263" s="3" t="inlineStr">
        <is>
          <t>1. accounts: AssetAccount[]
2. overrides?: Record&lt;string, number&gt;</t>
        </is>
      </c>
      <c r="K263" s="3" t="inlineStr">
        <is>
          <t>number | null</t>
        </is>
      </c>
      <c r="L263" s="3" t="inlineStr">
        <is>
          <t>—</t>
        </is>
      </c>
      <c r="M263" s="3" t="inlineStr">
        <is>
          <t>· If v is missing it uses 12%.</t>
        </is>
      </c>
      <c r="N263" s="3" t="inlineStr">
        <is>
          <t>Yes</t>
        </is>
      </c>
      <c r="O263" s="3" t="inlineStr">
        <is>
          <t>1. MK-CF-F-155 cash
2. MK-NW-F-032 earmarkedAmount
3. MK-NW-F-031 primaryCarIdOf
4. MK-NW-F-110 primaryHomeIdOf</t>
        </is>
      </c>
      <c r="P263" s="3" t="n">
        <v>31</v>
      </c>
      <c r="Q263" s="3" t="inlineStr">
        <is>
          <t>1. MK-CF-F-155 cash
2. MK-NW-F-032 earmarkedAmount
3. MK-NW-F-031 primaryCarIdOf
4. MK-NW-F-110 primaryHomeIdOf
5. MK-XS-F-122 n
6. MK-NW-F-030 earmarkDefault
7. MK-NW-F-117 propertyUseMap
8. MK-NW-F-011 assetClassOf
9. MK-ST-F-056 has
10. MK-NW-F-115 liveRent
11. MK-NW-F-116 rentedIdsOf
12. MK-NW-F-008 incomeBearingClassOf
13. MK-CF-O-002 expenses
14. MK-NW-F-114 rentAmount
15. MK-CF-F-132 map
16. MK-ST-F-010 nameEvidence
17. MK-CF-F-151 actualSpending
18. MK-CF-F-150 debtPaymentsCountedAsExpenses
19. MK-CF-F-153 radar
20. MK-CF-F-149 recurringDebtPayments
21. MK-XS-F-147 call
22. MK-CF-F-148 inMonth
23. MK-ST-F-052 toNum
24. MK-CF-F-191 ym
25. MK-CF-F-022 paymentShape
26. MK-CF-F-152 isRadarItem
27. MK-CF-F-023 requiredPayment
28. MK-ST-F-027 accountId
29. MK-XS-F-064 currentIdToken
30. MK-XS-F-112 relayUrl
31. MK-CF-F-021 defaultPaymentType</t>
        </is>
      </c>
      <c r="R263" s="3" t="inlineStr">
        <is>
          <t>1. MK-XS-F-122 n → MK-CF-F-155 cash → MK-NW-F-035 blendedVolatility
2. MK-CF-F-155 cash → MK-NW-F-008 incomeBearingClassOf → MK-NW-F-011 assetClassOf → MK-NW-F-030 earmarkDefault → MK-NW-F-032 earmarkedAmount → MK-NW-F-035 blendedVolatility
3. MK-ST-F-010 nameEvidence → MK-NW-F-008 incomeBearingClassOf → MK-NW-F-011 assetClassOf → MK-NW-F-030 earmarkDefault → MK-NW-F-032 earmarkedAmount → MK-NW-F-035 blendedVolatility
4. MK-NW-F-031 primaryCarIdOf → MK-NW-F-035 blendedVolatility
5. MK-CF-F-155 cash → MK-NW-F-008 incomeBearingClassOf → MK-NW-F-011 assetClassOf → MK-NW-F-030 earmarkDefault → MK-NW-F-110 primaryHomeIdOf → MK-NW-F-035 blendedVolatility
6. MK-ST-F-010 nameEvidence → MK-NW-F-008 incomeBearingClassOf → MK-NW-F-011 assetClassOf → MK-NW-F-030 earmarkDefault → MK-NW-F-110 primaryHomeIdOf → MK-NW-F-035 blendedVolatility
7. MK-CF-F-155 cash → MK-NW-F-008 incomeBearingClassOf → MK-NW-F-011 assetClassOf → MK-NW-F-117 propertyUseMap → MK-NW-F-110 primaryHomeIdOf → MK-NW-F-035 blendedVolatility
8. MK-ST-F-010 nameEvidence → MK-NW-F-008 incomeBearingClassOf → MK-NW-F-011 assetClassOf → MK-NW-F-117 propertyUseMap → MK-NW-F-110 primaryHomeIdOf → MK-NW-F-035 blendedVolatility
9. … and 4 more paths</t>
        </is>
      </c>
      <c r="S263" s="3" t="inlineStr">
        <is>
          <t>—</t>
        </is>
      </c>
      <c r="T263" s="3" t="inlineStr">
        <is>
          <t>EXPECTED_SWING_BLENDED</t>
        </is>
      </c>
      <c r="U263" s="3" t="inlineStr">
        <is>
          <t>ACTIVE</t>
        </is>
      </c>
      <c r="V263" s="3" t="inlineStr">
        <is>
          <t>2026-10-07</t>
        </is>
      </c>
      <c r="W263" s="3" t="n"/>
      <c r="X263" s="3" t="n"/>
      <c r="Y263" s="6" t="inlineStr">
        <is>
          <t>TESTED, NOT VERIFIED (G24)</t>
        </is>
      </c>
    </row>
    <row r="264" ht="60" customHeight="1">
      <c r="A264" s="3" t="inlineStr">
        <is>
          <t>MK-NW-F-036</t>
        </is>
      </c>
      <c r="B264" s="3" t="inlineStr">
        <is>
          <t>benchmarkInfo</t>
        </is>
      </c>
      <c r="C264" s="3" t="inlineStr">
        <is>
          <t>src/domain/assets/index.ts</t>
        </is>
      </c>
      <c r="D264" s="3" t="n">
        <v>2097</v>
      </c>
      <c r="E264" s="3" t="inlineStr">
        <is>
          <t>2 · DISPLAYED</t>
        </is>
      </c>
      <c r="F264" s="3" t="inlineStr">
        <is>
          <t>Benchmark return + its source/period for an asset kind.</t>
        </is>
      </c>
      <c r="G264"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edited (or !!meta.estimate when missing or zero)</t>
        </is>
      </c>
      <c r="H264"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edited (or !!meta.estimate — when missing or zero).</t>
        </is>
      </c>
      <c r="I264" s="3" t="inlineStr">
        <is>
          <t>PARTLY READ — some of the code is still showing through; needs a hand pass</t>
        </is>
      </c>
      <c r="J264" s="3" t="inlineStr">
        <is>
          <t>1. kind: string | undefined
2. overrides?: Record&lt;string, number&gt;</t>
        </is>
      </c>
      <c r="K264" s="3" t="inlineStr">
        <is>
          <t>NOT DECLARED — the code does not say what it gives back</t>
        </is>
      </c>
      <c r="L264" s="3" t="inlineStr">
        <is>
          <t>NOT FOUND — a screen calls it, but the words printed beside its answer could not be traced automatically. Needs reading.</t>
        </is>
      </c>
      <c r="M264" s="3" t="inlineStr">
        <is>
          <t>None found in this function — anything it assumes comes from the functions it depends on.</t>
        </is>
      </c>
      <c r="N264" s="3" t="inlineStr">
        <is>
          <t>Yes</t>
        </is>
      </c>
      <c r="O264" s="3" t="inlineStr">
        <is>
          <t>MK-NW-F-034 benchmarkReturn</t>
        </is>
      </c>
      <c r="P264" s="3" t="n">
        <v>13</v>
      </c>
      <c r="Q264" s="3" t="inlineStr">
        <is>
          <t>1. MK-NW-F-034 benchmarkReturn
2. MK-NW-F-007 assetKind
3. MK-NW-F-011 assetClassOf
4. MK-CF-F-155 cash
5. MK-NW-F-008 incomeBearingClassOf
6. MK-XS-F-122 n
7. MK-ST-F-010 nameEvidence
8. MK-XS-F-147 call
9. MK-ST-F-056 has
10. MK-CF-F-132 map
11. MK-ST-F-027 accountId
12. MK-XS-F-064 currentIdToken
13. MK-XS-F-112 relayUrl</t>
        </is>
      </c>
      <c r="R264" s="3" t="inlineStr">
        <is>
          <t>1. MK-CF-F-155 cash → MK-NW-F-008 incomeBearingClassOf → MK-NW-F-011 assetClassOf → MK-NW-F-007 assetKind → MK-NW-F-034 benchmarkReturn → MK-NW-F-036 benchmarkInfo
2. MK-ST-F-010 nameEvidence → MK-NW-F-008 incomeBearingClassOf → MK-NW-F-011 assetClassOf → MK-NW-F-007 assetKind → MK-NW-F-034 benchmarkReturn → MK-NW-F-036 benchmarkInfo
3. MK-XS-F-122 n → MK-CF-F-155 cash → MK-NW-F-007 assetKind → MK-NW-F-034 benchmarkReturn → MK-NW-F-036 benchmarkInfo</t>
        </is>
      </c>
      <c r="S264" s="3" t="inlineStr">
        <is>
          <t>—</t>
        </is>
      </c>
      <c r="T264" s="3" t="inlineStr">
        <is>
          <t>—</t>
        </is>
      </c>
      <c r="U264" s="3" t="inlineStr">
        <is>
          <t>ACTIVE</t>
        </is>
      </c>
      <c r="V264" s="3" t="inlineStr">
        <is>
          <t>2026-10-07</t>
        </is>
      </c>
      <c r="W264" s="3" t="n"/>
      <c r="X264" s="3" t="n"/>
      <c r="Y264" s="3" t="inlineStr">
        <is>
          <t>NOTHING OPEN</t>
        </is>
      </c>
    </row>
    <row r="265" ht="60" customHeight="1">
      <c r="A265" s="3" t="inlineStr">
        <is>
          <t>MK-NW-F-037</t>
        </is>
      </c>
      <c r="B265" s="3" t="inlineStr">
        <is>
          <t>blendedReturn</t>
        </is>
      </c>
      <c r="C265" s="3" t="inlineStr">
        <is>
          <t>src/domain/assets/index.ts</t>
        </is>
      </c>
      <c r="D265" s="3" t="n">
        <v>2134</v>
      </c>
      <c r="E265" s="3" t="inlineStr">
        <is>
          <t>2 · DISPLAYED</t>
        </is>
      </c>
      <c r="F265" s="3" t="inlineStr">
        <is>
          <t>Blended expected return across the EARMARKED nest egg, weighted by each holding's share.</t>
        </is>
      </c>
      <c r="G265" s="11" t="inlineStr">
        <is>
          <t>car = primary car id of(accounts), home = primary home id of(accounts)
items = accounts (or none when missing)
total = Σ over items of (earmarked amount(each, car, home))
nothing   when total ≤ 0
weighted = Σ over items of (benchmark return(kind, overrides) × earmarked amount(each, car, home))
the answer = weighted ÷ total</t>
        </is>
      </c>
      <c r="H265" s="3" t="inlineStr">
        <is>
          <t>Car is primary car id of(accounts), home = primary home id of(accounts). Items is accounts (or none — when missing). Total: the earmarked amount(each, car, home) added up across items. When total is at most 0, it answers no answer. Weighted: the benchmark return(kind, overrides) times earmarked amount(each, car, home) added up across items. The answer is weighted divided by total.</t>
        </is>
      </c>
      <c r="I265" s="3" t="inlineStr">
        <is>
          <t>READ FROM THE CODE — rendered from the expressions the function runs</t>
        </is>
      </c>
      <c r="J265" s="3" t="inlineStr">
        <is>
          <t>1. accounts: AssetAccount[]
2. overrides?: Record&lt;string, number&gt;</t>
        </is>
      </c>
      <c r="K265" s="3" t="inlineStr">
        <is>
          <t>number | null</t>
        </is>
      </c>
      <c r="L265" s="3" t="inlineStr">
        <is>
          <t>1. "Expected return" — on the Retirement cockpit screen, under "scRetired ?"
2. "Weighted average" — on the Retirement cockpit screen</t>
        </is>
      </c>
      <c r="M265" s="3" t="inlineStr">
        <is>
          <t>None found in this function — anything it assumes comes from the functions it depends on.</t>
        </is>
      </c>
      <c r="N265" s="3" t="inlineStr">
        <is>
          <t>Yes</t>
        </is>
      </c>
      <c r="O265" s="3" t="inlineStr">
        <is>
          <t>1. MK-NW-F-034 benchmarkReturn
2. MK-NW-F-032 earmarkedAmount
3. MK-NW-F-031 primaryCarIdOf
4. MK-NW-F-110 primaryHomeIdOf</t>
        </is>
      </c>
      <c r="P265" s="3" t="n">
        <v>33</v>
      </c>
      <c r="Q265" s="3" t="inlineStr">
        <is>
          <t>1. MK-NW-F-034 benchmarkReturn
2. MK-NW-F-032 earmarkedAmount
3. MK-NW-F-031 primaryCarIdOf
4. MK-NW-F-110 primaryHomeIdOf
5. MK-NW-F-007 assetKind
6. MK-NW-F-030 earmarkDefault
7. MK-NW-F-117 propertyUseMap
8. MK-NW-F-011 assetClassOf
9. MK-CF-F-155 cash
10. MK-ST-F-056 has
11. MK-NW-F-115 liveRent
12. MK-NW-F-116 rentedIdsOf
13. MK-NW-F-008 incomeBearingClassOf
14. MK-XS-F-122 n
15. MK-CF-O-002 expenses
16. MK-NW-F-114 rentAmount
17. MK-CF-F-132 map
18. MK-ST-F-010 nameEvidence
19. MK-CF-F-151 actualSpending
20. MK-CF-F-150 debtPaymentsCountedAsExpenses
21. MK-CF-F-153 radar
22. MK-CF-F-149 recurringDebtPayments
23. MK-XS-F-147 call
24. MK-CF-F-148 inMonth
25. MK-ST-F-052 toNum
26. MK-CF-F-191 ym
27. MK-CF-F-022 paymentShape
28. MK-CF-F-152 isRadarItem
29. MK-CF-F-023 requiredPayment
30. MK-ST-F-027 accountId
31. MK-XS-F-064 currentIdToken
32. MK-XS-F-112 relayUrl
33. MK-CF-F-021 defaultPaymentType</t>
        </is>
      </c>
      <c r="R265" s="3" t="inlineStr">
        <is>
          <t>1. MK-CF-F-155 cash → MK-NW-F-008 incomeBearingClassOf → MK-NW-F-011 assetClassOf → MK-NW-F-007 assetKind → MK-NW-F-034 benchmarkReturn → MK-NW-F-037 blendedReturn
2. MK-ST-F-010 nameEvidence → MK-NW-F-008 incomeBearingClassOf → MK-NW-F-011 assetClassOf → MK-NW-F-007 assetKind → MK-NW-F-034 benchmarkReturn → MK-NW-F-037 blendedReturn
3. MK-XS-F-122 n → MK-CF-F-155 cash → MK-NW-F-007 assetKind → MK-NW-F-034 benchmarkReturn → MK-NW-F-037 blendedReturn
4. MK-CF-F-155 cash → MK-NW-F-008 incomeBearingClassOf → MK-NW-F-011 assetClassOf → MK-NW-F-030 earmarkDefault → MK-NW-F-032 earmarkedAmount → MK-NW-F-037 blendedReturn
5. MK-ST-F-010 nameEvidence → MK-NW-F-008 incomeBearingClassOf → MK-NW-F-011 assetClassOf → MK-NW-F-030 earmarkDefault → MK-NW-F-032 earmarkedAmount → MK-NW-F-037 blendedReturn
6. MK-NW-F-031 primaryCarIdOf → MK-NW-F-037 blendedReturn
7. MK-CF-F-155 cash → MK-NW-F-008 incomeBearingClassOf → MK-NW-F-011 assetClassOf → MK-NW-F-030 earmarkDefault → MK-NW-F-110 primaryHomeIdOf → MK-NW-F-037 blendedReturn
8. MK-ST-F-010 nameEvidence → MK-NW-F-008 incomeBearingClassOf → MK-NW-F-011 assetClassOf → MK-NW-F-030 earmarkDefault → MK-NW-F-110 primaryHomeIdOf → MK-NW-F-037 blendedReturn
9. … and 4 more paths</t>
        </is>
      </c>
      <c r="S265" s="3" t="inlineStr">
        <is>
          <t>—</t>
        </is>
      </c>
      <c r="T265" s="3" t="inlineStr">
        <is>
          <t>EXPECTED_RETURN_BLENDED</t>
        </is>
      </c>
      <c r="U265" s="3" t="inlineStr">
        <is>
          <t>ACTIVE</t>
        </is>
      </c>
      <c r="V265" s="3" t="inlineStr">
        <is>
          <t>2026-10-07</t>
        </is>
      </c>
      <c r="W265" s="3" t="n"/>
      <c r="X265" s="3" t="n"/>
      <c r="Y265" s="6" t="inlineStr">
        <is>
          <t>TESTED, NOT VERIFIED (G24)</t>
        </is>
      </c>
    </row>
    <row r="266" ht="60" customHeight="1">
      <c r="A266" s="3" t="inlineStr">
        <is>
          <t>MK-NW-F-038</t>
        </is>
      </c>
      <c r="B266" s="3" t="inlineStr">
        <is>
          <t>earmarkedKinds</t>
        </is>
      </c>
      <c r="C266" s="3" t="inlineStr">
        <is>
          <t>src/domain/assets/index.ts</t>
        </is>
      </c>
      <c r="D266" s="3" t="n">
        <v>2170</v>
      </c>
      <c r="E266" s="3" t="inlineStr">
        <is>
          <t>3 · DEPENDENT (feeds an action only)</t>
        </is>
      </c>
      <c r="F266" s="3" t="inlineStr">
        <is>
          <t>Distinct investment kinds present in the earmarked nest egg (for the benchmark editor).</t>
        </is>
      </c>
      <c r="G266" s="11" t="inlineStr">
        <is>
          <t>seen = new set&lt;string&gt;()
the answer = array.from(seen)</t>
        </is>
      </c>
      <c r="H266" s="3" t="inlineStr">
        <is>
          <t>Seen is new set&lt;string&gt;(). The answer is array.from(seen).</t>
        </is>
      </c>
      <c r="I266" s="3" t="inlineStr">
        <is>
          <t>PARTLY READ — some of the code is still showing through; needs a hand pass</t>
        </is>
      </c>
      <c r="J266" s="3" t="inlineStr">
        <is>
          <t>accounts: AssetAccount[]</t>
        </is>
      </c>
      <c r="K266" s="3" t="inlineStr">
        <is>
          <t>string[]</t>
        </is>
      </c>
      <c r="L266" s="3" t="inlineStr">
        <is>
          <t>—</t>
        </is>
      </c>
      <c r="M266" s="3" t="inlineStr">
        <is>
          <t>· Uses a built-in d e f a u l t r e t u r n of 7%.</t>
        </is>
      </c>
      <c r="N266" s="3" t="inlineStr">
        <is>
          <t>No</t>
        </is>
      </c>
      <c r="O266" s="3" t="inlineStr">
        <is>
          <t>MK-NW-F-032 earmarkedAmount</t>
        </is>
      </c>
      <c r="P266" s="3" t="n">
        <v>13</v>
      </c>
      <c r="Q266" s="3" t="inlineStr">
        <is>
          <t>1. MK-NW-F-032 earmarkedAmount
2. MK-NW-F-030 earmarkDefault
3. MK-NW-F-011 assetClassOf
4. MK-NW-F-008 incomeBearingClassOf
5. MK-CF-F-155 cash
6. MK-ST-F-010 nameEvidence
7. MK-XS-F-122 n
8. MK-XS-F-147 call
9. MK-ST-F-056 has
10. MK-CF-F-132 map
11. MK-ST-F-027 accountId
12. MK-XS-F-064 currentIdToken
13. MK-XS-F-112 relayUrl</t>
        </is>
      </c>
      <c r="R266" s="3" t="inlineStr">
        <is>
          <t>1. MK-CF-F-155 cash → MK-NW-F-008 incomeBearingClassOf → MK-NW-F-011 assetClassOf → MK-NW-F-030 earmarkDefault → MK-NW-F-032 earmarkedAmount → MK-NW-F-038 earmarkedKinds
2. MK-ST-F-010 nameEvidence → MK-NW-F-008 incomeBearingClassOf → MK-NW-F-011 assetClassOf → MK-NW-F-030 earmarkDefault → MK-NW-F-032 earmarkedAmount → MK-NW-F-038 earmarkedKinds</t>
        </is>
      </c>
      <c r="S266" s="3" t="inlineStr">
        <is>
          <t>—</t>
        </is>
      </c>
      <c r="T266" s="3" t="inlineStr">
        <is>
          <t>—</t>
        </is>
      </c>
      <c r="U266" s="3" t="inlineStr">
        <is>
          <t>ACTIVE</t>
        </is>
      </c>
      <c r="V266" s="3" t="inlineStr">
        <is>
          <t>2026-08-27</t>
        </is>
      </c>
      <c r="W266" s="3" t="n"/>
      <c r="X266" s="3" t="n"/>
      <c r="Y266" s="3" t="inlineStr">
        <is>
          <t>NOTHING OPEN</t>
        </is>
      </c>
    </row>
    <row r="267" ht="60" customHeight="1">
      <c r="A267" s="3" t="inlineStr">
        <is>
          <t>MK-NW-F-039</t>
        </is>
      </c>
      <c r="B267" s="3" t="inlineStr">
        <is>
          <t>buildAssetsState</t>
        </is>
      </c>
      <c r="C267" s="3" t="inlineStr">
        <is>
          <t>src/domain/assets/index.ts</t>
        </is>
      </c>
      <c r="D267" s="3" t="n">
        <v>2212</v>
      </c>
      <c r="E267" s="3" t="inlineStr">
        <is>
          <t>2 · DISPLAYED</t>
        </is>
      </c>
      <c r="F267" s="3" t="inlineStr">
        <is>
          <t>How much of everything sits in each account, and what return do they blend to?</t>
        </is>
      </c>
      <c r="G267" s="11" t="inlineStr">
        <is>
          <t>total asset value      = round(Σ over every account of (balance), 2 dp)
share of portfolio (a) = round(balance of a ÷ total × 100, 2 dp)
average target return  = round(Σ(target return × balance) ÷ total, 4 dp)</t>
        </is>
      </c>
      <c r="H267"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67" s="3" t="inlineStr">
        <is>
          <t>READ BY HAND 2026-08-26 — checked line by line against the code</t>
        </is>
      </c>
      <c r="J267" s="3" t="inlineStr">
        <is>
          <t>1. uid: UserId
2. accounts: AssetAccount[]</t>
        </is>
      </c>
      <c r="K267" s="3" t="inlineStr">
        <is>
          <t>AssetsState</t>
        </is>
      </c>
      <c r="L267" s="3" t="inlineStr">
        <is>
          <t>NOT FOUND — a screen calls it, but the words printed beside its answer could not be traced automatically. Needs reading.</t>
        </is>
      </c>
      <c r="M267" s="3" t="inlineStr">
        <is>
          <t>None found in this function — anything it assumes comes from the functions it depends on.</t>
        </is>
      </c>
      <c r="N267" s="3" t="inlineStr">
        <is>
          <t>Yes</t>
        </is>
      </c>
      <c r="O267" s="3" t="inlineStr">
        <is>
          <t>1. MK-CF-F-132 map
2. MK-XS-F-175 uid</t>
        </is>
      </c>
      <c r="P267" s="3" t="n">
        <v>83</v>
      </c>
      <c r="Q267" s="3" t="inlineStr">
        <is>
          <t>1. MK-CF-F-132 map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267"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67" s="3" t="inlineStr">
        <is>
          <t>—</t>
        </is>
      </c>
      <c r="T267" s="3" t="inlineStr">
        <is>
          <t>ACCOUNT_SHARE_OF_TOTAL</t>
        </is>
      </c>
      <c r="U267" s="3" t="inlineStr">
        <is>
          <t>ACTIVE</t>
        </is>
      </c>
      <c r="V267" s="3" t="inlineStr">
        <is>
          <t>2026-08-27</t>
        </is>
      </c>
      <c r="W267" s="3" t="n"/>
      <c r="X267" s="3" t="n"/>
      <c r="Y267" s="3" t="inlineStr">
        <is>
          <t>NOTHING OPEN</t>
        </is>
      </c>
    </row>
    <row r="268" ht="60" customHeight="1">
      <c r="A268" s="3" t="inlineStr">
        <is>
          <t>MK-NW-F-040</t>
        </is>
      </c>
      <c r="B268" s="3" t="inlineStr">
        <is>
          <t>assetsFromOnboarding</t>
        </is>
      </c>
      <c r="C268" s="3" t="inlineStr">
        <is>
          <t>src/domain/assets/index.ts</t>
        </is>
      </c>
      <c r="D268" s="3" t="n">
        <v>2263</v>
      </c>
      <c r="E268" s="3" t="inlineStr">
        <is>
          <t>3 · DEPENDENT</t>
        </is>
      </c>
      <c r="F268" s="3" t="inlineStr">
        <is>
          <t>Build asset accounts from onboarding answers (accumulation: retirement savings + holdings).</t>
        </is>
      </c>
      <c r="G268" s="11" t="inlineStr">
        <is>
          <t>a = op (or none when missing)
accounts = []
bal = raw read as a number (0 when it is not one)
the answer:
user id = uid
accounts = accounts</t>
        </is>
      </c>
      <c r="H268" s="3" t="inlineStr">
        <is>
          <t>A is op (or none — when missing). Accounts is []. Bal is raw read as a number (0 — when it is one is missing). The answer is user id = uid; accounts = accounts.</t>
        </is>
      </c>
      <c r="I268" s="3" t="inlineStr">
        <is>
          <t>READ FROM THE CODE — rendered from the expressions the function runs</t>
        </is>
      </c>
      <c r="J268" s="3" t="inlineStr">
        <is>
          <t>1. uid: UserId
2. op: Record&lt;string, any&gt; | null</t>
        </is>
      </c>
      <c r="K268" s="3" t="inlineStr">
        <is>
          <t>AssetsDoc</t>
        </is>
      </c>
      <c r="L268" s="3" t="inlineStr">
        <is>
          <t>—</t>
        </is>
      </c>
      <c r="M268" s="3" t="inlineStr">
        <is>
          <t>None found in this function — anything it assumes comes from the functions it depends on.</t>
        </is>
      </c>
      <c r="N268" s="3" t="inlineStr">
        <is>
          <t>Yes</t>
        </is>
      </c>
      <c r="O268" s="3" t="inlineStr">
        <is>
          <t>1. MK-ST-F-043 newEntityId
2. MK-ST-F-052 toNum
3. MK-XS-F-175 uid</t>
        </is>
      </c>
      <c r="P268" s="3" t="n">
        <v>82</v>
      </c>
      <c r="Q268" s="3" t="inlineStr">
        <is>
          <t>1. MK-ST-F-043 newEntityId
2. MK-ST-F-052 toNum
3. MK-XS-F-175 uid
4. MK-XS-F-122 n
5. MK-ST-F-027 accountId
6. MK-CF-F-111 applyTransaction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MK-NW-F-011 assetClassOf
76. MK-XS-F-147 call
77. MK-CF-F-075 retirementIncomeMonthly
78. MK-ST-F-047 activeCurrency
79. MK-CF-F-099 deductionFor
80. MK-XS-F-064 currentIdToken
81. MK-XS-F-112 relayUrl
82. MK-CF-F-187 seniorDeductionFor</t>
        </is>
      </c>
      <c r="R268"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68" s="3" t="inlineStr">
        <is>
          <t>—</t>
        </is>
      </c>
      <c r="T268" s="3" t="inlineStr">
        <is>
          <t>ACCOUNTS_FROM_SETUP</t>
        </is>
      </c>
      <c r="U268" s="3" t="inlineStr">
        <is>
          <t>ACTIVE</t>
        </is>
      </c>
      <c r="V268" s="3" t="inlineStr">
        <is>
          <t>2026-08-27</t>
        </is>
      </c>
      <c r="W268" s="3" t="n"/>
      <c r="X268" s="3" t="n"/>
      <c r="Y268" s="3" t="inlineStr">
        <is>
          <t>NOTHING OPEN</t>
        </is>
      </c>
    </row>
    <row r="269" ht="60" customHeight="1">
      <c r="A269" s="3" t="inlineStr">
        <is>
          <t>MK-NW-F-041</t>
        </is>
      </c>
      <c r="B269" s="3" t="inlineStr">
        <is>
          <t>monthlyContributionsFromOnboarding</t>
        </is>
      </c>
      <c r="C269" s="3" t="inlineStr">
        <is>
          <t>src/domain/assets/index.ts</t>
        </is>
      </c>
      <c r="D269" s="3" t="n">
        <v>2312</v>
      </c>
      <c r="E269" s="3" t="inlineStr">
        <is>
          <t>2 · DISPLAYED</t>
        </is>
      </c>
      <c r="F269" s="3" t="inlineStr">
        <is>
          <t>Total monthly contributions across types + employer match (feeds the retirement projection).</t>
        </is>
      </c>
      <c r="G269" s="11" t="inlineStr">
        <is>
          <t>a = op (or none when missing)
nothing   when !['c_401k', 'c_roth', 'c_invest', 'employerMatchValue'].some((k) =&gt; string(a[k] ?? '').trim() ! = '')
age = age attained in year(to num(birth year) or nothing)
k401 = min(c 401k read as a number (0 when it is not one), annual401k limit(age) ÷ 12)
match = (k401 × to num(employer match value)) ÷ 100   if employer match mode = 'pct'
employer match monthly(op)   otherwise
the answer = k401 + to num(c roth) + to num(c invest) + match</t>
        </is>
      </c>
      <c r="H269" s="3" t="inlineStr">
        <is>
          <t>A is op (or none — when missing). When !['c_401k', 'c_roth', 'c_invest', 'employerMatchValue'].some((k) =&gt; string(a[k] ?? '').trim() ! = ''), it answers no answer. Age is age attained in year(to num(birth year) or no answer). K401: the smaller of c 401k read as a number (0 — when it is one is missing) and annual401k limit(age divided by 12). Match is (k401 times to num(employer match value)) divided by 100 — when employer match mode = 'pct'; employer match monthly(op) — otherwise. The answer is k401 plus to num(c roth) plus to num(c invest) plus match.</t>
        </is>
      </c>
      <c r="I269" s="3" t="inlineStr">
        <is>
          <t>PARTLY READ — some of the code is still showing through; needs a hand pass</t>
        </is>
      </c>
      <c r="J269" s="3" t="inlineStr">
        <is>
          <t>op: Record&lt;string, any&gt; | null</t>
        </is>
      </c>
      <c r="K269" s="3" t="inlineStr">
        <is>
          <t>number | null</t>
        </is>
      </c>
      <c r="L269" s="3" t="inlineStr">
        <is>
          <t>NOT FOUND — a screen calls it, but the words printed beside its answer could not be traced automatically. Needs reading.</t>
        </is>
      </c>
      <c r="M269" s="3" t="inlineStr">
        <is>
          <t>None found in this function — anything it assumes comes from the functions it depends on.</t>
        </is>
      </c>
      <c r="N269" s="3" t="inlineStr">
        <is>
          <t>Yes</t>
        </is>
      </c>
      <c r="O269" s="3" t="inlineStr">
        <is>
          <t>1. MK-CF-F-197 ageAttainedInYear
2. MK-CF-F-053 annual401kLimit
3. MK-CF-F-078 employerMatchMonthly
4. MK-ST-F-053 money
5. MK-ST-F-052 toNum</t>
        </is>
      </c>
      <c r="P269" s="3" t="n">
        <v>15</v>
      </c>
      <c r="Q269" s="3" t="inlineStr">
        <is>
          <t>1. MK-CF-F-197 ageAttainedInYear
2. MK-CF-F-053 annual401kLimit
3. MK-CF-F-078 employerMatchMonthly
4. MK-ST-F-053 money
5. MK-ST-F-052 toNum
6. MK-CF-F-175 sumOverEarners
7. MK-CF-F-178 wageMatchMonthly
8. MK-ST-F-049 formatMoney
9. MK-XS-F-122 n
10. MK-CF-F-173 earnerWages
11. MK-ST-F-048 currencySymbol
12. MK-ST-F-039 on
13. MK-CF-F-172 hasWage
14. MK-ST-F-047 activeCurrency
15. MK-ST-F-056 has</t>
        </is>
      </c>
      <c r="R269" s="3" t="inlineStr">
        <is>
          <t>1. MK-CF-F-197 ageAttainedInYear → MK-NW-F-041 monthlyContributionsFromOnboarding
2. MK-CF-F-053 annual401kLimit → MK-NW-F-041 monthlyContributionsFromOnboarding
3. MK-ST-F-056 has → MK-CF-F-172 hasWage → MK-CF-F-173 earnerWages → MK-CF-F-175 sumOverEarners → MK-CF-F-078 employerMatchMonthly → MK-NW-F-041 monthlyContributionsFromOnboarding
4. MK-XS-F-122 n → MK-ST-F-052 toNum → MK-CF-F-178 wageMatchMonthly → MK-CF-F-078 employerMatchMonthly → MK-NW-F-041 monthlyContributionsFromOnboarding
5. MK-ST-F-047 activeCurrency → MK-ST-F-048 currencySymbol → MK-ST-F-049 formatMoney → MK-ST-F-053 money → MK-NW-F-041 monthlyContributionsFromOnboarding
6. MK-XS-F-122 n → MK-ST-F-049 formatMoney → MK-ST-F-053 money → MK-NW-F-041 monthlyContributionsFromOnboarding
7. MK-ST-F-039 on → MK-ST-F-049 formatMoney → MK-ST-F-053 money → MK-NW-F-041 monthlyContributionsFromOnboarding
8. MK-XS-F-122 n → MK-ST-F-053 money → MK-NW-F-041 monthlyContributionsFromOnboarding
9. … and 1 more paths</t>
        </is>
      </c>
      <c r="S269" s="3" t="inlineStr">
        <is>
          <t>—</t>
        </is>
      </c>
      <c r="T269" s="3" t="inlineStr">
        <is>
          <t>MONTHLY_SAVING</t>
        </is>
      </c>
      <c r="U269" s="3" t="inlineStr">
        <is>
          <t>ACTIVE</t>
        </is>
      </c>
      <c r="V269" s="3" t="inlineStr">
        <is>
          <t>2026-10-07</t>
        </is>
      </c>
      <c r="W269" s="3" t="n"/>
      <c r="X269" s="3" t="n"/>
      <c r="Y269" s="3" t="inlineStr">
        <is>
          <t>NOTHING OPEN</t>
        </is>
      </c>
    </row>
    <row r="270" ht="60" customHeight="1">
      <c r="A270" s="3" t="inlineStr">
        <is>
          <t>MK-NW-F-042</t>
        </is>
      </c>
      <c r="B270" s="3" t="inlineStr">
        <is>
          <t>loadAssets</t>
        </is>
      </c>
      <c r="C270" s="3" t="inlineStr">
        <is>
          <t>src/domain/assets/index.ts</t>
        </is>
      </c>
      <c r="D270" s="3" t="n">
        <v>2355</v>
      </c>
      <c r="E270" s="3" t="inlineStr">
        <is>
          <t>3 · DEPENDENT (feeds an action only)</t>
        </is>
      </c>
      <c r="F270" s="3" t="inlineStr">
        <is>
          <t>Reads a person's saved accounts from storage and calculates nothing.</t>
        </is>
      </c>
      <c r="G270" s="11" t="inlineStr">
        <is>
          <t>It reaches outside the app for data and hands back what came back — no arithmetic of its own.</t>
        </is>
      </c>
      <c r="H270" s="3" t="inlineStr">
        <is>
          <t>It reaches outside the app for data and hands back what came back — no arithmetic of its own.</t>
        </is>
      </c>
      <c r="I270" s="3" t="inlineStr">
        <is>
          <t>NO ARITHMETIC — there is no formula to state</t>
        </is>
      </c>
      <c r="J270" s="3" t="inlineStr">
        <is>
          <t>uid: UserId</t>
        </is>
      </c>
      <c r="K270" s="3" t="inlineStr">
        <is>
          <t>NOT DECLARED — the code does not say what it gives back</t>
        </is>
      </c>
      <c r="L270" s="3" t="inlineStr">
        <is>
          <t>—</t>
        </is>
      </c>
      <c r="M270" s="3" t="inlineStr">
        <is>
          <t>None found in this function — anything it assumes comes from the functions it depends on.</t>
        </is>
      </c>
      <c r="N270" s="3" t="inlineStr">
        <is>
          <t>No</t>
        </is>
      </c>
      <c r="O270" s="3" t="inlineStr">
        <is>
          <t>MK-XS-F-175 uid</t>
        </is>
      </c>
      <c r="P270" s="3" t="n">
        <v>83</v>
      </c>
      <c r="Q270"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270" s="3" t="inlineStr">
        <is>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is>
      </c>
      <c r="S270" s="3" t="inlineStr">
        <is>
          <t>—</t>
        </is>
      </c>
      <c r="T270" s="3" t="inlineStr">
        <is>
          <t>—</t>
        </is>
      </c>
      <c r="U270" s="3" t="inlineStr">
        <is>
          <t>ACTIVE</t>
        </is>
      </c>
      <c r="V270" s="3" t="inlineStr">
        <is>
          <t>2026-08-27</t>
        </is>
      </c>
      <c r="W270" s="3" t="n"/>
      <c r="X270" s="3" t="n"/>
      <c r="Y270" s="3" t="inlineStr">
        <is>
          <t>NOTHING OPEN</t>
        </is>
      </c>
    </row>
    <row r="271" ht="60" customHeight="1">
      <c r="A271" s="3" t="inlineStr">
        <is>
          <t>MK-NW-F-043</t>
        </is>
      </c>
      <c r="B271" s="3" t="inlineStr">
        <is>
          <t>saveAssets</t>
        </is>
      </c>
      <c r="C271" s="3" t="inlineStr">
        <is>
          <t>src/domain/assets/index.ts</t>
        </is>
      </c>
      <c r="D271" s="3" t="n">
        <v>2373</v>
      </c>
      <c r="E271" s="3" t="inlineStr">
        <is>
          <t>1 · ACTION</t>
        </is>
      </c>
      <c r="F271" s="3" t="inlineStr">
        <is>
          <t>Saves a person's accounts to storage, tells the rest of the app it changed, and calculates nothing.</t>
        </is>
      </c>
      <c r="G271" s="11" t="inlineStr">
        <is>
          <t>It records or announces something and returns no figure — no arithmetic of its own.</t>
        </is>
      </c>
      <c r="H271" s="3" t="inlineStr">
        <is>
          <t>It records or announces something and returns no figure — no arithmetic of its own.</t>
        </is>
      </c>
      <c r="I271" s="3" t="inlineStr">
        <is>
          <t>NO ARITHMETIC — there is no formula to state</t>
        </is>
      </c>
      <c r="J271" s="3" t="inlineStr">
        <is>
          <t>d: AssetsDoc</t>
        </is>
      </c>
      <c r="K271" s="3" t="inlineStr">
        <is>
          <t>d.user_id }); }</t>
        </is>
      </c>
      <c r="L271" s="3" t="inlineStr">
        <is>
          <t>—</t>
        </is>
      </c>
      <c r="M271" s="3" t="inlineStr">
        <is>
          <t>None found in this function — anything it assumes comes from the functions it depends on.</t>
        </is>
      </c>
      <c r="N271" s="3" t="inlineStr">
        <is>
          <t>No</t>
        </is>
      </c>
      <c r="O271" s="3" t="inlineStr">
        <is>
          <t>1. MK-ST-F-040 emit
2. MK-ST-F-042 setUserDoc</t>
        </is>
      </c>
      <c r="P271" s="3" t="n">
        <v>85</v>
      </c>
      <c r="Q271"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271" s="3" t="inlineStr">
        <is>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is>
      </c>
      <c r="S271" s="3" t="inlineStr">
        <is>
          <t>—</t>
        </is>
      </c>
      <c r="T271" s="3" t="inlineStr">
        <is>
          <t>—</t>
        </is>
      </c>
      <c r="U271" s="3" t="inlineStr">
        <is>
          <t>ACTIVE</t>
        </is>
      </c>
      <c r="V271" s="3" t="inlineStr">
        <is>
          <t>2026-08-27</t>
        </is>
      </c>
      <c r="W271" s="3" t="n"/>
      <c r="X271" s="3" t="n"/>
      <c r="Y271" s="3" t="inlineStr">
        <is>
          <t>NOTHING OPEN</t>
        </is>
      </c>
    </row>
    <row r="272" ht="60" customHeight="1">
      <c r="A272" s="3" t="inlineStr">
        <is>
          <t>MK-NW-F-044</t>
        </is>
      </c>
      <c r="B272" s="3" t="inlineStr">
        <is>
          <t>getAssetsState</t>
        </is>
      </c>
      <c r="C272" s="3" t="inlineStr">
        <is>
          <t>src/domain/assets/index.ts</t>
        </is>
      </c>
      <c r="D272" s="3" t="n">
        <v>2391</v>
      </c>
      <c r="E272" s="3" t="inlineStr">
        <is>
          <t>3 · DEPENDENT (feeds an action only)</t>
        </is>
      </c>
      <c r="F272" s="3" t="inlineStr">
        <is>
          <t>Reads a person's saved accounts and returns their totals, or nothing when none are saved.</t>
        </is>
      </c>
      <c r="G272" s="11" t="inlineStr">
        <is>
          <t>assets state from(uid, await load assets(uid))</t>
        </is>
      </c>
      <c r="H272" s="3" t="inlineStr">
        <is>
          <t>assets state from(uid, await load assets(uid)).</t>
        </is>
      </c>
      <c r="I272" s="3" t="inlineStr">
        <is>
          <t>READ FROM THE CODE — rendered from the expressions the function runs</t>
        </is>
      </c>
      <c r="J272" s="3" t="inlineStr">
        <is>
          <t>uid: UserId</t>
        </is>
      </c>
      <c r="K272" s="3" t="inlineStr">
        <is>
          <t>NOT DECLARED — the code does not say what it gives back</t>
        </is>
      </c>
      <c r="L272" s="3" t="inlineStr">
        <is>
          <t>—</t>
        </is>
      </c>
      <c r="M272" s="3" t="inlineStr">
        <is>
          <t>None found in this function — anything it assumes comes from the functions it depends on.</t>
        </is>
      </c>
      <c r="N272" s="3" t="inlineStr">
        <is>
          <t>No</t>
        </is>
      </c>
      <c r="O272" s="3" t="inlineStr">
        <is>
          <t>1. MK-NW-F-111 assetsStateFrom
2. MK-NW-F-042 loadAssets
3. MK-XS-F-175 uid</t>
        </is>
      </c>
      <c r="P272" s="3" t="n">
        <v>86</v>
      </c>
      <c r="Q272" s="3" t="inlineStr">
        <is>
          <t>1. MK-NW-F-111 assetsStateFrom
2. MK-NW-F-042 loadAssets
3. MK-XS-F-175 uid
4. MK-NW-F-039 buildAssetsState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272" s="3" t="inlineStr">
        <is>
          <t>1. MK-CF-F-132 map → MK-NW-F-039 buildAssetsState → MK-NW-F-111 assetsStateFrom → MK-NW-F-044 getAssetsState
2. MK-ST-F-027 accountId → MK-XS-F-175 uid → MK-NW-F-039 buildAssetsState → MK-NW-F-111 assetsStateFrom → MK-NW-F-044 getAssetsState
3. MK-CF-F-138 addLot → MK-CF-F-111 applyTransaction → MK-XS-F-175 uid → MK-NW-F-039 buildAssetsState → MK-NW-F-111 assetsStateFrom → MK-NW-F-044 getAssetsState
4. MK-CF-F-136 bumpCash → MK-CF-F-111 applyTransaction → MK-XS-F-175 uid → MK-NW-F-039 buildAssetsState → MK-NW-F-111 assetsStateFrom → MK-NW-F-044 getAssetsState
5. MK-CF-F-137 findPos → MK-CF-F-111 applyTransaction → MK-XS-F-175 uid → MK-NW-F-039 buildAssetsState → MK-NW-F-111 assetsStateFrom → MK-NW-F-044 getAssetsState
6. MK-CF-F-132 map → MK-CF-F-111 applyTransaction → MK-XS-F-175 uid → MK-NW-F-039 buildAssetsState → MK-NW-F-111 assetsStateFrom → MK-NW-F-044 getAssetsState
7. MK-CF-F-139 removeShares → MK-CF-F-111 applyTransaction → MK-XS-F-175 uid → MK-NW-F-039 buildAssetsState → MK-NW-F-111 assetsStateFrom → MK-NW-F-044 getAssetsState
8. MK-PF-F-001 totalShares → MK-CF-F-111 applyTransaction → MK-XS-F-175 uid → MK-NW-F-039 buildAssetsState → MK-NW-F-111 assetsStateFrom → MK-NW-F-044 getAssetsState
9. … and 5 more paths</t>
        </is>
      </c>
      <c r="S272" s="3" t="inlineStr">
        <is>
          <t>—</t>
        </is>
      </c>
      <c r="T272" s="3" t="inlineStr">
        <is>
          <t>—</t>
        </is>
      </c>
      <c r="U272" s="3" t="inlineStr">
        <is>
          <t>ACTIVE</t>
        </is>
      </c>
      <c r="V272" s="3" t="inlineStr">
        <is>
          <t>2026-10-07</t>
        </is>
      </c>
      <c r="W272" s="3" t="n"/>
      <c r="X272" s="3" t="n"/>
      <c r="Y272" s="3" t="inlineStr">
        <is>
          <t>NOTHING OPEN</t>
        </is>
      </c>
    </row>
    <row r="273" ht="60" customHeight="1">
      <c r="A273" s="3" t="inlineStr">
        <is>
          <t>MK-NW-F-045</t>
        </is>
      </c>
      <c r="B273" s="3" t="inlineStr">
        <is>
          <t>sourceWording</t>
        </is>
      </c>
      <c r="C273" s="3" t="inlineStr">
        <is>
          <t>src/domain/assets/index.ts</t>
        </is>
      </c>
      <c r="D273" s="3" t="n">
        <v>2450</v>
      </c>
      <c r="E273" s="3" t="inlineStr">
        <is>
          <t>2 · DISPLAYED</t>
        </is>
      </c>
      <c r="F273" s="3" t="inlineStr">
        <is>
          <t>The words saying where an account's numbers come from, which are Linked, Imported or By hand, with a date added only when the numbers are stale.</t>
        </is>
      </c>
      <c r="G273" s="11" t="inlineStr">
        <is>
          <t>stale = is stale(last synced, now)
ago = age label(last synced, now)
`linked · ${ago ?? 'not updated yet'}`   if stale
'Linked'   otherwise   when source = 'connected'
`imported · ${ago ?? 'not updated yet'}`   if stale
'Imported'   otherwise   when source = 'imported'
the answer = 'by hand · you update it'</t>
        </is>
      </c>
      <c r="H273" s="3" t="inlineStr">
        <is>
          <t>Stale is is stale(last synced, now). Ago is age label(last synced, now). When source = 'connected', it answers `linked · ${ago ?? 'updated is missing yet'}` — when stale; 'Linked' — otherwise. When source = 'imported', it answers `imported · ${ago ?? 'updated is missing yet'}` — when stale; 'Imported' — otherwise. The answer is 'by hand · you update it'.</t>
        </is>
      </c>
      <c r="I273" s="3" t="inlineStr">
        <is>
          <t>PARTLY READ — some of the code is still showing through; needs a hand pass</t>
        </is>
      </c>
      <c r="J273" s="3" t="inlineStr">
        <is>
          <t>1. a: AssetAccount
2. now: number = Date.now()</t>
        </is>
      </c>
      <c r="K273" s="3" t="inlineStr">
        <is>
          <t>string</t>
        </is>
      </c>
      <c r="L273" s="3" t="inlineStr">
        <is>
          <t>NOT FOUND — a screen calls it, but the words printed beside its answer could not be traced automatically. Needs reading.</t>
        </is>
      </c>
      <c r="M273" s="3" t="inlineStr">
        <is>
          <t>· Uses today's date from the device clock, so the answer changes by itself overnight.</t>
        </is>
      </c>
      <c r="N273" s="3" t="inlineStr">
        <is>
          <t>Yes</t>
        </is>
      </c>
      <c r="O273" s="3" t="inlineStr">
        <is>
          <t>1. MK-ST-F-076 ageLabel
2. MK-ST-F-077 isStale</t>
        </is>
      </c>
      <c r="P273" s="3" t="n">
        <v>3</v>
      </c>
      <c r="Q273" s="3" t="inlineStr">
        <is>
          <t>1. MK-ST-F-076 ageLabel
2. MK-ST-F-077 isStale
3. MK-XS-F-170 daysSince</t>
        </is>
      </c>
      <c r="R273" s="3" t="inlineStr">
        <is>
          <t>1. MK-XS-F-170 daysSince → MK-ST-F-076 ageLabel → MK-NW-F-045 sourceWording
2. MK-XS-F-170 daysSince → MK-ST-F-077 isStale → MK-NW-F-045 sourceWording</t>
        </is>
      </c>
      <c r="S273" s="3" t="inlineStr">
        <is>
          <t>—</t>
        </is>
      </c>
      <c r="T273" s="3" t="inlineStr">
        <is>
          <t>WHERE_THE_VALUE_CAME_FROM</t>
        </is>
      </c>
      <c r="U273" s="3" t="inlineStr">
        <is>
          <t>ACTIVE</t>
        </is>
      </c>
      <c r="V273" s="3" t="inlineStr">
        <is>
          <t>2026-10-01</t>
        </is>
      </c>
      <c r="W273" s="3" t="n"/>
      <c r="X273" s="3" t="n"/>
      <c r="Y273" s="3" t="inlineStr">
        <is>
          <t>NOTHING OPEN</t>
        </is>
      </c>
    </row>
    <row r="274" ht="60" customHeight="1">
      <c r="A274" s="3" t="inlineStr">
        <is>
          <t>MK-NW-F-046</t>
        </is>
      </c>
      <c r="B274" s="3" t="inlineStr">
        <is>
          <t>historyCoverage</t>
        </is>
      </c>
      <c r="C274" s="3" t="inlineStr">
        <is>
          <t>src/domain/assets/index.ts</t>
        </is>
      </c>
      <c r="D274" s="3" t="n">
        <v>2513</v>
      </c>
      <c r="E274" s="3" t="inlineStr">
        <is>
          <t>2 · DISPLAYED</t>
        </is>
      </c>
      <c r="F274" s="3" t="inlineStr">
        <is>
          <t>Says how far back one account's activity records reach, set against the period being asked about, in a sentence a person can read.</t>
        </is>
      </c>
      <c r="G274" s="11" t="inlineStr">
        <is>
          <t>who = (institution or label or 'this account').trim()
from = the first 10 of string(history from)   if history from
nothing   otherwise
nothing   when the first 10 of from ≤ window start
whole = (now.get full year() − fy) × 12 + (now.get month() + 1 − fm) − (now.get date() &lt; fd ? 1 : 0)
days in month = the date now.get full year(), now.get month() + (now.get date() &lt; fd ? 0 : 1), 0).get date(
part = ((now.get date() − fd + (now.get date() &lt; fd ? days in month : 0)) % days in month) ÷ days in month
months = max(0, round down((whole + part) × 10 + 1e − 9) ÷ 10)
whole months = max(0, whole)
yrs = round down(whole months ÷ 12), rem = whole months % 12
plural = (n: number, w: string) =&gt; `${n} ${w}${n = 1 ? '' : 's'}`</t>
        </is>
      </c>
      <c r="H274" s="3" t="inlineStr">
        <is>
          <t>Who is (institution or label or 'this account').trim(). From: the first 10 of string(history from) — when history from; no answer — otherwise. When the first 10 of from is at most window start, it answers no answer. Whole is (now.get full year() minus fy) times 12 plus (now.get month() plus 1 minus fm) minus (now.get date() &lt; fd ? 1 : 0). Days in month: the date now.get full year(), now.get month() plus (now.get date() &lt; fd ? 0 : 1), 0).get date(. Part is ((now.get date() minus fd plus (now.get date() &lt; fd ? days in month : 0)) % days in month) divided by days in month. Months is (whole plus part, rounded down times 10 plus 1e minus 9, never below zero divided by 10). Whole months is whole, never below zero. Yrs is whole months divided by 12, rounded down, rem = whole months % 12. Plural is (n: number, w: string) =&gt; `${n} ${w}${n = 1 ? '' : 's'}`.</t>
        </is>
      </c>
      <c r="I274" s="3" t="inlineStr">
        <is>
          <t>PARTLY READ — some of the code is still showing through; needs a hand pass</t>
        </is>
      </c>
      <c r="J274" s="3" t="inlineStr">
        <is>
          <t>Nothing is handed to it</t>
        </is>
      </c>
      <c r="K274" s="3" t="inlineStr">
        <is>
          <t>NOT DECLARED — the code does not say what it gives back</t>
        </is>
      </c>
      <c r="L274" s="3" t="inlineStr">
        <is>
          <t>NOT FOUND — a screen calls it, but the words printed beside its answer could not be traced automatically. Needs reading.</t>
        </is>
      </c>
      <c r="M274" s="3" t="inlineStr">
        <is>
          <t>1. Turns a monthly figure into a year by multiplying by twelve.
2. Uses today's date from the device clock, so the answer changes by itself overnight.
3. Never lets whole fall below 0.</t>
        </is>
      </c>
      <c r="N274" s="3" t="inlineStr">
        <is>
          <t>Yes</t>
        </is>
      </c>
      <c r="O274" s="3" t="inlineStr">
        <is>
          <t>1. MK-CF-F-203 MONTH
2. MK-CF-F-132 map
3. MK-NW-F-067 plural
4. MK-NW-F-068 prettyDay</t>
        </is>
      </c>
      <c r="P274" s="3" t="n">
        <v>105</v>
      </c>
      <c r="Q274" s="3" t="inlineStr">
        <is>
          <t>1. MK-CF-F-203 MONTH
2. MK-CF-F-132 map
3. MK-NW-F-067 plural
4. MK-NW-F-068 prettyDay
5. MK-CF-O-010 theMonth
6. MK-NW-F-109 holdingClassOf
7. MK-CF-F-155 cash
8. MK-CF-O-002 expenses
9. MK-CF-O-003 thisMonth
10. MK-NW-F-008 incomeBearingClassOf
11. MK-XS-F-122 n
12. MK-CF-F-151 actualSpending
13. MK-CF-F-150 debtPaymentsCountedAsExpenses
14. MK-CF-F-153 radar
15. MK-CF-F-149 recurringDebtPayments
16. MK-CF-F-005 actualMonthFlow
17. MK-CF-F-156 plannedMonthFlow
18. MK-ST-F-010 nameEvidence
19. MK-CF-F-148 inMonth
20. MK-ST-F-052 toNum
21. MK-CF-F-191 ym
22. MK-ST-F-056 has
23. MK-CF-F-022 paymentShape
24. MK-CF-F-152 isRadarItem
25. MK-CF-F-023 requiredPayment
26. MK-NW-F-078 ONE
27. MK-CF-F-157 debtPaymentsByDebt
28. MK-CF-F-192 inflowLabel
29. MK-XS-F-027 takeHomeMonthly
30. MK-XS-F-147 call
31. MK-CF-F-021 defaultPaymentType
32. MK-NW-F-077 ALL
33. MK-NW-F-059 currentYield
34. MK-XS-F-180 declareFigures
35. MK-ST-F-049 formatMoney
36. MK-ST-F-053 money
37. MK-NW-O-001 theBonds
38. MK-CF-F-193 inflowSourceWord
39. MK-CF-F-092 incomeMonthlyGrid
40. MK-CF-F-011 savingsByMonth
41. MK-ST-F-027 accountId
42. MK-XS-F-064 currentIdToken
43. MK-XS-F-112 relayUrl
44. MK-NW-F-112 yearlyInterest
45. MK-ST-F-048 currencySymbol
46. MK-ST-F-039 on
47. MK-NW-F-057 annualCoupon
48. MK-NW-F-056 bondInfo
49. MK-NW-F-064 bondRateSensitivity
50. MK-NW-F-061 bondSummary
51. MK-NW-F-055 isBond
52. MK-ST-F-065 isoLocalDate
53. MK-NW-F-072 rowOf
54. MK-CF-F-069 benefitActiveMonths
55. MK-CF-F-072 currentRetirementIncomeMonthly
56. MK-CF-F-173 earnerWages
57. MK-CF-F-065 equityVestWeights
58. MK-CF-F-071 extraIncome
59. MK-CF-F-206 householdK401ByMonth
60. MK-CF-F-087 monthlyTaxRates
61. MK-CF-F-073 otherIncomeMonth
62. MK-CF-F-181 rateInForce
63. MK-CF-F-068 rentalNetAnnual
64. MK-CF-F-066 rsuAnnual
65. MK-CF-F-060 salaryGrossByMonth
66. MK-CF-F-077 scholarshipByCalendarMonth
67. MK-CF-F-088 taxableByCalendarMonth
68. MK-CF-F-177 wageGrossByMonth
69. MK-PL-F-012 waterfall
70. MK-CF-F-008 spendByMonth
71. MK-ST-F-047 activeCurrency
72. MK-NW-F-060 approxYTM
73. MK-NW-F-069 priceAtYield
74. MK-NW-F-011 assetClassOf
75. MK-NW-F-070 accruedInterestCaveat
76. MK-NW-F-058 yearsToMaturity
77. MK-CF-F-075 retirementIncomeMonthly
78. MK-CF-F-172 hasWage
79. MK-CF-F-062 equityRowValue
80. MK-CF-F-070 benefitAnnual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MK-NW-F-119 estimatedAccrued
99. MK-CF-F-100 taxableIncomeFor
100. MK-CF-F-074 tipsAnnual
101. MK-CF-F-165 salaryMonths
102. MK-CF-F-003 categoryMonthly
103. MK-CF-F-099 deductionFor
104. MK-CF-F-081 salaryActiveMonths
105. MK-CF-F-187 seniorDeductionFor</t>
        </is>
      </c>
      <c r="R274" s="3" t="inlineStr">
        <is>
          <t>1. MONTH (already above — a loop) → MK-CF-O-010 theMonth → MK-CF-F-203 MONTH → MK-NW-F-046 historyCoverage
2. MK-XS-F-122 n → MK-CF-F-155 cash → MK-CF-O-010 theMonth → MK-CF-F-203 MONTH → MK-NW-F-046 historyCoverage
3. MK-CF-F-148 inMonth → MK-CF-F-151 actualSpending → MK-CF-O-002 expenses → MK-CF-O-010 theMonth → MK-CF-F-203 MONTH → MK-NW-F-046 historyCoverage
4. MK-ST-F-052 toNum → MK-CF-F-151 actualSpending → MK-CF-O-002 expenses → MK-CF-O-010 theMonth → MK-CF-F-203 MONTH → MK-NW-F-046 historyCoverage
5. MK-CF-F-191 ym → MK-CF-F-151 actualSpending → MK-CF-O-002 expenses → MK-CF-O-010 theMonth → MK-CF-F-203 MONTH → MK-NW-F-046 historyCoverage
6. MK-ST-F-056 has → MK-CF-F-150 debtPaymentsCountedAsExpenses → MK-CF-O-002 expenses → MK-CF-O-010 theMonth → MK-CF-F-203 MONTH → MK-NW-F-046 historyCoverage
7. MK-CF-F-148 inMonth → MK-CF-F-150 debtPaymentsCountedAsExpenses → MK-CF-O-002 expenses → MK-CF-O-010 theMonth → MK-CF-F-203 MONTH → MK-NW-F-046 historyCoverage
8. MK-CF-F-022 paymentShape → MK-CF-F-150 debtPaymentsCountedAsExpenses → MK-CF-O-002 expenses → MK-CF-O-010 theMonth → MK-CF-F-203 MONTH → MK-NW-F-046 historyCoverage
9. … and 5 more paths</t>
        </is>
      </c>
      <c r="S274" s="3" t="inlineStr">
        <is>
          <t>—</t>
        </is>
      </c>
      <c r="T274" s="3" t="inlineStr">
        <is>
          <t>—</t>
        </is>
      </c>
      <c r="U274" s="3" t="inlineStr">
        <is>
          <t>ACTIVE</t>
        </is>
      </c>
      <c r="V274" s="3" t="inlineStr">
        <is>
          <t>2026-10-07</t>
        </is>
      </c>
      <c r="W274" s="3" t="n"/>
      <c r="X274" s="3" t="n"/>
      <c r="Y274" s="3" t="inlineStr">
        <is>
          <t>NOTHING OPEN</t>
        </is>
      </c>
    </row>
    <row r="275" ht="45" customHeight="1">
      <c r="A275" s="3" t="inlineStr">
        <is>
          <t>MK-NW-F-047</t>
        </is>
      </c>
      <c r="B275" s="3" t="inlineStr">
        <is>
          <t>uberGroupOf</t>
        </is>
      </c>
      <c r="C275" s="3" t="inlineStr">
        <is>
          <t>src/domain/assets/index.ts</t>
        </is>
      </c>
      <c r="D275" s="3" t="n">
        <v>2619</v>
      </c>
      <c r="E275" s="3" t="inlineStr">
        <is>
          <t>1 · ACTION</t>
        </is>
      </c>
      <c r="F275" s="3" t="inlineStr">
        <is>
          <t>Which of the three Net worth groups an asset class belongs to: Cash, Investments or Personal property.</t>
        </is>
      </c>
      <c r="G275" s="11" t="inlineStr">
        <is>
          <t>CLASS_UBER[cls] (or 'investments' when missing)</t>
        </is>
      </c>
      <c r="H275" s="3" t="inlineStr">
        <is>
          <t>CLASS_UBER[cls] (or 'investments' — when missing)</t>
        </is>
      </c>
      <c r="I275" s="3" t="inlineStr">
        <is>
          <t>READ FROM THE CODE — rendered from the expressions the function runs</t>
        </is>
      </c>
      <c r="J275" s="3" t="inlineStr">
        <is>
          <t>cls: AssetClass</t>
        </is>
      </c>
      <c r="K275" s="3" t="inlineStr">
        <is>
          <t>UberGroup</t>
        </is>
      </c>
      <c r="L275" s="3" t="inlineStr">
        <is>
          <t>"Nothing entered yet." — on the Net worth screen, under "DEBTS"</t>
        </is>
      </c>
      <c r="M275" s="3" t="inlineStr">
        <is>
          <t>None found in this function — anything it assumes comes from the functions it depends on.</t>
        </is>
      </c>
      <c r="N275" s="3" t="inlineStr">
        <is>
          <t>Yes</t>
        </is>
      </c>
      <c r="O275" s="3" t="inlineStr">
        <is>
          <t>—</t>
        </is>
      </c>
      <c r="P275" s="3" t="n">
        <v>0</v>
      </c>
      <c r="Q275" s="3" t="inlineStr">
        <is>
          <t>None — no dependent function stands behind it</t>
        </is>
      </c>
      <c r="R275" s="3" t="inlineStr">
        <is>
          <t>No dependent function — it reads its inputs and answers</t>
        </is>
      </c>
      <c r="S275" s="3" t="inlineStr">
        <is>
          <t>—</t>
        </is>
      </c>
      <c r="T275" s="3" t="inlineStr">
        <is>
          <t>—</t>
        </is>
      </c>
      <c r="U275" s="3" t="inlineStr">
        <is>
          <t>ACTIVE</t>
        </is>
      </c>
      <c r="V275" s="3" t="inlineStr">
        <is>
          <t>2026-08-27</t>
        </is>
      </c>
      <c r="W275" s="3" t="n"/>
      <c r="X275" s="3" t="n"/>
      <c r="Y275" s="3" t="inlineStr">
        <is>
          <t>NOTHING OPEN</t>
        </is>
      </c>
    </row>
    <row r="276" ht="45" customHeight="1">
      <c r="A276" s="3" t="inlineStr">
        <is>
          <t>MK-NW-F-048</t>
        </is>
      </c>
      <c r="B276" s="3" t="inlineStr">
        <is>
          <t>uberGroupRows</t>
        </is>
      </c>
      <c r="C276" s="3" t="inlineStr">
        <is>
          <t>src/domain/assets/index.ts</t>
        </is>
      </c>
      <c r="D276" s="3" t="n">
        <v>2637</v>
      </c>
      <c r="E276" s="3" t="inlineStr">
        <is>
          <t>2 · DISPLAYED</t>
        </is>
      </c>
      <c r="F276" s="3" t="inlineStr">
        <is>
          <t>Group per-class totals into the three uber-groups, keeping class order inside each.</t>
        </is>
      </c>
      <c r="G276" s="11" t="inlineStr">
        <is>
          <t>classes = class rows where uber group of(key) = group</t>
        </is>
      </c>
      <c r="H276" s="3" t="inlineStr">
        <is>
          <t>Classes is class rows where uber group of(key) = group.</t>
        </is>
      </c>
      <c r="I276" s="3" t="inlineStr">
        <is>
          <t>READ FROM THE CODE — rendered from the expressions the function runs</t>
        </is>
      </c>
      <c r="J276" s="3" t="inlineStr">
        <is>
          <t>Nothing is handed to it</t>
        </is>
      </c>
      <c r="K276" s="3" t="inlineStr">
        <is>
          <t>NOT DECLARED — the code does not say what it gives back</t>
        </is>
      </c>
      <c r="L276" s="3" t="inlineStr">
        <is>
          <t>NOT FOUND — a screen calls it, but the words printed beside its answer could not be traced automatically. Needs reading.</t>
        </is>
      </c>
      <c r="M276" s="3" t="inlineStr">
        <is>
          <t>None found in this function — anything it assumes comes from the functions it depends on.</t>
        </is>
      </c>
      <c r="N276" s="3" t="inlineStr">
        <is>
          <t>Yes</t>
        </is>
      </c>
      <c r="O276" s="3" t="inlineStr">
        <is>
          <t>1. MK-CF-F-132 map
2. MK-NW-F-047 uberGroupOf</t>
        </is>
      </c>
      <c r="P276" s="3" t="n">
        <v>2</v>
      </c>
      <c r="Q276" s="3" t="inlineStr">
        <is>
          <t>1. MK-CF-F-132 map
2. MK-NW-F-047 uberGroupOf</t>
        </is>
      </c>
      <c r="R276" s="3" t="inlineStr">
        <is>
          <t>1. MK-CF-F-132 map → MK-NW-F-048 uberGroupRows
2. MK-NW-F-047 uberGroupOf → MK-NW-F-048 uberGroupRows</t>
        </is>
      </c>
      <c r="S276" s="3" t="inlineStr">
        <is>
          <t>—</t>
        </is>
      </c>
      <c r="T276" s="3" t="inlineStr">
        <is>
          <t>NET_WORTH_GROUPING</t>
        </is>
      </c>
      <c r="U276" s="3" t="inlineStr">
        <is>
          <t>ACTIVE</t>
        </is>
      </c>
      <c r="V276" s="3" t="inlineStr">
        <is>
          <t>2026-08-27</t>
        </is>
      </c>
      <c r="W276" s="3" t="n"/>
      <c r="X276" s="3" t="n"/>
      <c r="Y276" s="3" t="inlineStr">
        <is>
          <t>NOTHING OPEN</t>
        </is>
      </c>
    </row>
    <row r="277" ht="30" customHeight="1">
      <c r="A277" s="3" t="inlineStr">
        <is>
          <t>MK-NW-F-049</t>
        </is>
      </c>
      <c r="B277" s="3" t="inlineStr">
        <is>
          <t>itemizedTotal</t>
        </is>
      </c>
      <c r="C277" s="3" t="inlineStr">
        <is>
          <t>src/domain/assets/itemize.ts</t>
        </is>
      </c>
      <c r="D277" s="3" t="n">
        <v>51</v>
      </c>
      <c r="E277" s="3" t="inlineStr">
        <is>
          <t>1 · ACTION</t>
        </is>
      </c>
      <c r="F277" s="3" t="inlineStr">
        <is>
          <t>Σ of the itemized holding values.</t>
        </is>
      </c>
      <c r="G277" s="11" t="inlineStr">
        <is>
          <t>the answer = Σ over items of (value, or 0 when missing)</t>
        </is>
      </c>
      <c r="H277" s="3" t="inlineStr">
        <is>
          <t>Adds up the value of every holding entered while itemising an account.</t>
        </is>
      </c>
      <c r="I277" s="3" t="inlineStr">
        <is>
          <t>READ BY HAND 2026-08-26 — checked line by line against the code</t>
        </is>
      </c>
      <c r="J277" s="3" t="inlineStr">
        <is>
          <t>items: ItemHolding[]</t>
        </is>
      </c>
      <c r="K277" s="3" t="inlineStr">
        <is>
          <t>number</t>
        </is>
      </c>
      <c r="L277" s="3" t="inlineStr">
        <is>
          <t>—</t>
        </is>
      </c>
      <c r="M277" s="3" t="inlineStr">
        <is>
          <t>None found in this function — anything it assumes comes from the functions it depends on.</t>
        </is>
      </c>
      <c r="N277" s="3" t="inlineStr">
        <is>
          <t>Yes</t>
        </is>
      </c>
      <c r="O277" s="3" t="inlineStr">
        <is>
          <t>—</t>
        </is>
      </c>
      <c r="P277" s="3" t="n">
        <v>0</v>
      </c>
      <c r="Q277" s="3" t="inlineStr">
        <is>
          <t>None — no dependent function stands behind it</t>
        </is>
      </c>
      <c r="R277" s="3" t="inlineStr">
        <is>
          <t>No dependent function — it reads its inputs and answers</t>
        </is>
      </c>
      <c r="S277" s="3" t="inlineStr">
        <is>
          <t>—</t>
        </is>
      </c>
      <c r="T277" s="3" t="inlineStr">
        <is>
          <t>ITEMISED_TOTAL</t>
        </is>
      </c>
      <c r="U277" s="3" t="inlineStr">
        <is>
          <t>ACTIVE</t>
        </is>
      </c>
      <c r="V277" s="3" t="inlineStr">
        <is>
          <t>2026-09-12</t>
        </is>
      </c>
      <c r="W277" s="3" t="n"/>
      <c r="X277" s="3" t="n"/>
      <c r="Y277" s="3" t="inlineStr">
        <is>
          <t>NOTHING OPEN</t>
        </is>
      </c>
    </row>
    <row r="278" ht="60" customHeight="1">
      <c r="A278" s="3" t="inlineStr">
        <is>
          <t>MK-NW-F-050</t>
        </is>
      </c>
      <c r="B278" s="3" t="inlineStr">
        <is>
          <t>itemizeRemainder</t>
        </is>
      </c>
      <c r="C278" s="3" t="inlineStr">
        <is>
          <t>src/domain/assets/itemize.ts</t>
        </is>
      </c>
      <c r="D278" s="3" t="n">
        <v>105</v>
      </c>
      <c r="E278" s="3" t="inlineStr">
        <is>
          <t>1 · ACTION</t>
        </is>
      </c>
      <c r="F278" s="3" t="inlineStr">
        <is>
          <t>The entered total of an account less the value of the holdings listed under it: positive when some is still unexplained, negative when the holdings add up to more.</t>
        </is>
      </c>
      <c r="G278" s="11" t="inlineStr">
        <is>
          <t>the answer = (lump balance, or 0) − itemized total(items)</t>
        </is>
      </c>
      <c r="H278" s="3" t="inlineStr">
        <is>
          <t>The lump balance less the holdings entered so far: positive means money still unallocated, negative means the holdings exceed the entered total.</t>
        </is>
      </c>
      <c r="I278" s="3" t="inlineStr">
        <is>
          <t>READ BY HAND 2026-08-26 — checked line by line against the code</t>
        </is>
      </c>
      <c r="J278" s="3" t="inlineStr">
        <is>
          <t>1. lumpBalance: number
2. items: ItemHolding[]</t>
        </is>
      </c>
      <c r="K278" s="3" t="inlineStr">
        <is>
          <t>number</t>
        </is>
      </c>
      <c r="L278" s="3" t="inlineStr">
        <is>
          <t>—</t>
        </is>
      </c>
      <c r="M278" s="3" t="inlineStr">
        <is>
          <t>· If lump balance is missing it counts as zero, so nothing recorded and a real zero look the same.</t>
        </is>
      </c>
      <c r="N278" s="3" t="inlineStr">
        <is>
          <t>Yes</t>
        </is>
      </c>
      <c r="O278" s="3" t="inlineStr">
        <is>
          <t>MK-NW-F-049 itemizedTotal</t>
        </is>
      </c>
      <c r="P278" s="3" t="n">
        <v>1</v>
      </c>
      <c r="Q278" s="3" t="inlineStr">
        <is>
          <t>MK-NW-F-049 itemizedTotal</t>
        </is>
      </c>
      <c r="R278" s="3" t="inlineStr">
        <is>
          <t>MK-NW-F-049 itemizedTotal → MK-NW-F-050 itemizeRemainder</t>
        </is>
      </c>
      <c r="S278" s="3" t="inlineStr">
        <is>
          <t>—</t>
        </is>
      </c>
      <c r="T278" s="3" t="inlineStr">
        <is>
          <t>ITEMISED_REMAINDER</t>
        </is>
      </c>
      <c r="U278" s="3" t="inlineStr">
        <is>
          <t>ACTIVE</t>
        </is>
      </c>
      <c r="V278" s="3" t="inlineStr">
        <is>
          <t>2026-09-12</t>
        </is>
      </c>
      <c r="W278" s="3" t="n"/>
      <c r="X278" s="3" t="n"/>
      <c r="Y278" s="3" t="inlineStr">
        <is>
          <t>NOTHING OPEN</t>
        </is>
      </c>
    </row>
    <row r="279" ht="60" customHeight="1">
      <c r="A279" s="3" t="inlineStr">
        <is>
          <t>MK-NW-F-051</t>
        </is>
      </c>
      <c r="B279" s="3" t="inlineStr">
        <is>
          <t>itemizedResultTotal</t>
        </is>
      </c>
      <c r="C279" s="3" t="inlineStr">
        <is>
          <t>src/domain/assets/itemize.ts</t>
        </is>
      </c>
      <c r="D279" s="3" t="n">
        <v>130</v>
      </c>
      <c r="E279" s="3" t="inlineStr">
        <is>
          <t>2 · DISPLAYED</t>
        </is>
      </c>
      <c r="F279" s="3" t="inlineStr">
        <is>
          <t>The account total AFTER itemizing.</t>
        </is>
      </c>
      <c r="G279" s="11" t="inlineStr">
        <is>
          <t>sum = itemized total(items)
remainder = itemize remainder(lump.balance, items)
the answer:
sum + remainder   if remainder &gt; 0
sum   otherwise</t>
        </is>
      </c>
      <c r="H279" s="3" t="inlineStr">
        <is>
          <t>Sum is itemized total(items). Remainder is itemize remainder(lump.balance, items). The answer is sum plus remainder — when remainder &gt; 0; sum — otherwise.</t>
        </is>
      </c>
      <c r="I279" s="3" t="inlineStr">
        <is>
          <t>READ FROM THE CODE — rendered from the expressions the function runs</t>
        </is>
      </c>
      <c r="J279" s="3" t="inlineStr">
        <is>
          <t>1. lump: Pick&lt;AssetAccount, 'balance'&gt;
2. items: ItemHolding[]</t>
        </is>
      </c>
      <c r="K279" s="3" t="inlineStr">
        <is>
          <t>number</t>
        </is>
      </c>
      <c r="L279" s="3" t="inlineStr">
        <is>
          <t>NOT FOUND — a screen calls it, but the words printed beside its answer could not be traced automatically. Needs reading.</t>
        </is>
      </c>
      <c r="M279" s="3" t="inlineStr">
        <is>
          <t>None found in this function — anything it assumes comes from the functions it depends on.</t>
        </is>
      </c>
      <c r="N279" s="3" t="inlineStr">
        <is>
          <t>Yes</t>
        </is>
      </c>
      <c r="O279" s="3" t="inlineStr">
        <is>
          <t>1. MK-CF-F-155 cash
2. MK-NW-F-050 itemizeRemainder
3. MK-NW-F-049 itemizedTotal</t>
        </is>
      </c>
      <c r="P279" s="3" t="n">
        <v>4</v>
      </c>
      <c r="Q279" s="3" t="inlineStr">
        <is>
          <t>1. MK-CF-F-155 cash
2. MK-NW-F-050 itemizeRemainder
3. MK-NW-F-049 itemizedTotal
4. MK-XS-F-122 n</t>
        </is>
      </c>
      <c r="R279" s="3" t="inlineStr">
        <is>
          <t>1. MK-XS-F-122 n → MK-CF-F-155 cash → MK-NW-F-051 itemizedResultTotal
2. MK-NW-F-049 itemizedTotal → MK-NW-F-050 itemizeRemainder → MK-NW-F-051 itemizedResultTotal
3. MK-NW-F-049 itemizedTotal → MK-NW-F-051 itemizedResultTotal</t>
        </is>
      </c>
      <c r="S279" s="3" t="inlineStr">
        <is>
          <t>—</t>
        </is>
      </c>
      <c r="T279" s="3" t="inlineStr">
        <is>
          <t>—</t>
        </is>
      </c>
      <c r="U279" s="3" t="inlineStr">
        <is>
          <t>ACTIVE</t>
        </is>
      </c>
      <c r="V279" s="3" t="inlineStr">
        <is>
          <t>2026-10-07</t>
        </is>
      </c>
      <c r="W279" s="3" t="n"/>
      <c r="X279" s="3" t="n"/>
      <c r="Y279" s="3" t="inlineStr">
        <is>
          <t>NOTHING OPEN</t>
        </is>
      </c>
    </row>
    <row r="280" ht="60" customHeight="1">
      <c r="A280" s="3" t="inlineStr">
        <is>
          <t>MK-NW-F-052</t>
        </is>
      </c>
      <c r="B280" s="3" t="inlineStr">
        <is>
          <t>buildItemizedAccounts</t>
        </is>
      </c>
      <c r="C280" s="3" t="inlineStr">
        <is>
          <t>src/domain/assets/itemize.ts</t>
        </is>
      </c>
      <c r="D280" s="3" t="n">
        <v>174</v>
      </c>
      <c r="E280" s="3" t="inlineStr">
        <is>
          <t>2 · DISPLAYED</t>
        </is>
      </c>
      <c r="F280" s="3" t="inlineStr">
        <is>
          <t>Build the new accounts to CREATE when committing an itemization.</t>
        </is>
      </c>
      <c r="G280" s="11" t="inlineStr">
        <is>
          <t>institution = (lump.institution or lump.label or '').trim() (or undefined when missing or zero)
bucket = lump.tax bucket
wrapper = lump.kind   if lump.kind and ['401k', 'trad_ira', 'roth_ira', 'hsa', 'college_529'].includes(lump.kind)
undefined   otherwise
the answer = acct
remainder = itemize remainder(lump.balance, items)</t>
        </is>
      </c>
      <c r="H280" s="3" t="inlineStr">
        <is>
          <t>Institution is (lump.institution or lump.label or '').trim() (or undefined — when missing or zero). Bucket is lump.tax bucket. Wrapper is lump.kind — when lump.kind and ['401k', 'trad_ira', 'roth_ira', 'hsa', 'college_529'].includes(lump.kind); undefined — otherwise. The answer is acct. Remainder is itemize remainder(lump.balance, items).</t>
        </is>
      </c>
      <c r="I280" s="3" t="inlineStr">
        <is>
          <t>PARTLY READ — some of the code is still showing through; needs a hand pass</t>
        </is>
      </c>
      <c r="J280" s="3" t="inlineStr">
        <is>
          <t>1. lump: AssetAccount
2. items: ItemHolding[]</t>
        </is>
      </c>
      <c r="K280" s="3" t="inlineStr">
        <is>
          <t>Omit&lt;AssetAccount, 'asset_id'&gt;[]</t>
        </is>
      </c>
      <c r="L280" s="3" t="inlineStr">
        <is>
          <t>NOT FOUND — a screen calls it, but the words printed beside its answer could not be traced automatically. Needs reading.</t>
        </is>
      </c>
      <c r="M280" s="3" t="inlineStr">
        <is>
          <t>· If value is missing it counts as zero, so nothing recorded and a real zero look the same.</t>
        </is>
      </c>
      <c r="N280" s="3" t="inlineStr">
        <is>
          <t>Yes</t>
        </is>
      </c>
      <c r="O280" s="3" t="inlineStr">
        <is>
          <t>1. MK-NW-F-034 benchmarkReturn
2. MK-CF-F-155 cash
3. MK-NW-F-050 itemizeRemainder
4. MK-CF-F-132 map</t>
        </is>
      </c>
      <c r="P280" s="3" t="n">
        <v>15</v>
      </c>
      <c r="Q280" s="3" t="inlineStr">
        <is>
          <t>1. MK-NW-F-034 benchmarkReturn
2. MK-CF-F-155 cash
3. MK-NW-F-050 itemizeRemainder
4. MK-CF-F-132 map
5. MK-NW-F-007 assetKind
6. MK-XS-F-122 n
7. MK-NW-F-049 itemizedTotal
8. MK-NW-F-011 assetClassOf
9. MK-NW-F-008 incomeBearingClassOf
10. MK-ST-F-010 nameEvidence
11. MK-XS-F-147 call
12. MK-ST-F-056 has
13. MK-ST-F-027 accountId
14. MK-XS-F-064 currentIdToken
15. MK-XS-F-112 relayUrl</t>
        </is>
      </c>
      <c r="R280" s="3" t="inlineStr">
        <is>
          <t>1. MK-CF-F-155 cash → MK-NW-F-008 incomeBearingClassOf → MK-NW-F-011 assetClassOf → MK-NW-F-007 assetKind → MK-NW-F-034 benchmarkReturn → MK-NW-F-052 buildItemizedAccounts
2. MK-ST-F-010 nameEvidence → MK-NW-F-008 incomeBearingClassOf → MK-NW-F-011 assetClassOf → MK-NW-F-007 assetKind → MK-NW-F-034 benchmarkReturn → MK-NW-F-052 buildItemizedAccounts
3. MK-XS-F-122 n → MK-CF-F-155 cash → MK-NW-F-007 assetKind → MK-NW-F-034 benchmarkReturn → MK-NW-F-052 buildItemizedAccounts
4. MK-XS-F-122 n → MK-CF-F-155 cash → MK-NW-F-052 buildItemizedAccounts
5. MK-NW-F-049 itemizedTotal → MK-NW-F-050 itemizeRemainder → MK-NW-F-052 buildItemizedAccounts
6. MK-CF-F-132 map → MK-NW-F-052 buildItemizedAccounts</t>
        </is>
      </c>
      <c r="S280" s="3" t="inlineStr">
        <is>
          <t>—</t>
        </is>
      </c>
      <c r="T280" s="3" t="inlineStr">
        <is>
          <t>ITEMISE_AN_ACCOUNT</t>
        </is>
      </c>
      <c r="U280" s="3" t="inlineStr">
        <is>
          <t>ACTIVE</t>
        </is>
      </c>
      <c r="V280" s="3" t="inlineStr">
        <is>
          <t>2026-10-07</t>
        </is>
      </c>
      <c r="W280" s="3" t="n"/>
      <c r="X280" s="3" t="n"/>
      <c r="Y280" s="3" t="inlineStr">
        <is>
          <t>NOTHING OPEN</t>
        </is>
      </c>
    </row>
    <row r="281" ht="60" customHeight="1">
      <c r="A281" s="3" t="inlineStr">
        <is>
          <t>MK-NW-F-053</t>
        </is>
      </c>
      <c r="B281" s="3" t="inlineStr">
        <is>
          <t>correctClassOf</t>
        </is>
      </c>
      <c r="C281" s="3" t="inlineStr">
        <is>
          <t>src/domain/assets/reclassify.ts</t>
        </is>
      </c>
      <c r="D281" s="3" t="n">
        <v>45</v>
      </c>
      <c r="E281" s="3" t="inlineStr">
        <is>
          <t>3 · DEPENDENT</t>
        </is>
      </c>
      <c r="F281" s="3" t="inlineStr">
        <is>
          <t>The class an account SHOULD carry under the current rule.</t>
        </is>
      </c>
      <c r="G281" s="11" t="inlineStr">
        <is>
          <t>by label = income bearing class of(label)
by label   when by label
maturity class(maturity date)   when maturity date
'stocks_etf'   when kind = 'money_market'
'bonds'   when kind = 'cd'
the answer = nothing</t>
        </is>
      </c>
      <c r="H281" s="3" t="inlineStr">
        <is>
          <t>By label is income bearing class of(label). When by label, it answers by label. When maturity date, it answers maturity class(maturity date). When kind = 'money_market', it answers 'stocks_etf'. When kind = 'cd', it answers 'bonds'. The answer is no answer.</t>
        </is>
      </c>
      <c r="I281" s="3" t="inlineStr">
        <is>
          <t>READ FROM THE CODE — rendered from the expressions the function runs</t>
        </is>
      </c>
      <c r="J281" s="3" t="inlineStr">
        <is>
          <t>a: AssetAccount</t>
        </is>
      </c>
      <c r="K281" s="3" t="inlineStr">
        <is>
          <t>AssetClass | null</t>
        </is>
      </c>
      <c r="L281" s="3" t="inlineStr">
        <is>
          <t>—</t>
        </is>
      </c>
      <c r="M281" s="3" t="inlineStr">
        <is>
          <t>None found in this function — anything it assumes comes from the functions it depends on.</t>
        </is>
      </c>
      <c r="N281" s="3" t="inlineStr">
        <is>
          <t>Yes</t>
        </is>
      </c>
      <c r="O281" s="3" t="inlineStr">
        <is>
          <t>1. MK-NW-F-008 incomeBearingClassOf
2. MK-NW-F-009 maturityClass</t>
        </is>
      </c>
      <c r="P281" s="3" t="n">
        <v>12</v>
      </c>
      <c r="Q281" s="3" t="inlineStr">
        <is>
          <t>1. MK-NW-F-008 incomeBearingClassOf
2. MK-NW-F-009 maturityClass
3. MK-CF-F-155 cash
4. MK-ST-F-010 nameEvidence
5. MK-NW-F-011 assetClassOf
6. MK-XS-F-122 n
7. MK-XS-F-147 call
8. MK-ST-F-056 has
9. MK-CF-F-132 map
10. MK-ST-F-027 accountId
11. MK-XS-F-064 currentIdToken
12. MK-XS-F-112 relayUrl</t>
        </is>
      </c>
      <c r="R281" s="3" t="inlineStr">
        <is>
          <t>1. MK-XS-F-122 n → MK-CF-F-155 cash → MK-NW-F-008 incomeBearingClassOf → MK-NW-F-053 correctClassOf
2. MK-ST-F-027 accountId → MK-XS-F-147 call → MK-ST-F-010 nameEvidence → MK-NW-F-008 incomeBearingClassOf → MK-NW-F-053 correctClassOf
3. MK-XS-F-064 currentIdToken → MK-XS-F-147 call → MK-ST-F-010 nameEvidence → MK-NW-F-008 incomeBearingClassOf → MK-NW-F-053 correctClassOf
4. MK-XS-F-112 relayUrl → MK-XS-F-147 call → MK-ST-F-010 nameEvidence → MK-NW-F-008 incomeBearingClassOf → MK-NW-F-053 correctClassOf
5. MK-ST-F-056 has → MK-ST-F-010 nameEvidence → MK-NW-F-008 incomeBearingClassOf → MK-NW-F-053 correctClassOf
6. MK-CF-F-132 map → MK-ST-F-010 nameEvidence → MK-NW-F-008 incomeBearingClassOf → MK-NW-F-053 correctClassOf
7. MK-XS-F-122 n → MK-CF-F-155 cash → MK-NW-F-008 incomeBearingClassOf → MK-NW-F-011 assetClassOf → MK-NW-F-009 maturityClass → MK-NW-F-053 correctClassOf
8. MK-XS-F-147 call → MK-ST-F-010 nameEvidence → MK-NW-F-008 incomeBearingClassOf → MK-NW-F-011 assetClassOf → MK-NW-F-009 maturityClass → MK-NW-F-053 correctClassOf
9. … and 2 more paths</t>
        </is>
      </c>
      <c r="S281" s="3" t="inlineStr">
        <is>
          <t>—</t>
        </is>
      </c>
      <c r="T281" s="3" t="inlineStr">
        <is>
          <t>—</t>
        </is>
      </c>
      <c r="U281" s="3" t="inlineStr">
        <is>
          <t>ACTIVE</t>
        </is>
      </c>
      <c r="V281" s="3" t="inlineStr">
        <is>
          <t>2026-09-12</t>
        </is>
      </c>
      <c r="W281" s="3" t="n"/>
      <c r="X281" s="3" t="n"/>
      <c r="Y281" s="3" t="inlineStr">
        <is>
          <t>NOTHING OPEN</t>
        </is>
      </c>
    </row>
    <row r="282" ht="60" customHeight="1">
      <c r="A282" s="3" t="inlineStr">
        <is>
          <t>MK-NW-F-054</t>
        </is>
      </c>
      <c r="B282" s="3" t="inlineStr">
        <is>
          <t>reclassifyAccounts</t>
        </is>
      </c>
      <c r="C282" s="3" t="inlineStr">
        <is>
          <t>src/domain/assets/reclassify.ts</t>
        </is>
      </c>
      <c r="D282" s="3" t="n">
        <v>94</v>
      </c>
      <c r="E282" s="3" t="inlineStr">
        <is>
          <t>3 · DEPENDENT</t>
        </is>
      </c>
      <c r="F282" s="3" t="inlineStr">
        <is>
          <t>Corrects the asset class of any account or holding filed under the wrong one, and counts how many it changed.</t>
        </is>
      </c>
      <c r="G282" s="11" t="inlineStr">
        <is>
          <t>changed = 0
a   when wrapper confirmed
want = correct class of(a)
next = a
ps = (next.positions ?? []) as any[]
the answer = p</t>
        </is>
      </c>
      <c r="H282" s="3" t="inlineStr">
        <is>
          <t>Changed is 0. When wrapper confirmed, it answers a. Want is correct class of(a). Next is a. Ps is (next.positions ?? []) as any[]. The answer is p.</t>
        </is>
      </c>
      <c r="I282" s="3" t="inlineStr">
        <is>
          <t>PARTLY READ — some of the code is still showing through; needs a hand pass</t>
        </is>
      </c>
      <c r="J282" s="3" t="inlineStr">
        <is>
          <t>accounts: AssetAccount[]</t>
        </is>
      </c>
      <c r="K282" s="3" t="inlineStr">
        <is>
          <t>NOT DECLARED — the code does not say what it gives back</t>
        </is>
      </c>
      <c r="L282" s="3" t="inlineStr">
        <is>
          <t>—</t>
        </is>
      </c>
      <c r="M282" s="3" t="inlineStr">
        <is>
          <t>· Uses a built-in changed of 0.</t>
        </is>
      </c>
      <c r="N282" s="3" t="inlineStr">
        <is>
          <t>Yes</t>
        </is>
      </c>
      <c r="O282" s="3" t="inlineStr">
        <is>
          <t>1. MK-NW-F-053 correctClassOf
2. MK-NW-F-008 incomeBearingClassOf
3. MK-CF-F-132 map</t>
        </is>
      </c>
      <c r="P282" s="3" t="n">
        <v>13</v>
      </c>
      <c r="Q282" s="3" t="inlineStr">
        <is>
          <t>1. MK-NW-F-053 correctClassOf
2. MK-NW-F-008 incomeBearingClassOf
3. MK-CF-F-132 map
4. MK-NW-F-009 maturityClass
5. MK-CF-F-155 cash
6. MK-ST-F-010 nameEvidence
7. MK-NW-F-011 assetClassOf
8. MK-XS-F-122 n
9. MK-XS-F-147 call
10. MK-ST-F-056 has
11. MK-ST-F-027 accountId
12. MK-XS-F-064 currentIdToken
13. MK-XS-F-112 relayUrl</t>
        </is>
      </c>
      <c r="R282" s="3" t="inlineStr">
        <is>
          <t>1. MK-XS-F-122 n → MK-CF-F-155 cash → MK-NW-F-008 incomeBearingClassOf → MK-NW-F-053 correctClassOf → MK-NW-F-054 reclassifyAccounts
2. MK-ST-F-027 accountId → MK-XS-F-147 call → MK-ST-F-010 nameEvidence → MK-NW-F-008 incomeBearingClassOf → MK-NW-F-053 correctClassOf → MK-NW-F-054 reclassifyAccounts
3. MK-XS-F-064 currentIdToken → MK-XS-F-147 call → MK-ST-F-010 nameEvidence → MK-NW-F-008 incomeBearingClassOf → MK-NW-F-053 correctClassOf → MK-NW-F-054 reclassifyAccounts
4. MK-XS-F-112 relayUrl → MK-XS-F-147 call → MK-ST-F-010 nameEvidence → MK-NW-F-008 incomeBearingClassOf → MK-NW-F-053 correctClassOf → MK-NW-F-054 reclassifyAccounts
5. MK-ST-F-056 has → MK-ST-F-010 nameEvidence → MK-NW-F-008 incomeBearingClassOf → MK-NW-F-053 correctClassOf → MK-NW-F-054 reclassifyAccounts
6. MK-CF-F-132 map → MK-ST-F-010 nameEvidence → MK-NW-F-008 incomeBearingClassOf → MK-NW-F-053 correctClassOf → MK-NW-F-054 reclassifyAccounts
7. MK-CF-F-155 cash → MK-NW-F-008 incomeBearingClassOf → MK-NW-F-011 assetClassOf → MK-NW-F-009 maturityClass → MK-NW-F-053 correctClassOf → MK-NW-F-054 reclassifyAccounts
8. MK-ST-F-010 nameEvidence → MK-NW-F-008 incomeBearingClassOf → MK-NW-F-011 assetClassOf → MK-NW-F-009 maturityClass → MK-NW-F-053 correctClassOf → MK-NW-F-054 reclassifyAccounts
9. … and 5 more paths</t>
        </is>
      </c>
      <c r="S282" s="3" t="inlineStr">
        <is>
          <t>—</t>
        </is>
      </c>
      <c r="T282" s="3" t="inlineStr">
        <is>
          <t>—</t>
        </is>
      </c>
      <c r="U282" s="3" t="inlineStr">
        <is>
          <t>ACTIVE</t>
        </is>
      </c>
      <c r="V282" s="3" t="inlineStr">
        <is>
          <t>2026-10-07</t>
        </is>
      </c>
      <c r="W282" s="3" t="n"/>
      <c r="X282" s="3" t="n"/>
      <c r="Y282" s="3" t="inlineStr">
        <is>
          <t>NOTHING OPEN</t>
        </is>
      </c>
    </row>
    <row r="283" ht="60" customHeight="1">
      <c r="A283" s="3" t="inlineStr">
        <is>
          <t>MK-NW-F-055</t>
        </is>
      </c>
      <c r="B283" s="3" t="inlineStr">
        <is>
          <t>isBond</t>
        </is>
      </c>
      <c r="C283" s="3" t="inlineStr">
        <is>
          <t>src/domain/bonds/index.ts</t>
        </is>
      </c>
      <c r="D283" s="3" t="n">
        <v>52</v>
      </c>
      <c r="E283" s="3" t="inlineStr">
        <is>
          <t>2 · DISPLAYED</t>
        </is>
      </c>
      <c r="F283" s="3" t="inlineStr">
        <is>
          <t>An AssetAccount is a bond if its ASSET CLASS is bonds (spec §2: "detected by assetClass, NOT maturity date").</t>
        </is>
      </c>
      <c r="G283" s="11" t="inlineStr">
        <is>
          <t>asset class of(a) = 'bonds'</t>
        </is>
      </c>
      <c r="H283" s="3" t="inlineStr">
        <is>
          <t>asset class of(a) = 'bonds'.</t>
        </is>
      </c>
      <c r="I283" s="3" t="inlineStr">
        <is>
          <t>READ FROM THE CODE — rendered from the expressions the function runs</t>
        </is>
      </c>
      <c r="J283" s="3" t="inlineStr">
        <is>
          <t>a: AssetAccount</t>
        </is>
      </c>
      <c r="K283" s="3" t="inlineStr">
        <is>
          <t>boolean</t>
        </is>
      </c>
      <c r="L283" s="3" t="inlineStr">
        <is>
          <t>NOT FOUND — a screen calls it, but the words printed beside its answer could not be traced automatically. Needs reading.</t>
        </is>
      </c>
      <c r="M283" s="3" t="inlineStr">
        <is>
          <t>None found in this function — anything it assumes comes from the functions it depends on.</t>
        </is>
      </c>
      <c r="N283" s="3" t="inlineStr">
        <is>
          <t>Yes</t>
        </is>
      </c>
      <c r="O283" s="3" t="inlineStr">
        <is>
          <t>MK-NW-F-011 assetClassOf</t>
        </is>
      </c>
      <c r="P283" s="3" t="n">
        <v>11</v>
      </c>
      <c r="Q283" s="3" t="inlineStr">
        <is>
          <t>1. MK-NW-F-011 assetClassOf
2. MK-NW-F-008 incomeBearingClassOf
3. MK-CF-F-155 cash
4. MK-ST-F-010 nameEvidence
5. MK-XS-F-122 n
6. MK-XS-F-147 call
7. MK-ST-F-056 has
8. MK-CF-F-132 map
9. MK-ST-F-027 accountId
10. MK-XS-F-064 currentIdToken
11. MK-XS-F-112 relayUrl</t>
        </is>
      </c>
      <c r="R283" s="3" t="inlineStr">
        <is>
          <t>1. MK-XS-F-122 n → MK-CF-F-155 cash → MK-NW-F-008 incomeBearingClassOf → MK-NW-F-011 assetClassOf → MK-NW-F-055 isBond
2. MK-ST-F-027 accountId → MK-XS-F-147 call → MK-ST-F-010 nameEvidence → MK-NW-F-008 incomeBearingClassOf → MK-NW-F-011 assetClassOf → MK-NW-F-055 isBond
3. MK-XS-F-064 currentIdToken → MK-XS-F-147 call → MK-ST-F-010 nameEvidence → MK-NW-F-008 incomeBearingClassOf → MK-NW-F-011 assetClassOf → MK-NW-F-055 isBond
4. MK-XS-F-112 relayUrl → MK-XS-F-147 call → MK-ST-F-010 nameEvidence → MK-NW-F-008 incomeBearingClassOf → MK-NW-F-011 assetClassOf → MK-NW-F-055 isBond
5. MK-ST-F-056 has → MK-ST-F-010 nameEvidence → MK-NW-F-008 incomeBearingClassOf → MK-NW-F-011 assetClassOf → MK-NW-F-055 isBond
6. MK-CF-F-132 map → MK-ST-F-010 nameEvidence → MK-NW-F-008 incomeBearingClassOf → MK-NW-F-011 assetClassOf → MK-NW-F-055 isBond</t>
        </is>
      </c>
      <c r="S283" s="3" t="inlineStr">
        <is>
          <t>—</t>
        </is>
      </c>
      <c r="T283" s="3" t="inlineStr">
        <is>
          <t>IS_BOND</t>
        </is>
      </c>
      <c r="U283" s="3" t="inlineStr">
        <is>
          <t>ACTIVE</t>
        </is>
      </c>
      <c r="V283" s="3" t="inlineStr">
        <is>
          <t>2026-08-27</t>
        </is>
      </c>
      <c r="W283" s="3" t="n"/>
      <c r="X283" s="3" t="n"/>
      <c r="Y283" s="3" t="inlineStr">
        <is>
          <t>NOTHING OPEN</t>
        </is>
      </c>
    </row>
    <row r="284" ht="60" customHeight="1">
      <c r="A284" s="3" t="inlineStr">
        <is>
          <t>MK-NW-F-056</t>
        </is>
      </c>
      <c r="B284" s="3" t="inlineStr">
        <is>
          <t>bondInfo</t>
        </is>
      </c>
      <c r="C284" s="3" t="inlineStr">
        <is>
          <t>src/domain/bonds/index.ts</t>
        </is>
      </c>
      <c r="D284" s="3" t="n">
        <v>99</v>
      </c>
      <c r="E284" s="3" t="inlineStr">
        <is>
          <t>3 · DEPENDENT</t>
        </is>
      </c>
      <c r="F284" s="3" t="inlineStr">
        <is>
          <t>What are this holding's bond facts?</t>
        </is>
      </c>
      <c r="G284" s="11" t="inlineStr">
        <is>
          <t>face = face value or 0
coupon rate = coupon rate or 0
maturity = maturity date or ''
value = balance or 0
accrued interest = the entered figure, or nothing when not entered</t>
        </is>
      </c>
      <c r="H284" s="3" t="inlineStr">
        <is>
          <t>Reads the bond's facts off the account record — face value, coupon rate, maturity date, the value as entered, and the accrued interest when the person entered it (MK-XS-I-065). No arithmetic.</t>
        </is>
      </c>
      <c r="I284" s="3" t="inlineStr">
        <is>
          <t>READ BY HAND 2026-08-26 — checked line by line against the code</t>
        </is>
      </c>
      <c r="J284" s="3" t="inlineStr">
        <is>
          <t>a: AssetAccount</t>
        </is>
      </c>
      <c r="K284" s="3" t="inlineStr">
        <is>
          <t>BondInfo</t>
        </is>
      </c>
      <c r="L284" s="3" t="inlineStr">
        <is>
          <t>—</t>
        </is>
      </c>
      <c r="M284" s="3" t="inlineStr">
        <is>
          <t>· If balance is missing it counts as zero, so nothing recorded and a real zero look the same.</t>
        </is>
      </c>
      <c r="N284" s="3" t="inlineStr">
        <is>
          <t>Yes</t>
        </is>
      </c>
      <c r="O284" s="3" t="inlineStr">
        <is>
          <t>MK-CF-F-155 cash</t>
        </is>
      </c>
      <c r="P284" s="3" t="n">
        <v>2</v>
      </c>
      <c r="Q284" s="3" t="inlineStr">
        <is>
          <t>1. MK-CF-F-155 cash
2. MK-XS-F-122 n</t>
        </is>
      </c>
      <c r="R284" s="3" t="inlineStr">
        <is>
          <t>MK-XS-F-122 n → MK-CF-F-155 cash → MK-NW-F-056 bondInfo</t>
        </is>
      </c>
      <c r="S284" s="3" t="inlineStr">
        <is>
          <t>—</t>
        </is>
      </c>
      <c r="T284" s="3" t="inlineStr">
        <is>
          <t>BOND_FACTS</t>
        </is>
      </c>
      <c r="U284" s="3" t="inlineStr">
        <is>
          <t>ACTIVE</t>
        </is>
      </c>
      <c r="V284" s="3" t="inlineStr">
        <is>
          <t>2026-09-27</t>
        </is>
      </c>
      <c r="W284" s="3" t="inlineStr">
        <is>
          <t>[from MK-NW-M-041 / M-042 / M-045] bond display rule (nine facts; value current → cost → face; else 'need more information'); why compute yield when the coupon rate is an input?</t>
        </is>
      </c>
      <c r="X284"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84" s="6" t="inlineStr">
        <is>
          <t>WAITING ON YOU — answer to read</t>
        </is>
      </c>
    </row>
    <row r="285" ht="60" customHeight="1">
      <c r="A285" s="3" t="inlineStr">
        <is>
          <t>MK-NW-F-057</t>
        </is>
      </c>
      <c r="B285" s="3" t="inlineStr">
        <is>
          <t>annualCoupon</t>
        </is>
      </c>
      <c r="C285" s="3" t="inlineStr">
        <is>
          <t>src/domain/bonds/index.ts</t>
        </is>
      </c>
      <c r="D285" s="3" t="n">
        <v>141</v>
      </c>
      <c r="E285" s="3" t="inlineStr">
        <is>
          <t>3 · DEPENDENT</t>
        </is>
      </c>
      <c r="F285" s="3" t="inlineStr">
        <is>
          <t>Annual coupon income = face value × coupon rate (paid as cash).</t>
        </is>
      </c>
      <c r="G285" s="11" t="inlineStr">
        <is>
          <t>annual coupon = face value × coupon rate</t>
        </is>
      </c>
      <c r="H285" s="3" t="inlineStr">
        <is>
          <t>What the bond pays in interest over a year: its face value times its stated rate. Paid semi-annually in practice; this figure is the yearly total.</t>
        </is>
      </c>
      <c r="I285" s="3" t="inlineStr">
        <is>
          <t>READ BY HAND 2026-08-26 — checked line by line against the code</t>
        </is>
      </c>
      <c r="J285" s="3" t="inlineStr">
        <is>
          <t>b: BondInfo</t>
        </is>
      </c>
      <c r="K285" s="3" t="inlineStr">
        <is>
          <t>number | null</t>
        </is>
      </c>
      <c r="L285" s="3" t="inlineStr">
        <is>
          <t>—</t>
        </is>
      </c>
      <c r="M285" s="3" t="inlineStr">
        <is>
          <t>None found in this function — anything it assumes comes from the functions it depends on.</t>
        </is>
      </c>
      <c r="N285" s="3" t="inlineStr">
        <is>
          <t>Yes</t>
        </is>
      </c>
      <c r="O285" s="3" t="inlineStr">
        <is>
          <t>—</t>
        </is>
      </c>
      <c r="P285" s="3" t="n">
        <v>0</v>
      </c>
      <c r="Q285" s="3" t="inlineStr">
        <is>
          <t>None — no dependent function stands behind it</t>
        </is>
      </c>
      <c r="R285" s="3" t="inlineStr">
        <is>
          <t>No dependent function — it reads its inputs and answers</t>
        </is>
      </c>
      <c r="S285" s="3" t="inlineStr">
        <is>
          <t>—</t>
        </is>
      </c>
      <c r="T285" s="3" t="inlineStr">
        <is>
          <t>BOND_COUPON</t>
        </is>
      </c>
      <c r="U285" s="3" t="inlineStr">
        <is>
          <t>ACTIVE</t>
        </is>
      </c>
      <c r="V285" s="3" t="inlineStr">
        <is>
          <t>2026-09-27</t>
        </is>
      </c>
      <c r="W285" s="3" t="inlineStr">
        <is>
          <t>[from MK-NW-M-043] a matured bond must not earn a coupon; one label ('Calculated annual interest') instead of COUPON / YR and Interest payments; maturity date as an input.</t>
        </is>
      </c>
      <c r="X285" s="6" t="inlineStr">
        <is>
          <t>JJ-3: face × rate with no look at maturity — wrong for any matured bond, and inherited by F-061 and F-063. Fix: takes the maturity date and today; 0 once matured; adds MK-XS-I-013 to its inputs. Label: Q40; matured display: Q39.</t>
        </is>
      </c>
      <c r="Y285" s="6" t="inlineStr">
        <is>
          <t>WAITING ON YOU — answer to read</t>
        </is>
      </c>
    </row>
    <row r="286" ht="60" customHeight="1">
      <c r="A286" s="3" t="inlineStr">
        <is>
          <t>MK-NW-F-058</t>
        </is>
      </c>
      <c r="B286" s="3" t="inlineStr">
        <is>
          <t>yearsToMaturity</t>
        </is>
      </c>
      <c r="C286" s="3" t="inlineStr">
        <is>
          <t>src/domain/bonds/index.ts</t>
        </is>
      </c>
      <c r="D286" s="3" t="n">
        <v>219</v>
      </c>
      <c r="E286" s="3" t="inlineStr">
        <is>
          <t>3 · DEPENDENT</t>
        </is>
      </c>
      <c r="F286" s="3" t="inlineStr">
        <is>
          <t>How long until this bond pays back?</t>
        </is>
      </c>
      <c r="G286" s="11" t="inlineStr">
        <is>
          <t>years to maturity = max(0, (maturity date − today) ÷ 365.25 days)</t>
        </is>
      </c>
      <c r="H286" s="3" t="inlineStr">
        <is>
          <t>How long until the bond repays, as a fraction of a year, never negative. Uses 365.25 days — the master file says 365, which is finding A31.</t>
        </is>
      </c>
      <c r="I286" s="3" t="inlineStr">
        <is>
          <t>READ BY HAND 2026-08-26 — checked line by line against the code</t>
        </is>
      </c>
      <c r="J286" s="3" t="inlineStr">
        <is>
          <t>1. maturity: string
2. now: Date = new Date()</t>
        </is>
      </c>
      <c r="K286" s="3" t="inlineStr">
        <is>
          <t>number | null</t>
        </is>
      </c>
      <c r="L286" s="3" t="inlineStr">
        <is>
          <t>—</t>
        </is>
      </c>
      <c r="M286" s="3" t="inlineStr">
        <is>
          <t>1. Uses today's date from the device clock, so the answer changes by itself overnight.
2. Rounds the answer to a whole number.
3. No maturity date, or an unreadable one, gives NO answer — not zero and not "due now" (G11, founder 2026-09-12); the yield to maturity and the rate sensitivity then refuse too.</t>
        </is>
      </c>
      <c r="N286" s="3" t="inlineStr">
        <is>
          <t>Yes</t>
        </is>
      </c>
      <c r="O286" s="3" t="inlineStr">
        <is>
          <t>1. MK-CF-F-132 map
2. MK-XS-F-122 n</t>
        </is>
      </c>
      <c r="P286" s="3" t="n">
        <v>2</v>
      </c>
      <c r="Q286" s="3" t="inlineStr">
        <is>
          <t>1. MK-CF-F-132 map
2. MK-XS-F-122 n</t>
        </is>
      </c>
      <c r="R286" s="3" t="inlineStr">
        <is>
          <t>1. MK-CF-F-132 map → MK-NW-F-058 yearsToMaturity
2. MK-XS-F-122 n → MK-NW-F-058 yearsToMaturity</t>
        </is>
      </c>
      <c r="S286" s="3" t="inlineStr">
        <is>
          <t>—</t>
        </is>
      </c>
      <c r="T286" s="3" t="inlineStr">
        <is>
          <t>BOND_YEARS_LEFT</t>
        </is>
      </c>
      <c r="U286" s="3" t="inlineStr">
        <is>
          <t>ACTIVE</t>
        </is>
      </c>
      <c r="V286" s="3" t="inlineStr">
        <is>
          <t>2026-09-27</t>
        </is>
      </c>
      <c r="W286" s="3" t="n"/>
      <c r="X286" s="3" t="n"/>
      <c r="Y286" s="6" t="inlineStr">
        <is>
          <t>TESTED, NOT VERIFIED (G11)</t>
        </is>
      </c>
    </row>
    <row r="287" ht="60" customHeight="1">
      <c r="A287" s="3" t="inlineStr">
        <is>
          <t>MK-NW-F-059</t>
        </is>
      </c>
      <c r="B287" s="3" t="inlineStr">
        <is>
          <t>currentYield</t>
        </is>
      </c>
      <c r="C287" s="3" t="inlineStr">
        <is>
          <t>src/domain/bonds/index.ts</t>
        </is>
      </c>
      <c r="D287" s="3" t="n">
        <v>268</v>
      </c>
      <c r="E287" s="3" t="inlineStr">
        <is>
          <t>3 · DEPENDENT</t>
        </is>
      </c>
      <c r="F287" s="3" t="inlineStr">
        <is>
          <t>Current yield = annual coupon ÷ current price/value.</t>
        </is>
      </c>
      <c r="G287" s="11" t="inlineStr">
        <is>
          <t>current yield = annual coupon ÷ current value</t>
        </is>
      </c>
      <c r="H287" s="3" t="inlineStr">
        <is>
          <t>The interest a year as a share of what the bond is worth now. If the recorded value is a dirty price it carries accrued interest, and the yield reads low — the file does not say which it is.</t>
        </is>
      </c>
      <c r="I287" s="3" t="inlineStr">
        <is>
          <t>READ BY HAND 2026-08-26 — checked line by line against the code</t>
        </is>
      </c>
      <c r="J287" s="3" t="inlineStr">
        <is>
          <t>b: BondInfo</t>
        </is>
      </c>
      <c r="K287" s="3" t="inlineStr">
        <is>
          <t>number | null</t>
        </is>
      </c>
      <c r="L287" s="3" t="inlineStr">
        <is>
          <t>—</t>
        </is>
      </c>
      <c r="M287" s="3" t="inlineStr">
        <is>
          <t>None found in this function — anything it assumes comes from the functions it depends on.</t>
        </is>
      </c>
      <c r="N287" s="3" t="inlineStr">
        <is>
          <t>Yes</t>
        </is>
      </c>
      <c r="O287" s="3" t="inlineStr">
        <is>
          <t>MK-NW-F-112 yearlyInterest</t>
        </is>
      </c>
      <c r="P287" s="3" t="n">
        <v>1</v>
      </c>
      <c r="Q287" s="3" t="inlineStr">
        <is>
          <t>MK-NW-F-112 yearlyInterest</t>
        </is>
      </c>
      <c r="R287" s="3" t="inlineStr">
        <is>
          <t>MK-NW-F-112 yearlyInterest → MK-NW-F-059 currentYield</t>
        </is>
      </c>
      <c r="S287" s="3" t="inlineStr">
        <is>
          <t>—</t>
        </is>
      </c>
      <c r="T287" s="3" t="inlineStr">
        <is>
          <t>BOND_CURRENT_YIELD</t>
        </is>
      </c>
      <c r="U287" s="3" t="inlineStr">
        <is>
          <t>ACTIVE</t>
        </is>
      </c>
      <c r="V287" s="3" t="inlineStr">
        <is>
          <t>2026-09-27</t>
        </is>
      </c>
      <c r="W287" s="3" t="inlineStr">
        <is>
          <t>[from MK-NW-M-044, typed A47; and K45] subtract accrued interest when recorded, caveat when not; yield always two decimals.</t>
        </is>
      </c>
      <c r="X287" s="6" t="inlineStr">
        <is>
          <t>coupon ÷ value, no accrued-interest term (no field exists yet — after brief Q-38 (2026-08-20)). Two decimals: already on the Bonds screen; account detail's two yield rows still one decimal — fix there. Caveat wording: Q45.</t>
        </is>
      </c>
      <c r="Y287" s="6" t="inlineStr">
        <is>
          <t>WAITING ON YOU — answer to read · TESTED, NOT VERIFIED (A47)</t>
        </is>
      </c>
    </row>
    <row r="288" ht="60" customHeight="1">
      <c r="A288" s="3" t="inlineStr">
        <is>
          <t>MK-NW-F-060</t>
        </is>
      </c>
      <c r="B288" s="3" t="inlineStr">
        <is>
          <t>approxYTM</t>
        </is>
      </c>
      <c r="C288" s="3" t="inlineStr">
        <is>
          <t>src/domain/bonds/index.ts</t>
        </is>
      </c>
      <c r="D288" s="3" t="n">
        <v>434</v>
      </c>
      <c r="E288" s="3" t="inlineStr">
        <is>
          <t>3 · DEPENDENT</t>
        </is>
      </c>
      <c r="F288" s="3" t="inlineStr">
        <is>
          <t>Approximate yield to maturity (standard approximation), decimal.</t>
        </is>
      </c>
      <c r="G288" s="11" t="inlineStr">
        <is>
          <t>yield to maturity ≈ round( (annual coupon + (face − value) ÷ years left)
                           ÷ ((face + value) ÷ 2), 4 dp )</t>
        </is>
      </c>
      <c r="H288" s="3" t="inlineStr">
        <is>
          <t>The STRAIGHT-LINE APPROXIMATION, not the real yield. The gain or loss to maturity is spread evenly over the years left and taken against the average of face and price. The true yield is the rate that discounts every coupon and the face value back to the price — 4 to 27 basis points away from this, widening with the discount and the maturity. Finding A30.</t>
        </is>
      </c>
      <c r="I288" s="3" t="inlineStr">
        <is>
          <t>READ BY HAND 2026-08-26 — checked line by line against the code</t>
        </is>
      </c>
      <c r="J288" s="3" t="inlineStr">
        <is>
          <t>1. b: BondInfo
2. now: Date = new Date()</t>
        </is>
      </c>
      <c r="K288" s="3" t="inlineStr">
        <is>
          <t>number | null</t>
        </is>
      </c>
      <c r="L288" s="3" t="inlineStr">
        <is>
          <t>—</t>
        </is>
      </c>
      <c r="M288" s="3" t="inlineStr">
        <is>
          <t>1. If amount is missing it uses 0.
2. Uses today's date from the device clock, so the answer changes by itself overnight.
3. 'value' is the bond's current value as entered (the balance) — the SAME total basis as face, not a price per $100 (founder question G20, 2026-09-08).</t>
        </is>
      </c>
      <c r="N288" s="3" t="inlineStr">
        <is>
          <t>Yes</t>
        </is>
      </c>
      <c r="O288" s="3" t="inlineStr">
        <is>
          <t>1. MK-NW-F-119 estimatedAccrued
2. MK-NW-F-069 priceAtYield
3. MK-NW-F-058 yearsToMaturity</t>
        </is>
      </c>
      <c r="P288" s="3" t="n">
        <v>6</v>
      </c>
      <c r="Q288" s="3" t="inlineStr">
        <is>
          <t>1. MK-NW-F-119 estimatedAccrued
2. MK-NW-F-069 priceAtYield
3. MK-NW-F-058 yearsToMaturity
4. MK-CF-F-132 map
5. MK-XS-F-122 n
6. MK-NW-F-057 annualCoupon</t>
        </is>
      </c>
      <c r="R288" s="3" t="inlineStr">
        <is>
          <t>1. MK-CF-F-132 map → MK-NW-F-119 estimatedAccrued → MK-NW-F-060 approxYTM
2. MK-XS-F-122 n → MK-NW-F-119 estimatedAccrued → MK-NW-F-060 approxYTM
3. MK-NW-F-057 annualCoupon → MK-NW-F-069 priceAtYield → MK-NW-F-060 approxYTM
4. MK-CF-F-132 map → MK-NW-F-058 yearsToMaturity → MK-NW-F-069 priceAtYield → MK-NW-F-060 approxYTM
5. MK-XS-F-122 n → MK-NW-F-058 yearsToMaturity → MK-NW-F-069 priceAtYield → MK-NW-F-060 approxYTM
6. MK-CF-F-132 map → MK-NW-F-058 yearsToMaturity → MK-NW-F-060 approxYTM
7. MK-XS-F-122 n → MK-NW-F-058 yearsToMaturity → MK-NW-F-060 approxYTM</t>
        </is>
      </c>
      <c r="S288" s="3" t="inlineStr">
        <is>
          <t>—</t>
        </is>
      </c>
      <c r="T288" s="3" t="inlineStr">
        <is>
          <t>BOND_YIELD_TO_MATURITY</t>
        </is>
      </c>
      <c r="U288" s="3" t="inlineStr">
        <is>
          <t>ACTIVE</t>
        </is>
      </c>
      <c r="V288" s="3" t="inlineStr">
        <is>
          <t>2026-09-27</t>
        </is>
      </c>
      <c r="W288" s="3" t="inlineStr">
        <is>
          <t>[from MK-NW-M-041, Formula (in words)] why compute yield when the coupon rate is an input?</t>
        </is>
      </c>
      <c r="X288" s="6" t="inlineStr">
        <is>
          <t>Yield to maturity is derived from coupon, face, value and years left — it cannot be an input. Coupon RATE stays an input (MK-XS-I-012). Two decimals on the account-detail row still owed (K45).</t>
        </is>
      </c>
      <c r="Y288" s="6" t="inlineStr">
        <is>
          <t>WAITING ON YOU — answer to read · TESTED, NOT VERIFIED (G11, G20)</t>
        </is>
      </c>
    </row>
    <row r="289" ht="60" customHeight="1">
      <c r="A289" s="3" t="inlineStr">
        <is>
          <t>MK-NW-F-061</t>
        </is>
      </c>
      <c r="B289" s="3" t="inlineStr">
        <is>
          <t>bondSummary</t>
        </is>
      </c>
      <c r="C289" s="3" t="inlineStr">
        <is>
          <t>src/domain/bonds/index.ts</t>
        </is>
      </c>
      <c r="D289" s="3" t="n">
        <v>518</v>
      </c>
      <c r="E289" s="3" t="inlineStr">
        <is>
          <t>3 · DEPENDENT</t>
        </is>
      </c>
      <c r="F289" s="3" t="inlineStr">
        <is>
          <t>Adds up every bond and CD held: how many there are, what they are worth, their face value, the interest they pay in a year, their average yield and the next one to mature.</t>
        </is>
      </c>
      <c r="G289" s="11" t="inlineStr">
        <is>
          <t>list = bonds (or none when missing)
total value = Σ over list of (value)
total face = Σ over list of (face (or 0 when missing))
coupon = Σ over list of (yearly interest(each) (or 0 when missing))
clean = (b: bond info) =&gt; value
priced = list where clean(each) &gt; 0 and yearly interest(each) ≠ nothing
clean value = Σ over priced of (clean(each))
avg yield = Σ over clean value &gt; 0 ? priced of (yearly interest(each) (or 0 when missing))÷ clean value : nothing
today = iso local date(now)
future = for each of list: maturity where boolean where string(each).slice(0, 10) &gt; today, in order
the answer:
count = count of list
total value = total value
total face = total face
annual coupon = coupon
avg yield = avg yield
next maturity = the first of future (or nothing when missing)
… the first steps only — the rest of the body needs reading by hand.</t>
        </is>
      </c>
      <c r="H289" s="3" t="inlineStr">
        <is>
          <t>List is bonds (or none — when missing). Total value: the value added up across list. Total face: the face (or 0 — when missing) added up across list. Coupon: the yearly interest(each) (or 0 — when missing) added up across list. Clean is (b: bond info) =&gt; value. Priced is list where clean(each) &gt; 0 and yearly interest(each) is not no answer. Clean value: the clean(each) added up across priced. Avg yield: the yearly interest(each added up across clean value &gt; 0 ? priced (or 0 — when missing))÷ clean value : no answer. Today is iso local date(now). Future is for each of list: maturity where boolean where string(each).slice(0, 10) &gt; today, in order. The answer is count = how many list there are; total value = total value; total face = total face; annual coupon = coupon; avg yield = avg yield; next maturity = the first of future (or no answer — when missing). Only the first steps are shown; the rest of the body needs reading by hand.</t>
        </is>
      </c>
      <c r="I289" s="3" t="inlineStr">
        <is>
          <t>PARTLY READ — some of the code is still showing through; needs a hand pass</t>
        </is>
      </c>
      <c r="J289" s="3" t="inlineStr">
        <is>
          <t>1. bonds: BondInfo[]
2. now: Date = new Date()</t>
        </is>
      </c>
      <c r="K289" s="3" t="inlineStr">
        <is>
          <t>BondSummary</t>
        </is>
      </c>
      <c r="L289" s="3" t="inlineStr">
        <is>
          <t>—</t>
        </is>
      </c>
      <c r="M289" s="3" t="inlineStr">
        <is>
          <t>1. If face is missing it uses 0.
2. Uses today's date from the device clock, so the answer changes by itself overnight.</t>
        </is>
      </c>
      <c r="N289" s="3" t="inlineStr">
        <is>
          <t>Yes</t>
        </is>
      </c>
      <c r="O289" s="3" t="inlineStr">
        <is>
          <t>1. MK-ST-F-065 isoLocalDate
2. MK-CF-F-132 map
3. MK-NW-F-112 yearlyInterest</t>
        </is>
      </c>
      <c r="P289" s="3" t="n">
        <v>3</v>
      </c>
      <c r="Q289" s="3" t="inlineStr">
        <is>
          <t>1. MK-ST-F-065 isoLocalDate
2. MK-CF-F-132 map
3. MK-NW-F-112 yearlyInterest</t>
        </is>
      </c>
      <c r="R289" s="3" t="inlineStr">
        <is>
          <t>1. MK-ST-F-065 isoLocalDate → MK-NW-F-061 bondSummary
2. MK-CF-F-132 map → MK-NW-F-061 bondSummary
3. MK-NW-F-112 yearlyInterest → MK-NW-F-061 bondSummary</t>
        </is>
      </c>
      <c r="S289" s="3" t="inlineStr">
        <is>
          <t>—</t>
        </is>
      </c>
      <c r="T289" s="3" t="inlineStr">
        <is>
          <t>—</t>
        </is>
      </c>
      <c r="U289" s="3" t="inlineStr">
        <is>
          <t>ACTIVE</t>
        </is>
      </c>
      <c r="V289" s="3" t="inlineStr">
        <is>
          <t>2026-10-09</t>
        </is>
      </c>
      <c r="W289" s="3" t="inlineStr">
        <is>
          <t>[from MK-NW-M-041 / M-042 / M-043] total value = sum of what? inputs should be face value; matured bonds and the coupon total.</t>
        </is>
      </c>
      <c r="X289" s="6" t="inlineStr">
        <is>
          <t>totalValue = Σ each bond's entered value (the balance); totalFace = Σ face (MK-XS-I-011); count = number of bond records; the coupon total inherits JJ-3 (matured bonds still counted). This is the real producer of MK-NW-M-041 and M-042 — both rows should name it.</t>
        </is>
      </c>
      <c r="Y289" s="6" t="inlineStr">
        <is>
          <t>WAITING ON YOU — answer to read</t>
        </is>
      </c>
    </row>
    <row r="290" ht="60" customHeight="1">
      <c r="A290" s="3" t="inlineStr">
        <is>
          <t>MK-NW-F-062</t>
        </is>
      </c>
      <c r="B290" s="3" t="inlineStr">
        <is>
          <t>couponIncomeAnnual</t>
        </is>
      </c>
      <c r="C290" s="3" t="inlineStr">
        <is>
          <t>src/domain/bonds/index.ts</t>
        </is>
      </c>
      <c r="D290" s="3" t="n">
        <v>554</v>
      </c>
      <c r="E290" s="3" t="inlineStr">
        <is>
          <t>3 · DEPENDENT (feeds an action only)</t>
        </is>
      </c>
      <c r="F290" s="3" t="inlineStr">
        <is>
          <t>Total annual coupon income across the user's INDIVIDUAL bonds (kept for the Bonds screen summary).</t>
        </is>
      </c>
      <c r="G290" s="11" t="inlineStr">
        <is>
          <t>Σ over accounts (or none when missing) where is bond of (yearly interest(bond info(each)) (or 0 when missing))</t>
        </is>
      </c>
      <c r="H290" s="3" t="inlineStr">
        <is>
          <t>the yearly interest(bond info(each)) (or 0 — when missing) added up across accounts (or none — when missing) where is bond.</t>
        </is>
      </c>
      <c r="I290" s="3" t="inlineStr">
        <is>
          <t>READ FROM THE CODE — rendered from the expressions the function runs</t>
        </is>
      </c>
      <c r="J290" s="3" t="inlineStr">
        <is>
          <t>accounts: AssetAccount[]</t>
        </is>
      </c>
      <c r="K290" s="3" t="inlineStr">
        <is>
          <t>number</t>
        </is>
      </c>
      <c r="L290" s="3" t="inlineStr">
        <is>
          <t>—</t>
        </is>
      </c>
      <c r="M290" s="3" t="inlineStr">
        <is>
          <t>None found in this function — anything it assumes comes from the functions it depends on.</t>
        </is>
      </c>
      <c r="N290" s="3" t="inlineStr">
        <is>
          <t>No</t>
        </is>
      </c>
      <c r="O290" s="3" t="inlineStr">
        <is>
          <t>1. MK-NW-F-056 bondInfo
2. MK-NW-F-063 interestIncomeAnnual
3. MK-NW-F-055 isBond
4. MK-NW-F-112 yearlyInterest</t>
        </is>
      </c>
      <c r="P290" s="3" t="n">
        <v>16</v>
      </c>
      <c r="Q290" s="3" t="inlineStr">
        <is>
          <t>1. MK-NW-F-056 bondInfo
2. MK-NW-F-063 interestIncomeAnnual
3. MK-NW-F-055 isBond
4. MK-NW-F-112 yearlyInterest
5. MK-CF-F-155 cash
6. MK-NW-F-011 assetClassOf
7. MK-ST-F-065 isoLocalDate
8. MK-XS-F-122 n
9. MK-NW-F-008 incomeBearingClassOf
10. MK-ST-F-010 nameEvidence
11. MK-XS-F-147 call
12. MK-ST-F-056 has
13. MK-CF-F-132 map
14. MK-ST-F-027 accountId
15. MK-XS-F-064 currentIdToken
16. MK-XS-F-112 relayUrl</t>
        </is>
      </c>
      <c r="R290" s="3" t="inlineStr">
        <is>
          <t>1. MK-XS-F-122 n → MK-CF-F-155 cash → MK-NW-F-056 bondInfo → MK-NW-F-062 couponIncomeAnnual
2. MK-XS-F-122 n → MK-CF-F-155 cash → MK-NW-F-008 incomeBearingClassOf → MK-NW-F-011 assetClassOf → MK-NW-F-063 interestIncomeAnnual → MK-NW-F-062 couponIncomeAnnual
3. MK-XS-F-147 call → MK-ST-F-010 nameEvidence → MK-NW-F-008 incomeBearingClassOf → MK-NW-F-011 assetClassOf → MK-NW-F-063 interestIncomeAnnual → MK-NW-F-062 couponIncomeAnnual
4. MK-ST-F-056 has → MK-ST-F-010 nameEvidence → MK-NW-F-008 incomeBearingClassOf → MK-NW-F-011 assetClassOf → MK-NW-F-063 interestIncomeAnnual → MK-NW-F-062 couponIncomeAnnual
5. MK-CF-F-132 map → MK-ST-F-010 nameEvidence → MK-NW-F-008 incomeBearingClassOf → MK-NW-F-011 assetClassOf → MK-NW-F-063 interestIncomeAnnual → MK-NW-F-062 couponIncomeAnnual
6. MK-XS-F-122 n → MK-CF-F-155 cash → MK-NW-F-056 bondInfo → MK-NW-F-063 interestIncomeAnnual → MK-NW-F-062 couponIncomeAnnual
7. MK-ST-F-065 isoLocalDate → MK-NW-F-063 interestIncomeAnnual → MK-NW-F-062 couponIncomeAnnual
8. MK-NW-F-112 yearlyInterest → MK-NW-F-063 interestIncomeAnnual → MK-NW-F-062 couponIncomeAnnual
9. … and 5 more paths</t>
        </is>
      </c>
      <c r="S290" s="3" t="inlineStr">
        <is>
          <t>—</t>
        </is>
      </c>
      <c r="T290" s="3" t="inlineStr">
        <is>
          <t>—</t>
        </is>
      </c>
      <c r="U290" s="3" t="inlineStr">
        <is>
          <t>ACTIVE</t>
        </is>
      </c>
      <c r="V290" s="3" t="inlineStr">
        <is>
          <t>2026-10-07</t>
        </is>
      </c>
      <c r="W290" s="3" t="n"/>
      <c r="X290" s="3" t="n"/>
      <c r="Y290" s="3" t="inlineStr">
        <is>
          <t>NOTHING OPEN</t>
        </is>
      </c>
    </row>
    <row r="291" ht="60" customHeight="1">
      <c r="A291" s="3" t="inlineStr">
        <is>
          <t>MK-NW-F-063</t>
        </is>
      </c>
      <c r="B291" s="3" t="inlineStr">
        <is>
          <t>interestIncomeAnnual</t>
        </is>
      </c>
      <c r="C291" s="3" t="inlineStr">
        <is>
          <t>src/domain/bonds/index.ts</t>
        </is>
      </c>
      <c r="D291" s="3" t="n">
        <v>595</v>
      </c>
      <c r="E291" s="3" t="inlineStr">
        <is>
          <t>3 · DEPENDENT (feeds an action only)</t>
        </is>
      </c>
      <c r="F291" s="3" t="inlineStr">
        <is>
          <t>The interest every bond, CD and rate-paying cash account pays in a year, added up, counting nothing for a holding that states no rate.</t>
        </is>
      </c>
      <c r="G291" s="11" t="inlineStr">
        <is>
          <t>today = iso local date(now)
cls = asset class of(a)
t   when maturity date and string(maturity date).slice(0, 10) &lt; today
the answer = t + (yearly interest(bond info(a)) ?? 0)</t>
        </is>
      </c>
      <c r="H291" s="3" t="inlineStr">
        <is>
          <t>Today is iso local date(now). Cls is asset class of(a). When maturity date and string(maturity date).slice(0, 10) &lt; today, it answers t. The answer is t plus (yearly interest(bond info(a)) ?? 0).</t>
        </is>
      </c>
      <c r="I291" s="3" t="inlineStr">
        <is>
          <t>PARTLY READ — some of the code is still showing through; needs a hand pass</t>
        </is>
      </c>
      <c r="J291" s="3" t="inlineStr">
        <is>
          <t>1. accounts: AssetAccount[]
2. now: Date = new Date()</t>
        </is>
      </c>
      <c r="K291" s="3" t="inlineStr">
        <is>
          <t>number</t>
        </is>
      </c>
      <c r="L291" s="3" t="inlineStr">
        <is>
          <t>—</t>
        </is>
      </c>
      <c r="M291" s="3" t="inlineStr">
        <is>
          <t>1. If coupon rate is missing it counts as zero, so nothing recorded and a real zero look the same.
2. If balance is missing it counts as zero, so nothing recorded and a real zero look the same.
3. Uses today's date from the device clock, so the answer changes by itself overnight.</t>
        </is>
      </c>
      <c r="N291" s="3" t="inlineStr">
        <is>
          <t>No</t>
        </is>
      </c>
      <c r="O291" s="3" t="inlineStr">
        <is>
          <t>1. MK-NW-F-011 assetClassOf
2. MK-NW-F-056 bondInfo
3. MK-ST-F-065 isoLocalDate
4. MK-NW-F-112 yearlyInterest</t>
        </is>
      </c>
      <c r="P291" s="3" t="n">
        <v>14</v>
      </c>
      <c r="Q291" s="3" t="inlineStr">
        <is>
          <t>1. MK-NW-F-011 assetClassOf
2. MK-NW-F-056 bondInfo
3. MK-ST-F-065 isoLocalDate
4. MK-NW-F-112 yearlyInterest
5. MK-NW-F-008 incomeBearingClassOf
6. MK-CF-F-155 cash
7. MK-ST-F-010 nameEvidence
8. MK-XS-F-122 n
9. MK-XS-F-147 call
10. MK-ST-F-056 has
11. MK-CF-F-132 map
12. MK-ST-F-027 accountId
13. MK-XS-F-064 currentIdToken
14. MK-XS-F-112 relayUrl</t>
        </is>
      </c>
      <c r="R291" s="3" t="inlineStr">
        <is>
          <t>1. MK-XS-F-122 n → MK-CF-F-155 cash → MK-NW-F-008 incomeBearingClassOf → MK-NW-F-011 assetClassOf → MK-NW-F-063 interestIncomeAnnual
2. MK-ST-F-027 accountId → MK-XS-F-147 call → MK-ST-F-010 nameEvidence → MK-NW-F-008 incomeBearingClassOf → MK-NW-F-011 assetClassOf → MK-NW-F-063 interestIncomeAnnual
3. MK-XS-F-064 currentIdToken → MK-XS-F-147 call → MK-ST-F-010 nameEvidence → MK-NW-F-008 incomeBearingClassOf → MK-NW-F-011 assetClassOf → MK-NW-F-063 interestIncomeAnnual
4. MK-XS-F-112 relayUrl → MK-XS-F-147 call → MK-ST-F-010 nameEvidence → MK-NW-F-008 incomeBearingClassOf → MK-NW-F-011 assetClassOf → MK-NW-F-063 interestIncomeAnnual
5. MK-ST-F-056 has → MK-ST-F-010 nameEvidence → MK-NW-F-008 incomeBearingClassOf → MK-NW-F-011 assetClassOf → MK-NW-F-063 interestIncomeAnnual
6. MK-CF-F-132 map → MK-ST-F-010 nameEvidence → MK-NW-F-008 incomeBearingClassOf → MK-NW-F-011 assetClassOf → MK-NW-F-063 interestIncomeAnnual
7. MK-XS-F-122 n → MK-CF-F-155 cash → MK-NW-F-056 bondInfo → MK-NW-F-063 interestIncomeAnnual
8. MK-ST-F-065 isoLocalDate → MK-NW-F-063 interestIncomeAnnual
9. … and 1 more paths</t>
        </is>
      </c>
      <c r="S291" s="3" t="inlineStr">
        <is>
          <t>—</t>
        </is>
      </c>
      <c r="T291" s="3" t="inlineStr">
        <is>
          <t>—</t>
        </is>
      </c>
      <c r="U291" s="3" t="inlineStr">
        <is>
          <t>ACTIVE</t>
        </is>
      </c>
      <c r="V291" s="3" t="inlineStr">
        <is>
          <t>2026-10-07</t>
        </is>
      </c>
      <c r="W291" s="3" t="inlineStr">
        <is>
          <t>[from MK-NW-M-043 / M-045, typed A46] If coupon rate is not available use 0.</t>
        </is>
      </c>
      <c r="X291" s="6" t="inlineStr">
        <is>
          <t>JJ-4: still falls back to 4.2% (DEFAULT_BOND_YIELD) for a bond fund with no rate, and the paycheck income lines do the same. Fix: 0 + 'no rate recorded'. Also inherits JJ-3 (matured bonds). The other 4.2%/4% figures are expected-return defaults, a different concept — Q44.</t>
        </is>
      </c>
      <c r="Y291" s="6" t="inlineStr">
        <is>
          <t>WAITING ON YOU — answer to read · TESTED, NOT VERIFIED (A46)</t>
        </is>
      </c>
    </row>
    <row r="292" ht="60" customHeight="1">
      <c r="A292" s="3" t="inlineStr">
        <is>
          <t>MK-NW-F-064</t>
        </is>
      </c>
      <c r="B292" s="3" t="inlineStr">
        <is>
          <t>bondRateSensitivity</t>
        </is>
      </c>
      <c r="C292" s="3" t="inlineStr">
        <is>
          <t>src/domain/bonds/index.ts</t>
        </is>
      </c>
      <c r="D292" s="3" t="n">
        <v>724</v>
      </c>
      <c r="E292" s="3" t="inlineStr">
        <is>
          <t>3 · DEPENDENT</t>
        </is>
      </c>
      <c r="F292" s="3" t="inlineStr">
        <is>
          <t>What happens to this bond if interest rates move?</t>
        </is>
      </c>
      <c r="G292" s="11" t="inlineStr">
        <is>
          <t>ytm = approx ytm(b, now)
nothing   when is cd (or ytm = nothing (or face = nothing (or face ≤ 0 (or not (coupon rate ≠ nothing and coupon rate &gt; 0) when missing or zero) when missing or zero) when missing or zero) when missing or zero)
step = (10)^(max(0, round down(math.log10(math.max(value, 1))) − 2))
base = price at yield(b, ytm, now)
nothing   when base = nothing
change = (price at yield(b, math.max(0.0001, ytm + delta), now) ?? base) − base
v = value + change
the answer:
rates up = move(0.01)
rates down = move(-0.01)</t>
        </is>
      </c>
      <c r="H292" s="3" t="inlineStr">
        <is>
          <t>Ytm is approx ytm(b, now). When is cd (or ytm is missing (or face is missing (or face is at most 0 (or not (coupon rate is not no answer and coupon rate &gt; 0) — when missing or zero) — when missing or zero) — when missing or zero) — when missing or zero), it answers no answer. Step is (10)^(math.log10(math.the larger of value and 1, rounded down, never below zero minus 2)). Base is price at yield(b, ytm, now). When base is missing, it answers no answer. Change is (price at yield(b, math.the larger of 0.0001 and ytm plus delta, now) ?? base) minus base. V is value plus change. The answer is rates up = move(0.01); rates down = move(-0.01).</t>
        </is>
      </c>
      <c r="I292" s="3" t="inlineStr">
        <is>
          <t>PARTLY READ — some of the code is still showing through; needs a hand pass</t>
        </is>
      </c>
      <c r="J292" s="3" t="inlineStr">
        <is>
          <t>1. b: BondInfo
2. now: Date = new Date()</t>
        </is>
      </c>
      <c r="K292" s="3" t="inlineStr">
        <is>
          <t>RateSensitivity | null</t>
        </is>
      </c>
      <c r="L292" s="3" t="inlineStr">
        <is>
          <t>—</t>
        </is>
      </c>
      <c r="M292" s="3" t="inlineStr">
        <is>
          <t>1. Applies a built-in rate of 99% to v.
2. Uses today's date from the device clock, so the answer changes by itself overnight.
3. Never lets value fall below 1.
4. Rounds the answer to a whole number.</t>
        </is>
      </c>
      <c r="N292" s="3" t="inlineStr">
        <is>
          <t>Yes</t>
        </is>
      </c>
      <c r="O292" s="3" t="inlineStr">
        <is>
          <t>1. MK-NW-F-060 approxYTM
2. MK-NW-F-069 priceAtYield</t>
        </is>
      </c>
      <c r="P292" s="3" t="n">
        <v>7</v>
      </c>
      <c r="Q292" s="3" t="inlineStr">
        <is>
          <t>1. MK-NW-F-060 approxYTM
2. MK-NW-F-069 priceAtYield
3. MK-NW-F-119 estimatedAccrued
4. MK-NW-F-058 yearsToMaturity
5. MK-NW-F-057 annualCoupon
6. MK-CF-F-132 map
7. MK-XS-F-122 n</t>
        </is>
      </c>
      <c r="R292" s="3" t="inlineStr">
        <is>
          <t>1. MK-CF-F-132 map → MK-NW-F-119 estimatedAccrued → MK-NW-F-060 approxYTM → MK-NW-F-064 bondRateSensitivity
2. MK-XS-F-122 n → MK-NW-F-119 estimatedAccrued → MK-NW-F-060 approxYTM → MK-NW-F-064 bondRateSensitivity
3. MK-NW-F-057 annualCoupon → MK-NW-F-069 priceAtYield → MK-NW-F-060 approxYTM → MK-NW-F-064 bondRateSensitivity
4. MK-CF-F-132 map → MK-NW-F-058 yearsToMaturity → MK-NW-F-069 priceAtYield → MK-NW-F-060 approxYTM → MK-NW-F-064 bondRateSensitivity
5. MK-XS-F-122 n → MK-NW-F-058 yearsToMaturity → MK-NW-F-069 priceAtYield → MK-NW-F-060 approxYTM → MK-NW-F-064 bondRateSensitivity
6. MK-CF-F-132 map → MK-NW-F-058 yearsToMaturity → MK-NW-F-060 approxYTM → MK-NW-F-064 bondRateSensitivity
7. MK-XS-F-122 n → MK-NW-F-058 yearsToMaturity → MK-NW-F-060 approxYTM → MK-NW-F-064 bondRateSensitivity
8. MK-NW-F-057 annualCoupon → MK-NW-F-069 priceAtYield → MK-NW-F-064 bondRateSensitivity
9. … and 2 more paths</t>
        </is>
      </c>
      <c r="S292" s="3" t="inlineStr">
        <is>
          <t>MK-NW-M-028</t>
        </is>
      </c>
      <c r="T292" s="3" t="inlineStr">
        <is>
          <t>IF_RATES_MOVE</t>
        </is>
      </c>
      <c r="U292" s="3" t="inlineStr">
        <is>
          <t>ACTIVE</t>
        </is>
      </c>
      <c r="V292" s="3" t="inlineStr">
        <is>
          <t>2026-10-08</t>
        </is>
      </c>
      <c r="W292" s="3" t="n"/>
      <c r="X292" s="3" t="n"/>
      <c r="Y292" s="6" t="inlineStr">
        <is>
          <t>TESTED, NOT VERIFIED (G11)</t>
        </is>
      </c>
    </row>
    <row r="293" ht="60" customHeight="1">
      <c r="A293" s="3" t="inlineStr">
        <is>
          <t>MK-NW-F-065</t>
        </is>
      </c>
      <c r="B293" s="3" t="inlineStr">
        <is>
          <t>buildNetWorth</t>
        </is>
      </c>
      <c r="C293" s="3" t="inlineStr">
        <is>
          <t>src/domain/networth/index.ts</t>
        </is>
      </c>
      <c r="D293" s="3" t="n">
        <v>35</v>
      </c>
      <c r="E293" s="3" t="inlineStr">
        <is>
          <t>3 · DEPENDENT</t>
        </is>
      </c>
      <c r="F293" s="3" t="inlineStr">
        <is>
          <t>Net worth from two totals: everything owned less everything owed.</t>
        </is>
      </c>
      <c r="G293" s="11" t="inlineStr">
        <is>
          <t>gross assets = round(assets total, 2 dp)
gross debt   = round(debt total, 2 dp)
net worth    = round(assets total − debt total, 2 dp)</t>
        </is>
      </c>
      <c r="H293"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93" s="3" t="inlineStr">
        <is>
          <t>READ BY HAND 2026-08-26 — checked line by line against the code</t>
        </is>
      </c>
      <c r="J293" s="3" t="inlineStr">
        <is>
          <t>1. uid: UserId
2. grossAssets: number
3. grossDebt: number</t>
        </is>
      </c>
      <c r="K293" s="3" t="inlineStr">
        <is>
          <t>NetWorthState</t>
        </is>
      </c>
      <c r="L293" s="3" t="inlineStr">
        <is>
          <t>—</t>
        </is>
      </c>
      <c r="M293" s="3" t="inlineStr">
        <is>
          <t>None found in this function — anything it assumes comes from the functions it depends on.</t>
        </is>
      </c>
      <c r="N293" s="3" t="inlineStr">
        <is>
          <t>Yes</t>
        </is>
      </c>
      <c r="O293" s="3" t="inlineStr">
        <is>
          <t>MK-XS-F-175 uid</t>
        </is>
      </c>
      <c r="P293" s="3" t="n">
        <v>83</v>
      </c>
      <c r="Q29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293"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93" s="3" t="inlineStr">
        <is>
          <t>—</t>
        </is>
      </c>
      <c r="T293" s="3" t="inlineStr">
        <is>
          <t>NET_WORTH</t>
        </is>
      </c>
      <c r="U293" s="3" t="inlineStr">
        <is>
          <t>ACTIVE</t>
        </is>
      </c>
      <c r="V293" s="3" t="inlineStr">
        <is>
          <t>2026-09-27</t>
        </is>
      </c>
      <c r="W293" s="3" t="n"/>
      <c r="X293" s="3" t="n"/>
      <c r="Y293" s="3" t="inlineStr">
        <is>
          <t>NOTHING OPEN</t>
        </is>
      </c>
    </row>
    <row r="294" ht="60" customHeight="1">
      <c r="A294" s="3" t="inlineStr">
        <is>
          <t>MK-NW-F-066</t>
        </is>
      </c>
      <c r="B294" s="3" t="inlineStr">
        <is>
          <t>sumWhere</t>
        </is>
      </c>
      <c r="C294" s="3" t="inlineStr">
        <is>
          <t>src/domain/assets/index.ts</t>
        </is>
      </c>
      <c r="D294" s="3" t="n">
        <v>917</v>
      </c>
      <c r="E294" s="3" t="inlineStr">
        <is>
          <t>3 · DEPENDENT</t>
        </is>
      </c>
      <c r="F294" s="3" t="inlineStr">
        <is>
          <t>Adds up the balances of the accounts that pass a given test.</t>
        </is>
      </c>
      <c r="G294" s="11" t="inlineStr">
        <is>
          <t>hits = accounts (or none when missing) where pred
missing = hits where balance = nothing (or !number.is finite(balance as number) when missing or zero)
total = Σ over hits where !missing.includes(each) of (balance as number)
the answer:
total = total
missing count = count of missing</t>
        </is>
      </c>
      <c r="H294" s="3" t="inlineStr">
        <is>
          <t>Hits is accounts (or none — when missing) where pred. Missing is hits where balance is missing (or !number.is finite(balance as number) — when missing or zero). Total: the balance as number added up across hits where !missing.includes(each). The answer is total = total; missing count = how many missing there are.</t>
        </is>
      </c>
      <c r="I294" s="3" t="inlineStr">
        <is>
          <t>PARTLY READ — some of the code is still showing through; needs a hand pass</t>
        </is>
      </c>
      <c r="J294" s="3" t="inlineStr">
        <is>
          <t>1. accounts: AssetAccount[]
2. pred: (a: AssetAccount) =&gt; boolean</t>
        </is>
      </c>
      <c r="K294" s="3" t="inlineStr">
        <is>
          <t>NOT DECLARED — the code does not say what it gives back</t>
        </is>
      </c>
      <c r="L294" s="3" t="inlineStr">
        <is>
          <t>—</t>
        </is>
      </c>
      <c r="M294" s="3" t="inlineStr">
        <is>
          <t>None found in this function — anything it assumes comes from the functions it depends on.</t>
        </is>
      </c>
      <c r="N294" s="3" t="inlineStr">
        <is>
          <t>Yes</t>
        </is>
      </c>
      <c r="O294" s="3" t="inlineStr">
        <is>
          <t>—</t>
        </is>
      </c>
      <c r="P294" s="3" t="n">
        <v>0</v>
      </c>
      <c r="Q294" s="3" t="inlineStr">
        <is>
          <t>None — no dependent function stands behind it</t>
        </is>
      </c>
      <c r="R294" s="3" t="inlineStr">
        <is>
          <t>No dependent function — it reads its inputs and answers</t>
        </is>
      </c>
      <c r="S294" s="3" t="inlineStr">
        <is>
          <t>—</t>
        </is>
      </c>
      <c r="T294" s="3" t="inlineStr">
        <is>
          <t>—</t>
        </is>
      </c>
      <c r="U294" s="3" t="inlineStr">
        <is>
          <t>ACTIVE</t>
        </is>
      </c>
      <c r="V294" s="3" t="inlineStr">
        <is>
          <t>2026-10-08</t>
        </is>
      </c>
      <c r="W294" s="3" t="n"/>
      <c r="X294" s="3" t="n"/>
      <c r="Y294" s="3" t="inlineStr">
        <is>
          <t>NOTHING OPEN</t>
        </is>
      </c>
    </row>
    <row r="295" ht="60" customHeight="1">
      <c r="A295" s="3" t="inlineStr">
        <is>
          <t>MK-NW-F-067</t>
        </is>
      </c>
      <c r="B295" s="3" t="inlineStr">
        <is>
          <t>plural</t>
        </is>
      </c>
      <c r="C295" s="3" t="inlineStr">
        <is>
          <t>src/domain/assets/index.ts</t>
        </is>
      </c>
      <c r="D295" s="3" t="n">
        <v>1625</v>
      </c>
      <c r="E295" s="3" t="inlineStr">
        <is>
          <t>1 · ACTION</t>
        </is>
      </c>
      <c r="F295" s="3" t="inlineStr">
        <is>
          <t>Writes a count with its noun, singular for one and plural otherwise: 1 CD, 3 CDs.</t>
        </is>
      </c>
      <c r="G295" s="11" t="inlineStr">
        <is>
          <t>the answer = n + ' ' + (one   when n = 1;   many   otherwise)</t>
        </is>
      </c>
      <c r="H295" s="3" t="inlineStr">
        <is>
          <t>'1 account' or '3 accounts' — the word made plural when the count is not one. Display only.</t>
        </is>
      </c>
      <c r="I295" s="3" t="inlineStr">
        <is>
          <t>READ BY HAND 2026-08-26 — checked line by line against the code</t>
        </is>
      </c>
      <c r="J295" s="3" t="inlineStr">
        <is>
          <t>1. n: number
2. one: string
3. many = `${one}s`</t>
        </is>
      </c>
      <c r="K295" s="3" t="inlineStr">
        <is>
          <t>many}`;</t>
        </is>
      </c>
      <c r="L295" s="3" t="inlineStr">
        <is>
          <t>—</t>
        </is>
      </c>
      <c r="M295" s="3" t="inlineStr">
        <is>
          <t>None found in this function — anything it assumes comes from the functions it depends on.</t>
        </is>
      </c>
      <c r="N295" s="3" t="inlineStr">
        <is>
          <t>Yes</t>
        </is>
      </c>
      <c r="O295" s="3" t="inlineStr">
        <is>
          <t>MK-NW-F-109 holdingClassOf</t>
        </is>
      </c>
      <c r="P295" s="3" t="n">
        <v>11</v>
      </c>
      <c r="Q295" s="3" t="inlineStr">
        <is>
          <t>1. MK-NW-F-109 holdingClassOf
2. MK-CF-F-155 cash
3. MK-NW-F-008 incomeBearingClassOf
4. MK-XS-F-122 n
5. MK-ST-F-010 nameEvidence
6. MK-XS-F-147 call
7. MK-ST-F-056 has
8. MK-CF-F-132 map
9. MK-ST-F-027 accountId
10. MK-XS-F-064 currentIdToken
11. MK-XS-F-112 relayUrl</t>
        </is>
      </c>
      <c r="R295" s="3" t="inlineStr">
        <is>
          <t>1. MK-XS-F-122 n → MK-CF-F-155 cash → MK-NW-F-109 holdingClassOf → MK-NW-F-067 plural
2. MK-XS-F-122 n → MK-CF-F-155 cash → MK-NW-F-008 incomeBearingClassOf → MK-NW-F-109 holdingClassOf → MK-NW-F-067 plural
3. MK-ST-F-027 accountId → MK-XS-F-147 call → MK-ST-F-010 nameEvidence → MK-NW-F-008 incomeBearingClassOf → MK-NW-F-109 holdingClassOf → MK-NW-F-067 plural
4. MK-XS-F-064 currentIdToken → MK-XS-F-147 call → MK-ST-F-010 nameEvidence → MK-NW-F-008 incomeBearingClassOf → MK-NW-F-109 holdingClassOf → MK-NW-F-067 plural
5. MK-XS-F-112 relayUrl → MK-XS-F-147 call → MK-ST-F-010 nameEvidence → MK-NW-F-008 incomeBearingClassOf → MK-NW-F-109 holdingClassOf → MK-NW-F-067 plural
6. MK-ST-F-056 has → MK-ST-F-010 nameEvidence → MK-NW-F-008 incomeBearingClassOf → MK-NW-F-109 holdingClassOf → MK-NW-F-067 plural
7. MK-CF-F-132 map → MK-ST-F-010 nameEvidence → MK-NW-F-008 incomeBearingClassOf → MK-NW-F-109 holdingClassOf → MK-NW-F-067 plural</t>
        </is>
      </c>
      <c r="S295" s="3" t="inlineStr">
        <is>
          <t>—</t>
        </is>
      </c>
      <c r="T295" s="3" t="inlineStr">
        <is>
          <t>—</t>
        </is>
      </c>
      <c r="U295" s="3" t="inlineStr">
        <is>
          <t>ACTIVE</t>
        </is>
      </c>
      <c r="V295" s="3" t="inlineStr">
        <is>
          <t>2026-09-12</t>
        </is>
      </c>
      <c r="W295" s="3" t="n"/>
      <c r="X295" s="3" t="n"/>
      <c r="Y295" s="3" t="inlineStr">
        <is>
          <t>NOTHING OPEN</t>
        </is>
      </c>
    </row>
    <row r="296" ht="60" customHeight="1">
      <c r="A296" s="3" t="inlineStr">
        <is>
          <t>MK-NW-F-068</t>
        </is>
      </c>
      <c r="B296" s="3" t="inlineStr">
        <is>
          <t>prettyDay</t>
        </is>
      </c>
      <c r="C296" s="3" t="inlineStr">
        <is>
          <t>src/domain/assets/index.ts</t>
        </is>
      </c>
      <c r="D296" s="3" t="n">
        <v>2572</v>
      </c>
      <c r="E296" s="3" t="inlineStr">
        <is>
          <t>3 · DEPENDENT</t>
        </is>
      </c>
      <c r="F296" s="3" t="inlineStr">
        <is>
          <t>Writes a date as month, day and year: Aug 4, 2026.</t>
        </is>
      </c>
      <c r="G296" s="11" t="inlineStr">
        <is>
          <t>m = ÷ ^(\d{4}) − (\d{2}) − (\d{2}) ÷ .exec(string(iso ?? '').trim())
''   when m is missing
''   when mo &lt; 1 (or mo &gt; 12 (or d &lt; 1 (or d &gt; new date(date.UTC(y, mo, 0)).get utcdate() when missing or zero) when missing or zero) when missing or zero)
the answer = `${MONTH_ABBR[mo − 1]} ${d}, ${y}`</t>
        </is>
      </c>
      <c r="H296" s="3" t="inlineStr">
        <is>
          <t>M is ÷ ^(\d{4}) minus (\d{2}) minus (\d{2}) divided by .exec(string(iso ?? '').trim()). When m is missing, it answers ''. When mo &lt; 1 (or mo &gt; 12 (or d &lt; 1 (or d &gt; new date(date.UTC(y, mo, 0)).get utcdate() — when missing or zero) — when missing or zero) — when missing or zero), it answers ''. The answer is `${MONTH_ABBR[mo minus 1]} ${d}, ${y}`.</t>
        </is>
      </c>
      <c r="I296" s="3" t="inlineStr">
        <is>
          <t>PARTLY READ — some of the code is still showing through; needs a hand pass</t>
        </is>
      </c>
      <c r="J296" s="3" t="inlineStr">
        <is>
          <t>iso: string</t>
        </is>
      </c>
      <c r="K296" s="3" t="inlineStr">
        <is>
          <t>string</t>
        </is>
      </c>
      <c r="L296" s="3" t="inlineStr">
        <is>
          <t>—</t>
        </is>
      </c>
      <c r="M296" s="3" t="inlineStr">
        <is>
          <t>None found in this function — anything it assumes comes from the functions it depends on.</t>
        </is>
      </c>
      <c r="N296" s="3" t="inlineStr">
        <is>
          <t>Yes</t>
        </is>
      </c>
      <c r="O296" s="3" t="inlineStr">
        <is>
          <t>MK-CF-F-132 map</t>
        </is>
      </c>
      <c r="P296" s="3" t="n">
        <v>1</v>
      </c>
      <c r="Q296" s="3" t="inlineStr">
        <is>
          <t>MK-CF-F-132 map</t>
        </is>
      </c>
      <c r="R296" s="3" t="inlineStr">
        <is>
          <t>MK-CF-F-132 map → MK-NW-F-068 prettyDay</t>
        </is>
      </c>
      <c r="S296" s="3" t="inlineStr">
        <is>
          <t>—</t>
        </is>
      </c>
      <c r="T296" s="3" t="inlineStr">
        <is>
          <t>—</t>
        </is>
      </c>
      <c r="U296" s="3" t="inlineStr">
        <is>
          <t>ACTIVE</t>
        </is>
      </c>
      <c r="V296" s="3" t="inlineStr">
        <is>
          <t>2026-10-08</t>
        </is>
      </c>
      <c r="W296" s="3" t="n"/>
      <c r="X296" s="3" t="n"/>
      <c r="Y296" s="3" t="inlineStr">
        <is>
          <t>NOTHING OPEN</t>
        </is>
      </c>
    </row>
    <row r="297" ht="60" customHeight="1">
      <c r="A297" s="3" t="inlineStr">
        <is>
          <t>MK-NW-F-069</t>
        </is>
      </c>
      <c r="B297" s="3" t="inlineStr">
        <is>
          <t>priceAtYield</t>
        </is>
      </c>
      <c r="C297" s="3" t="inlineStr">
        <is>
          <t>src/domain/bonds/index.ts</t>
        </is>
      </c>
      <c r="D297" s="3" t="n">
        <v>661</v>
      </c>
      <c r="E297" s="3" t="inlineStr">
        <is>
          <t>3 · DEPENDENT</t>
        </is>
      </c>
      <c r="F297" s="3" t="inlineStr">
        <is>
          <t>Price the bond's future cash flows at a given annual yield (yearly approximation).</t>
        </is>
      </c>
      <c r="G297" s="11" t="inlineStr">
        <is>
          <t>t = years to maturity(maturity, now)
nothing   when t = nothing (or t ≤ 0 when missing or zero)
c = annual coupon(b) (or 0 when missing)
pv = 0
[LOOP — the answer is found inside a loop the extractor cannot render; the steps above are the ones before it. Read by hand.]</t>
        </is>
      </c>
      <c r="H297" s="3" t="inlineStr">
        <is>
          <t>T is years to maturity(maturity, now). When t is missing (or t is at most 0 — when missing or zero), it answers no answer. C is annual coupon(b) (or 0 — when missing). Pv is 0. The answer is pv. The answer is found inside a loop that cannot be rendered here; read the code by hand.</t>
        </is>
      </c>
      <c r="I297" s="3" t="inlineStr">
        <is>
          <t>PARTLY READ — the body has a loop the extractor cannot render; the steps shown are the ones before it. Needs a hand pass (G23).</t>
        </is>
      </c>
      <c r="J297" s="3" t="inlineStr">
        <is>
          <t>1. b: BondInfo
2. y: number
3. now: Date</t>
        </is>
      </c>
      <c r="K297" s="3" t="inlineStr">
        <is>
          <t>number | null</t>
        </is>
      </c>
      <c r="L297" s="3" t="inlineStr">
        <is>
          <t>—</t>
        </is>
      </c>
      <c r="M297" s="3" t="inlineStr">
        <is>
          <t>1. If face is missing it uses 0.
2. Uses a built-in pv of 0.</t>
        </is>
      </c>
      <c r="N297" s="3" t="inlineStr">
        <is>
          <t>Yes</t>
        </is>
      </c>
      <c r="O297" s="3" t="inlineStr">
        <is>
          <t>1. MK-NW-F-057 annualCoupon
2. MK-NW-F-058 yearsToMaturity</t>
        </is>
      </c>
      <c r="P297" s="3" t="n">
        <v>4</v>
      </c>
      <c r="Q297" s="3" t="inlineStr">
        <is>
          <t>1. MK-NW-F-057 annualCoupon
2. MK-NW-F-058 yearsToMaturity
3. MK-CF-F-132 map
4. MK-XS-F-122 n</t>
        </is>
      </c>
      <c r="R297" s="3" t="inlineStr">
        <is>
          <t>1. MK-NW-F-057 annualCoupon → MK-NW-F-069 priceAtYield
2. MK-CF-F-132 map → MK-NW-F-058 yearsToMaturity → MK-NW-F-069 priceAtYield
3. MK-XS-F-122 n → MK-NW-F-058 yearsToMaturity → MK-NW-F-069 priceAtYield</t>
        </is>
      </c>
      <c r="S297" s="3" t="inlineStr">
        <is>
          <t>—</t>
        </is>
      </c>
      <c r="T297" s="3" t="inlineStr">
        <is>
          <t>—</t>
        </is>
      </c>
      <c r="U297" s="3" t="inlineStr">
        <is>
          <t>ACTIVE</t>
        </is>
      </c>
      <c r="V297" s="3" t="inlineStr">
        <is>
          <t>2026-10-08</t>
        </is>
      </c>
      <c r="W297" s="3" t="n"/>
      <c r="X297" s="3" t="n"/>
      <c r="Y297" s="3" t="inlineStr">
        <is>
          <t>NOTHING OPEN</t>
        </is>
      </c>
    </row>
    <row r="298" ht="60" customHeight="1">
      <c r="A298" s="3" t="inlineStr">
        <is>
          <t>MK-NW-F-070</t>
        </is>
      </c>
      <c r="B298" s="3" t="inlineStr">
        <is>
          <t>accruedInterestCaveat</t>
        </is>
      </c>
      <c r="C298" s="3" t="inlineStr">
        <is>
          <t>src/domain/bonds/index.ts</t>
        </is>
      </c>
      <c r="D298" s="3" t="n">
        <v>318</v>
      </c>
      <c r="E298" s="3" t="inlineStr">
        <is>
          <t>3 · DEPENDENT</t>
        </is>
      </c>
      <c r="F298" s="3" t="inlineStr">
        <is>
          <t>The note shown beside a bond's yield when its accrued interest was not entered, or nothing when it was.</t>
        </is>
      </c>
      <c r="G298" s="11" t="inlineStr">
        <is>
          <t>nothing   when accrued interest ≠ nothing
est = estimated accrued(b, now)
nothing   when est = nothing
pct = `${+((coupon rate as number) × 100).to fixed(3)}%`
the answer = `added estimated $${math.round(est.amount).to locale string('en − US')} in accrued interest to bond value at ${pct} coupon for ${est.days} days to calculate YTM. if this is not accurate, enter actual accrued interest`</t>
        </is>
      </c>
      <c r="H298" s="3" t="inlineStr">
        <is>
          <t>When accrued interest is not no answer, it answers no answer. Est is estimated accrued(b, now). When est is missing, it answers no answer. Pct is `${+((coupon rate as number) times 100).to fixed(3)}%`. The answer is `added estimated $${math.est.amount, to a whole number.to locale string('en minus US')} in accrued interest to bond value at ${pct} coupon for ${est.days} days to calculate YTM. — when this is accurate is missing, enter actual accrued interest`.</t>
        </is>
      </c>
      <c r="I298" s="3" t="inlineStr">
        <is>
          <t>PARTLY READ — some of the code is still showing through; needs a hand pass</t>
        </is>
      </c>
      <c r="J298" s="3" t="inlineStr">
        <is>
          <t>1. b: BondInfo
2. now: Date = new Date()</t>
        </is>
      </c>
      <c r="K298" s="3" t="inlineStr">
        <is>
          <t>string | null</t>
        </is>
      </c>
      <c r="L298" s="3" t="inlineStr">
        <is>
          <t>—</t>
        </is>
      </c>
      <c r="M298" s="3" t="inlineStr">
        <is>
          <t>1. Uses today's date from the device clock, so the answer changes by itself overnight.
2. Rounds the answer to a whole number.
3. Shows 3 decimal places.</t>
        </is>
      </c>
      <c r="N298" s="3" t="inlineStr">
        <is>
          <t>Yes</t>
        </is>
      </c>
      <c r="O298" s="3" t="inlineStr">
        <is>
          <t>MK-NW-F-119 estimatedAccrued</t>
        </is>
      </c>
      <c r="P298" s="3" t="n">
        <v>3</v>
      </c>
      <c r="Q298" s="3" t="inlineStr">
        <is>
          <t>1. MK-NW-F-119 estimatedAccrued
2. MK-CF-F-132 map
3. MK-XS-F-122 n</t>
        </is>
      </c>
      <c r="R298" s="3" t="inlineStr">
        <is>
          <t>1. MK-CF-F-132 map → MK-NW-F-119 estimatedAccrued → MK-NW-F-070 accruedInterestCaveat
2. MK-XS-F-122 n → MK-NW-F-119 estimatedAccrued → MK-NW-F-070 accruedInterestCaveat</t>
        </is>
      </c>
      <c r="S298" s="3" t="inlineStr">
        <is>
          <t>—</t>
        </is>
      </c>
      <c r="T298" s="3" t="inlineStr">
        <is>
          <t>—</t>
        </is>
      </c>
      <c r="U298" s="3" t="inlineStr">
        <is>
          <t>ACTIVE</t>
        </is>
      </c>
      <c r="V298" s="3" t="inlineStr">
        <is>
          <t>2026-10-09</t>
        </is>
      </c>
      <c r="W298" s="3" t="n"/>
      <c r="X298" s="3" t="n"/>
      <c r="Y298" s="6" t="inlineStr">
        <is>
          <t>TESTED, NOT VERIFIED (A47)</t>
        </is>
      </c>
    </row>
    <row r="299" ht="45" customHeight="1">
      <c r="A299" s="3" t="inlineStr">
        <is>
          <t>MK-NW-F-071</t>
        </is>
      </c>
      <c r="B299" s="3" t="inlineStr">
        <is>
          <t>isCertificateOfDeposit</t>
        </is>
      </c>
      <c r="C299" s="3" t="inlineStr">
        <is>
          <t>MoneyKeel/functions/networth-and-performance/bonds.ts</t>
        </is>
      </c>
      <c r="D299" s="3" t="n">
        <v>46</v>
      </c>
      <c r="E299" s="3" t="inlineStr">
        <is>
          <t>3 · DEPENDENT (feeds an action only)</t>
        </is>
      </c>
      <c r="F299" s="3" t="inlineStr">
        <is>
          <t>Whether an account is a certificate of deposit, judged from its name.</t>
        </is>
      </c>
      <c r="G299" s="11" t="inlineStr">
        <is>
          <t>!!bond info(a as any).is cd</t>
        </is>
      </c>
      <c r="H299" s="3" t="inlineStr">
        <is>
          <t>!!bond info(a as any).is cd.</t>
        </is>
      </c>
      <c r="I299" s="3" t="inlineStr">
        <is>
          <t>PARTLY READ — some of the code is still showing through; needs a hand pass</t>
        </is>
      </c>
      <c r="J299" s="3" t="inlineStr">
        <is>
          <t>a: Pick&lt;AssetAccount, 'label'&gt; &amp; { institution?: string; kind?: string }</t>
        </is>
      </c>
      <c r="K299" s="3" t="inlineStr">
        <is>
          <t>boolean</t>
        </is>
      </c>
      <c r="L299" s="3" t="inlineStr">
        <is>
          <t>—</t>
        </is>
      </c>
      <c r="M299" s="3" t="inlineStr">
        <is>
          <t>None found in this function — anything it assumes comes from the functions it depends on.</t>
        </is>
      </c>
      <c r="N299" s="3" t="inlineStr">
        <is>
          <t>No</t>
        </is>
      </c>
      <c r="O299" s="3" t="inlineStr">
        <is>
          <t>MK-NW-F-056 bondInfo</t>
        </is>
      </c>
      <c r="P299" s="3" t="n">
        <v>3</v>
      </c>
      <c r="Q299" s="3" t="inlineStr">
        <is>
          <t>1. MK-NW-F-056 bondInfo
2. MK-CF-F-155 cash
3. MK-XS-F-122 n</t>
        </is>
      </c>
      <c r="R299" s="3" t="inlineStr">
        <is>
          <t>MK-XS-F-122 n → MK-CF-F-155 cash → MK-NW-F-056 bondInfo → MK-NW-F-071 isCertificateOfDeposit</t>
        </is>
      </c>
      <c r="S299" s="3" t="inlineStr">
        <is>
          <t>—</t>
        </is>
      </c>
      <c r="T299" s="3" t="inlineStr">
        <is>
          <t>—</t>
        </is>
      </c>
      <c r="U299" s="3" t="inlineStr">
        <is>
          <t>ACTIVE</t>
        </is>
      </c>
      <c r="V299" s="3" t="inlineStr">
        <is>
          <t>2026-10-07</t>
        </is>
      </c>
      <c r="W299" s="3" t="n"/>
      <c r="X299" s="3" t="n"/>
      <c r="Y299" s="3" t="inlineStr">
        <is>
          <t>NOTHING OPEN</t>
        </is>
      </c>
    </row>
    <row r="300" ht="60" customHeight="1">
      <c r="A300" s="3" t="inlineStr">
        <is>
          <t>MK-NW-F-072</t>
        </is>
      </c>
      <c r="B300" s="3" t="inlineStr">
        <is>
          <t>rowOf</t>
        </is>
      </c>
      <c r="C300" s="3" t="inlineStr">
        <is>
          <t>MoneyKeel/functions/networth-and-performance/bonds.ts</t>
        </is>
      </c>
      <c r="D300" s="3" t="n">
        <v>138</v>
      </c>
      <c r="E300" s="3" t="inlineStr">
        <is>
          <t>3 · DEPENDENT</t>
        </is>
      </c>
      <c r="F300" s="3" t="inlineStr">
        <is>
          <t>One bond's row for the Bonds screen: its face value, yearly interest rate, interest paid in a year, maturity date and years left.</t>
        </is>
      </c>
      <c r="G300" s="11" t="inlineStr">
        <is>
          <t>b = bond info(a)</t>
        </is>
      </c>
      <c r="H300" s="3" t="inlineStr">
        <is>
          <t>B is bond info(a).</t>
        </is>
      </c>
      <c r="I300" s="3" t="inlineStr">
        <is>
          <t>READ FROM THE CODE — rendered from the expressions the function runs</t>
        </is>
      </c>
      <c r="J300" s="3" t="inlineStr">
        <is>
          <t>1. a: AssetAccount
2. now: Date</t>
        </is>
      </c>
      <c r="K300" s="3" t="inlineStr">
        <is>
          <t>BondRow</t>
        </is>
      </c>
      <c r="L300" s="3" t="inlineStr">
        <is>
          <t>—</t>
        </is>
      </c>
      <c r="M300" s="3" t="inlineStr">
        <is>
          <t>None found in this function — anything it assumes comes from the functions it depends on.</t>
        </is>
      </c>
      <c r="N300" s="3" t="inlineStr">
        <is>
          <t>Yes</t>
        </is>
      </c>
      <c r="O300" s="3" t="inlineStr">
        <is>
          <t>1. MK-NW-F-070 accruedInterestCaveat
2. MK-NW-F-060 approxYTM
3. MK-NW-F-056 bondInfo
4. MK-NW-F-059 currentYield
5. MK-NW-F-112 yearlyInterest
6. MK-NW-F-058 yearsToMaturity</t>
        </is>
      </c>
      <c r="P300" s="3" t="n">
        <v>12</v>
      </c>
      <c r="Q300" s="3" t="inlineStr">
        <is>
          <t>1. MK-NW-F-070 accruedInterestCaveat
2. MK-NW-F-060 approxYTM
3. MK-NW-F-056 bondInfo
4. MK-NW-F-059 currentYield
5. MK-NW-F-112 yearlyInterest
6. MK-NW-F-058 yearsToMaturity
7. MK-NW-F-119 estimatedAccrued
8. MK-NW-F-069 priceAtYield
9. MK-CF-F-155 cash
10. MK-CF-F-132 map
11. MK-XS-F-122 n
12. MK-NW-F-057 annualCoupon</t>
        </is>
      </c>
      <c r="R300" s="3" t="inlineStr">
        <is>
          <t>1. MK-CF-F-132 map → MK-NW-F-119 estimatedAccrued → MK-NW-F-070 accruedInterestCaveat → MK-NW-F-072 rowOf
2. MK-XS-F-122 n → MK-NW-F-119 estimatedAccrued → MK-NW-F-070 accruedInterestCaveat → MK-NW-F-072 rowOf
3. MK-CF-F-132 map → MK-NW-F-119 estimatedAccrued → MK-NW-F-060 approxYTM → MK-NW-F-072 rowOf
4. MK-XS-F-122 n → MK-NW-F-119 estimatedAccrued → MK-NW-F-060 approxYTM → MK-NW-F-072 rowOf
5. MK-NW-F-057 annualCoupon → MK-NW-F-069 priceAtYield → MK-NW-F-060 approxYTM → MK-NW-F-072 rowOf
6. MK-CF-F-132 map → MK-NW-F-058 yearsToMaturity → MK-NW-F-069 priceAtYield → MK-NW-F-060 approxYTM → MK-NW-F-072 rowOf
7. MK-XS-F-122 n → MK-NW-F-058 yearsToMaturity → MK-NW-F-069 priceAtYield → MK-NW-F-060 approxYTM → MK-NW-F-072 rowOf
8. MK-CF-F-132 map → MK-NW-F-058 yearsToMaturity → MK-NW-F-060 approxYTM → MK-NW-F-072 rowOf
9. … and 5 more paths</t>
        </is>
      </c>
      <c r="S300" s="3" t="inlineStr">
        <is>
          <t>—</t>
        </is>
      </c>
      <c r="T300" s="3" t="inlineStr">
        <is>
          <t>—</t>
        </is>
      </c>
      <c r="U300" s="3" t="inlineStr">
        <is>
          <t>ACTIVE</t>
        </is>
      </c>
      <c r="V300" s="3" t="inlineStr">
        <is>
          <t>2026-09-27</t>
        </is>
      </c>
      <c r="W300" s="3" t="n"/>
      <c r="X300" s="3" t="n"/>
      <c r="Y300" s="3" t="inlineStr">
        <is>
          <t>NOTHING OPEN</t>
        </is>
      </c>
    </row>
    <row r="301" ht="60" customHeight="1">
      <c r="A301" s="3" t="inlineStr">
        <is>
          <t>MK-NW-F-073</t>
        </is>
      </c>
      <c r="B301" s="3" t="inlineStr">
        <is>
          <t>itemising</t>
        </is>
      </c>
      <c r="C301" s="3" t="inlineStr">
        <is>
          <t>MoneyKeel/functions/networth-and-performance/account.ts</t>
        </is>
      </c>
      <c r="D301" s="3" t="n">
        <v>190</v>
      </c>
      <c r="E301" s="3" t="inlineStr">
        <is>
          <t>2 · DISPLAYED</t>
        </is>
      </c>
      <c r="F301" s="3" t="inlineStr">
        <is>
          <t>When an account entered as one total is broken into holdings: the total to keep, the value of the holdings listed so far, and the amount still not explained by them.</t>
        </is>
      </c>
      <c r="G301" s="11" t="inlineStr">
        <is>
          <t>NOT READ YET — the body is not a shape this can render faithfully, so nothing is claimed rather than something being guessed. It needs reading by hand.</t>
        </is>
      </c>
      <c r="H301" s="3" t="inlineStr">
        <is>
          <t>NOT READ YET — the body is not a shape this can render faithfully, so nothing is claimed rather than something being guessed. It needs reading by hand.</t>
        </is>
      </c>
      <c r="I301" s="3" t="inlineStr">
        <is>
          <t>NOT READ — nothing is claimed rather than something guessed</t>
        </is>
      </c>
      <c r="J301" s="3" t="inlineStr">
        <is>
          <t>1. lumpBalance: number
2. items: ItemHolding[]</t>
        </is>
      </c>
      <c r="K301" s="3" t="inlineStr">
        <is>
          <t>Itemising</t>
        </is>
      </c>
      <c r="L301" s="3" t="inlineStr">
        <is>
          <t>NOT FOUND — a screen calls it, but the words printed beside its answer could not be traced automatically. Needs reading.</t>
        </is>
      </c>
      <c r="M301" s="3" t="inlineStr">
        <is>
          <t>None found in this function — anything it assumes comes from the functions it depends on.</t>
        </is>
      </c>
      <c r="N301" s="3" t="inlineStr">
        <is>
          <t>Yes</t>
        </is>
      </c>
      <c r="O301" s="3" t="inlineStr">
        <is>
          <t>1. MK-NW-F-118 itemizeMissingCount
2. MK-NW-F-050 itemizeRemainder
3. MK-NW-F-049 itemizedTotal</t>
        </is>
      </c>
      <c r="P301" s="3" t="n">
        <v>3</v>
      </c>
      <c r="Q301" s="3" t="inlineStr">
        <is>
          <t>1. MK-NW-F-118 itemizeMissingCount
2. MK-NW-F-050 itemizeRemainder
3. MK-NW-F-049 itemizedTotal</t>
        </is>
      </c>
      <c r="R301" s="3" t="inlineStr">
        <is>
          <t>1. MK-NW-F-118 itemizeMissingCount → MK-NW-F-073 itemising
2. MK-NW-F-049 itemizedTotal → MK-NW-F-050 itemizeRemainder → MK-NW-F-073 itemising
3. MK-NW-F-049 itemizedTotal → MK-NW-F-073 itemising</t>
        </is>
      </c>
      <c r="S301" s="3" t="inlineStr">
        <is>
          <t>—</t>
        </is>
      </c>
      <c r="T301" s="3" t="inlineStr">
        <is>
          <t>—</t>
        </is>
      </c>
      <c r="U301" s="3" t="inlineStr">
        <is>
          <t>ACTIVE</t>
        </is>
      </c>
      <c r="V301" s="3" t="inlineStr">
        <is>
          <t>2026-09-27</t>
        </is>
      </c>
      <c r="W301" s="3" t="n"/>
      <c r="X301" s="3" t="n"/>
      <c r="Y301" s="3" t="inlineStr">
        <is>
          <t>NOTHING OPEN</t>
        </is>
      </c>
    </row>
    <row r="302" ht="60" customHeight="1">
      <c r="A302" s="3" t="inlineStr">
        <is>
          <t>MK-NW-F-075</t>
        </is>
      </c>
      <c r="B302" s="3" t="inlineStr">
        <is>
          <t>ACC</t>
        </is>
      </c>
      <c r="C302" s="3" t="inlineStr">
        <is>
          <t>MoneyKeel/functions/networth-and-performance/account.ts</t>
        </is>
      </c>
      <c r="D302" s="3" t="n">
        <v>249</v>
      </c>
      <c r="E302" s="3" t="inlineStr">
        <is>
          <t>1 · ACTION</t>
        </is>
      </c>
      <c r="F302" s="3" t="inlineStr">
        <is>
          <t>Example only: runs theAccount on the worked example and calculates nothing of its own.</t>
        </is>
      </c>
      <c r="G302" s="11" t="inlineStr">
        <is>
          <t>NOT READ YET — the body is not a shape this can render faithfully, so nothing is claimed rather than something being guessed. It needs reading by hand.</t>
        </is>
      </c>
      <c r="H302" s="3" t="inlineStr">
        <is>
          <t>NOT READ YET — the body is not a shape this can render faithfully, so nothing is claimed rather than something being guessed. It needs reading by hand.</t>
        </is>
      </c>
      <c r="I302" s="3" t="inlineStr">
        <is>
          <t>NOT READ — nothing is claimed rather than something guessed</t>
        </is>
      </c>
      <c r="J302" s="3" t="inlineStr">
        <is>
          <t>Nothing is handed to it</t>
        </is>
      </c>
      <c r="K302" s="3" t="inlineStr">
        <is>
          <t>EXAMPLE_ACCOUNT, transactions: EXAMPLE_LEDGER });</t>
        </is>
      </c>
      <c r="L302" s="3" t="inlineStr">
        <is>
          <t>—</t>
        </is>
      </c>
      <c r="M302" s="3" t="inlineStr">
        <is>
          <t>None found in this function — anything it assumes comes from the functions it depends on.</t>
        </is>
      </c>
      <c r="N302" s="3" t="inlineStr">
        <is>
          <t>No</t>
        </is>
      </c>
      <c r="O302" s="3" t="inlineStr">
        <is>
          <t>1. MK-CF-F-155 cash
2. MK-XS-F-180 declareFigures
3. MK-NW-F-073 itemising
4. MK-PF-F-004 marketValue
5. MK-ST-F-030 record
6. MK-NW-O-002 theAccount</t>
        </is>
      </c>
      <c r="P302" s="3" t="n">
        <v>26</v>
      </c>
      <c r="Q302" s="3" t="inlineStr">
        <is>
          <t>1. MK-CF-F-155 cash
2. MK-XS-F-180 declareFigures
3. MK-NW-F-073 itemising
4. MK-PF-F-004 marketValue
5. MK-ST-F-030 record
6. MK-NW-O-002 theAccount
7. MK-XS-F-122 n
8. MK-NW-F-118 itemizeMissingCount
9. MK-NW-F-050 itemizeRemainder
10. MK-NW-F-049 itemizedTotal
11. MK-PF-F-031 contractMultiplier
12. MK-PF-F-001 totalShares
13. MK-NW-F-027 accountClassBreakdown
14. MK-CF-F-118 cashEffect
15. MK-CF-F-132 map
16. MK-ST-F-013 personalFlowTotals
17. MK-ST-F-021 toNumber
18. MK-NW-F-011 assetClassOf
19. MK-ST-F-056 has
20. MK-NW-F-109 holdingClassOf
21. MK-NW-F-008 incomeBearingClassOf
22. MK-ST-F-010 nameEvidence
23. MK-XS-F-147 call
24. MK-ST-F-027 accountId
25. MK-XS-F-064 currentIdToken
26. MK-XS-F-112 relayUrl</t>
        </is>
      </c>
      <c r="R302" s="3" t="inlineStr">
        <is>
          <t>1. MK-XS-F-122 n → MK-CF-F-155 cash → MK-NW-F-075 ACC
2. MK-XS-F-180 declareFigures → MK-NW-F-075 ACC
3. MK-NW-F-118 itemizeMissingCount → MK-NW-F-073 itemising → MK-NW-F-075 ACC
4. MK-NW-F-049 itemizedTotal → MK-NW-F-050 itemizeRemainder → MK-NW-F-073 itemising → MK-NW-F-075 ACC
5. MK-NW-F-049 itemizedTotal → MK-NW-F-073 itemising → MK-NW-F-075 ACC
6. MK-PF-F-031 contractMultiplier → MK-PF-F-004 marketValue → MK-NW-F-075 ACC
7. MK-PF-F-001 totalShares → MK-PF-F-004 marketValue → MK-NW-F-075 ACC
8. MK-ST-F-030 record → MK-NW-F-075 ACC
9. … and 4 more paths</t>
        </is>
      </c>
      <c r="S302" s="3" t="inlineStr">
        <is>
          <t>—</t>
        </is>
      </c>
      <c r="T302" s="3" t="inlineStr">
        <is>
          <t>—</t>
        </is>
      </c>
      <c r="U302" s="3" t="inlineStr">
        <is>
          <t>ACTIVE</t>
        </is>
      </c>
      <c r="V302" s="3" t="inlineStr">
        <is>
          <t>2026-09-28</t>
        </is>
      </c>
      <c r="W302" s="3" t="n"/>
      <c r="X302" s="3" t="n"/>
      <c r="Y302" s="3" t="inlineStr">
        <is>
          <t>NOTHING OPEN</t>
        </is>
      </c>
    </row>
    <row r="303" ht="60" customHeight="1">
      <c r="A303" s="3" t="inlineStr">
        <is>
          <t>MK-NW-F-076</t>
        </is>
      </c>
      <c r="B303" s="3" t="inlineStr">
        <is>
          <t>ALT</t>
        </is>
      </c>
      <c r="C303" s="3" t="inlineStr">
        <is>
          <t>MoneyKeel/functions/networth-and-performance/alternatives-outlook.ts</t>
        </is>
      </c>
      <c r="D303" s="3" t="n">
        <v>138</v>
      </c>
      <c r="E303" s="3" t="inlineStr">
        <is>
          <t>3 · DEPENDENT (feeds an action only)</t>
        </is>
      </c>
      <c r="F303" s="3" t="inlineStr">
        <is>
          <t>Example only: runs theAlternativesOutlook on the worked example and calculates nothing of its own.</t>
        </is>
      </c>
      <c r="G303" s="11" t="inlineStr">
        <is>
          <t>NOT READ YET — the body is not a shape this can render faithfully, so nothing is claimed rather than something being guessed. It needs reading by hand.</t>
        </is>
      </c>
      <c r="H303" s="3" t="inlineStr">
        <is>
          <t>NOT READ YET — the body is not a shape this can render faithfully, so nothing is claimed rather than something being guessed. It needs reading by hand.</t>
        </is>
      </c>
      <c r="I303" s="3" t="inlineStr">
        <is>
          <t>NOT READ — nothing is claimed rather than something guessed</t>
        </is>
      </c>
      <c r="J303" s="3" t="inlineStr">
        <is>
          <t>Nothing is handed to it</t>
        </is>
      </c>
      <c r="K303" s="3" t="inlineStr">
        <is>
          <t>EXAMPLE });</t>
        </is>
      </c>
      <c r="L303" s="3" t="inlineStr">
        <is>
          <t>—</t>
        </is>
      </c>
      <c r="M303" s="3" t="inlineStr">
        <is>
          <t>None found in this function — anything it assumes comes from the functions it depends on.</t>
        </is>
      </c>
      <c r="N303" s="3" t="inlineStr">
        <is>
          <t>No</t>
        </is>
      </c>
      <c r="O303" s="3" t="inlineStr">
        <is>
          <t>1. MK-XS-F-180 declareFigures
2. MK-NW-O-005 theAlternativesOutlook</t>
        </is>
      </c>
      <c r="P303" s="3" t="n">
        <v>126</v>
      </c>
      <c r="Q303" s="3" t="inlineStr">
        <is>
          <t>1. MK-XS-F-180 declareFigures
2. MK-NW-O-005 theAlternativesOutlook
3. MK-NW-F-113 altPartsOf
4. MK-NW-F-002 alternativesSummary
5. MK-NW-F-034 benchmarkReturn
6. MK-NW-F-037 blendedReturn
7. MK-NW-F-028 classPortionLabel
8. MK-NW-F-001 isAlternative
9. MK-CF-F-132 map
10. MK-NW-F-027 accountClassBreakdown
11. MK-NW-F-109 holdingClassOf
12. MK-CF-F-200 LINE
13. MK-CF-F-204 line
14. MK-NW-F-007 assetKind
15. MK-NW-F-032 earmarkedAmount
16. MK-NW-F-031 primaryCarIdOf
17. MK-NW-F-110 primaryHomeIdOf
18. MK-XS-F-120 nameOf
19. MK-NW-F-067 plural
20. MK-NW-F-011 assetClassOf
21. MK-CF-F-155 cash
22. MK-ST-F-056 has
23. MK-NW-F-008 incomeBearingClassOf
24. MK-CF-O-006 theCreditLine
25. MK-CF-F-203 MONTH
26. MK-NW-F-030 earmarkDefault
27. MK-NW-F-117 propertyUseMap
28. MK-XS-F-122 n
29. MK-ST-F-010 nameEvidence
30. MK-CF-F-031 creditUtilization
31. MK-CF-O-010 theMonth
32. MK-NW-F-115 liveRent
33. MK-NW-F-116 rentedIdsOf
34. MK-XS-F-147 call
35. MK-CF-O-002 expenses
36. MK-CF-O-003 thisMonth
37. MK-NW-F-114 rentAmount
38. MK-ST-F-027 accountId
39. MK-XS-F-064 currentIdToken
40. MK-XS-F-112 relayUrl
41. MK-CF-F-151 actualSpending
42. MK-CF-F-150 debtPaymentsCountedAsExpenses
43. MK-CF-F-153 radar
44. MK-CF-F-149 recurringDebtPayments
45. MK-CF-F-005 actualMonthFlow
46. MK-CF-F-156 plannedMonthFlow
47. MK-CF-F-148 inMonth
48. MK-ST-F-052 toNum
49. MK-CF-F-191 ym
50. MK-CF-F-022 paymentShape
51. MK-CF-F-152 isRadarItem
52. MK-CF-F-023 requiredPayment
53. MK-NW-F-078 ONE
54. MK-CF-F-157 debtPaymentsByDebt
55. MK-CF-F-192 inflowLabel
56. MK-XS-F-027 takeHomeMonthly
57. MK-CF-F-021 defaultPaymentType
58. MK-NW-F-077 ALL
59. MK-NW-F-059 currentYield
60. MK-ST-F-049 formatMoney
61. MK-ST-F-053 money
62. MK-NW-O-001 theBonds
63. MK-CF-F-193 inflowSourceWord
64. MK-CF-F-092 incomeMonthlyGrid
65. MK-CF-F-011 savingsByMonth
66. MK-NW-F-112 yearlyInterest
67. MK-ST-F-048 currencySymbol
68. MK-ST-F-039 on
69. MK-NW-F-057 annualCoupon
70. MK-NW-F-056 bondInfo
71. MK-NW-F-064 bondRateSensitivity
72. MK-NW-F-061 bondSummary
73. MK-NW-F-055 isBond
74. MK-ST-F-065 isoLocalDate
75. MK-NW-F-072 rowOf
76. MK-CF-F-069 benefitActiveMonths
77. MK-CF-F-072 currentRetirementIncomeMonthly
78. MK-CF-F-173 earnerWages
79. MK-CF-F-065 equityVestWeights
80. MK-CF-F-071 extraIncome
81. MK-CF-F-206 householdK401ByMonth
82. MK-CF-F-087 monthlyTaxRates
83. MK-CF-F-073 otherIncomeMonth
84. MK-CF-F-181 rateInForce
85. MK-CF-F-068 rentalNetAnnual
86. MK-CF-F-066 rsuAnnual
87. MK-CF-F-060 salaryGrossByMonth
88. MK-CF-F-077 scholarshipByCalendarMonth
89. MK-CF-F-088 taxableByCalendarMonth
90. MK-CF-F-177 wageGrossByMonth
91. MK-PL-F-012 waterfall
92. MK-CF-F-008 spendByMonth
93. MK-ST-F-047 activeCurrency
94. MK-NW-F-060 approxYTM
95. MK-NW-F-069 priceAtYield
96. MK-NW-F-070 accruedInterestCaveat
97. MK-NW-F-058 yearsToMaturity
98. MK-CF-F-075 retirementIncomeMonthly
99. MK-CF-F-172 hasWage
100. MK-CF-F-062 equityRowValue
101. MK-CF-F-070 benefitAnnual
102. MK-CF-F-176 sumMonthsOverEarners
103. MK-CF-F-090 effectiveRate
104. MK-CF-F-180 enteredLandsAnnual
105. MK-CF-F-085 filingStatusOf
106. MK-CF-F-089 over65CountOf
107. MK-CF-F-082 salaryAnnual
108. MK-CF-F-086 stateRateOf
109. MK-CF-F-101 taxOwedFor
110. MK-CF-F-084 taxableAnnual
111. MK-CF-F-067 rentalList
112. MK-CF-F-063 rowVestYear
113. MK-CF-F-130 enteredMonthlyRaw
114. MK-CF-F-166 hasMonthlySalaryTable
115. MK-ST-F-036 reconcile
116. MK-CF-F-167 salaryCalendarYear
117. MK-CF-F-120 pctBaseMonthly
118. MK-CF-F-004 spendBuckets
119. MK-NW-F-119 estimatedAccrued
120. MK-CF-F-100 taxableIncomeFor
121. MK-CF-F-074 tipsAnnual
122. MK-CF-F-165 salaryMonths
123. MK-CF-F-003 categoryMonthly
124. MK-CF-F-099 deductionFor
125. MK-CF-F-081 salaryActiveMonths
126. MK-CF-F-187 seniorDeductionFor</t>
        </is>
      </c>
      <c r="R303" s="3" t="inlineStr">
        <is>
          <t>1. MK-XS-F-180 declareFigures → MK-NW-F-076 ALT
2. MK-NW-F-008 incomeBearingClassOf → MK-NW-F-011 assetClassOf → MK-NW-F-027 accountClassBreakdown → MK-NW-F-113 altPartsOf → MK-NW-O-005 theAlternativesOutlook → MK-NW-F-076 ALT
3. MK-XS-F-122 n → MK-CF-F-155 cash → MK-NW-F-027 accountClassBreakdown → MK-NW-F-113 altPartsOf → MK-NW-O-005 theAlternativesOutlook → MK-NW-F-076 ALT
4. MK-ST-F-056 has → MK-NW-F-027 accountClassBreakdown → MK-NW-F-113 altPartsOf → MK-NW-O-005 theAlternativesOutlook → MK-NW-F-076 ALT
5. MK-CF-F-155 cash → MK-NW-F-109 holdingClassOf → MK-NW-F-027 accountClassBreakdown → MK-NW-F-113 altPartsOf → MK-NW-O-005 theAlternativesOutlook → MK-NW-F-076 ALT
6. MK-NW-F-008 incomeBearingClassOf → MK-NW-F-109 holdingClassOf → MK-NW-F-027 accountClassBreakdown → MK-NW-F-113 altPartsOf → MK-NW-O-005 theAlternativesOutlook → MK-NW-F-076 ALT
7. MK-CF-F-132 map → MK-NW-F-027 accountClassBreakdown → MK-NW-F-113 altPartsOf → MK-NW-O-005 theAlternativesOutlook → MK-NW-F-076 ALT
8. MK-XS-F-122 n → MK-CF-F-155 cash → MK-NW-F-109 holdingClassOf → MK-NW-F-113 altPartsOf → MK-NW-O-005 theAlternativesOutlook → MK-NW-F-076 ALT
9. … and 4 more paths</t>
        </is>
      </c>
      <c r="S303" s="3" t="inlineStr">
        <is>
          <t>—</t>
        </is>
      </c>
      <c r="T303" s="3" t="inlineStr">
        <is>
          <t>—</t>
        </is>
      </c>
      <c r="U303" s="3" t="inlineStr">
        <is>
          <t>ACTIVE</t>
        </is>
      </c>
      <c r="V303" s="3" t="inlineStr">
        <is>
          <t>2026-10-01</t>
        </is>
      </c>
      <c r="W303" s="3" t="n"/>
      <c r="X303" s="3" t="n"/>
      <c r="Y303" s="3" t="inlineStr">
        <is>
          <t>NOTHING OPEN</t>
        </is>
      </c>
    </row>
    <row r="304" ht="60" customHeight="1">
      <c r="A304" s="3" t="inlineStr">
        <is>
          <t>MK-NW-F-077</t>
        </is>
      </c>
      <c r="B304" s="3" t="inlineStr">
        <is>
          <t>ALL</t>
        </is>
      </c>
      <c r="C304" s="3" t="inlineStr">
        <is>
          <t>MoneyKeel/functions/networth-and-performance/bonds.ts</t>
        </is>
      </c>
      <c r="D304" s="3" t="n">
        <v>318</v>
      </c>
      <c r="E304" s="3" t="inlineStr">
        <is>
          <t>1 · ACTION</t>
        </is>
      </c>
      <c r="F304" s="3" t="inlineStr">
        <is>
          <t>Example only: runs theBonds on the worked example and calculates nothing of its own.</t>
        </is>
      </c>
      <c r="G304" s="11" t="inlineStr">
        <is>
          <t>NOT READ YET — the body is not a shape this can render faithfully, so nothing is claimed rather than something being guessed. It needs reading by hand.</t>
        </is>
      </c>
      <c r="H304" s="3" t="inlineStr">
        <is>
          <t>NOT READ YET — the body is not a shape this can render faithfully, so nothing is claimed rather than something being guessed. It needs reading by hand.</t>
        </is>
      </c>
      <c r="I304" s="3" t="inlineStr">
        <is>
          <t>NOT READ — nothing is claimed rather than something guessed</t>
        </is>
      </c>
      <c r="J304" s="3" t="inlineStr">
        <is>
          <t>Nothing is handed to it</t>
        </is>
      </c>
      <c r="K304" s="3" t="inlineStr">
        <is>
          <t>EXAMPLE, today: TODAY });</t>
        </is>
      </c>
      <c r="L304" s="3" t="inlineStr">
        <is>
          <t>—</t>
        </is>
      </c>
      <c r="M304" s="3" t="inlineStr">
        <is>
          <t>None found in this function — anything it assumes comes from the functions it depends on.</t>
        </is>
      </c>
      <c r="N304" s="3" t="inlineStr">
        <is>
          <t>Yes</t>
        </is>
      </c>
      <c r="O304" s="3" t="inlineStr">
        <is>
          <t>MK-NW-O-001 theBonds</t>
        </is>
      </c>
      <c r="P304" s="3" t="n">
        <v>26</v>
      </c>
      <c r="Q304" s="3" t="inlineStr">
        <is>
          <t>1. MK-NW-O-001 theBonds
2. MK-ST-F-027 accountId
3. MK-NW-F-057 annualCoupon
4. MK-NW-F-056 bondInfo
5. MK-NW-F-064 bondRateSensitivity
6. MK-NW-F-061 bondSummary
7. MK-NW-F-055 isBond
8. MK-ST-F-065 isoLocalDate
9. MK-CF-F-132 map
10. MK-NW-F-072 rowOf
11. MK-NW-F-112 yearlyInterest
12. MK-CF-F-155 cash
13. MK-NW-F-060 approxYTM
14. MK-NW-F-069 priceAtYield
15. MK-NW-F-011 assetClassOf
16. MK-NW-F-070 accruedInterestCaveat
17. MK-NW-F-059 currentYield
18. MK-NW-F-058 yearsToMaturity
19. MK-XS-F-122 n
20. MK-NW-F-119 estimatedAccrued
21. MK-NW-F-008 incomeBearingClassOf
22. MK-ST-F-010 nameEvidence
23. MK-XS-F-147 call
24. MK-ST-F-056 has
25. MK-XS-F-064 currentIdToken
26. MK-XS-F-112 relayUrl</t>
        </is>
      </c>
      <c r="R304" s="3" t="inlineStr">
        <is>
          <t>1. MK-ST-F-027 accountId → MK-NW-O-001 theBonds → MK-NW-F-077 ALL
2. MK-NW-F-057 annualCoupon → MK-NW-O-001 theBonds → MK-NW-F-077 ALL
3. MK-XS-F-122 n → MK-CF-F-155 cash → MK-NW-F-056 bondInfo → MK-NW-O-001 theBonds → MK-NW-F-077 ALL
4. MK-CF-F-132 map → MK-NW-F-119 estimatedAccrued → MK-NW-F-060 approxYTM → MK-NW-F-064 bondRateSensitivity → MK-NW-O-001 theBonds → MK-NW-F-077 ALL
5. MK-XS-F-122 n → MK-NW-F-119 estimatedAccrued → MK-NW-F-060 approxYTM → MK-NW-F-064 bondRateSensitivity → MK-NW-O-001 theBonds → MK-NW-F-077 ALL
6. MK-NW-F-057 annualCoupon → MK-NW-F-069 priceAtYield → MK-NW-F-060 approxYTM → MK-NW-F-064 bondRateSensitivity → MK-NW-O-001 theBonds → MK-NW-F-077 ALL
7. MK-NW-F-058 yearsToMaturity → MK-NW-F-069 priceAtYield → MK-NW-F-060 approxYTM → MK-NW-F-064 bondRateSensitivity → MK-NW-O-001 theBonds → MK-NW-F-077 ALL
8. MK-CF-F-132 map → MK-NW-F-058 yearsToMaturity → MK-NW-F-060 approxYTM → MK-NW-F-064 bondRateSensitivity → MK-NW-O-001 theBonds → MK-NW-F-077 ALL
9. … and 4 more paths</t>
        </is>
      </c>
      <c r="S304" s="3" t="inlineStr">
        <is>
          <t>—</t>
        </is>
      </c>
      <c r="T304" s="3" t="inlineStr">
        <is>
          <t>—</t>
        </is>
      </c>
      <c r="U304" s="3" t="inlineStr">
        <is>
          <t>ACTIVE</t>
        </is>
      </c>
      <c r="V304" s="3" t="inlineStr">
        <is>
          <t>2026-09-28</t>
        </is>
      </c>
      <c r="W304" s="3" t="n"/>
      <c r="X304" s="3" t="n"/>
      <c r="Y304" s="3" t="inlineStr">
        <is>
          <t>NOTHING OPEN</t>
        </is>
      </c>
    </row>
    <row r="305" ht="60" customHeight="1">
      <c r="A305" s="3" t="inlineStr">
        <is>
          <t>MK-NW-F-078</t>
        </is>
      </c>
      <c r="B305" s="3" t="inlineStr">
        <is>
          <t>ONE</t>
        </is>
      </c>
      <c r="C305" s="3" t="inlineStr">
        <is>
          <t>MoneyKeel/functions/networth-and-performance/bonds.ts</t>
        </is>
      </c>
      <c r="D305" s="3" t="n">
        <v>362</v>
      </c>
      <c r="E305" s="3" t="inlineStr">
        <is>
          <t>2 · DISPLAYED</t>
        </is>
      </c>
      <c r="F305" s="3" t="inlineStr">
        <is>
          <t>Example only: runs theBonds for one bond of the worked example and calculates nothing of its own.</t>
        </is>
      </c>
      <c r="G305" s="11" t="inlineStr">
        <is>
          <t>NOT READ YET — the body is not a shape this can render faithfully, so nothing is claimed rather than something being guessed. It needs reading by hand.</t>
        </is>
      </c>
      <c r="H305" s="3" t="inlineStr">
        <is>
          <t>NOT READ YET — the body is not a shape this can render faithfully, so nothing is claimed rather than something being guessed. It needs reading by hand.</t>
        </is>
      </c>
      <c r="I305" s="3" t="inlineStr">
        <is>
          <t>NOT READ — nothing is claimed rather than something guessed</t>
        </is>
      </c>
      <c r="J305" s="3" t="inlineStr">
        <is>
          <t>Nothing is handed to it</t>
        </is>
      </c>
      <c r="K305" s="3" t="inlineStr">
        <is>
          <t>EXAMPLE, accountId: 'b1', today: TODAY }).one!;</t>
        </is>
      </c>
      <c r="L305" s="3" t="inlineStr">
        <is>
          <t>NOT FOUND — a screen calls it, but the words printed beside its answer could not be traced automatically. Needs reading.</t>
        </is>
      </c>
      <c r="M305" s="3" t="inlineStr">
        <is>
          <t>1. If face is missing it uses 0.
2. If coupon per year is missing it uses 0.
3. If current yield is missing it uses 0.
4. If coupon rate is missing it uses 0.
5. If years left is missing it uses 0.
6. Shows 2 decimal places.
7. Shows 1 decimal place.</t>
        </is>
      </c>
      <c r="N305" s="3" t="inlineStr">
        <is>
          <t>Yes</t>
        </is>
      </c>
      <c r="O305" s="3" t="inlineStr">
        <is>
          <t>1. MK-NW-F-077 ALL
2. MK-NW-F-059 currentYield
3. MK-XS-F-180 declareFigures
4. MK-ST-F-049 formatMoney
5. MK-ST-F-053 money
6. MK-NW-O-001 theBonds</t>
        </is>
      </c>
      <c r="P305" s="3" t="n">
        <v>33</v>
      </c>
      <c r="Q305" s="3" t="inlineStr">
        <is>
          <t>1. MK-NW-F-077 ALL
2. MK-NW-F-059 currentYield
3. MK-XS-F-180 declareFigures
4. MK-ST-F-049 formatMoney
5. MK-ST-F-053 money
6. MK-NW-O-001 theBonds
7. MK-NW-F-112 yearlyInterest
8. MK-ST-F-048 currencySymbol
9. MK-XS-F-122 n
10. MK-ST-F-039 on
11. MK-ST-F-027 accountId
12. MK-NW-F-057 annualCoupon
13. MK-NW-F-056 bondInfo
14. MK-NW-F-064 bondRateSensitivity
15. MK-NW-F-061 bondSummary
16. MK-NW-F-055 isBond
17. MK-ST-F-065 isoLocalDate
18. MK-CF-F-132 map
19. MK-NW-F-072 rowOf
20. MK-ST-F-047 activeCurrency
21. MK-CF-F-155 cash
22. MK-NW-F-060 approxYTM
23. MK-NW-F-069 priceAtYield
24. MK-NW-F-011 assetClassOf
25. MK-NW-F-070 accruedInterestCaveat
26. MK-NW-F-058 yearsToMaturity
27. MK-NW-F-119 estimatedAccrued
28. MK-NW-F-008 incomeBearingClassOf
29. MK-ST-F-010 nameEvidence
30. MK-XS-F-147 call
31. MK-ST-F-056 has
32. MK-XS-F-064 currentIdToken
33. MK-XS-F-112 relayUrl</t>
        </is>
      </c>
      <c r="R305" s="3" t="inlineStr">
        <is>
          <t>1. MK-ST-F-027 accountId → MK-NW-O-001 theBonds → MK-NW-F-077 ALL → MK-NW-F-078 ONE
2. MK-NW-F-057 annualCoupon → MK-NW-O-001 theBonds → MK-NW-F-077 ALL → MK-NW-F-078 ONE
3. MK-XS-F-122 n → MK-CF-F-155 cash → MK-NW-F-056 bondInfo → MK-NW-O-001 theBonds → MK-NW-F-077 ALL → MK-NW-F-078 ONE
4. MK-NW-F-119 estimatedAccrued → MK-NW-F-060 approxYTM → MK-NW-F-064 bondRateSensitivity → MK-NW-O-001 theBonds → MK-NW-F-077 ALL → MK-NW-F-078 ONE
5. MK-NW-F-069 priceAtYield → MK-NW-F-060 approxYTM → MK-NW-F-064 bondRateSensitivity → MK-NW-O-001 theBonds → MK-NW-F-077 ALL → MK-NW-F-078 ONE
6. MK-NW-F-058 yearsToMaturity → MK-NW-F-060 approxYTM → MK-NW-F-064 bondRateSensitivity → MK-NW-O-001 theBonds → MK-NW-F-077 ALL → MK-NW-F-078 ONE
7. MK-NW-F-057 annualCoupon → MK-NW-F-069 priceAtYield → MK-NW-F-064 bondRateSensitivity → MK-NW-O-001 theBonds → MK-NW-F-077 ALL → MK-NW-F-078 ONE
8. MK-NW-F-058 yearsToMaturity → MK-NW-F-069 priceAtYield → MK-NW-F-064 bondRateSensitivity → MK-NW-O-001 theBonds → MK-NW-F-077 ALL → MK-NW-F-078 ONE
9. … and 5 more paths</t>
        </is>
      </c>
      <c r="S305" s="3" t="inlineStr">
        <is>
          <t>—</t>
        </is>
      </c>
      <c r="T305" s="3" t="inlineStr">
        <is>
          <t>—</t>
        </is>
      </c>
      <c r="U305" s="3" t="inlineStr">
        <is>
          <t>ACTIVE</t>
        </is>
      </c>
      <c r="V305" s="3" t="inlineStr">
        <is>
          <t>2026-09-28</t>
        </is>
      </c>
      <c r="W305" s="3" t="n"/>
      <c r="X305" s="3" t="n"/>
      <c r="Y305" s="3" t="inlineStr">
        <is>
          <t>NOTHING OPEN</t>
        </is>
      </c>
    </row>
    <row r="306" ht="60" customHeight="1">
      <c r="A306" s="3" t="inlineStr">
        <is>
          <t>MK-NW-F-079</t>
        </is>
      </c>
      <c r="B306" s="3" t="inlineStr">
        <is>
          <t>EF</t>
        </is>
      </c>
      <c r="C306" s="3" t="inlineStr">
        <is>
          <t>MoneyKeel/functions/networth-and-performance/emergency-fund.ts</t>
        </is>
      </c>
      <c r="D306" s="3" t="n">
        <v>280</v>
      </c>
      <c r="E306" s="3" t="inlineStr">
        <is>
          <t>1 · ACTION</t>
        </is>
      </c>
      <c r="F306" s="3" t="inlineStr">
        <is>
          <t>Example only: runs theEmergencyFund on the worked example and calculates nothing of its own.</t>
        </is>
      </c>
      <c r="G306" s="11" t="inlineStr">
        <is>
          <t>the emergency fund(EXAMPLE)</t>
        </is>
      </c>
      <c r="H306" s="3" t="inlineStr">
        <is>
          <t>the emergency fund(EXAMPLE)</t>
        </is>
      </c>
      <c r="I306" s="3" t="inlineStr">
        <is>
          <t>READ FROM THE CODE — rendered from the expressions the function runs</t>
        </is>
      </c>
      <c r="J306" s="3" t="inlineStr">
        <is>
          <t>Nothing is handed to it</t>
        </is>
      </c>
      <c r="K306" s="3" t="inlineStr">
        <is>
          <t>NOT DECLARED — the code does not say what it gives back</t>
        </is>
      </c>
      <c r="L306" s="3" t="inlineStr">
        <is>
          <t>—</t>
        </is>
      </c>
      <c r="M306" s="3" t="inlineStr">
        <is>
          <t>1. Rounds the answer to 1 decimal place.
2. Shows 1 decimal place.</t>
        </is>
      </c>
      <c r="N306" s="3" t="inlineStr">
        <is>
          <t>No</t>
        </is>
      </c>
      <c r="O306" s="3" t="inlineStr">
        <is>
          <t>1. MK-CF-F-155 cash
2. MK-XS-F-180 declareFigures
3. MK-CF-F-190 essentialsMonthly
4. MK-ST-F-049 formatMoney
5. MK-NW-O-004 theEmergencyFund</t>
        </is>
      </c>
      <c r="P306" s="3" t="n">
        <v>138</v>
      </c>
      <c r="Q306" s="3" t="inlineStr">
        <is>
          <t>1. MK-CF-F-155 cash
2. MK-XS-F-180 declareFigures
3. MK-CF-F-190 essentialsMonthly
4. MK-ST-F-049 formatMoney
5. MK-NW-O-004 theEmergencyFund
6. MK-XS-F-122 n
7. MK-CF-F-189 essentialsFromLoggedSpending
8. MK-CF-O-002 expenses
9. MK-ST-F-048 currencySymbol
10. MK-ST-F-039 on
11. MK-NW-F-016 cashTotal
12. MK-CF-F-010 emergencyTest
13. MK-ST-F-056 has
14. MK-CF-O-004 incomeSummary
15. MK-CF-F-132 map
16. MK-CF-F-009 monthlyEssentials
17. MK-CF-F-022 paymentShape
18. MK-CF-F-002 plannedMonthlySpend
19. MK-CF-O-020 theBudgetCounted
20. MK-ST-F-052 toNum
21. MK-CF-F-191 ym
22. MK-CF-F-151 actualSpending
23. MK-CF-F-150 debtPaymentsCountedAsExpenses
24. MK-CF-F-153 radar
25. MK-CF-F-149 recurringDebtPayments
26. MK-ST-F-047 activeCurrency
27. MK-NW-F-027 accountClassBreakdown
28. MK-NW-F-029 assetAllocation
29. MK-NW-F-011 assetClassOf
30. MK-CF-F-203 MONTH
31. MK-CF-O-001 basePay
32. MK-CF-F-069 benefitActiveMonths
33. MK-CF-F-072 currentRetirementIncomeMonthly
34. MK-CF-F-173 earnerWages
35. MK-CF-F-179 entryFromWage
36. MK-CF-F-071 extraIncome
37. MK-CF-F-085 filingStatusOf
38. MK-CF-F-092 incomeMonthlyGrid
39. MK-CF-F-192 inflowLabel
40. MK-CF-F-103 marginalBracketFor
41. MK-CF-F-089 over65CountOf
42. MK-CF-F-181 rateInForce
43. MK-CF-F-068 rentalNetAnnual
44. MK-CF-F-082 salaryAnnual
45. MK-CF-F-060 salaryGrossByMonth
46. MK-CF-F-084 taxableAnnual
47. MK-CF-F-120 pctBaseMonthly
48. MK-CF-F-004 spendBuckets
49. MK-CF-F-021 defaultPaymentType
50. MK-XS-F-027 takeHomeMonthly
51. MK-NW-F-106 mortgagesByProperty
52. MK-NW-F-107 propertyUses
53. MK-CF-F-148 inMonth
54. MK-CF-F-152 isRadarItem
55. MK-CF-F-023 requiredPayment
56. MK-NW-F-109 holdingClassOf
57. MK-NW-F-008 incomeBearingClassOf
58. MK-CF-O-010 theMonth
59. MK-ST-F-035 covers
60. MK-CF-F-171 earnerPay
61. MK-CF-F-204 line
62. MK-ST-F-053 money
63. MK-HM-F-006 money0
64. MK-CF-F-198 payrollTaxWithheld
65. MK-CF-F-075 retirementIncomeMonthly
66. MK-CF-F-172 hasWage
67. MK-CF-F-165 salaryMonths
68. MK-CF-F-070 benefitAnnual
69. MK-CF-F-065 equityVestWeights
70. MK-CF-F-206 householdK401ByMonth
71. MK-CF-F-087 monthlyTaxRates
72. MK-CF-F-073 otherIncomeMonth
73. MK-CF-F-066 rsuAnnual
74. MK-CF-F-077 scholarshipByCalendarMonth
75. MK-CF-F-088 taxableByCalendarMonth
76. MK-CF-F-177 wageGrossByMonth
77. MK-PL-F-012 waterfall
78. MK-CF-F-193 inflowSourceWord
79. MK-CF-F-100 taxableIncomeFor
80. MK-CF-F-180 enteredLandsAnnual
81. MK-CF-F-086 stateRateOf
82. MK-CF-F-101 taxOwedFor
83. MK-CF-F-067 rentalList
84. MK-CF-F-176 sumMonthsOverEarners
85. MK-CF-F-074 tipsAnnual
86. MK-CF-F-003 categoryMonthly
87. MK-CF-F-011 savingsByMonth
88. MK-NW-F-117 propertyUseMap
89. MK-ST-F-010 nameEvidence
90. MK-CF-O-003 thisMonth
91. MK-ST-F-034 firstDate
92. MK-CF-F-143 annualisedGross
93. MK-CF-F-145 deductionsFromPay
94. MK-CF-F-128 grossByMonth
95. MK-CF-F-146 payFiguresAgree
96. MK-CF-F-144 takeHomeAsEntered
97. MK-HM-F-005 pctTxt
98. MK-CF-F-062 equityRowValue
99. MK-CF-F-090 effectiveRate
100. MK-CF-F-063 rowVestYear
101. MK-CF-F-130 enteredMonthlyRaw
102. MK-CF-F-166 hasMonthlySalaryTable
103. MK-ST-F-036 reconcile
104. MK-CF-F-167 salaryCalendarYear
105. MK-CF-F-099 deductionFor
106. MK-CF-F-081 salaryActiveMonths
107. MK-CF-F-008 spendByMonth
108. MK-NW-F-115 liveRent
109. MK-NW-F-116 rentedIdsOf
110. MK-XS-F-147 call
111. MK-CF-F-005 actualMonthFlow
112. MK-CF-F-156 plannedMonthFlow
113. MK-CF-F-142 monthsOf
114. MK-CF-F-141 perMonth
115. MK-CF-F-187 seniorDeductionFor
116. MK-NW-F-114 rentAmount
117. MK-ST-F-027 accountId
118. MK-XS-F-064 currentIdToken
119. MK-XS-F-112 relayUrl
120. MK-NW-F-078 ONE
121. MK-CF-F-157 debtPaymentsByDebt
122. MK-CF-F-140 periodsAYear
123. MK-NW-F-077 ALL
124. MK-NW-F-059 currentYield
125. MK-NW-O-001 theBonds
126. MK-NW-F-112 yearlyInterest
127. MK-NW-F-057 annualCoupon
128. MK-NW-F-056 bondInfo
129. MK-NW-F-064 bondRateSensitivity
130. MK-NW-F-061 bondSummary
131. MK-NW-F-055 isBond
132. MK-ST-F-065 isoLocalDate
133. MK-NW-F-072 rowOf
134. MK-NW-F-060 approxYTM
135. MK-NW-F-069 priceAtYield
136. MK-NW-F-070 accruedInterestCaveat
137. MK-NW-F-058 yearsToMaturity
138. MK-NW-F-119 estimatedAccrued</t>
        </is>
      </c>
      <c r="R306"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306" s="3" t="inlineStr">
        <is>
          <t>—</t>
        </is>
      </c>
      <c r="T306" s="3" t="inlineStr">
        <is>
          <t>—</t>
        </is>
      </c>
      <c r="U306" s="3" t="inlineStr">
        <is>
          <t>ACTIVE</t>
        </is>
      </c>
      <c r="V306" s="3" t="inlineStr">
        <is>
          <t>2026-09-28</t>
        </is>
      </c>
      <c r="W306" s="3" t="n"/>
      <c r="X306" s="3" t="n"/>
      <c r="Y306" s="3" t="inlineStr">
        <is>
          <t>NOTHING OPEN</t>
        </is>
      </c>
    </row>
    <row r="307" ht="60" customHeight="1">
      <c r="A307" s="3" t="inlineStr">
        <is>
          <t>MK-NW-F-080</t>
        </is>
      </c>
      <c r="B307" s="3" t="inlineStr">
        <is>
          <t>HOLD</t>
        </is>
      </c>
      <c r="C307" s="3" t="inlineStr">
        <is>
          <t>MoneyKeel/functions/networth-and-performance/holding.ts</t>
        </is>
      </c>
      <c r="D307" s="3" t="n">
        <v>217</v>
      </c>
      <c r="E307" s="3" t="inlineStr">
        <is>
          <t>1 · ACTION</t>
        </is>
      </c>
      <c r="F307" s="3" t="inlineStr">
        <is>
          <t>Example only: runs theHolding on the worked example and calculates nothing of its own.</t>
        </is>
      </c>
      <c r="G307" s="11" t="inlineStr">
        <is>
          <t>NOT READ YET — the body is not a shape this can render faithfully, so nothing is claimed rather than something being guessed. It needs reading by hand.</t>
        </is>
      </c>
      <c r="H307" s="3" t="inlineStr">
        <is>
          <t>NOT READ YET — the body is not a shape this can render faithfully, so nothing is claimed rather than something being guessed. It needs reading by hand.</t>
        </is>
      </c>
      <c r="I307" s="3" t="inlineStr">
        <is>
          <t>NOT READ — nothing is claimed rather than something guessed</t>
        </is>
      </c>
      <c r="J307" s="3" t="inlineStr">
        <is>
          <t>Nothing is handed to it</t>
        </is>
      </c>
      <c r="K307" s="3" t="inlineStr">
        <is>
          <t>EXAMPLE_POSITION, accountId: 'a2', price: 290,</t>
        </is>
      </c>
      <c r="L307" s="3" t="inlineStr">
        <is>
          <t>—</t>
        </is>
      </c>
      <c r="M307" s="3" t="inlineStr">
        <is>
          <t>None found in this function — anything it assumes comes from the functions it depends on.</t>
        </is>
      </c>
      <c r="N307" s="3" t="inlineStr">
        <is>
          <t>No</t>
        </is>
      </c>
      <c r="O307" s="3" t="inlineStr">
        <is>
          <t>1. MK-XS-F-180 declareFigures
2. MK-NW-O-006 theHolding</t>
        </is>
      </c>
      <c r="P307" s="3" t="n">
        <v>10</v>
      </c>
      <c r="Q307" s="3" t="inlineStr">
        <is>
          <t>1. MK-XS-F-180 declareFigures
2. MK-NW-O-006 theHolding
3. MK-PF-F-006 capGains
4. MK-PF-F-031 contractMultiplier
5. MK-PF-F-002 costBasis
6. MK-CF-F-132 map
7. MK-PF-F-004 marketValue
8. MK-PF-F-028 realizedFromLedger
9. MK-PF-F-001 totalShares
10. MK-XS-F-122 n</t>
        </is>
      </c>
      <c r="R307" s="3" t="inlineStr">
        <is>
          <t>1. MK-XS-F-180 declareFigures → MK-NW-F-080 HOLD
2. MK-PF-F-031 contractMultiplier → MK-PF-F-006 capGains → MK-NW-O-006 theHolding → MK-NW-F-080 HOLD
3. MK-XS-F-122 n → MK-PF-F-006 capGains → MK-NW-O-006 theHolding → MK-NW-F-080 HOLD
4. MK-PF-F-031 contractMultiplier → MK-NW-O-006 theHolding → MK-NW-F-080 HOLD
5. MK-PF-F-031 contractMultiplier → MK-PF-F-002 costBasis → MK-NW-O-006 theHolding → MK-NW-F-080 HOLD
6. MK-CF-F-132 map → MK-NW-O-006 theHolding → MK-NW-F-080 HOLD
7. MK-PF-F-031 contractMultiplier → MK-PF-F-004 marketValue → MK-NW-O-006 theHolding → MK-NW-F-080 HOLD
8. MK-PF-F-001 totalShares → MK-PF-F-004 marketValue → MK-NW-O-006 theHolding → MK-NW-F-080 HOLD
9. … and 2 more paths</t>
        </is>
      </c>
      <c r="S307" s="3" t="inlineStr">
        <is>
          <t>—</t>
        </is>
      </c>
      <c r="T307" s="3" t="inlineStr">
        <is>
          <t>—</t>
        </is>
      </c>
      <c r="U307" s="3" t="inlineStr">
        <is>
          <t>ACTIVE</t>
        </is>
      </c>
      <c r="V307" s="3" t="inlineStr">
        <is>
          <t>2026-09-28</t>
        </is>
      </c>
      <c r="W307" s="3" t="n"/>
      <c r="X307" s="3" t="n"/>
      <c r="Y307" s="3" t="inlineStr">
        <is>
          <t>NOTHING OPEN</t>
        </is>
      </c>
    </row>
    <row r="308" ht="60" customHeight="1">
      <c r="A308" s="3" t="inlineStr">
        <is>
          <t>MK-NW-F-081</t>
        </is>
      </c>
      <c r="B308" s="3" t="inlineStr">
        <is>
          <t>LB</t>
        </is>
      </c>
      <c r="C308" s="3" t="inlineStr">
        <is>
          <t>MoneyKeel/functions/networth-and-performance/look-back.ts</t>
        </is>
      </c>
      <c r="D308" s="3" t="n">
        <v>96</v>
      </c>
      <c r="E308" s="3" t="inlineStr">
        <is>
          <t>1 · ACTION</t>
        </is>
      </c>
      <c r="F308" s="3" t="inlineStr">
        <is>
          <t>Example only: runs theLookBack on the worked example and calculates nothing of its own.</t>
        </is>
      </c>
      <c r="G308" s="11" t="inlineStr">
        <is>
          <t>the look back(EXAMPLE)!</t>
        </is>
      </c>
      <c r="H308" s="3" t="inlineStr">
        <is>
          <t>the look back(EXAMPLE)!</t>
        </is>
      </c>
      <c r="I308" s="3" t="inlineStr">
        <is>
          <t>READ FROM THE CODE — rendered from the expressions the function runs</t>
        </is>
      </c>
      <c r="J308" s="3" t="inlineStr">
        <is>
          <t>Nothing is handed to it</t>
        </is>
      </c>
      <c r="K308" s="3" t="inlineStr">
        <is>
          <t>NOT DECLARED — the code does not say what it gives back</t>
        </is>
      </c>
      <c r="L308" s="3" t="inlineStr">
        <is>
          <t>—</t>
        </is>
      </c>
      <c r="M308" s="3" t="inlineStr">
        <is>
          <t>None found in this function — anything it assumes comes from the functions it depends on.</t>
        </is>
      </c>
      <c r="N308" s="3" t="inlineStr">
        <is>
          <t>No</t>
        </is>
      </c>
      <c r="O308" s="3" t="inlineStr">
        <is>
          <t>1. MK-XS-F-180 declareFigures
2. MK-ST-F-053 money
3. MK-NW-O-007 theLookBack</t>
        </is>
      </c>
      <c r="P308" s="3" t="n">
        <v>11</v>
      </c>
      <c r="Q308" s="3" t="inlineStr">
        <is>
          <t>1. MK-XS-F-180 declareFigures
2. MK-ST-F-053 money
3. MK-NW-O-007 theLookBack
4. MK-ST-F-049 formatMoney
5. MK-XS-F-122 n
6. MK-PF-F-023 lookBack
7. MK-ST-F-048 currencySymbol
8. MK-ST-F-039 on
9. MK-PF-F-022 factorOverMonths
10. MK-ST-F-047 activeCurrency
11. MK-ST-F-065 isoLocalDate</t>
        </is>
      </c>
      <c r="R308" s="3" t="inlineStr">
        <is>
          <t>1. MK-XS-F-180 declareFigures → MK-NW-F-081 LB
2. MK-ST-F-047 activeCurrency → MK-ST-F-048 currencySymbol → MK-ST-F-049 formatMoney → MK-ST-F-053 money → MK-NW-F-081 LB
3. MK-XS-F-122 n → MK-ST-F-049 formatMoney → MK-ST-F-053 money → MK-NW-F-081 LB
4. MK-ST-F-039 on → MK-ST-F-049 formatMoney → MK-ST-F-053 money → MK-NW-F-081 LB
5. MK-XS-F-122 n → MK-ST-F-053 money → MK-NW-F-081 LB
6. MK-ST-F-065 isoLocalDate → MK-PF-F-022 factorOverMonths → MK-PF-F-023 lookBack → MK-NW-O-007 theLookBack → MK-NW-F-081 LB</t>
        </is>
      </c>
      <c r="S308" s="3" t="inlineStr">
        <is>
          <t>—</t>
        </is>
      </c>
      <c r="T308" s="3" t="inlineStr">
        <is>
          <t>—</t>
        </is>
      </c>
      <c r="U308" s="3" t="inlineStr">
        <is>
          <t>ACTIVE</t>
        </is>
      </c>
      <c r="V308" s="3" t="inlineStr">
        <is>
          <t>2026-09-28</t>
        </is>
      </c>
      <c r="W308" s="3" t="n"/>
      <c r="X308" s="3" t="n"/>
      <c r="Y308" s="3" t="inlineStr">
        <is>
          <t>NOTHING OPEN</t>
        </is>
      </c>
    </row>
    <row r="309" ht="60" customHeight="1">
      <c r="A309" s="3" t="inlineStr">
        <is>
          <t>MK-NW-F-082</t>
        </is>
      </c>
      <c r="B309" s="3" t="inlineStr">
        <is>
          <t>NW</t>
        </is>
      </c>
      <c r="C309" s="3" t="inlineStr">
        <is>
          <t>MoneyKeel/functions/networth-and-performance/net-worth.ts</t>
        </is>
      </c>
      <c r="D309" s="3" t="n">
        <v>552</v>
      </c>
      <c r="E309" s="3" t="inlineStr">
        <is>
          <t>1 · ACTION</t>
        </is>
      </c>
      <c r="F309" s="3" t="inlineStr">
        <is>
          <t>Example only: runs theNetWorth on the worked example and calculates nothing of its own.</t>
        </is>
      </c>
      <c r="G309" s="11" t="inlineStr">
        <is>
          <t>the net worth(EXAMPLE)</t>
        </is>
      </c>
      <c r="H309" s="3" t="inlineStr">
        <is>
          <t>the net worth(EXAMPLE)</t>
        </is>
      </c>
      <c r="I309" s="3" t="inlineStr">
        <is>
          <t>READ FROM THE CODE — rendered from the expressions the function runs</t>
        </is>
      </c>
      <c r="J309" s="3" t="inlineStr">
        <is>
          <t>Nothing is handed to it</t>
        </is>
      </c>
      <c r="K309" s="3" t="inlineStr">
        <is>
          <t>NOT DECLARED — the code does not say what it gives back</t>
        </is>
      </c>
      <c r="L309" s="3" t="inlineStr">
        <is>
          <t>—</t>
        </is>
      </c>
      <c r="M309" s="3" t="inlineStr">
        <is>
          <t>None found in this function — anything it assumes comes from the functions it depends on.</t>
        </is>
      </c>
      <c r="N309" s="3" t="inlineStr">
        <is>
          <t>Yes</t>
        </is>
      </c>
      <c r="O309" s="3" t="inlineStr">
        <is>
          <t>1. MK-NW-F-097 LEDGER
2. MK-NW-O-003 theNetWorth</t>
        </is>
      </c>
      <c r="P309" s="3" t="n">
        <v>208</v>
      </c>
      <c r="Q309" s="3" t="inlineStr">
        <is>
          <t>1. MK-NW-F-097 LEDGER
2. MK-NW-O-003 theNetWorth
3. MK-NW-F-096 CLASS_KEY_OF
4. MK-NW-F-095 CLASS_LABEL_OF
5. MK-NW-F-094 ledgerGroups
6. MK-NW-F-078 ONE
7. MK-NW-F-029 assetAllocation
8. MK-NW-F-011 assetClassOf
9. MK-NW-F-039 buildAssetsState
10. MK-ST-F-028 buildDayFromAccounts
11. MK-CF-F-036 buildDebtState
12. MK-NW-F-065 buildNetWorth
13. MK-NW-F-016 cashTotal
14. MK-NW-F-022 investableAssets
15. MK-NW-F-021 investmentsTotal
16. MK-NW-F-014 isRealAsset
17. MK-ST-F-065 isoLocalDate
18. MK-CF-F-132 map
19. MK-NW-F-106 mortgagesByProperty
20. MK-ST-F-082 movementsOf
21. MK-ST-F-039 on
22. MK-ST-F-030 record
23. MK-CF-F-023 requiredPayment
24. MK-ST-F-081 timeWeightedReturn
25. MK-XS-F-005 trendPoints
26. MK-XS-F-175 uid
27. MK-NW-F-027 accountClassBreakdown
28. MK-NW-F-077 ALL
29. MK-NW-F-059 currentYield
30. MK-XS-F-180 declareFigures
31. MK-ST-F-049 formatMoney
32. MK-ST-F-053 money
33. MK-NW-O-001 theBonds
34. MK-NW-F-008 incomeBearingClassOf
35. MK-CF-F-026 actualDebtPayment
36. MK-CF-F-204 line
37. MK-CF-F-025 minimumDebtService
38. MK-NW-F-066 sumWhere
39. MK-NW-F-015 totalAssets
40. MK-NW-F-023 wrapperWord
41. MK-CF-F-155 cash
42. MK-ST-F-056 has
43. MK-CF-F-022 paymentShape
44. MK-ST-F-027 accountId
45. MK-ST-F-083 accountValuesOn
46. MK-ST-F-080 isDay
47. MK-XS-F-009 readHistory
48. MK-CF-F-111 applyTransaction
49. MK-NW-F-040 assetsFromOnboarding
50. MK-PF-F-013 benchmarkTicker
51. MK-PF-F-034 closeOnOrBefore
52. MK-CF-F-186 convertTakeHomeMode
53. MK-ST-F-079 dailyWindowStart
54. MK-CF-F-038 debtsFromOnboarding
55. MK-XS-F-083 fetchPriceSeries
56. MK-ST-F-084 fillBetweenObservations
57. MK-PL-F-013 goalsFromOnboarding
58. MK-CF-F-116 inverseOf
59. MK-CF-F-112 makeTransaction
60. MK-XS-F-122 n
61. MK-ST-F-043 newEntityId
62. MK-XS-F-006 pruneDaily
63. MK-ST-F-073 rebuildDays
64. MK-NW-F-054 reclassifyAccounts
65. MK-XS-F-174 recomputeBalances
66. MK-CF-F-115 restoreUndo
67. MK-CF-F-109 reviewTransactions
68. MK-ST-F-044 setMoneyFormat
69. MK-CF-F-114 undoSnapshot
70. MK-CF-F-191 ym
71. MK-NW-F-109 holdingClassOf
72. MK-NW-F-112 yearlyInterest
73. MK-ST-F-048 currencySymbol
74. MK-NW-F-057 annualCoupon
75. MK-NW-F-056 bondInfo
76. MK-NW-F-064 bondRateSensitivity
77. MK-NW-F-061 bondSummary
78. MK-NW-F-055 isBond
79. MK-NW-F-072 rowOf
80. MK-ST-F-010 nameEvidence
81. MK-CF-F-024 totalDebtMonthly
82. MK-CF-F-203 MONTH
83. MK-CF-F-021 defaultPaymentType
84. MK-XS-F-008 normalizeSnapshot
85. MK-CF-F-138 addLot
86. MK-CF-F-136 bumpCash
87. MK-CF-F-137 findPos
88. MK-CF-F-139 removeShares
89. MK-PF-F-001 totalShares
90. MK-ST-F-052 toNum
91. MK-CF-F-085 filingStatusOf
92. MK-CF-F-097 grossFromNet
93. MK-CF-F-185 needsTakeHomeConversion
94. MK-CF-F-089 over65CountOf
95. MK-CF-F-037 inferDebtType
96. MK-ST-F-069 amountOf
97. MK-CF-F-133 cashOf
98. MK-ST-F-066 isDayKey
99. MK-ST-F-070 isOpening
100. MK-ST-F-071 rebuildableFrom
101. MK-ST-F-068 stepDay
102. MK-ST-F-072 undo
103. MK-NW-F-053 correctClassOf
104. MK-PF-F-002 costBasis
105. MK-PF-F-009 latestClose
106. MK-PF-F-004 marketValue
107. MK-XS-F-024 resolveLens
108. MK-ST-F-055 round2
109. MK-CF-F-162 daysApart
110. MK-CF-F-108 isMoneyOut
111. MK-PL-F-074 median
112. MK-CF-F-131 normPayee
113. MK-CF-F-113 affectedAccountIds
114. MK-ST-F-047 activeCurrency
115. MK-NW-F-060 approxYTM
116. MK-NW-F-069 priceAtYield
117. MK-NW-F-070 accruedInterestCaveat
118. MK-NW-F-058 yearsToMaturity
119. MK-XS-F-147 call
120. MK-CF-F-201 INCOME
121. MK-CF-O-010 theMonth
122. MK-XS-F-121 isYm
123. MK-CF-F-134 usesSleeve
124. MK-CF-F-101 taxOwedFor
125. MK-ST-F-067 utcOfDay
126. MK-ST-F-035 covers
127. MK-NW-F-009 maturityClass
128. MK-PF-F-031 contractMultiplier
129. MK-CF-F-072 currentRetirementIncomeMonthly
130. MK-NW-F-119 estimatedAccrued
131. MK-XS-F-064 currentIdToken
132. MK-XS-F-112 relayUrl
133. MK-CF-F-207 SOURCE
134. MK-CF-O-004 incomeSummary
135. MK-CF-O-002 expenses
136. MK-CF-O-003 thisMonth
137. MK-CF-F-100 taxableIncomeFor
138. MK-ST-F-034 firstDate
139. MK-CF-F-075 retirementIncomeMonthly
140. MK-CF-O-016 incomeSources
141. MK-CF-O-001 basePay
142. MK-CF-F-069 benefitActiveMonths
143. MK-CF-F-173 earnerWages
144. MK-CF-F-179 entryFromWage
145. MK-CF-F-071 extraIncome
146. MK-CF-F-092 incomeMonthlyGrid
147. MK-CF-F-192 inflowLabel
148. MK-CF-F-103 marginalBracketFor
149. MK-CF-F-181 rateInForce
150. MK-CF-F-068 rentalNetAnnual
151. MK-CF-F-082 salaryAnnual
152. MK-CF-F-060 salaryGrossByMonth
153. MK-CF-F-084 taxableAnnual
154. MK-CF-F-151 actualSpending
155. MK-CF-F-150 debtPaymentsCountedAsExpenses
156. MK-CF-F-153 radar
157. MK-CF-F-149 recurringDebtPayments
158. MK-CF-F-005 actualMonthFlow
159. MK-CF-F-156 plannedMonthFlow
160. MK-CF-F-099 deductionFor
161. MK-CF-F-066 rsuAnnual
162. MK-CF-F-171 earnerPay
163. MK-HM-F-006 money0
164. MK-CF-F-198 payrollTaxWithheld
165. MK-CF-F-172 hasWage
166. MK-CF-F-165 salaryMonths
167. MK-CF-F-070 benefitAnnual
168. MK-CF-F-065 equityVestWeights
169. MK-CF-F-206 householdK401ByMonth
170. MK-CF-F-087 monthlyTaxRates
171. MK-CF-F-073 otherIncomeMonth
172. MK-CF-F-077 scholarshipByCalendarMonth
173. MK-CF-F-088 taxableByCalendarMonth
174. MK-CF-F-177 wageGrossByMonth
175. MK-PL-F-012 waterfall
176. MK-CF-F-193 inflowSourceWord
177. MK-CF-F-180 enteredLandsAnnual
178. MK-CF-F-086 stateRateOf
179. MK-CF-F-067 rentalList
180. MK-CF-F-176 sumMonthsOverEarners
181. MK-CF-F-074 tipsAnnual
182. MK-CF-F-148 inMonth
183. MK-CF-F-152 isRadarItem
184. MK-CF-F-157 debtPaymentsByDebt
185. MK-XS-F-027 takeHomeMonthly
186. MK-CF-F-187 seniorDeductionFor
187. MK-CF-F-062 equityRowValue
188. MK-CF-F-063 rowVestYear
189. MK-CF-F-143 annualisedGross
190. MK-CF-F-145 deductionsFromPay
191. MK-CF-F-128 grossByMonth
192. MK-CF-F-146 payFiguresAgree
193. MK-CF-F-144 takeHomeAsEntered
194. MK-HM-F-005 pctTxt
195. MK-CF-F-090 effectiveRate
196. MK-CF-F-130 enteredMonthlyRaw
197. MK-CF-F-166 hasMonthlySalaryTable
198. MK-ST-F-036 reconcile
199. MK-CF-F-167 salaryCalendarYear
200. MK-CF-F-081 salaryActiveMonths
201. MK-CF-F-011 savingsByMonth
202. MK-CF-F-142 monthsOf
203. MK-CF-F-141 perMonth
204. MK-CF-F-008 spendByMonth
205. MK-CF-F-140 periodsAYear
206. MK-CF-F-120 pctBaseMonthly
207. MK-CF-F-004 spendBuckets
208. MK-CF-F-003 categoryMonthly</t>
        </is>
      </c>
      <c r="R309" s="3" t="inlineStr">
        <is>
          <t>1. MK-NW-F-096 CLASS_KEY_OF → MK-NW-F-097 LEDGER → MK-NW-F-082 NW
2. MK-NW-F-095 CLASS_LABEL_OF → MK-NW-F-097 LEDGER → MK-NW-F-082 NW
3. MK-NW-F-008 incomeBearingClassOf → MK-NW-F-011 assetClassOf → MK-NW-F-027 accountClassBreakdown → MK-NW-F-094 ledgerGroups → MK-NW-F-097 LEDGER → MK-NW-F-082 NW
4. MK-XS-F-122 n → MK-CF-F-155 cash → MK-NW-F-027 accountClassBreakdown → MK-NW-F-094 ledgerGroups → MK-NW-F-097 LEDGER → MK-NW-F-082 NW
5. MK-ST-F-056 has → MK-NW-F-027 accountClassBreakdown → MK-NW-F-094 ledgerGroups → MK-NW-F-097 LEDGER → MK-NW-F-082 NW
6. MK-CF-F-155 cash → MK-NW-F-109 holdingClassOf → MK-NW-F-027 accountClassBreakdown → MK-NW-F-094 ledgerGroups → MK-NW-F-097 LEDGER → MK-NW-F-082 NW
7. MK-NW-F-008 incomeBearingClassOf → MK-NW-F-109 holdingClassOf → MK-NW-F-027 accountClassBreakdown → MK-NW-F-094 ledgerGroups → MK-NW-F-097 LEDGER → MK-NW-F-082 NW
8. MK-CF-F-132 map → MK-NW-F-027 accountClassBreakdown → MK-NW-F-094 ledgerGroups → MK-NW-F-097 LEDGER → MK-NW-F-082 NW
9. … and 4 more paths</t>
        </is>
      </c>
      <c r="S309" s="3" t="inlineStr">
        <is>
          <t>—</t>
        </is>
      </c>
      <c r="T309" s="3" t="inlineStr">
        <is>
          <t>—</t>
        </is>
      </c>
      <c r="U309" s="3" t="inlineStr">
        <is>
          <t>ACTIVE</t>
        </is>
      </c>
      <c r="V309" s="3" t="inlineStr">
        <is>
          <t>2026-09-28</t>
        </is>
      </c>
      <c r="W309" s="3" t="n"/>
      <c r="X309" s="3" t="n"/>
      <c r="Y309" s="3" t="inlineStr">
        <is>
          <t>NOTHING OPEN</t>
        </is>
      </c>
    </row>
    <row r="310" ht="60" customHeight="1">
      <c r="A310" s="3" t="inlineStr">
        <is>
          <t>MK-NW-F-083</t>
        </is>
      </c>
      <c r="B310" s="3" t="inlineStr">
        <is>
          <t>PERF</t>
        </is>
      </c>
      <c r="C310" s="3" t="inlineStr">
        <is>
          <t>MoneyKeel/functions/networth-and-performance/performance.ts</t>
        </is>
      </c>
      <c r="D310" s="3" t="n">
        <v>770</v>
      </c>
      <c r="E310" s="3" t="inlineStr">
        <is>
          <t>1 · ACTION</t>
        </is>
      </c>
      <c r="F310" s="3" t="inlineStr">
        <is>
          <t>Example only: runs thePerformance on the worked example and calculates nothing of its own.</t>
        </is>
      </c>
      <c r="G310" s="11" t="inlineStr">
        <is>
          <t>the performance(EXAMPLE)</t>
        </is>
      </c>
      <c r="H310" s="3" t="inlineStr">
        <is>
          <t>the performance(EXAMPLE)</t>
        </is>
      </c>
      <c r="I310" s="3" t="inlineStr">
        <is>
          <t>READ FROM THE CODE — rendered from the expressions the function runs</t>
        </is>
      </c>
      <c r="J310" s="3" t="inlineStr">
        <is>
          <t>Nothing is handed to it</t>
        </is>
      </c>
      <c r="K310" s="3" t="inlineStr">
        <is>
          <t>NOT DECLARED — the code does not say what it gives back</t>
        </is>
      </c>
      <c r="L310" s="3" t="inlineStr">
        <is>
          <t>—</t>
        </is>
      </c>
      <c r="M310" s="3" t="inlineStr">
        <is>
          <t>None found in this function — anything it assumes comes from the functions it depends on.</t>
        </is>
      </c>
      <c r="N310" s="3" t="inlineStr">
        <is>
          <t>No</t>
        </is>
      </c>
      <c r="O310" s="3" t="inlineStr">
        <is>
          <t>MK-NW-O-008 thePerformance</t>
        </is>
      </c>
      <c r="P310" s="3" t="n">
        <v>122</v>
      </c>
      <c r="Q310" s="3" t="inlineStr">
        <is>
          <t>1. MK-NW-O-008 thePerformance
2. MK-ST-F-083 accountValuesOn
3. MK-XS-F-011 buildChangeWalk
4. MK-ST-F-028 buildDayFromAccounts
5. MK-CF-F-155 cash
6. MK-NW-F-104 closedWith
7. MK-ST-F-078 dateShown
8. MK-ST-F-056 has
9. MK-CF-F-132 map
10. MK-ST-F-082 movementsOf
11. MK-ST-F-013 personalFlowTotals
12. MK-ST-F-030 record
13. MK-ST-F-081 timeWeightedReturn
14. MK-ST-F-021 toNumber
15. MK-ST-F-031 valueOn
16. MK-ST-F-060 verdict
17. MK-NW-F-105 whyNoReturn
18. MK-ST-F-038 windowBounds
19. MK-ST-F-027 accountId
20. MK-XS-F-122 n
21. MK-ST-F-080 isDay
22. MK-CF-F-204 line
23. MK-ST-F-039 on
24. MK-ST-F-033 onOrBefore
25. MK-ST-F-063 shiftDay
26. MK-ST-F-062 toUtc
27. MK-CF-F-203 MONTH
28. MK-XS-F-180 declareFigures
29. MK-CF-O-010 theMonth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MK-NW-F-112 yearlyInterest
58. MK-ST-F-048 currencySymbol
59. MK-NW-F-057 annualCoupon
60. MK-NW-F-056 bondInfo
61. MK-NW-F-064 bondRateSensitivity
62. MK-NW-F-061 bondSummary
63. MK-NW-F-055 isBond
64. MK-ST-F-065 isoLocalDate
65. MK-NW-F-072 rowOf
66. MK-CF-F-069 benefitActiveMonths
67. MK-CF-F-072 currentRetirementIncomeMonthly
68. MK-CF-F-173 earnerWages
69. MK-CF-F-065 equityVestWeights
70. MK-CF-F-071 extraIncome
71. MK-CF-F-206 householdK401ByMonth
72. MK-CF-F-087 monthlyTaxRates
73. MK-CF-F-073 otherIncomeMonth
74. MK-CF-F-181 rateInForce
75. MK-CF-F-068 rentalNetAnnual
76. MK-CF-F-066 rsuAnnual
77. MK-CF-F-060 salaryGrossByMonth
78. MK-CF-F-077 scholarshipByCalendarMonth
79. MK-CF-F-088 taxableByCalendarMonth
80. MK-CF-F-177 wageGrossByMonth
81. MK-PL-F-012 waterfall
82. MK-CF-F-008 spendByMonth
83. MK-ST-F-047 activeCurrency
84. MK-NW-F-060 approxYTM
85. MK-NW-F-069 priceAtYield
86. MK-NW-F-011 assetClassOf
87. MK-NW-F-070 accruedInterestCaveat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MK-NW-F-119 estimatedAccrued
111. MK-NW-F-008 incomeBearingClassOf
112. MK-CF-F-100 taxableIncomeFor
113. MK-CF-F-074 tipsAnnual
114. MK-CF-F-165 salaryMonths
115. MK-CF-F-003 categoryMonthly
116. MK-ST-F-010 nameEvidence
117. MK-CF-F-099 deductionFor
118. MK-CF-F-081 salaryActiveMonths
119. MK-XS-F-147 call
120. MK-CF-F-187 seniorDeductionFor
121. MK-XS-F-064 currentIdToken
122. MK-XS-F-112 relayUrl</t>
        </is>
      </c>
      <c r="R310" s="3" t="inlineStr">
        <is>
          <t>1. MK-ST-F-027 accountId → MK-ST-F-083 accountValuesOn → MK-NW-O-008 thePerformance → MK-NW-F-083 PERF
2. MK-ST-F-056 has → MK-ST-F-083 accountValuesOn → MK-NW-O-008 thePerformance → MK-NW-F-083 PERF
3. MK-XS-F-011 buildChangeWalk → MK-NW-O-008 thePerformance → MK-NW-F-083 PERF
4. MK-ST-F-028 buildDayFromAccounts → MK-NW-O-008 thePerformance → MK-NW-F-083 PERF
5. MK-XS-F-122 n → MK-CF-F-155 cash → MK-NW-O-008 thePerformance → MK-NW-F-083 PERF
6. MK-ST-F-027 accountId → MK-NW-F-104 closedWith → MK-NW-O-008 thePerformance → MK-NW-F-083 PERF
7. MK-ST-F-056 has → MK-NW-F-104 closedWith → MK-NW-O-008 thePerformance → MK-NW-F-083 PERF
8. MK-CF-F-132 map → MK-NW-F-104 closedWith → MK-NW-O-008 thePerformance → MK-NW-F-083 PERF
9. … and 4 more paths</t>
        </is>
      </c>
      <c r="S310" s="3" t="inlineStr">
        <is>
          <t>—</t>
        </is>
      </c>
      <c r="T310" s="3" t="inlineStr">
        <is>
          <t>—</t>
        </is>
      </c>
      <c r="U310" s="3" t="inlineStr">
        <is>
          <t>ACTIVE</t>
        </is>
      </c>
      <c r="V310" s="3" t="inlineStr">
        <is>
          <t>2026-09-30</t>
        </is>
      </c>
      <c r="W310" s="3" t="n"/>
      <c r="X310" s="3" t="n"/>
      <c r="Y310" s="3" t="inlineStr">
        <is>
          <t>NOTHING OPEN</t>
        </is>
      </c>
    </row>
    <row r="311" ht="60" customHeight="1">
      <c r="A311" s="3" t="inlineStr">
        <is>
          <t>MK-NW-F-084</t>
        </is>
      </c>
      <c r="B311" s="3" t="inlineStr">
        <is>
          <t>categoryEarnings</t>
        </is>
      </c>
      <c r="C311" s="3" t="inlineStr">
        <is>
          <t>MoneyKeel/functions/networth-and-performance/performance.ts</t>
        </is>
      </c>
      <c r="D311" s="3" t="n">
        <v>586</v>
      </c>
      <c r="E311" s="3" t="inlineStr">
        <is>
          <t>2 · DISPLAYED</t>
        </is>
      </c>
      <c r="F311" s="3" t="inlineStr">
        <is>
          <t>What each category of investment paid in dividends and interest over the period, and that category's return.</t>
        </is>
      </c>
      <c r="G311" s="11" t="inlineStr">
        <is>
          <t>rows = input.rows (or none when missing)
cls = string(asset class ?? '')
'bonds'   when cls = 'bond' (or cls = 'bonds' when missing or zero)
'cash'   when cls = 'cash'
'alternatives'   when cls = 'other' (or cls = 'alternatives' when missing or zero)
'bonds'   when !cls and kind = 'fixed_income'
the answer = 'stocks_etf'
r = rows.find((x) =&gt; string(position.ticker ?? '').to upper case() = string(tk ?? '').to upper case())
category of(position)   when r
in class = rows where category of(position) = cls
usable = in class where period return ≠ nothing and (market value ?? 0) &gt; 0
… the first steps only — the rest of the body needs reading by hand.</t>
        </is>
      </c>
      <c r="H311" s="3" t="inlineStr">
        <is>
          <t>Rows is input.rows (or none — when missing). Cls is string(asset class ?? ''). When cls = 'bond' (or cls = 'bonds' — when missing or zero), it answers 'bonds'. When cls = 'cash', it answers 'cash'. When cls = 'other' (or cls = 'alternatives' — when missing or zero), it answers 'alternatives'. When !cls and kind = 'fixed_income', it answers 'bonds'. The answer is 'stocks_etf'. R is rows.find((x) =&gt; string(position.ticker ?? '').to upper case() = string(tk ?? '').to upper case()). When r, it answers category of(position). In class is rows where category of(position) = cls. Usable is in class where period return is not no answer and (market value ?? 0) &gt; 0. Only the first steps are shown; the rest of the body needs reading by hand.</t>
        </is>
      </c>
      <c r="I311" s="3" t="inlineStr">
        <is>
          <t>PARTLY READ — some of the code is still showing through; needs a hand pass</t>
        </is>
      </c>
      <c r="J311" s="3" t="inlineStr">
        <is>
          <t>Nothing is handed to it</t>
        </is>
      </c>
      <c r="K311" s="3" t="inlineStr">
        <is>
          <t>NOT DECLARED — the code does not say what it gives back</t>
        </is>
      </c>
      <c r="L311" s="3" t="inlineStr">
        <is>
          <t>NOT FOUND — a screen calls it, but the words printed beside its answer could not be traced automatically. Needs reading.</t>
        </is>
      </c>
      <c r="M311" s="3" t="inlineStr">
        <is>
          <t>1. If market value is missing it uses 0.
2. If balance is missing it uses 0.
3. If coupon rate is missing it uses 0.</t>
        </is>
      </c>
      <c r="N311" s="3" t="inlineStr">
        <is>
          <t>Yes</t>
        </is>
      </c>
      <c r="O311" s="3" t="inlineStr">
        <is>
          <t>1. MK-CF-F-155 cash
2. MK-CF-F-132 map
3. MK-ST-F-030 record</t>
        </is>
      </c>
      <c r="P311" s="3" t="n">
        <v>4</v>
      </c>
      <c r="Q311" s="3" t="inlineStr">
        <is>
          <t>1. MK-CF-F-155 cash
2. MK-CF-F-132 map
3. MK-ST-F-030 record
4. MK-XS-F-122 n</t>
        </is>
      </c>
      <c r="R311" s="3" t="inlineStr">
        <is>
          <t>1. MK-XS-F-122 n → MK-CF-F-155 cash → MK-NW-F-084 categoryEarnings
2. MK-CF-F-132 map → MK-NW-F-084 categoryEarnings
3. MK-ST-F-030 record → MK-NW-F-084 categoryEarnings</t>
        </is>
      </c>
      <c r="S311" s="3" t="inlineStr">
        <is>
          <t>—</t>
        </is>
      </c>
      <c r="T311" s="3" t="inlineStr">
        <is>
          <t>—</t>
        </is>
      </c>
      <c r="U311" s="3" t="inlineStr">
        <is>
          <t>ACTIVE</t>
        </is>
      </c>
      <c r="V311" s="3" t="inlineStr">
        <is>
          <t>2026-10-03</t>
        </is>
      </c>
      <c r="W311" s="3" t="n"/>
      <c r="X311" s="3" t="n"/>
      <c r="Y311" s="3" t="inlineStr">
        <is>
          <t>NOTHING OPEN</t>
        </is>
      </c>
    </row>
    <row r="312" ht="60" customHeight="1">
      <c r="A312" s="3" t="inlineStr">
        <is>
          <t>MK-NW-F-085</t>
        </is>
      </c>
      <c r="B312" s="3" t="inlineStr">
        <is>
          <t>PERF_ONE</t>
        </is>
      </c>
      <c r="C312" s="3" t="inlineStr">
        <is>
          <t>MoneyKeel/functions/networth-and-performance/performance.ts</t>
        </is>
      </c>
      <c r="D312" s="3" t="n">
        <v>798</v>
      </c>
      <c r="E312" s="3" t="inlineStr">
        <is>
          <t>1 · ACTION</t>
        </is>
      </c>
      <c r="F312" s="3" t="inlineStr">
        <is>
          <t>Example only: runs thePerformance for chosen accounts of the worked example and calculates nothing of its own.</t>
        </is>
      </c>
      <c r="G312" s="11" t="inlineStr">
        <is>
          <t>NOT READ YET — the body is not a shape this can render faithfully, so nothing is claimed rather than something being guessed. It needs reading by hand.</t>
        </is>
      </c>
      <c r="H312" s="3" t="inlineStr">
        <is>
          <t>NOT READ YET — the body is not a shape this can render faithfully, so nothing is claimed rather than something being guessed. It needs reading by hand.</t>
        </is>
      </c>
      <c r="I312" s="3" t="inlineStr">
        <is>
          <t>NOT READ — nothing is claimed rather than something guessed</t>
        </is>
      </c>
      <c r="J312" s="3" t="inlineStr">
        <is>
          <t>ids: string[]</t>
        </is>
      </c>
      <c r="K312" s="3" t="inlineStr">
        <is>
          <t>new Set(ids) });</t>
        </is>
      </c>
      <c r="L312" s="3" t="inlineStr">
        <is>
          <t>—</t>
        </is>
      </c>
      <c r="M312" s="3" t="inlineStr">
        <is>
          <t>None found in this function — anything it assumes comes from the functions it depends on.</t>
        </is>
      </c>
      <c r="N312" s="3" t="inlineStr">
        <is>
          <t>No</t>
        </is>
      </c>
      <c r="O312" s="3" t="inlineStr">
        <is>
          <t>MK-NW-O-008 thePerformance</t>
        </is>
      </c>
      <c r="P312" s="3" t="n">
        <v>122</v>
      </c>
      <c r="Q312" s="3" t="inlineStr">
        <is>
          <t>1. MK-NW-O-008 thePerformance
2. MK-ST-F-083 accountValuesOn
3. MK-XS-F-011 buildChangeWalk
4. MK-ST-F-028 buildDayFromAccounts
5. MK-CF-F-155 cash
6. MK-NW-F-104 closedWith
7. MK-ST-F-078 dateShown
8. MK-ST-F-056 has
9. MK-CF-F-132 map
10. MK-ST-F-082 movementsOf
11. MK-ST-F-013 personalFlowTotals
12. MK-ST-F-030 record
13. MK-ST-F-081 timeWeightedReturn
14. MK-ST-F-021 toNumber
15. MK-ST-F-031 valueOn
16. MK-ST-F-060 verdict
17. MK-NW-F-105 whyNoReturn
18. MK-ST-F-038 windowBounds
19. MK-ST-F-027 accountId
20. MK-XS-F-122 n
21. MK-ST-F-080 isDay
22. MK-CF-F-204 line
23. MK-ST-F-039 on
24. MK-ST-F-033 onOrBefore
25. MK-ST-F-063 shiftDay
26. MK-ST-F-062 toUtc
27. MK-CF-F-203 MONTH
28. MK-XS-F-180 declareFigures
29. MK-CF-O-010 theMonth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MK-NW-F-112 yearlyInterest
58. MK-ST-F-048 currencySymbol
59. MK-NW-F-057 annualCoupon
60. MK-NW-F-056 bondInfo
61. MK-NW-F-064 bondRateSensitivity
62. MK-NW-F-061 bondSummary
63. MK-NW-F-055 isBond
64. MK-ST-F-065 isoLocalDate
65. MK-NW-F-072 rowOf
66. MK-CF-F-069 benefitActiveMonths
67. MK-CF-F-072 currentRetirementIncomeMonthly
68. MK-CF-F-173 earnerWages
69. MK-CF-F-065 equityVestWeights
70. MK-CF-F-071 extraIncome
71. MK-CF-F-206 householdK401ByMonth
72. MK-CF-F-087 monthlyTaxRates
73. MK-CF-F-073 otherIncomeMonth
74. MK-CF-F-181 rateInForce
75. MK-CF-F-068 rentalNetAnnual
76. MK-CF-F-066 rsuAnnual
77. MK-CF-F-060 salaryGrossByMonth
78. MK-CF-F-077 scholarshipByCalendarMonth
79. MK-CF-F-088 taxableByCalendarMonth
80. MK-CF-F-177 wageGrossByMonth
81. MK-PL-F-012 waterfall
82. MK-CF-F-008 spendByMonth
83. MK-ST-F-047 activeCurrency
84. MK-NW-F-060 approxYTM
85. MK-NW-F-069 priceAtYield
86. MK-NW-F-011 assetClassOf
87. MK-NW-F-070 accruedInterestCaveat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MK-NW-F-119 estimatedAccrued
111. MK-NW-F-008 incomeBearingClassOf
112. MK-CF-F-100 taxableIncomeFor
113. MK-CF-F-074 tipsAnnual
114. MK-CF-F-165 salaryMonths
115. MK-CF-F-003 categoryMonthly
116. MK-ST-F-010 nameEvidence
117. MK-CF-F-099 deductionFor
118. MK-CF-F-081 salaryActiveMonths
119. MK-XS-F-147 call
120. MK-CF-F-187 seniorDeductionFor
121. MK-XS-F-064 currentIdToken
122. MK-XS-F-112 relayUrl</t>
        </is>
      </c>
      <c r="R312" s="3" t="inlineStr">
        <is>
          <t>1. MK-ST-F-027 accountId → MK-ST-F-083 accountValuesOn → MK-NW-O-008 thePerformance → MK-NW-F-085 PERF_ONE
2. MK-ST-F-056 has → MK-ST-F-083 accountValuesOn → MK-NW-O-008 thePerformance → MK-NW-F-085 PERF_ONE
3. MK-XS-F-011 buildChangeWalk → MK-NW-O-008 thePerformance → MK-NW-F-085 PERF_ONE
4. MK-ST-F-028 buildDayFromAccounts → MK-NW-O-008 thePerformance → MK-NW-F-085 PERF_ONE
5. MK-XS-F-122 n → MK-CF-F-155 cash → MK-NW-O-008 thePerformance → MK-NW-F-085 PERF_ONE
6. MK-ST-F-027 accountId → MK-NW-F-104 closedWith → MK-NW-O-008 thePerformance → MK-NW-F-085 PERF_ONE
7. MK-ST-F-056 has → MK-NW-F-104 closedWith → MK-NW-O-008 thePerformance → MK-NW-F-085 PERF_ONE
8. MK-CF-F-132 map → MK-NW-F-104 closedWith → MK-NW-O-008 thePerformance → MK-NW-F-085 PERF_ONE
9. … and 4 more paths</t>
        </is>
      </c>
      <c r="S312" s="3" t="inlineStr">
        <is>
          <t>—</t>
        </is>
      </c>
      <c r="T312" s="3" t="inlineStr">
        <is>
          <t>—</t>
        </is>
      </c>
      <c r="U312" s="3" t="inlineStr">
        <is>
          <t>ACTIVE</t>
        </is>
      </c>
      <c r="V312" s="3" t="inlineStr">
        <is>
          <t>2026-09-30</t>
        </is>
      </c>
      <c r="W312" s="3" t="n"/>
      <c r="X312" s="3" t="n"/>
      <c r="Y312" s="3" t="inlineStr">
        <is>
          <t>NOTHING OPEN</t>
        </is>
      </c>
    </row>
    <row r="313" ht="60" customHeight="1">
      <c r="A313" s="3" t="inlineStr">
        <is>
          <t>MK-NW-F-086</t>
        </is>
      </c>
      <c r="B313" s="3" t="inlineStr">
        <is>
          <t>CATS</t>
        </is>
      </c>
      <c r="C313" s="3" t="inlineStr">
        <is>
          <t>MoneyKeel/functions/networth-and-performance/performance.ts</t>
        </is>
      </c>
      <c r="D313" s="3" t="n">
        <v>846</v>
      </c>
      <c r="E313" s="3" t="inlineStr">
        <is>
          <t>1 · ACTION</t>
        </is>
      </c>
      <c r="F313" s="3" t="inlineStr">
        <is>
          <t>Example only: runs categoryEarnings on the worked example and calculates nothing of its own.</t>
        </is>
      </c>
      <c r="G313" s="11" t="inlineStr">
        <is>
          <t>category earnings(CAT_EXAMPLE)</t>
        </is>
      </c>
      <c r="H313" s="3" t="inlineStr">
        <is>
          <t>category earnings(CAT_EXAMPLE)</t>
        </is>
      </c>
      <c r="I313" s="3" t="inlineStr">
        <is>
          <t>READ FROM THE CODE — rendered from the expressions the function runs</t>
        </is>
      </c>
      <c r="J313" s="3" t="inlineStr">
        <is>
          <t>Nothing is handed to it</t>
        </is>
      </c>
      <c r="K313" s="3" t="inlineStr">
        <is>
          <t>NOT DECLARED — the code does not say what it gives back</t>
        </is>
      </c>
      <c r="L313" s="3" t="inlineStr">
        <is>
          <t>—</t>
        </is>
      </c>
      <c r="M313" s="3" t="inlineStr">
        <is>
          <t>None found in this function — anything it assumes comes from the functions it depends on.</t>
        </is>
      </c>
      <c r="N313" s="3" t="inlineStr">
        <is>
          <t>No</t>
        </is>
      </c>
      <c r="O313" s="3" t="inlineStr">
        <is>
          <t>MK-NW-F-084 categoryEarnings</t>
        </is>
      </c>
      <c r="P313" s="3" t="n">
        <v>5</v>
      </c>
      <c r="Q313" s="3" t="inlineStr">
        <is>
          <t>1. MK-NW-F-084 categoryEarnings
2. MK-CF-F-155 cash
3. MK-CF-F-132 map
4. MK-ST-F-030 record
5. MK-XS-F-122 n</t>
        </is>
      </c>
      <c r="R313" s="3" t="inlineStr">
        <is>
          <t>1. MK-XS-F-122 n → MK-CF-F-155 cash → MK-NW-F-084 categoryEarnings → MK-NW-F-086 CATS
2. MK-CF-F-132 map → MK-NW-F-084 categoryEarnings → MK-NW-F-086 CATS
3. MK-ST-F-030 record → MK-NW-F-084 categoryEarnings → MK-NW-F-086 CATS</t>
        </is>
      </c>
      <c r="S313" s="3" t="inlineStr">
        <is>
          <t>—</t>
        </is>
      </c>
      <c r="T313" s="3" t="inlineStr">
        <is>
          <t>—</t>
        </is>
      </c>
      <c r="U313" s="3" t="inlineStr">
        <is>
          <t>ACTIVE</t>
        </is>
      </c>
      <c r="V313" s="3" t="inlineStr">
        <is>
          <t>2026-09-30</t>
        </is>
      </c>
      <c r="W313" s="3" t="n"/>
      <c r="X313" s="3" t="n"/>
      <c r="Y313" s="3" t="inlineStr">
        <is>
          <t>NOTHING OPEN</t>
        </is>
      </c>
    </row>
    <row r="314" ht="60" customHeight="1">
      <c r="A314" s="3" t="inlineStr">
        <is>
          <t>MK-NW-F-087</t>
        </is>
      </c>
      <c r="B314" s="3" t="inlineStr">
        <is>
          <t>CAT</t>
        </is>
      </c>
      <c r="C314" s="3" t="inlineStr">
        <is>
          <t>MoneyKeel/functions/networth-and-performance/performance.ts</t>
        </is>
      </c>
      <c r="D314" s="3" t="n">
        <v>868</v>
      </c>
      <c r="E314" s="3" t="inlineStr">
        <is>
          <t>1 · ACTION</t>
        </is>
      </c>
      <c r="F314" s="3" t="inlineStr">
        <is>
          <t>Example only: picks one category out of the worked example of what each category earned.</t>
        </is>
      </c>
      <c r="G314" s="11" t="inlineStr">
        <is>
          <t>CATS().find((c) =&gt; key = key)</t>
        </is>
      </c>
      <c r="H314" s="3" t="inlineStr">
        <is>
          <t>CATS().find((c) =&gt; key = key)</t>
        </is>
      </c>
      <c r="I314" s="3" t="inlineStr">
        <is>
          <t>PARTLY READ — some of the code is still showing through; needs a hand pass</t>
        </is>
      </c>
      <c r="J314" s="3" t="inlineStr">
        <is>
          <t>key: string</t>
        </is>
      </c>
      <c r="K314" s="3" t="inlineStr">
        <is>
          <t>NOT DECLARED — the code does not say what it gives back</t>
        </is>
      </c>
      <c r="L314" s="3" t="inlineStr">
        <is>
          <t>—</t>
        </is>
      </c>
      <c r="M314" s="3" t="inlineStr">
        <is>
          <t>None found in this function — anything it assumes comes from the functions it depends on.</t>
        </is>
      </c>
      <c r="N314" s="3" t="inlineStr">
        <is>
          <t>No</t>
        </is>
      </c>
      <c r="O314" s="3" t="inlineStr">
        <is>
          <t>MK-NW-F-086 CATS</t>
        </is>
      </c>
      <c r="P314" s="3" t="n">
        <v>6</v>
      </c>
      <c r="Q314" s="3" t="inlineStr">
        <is>
          <t>1. MK-NW-F-086 CATS
2. MK-NW-F-084 categoryEarnings
3. MK-CF-F-155 cash
4. MK-CF-F-132 map
5. MK-ST-F-030 record
6. MK-XS-F-122 n</t>
        </is>
      </c>
      <c r="R314" s="3" t="inlineStr">
        <is>
          <t>1. MK-XS-F-122 n → MK-CF-F-155 cash → MK-NW-F-084 categoryEarnings → MK-NW-F-086 CATS → MK-NW-F-087 CAT
2. MK-CF-F-132 map → MK-NW-F-084 categoryEarnings → MK-NW-F-086 CATS → MK-NW-F-087 CAT
3. MK-ST-F-030 record → MK-NW-F-084 categoryEarnings → MK-NW-F-086 CATS → MK-NW-F-087 CAT</t>
        </is>
      </c>
      <c r="S314" s="3" t="inlineStr">
        <is>
          <t>—</t>
        </is>
      </c>
      <c r="T314" s="3" t="inlineStr">
        <is>
          <t>—</t>
        </is>
      </c>
      <c r="U314" s="3" t="inlineStr">
        <is>
          <t>ACTIVE</t>
        </is>
      </c>
      <c r="V314" s="3" t="inlineStr">
        <is>
          <t>2026-09-30</t>
        </is>
      </c>
      <c r="W314" s="3" t="n"/>
      <c r="X314" s="3" t="n"/>
      <c r="Y314" s="3" t="inlineStr">
        <is>
          <t>NOTHING OPEN</t>
        </is>
      </c>
    </row>
    <row r="315" ht="60" customHeight="1">
      <c r="A315" s="3" t="inlineStr">
        <is>
          <t>MK-NW-F-088</t>
        </is>
      </c>
      <c r="B315" s="3" t="inlineStr">
        <is>
          <t>BENCH</t>
        </is>
      </c>
      <c r="C315" s="3" t="inlineStr">
        <is>
          <t>MoneyKeel/functions/networth-and-performance/performance.ts</t>
        </is>
      </c>
      <c r="D315" s="3" t="n">
        <v>899</v>
      </c>
      <c r="E315" s="3" t="inlineStr">
        <is>
          <t>3 · DEPENDENT (feeds an action only)</t>
        </is>
      </c>
      <c r="F315" s="3" t="inlineStr">
        <is>
          <t>Example only: runs the market comparison on the worked example and calculates nothing of its own.</t>
        </is>
      </c>
      <c r="G315" s="11" t="inlineStr">
        <is>
          <t>portfolio bench return([</t>
        </is>
      </c>
      <c r="H315" s="3" t="inlineStr">
        <is>
          <t>portfolio bench return([</t>
        </is>
      </c>
      <c r="I315" s="3" t="inlineStr">
        <is>
          <t>READ FROM THE CODE — rendered from the expressions the function runs</t>
        </is>
      </c>
      <c r="J315" s="3" t="inlineStr">
        <is>
          <t>Nothing is handed to it</t>
        </is>
      </c>
      <c r="K315" s="3" t="inlineStr">
        <is>
          <t>NOT DECLARED — the code does not say what it gives back</t>
        </is>
      </c>
      <c r="L315" s="3" t="inlineStr">
        <is>
          <t>—</t>
        </is>
      </c>
      <c r="M315" s="3" t="inlineStr">
        <is>
          <t>None found in this function — anything it assumes comes from the functions it depends on.</t>
        </is>
      </c>
      <c r="N315" s="3" t="inlineStr">
        <is>
          <t>No</t>
        </is>
      </c>
      <c r="O315" s="3" t="inlineStr">
        <is>
          <t>1. MK-NW-F-087 CAT
2. MK-NW-F-083 PERF
3. MK-NW-F-085 PERF_ONE
4. MK-NW-F-093 QUIET_PERF
5. MK-CF-F-135 availableCash
6. MK-XS-F-180 declareFigures
7. MK-ST-F-049 formatMoney
8. MK-PF-F-020 portfolioBenchReturn</t>
        </is>
      </c>
      <c r="P315" s="3" t="n">
        <v>134</v>
      </c>
      <c r="Q315" s="3" t="inlineStr">
        <is>
          <t>1. MK-NW-F-087 CAT
2. MK-NW-F-083 PERF
3. MK-NW-F-085 PERF_ONE
4. MK-NW-F-093 QUIET_PERF
5. MK-CF-F-135 availableCash
6. MK-XS-F-180 declareFigures
7. MK-ST-F-049 formatMoney
8. MK-PF-F-020 portfolioBenchReturn
9. MK-NW-F-086 CATS
10. MK-NW-O-008 thePerformance
11. MK-CF-F-134 usesSleeve
12. MK-ST-F-048 currencySymbol
13. MK-XS-F-122 n
14. MK-ST-F-039 on
15. MK-PF-F-004 marketValue
16. MK-NW-F-084 categoryEarnings
17. MK-ST-F-083 accountValuesOn
18. MK-XS-F-011 buildChangeWalk
19. MK-ST-F-028 buildDayFromAccounts
20. MK-CF-F-155 cash
21. MK-NW-F-104 closedWith
22. MK-ST-F-078 dateShown
23. MK-ST-F-056 has
24. MK-CF-F-132 map
25. MK-ST-F-082 movementsOf
26. MK-ST-F-013 personalFlowTotals
27. MK-ST-F-030 record
28. MK-ST-F-081 timeWeightedReturn
29. MK-ST-F-021 toNumber
30. MK-ST-F-031 valueOn
31. MK-ST-F-060 verdict
32. MK-NW-F-105 whyNoReturn
33. MK-ST-F-038 windowBounds
34. MK-ST-F-047 activeCurrency
35. MK-PF-F-031 contractMultiplier
36. MK-PF-F-001 totalShares
37. MK-ST-F-027 accountId
38. MK-ST-F-080 isDay
39. MK-CF-F-204 line
40. MK-ST-F-033 onOrBefore
41. MK-ST-F-063 shiftDay
42. MK-ST-F-062 toUtc
43. MK-CF-F-203 MONTH
44. MK-CF-O-010 theMonth
45. MK-CF-O-002 expenses
46. MK-CF-O-003 thisMonth
47. MK-CF-F-151 actualSpending
48. MK-CF-F-150 debtPaymentsCountedAsExpenses
49. MK-CF-F-153 radar
50. MK-CF-F-149 recurringDebtPayments
51. MK-CF-F-005 actualMonthFlow
52. MK-CF-F-156 plannedMonthFlow
53. MK-CF-F-148 inMonth
54. MK-ST-F-052 toNum
55. MK-CF-F-191 ym
56. MK-CF-F-022 paymentShape
57. MK-CF-F-152 isRadarItem
58. MK-CF-F-023 requiredPayment
59. MK-NW-F-078 ONE
60. MK-CF-F-157 debtPaymentsByDebt
61. MK-CF-F-192 inflowLabel
62. MK-XS-F-027 takeHomeMonthly
63. MK-CF-F-021 defaultPaymentType
64. MK-NW-F-077 ALL
65. MK-NW-F-059 currentYield
66. MK-ST-F-053 money
67. MK-NW-O-001 theBonds
68. MK-CF-F-193 inflowSourceWord
69. MK-CF-F-092 incomeMonthlyGrid
70. MK-CF-F-011 savingsByMonth
71. MK-NW-F-112 yearlyInterest
72. MK-NW-F-057 annualCoupon
73. MK-NW-F-056 bondInfo
74. MK-NW-F-064 bondRateSensitivity
75. MK-NW-F-061 bondSummary
76. MK-NW-F-055 isBond
77. MK-ST-F-065 isoLocalDate
78. MK-NW-F-072 rowOf
79. MK-CF-F-069 benefitActiveMonths
80. MK-CF-F-072 currentRetirementIncomeMonthly
81. MK-CF-F-173 earnerWages
82. MK-CF-F-065 equityVestWeights
83. MK-CF-F-071 extraIncome
84. MK-CF-F-206 householdK401ByMonth
85. MK-CF-F-087 monthlyTaxRates
86. MK-CF-F-073 otherIncomeMonth
87. MK-CF-F-181 rateInForce
88. MK-CF-F-068 rentalNetAnnual
89. MK-CF-F-066 rsuAnnual
90. MK-CF-F-060 salaryGrossByMonth
91. MK-CF-F-077 scholarshipByCalendarMonth
92. MK-CF-F-088 taxableByCalendarMonth
93. MK-CF-F-177 wageGrossByMonth
94. MK-PL-F-012 waterfall
95. MK-CF-F-008 spendByMonth
96. MK-NW-F-060 approxYTM
97. MK-NW-F-069 priceAtYield
98. MK-NW-F-011 assetClassOf
99. MK-NW-F-070 accruedInterestCaveat
100. MK-NW-F-058 yearsToMaturity
101. MK-CF-F-075 retirementIncomeMonthly
102. MK-CF-F-172 hasWage
103. MK-CF-F-062 equityRowValue
104. MK-CF-F-070 benefitAnnual
105. MK-CF-F-176 sumMonthsOverEarners
106. MK-CF-F-090 effectiveRate
107. MK-CF-F-180 enteredLandsAnnual
108. MK-CF-F-085 filingStatusOf
109. MK-CF-F-089 over65CountOf
110. MK-CF-F-082 salaryAnnual
111. MK-CF-F-086 stateRateOf
112. MK-CF-F-101 taxOwedFor
113. MK-CF-F-084 taxableAnnual
114. MK-CF-F-067 rentalList
115. MK-CF-F-063 rowVestYear
116. MK-CF-F-130 enteredMonthlyRaw
117. MK-CF-F-166 hasMonthlySalaryTable
118. MK-ST-F-036 reconcile
119. MK-CF-F-167 salaryCalendarYear
120. MK-CF-F-120 pctBaseMonthly
121. MK-CF-F-004 spendBuckets
122. MK-NW-F-119 estimatedAccrued
123. MK-NW-F-008 incomeBearingClassOf
124. MK-CF-F-100 taxableIncomeFor
125. MK-CF-F-074 tipsAnnual
126. MK-CF-F-165 salaryMonths
127. MK-CF-F-003 categoryMonthly
128. MK-ST-F-010 nameEvidence
129. MK-CF-F-099 deductionFor
130. MK-CF-F-081 salaryActiveMonths
131. MK-XS-F-147 call
132. MK-CF-F-187 seniorDeductionFor
133. MK-XS-F-064 currentIdToken
134. MK-XS-F-112 relayUrl</t>
        </is>
      </c>
      <c r="R315" s="3" t="inlineStr">
        <is>
          <t>1. MK-XS-F-122 n → MK-CF-F-155 cash → MK-NW-F-084 categoryEarnings → MK-NW-F-086 CATS → MK-NW-F-087 CAT → MK-NW-F-088 BENCH
2. MK-CF-F-132 map → MK-NW-F-084 categoryEarnings → MK-NW-F-086 CATS → MK-NW-F-087 CAT → MK-NW-F-088 BENCH
3. MK-ST-F-030 record → MK-NW-F-084 categoryEarnings → MK-NW-F-086 CATS → MK-NW-F-087 CAT → MK-NW-F-088 BENCH
4. MK-ST-F-027 accountId → MK-ST-F-083 accountValuesOn → MK-NW-O-008 thePerformance → MK-NW-F-083 PERF → MK-NW-F-088 BENCH
5. MK-ST-F-056 has → MK-ST-F-083 accountValuesOn → MK-NW-O-008 thePerformance → MK-NW-F-083 PERF → MK-NW-F-088 BENCH
6. MK-XS-F-011 buildChangeWalk → MK-NW-O-008 thePerformance → MK-NW-F-083 PERF → MK-NW-F-088 BENCH
7. MK-ST-F-028 buildDayFromAccounts → MK-NW-O-008 thePerformance → MK-NW-F-083 PERF → MK-NW-F-088 BENCH
8. MK-XS-F-122 n → MK-CF-F-155 cash → MK-NW-O-008 thePerformance → MK-NW-F-083 PERF → MK-NW-F-088 BENCH
9. … and 5 more paths</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MK-NW-F-090</t>
        </is>
      </c>
      <c r="B316" s="3" t="inlineStr">
        <is>
          <t>windowStartKey</t>
        </is>
      </c>
      <c r="C316" s="3" t="inlineStr">
        <is>
          <t>MoneyKeel/functions/networth-and-performance/performance.ts</t>
        </is>
      </c>
      <c r="D316" s="3" t="n">
        <v>113</v>
      </c>
      <c r="E316" s="3" t="inlineStr">
        <is>
          <t>2 · DISPLAYED</t>
        </is>
      </c>
      <c r="F316" s="3" t="inlineStr">
        <is>
          <t>The first day of a period: the day after the record's first day for Since, 1 January for This year, and the same day one month, one year or two years back for the others.</t>
        </is>
      </c>
      <c r="G316" s="11" t="inlineStr">
        <is>
          <t>first = record dates where ÷ ^\d{4}-\d{2}-\d{2}$ ÷ .test(each)the first of , in order
today   when first is missing
after = the first 10 of the date date.parse(`${first}T00:00:00Z`) + 86400000).to isostring(
the answer:
after   if after ≤ today
today   otherwise
d = the date today + 'T12:00:00Z'
months = '1 m': 1 = '1 m': 1
'3 m': 3 = '3 m': 3
'6 m': 6 = '6 m': 6
'1 y': 12 = '1 y': 12
'2 y': 24 = '2 y': 24
`${today.slice(0, 4)}-01 − 01`   when period = 'YTD'</t>
        </is>
      </c>
      <c r="H316"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D: the date today plus 'T12:00:00Z'. Months is '1 m': 1 = '1 m': 1; '3 m': 3 = '3 m': 3; '6 m': 6 = '6 m': 6; '1 y': 12 = '1 y': 12; '2 y': 24 = '2 y': 24. When period = 'YTD', it answers `${today.slice(0, 4)}-01 minus 01`.</t>
        </is>
      </c>
      <c r="I316" s="3" t="inlineStr">
        <is>
          <t>PARTLY READ — some of the code is still showing through; needs a hand pass</t>
        </is>
      </c>
      <c r="J316" s="3" t="inlineStr">
        <is>
          <t>1. period: string
2. recordDates: string[]
3. today: string</t>
        </is>
      </c>
      <c r="K316" s="3" t="inlineStr">
        <is>
          <t>string</t>
        </is>
      </c>
      <c r="L316" s="3" t="inlineStr">
        <is>
          <t>NOT FOUND — a screen calls it, but the words printed beside its answer could not be traced automatically. Needs reading.</t>
        </is>
      </c>
      <c r="M316" s="3" t="inlineStr">
        <is>
          <t>· If months[period] is missing it uses 12.</t>
        </is>
      </c>
      <c r="N316" s="3" t="inlineStr">
        <is>
          <t>Yes</t>
        </is>
      </c>
      <c r="O316" s="3" t="inlineStr">
        <is>
          <t>—</t>
        </is>
      </c>
      <c r="P316" s="3" t="n">
        <v>0</v>
      </c>
      <c r="Q316" s="3" t="inlineStr">
        <is>
          <t>None — no dependent function stands behind it</t>
        </is>
      </c>
      <c r="R316" s="3" t="inlineStr">
        <is>
          <t>No dependent function — it reads its inputs and answers</t>
        </is>
      </c>
      <c r="S316" s="3" t="inlineStr">
        <is>
          <t>—</t>
        </is>
      </c>
      <c r="T316" s="3" t="inlineStr">
        <is>
          <t>—</t>
        </is>
      </c>
      <c r="U316" s="3" t="inlineStr">
        <is>
          <t>ACTIVE</t>
        </is>
      </c>
      <c r="V316" s="3" t="inlineStr">
        <is>
          <t>2026-09-30</t>
        </is>
      </c>
      <c r="W316" s="3" t="n"/>
      <c r="X316" s="3" t="n"/>
      <c r="Y316" s="3" t="inlineStr">
        <is>
          <t>NOTHING OPEN</t>
        </is>
      </c>
    </row>
    <row r="317" ht="60" customHeight="1">
      <c r="A317" s="3" t="inlineStr">
        <is>
          <t>MK-NW-F-091</t>
        </is>
      </c>
      <c r="B317" s="3" t="inlineStr">
        <is>
          <t>pricedGainOf</t>
        </is>
      </c>
      <c r="C317" s="3" t="inlineStr">
        <is>
          <t>MoneyKeel/functions/networth-and-performance/performance.ts</t>
        </is>
      </c>
      <c r="D317" s="3" t="n">
        <v>183</v>
      </c>
      <c r="E317" s="3" t="inlineStr">
        <is>
          <t>2 · DISPLAYED</t>
        </is>
      </c>
      <c r="F317" s="3" t="inlineStr">
        <is>
          <t>What the priced holdings gained over the period in dollars: the true gain for a holding bought inside the period, and the price move's share of today's value for any other.</t>
        </is>
      </c>
      <c r="G317" s="11" t="inlineStr">
        <is>
          <t>t + (gain ?? 0)   when capped since
mv = market value (or 0 when missing)
pr = period return
the answer = t + (pr ≠ nothing and mv &gt; 0 ? mv × (1 − 1 ÷ (1 + pr)) : 0)</t>
        </is>
      </c>
      <c r="H317" s="3" t="inlineStr">
        <is>
          <t>When capped since, it answers t plus (gain ?? 0). Mv is market value (or 0 — when missing). Pr is period return. The answer is t plus (pr is not no answer and mv &gt; 0 ? mv times (1 minus 1 divided by (1 plus pr)) : 0).</t>
        </is>
      </c>
      <c r="I317" s="3" t="inlineStr">
        <is>
          <t>PARTLY READ — some of the code is still showing through; needs a hand pass</t>
        </is>
      </c>
      <c r="J317" s="3" t="inlineStr">
        <is>
          <t>Nothing is handed to it</t>
        </is>
      </c>
      <c r="K317" s="3" t="inlineStr">
        <is>
          <t>NOT DECLARED — the code does not say what it gives back</t>
        </is>
      </c>
      <c r="L317" s="3" t="inlineStr">
        <is>
          <t>NOT FOUND — a screen calls it, but the words printed beside its answer could not be traced automatically. Needs reading.</t>
        </is>
      </c>
      <c r="M317" s="3" t="inlineStr">
        <is>
          <t>1. If gain is missing it uses 0.
2. If market value is missing it uses 0.</t>
        </is>
      </c>
      <c r="N317" s="3" t="inlineStr">
        <is>
          <t>Yes</t>
        </is>
      </c>
      <c r="O317" s="3" t="inlineStr">
        <is>
          <t>—</t>
        </is>
      </c>
      <c r="P317" s="3" t="n">
        <v>0</v>
      </c>
      <c r="Q317" s="3" t="inlineStr">
        <is>
          <t>None — no dependent function stands behind it</t>
        </is>
      </c>
      <c r="R317" s="3" t="inlineStr">
        <is>
          <t>No dependent function — it reads its inputs and answers</t>
        </is>
      </c>
      <c r="S317" s="3" t="inlineStr">
        <is>
          <t>—</t>
        </is>
      </c>
      <c r="T317" s="3" t="inlineStr">
        <is>
          <t>—</t>
        </is>
      </c>
      <c r="U317" s="3" t="inlineStr">
        <is>
          <t>ACTIVE</t>
        </is>
      </c>
      <c r="V317" s="3" t="inlineStr">
        <is>
          <t>2026-09-30</t>
        </is>
      </c>
      <c r="W317" s="3" t="n"/>
      <c r="X317" s="3" t="n"/>
      <c r="Y317" s="3" t="inlineStr">
        <is>
          <t>NOTHING OPEN</t>
        </is>
      </c>
    </row>
    <row r="318" ht="60" customHeight="1">
      <c r="A318" s="3" t="inlineStr">
        <is>
          <t>MK-NW-F-092</t>
        </is>
      </c>
      <c r="B318" s="3" t="inlineStr">
        <is>
          <t>investmentAccountIdsOf</t>
        </is>
      </c>
      <c r="C318" s="3" t="inlineStr">
        <is>
          <t>MoneyKeel/functions/networth-and-performance/performance.ts</t>
        </is>
      </c>
      <c r="D318" s="3" t="n">
        <v>214</v>
      </c>
      <c r="E318" s="3" t="inlineStr">
        <is>
          <t>2 · DISPLAYED</t>
        </is>
      </c>
      <c r="F318" s="3" t="inlineStr">
        <is>
          <t>Which accounts count as investments: those holding stocks and funds, bonds and CDs, alternatives or a mix, and never cash or property.</t>
        </is>
      </c>
      <c r="G318" s="11" t="inlineStr">
        <is>
          <t>invested = a list with no repeats of ['stocks_etf', 'bonds', 'alternatives', 'mixed']
the answer = a list with no repeats of accounts (or none when missing) where invested.has(class of(each))for each of : string(asset id)</t>
        </is>
      </c>
      <c r="H318" s="3" t="inlineStr">
        <is>
          <t>Invested is a list with no repeats of ['stocks_etf', 'bonds', 'alternatives', 'mixed']. The answer is a list with no repeats of accounts (or none — when missing) where invested.has(class of(each))for each of : string(asset id).</t>
        </is>
      </c>
      <c r="I318" s="3" t="inlineStr">
        <is>
          <t>PARTLY READ — some of the code is still showing through; needs a hand pass</t>
        </is>
      </c>
      <c r="J318" s="3" t="inlineStr">
        <is>
          <t>Nothing is handed to it</t>
        </is>
      </c>
      <c r="K318" s="3" t="inlineStr">
        <is>
          <t>NOT DECLARED — the code does not say what it gives back</t>
        </is>
      </c>
      <c r="L318" s="3" t="inlineStr">
        <is>
          <t>NOT FOUND — a screen calls it, but the words printed beside its answer could not be traced automatically. Needs reading.</t>
        </is>
      </c>
      <c r="M318" s="3" t="inlineStr">
        <is>
          <t>None found in this function — anything it assumes comes from the functions it depends on.</t>
        </is>
      </c>
      <c r="N318" s="3" t="inlineStr">
        <is>
          <t>Yes</t>
        </is>
      </c>
      <c r="O318" s="3" t="inlineStr">
        <is>
          <t>1. MK-ST-F-056 has
2. MK-CF-F-132 map</t>
        </is>
      </c>
      <c r="P318" s="3" t="n">
        <v>2</v>
      </c>
      <c r="Q318" s="3" t="inlineStr">
        <is>
          <t>1. MK-ST-F-056 has
2. MK-CF-F-132 map</t>
        </is>
      </c>
      <c r="R318" s="3" t="inlineStr">
        <is>
          <t>1. MK-ST-F-056 has → MK-NW-F-092 investmentAccountIdsOf
2. MK-CF-F-132 map → MK-NW-F-092 investmentAccountIdsOf</t>
        </is>
      </c>
      <c r="S318" s="3" t="inlineStr">
        <is>
          <t>—</t>
        </is>
      </c>
      <c r="T318" s="3" t="inlineStr">
        <is>
          <t>—</t>
        </is>
      </c>
      <c r="U318" s="3" t="inlineStr">
        <is>
          <t>ACTIVE</t>
        </is>
      </c>
      <c r="V318" s="3" t="inlineStr">
        <is>
          <t>2026-09-30</t>
        </is>
      </c>
      <c r="W318" s="3" t="n"/>
      <c r="X318" s="3" t="n"/>
      <c r="Y318" s="3" t="inlineStr">
        <is>
          <t>NOTHING OPEN</t>
        </is>
      </c>
    </row>
    <row r="319" ht="60" customHeight="1">
      <c r="A319" s="3" t="inlineStr">
        <is>
          <t>MK-NW-F-093</t>
        </is>
      </c>
      <c r="B319" s="3" t="inlineStr">
        <is>
          <t>QUIET_PERF</t>
        </is>
      </c>
      <c r="C319" s="3" t="inlineStr">
        <is>
          <t>MoneyKeel/functions/networth-and-performance/performance.ts</t>
        </is>
      </c>
      <c r="D319" s="3" t="n">
        <v>749</v>
      </c>
      <c r="E319" s="3" t="inlineStr">
        <is>
          <t>1 · ACTION</t>
        </is>
      </c>
      <c r="F319" s="3" t="inlineStr">
        <is>
          <t>Example only: runs thePerformance on the worked example and calculates nothing of its own.</t>
        </is>
      </c>
      <c r="G319" s="11" t="inlineStr">
        <is>
          <t>the performance(QUIET)</t>
        </is>
      </c>
      <c r="H319" s="3" t="inlineStr">
        <is>
          <t>the performance(QUIET)</t>
        </is>
      </c>
      <c r="I319" s="3" t="inlineStr">
        <is>
          <t>READ FROM THE CODE — rendered from the expressions the function runs</t>
        </is>
      </c>
      <c r="J319" s="3" t="inlineStr">
        <is>
          <t>Nothing is handed to it</t>
        </is>
      </c>
      <c r="K319" s="3" t="inlineStr">
        <is>
          <t>NOT DECLARED — the code does not say what it gives back</t>
        </is>
      </c>
      <c r="L319" s="3" t="inlineStr">
        <is>
          <t>—</t>
        </is>
      </c>
      <c r="M319" s="3" t="inlineStr">
        <is>
          <t>None found in this function — anything it assumes comes from the functions it depends on.</t>
        </is>
      </c>
      <c r="N319" s="3" t="inlineStr">
        <is>
          <t>No</t>
        </is>
      </c>
      <c r="O319" s="3" t="inlineStr">
        <is>
          <t>MK-NW-O-008 thePerformance</t>
        </is>
      </c>
      <c r="P319" s="3" t="n">
        <v>122</v>
      </c>
      <c r="Q319" s="3" t="inlineStr">
        <is>
          <t>1. MK-NW-O-008 thePerformance
2. MK-ST-F-083 accountValuesOn
3. MK-XS-F-011 buildChangeWalk
4. MK-ST-F-028 buildDayFromAccounts
5. MK-CF-F-155 cash
6. MK-NW-F-104 closedWith
7. MK-ST-F-078 dateShown
8. MK-ST-F-056 has
9. MK-CF-F-132 map
10. MK-ST-F-082 movementsOf
11. MK-ST-F-013 personalFlowTotals
12. MK-ST-F-030 record
13. MK-ST-F-081 timeWeightedReturn
14. MK-ST-F-021 toNumber
15. MK-ST-F-031 valueOn
16. MK-ST-F-060 verdict
17. MK-NW-F-105 whyNoReturn
18. MK-ST-F-038 windowBounds
19. MK-ST-F-027 accountId
20. MK-XS-F-122 n
21. MK-ST-F-080 isDay
22. MK-CF-F-204 line
23. MK-ST-F-039 on
24. MK-ST-F-033 onOrBefore
25. MK-ST-F-063 shiftDay
26. MK-ST-F-062 toUtc
27. MK-CF-F-203 MONTH
28. MK-XS-F-180 declareFigures
29. MK-CF-O-010 theMonth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MK-NW-F-112 yearlyInterest
58. MK-ST-F-048 currencySymbol
59. MK-NW-F-057 annualCoupon
60. MK-NW-F-056 bondInfo
61. MK-NW-F-064 bondRateSensitivity
62. MK-NW-F-061 bondSummary
63. MK-NW-F-055 isBond
64. MK-ST-F-065 isoLocalDate
65. MK-NW-F-072 rowOf
66. MK-CF-F-069 benefitActiveMonths
67. MK-CF-F-072 currentRetirementIncomeMonthly
68. MK-CF-F-173 earnerWages
69. MK-CF-F-065 equityVestWeights
70. MK-CF-F-071 extraIncome
71. MK-CF-F-206 householdK401ByMonth
72. MK-CF-F-087 monthlyTaxRates
73. MK-CF-F-073 otherIncomeMonth
74. MK-CF-F-181 rateInForce
75. MK-CF-F-068 rentalNetAnnual
76. MK-CF-F-066 rsuAnnual
77. MK-CF-F-060 salaryGrossByMonth
78. MK-CF-F-077 scholarshipByCalendarMonth
79. MK-CF-F-088 taxableByCalendarMonth
80. MK-CF-F-177 wageGrossByMonth
81. MK-PL-F-012 waterfall
82. MK-CF-F-008 spendByMonth
83. MK-ST-F-047 activeCurrency
84. MK-NW-F-060 approxYTM
85. MK-NW-F-069 priceAtYield
86. MK-NW-F-011 assetClassOf
87. MK-NW-F-070 accruedInterestCaveat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MK-NW-F-119 estimatedAccrued
111. MK-NW-F-008 incomeBearingClassOf
112. MK-CF-F-100 taxableIncomeFor
113. MK-CF-F-074 tipsAnnual
114. MK-CF-F-165 salaryMonths
115. MK-CF-F-003 categoryMonthly
116. MK-ST-F-010 nameEvidence
117. MK-CF-F-099 deductionFor
118. MK-CF-F-081 salaryActiveMonths
119. MK-XS-F-147 call
120. MK-CF-F-187 seniorDeductionFor
121. MK-XS-F-064 currentIdToken
122. MK-XS-F-112 relayUrl</t>
        </is>
      </c>
      <c r="R319" s="3" t="inlineStr">
        <is>
          <t>1. MK-ST-F-027 accountId → MK-ST-F-083 accountValuesOn → MK-NW-O-008 thePerformance → MK-NW-F-093 QUIET_PERF
2. MK-ST-F-056 has → MK-ST-F-083 accountValuesOn → MK-NW-O-008 thePerformance → MK-NW-F-093 QUIET_PERF
3. MK-XS-F-011 buildChangeWalk → MK-NW-O-008 thePerformance → MK-NW-F-093 QUIET_PERF
4. MK-ST-F-028 buildDayFromAccounts → MK-NW-O-008 thePerformance → MK-NW-F-093 QUIET_PERF
5. MK-XS-F-122 n → MK-CF-F-155 cash → MK-NW-O-008 thePerformance → MK-NW-F-093 QUIET_PERF
6. MK-ST-F-027 accountId → MK-NW-F-104 closedWith → MK-NW-O-008 thePerformance → MK-NW-F-093 QUIET_PERF
7. MK-ST-F-056 has → MK-NW-F-104 closedWith → MK-NW-O-008 thePerformance → MK-NW-F-093 QUIET_PERF
8. MK-CF-F-132 map → MK-NW-F-104 closedWith → MK-NW-O-008 thePerformance → MK-NW-F-093 QUIET_PERF
9. … and 4 more paths</t>
        </is>
      </c>
      <c r="S319" s="3" t="inlineStr">
        <is>
          <t>—</t>
        </is>
      </c>
      <c r="T319" s="3" t="inlineStr">
        <is>
          <t>—</t>
        </is>
      </c>
      <c r="U319" s="3" t="inlineStr">
        <is>
          <t>ACTIVE</t>
        </is>
      </c>
      <c r="V319" s="3" t="inlineStr">
        <is>
          <t>2026-09-30</t>
        </is>
      </c>
      <c r="W319" s="3" t="n"/>
      <c r="X319" s="3" t="n"/>
      <c r="Y319" s="3" t="inlineStr">
        <is>
          <t>NOTHING OPEN</t>
        </is>
      </c>
    </row>
    <row r="320" ht="60" customHeight="1">
      <c r="A320" s="3" t="inlineStr">
        <is>
          <t>MK-NW-F-094</t>
        </is>
      </c>
      <c r="B320" s="3" t="inlineStr">
        <is>
          <t>ledgerGroups</t>
        </is>
      </c>
      <c r="C320" s="3" t="inlineStr">
        <is>
          <t>MoneyKeel/functions/networth-and-performance/net-worth.ts</t>
        </is>
      </c>
      <c r="D320" s="3" t="n">
        <v>432</v>
      </c>
      <c r="E320" s="3" t="inlineStr">
        <is>
          <t>2 · DISPLAYED</t>
        </is>
      </c>
      <c r="F320" s="3" t="inlineStr">
        <is>
          <t>Groups the accounts for the Net worth list, by asset class or by institution, and gives each group its total.</t>
        </is>
      </c>
      <c r="G320" s="11" t="inlineStr">
        <is>
          <t>out = new map&lt;string, ledger group&gt;()
g = out.get(key) (or label = label
total = 0
account ids = []
rows = []
mix = [] when missing)
split = account class breakdown(a)
shown = string((a as any).institution ?? '').trim() (or 'no institution set' when missing or zero)
g = group(shown.to lower case(), shown)
[LOOP — the answer is found inside a loop the extractor cannot render; the steps above are the ones before it. Read by hand.]</t>
        </is>
      </c>
      <c r="H320" s="3" t="inlineStr">
        <is>
          <t>Out is new map&lt;string, ledger group&gt;(). G is out.get(key) (or label = label; total = 0; account ids = []; rows = []; mix = [] — when missing). The answer is g. Split is account class breakdown(a). Shown is string((a as any).institution ?? '').trim() (or 'no institution set' — when missing or zero). G is group(shown.to lower case(), shown). The answer is found inside a loop that cannot be rendered here; read the code by hand.</t>
        </is>
      </c>
      <c r="I320" s="3" t="inlineStr">
        <is>
          <t>PARTLY READ — the body has a loop the extractor cannot render; the steps shown are the ones before it. Needs a hand pass (G23).</t>
        </is>
      </c>
      <c r="J320" s="3" t="inlineStr">
        <is>
          <t>Nothing is handed to it</t>
        </is>
      </c>
      <c r="K320" s="3" t="inlineStr">
        <is>
          <t>NOT DECLARED — the code does not say what it gives back</t>
        </is>
      </c>
      <c r="L320" s="3" t="inlineStr">
        <is>
          <t>NOT FOUND — a screen calls it, but the words printed beside its answer could not be traced automatically. Needs reading.</t>
        </is>
      </c>
      <c r="M320" s="3" t="inlineStr">
        <is>
          <t>· If balance is missing it counts as zero, so nothing recorded and a real zero look the same.</t>
        </is>
      </c>
      <c r="N320" s="3" t="inlineStr">
        <is>
          <t>Yes</t>
        </is>
      </c>
      <c r="O320" s="3" t="inlineStr">
        <is>
          <t>1. MK-NW-F-027 accountClassBreakdown
2. MK-CF-F-132 map</t>
        </is>
      </c>
      <c r="P320" s="3" t="n">
        <v>13</v>
      </c>
      <c r="Q320" s="3" t="inlineStr">
        <is>
          <t>1. MK-NW-F-027 accountClassBreakdown
2. MK-CF-F-132 map
3. MK-NW-F-011 assetClassOf
4. MK-CF-F-155 cash
5. MK-ST-F-056 has
6. MK-NW-F-109 holdingClassOf
7. MK-NW-F-008 incomeBearingClassOf
8. MK-XS-F-122 n
9. MK-ST-F-010 nameEvidence
10. MK-XS-F-147 call
11. MK-ST-F-027 accountId
12. MK-XS-F-064 currentIdToken
13. MK-XS-F-112 relayUrl</t>
        </is>
      </c>
      <c r="R320" s="3" t="inlineStr">
        <is>
          <t>1. MK-XS-F-122 n → MK-CF-F-155 cash → MK-NW-F-008 incomeBearingClassOf → MK-NW-F-011 assetClassOf → MK-NW-F-027 accountClassBreakdown → MK-NW-F-094 ledgerGroups
2. MK-XS-F-147 call → MK-ST-F-010 nameEvidence → MK-NW-F-008 incomeBearingClassOf → MK-NW-F-011 assetClassOf → MK-NW-F-027 accountClassBreakdown → MK-NW-F-094 ledgerGroups
3. MK-ST-F-056 has → MK-ST-F-010 nameEvidence → MK-NW-F-008 incomeBearingClassOf → MK-NW-F-011 assetClassOf → MK-NW-F-027 accountClassBreakdown → MK-NW-F-094 ledgerGroups
4. MK-CF-F-132 map → MK-ST-F-010 nameEvidence → MK-NW-F-008 incomeBearingClassOf → MK-NW-F-011 assetClassOf → MK-NW-F-027 accountClassBreakdown → MK-NW-F-094 ledgerGroups
5. MK-XS-F-122 n → MK-CF-F-155 cash → MK-NW-F-027 accountClassBreakdown → MK-NW-F-094 ledgerGroups
6. MK-ST-F-056 has → MK-NW-F-027 accountClassBreakdown → MK-NW-F-094 ledgerGroups
7. MK-XS-F-122 n → MK-CF-F-155 cash → MK-NW-F-109 holdingClassOf → MK-NW-F-027 accountClassBreakdown → MK-NW-F-094 ledgerGroups
8. MK-XS-F-122 n → MK-CF-F-155 cash → MK-NW-F-008 incomeBearingClassOf → MK-NW-F-109 holdingClassOf → MK-NW-F-027 accountClassBreakdown → MK-NW-F-094 ledgerGroups
9. … and 5 more paths</t>
        </is>
      </c>
      <c r="S320" s="3" t="inlineStr">
        <is>
          <t>—</t>
        </is>
      </c>
      <c r="T320" s="3" t="inlineStr">
        <is>
          <t>—</t>
        </is>
      </c>
      <c r="U320" s="3" t="inlineStr">
        <is>
          <t>ACTIVE</t>
        </is>
      </c>
      <c r="V320" s="3" t="inlineStr">
        <is>
          <t>2026-10-07</t>
        </is>
      </c>
      <c r="W320" s="3" t="n"/>
      <c r="X320" s="3" t="n"/>
      <c r="Y320" s="3" t="inlineStr">
        <is>
          <t>NOTHING OPEN</t>
        </is>
      </c>
    </row>
    <row r="321" ht="60" customHeight="1">
      <c r="A321" s="3" t="inlineStr">
        <is>
          <t>MK-NW-F-095</t>
        </is>
      </c>
      <c r="B321" s="3" t="inlineStr">
        <is>
          <t>CLASS_LABEL_OF</t>
        </is>
      </c>
      <c r="C321" s="3" t="inlineStr">
        <is>
          <t>MoneyKeel/functions/networth-and-performance/net-worth.ts</t>
        </is>
      </c>
      <c r="D321" s="3" t="n">
        <v>594</v>
      </c>
      <c r="E321" s="3" t="inlineStr">
        <is>
          <t>1 · ACTION</t>
        </is>
      </c>
      <c r="F321" s="3" t="inlineStr">
        <is>
          <t>Example only: the display name of an asset class, used by the worked example of the Net worth list.</t>
        </is>
      </c>
      <c r="G321" s="11" t="inlineStr">
        <is>
          <t>NOT READ YET — the body is not a shape this can render faithfully, so nothing is claimed rather than something being guessed. It needs reading by hand.</t>
        </is>
      </c>
      <c r="H321" s="3" t="inlineStr">
        <is>
          <t>NOT READ YET — the body is not a shape this can render faithfully, so nothing is claimed rather than something being guessed. It needs reading by hand.</t>
        </is>
      </c>
      <c r="I321" s="3" t="inlineStr">
        <is>
          <t>NOT READ — nothing is claimed rather than something guessed</t>
        </is>
      </c>
      <c r="J321" s="3" t="inlineStr">
        <is>
          <t>a: any</t>
        </is>
      </c>
      <c r="K321" s="3" t="inlineStr">
        <is>
          <t>NOT DECLARED — the code does not say what it gives back</t>
        </is>
      </c>
      <c r="L321" s="3" t="inlineStr">
        <is>
          <t>—</t>
        </is>
      </c>
      <c r="M321" s="3" t="inlineStr">
        <is>
          <t>None found in this function — anything it assumes comes from the functions it depends on.</t>
        </is>
      </c>
      <c r="N321" s="3" t="inlineStr">
        <is>
          <t>No</t>
        </is>
      </c>
      <c r="O321" s="3" t="inlineStr">
        <is>
          <t>—</t>
        </is>
      </c>
      <c r="P321" s="3" t="n">
        <v>0</v>
      </c>
      <c r="Q321" s="3" t="inlineStr">
        <is>
          <t>None — no dependent function stands behind it</t>
        </is>
      </c>
      <c r="R321" s="3" t="inlineStr">
        <is>
          <t>No dependent function — it reads its inputs and answers</t>
        </is>
      </c>
      <c r="S321" s="3" t="inlineStr">
        <is>
          <t>—</t>
        </is>
      </c>
      <c r="T321" s="3" t="inlineStr">
        <is>
          <t>—</t>
        </is>
      </c>
      <c r="U321" s="3" t="inlineStr">
        <is>
          <t>ACTIVE</t>
        </is>
      </c>
      <c r="V321" s="3" t="inlineStr">
        <is>
          <t>2026-09-30</t>
        </is>
      </c>
      <c r="W321" s="3" t="n"/>
      <c r="X321" s="3" t="n"/>
      <c r="Y321" s="3" t="inlineStr">
        <is>
          <t>NOTHING OPEN</t>
        </is>
      </c>
    </row>
    <row r="322" ht="45" customHeight="1">
      <c r="A322" s="3" t="inlineStr">
        <is>
          <t>MK-NW-F-096</t>
        </is>
      </c>
      <c r="B322" s="3" t="inlineStr">
        <is>
          <t>CLASS_KEY_OF</t>
        </is>
      </c>
      <c r="C322" s="3" t="inlineStr">
        <is>
          <t>MoneyKeel/functions/networth-and-performance/net-worth.ts</t>
        </is>
      </c>
      <c r="D322" s="3" t="n">
        <v>620</v>
      </c>
      <c r="E322" s="3" t="inlineStr">
        <is>
          <t>1 · ACTION</t>
        </is>
      </c>
      <c r="F322" s="3" t="inlineStr">
        <is>
          <t>Example only: the asset class an account is filed under, used by the worked example of the Net worth list.</t>
        </is>
      </c>
      <c r="G322" s="11" t="inlineStr">
        <is>
          <t>string(asset class)</t>
        </is>
      </c>
      <c r="H322" s="3" t="inlineStr">
        <is>
          <t>string(asset class)</t>
        </is>
      </c>
      <c r="I322" s="3" t="inlineStr">
        <is>
          <t>READ FROM THE CODE — rendered from the expressions the function runs</t>
        </is>
      </c>
      <c r="J322" s="3" t="inlineStr">
        <is>
          <t>a: any</t>
        </is>
      </c>
      <c r="K322" s="3" t="inlineStr">
        <is>
          <t>NOT DECLARED — the code does not say what it gives back</t>
        </is>
      </c>
      <c r="L322" s="3" t="inlineStr">
        <is>
          <t>—</t>
        </is>
      </c>
      <c r="M322" s="3" t="inlineStr">
        <is>
          <t>None found in this function — anything it assumes comes from the functions it depends on.</t>
        </is>
      </c>
      <c r="N322" s="3" t="inlineStr">
        <is>
          <t>No</t>
        </is>
      </c>
      <c r="O322" s="3" t="inlineStr">
        <is>
          <t>—</t>
        </is>
      </c>
      <c r="P322" s="3" t="n">
        <v>0</v>
      </c>
      <c r="Q322" s="3" t="inlineStr">
        <is>
          <t>None — no dependent function stands behind it</t>
        </is>
      </c>
      <c r="R322" s="3" t="inlineStr">
        <is>
          <t>No dependent function — it reads its inputs and answers</t>
        </is>
      </c>
      <c r="S322" s="3" t="inlineStr">
        <is>
          <t>—</t>
        </is>
      </c>
      <c r="T322" s="3" t="inlineStr">
        <is>
          <t>—</t>
        </is>
      </c>
      <c r="U322" s="3" t="inlineStr">
        <is>
          <t>ACTIVE</t>
        </is>
      </c>
      <c r="V322" s="3" t="inlineStr">
        <is>
          <t>2026-09-30</t>
        </is>
      </c>
      <c r="W322" s="3" t="n"/>
      <c r="X322" s="3" t="n"/>
      <c r="Y322" s="3" t="inlineStr">
        <is>
          <t>NOTHING OPEN</t>
        </is>
      </c>
    </row>
    <row r="323" ht="60" customHeight="1">
      <c r="A323" s="3" t="inlineStr">
        <is>
          <t>MK-NW-F-097</t>
        </is>
      </c>
      <c r="B323" s="3" t="inlineStr">
        <is>
          <t>LEDGER</t>
        </is>
      </c>
      <c r="C323" s="3" t="inlineStr">
        <is>
          <t>MoneyKeel/functions/networth-and-performance/net-worth.ts</t>
        </is>
      </c>
      <c r="D323" s="3" t="n">
        <v>644</v>
      </c>
      <c r="E323" s="3" t="inlineStr">
        <is>
          <t>1 · ACTION</t>
        </is>
      </c>
      <c r="F323" s="3" t="inlineStr">
        <is>
          <t>Example only: groups the worked example's accounts for the Net worth list, by class or by institution.</t>
        </is>
      </c>
      <c r="G323" s="11" t="inlineStr">
        <is>
          <t>ledger groups(LEDGER_ACCOUNTS, by, CLASS_LABEL_OF, CLASS_KEY_OF)</t>
        </is>
      </c>
      <c r="H323" s="3" t="inlineStr">
        <is>
          <t>ledger groups(LEDGER_ACCOUNTS, by, CLASS_LABEL_OF, CLASS_KEY_OF)</t>
        </is>
      </c>
      <c r="I323" s="3" t="inlineStr">
        <is>
          <t>READ FROM THE CODE — rendered from the expressions the function runs</t>
        </is>
      </c>
      <c r="J323" s="3" t="inlineStr">
        <is>
          <t>by: 'class' | 'institution'</t>
        </is>
      </c>
      <c r="K323" s="3" t="inlineStr">
        <is>
          <t>NOT DECLARED — the code does not say what it gives back</t>
        </is>
      </c>
      <c r="L323" s="3" t="inlineStr">
        <is>
          <t>—</t>
        </is>
      </c>
      <c r="M323" s="3" t="inlineStr">
        <is>
          <t>None found in this function — anything it assumes comes from the functions it depends on.</t>
        </is>
      </c>
      <c r="N323" s="3" t="inlineStr">
        <is>
          <t>Yes</t>
        </is>
      </c>
      <c r="O323" s="3" t="inlineStr">
        <is>
          <t>1. MK-NW-F-096 CLASS_KEY_OF
2. MK-NW-F-095 CLASS_LABEL_OF
3. MK-NW-F-094 ledgerGroups</t>
        </is>
      </c>
      <c r="P323" s="3" t="n">
        <v>16</v>
      </c>
      <c r="Q323" s="3" t="inlineStr">
        <is>
          <t>1. MK-NW-F-096 CLASS_KEY_OF
2. MK-NW-F-095 CLASS_LABEL_OF
3. MK-NW-F-094 ledgerGroups
4. MK-NW-F-027 accountClassBreakdown
5. MK-CF-F-132 map
6. MK-NW-F-011 assetClassOf
7. MK-CF-F-155 cash
8. MK-ST-F-056 has
9. MK-NW-F-109 holdingClassOf
10. MK-NW-F-008 incomeBearingClassOf
11. MK-XS-F-122 n
12. MK-ST-F-010 nameEvidence
13. MK-XS-F-147 call
14. MK-ST-F-027 accountId
15. MK-XS-F-064 currentIdToken
16. MK-XS-F-112 relayUrl</t>
        </is>
      </c>
      <c r="R323" s="3" t="inlineStr">
        <is>
          <t>1. MK-NW-F-096 CLASS_KEY_OF → MK-NW-F-097 LEDGER
2. MK-NW-F-095 CLASS_LABEL_OF → MK-NW-F-097 LEDGER
3. MK-CF-F-155 cash → MK-NW-F-008 incomeBearingClassOf → MK-NW-F-011 assetClassOf → MK-NW-F-027 accountClassBreakdown → MK-NW-F-094 ledgerGroups → MK-NW-F-097 LEDGER
4. MK-ST-F-010 nameEvidence → MK-NW-F-008 incomeBearingClassOf → MK-NW-F-011 assetClassOf → MK-NW-F-027 accountClassBreakdown → MK-NW-F-094 ledgerGroups → MK-NW-F-097 LEDGER
5. MK-XS-F-122 n → MK-CF-F-155 cash → MK-NW-F-027 accountClassBreakdown → MK-NW-F-094 ledgerGroups → MK-NW-F-097 LEDGER
6. MK-ST-F-056 has → MK-NW-F-027 accountClassBreakdown → MK-NW-F-094 ledgerGroups → MK-NW-F-097 LEDGER
7. MK-XS-F-122 n → MK-CF-F-155 cash → MK-NW-F-109 holdingClassOf → MK-NW-F-027 accountClassBreakdown → MK-NW-F-094 ledgerGroups → MK-NW-F-097 LEDGER
8. MK-CF-F-155 cash → MK-NW-F-008 incomeBearingClassOf → MK-NW-F-109 holdingClassOf → MK-NW-F-027 accountClassBreakdown → MK-NW-F-094 ledgerGroups → MK-NW-F-097 LEDGER
9. … and 3 more paths</t>
        </is>
      </c>
      <c r="S323" s="3" t="inlineStr">
        <is>
          <t>—</t>
        </is>
      </c>
      <c r="T323" s="3" t="inlineStr">
        <is>
          <t>—</t>
        </is>
      </c>
      <c r="U323" s="3" t="inlineStr">
        <is>
          <t>ACTIVE</t>
        </is>
      </c>
      <c r="V323" s="3" t="inlineStr">
        <is>
          <t>2026-09-30</t>
        </is>
      </c>
      <c r="W323" s="3" t="n"/>
      <c r="X323" s="3" t="n"/>
      <c r="Y323" s="3" t="inlineStr">
        <is>
          <t>NOTHING OPEN</t>
        </is>
      </c>
    </row>
    <row r="324" ht="60" customHeight="1">
      <c r="A324" s="3" t="inlineStr">
        <is>
          <t>MK-NW-F-098</t>
        </is>
      </c>
      <c r="B324" s="3" t="inlineStr">
        <is>
          <t>LEDGER_BAND</t>
        </is>
      </c>
      <c r="C324" s="3" t="inlineStr">
        <is>
          <t>MoneyKeel/functions/networth-and-performance/net-worth.ts</t>
        </is>
      </c>
      <c r="D324" s="3" t="n">
        <v>665</v>
      </c>
      <c r="E324" s="3" t="inlineStr">
        <is>
          <t>1 · ACTION</t>
        </is>
      </c>
      <c r="F324" s="3" t="inlineStr">
        <is>
          <t>Example only: the total of one named group in the worked example of the Net worth list.</t>
        </is>
      </c>
      <c r="G324" s="11" t="inlineStr">
        <is>
          <t>LEDGER('class').find((g) =&gt; label = label).total (or nothing when missing)</t>
        </is>
      </c>
      <c r="H324" s="3" t="inlineStr">
        <is>
          <t>LEDGER('class').find((g) =&gt; label = label).total (or no answer — when missing)</t>
        </is>
      </c>
      <c r="I324" s="3" t="inlineStr">
        <is>
          <t>PARTLY READ — some of the code is still showing through; needs a hand pass</t>
        </is>
      </c>
      <c r="J324" s="3" t="inlineStr">
        <is>
          <t>label: string</t>
        </is>
      </c>
      <c r="K324" s="3" t="inlineStr">
        <is>
          <t>NOT DECLARED — the code does not say what it gives back</t>
        </is>
      </c>
      <c r="L324" s="3" t="inlineStr">
        <is>
          <t>—</t>
        </is>
      </c>
      <c r="M324" s="3" t="inlineStr">
        <is>
          <t>None found in this function — anything it assumes comes from the functions it depends on.</t>
        </is>
      </c>
      <c r="N324" s="3" t="inlineStr">
        <is>
          <t>Yes</t>
        </is>
      </c>
      <c r="O324" s="3" t="inlineStr">
        <is>
          <t>1. MK-NW-F-097 LEDGER
2. MK-CF-F-200 LINE</t>
        </is>
      </c>
      <c r="P324" s="3" t="n">
        <v>112</v>
      </c>
      <c r="Q324" s="3" t="inlineStr">
        <is>
          <t>1. MK-NW-F-097 LEDGER
2. MK-CF-F-200 LINE
3. MK-NW-F-096 CLASS_KEY_OF
4. MK-NW-F-095 CLASS_LABEL_OF
5. MK-NW-F-094 ledgerGroups
6. MK-XS-F-180 declareFigures
7. MK-CF-O-006 theCreditLine
8. MK-NW-F-027 accountClassBreakdown
9. MK-CF-F-132 map
10. MK-CF-F-031 creditUtilization
11. MK-CF-F-204 line
12. MK-NW-F-011 assetClassOf
13. MK-CF-F-155 cash
14. MK-ST-F-056 has
15. MK-NW-F-109 holdingClassOf
16. MK-CF-F-203 MONTH
17. MK-NW-F-008 incomeBearingClassOf
18. MK-XS-F-122 n
19. MK-CF-O-010 theMonth
20. MK-ST-F-010 nameEvidence
21. MK-CF-O-002 expenses
22. MK-CF-O-003 thisMonth
23. MK-XS-F-147 call
24. MK-CF-F-151 actualSpending
25. MK-CF-F-150 debtPaymentsCountedAsExpenses
26. MK-CF-F-153 radar
27. MK-CF-F-149 recurringDebtPayments
28. MK-CF-F-005 actualMonthFlow
29. MK-CF-F-156 plannedMonthFlow
30. MK-ST-F-027 accountId
31. MK-XS-F-064 currentIdToken
32. MK-XS-F-112 relayUrl
33. MK-CF-F-148 inMonth
34. MK-ST-F-052 toNum
35. MK-CF-F-191 ym
36. MK-CF-F-022 paymentShape
37. MK-CF-F-152 isRadarItem
38. MK-CF-F-023 requiredPayment
39. MK-NW-F-078 ONE
40. MK-CF-F-157 debtPaymentsByDebt
41. MK-CF-F-192 inflowLabel
42. MK-XS-F-027 takeHomeMonthly
43. MK-CF-F-021 defaultPaymentType
44. MK-NW-F-077 ALL
45. MK-NW-F-059 currentYield
46. MK-ST-F-049 formatMoney
47. MK-ST-F-053 money
48. MK-NW-O-001 theBonds
49. MK-CF-F-193 inflowSourceWord
50. MK-CF-F-092 incomeMonthlyGrid
51. MK-CF-F-011 savingsByMonth
52. MK-NW-F-112 yearlyInterest
53. MK-ST-F-048 currencySymbol
54. MK-ST-F-039 on
55. MK-NW-F-057 annualCoupon
56. MK-NW-F-056 bondInfo
57. MK-NW-F-064 bondRateSensitivity
58. MK-NW-F-061 bondSummary
59. MK-NW-F-055 isBond
60. MK-ST-F-065 isoLocalDate
61. MK-NW-F-072 rowOf
62. MK-CF-F-069 benefitActiveMonths
63. MK-CF-F-072 currentRetirementIncomeMonthly
64. MK-CF-F-173 earnerWages
65. MK-CF-F-065 equityVestWeights
66. MK-CF-F-071 extraIncome
67. MK-CF-F-206 householdK401ByMonth
68. MK-CF-F-087 monthlyTaxRates
69. MK-CF-F-073 otherIncomeMonth
70. MK-CF-F-181 rateInForce
71. MK-CF-F-068 rentalNetAnnual
72. MK-CF-F-066 rsuAnnual
73. MK-CF-F-060 salaryGrossByMonth
74. MK-CF-F-077 scholarshipByCalendarMonth
75. MK-CF-F-088 taxableByCalendarMonth
76. MK-CF-F-177 wageGrossByMonth
77. MK-PL-F-012 waterfall
78. MK-CF-F-008 spendByMonth
79. MK-ST-F-047 activeCurrency
80. MK-NW-F-060 approxYTM
81. MK-NW-F-069 priceAtYield
82. MK-NW-F-070 accruedInterestCaveat
83. MK-NW-F-058 yearsToMaturity
84. MK-CF-F-075 retirementIncomeMonthly
85. MK-CF-F-172 hasWage
86. MK-CF-F-062 equityRowValue
87. MK-CF-F-070 benefitAnnual
88. MK-CF-F-176 sumMonthsOverEarners
89. MK-CF-F-090 effectiveRate
90. MK-CF-F-180 enteredLandsAnnual
91. MK-CF-F-085 filingStatusOf
92. MK-CF-F-089 over65CountOf
93. MK-CF-F-082 salaryAnnual
94. MK-CF-F-086 stateRateOf
95. MK-CF-F-101 taxOwedFor
96. MK-CF-F-084 taxableAnnual
97. MK-CF-F-067 rentalList
98. MK-CF-F-063 rowVestYear
99. MK-CF-F-130 enteredMonthlyRaw
100. MK-CF-F-166 hasMonthlySalaryTable
101. MK-ST-F-036 reconcile
102. MK-CF-F-167 salaryCalendarYear
103. MK-CF-F-120 pctBaseMonthly
104. MK-CF-F-004 spendBuckets
105. MK-NW-F-119 estimatedAccrued
106. MK-CF-F-100 taxableIncomeFor
107. MK-CF-F-074 tipsAnnual
108. MK-CF-F-165 salaryMonths
109. MK-CF-F-003 categoryMonthly
110. MK-CF-F-099 deductionFor
111. MK-CF-F-081 salaryActiveMonths
112. MK-CF-F-187 seniorDeductionFor</t>
        </is>
      </c>
      <c r="R324" s="3" t="inlineStr">
        <is>
          <t>1. MK-NW-F-096 CLASS_KEY_OF → MK-NW-F-097 LEDGER → MK-NW-F-098 LEDGER_BAND
2. MK-NW-F-095 CLASS_LABEL_OF → MK-NW-F-097 LEDGER → MK-NW-F-098 LEDGER_BAND
3. MK-NW-F-008 incomeBearingClassOf → MK-NW-F-011 assetClassOf → MK-NW-F-027 accountClassBreakdown → MK-NW-F-094 ledgerGroups → MK-NW-F-097 LEDGER → MK-NW-F-098 LEDGER_BAND
4. MK-XS-F-122 n → MK-CF-F-155 cash → MK-NW-F-027 accountClassBreakdown → MK-NW-F-094 ledgerGroups → MK-NW-F-097 LEDGER → MK-NW-F-098 LEDGER_BAND
5. MK-ST-F-056 has → MK-NW-F-027 accountClassBreakdown → MK-NW-F-094 ledgerGroups → MK-NW-F-097 LEDGER → MK-NW-F-098 LEDGER_BAND
6. MK-CF-F-155 cash → MK-NW-F-109 holdingClassOf → MK-NW-F-027 accountClassBreakdown → MK-NW-F-094 ledgerGroups → MK-NW-F-097 LEDGER → MK-NW-F-098 LEDGER_BAND
7. MK-NW-F-008 incomeBearingClassOf → MK-NW-F-109 holdingClassOf → MK-NW-F-027 accountClassBreakdown → MK-NW-F-094 ledgerGroups → MK-NW-F-097 LEDGER → MK-NW-F-098 LEDGER_BAND
8. MK-CF-F-132 map → MK-NW-F-027 accountClassBreakdown → MK-NW-F-094 ledgerGroups → MK-NW-F-097 LEDGER → MK-NW-F-098 LEDGER_BAND
9. … and 4 more paths</t>
        </is>
      </c>
      <c r="S324" s="3" t="inlineStr">
        <is>
          <t>—</t>
        </is>
      </c>
      <c r="T324" s="3" t="inlineStr">
        <is>
          <t>—</t>
        </is>
      </c>
      <c r="U324" s="3" t="inlineStr">
        <is>
          <t>ACTIVE</t>
        </is>
      </c>
      <c r="V324" s="3" t="inlineStr">
        <is>
          <t>2026-09-30</t>
        </is>
      </c>
      <c r="W324" s="3" t="n"/>
      <c r="X324" s="3" t="n"/>
      <c r="Y324" s="3" t="inlineStr">
        <is>
          <t>NOTHING OPEN</t>
        </is>
      </c>
    </row>
    <row r="325" ht="60" customHeight="1">
      <c r="A325" s="3" t="inlineStr">
        <is>
          <t>MK-NW-F-099</t>
        </is>
      </c>
      <c r="B325" s="3" t="inlineStr">
        <is>
          <t>SNAP</t>
        </is>
      </c>
      <c r="C325" s="3" t="inlineStr">
        <is>
          <t>MoneyKeel/functions/networth-and-performance/net-worth.ts</t>
        </is>
      </c>
      <c r="D325" s="3" t="n">
        <v>693</v>
      </c>
      <c r="E325" s="3" t="inlineStr">
        <is>
          <t>1 · ACTION</t>
        </is>
      </c>
      <c r="F325" s="3" t="inlineStr">
        <is>
          <t>Example only: makes one month's recorded net worth for the worked example of the trend line.</t>
        </is>
      </c>
      <c r="G325" s="11" t="inlineStr">
        <is>
          <t>NOT READ YET — the body is not a shape this can render faithfully, so nothing is claimed rather than something being guessed. It needs reading by hand.</t>
        </is>
      </c>
      <c r="H325" s="3" t="inlineStr">
        <is>
          <t>NOT READ YET — the body is not a shape this can render faithfully, so nothing is claimed rather than something being guessed. It needs reading by hand.</t>
        </is>
      </c>
      <c r="I325" s="3" t="inlineStr">
        <is>
          <t>NOT READ — nothing is claimed rather than something guessed</t>
        </is>
      </c>
      <c r="J325" s="3" t="inlineStr">
        <is>
          <t>1. month: string
2. net: number</t>
        </is>
      </c>
      <c r="K325" s="3" t="inlineStr">
        <is>
          <t>net, gross_assets: net + 242000, gross_debt: 242000 });</t>
        </is>
      </c>
      <c r="L325" s="3" t="inlineStr">
        <is>
          <t>—</t>
        </is>
      </c>
      <c r="M325" s="3" t="inlineStr">
        <is>
          <t>None found in this function — anything it assumes comes from the functions it depends on.</t>
        </is>
      </c>
      <c r="N325" s="3" t="inlineStr">
        <is>
          <t>Yes</t>
        </is>
      </c>
      <c r="O325" s="3" t="inlineStr">
        <is>
          <t>—</t>
        </is>
      </c>
      <c r="P325" s="3" t="n">
        <v>0</v>
      </c>
      <c r="Q325" s="3" t="inlineStr">
        <is>
          <t>None — no dependent function stands behind it</t>
        </is>
      </c>
      <c r="R325" s="3" t="inlineStr">
        <is>
          <t>No dependent function — it reads its inputs and answers</t>
        </is>
      </c>
      <c r="S325" s="3" t="inlineStr">
        <is>
          <t>—</t>
        </is>
      </c>
      <c r="T325" s="3" t="inlineStr">
        <is>
          <t>—</t>
        </is>
      </c>
      <c r="U325" s="3" t="inlineStr">
        <is>
          <t>ACTIVE</t>
        </is>
      </c>
      <c r="V325" s="3" t="inlineStr">
        <is>
          <t>2026-09-30</t>
        </is>
      </c>
      <c r="W325" s="3" t="n"/>
      <c r="X325" s="3" t="n"/>
      <c r="Y325" s="3" t="inlineStr">
        <is>
          <t>NOTHING OPEN</t>
        </is>
      </c>
    </row>
    <row r="326" ht="60" customHeight="1">
      <c r="A326" s="3" t="inlineStr">
        <is>
          <t>MK-NW-F-100</t>
        </is>
      </c>
      <c r="B326" s="3" t="inlineStr">
        <is>
          <t>TREND</t>
        </is>
      </c>
      <c r="C326" s="3" t="inlineStr">
        <is>
          <t>MoneyKeel/functions/networth-and-performance/net-worth.ts</t>
        </is>
      </c>
      <c r="D326" s="3" t="n">
        <v>716</v>
      </c>
      <c r="E326" s="3" t="inlineStr">
        <is>
          <t>1 · ACTION</t>
        </is>
      </c>
      <c r="F326" s="3" t="inlineStr">
        <is>
          <t>Example only: runs theNetWorth on four months of recorded net worth, to show the trend line.</t>
        </is>
      </c>
      <c r="G326" s="11" t="inlineStr">
        <is>
          <t>NOT READ YET — the body is not a shape this can render faithfully, so nothing is claimed rather than something being guessed. It needs reading by hand.</t>
        </is>
      </c>
      <c r="H326" s="3" t="inlineStr">
        <is>
          <t>NOT READ YET — the body is not a shape this can render faithfully, so nothing is claimed rather than something being guessed. It needs reading by hand.</t>
        </is>
      </c>
      <c r="I326" s="3" t="inlineStr">
        <is>
          <t>NOT READ — nothing is claimed rather than something guessed</t>
        </is>
      </c>
      <c r="J326" s="3" t="inlineStr">
        <is>
          <t>Nothing is handed to it</t>
        </is>
      </c>
      <c r="K326" s="3" t="inlineStr">
        <is>
          <t>NOT DECLARED — the code does not say what it gives back</t>
        </is>
      </c>
      <c r="L326" s="3" t="inlineStr">
        <is>
          <t>—</t>
        </is>
      </c>
      <c r="M326" s="3" t="inlineStr">
        <is>
          <t>None found in this function — anything it assumes comes from the functions it depends on.</t>
        </is>
      </c>
      <c r="N326" s="3" t="inlineStr">
        <is>
          <t>Yes</t>
        </is>
      </c>
      <c r="O326" s="3" t="inlineStr">
        <is>
          <t>1. MK-NW-F-099 SNAP
2. MK-NW-O-003 theNetWorth</t>
        </is>
      </c>
      <c r="P326" s="3" t="n">
        <v>205</v>
      </c>
      <c r="Q326" s="3" t="inlineStr">
        <is>
          <t>1. MK-NW-F-099 SNAP
2. MK-NW-O-003 theNetWorth
3. MK-NW-F-078 ONE
4. MK-NW-F-029 assetAllocation
5. MK-NW-F-011 assetClassOf
6. MK-NW-F-039 buildAssetsState
7. MK-ST-F-028 buildDayFromAccounts
8. MK-CF-F-036 buildDebtState
9. MK-NW-F-065 buildNetWorth
10. MK-NW-F-016 cashTotal
11. MK-NW-F-022 investableAssets
12. MK-NW-F-021 investmentsTotal
13. MK-NW-F-014 isRealAsset
14. MK-ST-F-065 isoLocalDate
15. MK-CF-F-132 map
16. MK-NW-F-106 mortgagesByProperty
17. MK-ST-F-082 movementsOf
18. MK-ST-F-039 on
19. MK-ST-F-030 record
20. MK-CF-F-023 requiredPayment
21. MK-ST-F-081 timeWeightedReturn
22. MK-XS-F-005 trendPoints
23. MK-XS-F-175 uid
24. MK-NW-F-077 ALL
25. MK-NW-F-059 currentYield
26. MK-XS-F-180 declareFigures
27. MK-ST-F-049 formatMoney
28. MK-ST-F-053 money
29. MK-NW-O-001 theBonds
30. MK-NW-F-027 accountClassBreakdown
31. MK-NW-F-008 incomeBearingClassOf
32. MK-CF-F-026 actualDebtPayment
33. MK-CF-F-204 line
34. MK-CF-F-025 minimumDebtService
35. MK-NW-F-066 sumWhere
36. MK-NW-F-015 totalAssets
37. MK-NW-F-023 wrapperWord
38. MK-CF-F-155 cash
39. MK-ST-F-056 has
40. MK-CF-F-022 paymentShape
41. MK-ST-F-027 accountId
42. MK-ST-F-083 accountValuesOn
43. MK-ST-F-080 isDay
44. MK-XS-F-009 readHistory
45. MK-CF-F-111 applyTransaction
46. MK-NW-F-040 assetsFromOnboarding
47. MK-PF-F-013 benchmarkTicker
48. MK-PF-F-034 closeOnOrBefore
49. MK-CF-F-186 convertTakeHomeMode
50. MK-ST-F-079 dailyWindowStart
51. MK-CF-F-038 debtsFromOnboarding
52. MK-XS-F-083 fetchPriceSeries
53. MK-ST-F-084 fillBetweenObservations
54. MK-PL-F-013 goalsFromOnboarding
55. MK-CF-F-116 inverseOf
56. MK-CF-F-112 makeTransaction
57. MK-XS-F-122 n
58. MK-ST-F-043 newEntityId
59. MK-XS-F-006 pruneDaily
60. MK-ST-F-073 rebuildDays
61. MK-NW-F-054 reclassifyAccounts
62. MK-XS-F-174 recomputeBalances
63. MK-CF-F-115 restoreUndo
64. MK-CF-F-109 reviewTransactions
65. MK-ST-F-044 setMoneyFormat
66. MK-CF-F-114 undoSnapshot
67. MK-CF-F-191 ym
68. MK-NW-F-112 yearlyInterest
69. MK-ST-F-048 currencySymbol
70. MK-NW-F-057 annualCoupon
71. MK-NW-F-056 bondInfo
72. MK-NW-F-064 bondRateSensitivity
73. MK-NW-F-061 bondSummary
74. MK-NW-F-055 isBond
75. MK-NW-F-072 rowOf
76. MK-NW-F-109 holdingClassOf
77. MK-ST-F-010 nameEvidence
78. MK-CF-F-024 totalDebtMonthly
79. MK-CF-F-203 MONTH
80. MK-CF-F-021 defaultPaymentType
81. MK-XS-F-008 normalizeSnapshot
82. MK-CF-F-138 addLot
83. MK-CF-F-136 bumpCash
84. MK-CF-F-137 findPos
85. MK-CF-F-139 removeShares
86. MK-PF-F-001 totalShares
87. MK-ST-F-052 toNum
88. MK-CF-F-085 filingStatusOf
89. MK-CF-F-097 grossFromNet
90. MK-CF-F-185 needsTakeHomeConversion
91. MK-CF-F-089 over65CountOf
92. MK-CF-F-037 inferDebtType
93. MK-ST-F-069 amountOf
94. MK-CF-F-133 cashOf
95. MK-ST-F-066 isDayKey
96. MK-ST-F-070 isOpening
97. MK-ST-F-071 rebuildableFrom
98. MK-ST-F-068 stepDay
99. MK-ST-F-072 undo
100. MK-NW-F-053 correctClassOf
101. MK-PF-F-002 costBasis
102. MK-PF-F-009 latestClose
103. MK-PF-F-004 marketValue
104. MK-XS-F-024 resolveLens
105. MK-ST-F-055 round2
106. MK-CF-F-162 daysApart
107. MK-CF-F-108 isMoneyOut
108. MK-PL-F-074 median
109. MK-CF-F-131 normPayee
110. MK-CF-F-113 affectedAccountIds
111. MK-ST-F-047 activeCurrency
112. MK-NW-F-060 approxYTM
113. MK-NW-F-069 priceAtYield
114. MK-NW-F-070 accruedInterestCaveat
115. MK-NW-F-058 yearsToMaturity
116. MK-XS-F-147 call
117. MK-CF-F-201 INCOME
118. MK-CF-O-010 theMonth
119. MK-XS-F-121 isYm
120. MK-CF-F-134 usesSleeve
121. MK-CF-F-101 taxOwedFor
122. MK-ST-F-067 utcOfDay
123. MK-ST-F-035 covers
124. MK-NW-F-009 maturityClass
125. MK-PF-F-031 contractMultiplier
126. MK-CF-F-072 currentRetirementIncomeMonthly
127. MK-NW-F-119 estimatedAccrued
128. MK-XS-F-064 currentIdToken
129. MK-XS-F-112 relayUrl
130. MK-CF-F-207 SOURCE
131. MK-CF-O-004 incomeSummary
132. MK-CF-O-002 expenses
133. MK-CF-O-003 thisMonth
134. MK-CF-F-100 taxableIncomeFor
135. MK-ST-F-034 firstDate
136. MK-CF-F-075 retirementIncomeMonthly
137. MK-CF-O-016 incomeSources
138. MK-CF-O-001 basePay
139. MK-CF-F-069 benefitActiveMonths
140. MK-CF-F-173 earnerWages
141. MK-CF-F-179 entryFromWage
142. MK-CF-F-071 extraIncome
143. MK-CF-F-092 incomeMonthlyGrid
144. MK-CF-F-192 inflowLabel
145. MK-CF-F-103 marginalBracketFor
146. MK-CF-F-181 rateInForce
147. MK-CF-F-068 rentalNetAnnual
148. MK-CF-F-082 salaryAnnual
149. MK-CF-F-060 salaryGrossByMonth
150. MK-CF-F-084 taxableAnnual
151. MK-CF-F-151 actualSpending
152. MK-CF-F-150 debtPaymentsCountedAsExpenses
153. MK-CF-F-153 radar
154. MK-CF-F-149 recurringDebtPayments
155. MK-CF-F-005 actualMonthFlow
156. MK-CF-F-156 plannedMonthFlow
157. MK-CF-F-099 deductionFor
158. MK-CF-F-066 rsuAnnual
159. MK-CF-F-171 earnerPay
160. MK-HM-F-006 money0
161. MK-CF-F-198 payrollTaxWithheld
162. MK-CF-F-172 hasWage
163. MK-CF-F-165 salaryMonths
164. MK-CF-F-070 benefitAnnual
165. MK-CF-F-065 equityVestWeights
166. MK-CF-F-206 householdK401ByMonth
167. MK-CF-F-087 monthlyTaxRates
168. MK-CF-F-073 otherIncomeMonth
169. MK-CF-F-077 scholarshipByCalendarMonth
170. MK-CF-F-088 taxableByCalendarMonth
171. MK-CF-F-177 wageGrossByMonth
172. MK-PL-F-012 waterfall
173. MK-CF-F-193 inflowSourceWord
174. MK-CF-F-180 enteredLandsAnnual
175. MK-CF-F-086 stateRateOf
176. MK-CF-F-067 rentalList
177. MK-CF-F-176 sumMonthsOverEarners
178. MK-CF-F-074 tipsAnnual
179. MK-CF-F-148 inMonth
180. MK-CF-F-152 isRadarItem
181. MK-CF-F-157 debtPaymentsByDebt
182. MK-XS-F-027 takeHomeMonthly
183. MK-CF-F-187 seniorDeductionFor
184. MK-CF-F-062 equityRowValue
185. MK-CF-F-063 rowVestYear
186. MK-CF-F-143 annualisedGross
187. MK-CF-F-145 deductionsFromPay
188. MK-CF-F-128 grossByMonth
189. MK-CF-F-146 payFiguresAgree
190. MK-CF-F-144 takeHomeAsEntered
191. MK-HM-F-005 pctTxt
192. MK-CF-F-090 effectiveRate
193. MK-CF-F-130 enteredMonthlyRaw
194. MK-CF-F-166 hasMonthlySalaryTable
195. MK-ST-F-036 reconcile
196. MK-CF-F-167 salaryCalendarYear
197. MK-CF-F-081 salaryActiveMonths
198. MK-CF-F-011 savingsByMonth
199. MK-CF-F-142 monthsOf
200. MK-CF-F-141 perMonth
201. MK-CF-F-008 spendByMonth
202. MK-CF-F-140 periodsAYear
203. MK-CF-F-120 pctBaseMonthly
204. MK-CF-F-004 spendBuckets
205. MK-CF-F-003 categoryMonthly</t>
        </is>
      </c>
      <c r="R326" s="3" t="inlineStr">
        <is>
          <t>1. MK-NW-F-099 SNAP → MK-NW-F-100 TREND
2. MK-ST-F-027 accountId → MK-NW-O-001 theBonds → MK-NW-F-077 ALL → MK-NW-F-078 ONE → MK-NW-O-003 theNetWorth → MK-NW-F-100 TREND
3. MK-NW-F-057 annualCoupon → MK-NW-O-001 theBonds → MK-NW-F-077 ALL → MK-NW-F-078 ONE → MK-NW-O-003 theNetWorth → MK-NW-F-100 TREND
4. MK-NW-F-056 bondInfo → MK-NW-O-001 theBonds → MK-NW-F-077 ALL → MK-NW-F-078 ONE → MK-NW-O-003 theNetWorth → MK-NW-F-100 TREND
5. MK-NW-F-064 bondRateSensitivity → MK-NW-O-001 theBonds → MK-NW-F-077 ALL → MK-NW-F-078 ONE → MK-NW-O-003 theNetWorth → MK-NW-F-100 TREND
6. MK-NW-F-061 bondSummary → MK-NW-O-001 theBonds → MK-NW-F-077 ALL → MK-NW-F-078 ONE → MK-NW-O-003 theNetWorth → MK-NW-F-100 TREND
7. MK-NW-F-055 isBond → MK-NW-O-001 theBonds → MK-NW-F-077 ALL → MK-NW-F-078 ONE → MK-NW-O-003 theNetWorth → MK-NW-F-100 TREND
8. MK-ST-F-065 isoLocalDate → MK-NW-O-001 theBonds → MK-NW-F-077 ALL → MK-NW-F-078 ONE → MK-NW-O-003 theNetWorth → MK-NW-F-100 TREND
9. … and 4 more paths</t>
        </is>
      </c>
      <c r="S326" s="3" t="inlineStr">
        <is>
          <t>—</t>
        </is>
      </c>
      <c r="T326" s="3" t="inlineStr">
        <is>
          <t>—</t>
        </is>
      </c>
      <c r="U326" s="3" t="inlineStr">
        <is>
          <t>ACTIVE</t>
        </is>
      </c>
      <c r="V326" s="3" t="inlineStr">
        <is>
          <t>2026-09-30</t>
        </is>
      </c>
      <c r="W326" s="3" t="n"/>
      <c r="X326" s="3" t="n"/>
      <c r="Y326" s="3" t="inlineStr">
        <is>
          <t>NOTHING OPEN</t>
        </is>
      </c>
    </row>
    <row r="327" ht="60" customHeight="1">
      <c r="A327" s="3" t="inlineStr">
        <is>
          <t>MK-NW-F-101</t>
        </is>
      </c>
      <c r="B327" s="3" t="inlineStr">
        <is>
          <t>PLAN</t>
        </is>
      </c>
      <c r="C327" s="3" t="inlineStr">
        <is>
          <t>MoneyKeel/functions/networth-and-performance/net-worth.ts</t>
        </is>
      </c>
      <c r="D327" s="3" t="n">
        <v>760</v>
      </c>
      <c r="E327" s="3" t="inlineStr">
        <is>
          <t>2 · DISPLAYED</t>
        </is>
      </c>
      <c r="F327" s="3" t="inlineStr">
        <is>
          <t>Example only: runs the nest-egg projection on the worked example and calculates nothing of its own.</t>
        </is>
      </c>
      <c r="G327" s="11" t="inlineStr">
        <is>
          <t>NOT READ YET — the body is not a shape this can render faithfully, so nothing is claimed rather than something being guessed. It needs reading by hand.</t>
        </is>
      </c>
      <c r="H327" s="3" t="inlineStr">
        <is>
          <t>NOT READ YET — the body is not a shape this can render faithfully, so nothing is claimed rather than something being guessed. It needs reading by hand.</t>
        </is>
      </c>
      <c r="I327" s="3" t="inlineStr">
        <is>
          <t>NOT READ — nothing is claimed rather than something guessed</t>
        </is>
      </c>
      <c r="J327" s="3" t="inlineStr">
        <is>
          <t>Nothing is handed to it</t>
        </is>
      </c>
      <c r="K327" s="3" t="inlineStr">
        <is>
          <t>NOT DECLARED — the code does not say what it gives back</t>
        </is>
      </c>
      <c r="L327" s="3" t="inlineStr">
        <is>
          <t>NOT FOUND — a screen calls it, but the words printed beside its answer could not be traced automatically. Needs reading.</t>
        </is>
      </c>
      <c r="M327" s="3" t="inlineStr">
        <is>
          <t>None found in this function — anything it assumes comes from the functions it depends on.</t>
        </is>
      </c>
      <c r="N327" s="3" t="inlineStr">
        <is>
          <t>Yes</t>
        </is>
      </c>
      <c r="O327" s="3" t="inlineStr">
        <is>
          <t>1. MK-NW-F-097 LEDGER
2. MK-NW-F-098 LEDGER_BAND
3. MK-NW-F-082 NW
4. MK-NW-F-100 TREND
5. MK-CF-F-155 cash
6. MK-XS-F-180 declareFigures
7. MK-ST-F-049 formatMoney
8. MK-CF-F-204 line
9. MK-PL-F-055 projectNestEgg
10. MK-NW-O-003 theNetWorth</t>
        </is>
      </c>
      <c r="P327" s="3" t="n">
        <v>222</v>
      </c>
      <c r="Q327" s="3" t="inlineStr">
        <is>
          <t>1. MK-NW-F-097 LEDGER
2. MK-NW-F-098 LEDGER_BAND
3. MK-NW-F-082 NW
4. MK-NW-F-100 TREND
5. MK-CF-F-155 cash
6. MK-XS-F-180 declareFigures
7. MK-ST-F-049 formatMoney
8. MK-CF-F-204 line
9. MK-PL-F-055 projectNestEgg
10. MK-NW-O-003 theNetWorth
11. MK-NW-F-096 CLASS_KEY_OF
12. MK-NW-F-095 CLASS_LABEL_OF
13. MK-NW-F-094 ledgerGroups
14. MK-CF-F-200 LINE
15. MK-NW-F-099 SNAP
16. MK-XS-F-122 n
17. MK-ST-F-048 currencySymbol
18. MK-ST-F-039 on
19. MK-CF-F-203 MONTH
20. MK-CF-F-132 map
21. MK-PL-F-050 simulate
22. MK-NW-F-078 ONE
23. MK-NW-F-029 assetAllocation
24. MK-NW-F-011 assetClassOf
25. MK-NW-F-039 buildAssetsState
26. MK-ST-F-028 buildDayFromAccounts
27. MK-CF-F-036 buildDebtState
28. MK-NW-F-065 buildNetWorth
29. MK-NW-F-016 cashTotal
30. MK-NW-F-022 investableAssets
31. MK-NW-F-021 investmentsTotal
32. MK-NW-F-014 isRealAsset
33. MK-ST-F-065 isoLocalDate
34. MK-NW-F-106 mortgagesByProperty
35. MK-ST-F-082 movementsOf
36. MK-ST-F-030 record
37. MK-CF-F-023 requiredPayment
38. MK-ST-F-081 timeWeightedReturn
39. MK-XS-F-005 trendPoints
40. MK-XS-F-175 uid
41. MK-NW-F-027 accountClassBreakdown
42. MK-CF-O-006 theCreditLine
43. MK-ST-F-047 activeCurrency
44. MK-CF-O-010 theMonth
45. MK-CF-O-002 expenses
46. MK-PL-F-074 median
47. MK-PL-F-072 mulberry32
48. MK-PL-F-073 normal
49. MK-PL-F-075 pctOfSorted
50. MK-ST-F-025 rmdStartAgeFromAge
51. MK-NW-F-077 ALL
52. MK-NW-F-059 currentYield
53. MK-ST-F-053 money
54. MK-NW-O-001 theBonds
55. MK-NW-F-008 incomeBearingClassOf
56. MK-CF-F-026 actualDebtPayment
57. MK-CF-F-025 minimumDebtService
58. MK-NW-F-066 sumWhere
59. MK-NW-F-015 totalAssets
60. MK-NW-F-023 wrapperWord
61. MK-ST-F-056 has
62. MK-CF-F-022 paymentShape
63. MK-ST-F-027 accountId
64. MK-ST-F-083 accountValuesOn
65. MK-ST-F-080 isDay
66. MK-XS-F-009 readHistory
67. MK-CF-F-111 applyTransaction
68. MK-NW-F-040 assetsFromOnboarding
69. MK-PF-F-013 benchmarkTicker
70. MK-PF-F-034 closeOnOrBefore
71. MK-CF-F-186 convertTakeHomeMode
72. MK-ST-F-079 dailyWindowStart
73. MK-CF-F-038 debtsFromOnboarding
74. MK-XS-F-083 fetchPriceSeries
75. MK-ST-F-084 fillBetweenObservations
76. MK-PL-F-013 goalsFromOnboarding
77. MK-CF-F-116 inverseOf
78. MK-CF-F-112 makeTransaction
79. MK-ST-F-043 newEntityId
80. MK-XS-F-006 pruneDaily
81. MK-ST-F-073 rebuildDays
82. MK-NW-F-054 reclassifyAccounts
83. MK-XS-F-174 recomputeBalances
84. MK-CF-F-115 restoreUndo
85. MK-CF-F-109 reviewTransactions
86. MK-ST-F-044 setMoneyFormat
87. MK-CF-F-114 undoSnapshot
88. MK-CF-F-191 ym
89. MK-NW-F-109 holdingClassOf
90. MK-CF-F-031 creditUtilization
91. MK-CF-O-003 thisMonth
92. MK-CF-F-151 actualSpending
93. MK-CF-F-150 debtPaymentsCountedAsExpenses
94. MK-CF-F-153 radar
95. MK-CF-F-149 recurringDebtPayments
96. MK-ST-F-024 rmdStartAge
97. MK-NW-F-112 yearlyInterest
98. MK-NW-F-057 annualCoupon
99. MK-NW-F-056 bondInfo
100. MK-NW-F-064 bondRateSensitivity
101. MK-NW-F-061 bondSummary
102. MK-NW-F-055 isBond
103. MK-NW-F-072 rowOf
104. MK-ST-F-010 nameEvidence
105. MK-CF-F-024 totalDebtMonthly
106. MK-CF-F-021 defaultPaymentType
107. MK-XS-F-008 normalizeSnapshot
108. MK-CF-F-138 addLot
109. MK-CF-F-136 bumpCash
110. MK-CF-F-137 findPos
111. MK-CF-F-139 removeShares
112. MK-PF-F-001 totalShares
113. MK-ST-F-052 toNum
114. MK-CF-F-085 filingStatusOf
115. MK-CF-F-097 grossFromNet
116. MK-CF-F-185 needsTakeHomeConversion
117. MK-CF-F-089 over65CountOf
118. MK-CF-F-037 inferDebtType
119. MK-ST-F-069 amountOf
120. MK-CF-F-133 cashOf
121. MK-ST-F-066 isDayKey
122. MK-ST-F-070 isOpening
123. MK-ST-F-071 rebuildableFrom
124. MK-ST-F-068 stepDay
125. MK-ST-F-072 undo
126. MK-NW-F-053 correctClassOf
127. MK-PF-F-002 costBasis
128. MK-PF-F-009 latestClose
129. MK-PF-F-004 marketValue
130. MK-XS-F-024 resolveLens
131. MK-ST-F-055 round2
132. MK-CF-F-162 daysApart
133. MK-CF-F-108 isMoneyOut
134. MK-CF-F-131 normPayee
135. MK-CF-F-113 affectedAccountIds
136. MK-CF-F-005 actualMonthFlow
137. MK-CF-F-156 plannedMonthFlow
138. MK-CF-F-148 inMonth
139. MK-CF-F-152 isRadarItem
140. MK-NW-F-060 approxYTM
141. MK-NW-F-069 priceAtYield
142. MK-NW-F-070 accruedInterestCaveat
143. MK-NW-F-058 yearsToMaturity
144. MK-XS-F-147 call
145. MK-CF-F-201 INCOME
146. MK-XS-F-121 isYm
147. MK-CF-F-134 usesSleeve
148. MK-CF-F-101 taxOwedFor
149. MK-ST-F-067 utcOfDay
150. MK-ST-F-035 covers
151. MK-NW-F-009 maturityClass
152. MK-PF-F-031 contractMultiplier
153. MK-CF-F-072 currentRetirementIncomeMonthly
154. MK-CF-F-157 debtPaymentsByDebt
155. MK-CF-F-192 inflowLabel
156. MK-XS-F-027 takeHomeMonthly
157. MK-NW-F-119 estimatedAccrued
158. MK-XS-F-064 currentIdToken
159. MK-XS-F-112 relayUrl
160. MK-CF-F-207 SOURCE
161. MK-CF-O-004 incomeSummary
162. MK-CF-F-100 taxableIncomeFor
163. MK-ST-F-034 firstDate
164. MK-CF-F-075 retirementIncomeMonthly
165. MK-CF-F-193 inflowSourceWord
166. MK-CF-F-092 incomeMonthlyGrid
167. MK-CF-F-011 savingsByMonth
168. MK-CF-O-016 incomeSources
169. MK-CF-O-001 basePay
170. MK-CF-F-069 benefitActiveMonths
171. MK-CF-F-173 earnerWages
172. MK-CF-F-179 entryFromWage
173. MK-CF-F-071 extraIncome
174. MK-CF-F-103 marginalBracketFor
175. MK-CF-F-181 rateInForce
176. MK-CF-F-068 rentalNetAnnual
177. MK-CF-F-082 salaryAnnual
178. MK-CF-F-060 salaryGrossByMonth
179. MK-CF-F-084 taxableAnnual
180. MK-CF-F-099 deductionFor
181. MK-CF-F-065 equityVestWeights
182. MK-CF-F-206 householdK401ByMonth
183. MK-CF-F-087 monthlyTaxRates
184. MK-CF-F-073 otherIncomeMonth
185. MK-CF-F-066 rsuAnnual
186. MK-CF-F-077 scholarshipByCalendarMonth
187. MK-CF-F-088 taxableByCalendarMonth
188. MK-CF-F-177 wageGrossByMonth
189. MK-PL-F-012 waterfall
190. MK-CF-F-008 spendByMonth
191. MK-CF-F-171 earnerPay
192. MK-HM-F-006 money0
193. MK-CF-F-198 payrollTaxWithheld
194. MK-CF-F-172 hasWage
195. MK-CF-F-165 salaryMonths
196. MK-CF-F-070 benefitAnnual
197. MK-CF-F-180 enteredLandsAnnual
198. MK-CF-F-086 stateRateOf
199. MK-CF-F-067 rentalList
200. MK-CF-F-176 sumMonthsOverEarners
201. MK-CF-F-074 tipsAnnual
202. MK-CF-F-187 seniorDeductionFor
203. MK-CF-F-062 equityRowValue
204. MK-CF-F-090 effectiveRate
205. MK-CF-F-063 rowVestYear
206. MK-CF-F-130 enteredMonthlyRaw
207. MK-CF-F-166 hasMonthlySalaryTable
208. MK-ST-F-036 reconcile
209. MK-CF-F-167 salaryCalendarYear
210. MK-CF-F-120 pctBaseMonthly
211. MK-CF-F-004 spendBuckets
212. MK-CF-F-143 annualisedGross
213. MK-CF-F-145 deductionsFromPay
214. MK-CF-F-128 grossByMonth
215. MK-CF-F-146 payFiguresAgree
216. MK-CF-F-144 takeHomeAsEntered
217. MK-HM-F-005 pctTxt
218. MK-CF-F-081 salaryActiveMonths
219. MK-CF-F-003 categoryMonthly
220. MK-CF-F-142 monthsOf
221. MK-CF-F-141 perMonth
222. MK-CF-F-140 periodsAYear</t>
        </is>
      </c>
      <c r="R327" s="3" t="inlineStr">
        <is>
          <t>1. MK-NW-F-096 CLASS_KEY_OF → MK-NW-F-097 LEDGER → MK-NW-F-101 PLAN
2. MK-NW-F-095 CLASS_LABEL_OF → MK-NW-F-097 LEDGER → MK-NW-F-101 PLAN
3. MK-NW-F-008 incomeBearingClassOf → MK-NW-F-011 assetClassOf → MK-NW-F-027 accountClassBreakdown → MK-NW-F-094 ledgerGroups → MK-NW-F-097 LEDGER → MK-NW-F-101 PLAN
4. MK-XS-F-122 n → MK-CF-F-155 cash → MK-NW-F-027 accountClassBreakdown → MK-NW-F-094 ledgerGroups → MK-NW-F-097 LEDGER → MK-NW-F-101 PLAN
5. MK-ST-F-056 has → MK-NW-F-027 accountClassBreakdown → MK-NW-F-094 ledgerGroups → MK-NW-F-097 LEDGER → MK-NW-F-101 PLAN
6. MK-CF-F-155 cash → MK-NW-F-109 holdingClassOf → MK-NW-F-027 accountClassBreakdown → MK-NW-F-094 ledgerGroups → MK-NW-F-097 LEDGER → MK-NW-F-101 PLAN
7. MK-NW-F-008 incomeBearingClassOf → MK-NW-F-109 holdingClassOf → MK-NW-F-027 accountClassBreakdown → MK-NW-F-094 ledgerGroups → MK-NW-F-097 LEDGER → MK-NW-F-101 PLAN
8. MK-CF-F-132 map → MK-NW-F-027 accountClassBreakdown → MK-NW-F-094 ledgerGroups → MK-NW-F-097 LEDGER → MK-NW-F-101 PLAN
9. … and 5 more paths</t>
        </is>
      </c>
      <c r="S327" s="3" t="inlineStr">
        <is>
          <t>—</t>
        </is>
      </c>
      <c r="T327" s="3" t="inlineStr">
        <is>
          <t>—</t>
        </is>
      </c>
      <c r="U327" s="3" t="inlineStr">
        <is>
          <t>ACTIVE</t>
        </is>
      </c>
      <c r="V327" s="3" t="inlineStr">
        <is>
          <t>2026-09-30</t>
        </is>
      </c>
      <c r="W327" s="3" t="n"/>
      <c r="X327" s="3" t="n"/>
      <c r="Y327" s="3" t="inlineStr">
        <is>
          <t>NOTHING OPEN</t>
        </is>
      </c>
    </row>
    <row r="328" ht="60" customHeight="1">
      <c r="A328" s="3" t="inlineStr">
        <is>
          <t>MK-NW-F-103</t>
        </is>
      </c>
      <c r="B328" s="3" t="inlineStr">
        <is>
          <t>investmentRecordDates</t>
        </is>
      </c>
      <c r="C328" s="3" t="inlineStr">
        <is>
          <t>MoneyKeel/functions/networth-and-performance/performance.ts</t>
        </is>
      </c>
      <c r="D328" s="3" t="n">
        <v>146</v>
      </c>
      <c r="E328" s="3" t="inlineStr">
        <is>
          <t>2 · DISPLAYED</t>
        </is>
      </c>
      <c r="F328" s="3" t="inlineStr">
        <is>
          <t>THE DAYS THE RECORD HOLDS AN INVESTMENT VALUE FOR, oldest first.</t>
        </is>
      </c>
      <c r="G328" s="11" t="inlineStr">
        <is>
          <t>[]   when investment account ids.size is missing</t>
        </is>
      </c>
      <c r="H328" s="3" t="inlineStr">
        <is>
          <t>When investment account ids.size is missing, it answers [].</t>
        </is>
      </c>
      <c r="I328" s="3" t="inlineStr">
        <is>
          <t>READ FROM THE CODE — rendered from the expressions the function runs</t>
        </is>
      </c>
      <c r="J328" s="3" t="inlineStr">
        <is>
          <t>1. snapshotDays: any[]
2. investmentAccountIds: Set&lt;string&gt;</t>
        </is>
      </c>
      <c r="K328" s="3" t="inlineStr">
        <is>
          <t>string[]</t>
        </is>
      </c>
      <c r="L328" s="3" t="inlineStr">
        <is>
          <t>NOT FOUND — a screen calls it, but the words printed beside its answer could not be traced automatically. Needs reading.</t>
        </is>
      </c>
      <c r="M328" s="3" t="inlineStr">
        <is>
          <t>None found in this function — anything it assumes comes from the functions it depends on.</t>
        </is>
      </c>
      <c r="N328" s="3" t="inlineStr">
        <is>
          <t>Yes</t>
        </is>
      </c>
      <c r="O328" s="3" t="inlineStr">
        <is>
          <t>1. MK-CF-F-132 map
2. MK-ST-F-031 valueOn</t>
        </is>
      </c>
      <c r="P328" s="3" t="n">
        <v>6</v>
      </c>
      <c r="Q328" s="3" t="inlineStr">
        <is>
          <t>1. MK-CF-F-132 map
2. MK-ST-F-031 valueOn
3. MK-ST-F-083 accountValuesOn
4. MK-ST-F-056 has
5. MK-ST-F-033 onOrBefore
6. MK-ST-F-027 accountId</t>
        </is>
      </c>
      <c r="R328" s="3" t="inlineStr">
        <is>
          <t>1. MK-CF-F-132 map → MK-NW-F-103 investmentRecordDates
2. MK-ST-F-027 accountId → MK-ST-F-083 accountValuesOn → MK-ST-F-031 valueOn → MK-NW-F-103 investmentRecordDates
3. MK-ST-F-056 has → MK-ST-F-083 accountValuesOn → MK-ST-F-031 valueOn → MK-NW-F-103 investmentRecordDates
4. MK-ST-F-056 has → MK-ST-F-031 valueOn → MK-NW-F-103 investmentRecordDates
5. MK-ST-F-033 onOrBefore → MK-ST-F-031 valueOn → MK-NW-F-103 investmentRecordDates</t>
        </is>
      </c>
      <c r="S328" s="3" t="inlineStr">
        <is>
          <t>—</t>
        </is>
      </c>
      <c r="T328" s="3" t="inlineStr">
        <is>
          <t>—</t>
        </is>
      </c>
      <c r="U328" s="3" t="inlineStr">
        <is>
          <t>ACTIVE</t>
        </is>
      </c>
      <c r="V328" s="3" t="inlineStr">
        <is>
          <t>2026-10-03</t>
        </is>
      </c>
      <c r="W328" s="3" t="n"/>
      <c r="X328" s="3" t="n"/>
      <c r="Y328" s="3" t="inlineStr">
        <is>
          <t>NOTHING OPEN</t>
        </is>
      </c>
    </row>
    <row r="329" ht="60" customHeight="1">
      <c r="A329" s="3" t="inlineStr">
        <is>
          <t>MK-NW-F-104</t>
        </is>
      </c>
      <c r="B329" s="3" t="inlineStr">
        <is>
          <t>closedWith</t>
        </is>
      </c>
      <c r="C329" s="3" t="inlineStr">
        <is>
          <t>MoneyKeel/functions/networth-and-performance/performance.ts</t>
        </is>
      </c>
      <c r="D329" s="3" t="n">
        <v>286</v>
      </c>
      <c r="E329" s="3" t="inlineStr">
        <is>
          <t>3 · DEPENDENT</t>
        </is>
      </c>
      <c r="F329" s="3" t="inlineStr">
        <is>
          <t>The daily record with today added to it, worth what the caller says the measured accounts are worth now.</t>
        </is>
      </c>
      <c r="G329" s="11" t="inlineStr">
        <is>
          <t>last = [...days] where date &lt; today.sort((x, y) =&gt; string(date).locale compare(string(date))).pop()
days   when last is missing
members = [...new set([...(last.holdings ?? []), ...(last.accounts ?? [])].map((r: any) =&gt; string(account id)).filter((id) =&gt; ids.size = 0 or ids.has(id)))]
days   when count of members is missing</t>
        </is>
      </c>
      <c r="H329" s="3" t="inlineStr">
        <is>
          <t>Last is [...days] where date &lt; today.sort((x, y) =&gt; string(date).locale compare(string(date))).pop(). When last is missing, it answers days. Members is [...new set([...(last.holdings ?? []), ...(last.accounts ?? [])].map((r: any) =&gt; string(account id)).filter((id) =&gt; ids.size = 0 or ids.has(id)))]. When how many members is missing there are, it answers days.</t>
        </is>
      </c>
      <c r="I329" s="3" t="inlineStr">
        <is>
          <t>PARTLY READ — some of the code is still showing through; needs a hand pass</t>
        </is>
      </c>
      <c r="J329" s="3" t="inlineStr">
        <is>
          <t>1. days: any[]
2. ids: Set&lt;string&gt;
3. today: string
4. ending: number</t>
        </is>
      </c>
      <c r="K329" s="3" t="inlineStr">
        <is>
          <t>any[]</t>
        </is>
      </c>
      <c r="L329" s="3" t="inlineStr">
        <is>
          <t>—</t>
        </is>
      </c>
      <c r="M329" s="3" t="inlineStr">
        <is>
          <t>None found in this function — anything it assumes comes from the functions it depends on.</t>
        </is>
      </c>
      <c r="N329" s="3" t="inlineStr">
        <is>
          <t>Yes</t>
        </is>
      </c>
      <c r="O329" s="3" t="inlineStr">
        <is>
          <t>1. MK-ST-F-027 accountId
2. MK-ST-F-056 has
3. MK-CF-F-132 map</t>
        </is>
      </c>
      <c r="P329" s="3" t="n">
        <v>3</v>
      </c>
      <c r="Q329" s="3" t="inlineStr">
        <is>
          <t>1. MK-ST-F-027 accountId
2. MK-ST-F-056 has
3. MK-CF-F-132 map</t>
        </is>
      </c>
      <c r="R329" s="3" t="inlineStr">
        <is>
          <t>1. MK-ST-F-027 accountId → MK-NW-F-104 closedWith
2. MK-ST-F-056 has → MK-NW-F-104 closedWith
3. MK-CF-F-132 map → MK-NW-F-104 closedWith</t>
        </is>
      </c>
      <c r="S329" s="3" t="inlineStr">
        <is>
          <t>—</t>
        </is>
      </c>
      <c r="T329" s="3" t="inlineStr">
        <is>
          <t>—</t>
        </is>
      </c>
      <c r="U329" s="3" t="inlineStr">
        <is>
          <t>ACTIVE</t>
        </is>
      </c>
      <c r="V329" s="3" t="inlineStr">
        <is>
          <t>2026-10-04</t>
        </is>
      </c>
      <c r="W329" s="3" t="n"/>
      <c r="X329" s="3" t="n"/>
      <c r="Y329" s="3" t="inlineStr">
        <is>
          <t>NOTHING OPEN</t>
        </is>
      </c>
    </row>
    <row r="330" ht="60" customHeight="1">
      <c r="A330" s="3" t="inlineStr">
        <is>
          <t>MK-NW-F-105</t>
        </is>
      </c>
      <c r="B330" s="3" t="inlineStr">
        <is>
          <t>whyNoReturn</t>
        </is>
      </c>
      <c r="C330" s="3" t="inlineStr">
        <is>
          <t>MoneyKeel/functions/networth-and-performance/performance.ts</t>
        </is>
      </c>
      <c r="D330" s="3" t="n">
        <v>248</v>
      </c>
      <c r="E330" s="3" t="inlineStr">
        <is>
          <t>3 · DEPENDENT</t>
        </is>
      </c>
      <c r="F330" s="3" t="inlineStr">
        <is>
          <t>WHY A RETURN CANNOT BE MEASURED, in words a person reads.</t>
        </is>
      </c>
      <c r="G330" s="11" t="inlineStr">
        <is>
          <t>''   when v is missing (or rate ≠ nothing when missing or zero)
on = date shown(day)   if day
''   otherwise</t>
        </is>
      </c>
      <c r="H330" s="3" t="inlineStr">
        <is>
          <t>When v is missing (or rate is not no answer — when missing or zero), it answers ''. On is date shown(day) — when day; '' — otherwise.</t>
        </is>
      </c>
      <c r="I330" s="3" t="inlineStr">
        <is>
          <t>READ FROM THE CODE — rendered from the expressions the function runs</t>
        </is>
      </c>
      <c r="J330" s="3" t="inlineStr">
        <is>
          <t>v: TimeWeightedVerdict | null</t>
        </is>
      </c>
      <c r="K330" s="3" t="inlineStr">
        <is>
          <t>string</t>
        </is>
      </c>
      <c r="L330" s="3" t="inlineStr">
        <is>
          <t>—</t>
        </is>
      </c>
      <c r="M330" s="3" t="inlineStr">
        <is>
          <t>None found in this function — anything it assumes comes from the functions it depends on.</t>
        </is>
      </c>
      <c r="N330" s="3" t="inlineStr">
        <is>
          <t>Yes</t>
        </is>
      </c>
      <c r="O330" s="3" t="inlineStr">
        <is>
          <t>MK-ST-F-078 dateShown</t>
        </is>
      </c>
      <c r="P330" s="3" t="n">
        <v>2</v>
      </c>
      <c r="Q330" s="3" t="inlineStr">
        <is>
          <t>1. MK-ST-F-078 dateShown
2. MK-CF-F-132 map</t>
        </is>
      </c>
      <c r="R330" s="3" t="inlineStr">
        <is>
          <t>MK-CF-F-132 map → MK-ST-F-078 dateShown → MK-NW-F-105 whyNoReturn</t>
        </is>
      </c>
      <c r="S330" s="3" t="inlineStr">
        <is>
          <t>—</t>
        </is>
      </c>
      <c r="T330" s="3" t="inlineStr">
        <is>
          <t>—</t>
        </is>
      </c>
      <c r="U330" s="3" t="inlineStr">
        <is>
          <t>ACTIVE</t>
        </is>
      </c>
      <c r="V330" s="3" t="inlineStr">
        <is>
          <t>2026-10-04</t>
        </is>
      </c>
      <c r="W330" s="3" t="n"/>
      <c r="X330" s="3" t="n"/>
      <c r="Y330" s="3" t="inlineStr">
        <is>
          <t>NOTHING OPEN</t>
        </is>
      </c>
    </row>
    <row r="331" ht="60" customHeight="1">
      <c r="A331" s="3" t="inlineStr">
        <is>
          <t>MK-NW-F-106</t>
        </is>
      </c>
      <c r="B331" s="3" t="inlineStr">
        <is>
          <t>mortgagesByProperty</t>
        </is>
      </c>
      <c r="C331" s="3" t="inlineStr">
        <is>
          <t>MoneyKeel/functions/networth-and-performance/net-worth.ts</t>
        </is>
      </c>
      <c r="D331" s="3" t="n">
        <v>273</v>
      </c>
      <c r="E331" s="3" t="inlineStr">
        <is>
          <t>3 · DEPENDENT</t>
        </is>
      </c>
      <c r="F331" s="3" t="inlineStr">
        <is>
          <t>Which mortgage is on which property, and which mortgages are on none.</t>
        </is>
      </c>
      <c r="G331" s="11" t="inlineStr">
        <is>
          <t>properties = accounts (or none when missing) where asset class of(each) = 'real_estate'
mortgages = debts (or none when missing) where string(debt type ?? '').to upper case() = 'MORTGAGE'
on = new map&lt;string, any&gt;()
placed = new set&lt;any&gt;()
place = (d: any, property id: string) =&gt; { on.set(property id, d); placed.add(d); }
id = string(property id)   if property id ≠ nothing
''   otherwise
name = string(label ?? '').trim().to lower case()
free = properties where !on.has(string(asset id))
loose = mortgages as any[] where !placed.has(each) and property id = nothing
unmatched = mortgages as any[] where !placed.has(each)for each of : id = string(debt id)
label = string(label ?? 'Mortgage')
d = on.get(string(asset id))
… the first steps only — the rest of the body needs reading by hand.</t>
        </is>
      </c>
      <c r="H331" s="3" t="inlineStr">
        <is>
          <t>Properties is accounts (or none — when missing) where asset class of(each) = 'real_estate'. Mortgages is debts (or none — when missing) where string(debt type ?? '').to upper case() = 'MORTGAGE'. On is new map&lt;string, any&gt;(). Placed is new set&lt;any&gt;(). Place is (d: any, property id: string) =&gt; { on.set(property id, d); placed.add(d); }. Id is string(property id) — when property id is not no answer; '' — otherwise. Name is string(label ?? '').trim().to lower case(). Free is properties where !on.has(string(asset id)). Loose is mortgages as any[] where !placed.has(each) and property id is missing. Unmatched is mortgages as any[] where !placed.has(each)for each of : id = string(debt id); label = string(label ?? 'Mortgage'). D is on.get(string(asset id)). Only the first steps are shown; the rest of the body needs reading by hand.</t>
        </is>
      </c>
      <c r="I331" s="3" t="inlineStr">
        <is>
          <t>PARTLY READ — some of the code is still showing through; needs a hand pass</t>
        </is>
      </c>
      <c r="J331" s="3" t="inlineStr">
        <is>
          <t>1. accounts: AssetAccount[]
2. debts: Debt[]</t>
        </is>
      </c>
      <c r="K331" s="3" t="inlineStr">
        <is>
          <t>MortgageCheck</t>
        </is>
      </c>
      <c r="L331" s="3" t="inlineStr">
        <is>
          <t>—</t>
        </is>
      </c>
      <c r="M331" s="3" t="inlineStr">
        <is>
          <t>None found in this function — anything it assumes comes from the functions it depends on.</t>
        </is>
      </c>
      <c r="N331" s="3" t="inlineStr">
        <is>
          <t>Yes</t>
        </is>
      </c>
      <c r="O331" s="3" t="inlineStr">
        <is>
          <t>1. MK-NW-F-011 assetClassOf
2. MK-ST-F-056 has
3. MK-CF-F-132 map
4. MK-CF-F-023 requiredPayment</t>
        </is>
      </c>
      <c r="P331" s="3" t="n">
        <v>14</v>
      </c>
      <c r="Q331" s="3" t="inlineStr">
        <is>
          <t>1. MK-NW-F-011 assetClassOf
2. MK-ST-F-056 has
3. MK-CF-F-132 map
4. MK-CF-F-023 requiredPayment
5. MK-NW-F-008 incomeBearingClassOf
6. MK-CF-F-022 paymentShape
7. MK-CF-F-155 cash
8. MK-ST-F-010 nameEvidence
9. MK-CF-F-021 defaultPaymentType
10. MK-XS-F-122 n
11. MK-XS-F-147 call
12. MK-ST-F-027 accountId
13. MK-XS-F-064 currentIdToken
14. MK-XS-F-112 relayUrl</t>
        </is>
      </c>
      <c r="R331" s="3" t="inlineStr">
        <is>
          <t>1. MK-XS-F-122 n → MK-CF-F-155 cash → MK-NW-F-008 incomeBearingClassOf → MK-NW-F-011 assetClassOf → MK-NW-F-106 mortgagesByProperty
2. MK-ST-F-027 accountId → MK-XS-F-147 call → MK-ST-F-010 nameEvidence → MK-NW-F-008 incomeBearingClassOf → MK-NW-F-011 assetClassOf → MK-NW-F-106 mortgagesByProperty
3. MK-XS-F-064 currentIdToken → MK-XS-F-147 call → MK-ST-F-010 nameEvidence → MK-NW-F-008 incomeBearingClassOf → MK-NW-F-011 assetClassOf → MK-NW-F-106 mortgagesByProperty
4. MK-XS-F-112 relayUrl → MK-XS-F-147 call → MK-ST-F-010 nameEvidence → MK-NW-F-008 incomeBearingClassOf → MK-NW-F-011 assetClassOf → MK-NW-F-106 mortgagesByProperty
5. MK-ST-F-056 has → MK-ST-F-010 nameEvidence → MK-NW-F-008 incomeBearingClassOf → MK-NW-F-011 assetClassOf → MK-NW-F-106 mortgagesByProperty
6. MK-CF-F-132 map → MK-ST-F-010 nameEvidence → MK-NW-F-008 incomeBearingClassOf → MK-NW-F-011 assetClassOf → MK-NW-F-106 mortgagesByProperty
7. MK-ST-F-056 has → MK-NW-F-106 mortgagesByProperty
8. MK-CF-F-132 map → MK-NW-F-106 mortgagesByProperty
9. … and 1 more paths</t>
        </is>
      </c>
      <c r="S331" s="3" t="inlineStr">
        <is>
          <t>—</t>
        </is>
      </c>
      <c r="T331" s="3" t="inlineStr">
        <is>
          <t>—</t>
        </is>
      </c>
      <c r="U331" s="3" t="inlineStr">
        <is>
          <t>ACTIVE</t>
        </is>
      </c>
      <c r="V331" s="3" t="inlineStr">
        <is>
          <t>2026-10-04</t>
        </is>
      </c>
      <c r="W331" s="3" t="n"/>
      <c r="X331" s="3" t="n"/>
      <c r="Y331" s="3" t="inlineStr">
        <is>
          <t>NOTHING OPEN</t>
        </is>
      </c>
    </row>
    <row r="332" ht="60" customHeight="1">
      <c r="A332" s="3" t="inlineStr">
        <is>
          <t>MK-NW-F-107</t>
        </is>
      </c>
      <c r="B332" s="3" t="inlineStr">
        <is>
          <t>propertyUses</t>
        </is>
      </c>
      <c r="C332" s="3" t="inlineStr">
        <is>
          <t>MoneyKeel/functions/networth-and-performance/net-worth.ts</t>
        </is>
      </c>
      <c r="D332" s="3" t="n">
        <v>349</v>
      </c>
      <c r="E332" s="3" t="inlineStr">
        <is>
          <t>3 · DEPENDENT</t>
        </is>
      </c>
      <c r="F332" s="3" t="inlineStr">
        <is>
          <t>What each property is used for: the home lived in, a rental, or a second or vacation home.</t>
        </is>
      </c>
      <c r="G332" s="11" t="inlineStr">
        <is>
          <t>property use map(accounts, rentals ?? nothing)</t>
        </is>
      </c>
      <c r="H332" s="3" t="inlineStr">
        <is>
          <t>property use map(accounts, rentals ?? no answer).</t>
        </is>
      </c>
      <c r="I332" s="3" t="inlineStr">
        <is>
          <t>PARTLY READ — some of the code is still showing through; needs a hand pass</t>
        </is>
      </c>
      <c r="J332" s="3" t="inlineStr">
        <is>
          <t>1. accounts: AssetAccount[]
2. rentals: { income?: any; expenses?: any; property_id?: any }[] | null | undefined</t>
        </is>
      </c>
      <c r="K332" s="3" t="inlineStr">
        <is>
          <t>Map&lt;string, PropertyUse&gt;</t>
        </is>
      </c>
      <c r="L332" s="3" t="inlineStr">
        <is>
          <t>—</t>
        </is>
      </c>
      <c r="M332" s="3" t="inlineStr">
        <is>
          <t>None found in this function — anything it assumes comes from the functions it depends on.</t>
        </is>
      </c>
      <c r="N332" s="3" t="inlineStr">
        <is>
          <t>Yes</t>
        </is>
      </c>
      <c r="O332" s="3" t="inlineStr">
        <is>
          <t>MK-NW-F-117 propertyUseMap</t>
        </is>
      </c>
      <c r="P332" s="3" t="n">
        <v>27</v>
      </c>
      <c r="Q332" s="3" t="inlineStr">
        <is>
          <t>1. MK-NW-F-117 propertyUseMap
2. MK-NW-F-011 assetClassOf
3. MK-ST-F-056 has
4. MK-NW-F-115 liveRent
5. MK-NW-F-116 rentedIdsOf
6. MK-NW-F-008 incomeBearingClassOf
7. MK-CF-O-002 expenses
8. MK-NW-F-114 rentAmount
9. MK-CF-F-132 map
10. MK-CF-F-155 cash
11. MK-ST-F-010 nameEvidence
12. MK-CF-F-151 actualSpending
13. MK-CF-F-150 debtPaymentsCountedAsExpenses
14. MK-CF-F-153 radar
15. MK-CF-F-149 recurringDebtPayments
16. MK-XS-F-122 n
17. MK-XS-F-147 call
18. MK-CF-F-148 inMonth
19. MK-ST-F-052 toNum
20. MK-CF-F-191 ym
21. MK-CF-F-022 paymentShape
22. MK-CF-F-152 isRadarItem
23. MK-CF-F-023 requiredPayment
24. MK-ST-F-027 accountId
25. MK-XS-F-064 currentIdToken
26. MK-XS-F-112 relayUrl
27. MK-CF-F-021 defaultPaymentType</t>
        </is>
      </c>
      <c r="R332" s="3" t="inlineStr">
        <is>
          <t>1. MK-XS-F-122 n → MK-CF-F-155 cash → MK-NW-F-008 incomeBearingClassOf → MK-NW-F-011 assetClassOf → MK-NW-F-117 propertyUseMap → MK-NW-F-107 propertyUses
2. MK-XS-F-147 call → MK-ST-F-010 nameEvidence → MK-NW-F-008 incomeBearingClassOf → MK-NW-F-011 assetClassOf → MK-NW-F-117 propertyUseMap → MK-NW-F-107 propertyUses
3. MK-ST-F-056 has → MK-ST-F-010 nameEvidence → MK-NW-F-008 incomeBearingClassOf → MK-NW-F-011 assetClassOf → MK-NW-F-117 propertyUseMap → MK-NW-F-107 propertyUses
4. MK-CF-F-132 map → MK-ST-F-010 nameEvidence → MK-NW-F-008 incomeBearingClassOf → MK-NW-F-011 assetClassOf → MK-NW-F-117 propertyUseMap → MK-NW-F-107 propertyUses
5. MK-ST-F-056 has → MK-NW-F-117 propertyUseMap → MK-NW-F-107 propertyUses
6. MK-CF-F-148 inMonth → MK-CF-F-151 actualSpending → MK-CF-O-002 expenses → MK-NW-F-115 liveRent → MK-NW-F-117 propertyUseMap → MK-NW-F-107 propertyUses
7. MK-ST-F-052 toNum → MK-CF-F-151 actualSpending → MK-CF-O-002 expenses → MK-NW-F-115 liveRent → MK-NW-F-117 propertyUseMap → MK-NW-F-107 propertyUses
8. MK-CF-F-191 ym → MK-CF-F-151 actualSpending → MK-CF-O-002 expenses → MK-NW-F-115 liveRent → MK-NW-F-117 propertyUseMap → MK-NW-F-107 propertyUses
9. … and 4 more paths</t>
        </is>
      </c>
      <c r="S332" s="3" t="inlineStr">
        <is>
          <t>—</t>
        </is>
      </c>
      <c r="T332" s="3" t="inlineStr">
        <is>
          <t>—</t>
        </is>
      </c>
      <c r="U332" s="3" t="inlineStr">
        <is>
          <t>ACTIVE</t>
        </is>
      </c>
      <c r="V332" s="3" t="inlineStr">
        <is>
          <t>2026-10-07</t>
        </is>
      </c>
      <c r="W332" s="3" t="n"/>
      <c r="X332" s="3" t="n"/>
      <c r="Y332" s="3" t="inlineStr">
        <is>
          <t>NOTHING OPEN</t>
        </is>
      </c>
    </row>
    <row r="333" ht="60" customHeight="1">
      <c r="A333" s="3" t="inlineStr">
        <is>
          <t>MK-NW-F-108</t>
        </is>
      </c>
      <c r="B333" s="3" t="inlineStr">
        <is>
          <t>taxWordsOf</t>
        </is>
      </c>
      <c r="C333" s="3" t="inlineStr">
        <is>
          <t>src/domain/assets/index.ts</t>
        </is>
      </c>
      <c r="D333" s="3" t="n">
        <v>606</v>
      </c>
      <c r="E333" s="3" t="inlineStr">
        <is>
          <t>2 · DISPLAYED</t>
        </is>
      </c>
      <c r="F333" s="3" t="inlineStr">
        <is>
          <t>How an account is taxed, in the words a person reads on the account's page.</t>
        </is>
      </c>
      <c r="G333" s="11" t="inlineStr">
        <is>
          <t>'tax − free for education'   when kind = 'college_529'
'pre − tax — tax − free for medical costs'   when kind = 'hsa'
t = tax treatment of(a)
the answer:
'pre − tax — taxed when it comes out'   if t = 'tax_deferred'
'tax − free (roth)'   if tax bucket = 'ROTH'
'tax − free'   otherwise   if t = 'tax_free'
'taxable'   otherwise   otherwise</t>
        </is>
      </c>
      <c r="H333" s="3" t="inlineStr">
        <is>
          <t>When kind = 'college_529', it answers 'tax minus free for education'. When kind = 'hsa', it answers 'pre minus tax — tax minus free for medical costs'. T is tax treatment of(a). The answer is 'pre minus tax — taxed when it comes out' — when t = 'tax_deferred'; 'tax minus free (roth)' — when tax bucket = 'ROTH'; 'tax minus free' — otherwise — when t = 'tax_free'; 'taxable' — otherwise — otherwise.</t>
        </is>
      </c>
      <c r="I333" s="3" t="inlineStr">
        <is>
          <t>READ FROM THE CODE — rendered from the expressions the function runs</t>
        </is>
      </c>
      <c r="J333" s="3" t="inlineStr">
        <is>
          <t>a: AssetAccount</t>
        </is>
      </c>
      <c r="K333" s="3" t="inlineStr">
        <is>
          <t>string</t>
        </is>
      </c>
      <c r="L333" s="3" t="inlineStr">
        <is>
          <t>NOT FOUND — a screen calls it, but the words printed beside its answer could not be traced automatically. Needs reading.</t>
        </is>
      </c>
      <c r="M333" s="3" t="inlineStr">
        <is>
          <t>None found in this function — anything it assumes comes from the functions it depends on.</t>
        </is>
      </c>
      <c r="N333" s="3" t="inlineStr">
        <is>
          <t>Yes</t>
        </is>
      </c>
      <c r="O333" s="3" t="inlineStr">
        <is>
          <t>MK-NW-F-012 taxTreatmentOf</t>
        </is>
      </c>
      <c r="P333" s="3" t="n">
        <v>1</v>
      </c>
      <c r="Q333" s="3" t="inlineStr">
        <is>
          <t>MK-NW-F-012 taxTreatmentOf</t>
        </is>
      </c>
      <c r="R333" s="3" t="inlineStr">
        <is>
          <t>MK-NW-F-012 taxTreatmentOf → MK-NW-F-108 taxWordsOf</t>
        </is>
      </c>
      <c r="S333" s="3" t="inlineStr">
        <is>
          <t>—</t>
        </is>
      </c>
      <c r="T333" s="3" t="inlineStr">
        <is>
          <t>—</t>
        </is>
      </c>
      <c r="U333" s="3" t="inlineStr">
        <is>
          <t>ACTIVE</t>
        </is>
      </c>
      <c r="V333" s="3" t="inlineStr">
        <is>
          <t>2026-10-07</t>
        </is>
      </c>
      <c r="W333" s="3" t="n"/>
      <c r="X333" s="3" t="n"/>
      <c r="Y333" s="3" t="inlineStr">
        <is>
          <t>NOTHING OPEN</t>
        </is>
      </c>
    </row>
    <row r="334" ht="60" customHeight="1">
      <c r="A334" s="3" t="inlineStr">
        <is>
          <t>MK-NW-F-109</t>
        </is>
      </c>
      <c r="B334" s="3" t="inlineStr">
        <is>
          <t>holdingClassOf</t>
        </is>
      </c>
      <c r="C334" s="3" t="inlineStr">
        <is>
          <t>src/domain/assets/index.ts</t>
        </is>
      </c>
      <c r="D334" s="3" t="n">
        <v>1415</v>
      </c>
      <c r="E334" s="3" t="inlineStr">
        <is>
          <t>2 · DISPLAYED</t>
        </is>
      </c>
      <c r="F334" s="3" t="inlineStr">
        <is>
          <t>What one holding inside an account is, by the one rule the split, the words under it and the account's page all use.</t>
        </is>
      </c>
      <c r="G334" s="11" t="inlineStr">
        <is>
          <t>tag = asset class
by kind = KIND_TO_CLASS[kind]   if kind
undefined   otherwise
stored (or 'mixed' when missing)   when class source = 'user'
'mixed'   when class asked
by name = income bearing class of(`${ticker ?? ''} ${name ?? description ?? label ?? ''}`)
by name   when by name and by name ! = 'cash'
the answer:
stored (or 'cash'   if by name = 'cash'
'mixed'   otherwise when missing)</t>
        </is>
      </c>
      <c r="H334" s="3" t="inlineStr">
        <is>
          <t>Tag is asset class. By kind is KIND_TO_CLASS[kind] — when kind; undefined — otherwise. When class source = 'user', it answers stored (or 'mixed' — when missing). When class asked, it answers 'mixed'. By name is income bearing class of(`${ticker ?? ''} ${name ?? description ?? label ?? ''}`). When by name and by name ! = 'cash', it answers by name. The answer is stored (or 'cash' — when by name = 'cash'; 'mixed' — otherwise — when missing).</t>
        </is>
      </c>
      <c r="I334" s="3" t="inlineStr">
        <is>
          <t>PARTLY READ — some of the code is still showing through; needs a hand pass</t>
        </is>
      </c>
      <c r="J334" s="3" t="inlineStr">
        <is>
          <t>p: any</t>
        </is>
      </c>
      <c r="K334" s="3" t="inlineStr">
        <is>
          <t>AssetClass</t>
        </is>
      </c>
      <c r="L334" s="3" t="inlineStr">
        <is>
          <t>NOT FOUND — a screen calls it, but the words printed beside its answer could not be traced automatically. Needs reading.</t>
        </is>
      </c>
      <c r="M334" s="3" t="inlineStr">
        <is>
          <t>None found in this function — anything it assumes comes from the functions it depends on.</t>
        </is>
      </c>
      <c r="N334" s="3" t="inlineStr">
        <is>
          <t>Yes</t>
        </is>
      </c>
      <c r="O334" s="3" t="inlineStr">
        <is>
          <t>1. MK-CF-F-155 cash
2. MK-NW-F-008 incomeBearingClassOf</t>
        </is>
      </c>
      <c r="P334" s="3" t="n">
        <v>10</v>
      </c>
      <c r="Q334" s="3" t="inlineStr">
        <is>
          <t>1. MK-CF-F-155 cash
2. MK-NW-F-008 incomeBearingClassOf
3. MK-XS-F-122 n
4. MK-ST-F-010 nameEvidence
5. MK-XS-F-147 call
6. MK-ST-F-056 has
7. MK-CF-F-132 map
8. MK-ST-F-027 accountId
9. MK-XS-F-064 currentIdToken
10. MK-XS-F-112 relayUrl</t>
        </is>
      </c>
      <c r="R334" s="3" t="inlineStr">
        <is>
          <t>1. MK-XS-F-122 n → MK-CF-F-155 cash → MK-NW-F-109 holdingClassOf
2. MK-XS-F-122 n → MK-CF-F-155 cash → MK-NW-F-008 incomeBearingClassOf → MK-NW-F-109 holdingClassOf
3. MK-ST-F-027 accountId → MK-XS-F-147 call → MK-ST-F-010 nameEvidence → MK-NW-F-008 incomeBearingClassOf → MK-NW-F-109 holdingClassOf
4. MK-XS-F-064 currentIdToken → MK-XS-F-147 call → MK-ST-F-010 nameEvidence → MK-NW-F-008 incomeBearingClassOf → MK-NW-F-109 holdingClassOf
5. MK-XS-F-112 relayUrl → MK-XS-F-147 call → MK-ST-F-010 nameEvidence → MK-NW-F-008 incomeBearingClassOf → MK-NW-F-109 holdingClassOf
6. MK-ST-F-056 has → MK-ST-F-010 nameEvidence → MK-NW-F-008 incomeBearingClassOf → MK-NW-F-109 holdingClassOf
7. MK-CF-F-132 map → MK-ST-F-010 nameEvidence → MK-NW-F-008 incomeBearingClassOf → MK-NW-F-109 holdingClassOf</t>
        </is>
      </c>
      <c r="S334" s="3" t="inlineStr">
        <is>
          <t>—</t>
        </is>
      </c>
      <c r="T334" s="3" t="inlineStr">
        <is>
          <t>—</t>
        </is>
      </c>
      <c r="U334" s="3" t="inlineStr">
        <is>
          <t>ACTIVE</t>
        </is>
      </c>
      <c r="V334" s="3" t="inlineStr">
        <is>
          <t>2026-10-07</t>
        </is>
      </c>
      <c r="W334" s="3" t="n"/>
      <c r="X334" s="3" t="n"/>
      <c r="Y334" s="3" t="inlineStr">
        <is>
          <t>NOTHING OPEN</t>
        </is>
      </c>
    </row>
    <row r="335" ht="60" customHeight="1">
      <c r="A335" s="3" t="inlineStr">
        <is>
          <t>MK-NW-F-110</t>
        </is>
      </c>
      <c r="B335" s="3" t="inlineStr">
        <is>
          <t>primaryHomeIdOf</t>
        </is>
      </c>
      <c r="C335" s="3" t="inlineStr">
        <is>
          <t>src/domain/assets/index.ts</t>
        </is>
      </c>
      <c r="D335" s="3" t="n">
        <v>848</v>
      </c>
      <c r="E335" s="3" t="inlineStr">
        <is>
          <t>2 · DISPLAYED</t>
        </is>
      </c>
      <c r="F335" s="3" t="inlineStr">
        <is>
          <t>Which property is the home lived in: the one marked so; with none marked and no use stated on any, the one entered first; otherwise none.</t>
        </is>
      </c>
      <c r="G335" s="11" t="inlineStr">
        <is>
          <t>nothing
[LOOP — the answer is found inside a loop the extractor cannot render; the steps above are the ones before it. Read by hand.]</t>
        </is>
      </c>
      <c r="H335" s="3" t="inlineStr">
        <is>
          <t>no answer. The answer is found inside a loop that cannot be rendered here; read the code by hand.</t>
        </is>
      </c>
      <c r="I335" s="3" t="inlineStr">
        <is>
          <t>PARTLY READ — the body has a loop the extractor cannot render; the steps shown are the ones before it. Needs a hand pass (G23).</t>
        </is>
      </c>
      <c r="J335" s="3" t="inlineStr">
        <is>
          <t>1. accounts: AssetAccount[]
2. rentals?: RentEntry[] | null</t>
        </is>
      </c>
      <c r="K335" s="3" t="inlineStr">
        <is>
          <t>string | null</t>
        </is>
      </c>
      <c r="L335"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335" s="3" t="inlineStr">
        <is>
          <t>None found in this function — anything it assumes comes from the functions it depends on.</t>
        </is>
      </c>
      <c r="N335" s="3" t="inlineStr">
        <is>
          <t>Yes</t>
        </is>
      </c>
      <c r="O335" s="3" t="inlineStr">
        <is>
          <t>1. MK-NW-F-030 earmarkDefault
2. MK-NW-F-117 propertyUseMap</t>
        </is>
      </c>
      <c r="P335" s="3" t="n">
        <v>28</v>
      </c>
      <c r="Q335" s="3" t="inlineStr">
        <is>
          <t>1. MK-NW-F-030 earmarkDefault
2. MK-NW-F-117 propertyUseMap
3. MK-NW-F-011 assetClassOf
4. MK-ST-F-056 has
5. MK-NW-F-115 liveRent
6. MK-NW-F-116 rentedIdsOf
7. MK-NW-F-008 incomeBearingClassOf
8. MK-CF-O-002 expenses
9. MK-NW-F-114 rentAmount
10. MK-CF-F-132 map
11. MK-CF-F-155 cash
12. MK-ST-F-010 nameEvidence
13. MK-CF-F-151 actualSpending
14. MK-CF-F-150 debtPaymentsCountedAsExpenses
15. MK-CF-F-153 radar
16. MK-CF-F-149 recurringDebtPayments
17. MK-XS-F-122 n
18. MK-XS-F-147 call
19. MK-CF-F-148 inMonth
20. MK-ST-F-052 toNum
21. MK-CF-F-191 ym
22. MK-CF-F-022 paymentShape
23. MK-CF-F-152 isRadarItem
24. MK-CF-F-023 requiredPayment
25. MK-ST-F-027 accountId
26. MK-XS-F-064 currentIdToken
27. MK-XS-F-112 relayUrl
28. MK-CF-F-021 defaultPaymentType</t>
        </is>
      </c>
      <c r="R335" s="3" t="inlineStr">
        <is>
          <t>1. MK-XS-F-122 n → MK-CF-F-155 cash → MK-NW-F-008 incomeBearingClassOf → MK-NW-F-011 assetClassOf → MK-NW-F-030 earmarkDefault → MK-NW-F-110 primaryHomeIdOf
2. MK-XS-F-147 call → MK-ST-F-010 nameEvidence → MK-NW-F-008 incomeBearingClassOf → MK-NW-F-011 assetClassOf → MK-NW-F-030 earmarkDefault → MK-NW-F-110 primaryHomeIdOf
3. MK-ST-F-056 has → MK-ST-F-010 nameEvidence → MK-NW-F-008 incomeBearingClassOf → MK-NW-F-011 assetClassOf → MK-NW-F-030 earmarkDefault → MK-NW-F-110 primaryHomeIdOf
4. MK-CF-F-132 map → MK-ST-F-010 nameEvidence → MK-NW-F-008 incomeBearingClassOf → MK-NW-F-011 assetClassOf → MK-NW-F-030 earmarkDefault → MK-NW-F-110 primaryHomeIdOf
5. MK-XS-F-122 n → MK-CF-F-155 cash → MK-NW-F-008 incomeBearingClassOf → MK-NW-F-011 assetClassOf → MK-NW-F-117 propertyUseMap → MK-NW-F-110 primaryHomeIdOf
6. MK-XS-F-147 call → MK-ST-F-010 nameEvidence → MK-NW-F-008 incomeBearingClassOf → MK-NW-F-011 assetClassOf → MK-NW-F-117 propertyUseMap → MK-NW-F-110 primaryHomeIdOf
7. MK-ST-F-056 has → MK-ST-F-010 nameEvidence → MK-NW-F-008 incomeBearingClassOf → MK-NW-F-011 assetClassOf → MK-NW-F-117 propertyUseMap → MK-NW-F-110 primaryHomeIdOf
8. MK-CF-F-132 map → MK-ST-F-010 nameEvidence → MK-NW-F-008 incomeBearingClassOf → MK-NW-F-011 assetClassOf → MK-NW-F-117 propertyUseMap → MK-NW-F-110 primaryHomeIdOf
9. … and 4 more paths</t>
        </is>
      </c>
      <c r="S335" s="3" t="inlineStr">
        <is>
          <t>—</t>
        </is>
      </c>
      <c r="T335" s="3" t="inlineStr">
        <is>
          <t>—</t>
        </is>
      </c>
      <c r="U335" s="3" t="inlineStr">
        <is>
          <t>ACTIVE</t>
        </is>
      </c>
      <c r="V335" s="3" t="inlineStr">
        <is>
          <t>2026-10-07</t>
        </is>
      </c>
      <c r="W335" s="3" t="n"/>
      <c r="X335" s="3" t="n"/>
      <c r="Y335" s="3" t="inlineStr">
        <is>
          <t>NOTHING OPEN</t>
        </is>
      </c>
    </row>
    <row r="336" ht="60" customHeight="1">
      <c r="A336" s="3" t="inlineStr">
        <is>
          <t>MK-NW-F-111</t>
        </is>
      </c>
      <c r="B336" s="3" t="inlineStr">
        <is>
          <t>assetsStateFrom</t>
        </is>
      </c>
      <c r="C336" s="3" t="inlineStr">
        <is>
          <t>src/domain/assets/index.ts</t>
        </is>
      </c>
      <c r="D336" s="3" t="n">
        <v>2415</v>
      </c>
      <c r="E336" s="3" t="inlineStr">
        <is>
          <t>3 · DEPENDENT (feeds an action only)</t>
        </is>
      </c>
      <c r="F336" s="3" t="inlineStr">
        <is>
          <t>The saved accounts as a state to show — or nothing, when nothing is saved OR every saved account was deleted (outside review, 2026-10-07: an empty list is not a $0 total with a blended return).</t>
        </is>
      </c>
      <c r="G336" s="11" t="inlineStr">
        <is>
          <t>build assets state(uid, accounts ?? [])   if count of d and (accounts ?? [])
nothing   otherwise</t>
        </is>
      </c>
      <c r="H336" s="3" t="inlineStr">
        <is>
          <t>build assets state(uid, accounts ?? []) — when how many d and (accounts ?? []) there are; no answer — otherwise.</t>
        </is>
      </c>
      <c r="I336" s="3" t="inlineStr">
        <is>
          <t>PARTLY READ — some of the code is still showing through; needs a hand pass</t>
        </is>
      </c>
      <c r="J336" s="3" t="inlineStr">
        <is>
          <t>1. uid: UserId
2. d: AssetsDoc | null | undefined</t>
        </is>
      </c>
      <c r="K336" s="3" t="inlineStr">
        <is>
          <t>AssetsState | null</t>
        </is>
      </c>
      <c r="L336" s="3" t="inlineStr">
        <is>
          <t>—</t>
        </is>
      </c>
      <c r="M336" s="3" t="inlineStr">
        <is>
          <t>None found in this function — anything it assumes comes from the functions it depends on.</t>
        </is>
      </c>
      <c r="N336" s="3" t="inlineStr">
        <is>
          <t>No</t>
        </is>
      </c>
      <c r="O336" s="3" t="inlineStr">
        <is>
          <t>1. MK-NW-F-039 buildAssetsState
2. MK-XS-F-175 uid</t>
        </is>
      </c>
      <c r="P336" s="3" t="n">
        <v>84</v>
      </c>
      <c r="Q336" s="3" t="inlineStr">
        <is>
          <t>1. MK-NW-F-039 buildAssetsState
2. MK-XS-F-175 uid
3. MK-CF-F-132 map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336" s="3" t="inlineStr">
        <is>
          <t>1. MK-CF-F-132 map → MK-NW-F-039 buildAssetsState → MK-NW-F-111 assetsStateFrom
2. MK-ST-F-027 accountId → MK-XS-F-175 uid → MK-NW-F-039 buildAssetsState → MK-NW-F-111 assetsStateFrom
3. MK-CF-F-137 findPos → MK-CF-F-138 addLot → MK-CF-F-111 applyTransaction → MK-XS-F-175 uid → MK-NW-F-039 buildAssetsState → MK-NW-F-111 assetsStateFrom
4. MK-CF-F-132 map → MK-CF-F-138 addLot → MK-CF-F-111 applyTransaction → MK-XS-F-175 uid → MK-NW-F-039 buildAssetsState → MK-NW-F-111 assetsStateFrom
5. MK-ST-F-043 newEntityId → MK-CF-F-138 addLot → MK-CF-F-111 applyTransaction → MK-XS-F-175 uid → MK-NW-F-039 buildAssetsState → MK-NW-F-111 assetsStateFrom
6. MK-CF-F-134 usesSleeve → MK-CF-F-136 bumpCash → MK-CF-F-111 applyTransaction → MK-XS-F-175 uid → MK-NW-F-039 buildAssetsState → MK-NW-F-111 assetsStateFrom
7. MK-CF-F-137 findPos → MK-CF-F-111 applyTransaction → MK-XS-F-175 uid → MK-NW-F-039 buildAssetsState → MK-NW-F-111 assetsStateFrom
8. MK-CF-F-132 map → MK-CF-F-111 applyTransaction → MK-XS-F-175 uid → MK-NW-F-039 buildAssetsState → MK-NW-F-111 assetsStateFrom
9. … and 5 more paths</t>
        </is>
      </c>
      <c r="S336" s="3" t="inlineStr">
        <is>
          <t>—</t>
        </is>
      </c>
      <c r="T336" s="3" t="inlineStr">
        <is>
          <t>—</t>
        </is>
      </c>
      <c r="U336" s="3" t="inlineStr">
        <is>
          <t>ACTIVE</t>
        </is>
      </c>
      <c r="V336" s="3" t="inlineStr">
        <is>
          <t>2026-10-07</t>
        </is>
      </c>
      <c r="W336" s="3" t="n"/>
      <c r="X336" s="3" t="n"/>
      <c r="Y336" s="3" t="inlineStr">
        <is>
          <t>NOTHING OPEN</t>
        </is>
      </c>
    </row>
    <row r="337" ht="60" customHeight="1">
      <c r="A337" s="3" t="inlineStr">
        <is>
          <t>MK-NW-F-112</t>
        </is>
      </c>
      <c r="B337" s="3" t="inlineStr">
        <is>
          <t>yearlyInterest</t>
        </is>
      </c>
      <c r="C337" s="3" t="inlineStr">
        <is>
          <t>src/domain/bonds/index.ts</t>
        </is>
      </c>
      <c r="D337" s="3" t="n">
        <v>181</v>
      </c>
      <c r="E337" s="3" t="inlineStr">
        <is>
          <t>3 · DEPENDENT</t>
        </is>
      </c>
      <c r="F337" s="3" t="inlineStr">
        <is>
          <t>A year's interest from one bond or CD, by the one rule both income figures use: face × rate; with no face entered, today's value × rate (a CD typed by its balance); with no rate, nothing (owner A46: counted as $0, said so).</t>
        </is>
      </c>
      <c r="G337" s="11" t="inlineStr">
        <is>
          <t>nothing   when coupon rate = nothing
face × coupon rate   if face ≠ nothing
value × coupon rate   otherwise</t>
        </is>
      </c>
      <c r="H337" s="3" t="inlineStr">
        <is>
          <t>When coupon rate is missing, it answers no answer. face times coupon rate — when face is not no answer; value times coupon rate — otherwise.</t>
        </is>
      </c>
      <c r="I337" s="3" t="inlineStr">
        <is>
          <t>READ FROM THE CODE — rendered from the expressions the function runs</t>
        </is>
      </c>
      <c r="J337" s="3" t="inlineStr">
        <is>
          <t>b: BondInfo</t>
        </is>
      </c>
      <c r="K337" s="3" t="inlineStr">
        <is>
          <t>number | null</t>
        </is>
      </c>
      <c r="L337" s="3" t="inlineStr">
        <is>
          <t>—</t>
        </is>
      </c>
      <c r="M337" s="3" t="inlineStr">
        <is>
          <t>None found in this function — anything it assumes comes from the functions it depends on.</t>
        </is>
      </c>
      <c r="N337" s="3" t="inlineStr">
        <is>
          <t>Yes</t>
        </is>
      </c>
      <c r="O337" s="3" t="inlineStr">
        <is>
          <t>—</t>
        </is>
      </c>
      <c r="P337" s="3" t="n">
        <v>0</v>
      </c>
      <c r="Q337" s="3" t="inlineStr">
        <is>
          <t>None — no dependent function stands behind it</t>
        </is>
      </c>
      <c r="R337" s="3" t="inlineStr">
        <is>
          <t>No dependent function — it reads its inputs and answers</t>
        </is>
      </c>
      <c r="S337" s="3" t="inlineStr">
        <is>
          <t>—</t>
        </is>
      </c>
      <c r="T337" s="3" t="inlineStr">
        <is>
          <t>—</t>
        </is>
      </c>
      <c r="U337" s="3" t="inlineStr">
        <is>
          <t>ACTIVE</t>
        </is>
      </c>
      <c r="V337" s="3" t="inlineStr">
        <is>
          <t>2026-10-07</t>
        </is>
      </c>
      <c r="W337" s="3" t="n"/>
      <c r="X337" s="3" t="n"/>
      <c r="Y337" s="3" t="inlineStr">
        <is>
          <t>NOTHING OPEN</t>
        </is>
      </c>
    </row>
    <row r="338" ht="60" customHeight="1">
      <c r="A338" s="3" t="inlineStr">
        <is>
          <t>MK-NW-F-113</t>
        </is>
      </c>
      <c r="B338" s="3" t="inlineStr">
        <is>
          <t>altPartsOf</t>
        </is>
      </c>
      <c r="C338" s="3" t="inlineStr">
        <is>
          <t>src/domain/alternatives/index.ts</t>
        </is>
      </c>
      <c r="D338" s="3" t="n">
        <v>127</v>
      </c>
      <c r="E338" s="3" t="inlineStr">
        <is>
          <t>3 · DEPENDENT</t>
        </is>
      </c>
      <c r="F338" s="3" t="inlineStr">
        <is>
          <t>The alternatives inside one account, each with the kind its yearly rate is read from.</t>
        </is>
      </c>
      <c r="G338" s="11" t="inlineStr">
        <is>
          <t>split = account class breakdown(a)
v = split.alternatives   if split
balance (or 0 when missing or zero)   otherwise
the answer = [{ value: v, kind: kind }]
[]   when split is missing (or split.alternatives is missing when missing or zero)
out = []
sh = (lots ?? []).reduce((t: number, l: any) =&gt; t + (shares or 0), 0)
name = `${ticker ?? ''} ${name ?? label ?? ''}`
rest = Σ over split.alternatives − out of (value)</t>
        </is>
      </c>
      <c r="H338" s="3" t="inlineStr">
        <is>
          <t>Split is account class breakdown(a). V is split.alternatives — when split; balance (or 0 — when missing or zero) — otherwise. The answer is [{ value: v, kind: kind }]. When split is missing (or split.alternatives is missing — when missing or zero), it answers []. Out is []. Sh is (lots ?? []).reduce((t: number, l: any) =&gt; t plus (shares or 0), 0). Name is `${ticker ?? ''} ${name ?? label ?? ''}`. Rest: the value added up across split.alternatives minus out.</t>
        </is>
      </c>
      <c r="I338" s="3" t="inlineStr">
        <is>
          <t>PARTLY READ — some of the code is still showing through; needs a hand pass</t>
        </is>
      </c>
      <c r="J338" s="3" t="inlineStr">
        <is>
          <t>a: AssetAccount</t>
        </is>
      </c>
      <c r="K338" s="3" t="inlineStr">
        <is>
          <t>NOT DECLARED — the code does not say what it gives back</t>
        </is>
      </c>
      <c r="L338" s="3" t="inlineStr">
        <is>
          <t>—</t>
        </is>
      </c>
      <c r="M338" s="3" t="inlineStr">
        <is>
          <t>1. If balance is missing it counts as zero, so nothing recorded and a real zero look the same.
2. If shares is missing it counts as zero, so nothing recorded and a real zero look the same.</t>
        </is>
      </c>
      <c r="N338" s="3" t="inlineStr">
        <is>
          <t>Yes</t>
        </is>
      </c>
      <c r="O338" s="3" t="inlineStr">
        <is>
          <t>1. MK-NW-F-027 accountClassBreakdown
2. MK-NW-F-109 holdingClassOf
3. MK-NW-F-001 isAlternative</t>
        </is>
      </c>
      <c r="P338" s="3" t="n">
        <v>14</v>
      </c>
      <c r="Q338" s="3" t="inlineStr">
        <is>
          <t>1. MK-NW-F-027 accountClassBreakdown
2. MK-NW-F-109 holdingClassOf
3. MK-NW-F-001 isAlternative
4. MK-NW-F-011 assetClassOf
5. MK-CF-F-155 cash
6. MK-ST-F-056 has
7. MK-CF-F-132 map
8. MK-NW-F-008 incomeBearingClassOf
9. MK-XS-F-122 n
10. MK-ST-F-010 nameEvidence
11. MK-XS-F-147 call
12. MK-ST-F-027 accountId
13. MK-XS-F-064 currentIdToken
14. MK-XS-F-112 relayUrl</t>
        </is>
      </c>
      <c r="R338" s="3" t="inlineStr">
        <is>
          <t>1. MK-XS-F-122 n → MK-CF-F-155 cash → MK-NW-F-008 incomeBearingClassOf → MK-NW-F-011 assetClassOf → MK-NW-F-027 accountClassBreakdown → MK-NW-F-113 altPartsOf
2. MK-XS-F-147 call → MK-ST-F-010 nameEvidence → MK-NW-F-008 incomeBearingClassOf → MK-NW-F-011 assetClassOf → MK-NW-F-027 accountClassBreakdown → MK-NW-F-113 altPartsOf
3. MK-ST-F-056 has → MK-ST-F-010 nameEvidence → MK-NW-F-008 incomeBearingClassOf → MK-NW-F-011 assetClassOf → MK-NW-F-027 accountClassBreakdown → MK-NW-F-113 altPartsOf
4. MK-CF-F-132 map → MK-ST-F-010 nameEvidence → MK-NW-F-008 incomeBearingClassOf → MK-NW-F-011 assetClassOf → MK-NW-F-027 accountClassBreakdown → MK-NW-F-113 altPartsOf
5. MK-XS-F-122 n → MK-CF-F-155 cash → MK-NW-F-027 accountClassBreakdown → MK-NW-F-113 altPartsOf
6. MK-ST-F-056 has → MK-NW-F-027 accountClassBreakdown → MK-NW-F-113 altPartsOf
7. MK-XS-F-122 n → MK-CF-F-155 cash → MK-NW-F-109 holdingClassOf → MK-NW-F-027 accountClassBreakdown → MK-NW-F-113 altPartsOf
8. MK-XS-F-122 n → MK-CF-F-155 cash → MK-NW-F-008 incomeBearingClassOf → MK-NW-F-109 holdingClassOf → MK-NW-F-027 accountClassBreakdown → MK-NW-F-113 altPartsOf
9. … and 5 more paths</t>
        </is>
      </c>
      <c r="S338" s="3" t="inlineStr">
        <is>
          <t>—</t>
        </is>
      </c>
      <c r="T338" s="3" t="inlineStr">
        <is>
          <t>—</t>
        </is>
      </c>
      <c r="U338" s="3" t="inlineStr">
        <is>
          <t>ACTIVE</t>
        </is>
      </c>
      <c r="V338" s="3" t="inlineStr">
        <is>
          <t>2026-10-07</t>
        </is>
      </c>
      <c r="W338" s="3" t="n"/>
      <c r="X338" s="3" t="n"/>
      <c r="Y338" s="3" t="inlineStr">
        <is>
          <t>NOTHING OPEN</t>
        </is>
      </c>
    </row>
    <row r="339" ht="45" customHeight="1">
      <c r="A339" s="3" t="inlineStr">
        <is>
          <t>MK-NW-F-114</t>
        </is>
      </c>
      <c r="B339" s="3" t="inlineStr">
        <is>
          <t>rentAmount</t>
        </is>
      </c>
      <c r="C339" s="3" t="inlineStr">
        <is>
          <t>src/domain/assets/index.ts</t>
        </is>
      </c>
      <c r="D339" s="3" t="n">
        <v>689</v>
      </c>
      <c r="E339" s="3" t="inlineStr">
        <is>
          <t>1 · ACTION</t>
        </is>
      </c>
      <c r="F339" s="3" t="inlineStr">
        <is>
          <t>A rent figure as a number: the digits typed, or 0 when none.</t>
        </is>
      </c>
      <c r="G339" s="11" t="inlineStr">
        <is>
          <t>string(v ?? '').replace( ÷ [^0 − 9.-] ÷ g, '') read as a number (or 0 when missing or zero)</t>
        </is>
      </c>
      <c r="H339" s="3" t="inlineStr">
        <is>
          <t>string(v ?? '').replace( divided by [^0 minus 9.-] divided by g, '') read as a number (or 0 — when missing or zero)</t>
        </is>
      </c>
      <c r="I339" s="3" t="inlineStr">
        <is>
          <t>PARTLY READ — some of the code is still showing through; needs a hand pass</t>
        </is>
      </c>
      <c r="J339" s="3" t="inlineStr">
        <is>
          <t>v: any</t>
        </is>
      </c>
      <c r="K339" s="3" t="inlineStr">
        <is>
          <t>NOT DECLARED — the code does not say what it gives back</t>
        </is>
      </c>
      <c r="L339" s="3" t="inlineStr">
        <is>
          <t>—</t>
        </is>
      </c>
      <c r="M339" s="3" t="inlineStr">
        <is>
          <t>None found in this function — anything it assumes comes from the functions it depends on.</t>
        </is>
      </c>
      <c r="N339" s="3" t="inlineStr">
        <is>
          <t>Yes</t>
        </is>
      </c>
      <c r="O339" s="3" t="inlineStr">
        <is>
          <t>—</t>
        </is>
      </c>
      <c r="P339" s="3" t="n">
        <v>0</v>
      </c>
      <c r="Q339" s="3" t="inlineStr">
        <is>
          <t>None — no dependent function stands behind it</t>
        </is>
      </c>
      <c r="R339" s="3" t="inlineStr">
        <is>
          <t>No dependent function — it reads its inputs and answers</t>
        </is>
      </c>
      <c r="S339" s="3" t="inlineStr">
        <is>
          <t>—</t>
        </is>
      </c>
      <c r="T339" s="3" t="inlineStr">
        <is>
          <t>—</t>
        </is>
      </c>
      <c r="U339" s="3" t="inlineStr">
        <is>
          <t>ACTIVE</t>
        </is>
      </c>
      <c r="V339" s="3" t="inlineStr">
        <is>
          <t>2026-10-07</t>
        </is>
      </c>
      <c r="W339" s="3" t="n"/>
      <c r="X339" s="3" t="n"/>
      <c r="Y339" s="3" t="inlineStr">
        <is>
          <t>NOTHING OPEN</t>
        </is>
      </c>
    </row>
    <row r="340" ht="60" customHeight="1">
      <c r="A340" s="3" t="inlineStr">
        <is>
          <t>MK-NW-F-115</t>
        </is>
      </c>
      <c r="B340" s="3" t="inlineStr">
        <is>
          <t>liveRent</t>
        </is>
      </c>
      <c r="C340" s="3" t="inlineStr">
        <is>
          <t>src/domain/assets/index.ts</t>
        </is>
      </c>
      <c r="D340" s="3" t="n">
        <v>719</v>
      </c>
      <c r="E340" s="3" t="inlineStr">
        <is>
          <t>1 · ACTION</t>
        </is>
      </c>
      <c r="F340" s="3" t="inlineStr">
        <is>
          <t>The rent entries that carry a figure: rent coming in or costs going out above zero.</t>
        </is>
      </c>
      <c r="G340" s="11" t="inlineStr">
        <is>
          <t>rentals (or none when missing) where rent amount(income) &gt; 0 (or rent amount(expenses) &gt; 0 when missing or zero)</t>
        </is>
      </c>
      <c r="H340" s="3" t="inlineStr">
        <is>
          <t>rentals (or none — when missing) where rent amount(income) &gt; 0 (or rent amount(expenses) &gt; 0 — when missing or zero)</t>
        </is>
      </c>
      <c r="I340" s="3" t="inlineStr">
        <is>
          <t>READ FROM THE CODE — rendered from the expressions the function runs</t>
        </is>
      </c>
      <c r="J340" s="3" t="inlineStr">
        <is>
          <t>rentals: RentEntry[] | null | undefined</t>
        </is>
      </c>
      <c r="K340" s="3" t="inlineStr">
        <is>
          <t>NOT DECLARED — the code does not say what it gives back</t>
        </is>
      </c>
      <c r="L340" s="3" t="inlineStr">
        <is>
          <t>—</t>
        </is>
      </c>
      <c r="M340" s="3" t="inlineStr">
        <is>
          <t>None found in this function — anything it assumes comes from the functions it depends on.</t>
        </is>
      </c>
      <c r="N340" s="3" t="inlineStr">
        <is>
          <t>Yes</t>
        </is>
      </c>
      <c r="O340" s="3" t="inlineStr">
        <is>
          <t>1. MK-CF-O-002 expenses
2. MK-NW-F-114 rentAmount</t>
        </is>
      </c>
      <c r="P340" s="3" t="n">
        <v>16</v>
      </c>
      <c r="Q340" s="3" t="inlineStr">
        <is>
          <t>1. MK-CF-O-002 expenses
2. MK-NW-F-114 rentAmount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340" s="3" t="inlineStr">
        <is>
          <t>1. MK-CF-F-191 ym → MK-CF-F-148 inMonth → MK-CF-F-151 actualSpending → MK-CF-O-002 expenses → MK-NW-F-115 liveRent
2. MK-XS-F-122 n → MK-ST-F-052 toNum → MK-CF-F-151 actualSpending → MK-CF-O-002 expenses → MK-NW-F-115 liveRent
3. MK-CF-F-191 ym → MK-CF-F-151 actualSpending → MK-CF-O-002 expenses → MK-NW-F-115 liveRent
4. MK-ST-F-056 has → MK-CF-F-150 debtPaymentsCountedAsExpenses → MK-CF-O-002 expenses → MK-NW-F-115 liveRent
5. MK-CF-F-191 ym → MK-CF-F-148 inMonth → MK-CF-F-150 debtPaymentsCountedAsExpenses → MK-CF-O-002 expenses → MK-NW-F-115 liveRent
6. MK-CF-F-021 defaultPaymentType → MK-CF-F-022 paymentShape → MK-CF-F-150 debtPaymentsCountedAsExpenses → MK-CF-O-002 expenses → MK-NW-F-115 liveRent
7. MK-XS-F-122 n → MK-ST-F-052 toNum → MK-CF-F-150 debtPaymentsCountedAsExpenses → MK-CF-O-002 expenses → MK-NW-F-115 liveRent
8. MK-CF-F-191 ym → MK-CF-F-150 debtPaymentsCountedAsExpenses → MK-CF-O-002 expenses → MK-NW-F-115 liveRent
9. … and 5 more paths</t>
        </is>
      </c>
      <c r="S340" s="3" t="inlineStr">
        <is>
          <t>—</t>
        </is>
      </c>
      <c r="T340" s="3" t="inlineStr">
        <is>
          <t>—</t>
        </is>
      </c>
      <c r="U340" s="3" t="inlineStr">
        <is>
          <t>ACTIVE</t>
        </is>
      </c>
      <c r="V340" s="3" t="inlineStr">
        <is>
          <t>2026-10-07</t>
        </is>
      </c>
      <c r="W340" s="3" t="n"/>
      <c r="X340" s="3" t="n"/>
      <c r="Y340" s="3" t="inlineStr">
        <is>
          <t>NOTHING OPEN</t>
        </is>
      </c>
    </row>
    <row r="341" ht="60" customHeight="1">
      <c r="A341" s="3" t="inlineStr">
        <is>
          <t>MK-NW-F-116</t>
        </is>
      </c>
      <c r="B341" s="3" t="inlineStr">
        <is>
          <t>rentedIdsOf</t>
        </is>
      </c>
      <c r="C341" s="3" t="inlineStr">
        <is>
          <t>src/domain/assets/index.ts</t>
        </is>
      </c>
      <c r="D341" s="3" t="n">
        <v>748</v>
      </c>
      <c r="E341" s="3" t="inlineStr">
        <is>
          <t>1 · ACTION</t>
        </is>
      </c>
      <c r="F341" s="3" t="inlineStr">
        <is>
          <t>Which properties the rent entries name, by their identifiers.</t>
        </is>
      </c>
      <c r="G341" s="11" t="inlineStr">
        <is>
          <t>NOT READ YET — the body is not a shape this can render faithfully, so nothing is claimed rather than something being guessed. It needs reading by hand.</t>
        </is>
      </c>
      <c r="H341" s="3" t="inlineStr">
        <is>
          <t>NOT READ YET — the body is not a shape this can render faithfully, so nothing is claimed rather than something being guessed. It needs reading by hand.</t>
        </is>
      </c>
      <c r="I341" s="3" t="inlineStr">
        <is>
          <t>NOT READ — nothing is claimed rather than something guessed</t>
        </is>
      </c>
      <c r="J341" s="3" t="inlineStr">
        <is>
          <t>rentals: RentEntry[] | null | undefined</t>
        </is>
      </c>
      <c r="K341" s="3" t="inlineStr">
        <is>
          <t>NOT DECLARED — the code does not say what it gives back</t>
        </is>
      </c>
      <c r="L341" s="3" t="inlineStr">
        <is>
          <t>—</t>
        </is>
      </c>
      <c r="M341" s="3" t="inlineStr">
        <is>
          <t>None found in this function — anything it assumes comes from the functions it depends on.</t>
        </is>
      </c>
      <c r="N341" s="3" t="inlineStr">
        <is>
          <t>Yes</t>
        </is>
      </c>
      <c r="O341" s="3" t="inlineStr">
        <is>
          <t>1. MK-NW-F-115 liveRent
2. MK-CF-F-132 map</t>
        </is>
      </c>
      <c r="P341" s="3" t="n">
        <v>17</v>
      </c>
      <c r="Q341" s="3" t="inlineStr">
        <is>
          <t>1. MK-NW-F-115 liveRent
2. MK-CF-F-132 map
3. MK-CF-O-002 expenses
4. MK-NW-F-114 rentAmount
5. MK-CF-F-151 actualSpending
6. MK-CF-F-150 debtPaymentsCountedAsExpenses
7. MK-CF-F-153 radar
8. MK-CF-F-149 recurringDebtPayments
9. MK-CF-F-148 inMonth
10. MK-ST-F-052 toNum
11. MK-CF-F-191 ym
12. MK-ST-F-056 has
13. MK-CF-F-022 paymentShape
14. MK-CF-F-152 isRadarItem
15. MK-CF-F-023 requiredPayment
16. MK-XS-F-122 n
17. MK-CF-F-021 defaultPaymentType</t>
        </is>
      </c>
      <c r="R341" s="3" t="inlineStr">
        <is>
          <t>1. MK-CF-F-191 ym → MK-CF-F-148 inMonth → MK-CF-F-151 actualSpending → MK-CF-O-002 expenses → MK-NW-F-115 liveRent → MK-NW-F-116 rentedIdsOf
2. MK-XS-F-122 n → MK-ST-F-052 toNum → MK-CF-F-151 actualSpending → MK-CF-O-002 expenses → MK-NW-F-115 liveRent → MK-NW-F-116 rentedIdsOf
3. MK-CF-F-191 ym → MK-CF-F-151 actualSpending → MK-CF-O-002 expenses → MK-NW-F-115 liveRent → MK-NW-F-116 rentedIdsOf
4. MK-ST-F-056 has → MK-CF-F-150 debtPaymentsCountedAsExpenses → MK-CF-O-002 expenses → MK-NW-F-115 liveRent → MK-NW-F-116 rentedIdsOf
5. MK-CF-F-191 ym → MK-CF-F-148 inMonth → MK-CF-F-150 debtPaymentsCountedAsExpenses → MK-CF-O-002 expenses → MK-NW-F-115 liveRent → MK-NW-F-116 rentedIdsOf
6. MK-CF-F-021 defaultPaymentType → MK-CF-F-022 paymentShape → MK-CF-F-150 debtPaymentsCountedAsExpenses → MK-CF-O-002 expenses → MK-NW-F-115 liveRent → MK-NW-F-116 rentedIdsOf
7. MK-XS-F-122 n → MK-ST-F-052 toNum → MK-CF-F-150 debtPaymentsCountedAsExpenses → MK-CF-O-002 expenses → MK-NW-F-115 liveRent → MK-NW-F-116 rentedIdsOf
8. MK-CF-F-191 ym → MK-CF-F-150 debtPaymentsCountedAsExpenses → MK-CF-O-002 expenses → MK-NW-F-115 liveRent → MK-NW-F-116 rentedIdsOf
9. … and 5 more paths</t>
        </is>
      </c>
      <c r="S341" s="3" t="inlineStr">
        <is>
          <t>—</t>
        </is>
      </c>
      <c r="T341" s="3" t="inlineStr">
        <is>
          <t>—</t>
        </is>
      </c>
      <c r="U341" s="3" t="inlineStr">
        <is>
          <t>ACTIVE</t>
        </is>
      </c>
      <c r="V341" s="3" t="inlineStr">
        <is>
          <t>2026-10-07</t>
        </is>
      </c>
      <c r="W341" s="3" t="n"/>
      <c r="X341" s="3" t="n"/>
      <c r="Y341" s="3" t="inlineStr">
        <is>
          <t>NOTHING OPEN</t>
        </is>
      </c>
    </row>
    <row r="342" ht="60" customHeight="1">
      <c r="A342" s="3" t="inlineStr">
        <is>
          <t>MK-NW-F-117</t>
        </is>
      </c>
      <c r="B342" s="3" t="inlineStr">
        <is>
          <t>propertyUseMap</t>
        </is>
      </c>
      <c r="C342" s="3" t="inlineStr">
        <is>
          <t>src/domain/assets/index.ts</t>
        </is>
      </c>
      <c r="D342" s="3" t="n">
        <v>793</v>
      </c>
      <c r="E342" s="3" t="inlineStr">
        <is>
          <t>3 · DEPENDENT</t>
        </is>
      </c>
      <c r="F342" s="3" t="inlineStr">
        <is>
          <t>What each property is for — the home lived in, a rental, or a second home — by his rule DEC-1926: a rental only when a rent entry on the Income screen names it; the one marked as the home is the home; with none marked and no use stated on any, the one entered first; every other property is a second home.</t>
        </is>
      </c>
      <c r="G342" s="11" t="inlineStr">
        <is>
          <t>told = array.is array(rentals)
properties = accounts (or none when missing) where asset class of(each) = 'real_estate'
named = rented ids of(rentals)
out = new map&lt;string, 'home' | 'rental' | 'second'&gt;()
rest = properties where !out.has(string(asset id))
marked = rest.find((a) =&gt; re use = 'primary')
candidates = rest where re use ! = 'rental'
other use stated = rest.some((a) =&gt; re use ≠ nothing and re use ! = 'rental')
home = marked (or undefined   if other use stated
candidates[candidates.length − 1]   otherwise when missing)
others = rest where each ! = home
unnamed rent = live rent(rentals).some((r) =&gt; property id = nothing or property id = '')
[LOOP — the answer is found inside a loop the extractor cannot render; the steps above are the ones before it. Read by hand.]
… the first steps only — the rest of the body needs reading by hand.</t>
        </is>
      </c>
      <c r="H342" s="3" t="inlineStr">
        <is>
          <t>Told is array.is array(rentals). Properties is accounts (or none — when missing) where asset class of(each) = 'real_estate'. Named is rented ids of(rentals). Out is new map&lt;string, 'home' | 'rental' | 'second'&gt;(). Rest is properties where !out.has(string(asset id)). Marked is rest.find((a) =&gt; re use = 'primary'). Candidates is rest where re use ! = 'rental'. Other use stated is rest.some((a) =&gt; re use is not no answer and re use ! = 'rental'). Home is marked (or undefined — when other use stated; candidates[candidates.length minus 1] — otherwise — when missing). Others is rest where each ! = home. Unnamed rent is live rent(rentals).some((r) =&gt; property id is missing or property id = ''). The answer is found inside a loop that cannot be rendered here; read the code by hand. Only the first steps are shown; the rest of the body needs reading by hand.</t>
        </is>
      </c>
      <c r="I342" s="3" t="inlineStr">
        <is>
          <t>PARTLY READ — the body has a loop the extractor cannot render; the steps shown are the ones before it. Needs a hand pass (G23).</t>
        </is>
      </c>
      <c r="J342" s="3" t="inlineStr">
        <is>
          <t>1. accounts: AssetAccount[]
2. rentals?: RentEntry[] | null</t>
        </is>
      </c>
      <c r="K342" s="3" t="inlineStr">
        <is>
          <t>Map&lt;string, 'home' | 'rental' | 'second'&gt;</t>
        </is>
      </c>
      <c r="L342" s="3" t="inlineStr">
        <is>
          <t>—</t>
        </is>
      </c>
      <c r="M342" s="3" t="inlineStr">
        <is>
          <t>None found in this function — anything it assumes comes from the functions it depends on.</t>
        </is>
      </c>
      <c r="N342" s="3" t="inlineStr">
        <is>
          <t>Yes</t>
        </is>
      </c>
      <c r="O342" s="3" t="inlineStr">
        <is>
          <t>1. MK-NW-F-011 assetClassOf
2. MK-ST-F-056 has
3. MK-NW-F-115 liveRent
4. MK-NW-F-116 rentedIdsOf</t>
        </is>
      </c>
      <c r="P342" s="3" t="n">
        <v>26</v>
      </c>
      <c r="Q342" s="3" t="inlineStr">
        <is>
          <t>1. MK-NW-F-011 assetClassOf
2. MK-ST-F-056 has
3. MK-NW-F-115 liveRent
4. MK-NW-F-116 rentedIdsOf
5. MK-NW-F-008 incomeBearingClassOf
6. MK-CF-O-002 expenses
7. MK-NW-F-114 rentAmount
8. MK-CF-F-132 map
9. MK-CF-F-155 cash
10. MK-ST-F-010 nameEvidence
11. MK-CF-F-151 actualSpending
12. MK-CF-F-150 debtPaymentsCountedAsExpenses
13. MK-CF-F-153 radar
14. MK-CF-F-149 recurringDebtPayments
15. MK-XS-F-122 n
16. MK-XS-F-147 call
17. MK-CF-F-148 inMonth
18. MK-ST-F-052 toNum
19. MK-CF-F-191 ym
20. MK-CF-F-022 paymentShape
21. MK-CF-F-152 isRadarItem
22. MK-CF-F-023 requiredPayment
23. MK-ST-F-027 accountId
24. MK-XS-F-064 currentIdToken
25. MK-XS-F-112 relayUrl
26. MK-CF-F-021 defaultPaymentType</t>
        </is>
      </c>
      <c r="R342" s="3" t="inlineStr">
        <is>
          <t>1. MK-XS-F-122 n → MK-CF-F-155 cash → MK-NW-F-008 incomeBearingClassOf → MK-NW-F-011 assetClassOf → MK-NW-F-117 propertyUseMap
2. MK-ST-F-027 accountId → MK-XS-F-147 call → MK-ST-F-010 nameEvidence → MK-NW-F-008 incomeBearingClassOf → MK-NW-F-011 assetClassOf → MK-NW-F-117 propertyUseMap
3. MK-XS-F-064 currentIdToken → MK-XS-F-147 call → MK-ST-F-010 nameEvidence → MK-NW-F-008 incomeBearingClassOf → MK-NW-F-011 assetClassOf → MK-NW-F-117 propertyUseMap
4. MK-XS-F-112 relayUrl → MK-XS-F-147 call → MK-ST-F-010 nameEvidence → MK-NW-F-008 incomeBearingClassOf → MK-NW-F-011 assetClassOf → MK-NW-F-117 propertyUseMap
5. MK-ST-F-056 has → MK-ST-F-010 nameEvidence → MK-NW-F-008 incomeBearingClassOf → MK-NW-F-011 assetClassOf → MK-NW-F-117 propertyUseMap
6. MK-CF-F-132 map → MK-ST-F-010 nameEvidence → MK-NW-F-008 incomeBearingClassOf → MK-NW-F-011 assetClassOf → MK-NW-F-117 propertyUseMap
7. MK-ST-F-056 has → MK-NW-F-117 propertyUseMap
8. MK-CF-F-191 ym → MK-CF-F-148 inMonth → MK-CF-F-151 actualSpending → MK-CF-O-002 expenses → MK-NW-F-115 liveRent → MK-NW-F-117 propertyUseMap
9. … and 5 more paths</t>
        </is>
      </c>
      <c r="S342" s="3" t="inlineStr">
        <is>
          <t>—</t>
        </is>
      </c>
      <c r="T342" s="3" t="inlineStr">
        <is>
          <t>—</t>
        </is>
      </c>
      <c r="U342" s="3" t="inlineStr">
        <is>
          <t>ACTIVE</t>
        </is>
      </c>
      <c r="V342" s="3" t="inlineStr">
        <is>
          <t>2026-10-09</t>
        </is>
      </c>
      <c r="W342" s="3" t="n"/>
      <c r="X342" s="3" t="n"/>
      <c r="Y342" s="3" t="inlineStr">
        <is>
          <t>NOTHING OPEN</t>
        </is>
      </c>
    </row>
    <row r="343" ht="60" customHeight="1">
      <c r="A343" s="3" t="inlineStr">
        <is>
          <t>MK-NW-F-118</t>
        </is>
      </c>
      <c r="B343" s="3" t="inlineStr">
        <is>
          <t>itemizeMissingCount</t>
        </is>
      </c>
      <c r="C343" s="3" t="inlineStr">
        <is>
          <t>src/domain/assets/itemize.ts</t>
        </is>
      </c>
      <c r="D343" s="3" t="n">
        <v>76</v>
      </c>
      <c r="E343" s="3" t="inlineStr">
        <is>
          <t>1 · ACTION</t>
        </is>
      </c>
      <c r="F343" s="3" t="inlineStr">
        <is>
          <t>How many listed holdings have no value — so a remainder is said to be not final, never presented as complete.</t>
        </is>
      </c>
      <c r="G343" s="11" t="inlineStr">
        <is>
          <t>NOT READ YET — the body is not a shape this can render faithfully, so nothing is claimed rather than something being guessed. It needs reading by hand.</t>
        </is>
      </c>
      <c r="H343" s="3" t="inlineStr">
        <is>
          <t>NOT READ YET — the body is not a shape this can render faithfully, so nothing is claimed rather than something being guessed. It needs reading by hand.</t>
        </is>
      </c>
      <c r="I343" s="3" t="inlineStr">
        <is>
          <t>NOT READ — nothing is claimed rather than something guessed</t>
        </is>
      </c>
      <c r="J343" s="3" t="inlineStr">
        <is>
          <t>items: ItemHolding[]</t>
        </is>
      </c>
      <c r="K343" s="3" t="inlineStr">
        <is>
          <t>number</t>
        </is>
      </c>
      <c r="L343" s="3" t="inlineStr">
        <is>
          <t>—</t>
        </is>
      </c>
      <c r="M343" s="3" t="inlineStr">
        <is>
          <t>None found in this function — anything it assumes comes from the functions it depends on.</t>
        </is>
      </c>
      <c r="N343" s="3" t="inlineStr">
        <is>
          <t>Yes</t>
        </is>
      </c>
      <c r="O343" s="3" t="inlineStr">
        <is>
          <t>—</t>
        </is>
      </c>
      <c r="P343" s="3" t="n">
        <v>0</v>
      </c>
      <c r="Q343" s="3" t="inlineStr">
        <is>
          <t>None — no dependent function stands behind it</t>
        </is>
      </c>
      <c r="R343" s="3" t="inlineStr">
        <is>
          <t>No dependent function — it reads its inputs and answers</t>
        </is>
      </c>
      <c r="S343" s="3" t="inlineStr">
        <is>
          <t>—</t>
        </is>
      </c>
      <c r="T343" s="3" t="inlineStr">
        <is>
          <t>—</t>
        </is>
      </c>
      <c r="U343" s="3" t="inlineStr">
        <is>
          <t>ACTIVE</t>
        </is>
      </c>
      <c r="V343" s="3" t="inlineStr">
        <is>
          <t>2026-10-08</t>
        </is>
      </c>
      <c r="W343" s="3" t="n"/>
      <c r="X343" s="3" t="n"/>
      <c r="Y343" s="3" t="inlineStr">
        <is>
          <t>NOTHING OPEN</t>
        </is>
      </c>
    </row>
    <row r="344" ht="60" customHeight="1">
      <c r="A344" s="3" t="inlineStr">
        <is>
          <t>MK-NW-F-119</t>
        </is>
      </c>
      <c r="B344" s="3" t="inlineStr">
        <is>
          <t>estimatedAccrued</t>
        </is>
      </c>
      <c r="C344" s="3" t="inlineStr">
        <is>
          <t>src/domain/bonds/index.ts</t>
        </is>
      </c>
      <c r="D344" s="3" t="n">
        <v>380</v>
      </c>
      <c r="E344" s="3" t="inlineStr">
        <is>
          <t>3 · DEPENDENT</t>
        </is>
      </c>
      <c r="F344" s="3" t="inlineStr">
        <is>
          <t>The interest a bond has earned since its last yearly coupon, estimated from the coupon schedule — face × rate × days since the last coupon ÷ days in that coupon year; nothing for a CD, a matured or undated bond, or one with no face or rate.</t>
        </is>
      </c>
      <c r="G344" s="11" t="inlineStr">
        <is>
          <t>nothing   when is cd (or face = nothing (or not (coupon rate ≠ nothing and coupon rate &gt; 0) (or maturity is missing when missing or zero) when missing or zero) when missing or zero)
nothing   when y is missing
today = date.UTC(now.get full year(), now.get month(), now.get date())
at = (yy: number) =&gt; date.UTC(yy, (m or 1) − 1, d or 1)
nothing   when at(y) ≤ today
n = 0
next = at(y − n), last = at(y − n − 1)
nothing   when next = today
days = round((today − last) ÷ 86400000)
year days = round((next − last) ÷ 86400000)
the answer:
amount = face × coupon rate × days ÷ year days
days = days
[LOOP — the answer is found inside a loop the extractor cannot render; the steps above are the ones before it. Read by hand.]
… the first steps only — the rest of the body needs reading by hand.</t>
        </is>
      </c>
      <c r="H344" s="3" t="inlineStr">
        <is>
          <t>When is cd (or face is missing (or not (coupon rate is not no answer and coupon rate &gt; 0) (or maturity is missing — when missing or zero) — when missing or zero) — when missing or zero), it answers no answer. When y is missing, it answers no answer. Today is date.UTC(now.get full year(), now.get month(), now.get date()). At is (yy: number) =&gt; date.UTC(yy, (m or 1) minus 1, d or 1). When at(y) is at most today, it answers no answer. N is 0. Next is at(y minus n), last = at(y minus n minus 1). When next = today, it answers no answer. Days is (today minus last, to a whole number divided by 86400000). Year days is (next minus last, to a whole number divided by 86400000). The answer is amount = face times coupon rate times days divided by year days; days = days. The answer is found inside a loop that cannot be rendered here; read the code by hand. Only the first steps are shown; the rest of the body needs reading by hand.</t>
        </is>
      </c>
      <c r="I344" s="3" t="inlineStr">
        <is>
          <t>PARTLY READ — the body has a loop the extractor cannot render; the steps shown are the ones before it. Needs a hand pass (G23).</t>
        </is>
      </c>
      <c r="J344" s="3" t="inlineStr">
        <is>
          <t>1. b: BondInfo
2. now: Date = new Date()</t>
        </is>
      </c>
      <c r="K344" s="3" t="inlineStr">
        <is>
          <t>NOT DECLARED — the code does not say what it gives back</t>
        </is>
      </c>
      <c r="L344" s="3" t="inlineStr">
        <is>
          <t>—</t>
        </is>
      </c>
      <c r="M344" s="3" t="inlineStr">
        <is>
          <t>1. Uses today's date from the device clock, so the answer changes by itself overnight.
2. Rounds the answer to a whole number.</t>
        </is>
      </c>
      <c r="N344" s="3" t="inlineStr">
        <is>
          <t>Yes</t>
        </is>
      </c>
      <c r="O344" s="3" t="inlineStr">
        <is>
          <t>1. MK-CF-F-132 map
2. MK-XS-F-122 n</t>
        </is>
      </c>
      <c r="P344" s="3" t="n">
        <v>2</v>
      </c>
      <c r="Q344" s="3" t="inlineStr">
        <is>
          <t>1. MK-CF-F-132 map
2. MK-XS-F-122 n</t>
        </is>
      </c>
      <c r="R344" s="3" t="inlineStr">
        <is>
          <t>1. MK-CF-F-132 map → MK-NW-F-119 estimatedAccrued
2. MK-XS-F-122 n → MK-NW-F-119 estimatedAccrued</t>
        </is>
      </c>
      <c r="S344" s="3" t="inlineStr">
        <is>
          <t>—</t>
        </is>
      </c>
      <c r="T344" s="3" t="inlineStr">
        <is>
          <t>—</t>
        </is>
      </c>
      <c r="U344" s="3" t="inlineStr">
        <is>
          <t>ACTIVE</t>
        </is>
      </c>
      <c r="V344" s="3" t="inlineStr">
        <is>
          <t>2026-10-09</t>
        </is>
      </c>
      <c r="W344" s="3" t="n"/>
      <c r="X344" s="3" t="n"/>
      <c r="Y344" s="3" t="inlineStr">
        <is>
          <t>NOTHING OPEN</t>
        </is>
      </c>
    </row>
    <row r="345" ht="60" customHeight="1">
      <c r="A345" s="3" t="inlineStr">
        <is>
          <t>MK-NW-O-001</t>
        </is>
      </c>
      <c r="B345" s="3" t="inlineStr">
        <is>
          <t>theBonds</t>
        </is>
      </c>
      <c r="C345" s="3" t="inlineStr">
        <is>
          <t>MoneyKeel/functions/networth-and-performance/bonds.ts</t>
        </is>
      </c>
      <c r="D345" s="3" t="n">
        <v>212</v>
      </c>
      <c r="E345" s="3" t="inlineStr">
        <is>
          <t>2 · DISPLAYED</t>
        </is>
      </c>
      <c r="F345" s="3" t="inlineStr">
        <is>
          <t>What bonds and CDs do I hold, what do they pay, and when do they mature?</t>
        </is>
      </c>
      <c r="G345" s="11" t="inlineStr">
        <is>
          <t>now = input.today (or new date() when missing)
held = input.accounts (or none when missing) where is bond
sum = bond summary(held.map(bond info), now)
one = nothing
b = bond info(opened)
row = row of(opened, now)
matured today = the first 10) ≤ iso local date(now of !!row.maturity and string(row.maturity)</t>
        </is>
      </c>
      <c r="H345" s="3" t="inlineStr">
        <is>
          <t>Now is input.today (or new date() — when missing). Held is input.accounts (or none — when missing) where is bond. Sum is bond summary(held.map(bond info), now). One is no answer. B is bond info(opened). Row is row of(opened, now). Matured today: the first 10) is at most iso local date(now of !!row.maturity and string(row.maturity).</t>
        </is>
      </c>
      <c r="I345" s="3" t="inlineStr">
        <is>
          <t>PARTLY READ — some of the code is still showing through; needs a hand pass</t>
        </is>
      </c>
      <c r="J345" s="3" t="inlineStr">
        <is>
          <t>input: BondsInput</t>
        </is>
      </c>
      <c r="K345" s="3" t="inlineStr">
        <is>
          <t>Bonds</t>
        </is>
      </c>
      <c r="L345" s="3" t="inlineStr">
        <is>
          <t>NOT FOUND — a screen calls it, but the words printed beside its answer could not be traced automatically. Needs reading.</t>
        </is>
      </c>
      <c r="M345" s="3" t="inlineStr">
        <is>
          <t>· Uses today's date from the device clock, so the answer changes by itself overnight.</t>
        </is>
      </c>
      <c r="N345" s="3" t="inlineStr">
        <is>
          <t>Yes</t>
        </is>
      </c>
      <c r="O345" s="3" t="inlineStr">
        <is>
          <t>1. MK-ST-F-027 accountId
2. MK-NW-F-057 annualCoupon
3. MK-NW-F-056 bondInfo
4. MK-NW-F-064 bondRateSensitivity
5. MK-NW-F-061 bondSummary
6. MK-NW-F-055 isBond
7. MK-ST-F-065 isoLocalDate
8. MK-CF-F-132 map
9. MK-NW-F-072 rowOf
10. MK-NW-F-112 yearlyInterest</t>
        </is>
      </c>
      <c r="P345" s="3" t="n">
        <v>25</v>
      </c>
      <c r="Q345" s="3" t="inlineStr">
        <is>
          <t>1. MK-ST-F-027 accountId
2. MK-NW-F-057 annualCoupon
3. MK-NW-F-056 bondInfo
4. MK-NW-F-064 bondRateSensitivity
5. MK-NW-F-061 bondSummary
6. MK-NW-F-055 isBond
7. MK-ST-F-065 isoLocalDate
8. MK-CF-F-132 map
9. MK-NW-F-072 rowOf
10. MK-NW-F-112 yearlyInterest
11. MK-CF-F-155 cash
12. MK-NW-F-060 approxYTM
13. MK-NW-F-069 priceAtYield
14. MK-NW-F-011 assetClassOf
15. MK-NW-F-070 accruedInterestCaveat
16. MK-NW-F-059 currentYield
17. MK-NW-F-058 yearsToMaturity
18. MK-XS-F-122 n
19. MK-NW-F-119 estimatedAccrued
20. MK-NW-F-008 incomeBearingClassOf
21. MK-ST-F-010 nameEvidence
22. MK-XS-F-147 call
23. MK-ST-F-056 has
24. MK-XS-F-064 currentIdToken
25. MK-XS-F-112 relayUrl</t>
        </is>
      </c>
      <c r="R345" s="3" t="inlineStr">
        <is>
          <t>1. MK-ST-F-027 accountId → MK-NW-O-001 theBonds
2. MK-NW-F-057 annualCoupon → MK-NW-O-001 theBonds
3. MK-XS-F-122 n → MK-CF-F-155 cash → MK-NW-F-056 bondInfo → MK-NW-O-001 theBonds
4. MK-CF-F-132 map → MK-NW-F-119 estimatedAccrued → MK-NW-F-060 approxYTM → MK-NW-F-064 bondRateSensitivity → MK-NW-O-001 theBonds
5. MK-XS-F-122 n → MK-NW-F-119 estimatedAccrued → MK-NW-F-060 approxYTM → MK-NW-F-064 bondRateSensitivity → MK-NW-O-001 theBonds
6. MK-NW-F-057 annualCoupon → MK-NW-F-069 priceAtYield → MK-NW-F-060 approxYTM → MK-NW-F-064 bondRateSensitivity → MK-NW-O-001 theBonds
7. MK-CF-F-132 map → MK-NW-F-058 yearsToMaturity → MK-NW-F-069 priceAtYield → MK-NW-F-060 approxYTM → MK-NW-F-064 bondRateSensitivity → MK-NW-O-001 theBonds
8. MK-XS-F-122 n → MK-NW-F-058 yearsToMaturity → MK-NW-F-069 priceAtYield → MK-NW-F-060 approxYTM → MK-NW-F-064 bondRateSensitivity → MK-NW-O-001 theBonds
9. … and 5 more paths</t>
        </is>
      </c>
      <c r="S345" s="3" t="inlineStr">
        <is>
          <t>MK-NW-M-023 · MK-NW-M-024 · MK-NW-M-025 · MK-NW-M-026 · MK-NW-M-027 · MK-NW-M-041 · MK-NW-M-042 · MK-NW-M-043 · MK-NW-M-044 · MK-NW-M-045 · MK-NW-M-053 · MK-NW-M-054 · MK-NW-M-055 · MK-NW-M-056 · MK-NW-M-057 · MK-NW-M-058</t>
        </is>
      </c>
      <c r="T345" s="3" t="inlineStr">
        <is>
          <t>—</t>
        </is>
      </c>
      <c r="U345" s="3" t="inlineStr">
        <is>
          <t>ACTIVE</t>
        </is>
      </c>
      <c r="V345" s="3" t="inlineStr">
        <is>
          <t>2026-10-04</t>
        </is>
      </c>
      <c r="W345" s="3" t="n"/>
      <c r="X345" s="3" t="n"/>
      <c r="Y345" s="3" t="inlineStr">
        <is>
          <t>NOTHING OPEN</t>
        </is>
      </c>
    </row>
    <row r="346" ht="60" customHeight="1">
      <c r="A346" s="3" t="inlineStr">
        <is>
          <t>MK-NW-O-002</t>
        </is>
      </c>
      <c r="B346" s="3" t="inlineStr">
        <is>
          <t>theAccount</t>
        </is>
      </c>
      <c r="C346" s="3" t="inlineStr">
        <is>
          <t>MoneyKeel/functions/networth-and-performance/account.ts</t>
        </is>
      </c>
      <c r="D346" s="3" t="n">
        <v>102</v>
      </c>
      <c r="E346" s="3" t="inlineStr">
        <is>
          <t>2 · DISPLAYED</t>
        </is>
      </c>
      <c r="F346" s="3" t="inlineStr">
        <is>
          <t>What is in this one account: what it is worth, what it holds, what each holding has paid, and its activity?</t>
        </is>
      </c>
      <c r="G346" s="11" t="inlineStr">
        <is>
          <t>id = string(account.asset id)
income = personal flow totals(ledger.filter((t) =&gt; type = 'DIVIDEND' or type = 'INTEREST'))
breakdown = account class breakdown(account)
tk = string(ticker ?? '').trim().to upper case()
f = personal flow totals(rows)
dividends = dividends.to number(2)
interest = interest.to number(2)
parts = []
the answer:
dividends = dividends
interest = interest
words = parts.join(' · ')</t>
        </is>
      </c>
      <c r="H346" s="3" t="inlineStr">
        <is>
          <t>Id is string(account.asset id). Income is personal flow totals(ledger.filter((t) =&gt; type = 'DIVIDEND' or type = 'INTEREST')). Breakdown is account class breakdown(account). Tk is string(ticker ?? '').trim().to upper case(). F is personal flow totals(rows). Dividends is dividends.to number(2). Interest is interest.to number(2). Parts is []. The answer is dividends = dividends; interest = interest; words = parts.join(' · ').</t>
        </is>
      </c>
      <c r="I346" s="3" t="inlineStr">
        <is>
          <t>PARTLY READ — some of the code is still showing through; needs a hand pass</t>
        </is>
      </c>
      <c r="J346" s="3" t="inlineStr">
        <is>
          <t>Nothing is handed to it</t>
        </is>
      </c>
      <c r="K346" s="3" t="inlineStr">
        <is>
          <t>NOT DECLARED — the code does not say what it gives back</t>
        </is>
      </c>
      <c r="L346" s="3" t="inlineStr">
        <is>
          <t>NOT FOUND — a screen calls it, but the words printed beside its answer could not be traced automatically. Needs reading.</t>
        </is>
      </c>
      <c r="M346" s="3" t="inlineStr">
        <is>
          <t>1. If balance is missing it counts as zero, so nothing recorded and a real zero look the same.
2. If amount is missing it counts as zero, so nothing recorded and a real zero look the same.
3. Rounds the answer to a whole number.</t>
        </is>
      </c>
      <c r="N346" s="3" t="inlineStr">
        <is>
          <t>Yes</t>
        </is>
      </c>
      <c r="O346" s="3" t="inlineStr">
        <is>
          <t>1. MK-NW-F-027 accountClassBreakdown
2. MK-CF-F-118 cashEffect
3. MK-CF-F-132 map
4. MK-ST-F-013 personalFlowTotals
5. MK-ST-F-030 record
6. MK-ST-F-021 toNumber</t>
        </is>
      </c>
      <c r="P346" s="3" t="n">
        <v>17</v>
      </c>
      <c r="Q346" s="3" t="inlineStr">
        <is>
          <t>1. MK-NW-F-027 accountClassBreakdown
2. MK-CF-F-118 cashEffect
3. MK-CF-F-132 map
4. MK-ST-F-013 personalFlowTotals
5. MK-ST-F-030 record
6. MK-ST-F-021 toNumber
7. MK-NW-F-011 assetClassOf
8. MK-CF-F-155 cash
9. MK-ST-F-056 has
10. MK-NW-F-109 holdingClassOf
11. MK-XS-F-122 n
12. MK-NW-F-008 incomeBearingClassOf
13. MK-ST-F-010 nameEvidence
14. MK-XS-F-147 call
15. MK-ST-F-027 accountId
16. MK-XS-F-064 currentIdToken
17. MK-XS-F-112 relayUrl</t>
        </is>
      </c>
      <c r="R346" s="3" t="inlineStr">
        <is>
          <t>1. MK-XS-F-122 n → MK-CF-F-155 cash → MK-NW-F-008 incomeBearingClassOf → MK-NW-F-011 assetClassOf → MK-NW-F-027 accountClassBreakdown → MK-NW-O-002 theAccount
2. MK-XS-F-147 call → MK-ST-F-010 nameEvidence → MK-NW-F-008 incomeBearingClassOf → MK-NW-F-011 assetClassOf → MK-NW-F-027 accountClassBreakdown → MK-NW-O-002 theAccount
3. MK-ST-F-056 has → MK-ST-F-010 nameEvidence → MK-NW-F-008 incomeBearingClassOf → MK-NW-F-011 assetClassOf → MK-NW-F-027 accountClassBreakdown → MK-NW-O-002 theAccount
4. MK-CF-F-132 map → MK-ST-F-010 nameEvidence → MK-NW-F-008 incomeBearingClassOf → MK-NW-F-011 assetClassOf → MK-NW-F-027 accountClassBreakdown → MK-NW-O-002 theAccount
5. MK-XS-F-122 n → MK-CF-F-155 cash → MK-NW-F-027 accountClassBreakdown → MK-NW-O-002 theAccount
6. MK-ST-F-056 has → MK-NW-F-027 accountClassBreakdown → MK-NW-O-002 theAccount
7. MK-XS-F-122 n → MK-CF-F-155 cash → MK-NW-F-109 holdingClassOf → MK-NW-F-027 accountClassBreakdown → MK-NW-O-002 theAccount
8. MK-XS-F-122 n → MK-CF-F-155 cash → MK-NW-F-008 incomeBearingClassOf → MK-NW-F-109 holdingClassOf → MK-NW-F-027 accountClassBreakdown → MK-NW-O-002 theAccount
9. … and 5 more paths</t>
        </is>
      </c>
      <c r="S346" s="3" t="inlineStr">
        <is>
          <t>MK-NW-M-019 · MK-NW-M-020 · MK-NW-M-021 · MK-NW-M-038 · MK-NW-M-039 · MK-NW-M-040 · MK-NW-M-062</t>
        </is>
      </c>
      <c r="T346" s="3" t="inlineStr">
        <is>
          <t>—</t>
        </is>
      </c>
      <c r="U346" s="3" t="inlineStr">
        <is>
          <t>ACTIVE</t>
        </is>
      </c>
      <c r="V346" s="3" t="inlineStr">
        <is>
          <t>2026-10-07</t>
        </is>
      </c>
      <c r="W346" s="3" t="n"/>
      <c r="X346" s="3" t="n"/>
      <c r="Y346" s="3" t="inlineStr">
        <is>
          <t>NOTHING OPEN</t>
        </is>
      </c>
    </row>
    <row r="347" ht="60" customHeight="1">
      <c r="A347" s="3" t="inlineStr">
        <is>
          <t>MK-NW-O-003</t>
        </is>
      </c>
      <c r="B347" s="3" t="inlineStr">
        <is>
          <t>theNetWorth</t>
        </is>
      </c>
      <c r="C347" s="3" t="inlineStr">
        <is>
          <t>MoneyKeel/functions/networth-and-performance/net-worth.ts</t>
        </is>
      </c>
      <c r="D347" s="3" t="n">
        <v>127</v>
      </c>
      <c r="E347" s="3" t="inlineStr">
        <is>
          <t>2 · DISPLAYED</t>
        </is>
      </c>
      <c r="F347" s="3" t="inlineStr">
        <is>
          <t>What am I worth: everything I own, less everything I owe, and how each breaks down?</t>
        </is>
      </c>
      <c r="G347"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the answer = { unclassed, unclassed sentence }
nothing   when input.since is missing
today = input.today (or iso local date(new date()) when missing)
start = `${input.since}-01`   if input.since.length = 7
input.since   otherwise
… the first steps only — the rest of the body needs reading by hand.</t>
        </is>
      </c>
      <c r="H347"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The answer is { unclassed, unclassed sentence }. When input.since is missing, it answers no answer. Today is input.today (or iso local date(new date()) — when missing). Start is `${input.since}-01` — when input.since.length = 7; input.since — otherwise. Only the first steps are shown; the rest of the body needs reading by hand.</t>
        </is>
      </c>
      <c r="I347" s="3" t="inlineStr">
        <is>
          <t>PARTLY READ — some of the code is still showing through; needs a hand pass</t>
        </is>
      </c>
      <c r="J347" s="3" t="inlineStr">
        <is>
          <t>Nothing is handed to it</t>
        </is>
      </c>
      <c r="K347" s="3" t="inlineStr">
        <is>
          <t>NOT DECLARED — the code does not say what it gives back</t>
        </is>
      </c>
      <c r="L347" s="3" t="inlineStr">
        <is>
          <t>1. "Monthly debt payments" — on the Net worth screen, under "💳  DEBTS"
2. "Net worth so far" — on the Net worth screen, under "EMERGENCY FUND"
3. "Net worth" — on the Home screen</t>
        </is>
      </c>
      <c r="M347" s="3" t="inlineStr">
        <is>
          <t>1. If alternatives is missing it uses 0.
2. If remaining balance is missing it counts as zero, so nothing recorded and a real zero look the same.
3. Uses today's date from the device clock, so the answer changes by itself overnight.</t>
        </is>
      </c>
      <c r="N347" s="3" t="inlineStr">
        <is>
          <t>Yes</t>
        </is>
      </c>
      <c r="O347" s="3" t="inlineStr">
        <is>
          <t>1. MK-NW-F-078 ONE
2. MK-NW-F-029 assetAllocation
3. MK-NW-F-011 assetClassOf
4. MK-NW-F-039 buildAssetsState
5. MK-ST-F-028 buildDayFromAccounts
6. MK-CF-F-036 buildDebtState
7. MK-NW-F-065 buildNetWorth
8. MK-NW-F-016 cashTotal
9. MK-NW-F-022 investableAssets
10. MK-NW-F-021 investmentsTotal
11. MK-NW-F-014 isRealAsset
12. MK-ST-F-065 isoLocalDate
13. MK-CF-F-132 map
14. MK-NW-F-106 mortgagesByProperty
15. MK-ST-F-082 movementsOf
16. MK-ST-F-039 on
17. MK-ST-F-030 record
18. MK-CF-F-023 requiredPayment
19. MK-ST-F-081 timeWeightedReturn
20. MK-XS-F-005 trendPoints
21. MK-XS-F-175 uid</t>
        </is>
      </c>
      <c r="P347" s="3" t="n">
        <v>203</v>
      </c>
      <c r="Q347" s="3" t="inlineStr">
        <is>
          <t>1. MK-NW-F-078 ONE
2. MK-NW-F-029 assetAllocation
3. MK-NW-F-011 assetClassOf
4. MK-NW-F-039 buildAssetsState
5. MK-ST-F-028 buildDayFromAccounts
6. MK-CF-F-036 buildDebtState
7. MK-NW-F-065 buildNetWorth
8. MK-NW-F-016 cashTotal
9. MK-NW-F-022 investableAssets
10. MK-NW-F-021 investmentsTotal
11. MK-NW-F-014 isRealAsset
12. MK-ST-F-065 isoLocalDate
13. MK-CF-F-132 map
14. MK-NW-F-106 mortgagesByProperty
15. MK-ST-F-082 movementsOf
16. MK-ST-F-039 on
17. MK-ST-F-030 record
18. MK-CF-F-023 requiredPayment
19. MK-ST-F-081 timeWeightedReturn
20. MK-XS-F-005 trendPoints
21. MK-XS-F-175 uid
22. MK-NW-F-077 ALL
23. MK-NW-F-059 currentYield
24. MK-XS-F-180 declareFigures
25. MK-ST-F-049 formatMoney
26. MK-ST-F-053 money
27. MK-NW-O-001 theBonds
28. MK-NW-F-027 accountClassBreakdown
29. MK-NW-F-008 incomeBearingClassOf
30. MK-CF-F-026 actualDebtPayment
31. MK-CF-F-204 line
32. MK-CF-F-025 minimumDebtService
33. MK-NW-F-066 sumWhere
34. MK-NW-F-015 totalAssets
35. MK-NW-F-023 wrapperWord
36. MK-CF-F-155 cash
37. MK-ST-F-056 has
38. MK-CF-F-022 paymentShape
39. MK-ST-F-027 accountId
40. MK-ST-F-083 accountValuesOn
41. MK-ST-F-080 isDay
42. MK-XS-F-009 readHistory
43. MK-CF-F-111 applyTransaction
44. MK-NW-F-040 assetsFromOnboarding
45. MK-PF-F-013 benchmarkTicker
46. MK-PF-F-034 closeOnOrBefore
47. MK-CF-F-186 convertTakeHomeMode
48. MK-ST-F-079 dailyWindowStart
49. MK-CF-F-038 debtsFromOnboarding
50. MK-XS-F-083 fetchPriceSeries
51. MK-ST-F-084 fillBetweenObservations
52. MK-PL-F-013 goalsFromOnboarding
53. MK-CF-F-116 inverseOf
54. MK-CF-F-112 makeTransaction
55. MK-XS-F-122 n
56. MK-ST-F-043 newEntityId
57. MK-XS-F-006 pruneDaily
58. MK-ST-F-073 rebuildDays
59. MK-NW-F-054 reclassifyAccounts
60. MK-XS-F-174 recomputeBalances
61. MK-CF-F-115 restoreUndo
62. MK-CF-F-109 reviewTransactions
63. MK-ST-F-044 setMoneyFormat
64. MK-CF-F-114 undoSnapshot
65. MK-CF-F-191 ym
66. MK-NW-F-112 yearlyInterest
67. MK-ST-F-048 currencySymbol
68. MK-NW-F-057 annualCoupon
69. MK-NW-F-056 bondInfo
70. MK-NW-F-064 bondRateSensitivity
71. MK-NW-F-061 bondSummary
72. MK-NW-F-055 isBond
73. MK-NW-F-072 rowOf
74. MK-NW-F-109 holdingClassOf
75. MK-ST-F-010 nameEvidence
76. MK-CF-F-024 totalDebtMonthly
77. MK-CF-F-203 MONTH
78. MK-CF-F-021 defaultPaymentType
79. MK-XS-F-008 normalizeSnapshot
80. MK-CF-F-138 addLot
81. MK-CF-F-136 bumpCash
82. MK-CF-F-137 findPos
83. MK-CF-F-139 removeShares
84. MK-PF-F-001 totalShares
85. MK-ST-F-052 toNum
86. MK-CF-F-085 filingStatusOf
87. MK-CF-F-097 grossFromNet
88. MK-CF-F-185 needsTakeHomeConversion
89. MK-CF-F-089 over65CountOf
90. MK-CF-F-037 inferDebtType
91. MK-ST-F-069 amountOf
92. MK-CF-F-133 cashOf
93. MK-ST-F-066 isDayKey
94. MK-ST-F-070 isOpening
95. MK-ST-F-071 rebuildableFrom
96. MK-ST-F-068 stepDay
97. MK-ST-F-072 undo
98. MK-NW-F-053 correctClassOf
99. MK-PF-F-002 costBasis
100. MK-PF-F-009 latestClose
101. MK-PF-F-004 marketValue
102. MK-XS-F-024 resolveLens
103. MK-ST-F-055 round2
104. MK-CF-F-162 daysApart
105. MK-CF-F-108 isMoneyOut
106. MK-PL-F-074 median
107. MK-CF-F-131 normPayee
108. MK-CF-F-113 affectedAccountIds
109. MK-ST-F-047 activeCurrency
110. MK-NW-F-060 approxYTM
111. MK-NW-F-069 priceAtYield
112. MK-NW-F-070 accruedInterestCaveat
113. MK-NW-F-058 yearsToMaturity
114. MK-XS-F-147 call
115. MK-CF-F-201 INCOME
116. MK-CF-O-010 theMonth
117. MK-XS-F-121 isYm
118. MK-CF-F-134 usesSleeve
119. MK-CF-F-101 taxOwedFor
120. MK-ST-F-067 utcOfDay
121. MK-ST-F-035 covers
122. MK-NW-F-009 maturityClass
123. MK-PF-F-031 contractMultiplier
124. MK-CF-F-072 currentRetirementIncomeMonthly
125. MK-NW-F-119 estimatedAccrued
126. MK-XS-F-064 currentIdToken
127. MK-XS-F-112 relayUrl
128. MK-CF-F-207 SOURCE
129. MK-CF-O-004 incomeSummary
130. MK-CF-O-002 expenses
131. MK-CF-O-003 thisMonth
132. MK-CF-F-100 taxableIncomeFor
133. MK-ST-F-034 firstDate
134. MK-CF-F-075 retirementIncomeMonthly
135. MK-CF-O-016 incomeSources
136. MK-CF-O-001 basePay
137. MK-CF-F-069 benefitActiveMonths
138. MK-CF-F-173 earnerWages
139. MK-CF-F-179 entryFromWage
140. MK-CF-F-071 extraIncome
141. MK-CF-F-092 incomeMonthlyGrid
142. MK-CF-F-192 inflowLabel
143. MK-CF-F-103 marginalBracketFor
144. MK-CF-F-181 rateInForce
145. MK-CF-F-068 rentalNetAnnual
146. MK-CF-F-082 salaryAnnual
147. MK-CF-F-060 salaryGrossByMonth
148. MK-CF-F-084 taxableAnnual
149. MK-CF-F-151 actualSpending
150. MK-CF-F-150 debtPaymentsCountedAsExpenses
151. MK-CF-F-153 radar
152. MK-CF-F-149 recurringDebtPayments
153. MK-CF-F-005 actualMonthFlow
154. MK-CF-F-156 plannedMonthFlow
155. MK-CF-F-099 deductionFor
156. MK-CF-F-066 rsuAnnual
157. MK-CF-F-171 earnerPay
158. MK-HM-F-006 money0
159. MK-CF-F-198 payrollTaxWithheld
160. MK-CF-F-172 hasWage
161. MK-CF-F-165 salaryMonths
162. MK-CF-F-070 benefitAnnual
163. MK-CF-F-065 equityVestWeights
164. MK-CF-F-206 householdK401ByMonth
165. MK-CF-F-087 monthlyTaxRates
166. MK-CF-F-073 otherIncomeMonth
167. MK-CF-F-077 scholarshipByCalendarMonth
168. MK-CF-F-088 taxableByCalendarMonth
169. MK-CF-F-177 wageGrossByMonth
170. MK-PL-F-012 waterfall
171. MK-CF-F-193 inflowSourceWord
172. MK-CF-F-180 enteredLandsAnnual
173. MK-CF-F-086 stateRateOf
174. MK-CF-F-067 rentalList
175. MK-CF-F-176 sumMonthsOverEarners
176. MK-CF-F-074 tipsAnnual
177. MK-CF-F-148 inMonth
178. MK-CF-F-152 isRadarItem
179. MK-CF-F-157 debtPaymentsByDebt
180. MK-XS-F-027 takeHomeMonthly
181. MK-CF-F-187 seniorDeductionFor
182. MK-CF-F-062 equityRowValue
183. MK-CF-F-063 rowVestYear
184. MK-CF-F-143 annualisedGross
185. MK-CF-F-145 deductionsFromPay
186. MK-CF-F-128 grossByMonth
187. MK-CF-F-146 payFiguresAgree
188. MK-CF-F-144 takeHomeAsEntered
189. MK-HM-F-005 pctTxt
190. MK-CF-F-090 effectiveRate
191. MK-CF-F-130 enteredMonthlyRaw
192. MK-CF-F-166 hasMonthlySalaryTable
193. MK-ST-F-036 reconcile
194. MK-CF-F-167 salaryCalendarYear
195. MK-CF-F-081 salaryActiveMonths
196. MK-CF-F-011 savingsByMonth
197. MK-CF-F-142 monthsOf
198. MK-CF-F-141 perMonth
199. MK-CF-F-008 spendByMonth
200. MK-CF-F-140 periodsAYear
201. MK-CF-F-120 pctBaseMonthly
202. MK-CF-F-004 spendBuckets
203. MK-CF-F-003 categoryMonthly</t>
        </is>
      </c>
      <c r="R347" s="3" t="inlineStr">
        <is>
          <t>1. MK-ST-F-027 accountId → MK-NW-O-001 theBonds → MK-NW-F-077 ALL → MK-NW-F-078 ONE → MK-NW-O-003 theNetWorth
2. MK-NW-F-057 annualCoupon → MK-NW-O-001 theBonds → MK-NW-F-077 ALL → MK-NW-F-078 ONE → MK-NW-O-003 theNetWorth
3. MK-CF-F-155 cash → MK-NW-F-056 bondInfo → MK-NW-O-001 theBonds → MK-NW-F-077 ALL → MK-NW-F-078 ONE → MK-NW-O-003 theNetWorth
4. MK-NW-F-060 approxYTM → MK-NW-F-064 bondRateSensitivity → MK-NW-O-001 theBonds → MK-NW-F-077 ALL → MK-NW-F-078 ONE → MK-NW-O-003 theNetWorth
5. MK-NW-F-069 priceAtYield → MK-NW-F-064 bondRateSensitivity → MK-NW-O-001 theBonds → MK-NW-F-077 ALL → MK-NW-F-078 ONE → MK-NW-O-003 theNetWorth
6. MK-ST-F-065 isoLocalDate → MK-NW-F-061 bondSummary → MK-NW-O-001 theBonds → MK-NW-F-077 ALL → MK-NW-F-078 ONE → MK-NW-O-003 theNetWorth
7. MK-CF-F-132 map → MK-NW-F-061 bondSummary → MK-NW-O-001 theBonds → MK-NW-F-077 ALL → MK-NW-F-078 ONE → MK-NW-O-003 theNetWorth
8. MK-NW-F-112 yearlyInterest → MK-NW-F-061 bondSummary → MK-NW-O-001 theBonds → MK-NW-F-077 ALL → MK-NW-F-078 ONE → MK-NW-O-003 theNetWorth
9. … and 5 more paths</t>
        </is>
      </c>
      <c r="S347" s="3" t="inlineStr">
        <is>
          <t>MK-MN-M-016 · MK-NW-M-001 · MK-NW-M-002 · MK-NW-M-003 · MK-NW-M-004 · MK-NW-M-005 · MK-NW-M-006 · MK-NW-M-007 · MK-NW-M-008 · MK-NW-M-009 · MK-NW-M-011 · MK-NW-M-015 · MK-NW-M-016 · MK-NW-M-017 · MK-NW-M-049 · MK-NW-M-063 · MK-XS-M-001 · MK-XS-M-003</t>
        </is>
      </c>
      <c r="T347" s="3" t="inlineStr">
        <is>
          <t>—</t>
        </is>
      </c>
      <c r="U347" s="3" t="inlineStr">
        <is>
          <t>ACTIVE</t>
        </is>
      </c>
      <c r="V347" s="3" t="inlineStr">
        <is>
          <t>2026-10-05</t>
        </is>
      </c>
      <c r="W347" s="3" t="n"/>
      <c r="X347" s="3" t="n"/>
      <c r="Y347" s="3" t="inlineStr">
        <is>
          <t>NOTHING OPEN</t>
        </is>
      </c>
    </row>
    <row r="348" ht="60" customHeight="1">
      <c r="A348" s="3" t="inlineStr">
        <is>
          <t>MK-NW-O-004</t>
        </is>
      </c>
      <c r="B348" s="3" t="inlineStr">
        <is>
          <t>theEmergencyFund</t>
        </is>
      </c>
      <c r="C348" s="3" t="inlineStr">
        <is>
          <t>MoneyKeel/functions/networth-and-performance/emergency-fund.ts</t>
        </is>
      </c>
      <c r="D348" s="3" t="n">
        <v>111</v>
      </c>
      <c r="E348" s="3" t="inlineStr">
        <is>
          <t>2 · DISPLAYED</t>
        </is>
      </c>
      <c r="F348" s="3" t="inlineStr">
        <is>
          <t>How many months of essential expenses would my cash cover?</t>
        </is>
      </c>
      <c r="G348" s="11" t="inlineStr">
        <is>
          <t>cash = input.cash override   if input.cash override ≠ nothing
cash total(input.accounts ?? [])   otherwise
debts = input.debts (or none when missing)
budget = the budget counted({ profile: input.profile, accounts: input.accounts ?? [], debts })
profile = budget.profile
minimum of = (d: any) =&gt; (payment shape(d) = 'due_in_full' ? 0 : math.max(0, number(minimum monthly payment) or 0))
debt minimums = debts.reduce((t: number, d: any) =&gt; t + minimum of(d), 0)
named = a list with no repeats of for each of debts: string(label)
ess = essentials monthly(counted, monthly essentials(profile))
planned = planned monthly spend(profile) + debt minimums
rent = max(0, income summary(input.profile ?? {}).lands.rent monthly)
from cash = max(0, monthly − rent)
… the first steps only — the rest of the body needs reading by hand.</t>
        </is>
      </c>
      <c r="H348" s="3" t="inlineStr">
        <is>
          <t>Cash is input.cash override — when input.cash override is not no answer; cash total(input.accounts ?? []) — otherwise. Debts is input.debts (or none — when missing). Budget: the budget counted({ profile: input.profile, accounts: input.accounts ?? [], debts }). Profile is budget.profile. Minimum of is (d: any) =&gt; (payment shape(d) = 'due_in_full' ? 0 : math.number(minimum monthly payment, never below zero or 0)). Debt minimums is debts.reduce((t: number, d: any) =&gt; t plus minimum of(d), 0). Named is a list with no repeats of for each of debts: string(label). Ess is essentials monthly(counted, monthly essentials(profile)). Planned is planned monthly spend(profile) plus debt minimums. Rent is income summary(input.profile ?? {}, never below zero.lands.rent monthly). From cash is monthly minus rent, never below zero. Only the first steps are shown; the rest of the body needs reading by hand.</t>
        </is>
      </c>
      <c r="I348" s="3" t="inlineStr">
        <is>
          <t>PARTLY READ — some of the code is still showing through; needs a hand pass</t>
        </is>
      </c>
      <c r="J348" s="3" t="inlineStr">
        <is>
          <t>Nothing is handed to it</t>
        </is>
      </c>
      <c r="K348" s="3" t="inlineStr">
        <is>
          <t>NOT DECLARED — the code does not say what it gives back</t>
        </is>
      </c>
      <c r="L348" s="3" t="inlineStr">
        <is>
          <t>NOT FOUND — a screen calls it, but the words printed beside its answer could not be traced automatically. Needs reading.</t>
        </is>
      </c>
      <c r="M348" s="3" t="inlineStr">
        <is>
          <t>1. If monthly is missing it uses 0.
2. Never lets cash after fall below 0.</t>
        </is>
      </c>
      <c r="N348" s="3" t="inlineStr">
        <is>
          <t>Yes</t>
        </is>
      </c>
      <c r="O348" s="3" t="inlineStr">
        <is>
          <t>1. MK-CF-F-155 cash
2. MK-NW-F-016 cashTotal
3. MK-CF-F-010 emergencyTest
4. MK-CF-F-190 essentialsMonthly
5. MK-ST-F-056 has
6. MK-CF-O-004 incomeSummary
7. MK-CF-F-132 map
8. MK-CF-F-009 monthlyEssentials
9. MK-CF-F-022 paymentShape
10. MK-CF-F-002 plannedMonthlySpend
11. MK-CF-O-020 theBudgetCounted</t>
        </is>
      </c>
      <c r="P348" s="3" t="n">
        <v>137</v>
      </c>
      <c r="Q348" s="3" t="inlineStr">
        <is>
          <t>1. MK-CF-F-155 cash
2. MK-NW-F-016 cashTotal
3. MK-CF-F-010 emergencyTest
4. MK-CF-F-190 essentialsMonthly
5. MK-ST-F-056 has
6. MK-CF-O-004 incomeSummary
7. MK-CF-F-132 map
8. MK-CF-F-009 monthlyEssentials
9. MK-CF-F-022 paymentShape
10. MK-CF-F-002 plannedMonthlySpend
11. MK-CF-O-020 theBudgetCounted
12. MK-XS-F-122 n
13. MK-NW-F-027 accountClassBreakdown
14. MK-NW-F-029 assetAllocation
15. MK-NW-F-011 assetClassOf
16. MK-CF-F-189 essentialsFromLoggedSpending
17. MK-CF-O-002 expenses
18. MK-CF-F-203 MONTH
19. MK-CF-O-001 basePay
20. MK-CF-F-069 benefitActiveMonths
21. MK-CF-F-072 currentRetirementIncomeMonthly
22. MK-CF-F-173 earnerWages
23. MK-CF-F-179 entryFromWage
24. MK-CF-F-071 extraIncome
25. MK-CF-F-085 filingStatusOf
26. MK-CF-F-092 incomeMonthlyGrid
27. MK-CF-F-192 inflowLabel
28. MK-CF-F-103 marginalBracketFor
29. MK-CF-F-089 over65CountOf
30. MK-CF-F-181 rateInForce
31. MK-CF-F-068 rentalNetAnnual
32. MK-CF-F-082 salaryAnnual
33. MK-CF-F-060 salaryGrossByMonth
34. MK-CF-F-084 taxableAnnual
35. MK-ST-F-052 toNum
36. MK-CF-F-120 pctBaseMonthly
37. MK-CF-F-004 spendBuckets
38. MK-CF-F-021 defaultPaymentType
39. MK-XS-F-027 takeHomeMonthly
40. MK-NW-F-106 mortgagesByProperty
41. MK-NW-F-107 propertyUses
42. MK-NW-F-109 holdingClassOf
43. MK-NW-F-008 incomeBearingClassOf
44. MK-CF-F-191 ym
45. MK-CF-F-151 actualSpending
46. MK-CF-F-150 debtPaymentsCountedAsExpenses
47. MK-CF-F-153 radar
48. MK-CF-F-149 recurringDebtPayments
49. MK-CF-O-010 theMonth
50. MK-ST-F-035 covers
51. MK-CF-F-171 earnerPay
52. MK-CF-F-204 line
53. MK-ST-F-053 money
54. MK-HM-F-006 money0
55. MK-CF-F-198 payrollTaxWithheld
56. MK-CF-F-075 retirementIncomeMonthly
57. MK-CF-F-172 hasWage
58. MK-CF-F-165 salaryMonths
59. MK-CF-F-070 benefitAnnual
60. MK-ST-F-039 on
61. MK-CF-F-065 equityVestWeights
62. MK-CF-F-206 householdK401ByMonth
63. MK-CF-F-087 monthlyTaxRates
64. MK-CF-F-073 otherIncomeMonth
65. MK-CF-F-066 rsuAnnual
66. MK-CF-F-077 scholarshipByCalendarMonth
67. MK-CF-F-088 taxableByCalendarMonth
68. MK-CF-F-177 wageGrossByMonth
69. MK-PL-F-012 waterfall
70. MK-CF-F-193 inflowSourceWord
71. MK-CF-F-100 taxableIncomeFor
72. MK-CF-F-180 enteredLandsAnnual
73. MK-CF-F-086 stateRateOf
74. MK-CF-F-101 taxOwedFor
75. MK-CF-F-067 rentalList
76. MK-CF-F-176 sumMonthsOverEarners
77. MK-CF-F-074 tipsAnnual
78. MK-CF-F-003 categoryMonthly
79. MK-CF-F-011 savingsByMonth
80. MK-CF-F-023 requiredPayment
81. MK-NW-F-117 propertyUseMap
82. MK-ST-F-010 nameEvidence
83. MK-CF-F-148 inMonth
84. MK-CF-F-152 isRadarItem
85. MK-CF-O-003 thisMonth
86. MK-ST-F-034 firstDate
87. MK-CF-F-143 annualisedGross
88. MK-CF-F-145 deductionsFromPay
89. MK-CF-F-128 grossByMonth
90. MK-CF-F-146 payFiguresAgree
91. MK-CF-F-144 takeHomeAsEntered
92. MK-XS-F-180 declareFigures
93. MK-ST-F-049 formatMoney
94. MK-HM-F-005 pctTxt
95. MK-CF-F-062 equityRowValue
96. MK-CF-F-090 effectiveRate
97. MK-CF-F-063 rowVestYear
98. MK-CF-F-130 enteredMonthlyRaw
99. MK-CF-F-166 hasMonthlySalaryTable
100. MK-ST-F-036 reconcile
101. MK-CF-F-167 salaryCalendarYear
102. MK-CF-F-099 deductionFor
103. MK-CF-F-081 salaryActiveMonths
104. MK-CF-F-008 spendByMonth
105. MK-NW-F-115 liveRent
106. MK-NW-F-116 rentedIdsOf
107. MK-XS-F-147 call
108. MK-CF-F-005 actualMonthFlow
109. MK-CF-F-156 plannedMonthFlow
110. MK-CF-F-142 monthsOf
111. MK-CF-F-141 perMonth
112. MK-ST-F-048 currencySymbol
113. MK-CF-F-187 seniorDeductionFor
114. MK-NW-F-114 rentAmount
115. MK-ST-F-027 accountId
116. MK-XS-F-064 currentIdToken
117. MK-XS-F-112 relayUrl
118. MK-NW-F-078 ONE
119. MK-CF-F-157 debtPaymentsByDebt
120. MK-CF-F-140 periodsAYear
121. MK-ST-F-047 activeCurrency
122. MK-NW-F-077 ALL
123. MK-NW-F-059 currentYield
124. MK-NW-O-001 theBonds
125. MK-NW-F-112 yearlyInterest
126. MK-NW-F-057 annualCoupon
127. MK-NW-F-056 bondInfo
128. MK-NW-F-064 bondRateSensitivity
129. MK-NW-F-061 bondSummary
130. MK-NW-F-055 isBond
131. MK-ST-F-065 isoLocalDate
132. MK-NW-F-072 rowOf
133. MK-NW-F-060 approxYTM
134. MK-NW-F-069 priceAtYield
135. MK-NW-F-070 accruedInterestCaveat
136. MK-NW-F-058 yearsToMaturity
137. MK-NW-F-119 estimatedAccrued</t>
        </is>
      </c>
      <c r="R348" s="3" t="inlineStr">
        <is>
          <t>1. MK-XS-F-122 n → MK-CF-F-155 cash → MK-NW-O-004 theEmergencyFund
2. MK-CF-F-155 cash → MK-NW-F-008 incomeBearingClassOf → MK-NW-F-011 assetClassOf → MK-NW-F-027 accountClassBreakdown → MK-NW-F-016 cashTotal → MK-NW-O-004 theEmergencyFund
3. MK-ST-F-010 nameEvidence → MK-NW-F-008 incomeBearingClassOf → MK-NW-F-011 assetClassOf → MK-NW-F-027 accountClassBreakdown → MK-NW-F-016 cashTotal → MK-NW-O-004 theEmergencyFund
4. MK-XS-F-122 n → MK-CF-F-155 cash → MK-NW-F-027 accountClassBreakdown → MK-NW-F-016 cashTotal → MK-NW-O-004 theEmergencyFund
5. MK-ST-F-056 has → MK-NW-F-027 accountClassBreakdown → MK-NW-F-016 cashTotal → MK-NW-O-004 theEmergencyFund
6. MK-XS-F-122 n → MK-CF-F-155 cash → MK-NW-F-109 holdingClassOf → MK-NW-F-027 accountClassBreakdown → MK-NW-F-016 cashTotal → MK-NW-O-004 theEmergencyFund
7. MK-CF-F-155 cash → MK-NW-F-008 incomeBearingClassOf → MK-NW-F-109 holdingClassOf → MK-NW-F-027 accountClassBreakdown → MK-NW-F-016 cashTotal → MK-NW-O-004 theEmergencyFund
8. MK-ST-F-010 nameEvidence → MK-NW-F-008 incomeBearingClassOf → MK-NW-F-109 holdingClassOf → MK-NW-F-027 accountClassBreakdown → MK-NW-F-016 cashTotal → MK-NW-O-004 theEmergencyFund
9. … and 5 more paths</t>
        </is>
      </c>
      <c r="S348" s="3" t="inlineStr">
        <is>
          <t>MK-NW-M-046 · MK-NW-M-047 · MK-NW-M-048 · MK-NW-M-064</t>
        </is>
      </c>
      <c r="T348" s="3" t="inlineStr">
        <is>
          <t>—</t>
        </is>
      </c>
      <c r="U348" s="3" t="inlineStr">
        <is>
          <t>DECOMMISSIONED 2026-09-28 — it was here and is not any more. Kept so the number is never reused and earlier work can still be traced.</t>
        </is>
      </c>
      <c r="V348" s="3" t="inlineStr">
        <is>
          <t>2026-10-05</t>
        </is>
      </c>
      <c r="W348" s="3" t="n"/>
      <c r="X348" s="3" t="n"/>
      <c r="Y348" s="3" t="inlineStr">
        <is>
          <t>NOTHING OPEN</t>
        </is>
      </c>
    </row>
    <row r="349" ht="60" customHeight="1">
      <c r="A349" s="3" t="inlineStr">
        <is>
          <t>MK-NW-O-005</t>
        </is>
      </c>
      <c r="B349" s="3" t="inlineStr">
        <is>
          <t>theAlternativesOutlook</t>
        </is>
      </c>
      <c r="C349" s="3" t="inlineStr">
        <is>
          <t>MoneyKeel/functions/networth-and-performance/alternatives-outlook.ts</t>
        </is>
      </c>
      <c r="D349" s="3" t="n">
        <v>76</v>
      </c>
      <c r="E349" s="3" t="inlineStr">
        <is>
          <t>2 · DISPLAYED</t>
        </is>
      </c>
      <c r="F349" s="3" t="inlineStr">
        <is>
          <t>What might my alternative investments earn in a year: the expected rate, and the money it comes to?</t>
        </is>
      </c>
      <c r="G349" s="11" t="inlineStr">
        <is>
          <t>accounts = input.accounts (or none when missing)
s = alternatives summary(accounts)</t>
        </is>
      </c>
      <c r="H349" s="3" t="inlineStr">
        <is>
          <t>Accounts is input.accounts (or none — when missing). S is alternatives summary(accounts).</t>
        </is>
      </c>
      <c r="I349" s="3" t="inlineStr">
        <is>
          <t>PARTLY READ — some of the code is still showing through; needs a hand pass</t>
        </is>
      </c>
      <c r="J349" s="3" t="inlineStr">
        <is>
          <t>input: { accounts: AssetAccount[] }</t>
        </is>
      </c>
      <c r="K349" s="3" t="inlineStr">
        <is>
          <t>AlternativesOutlook</t>
        </is>
      </c>
      <c r="L349" s="3" t="inlineStr">
        <is>
          <t>1. "EST. GROWTH /year" — on the Other investments screen, under "ALTERNATIVES"
2. "EXP. RETURN" — on the Other investments screen, under "ALTERNATIVES"</t>
        </is>
      </c>
      <c r="M349" s="3" t="inlineStr">
        <is>
          <t>None found in this function — anything it assumes comes from the functions it depends on.</t>
        </is>
      </c>
      <c r="N349" s="3" t="inlineStr">
        <is>
          <t>Yes</t>
        </is>
      </c>
      <c r="O349" s="3" t="inlineStr">
        <is>
          <t>1. MK-NW-F-113 altPartsOf
2. MK-NW-F-002 alternativesSummary
3. MK-NW-F-034 benchmarkReturn
4. MK-NW-F-037 blendedReturn
5. MK-NW-F-028 classPortionLabel
6. MK-NW-F-001 isAlternative
7. MK-CF-F-132 map</t>
        </is>
      </c>
      <c r="P349" s="3" t="n">
        <v>125</v>
      </c>
      <c r="Q349" s="3" t="inlineStr">
        <is>
          <t>1. MK-NW-F-113 altPartsOf
2. MK-NW-F-002 alternativesSummary
3. MK-NW-F-034 benchmarkReturn
4. MK-NW-F-037 blendedReturn
5. MK-NW-F-028 classPortionLabel
6. MK-NW-F-001 isAlternative
7. MK-CF-F-132 map
8. MK-NW-F-027 accountClassBreakdown
9. MK-NW-F-109 holdingClassOf
10. MK-CF-F-200 LINE
11. MK-CF-F-204 line
12. MK-NW-F-007 assetKind
13. MK-NW-F-032 earmarkedAmount
14. MK-NW-F-031 primaryCarIdOf
15. MK-NW-F-110 primaryHomeIdOf
16. MK-XS-F-120 nameOf
17. MK-NW-F-067 plural
18. MK-NW-F-011 assetClassOf
19. MK-CF-F-155 cash
20. MK-ST-F-056 has
21. MK-NW-F-008 incomeBearingClassOf
22. MK-XS-F-180 declareFigures
23. MK-CF-O-006 theCreditLine
24. MK-CF-F-203 MONTH
25. MK-NW-F-030 earmarkDefault
26. MK-NW-F-117 propertyUseMap
27. MK-XS-F-122 n
28. MK-ST-F-010 nameEvidence
29. MK-CF-F-031 creditUtilization
30. MK-CF-O-010 theMonth
31. MK-NW-F-115 liveRent
32. MK-NW-F-116 rentedIdsOf
33. MK-XS-F-147 call
34. MK-CF-O-002 expenses
35. MK-CF-O-003 thisMonth
36. MK-NW-F-114 rentAmount
37. MK-ST-F-027 accountId
38. MK-XS-F-064 currentIdToken
39. MK-XS-F-112 relayUrl
40. MK-CF-F-151 actualSpending
41. MK-CF-F-150 debtPaymentsCountedAsExpenses
42. MK-CF-F-153 radar
43. MK-CF-F-149 recurringDebtPayments
44. MK-CF-F-005 actualMonthFlow
45. MK-CF-F-156 plannedMonthFlow
46. MK-CF-F-148 inMonth
47. MK-ST-F-052 toNum
48. MK-CF-F-191 ym
49. MK-CF-F-022 paymentShape
50. MK-CF-F-152 isRadarItem
51. MK-CF-F-023 requiredPayment
52. MK-NW-F-078 ONE
53. MK-CF-F-157 debtPaymentsByDebt
54. MK-CF-F-192 inflowLabel
55. MK-XS-F-027 takeHomeMonthly
56. MK-CF-F-021 defaultPaymentType
57. MK-NW-F-077 ALL
58. MK-NW-F-059 currentYield
59. MK-ST-F-049 formatMoney
60. MK-ST-F-053 money
61. MK-NW-O-001 theBonds
62. MK-CF-F-193 inflowSourceWord
63. MK-CF-F-092 incomeMonthlyGrid
64. MK-CF-F-011 savingsByMonth
65. MK-NW-F-112 yearlyInterest
66. MK-ST-F-048 currencySymbol
67. MK-ST-F-039 on
68. MK-NW-F-057 annualCoupon
69. MK-NW-F-056 bondInfo
70. MK-NW-F-064 bondRateSensitivity
71. MK-NW-F-061 bondSummary
72. MK-NW-F-055 isBond
73. MK-ST-F-065 isoLocalDate
74. MK-NW-F-072 rowOf
75. MK-CF-F-069 benefitActiveMonths
76. MK-CF-F-072 currentRetirementIncomeMonthly
77. MK-CF-F-173 earnerWages
78. MK-CF-F-065 equityVestWeights
79. MK-CF-F-071 extraIncome
80. MK-CF-F-206 householdK401ByMonth
81. MK-CF-F-087 monthlyTaxRates
82. MK-CF-F-073 otherIncomeMonth
83. MK-CF-F-181 rateInForce
84. MK-CF-F-068 rentalNetAnnual
85. MK-CF-F-066 rsuAnnual
86. MK-CF-F-060 salaryGrossByMonth
87. MK-CF-F-077 scholarshipByCalendarMonth
88. MK-CF-F-088 taxableByCalendarMonth
89. MK-CF-F-177 wageGrossByMonth
90. MK-PL-F-012 waterfall
91. MK-CF-F-008 spendByMonth
92. MK-ST-F-047 activeCurrency
93. MK-NW-F-060 approxYTM
94. MK-NW-F-069 priceAtYield
95. MK-NW-F-070 accruedInterestCaveat
96. MK-NW-F-058 yearsToMaturity
97. MK-CF-F-075 retirementIncomeMonthly
98. MK-CF-F-172 hasWage
99. MK-CF-F-062 equityRowValue
100. MK-CF-F-070 benefitAnnual
101. MK-CF-F-176 sumMonthsOverEarners
102. MK-CF-F-090 effectiveRate
103. MK-CF-F-180 enteredLandsAnnual
104. MK-CF-F-085 filingStatusOf
105. MK-CF-F-089 over65CountOf
106. MK-CF-F-082 salaryAnnual
107. MK-CF-F-086 stateRateOf
108. MK-CF-F-101 taxOwedFor
109. MK-CF-F-084 taxableAnnual
110. MK-CF-F-067 rentalList
111. MK-CF-F-063 rowVestYear
112. MK-CF-F-130 enteredMonthlyRaw
113. MK-CF-F-166 hasMonthlySalaryTable
114. MK-ST-F-036 reconcile
115. MK-CF-F-167 salaryCalendarYear
116. MK-CF-F-120 pctBaseMonthly
117. MK-CF-F-004 spendBuckets
118. MK-NW-F-119 estimatedAccrued
119. MK-CF-F-100 taxableIncomeFor
120. MK-CF-F-074 tipsAnnual
121. MK-CF-F-165 salaryMonths
122. MK-CF-F-003 categoryMonthly
123. MK-CF-F-099 deductionFor
124. MK-CF-F-081 salaryActiveMonths
125. MK-CF-F-187 seniorDeductionFor</t>
        </is>
      </c>
      <c r="R349" s="3" t="inlineStr">
        <is>
          <t>1. MK-CF-F-155 cash → MK-NW-F-008 incomeBearingClassOf → MK-NW-F-011 assetClassOf → MK-NW-F-027 accountClassBreakdown → MK-NW-F-113 altPartsOf → MK-NW-O-005 theAlternativesOutlook
2. MK-ST-F-010 nameEvidence → MK-NW-F-008 incomeBearingClassOf → MK-NW-F-011 assetClassOf → MK-NW-F-027 accountClassBreakdown → MK-NW-F-113 altPartsOf → MK-NW-O-005 theAlternativesOutlook
3. MK-XS-F-122 n → MK-CF-F-155 cash → MK-NW-F-027 accountClassBreakdown → MK-NW-F-113 altPartsOf → MK-NW-O-005 theAlternativesOutlook
4. MK-ST-F-056 has → MK-NW-F-027 accountClassBreakdown → MK-NW-F-113 altPartsOf → MK-NW-O-005 theAlternativesOutlook
5. MK-XS-F-122 n → MK-CF-F-155 cash → MK-NW-F-109 holdingClassOf → MK-NW-F-027 accountClassBreakdown → MK-NW-F-113 altPartsOf → MK-NW-O-005 theAlternativesOutlook
6. MK-CF-F-155 cash → MK-NW-F-008 incomeBearingClassOf → MK-NW-F-109 holdingClassOf → MK-NW-F-027 accountClassBreakdown → MK-NW-F-113 altPartsOf → MK-NW-O-005 theAlternativesOutlook
7. MK-ST-F-010 nameEvidence → MK-NW-F-008 incomeBearingClassOf → MK-NW-F-109 holdingClassOf → MK-NW-F-027 accountClassBreakdown → MK-NW-F-113 altPartsOf → MK-NW-O-005 theAlternativesOutlook
8. MK-CF-F-132 map → MK-NW-F-027 accountClassBreakdown → MK-NW-F-113 altPartsOf → MK-NW-O-005 theAlternativesOutlook
9. … and 5 more paths</t>
        </is>
      </c>
      <c r="S349" s="3" t="inlineStr">
        <is>
          <t>MK-NW-M-050 · MK-NW-M-051 · MK-NW-M-052</t>
        </is>
      </c>
      <c r="T349" s="3" t="inlineStr">
        <is>
          <t>—</t>
        </is>
      </c>
      <c r="U349" s="3" t="inlineStr">
        <is>
          <t>ACTIVE</t>
        </is>
      </c>
      <c r="V349" s="3" t="inlineStr">
        <is>
          <t>2026-10-01</t>
        </is>
      </c>
      <c r="W349" s="3" t="n"/>
      <c r="X349" s="3" t="n"/>
      <c r="Y349" s="3" t="inlineStr">
        <is>
          <t>NOTHING OPEN</t>
        </is>
      </c>
    </row>
    <row r="350" ht="60" customHeight="1">
      <c r="A350" s="3" t="inlineStr">
        <is>
          <t>MK-NW-O-006</t>
        </is>
      </c>
      <c r="B350" s="3" t="inlineStr">
        <is>
          <t>theHolding</t>
        </is>
      </c>
      <c r="C350" s="3" t="inlineStr">
        <is>
          <t>MoneyKeel/functions/networth-and-performance/holding.ts</t>
        </is>
      </c>
      <c r="D350" s="3" t="n">
        <v>108</v>
      </c>
      <c r="E350" s="3" t="inlineStr">
        <is>
          <t>2 · DISPLAYED</t>
        </is>
      </c>
      <c r="F350" s="3" t="inlineStr">
        <is>
          <t>How is this one holding doing: its value, its cost, and its gains realised and not yet realised?</t>
        </is>
      </c>
      <c r="G350"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
c = input.recent closes (or none when missing)
… the first steps only — the rest of the body needs reading by hand.</t>
        </is>
      </c>
      <c r="H350"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 C is input.recent closes (or none — when missing). Only the first steps are shown; the rest of the body needs reading by hand.</t>
        </is>
      </c>
      <c r="I350" s="3" t="inlineStr">
        <is>
          <t>PARTLY READ — some of the code is still showing through; needs a hand pass</t>
        </is>
      </c>
      <c r="J350" s="3" t="inlineStr">
        <is>
          <t>Nothing is handed to it</t>
        </is>
      </c>
      <c r="K350" s="3" t="inlineStr">
        <is>
          <t>NOT DECLARED — the code does not say what it gives back</t>
        </is>
      </c>
      <c r="L350" s="3" t="inlineStr">
        <is>
          <t>NOT FOUND — a screen calls it, but the words printed beside its answer could not be traced automatically. Needs reading.</t>
        </is>
      </c>
      <c r="M350" s="3" t="inlineStr">
        <is>
          <t>1. If amount is missing it counts as zero, so nothing recorded and a real zero look the same.
2. If shares is missing it counts as zero, so nothing recorded and a real zero look the same.
3. If cost per share is missing it counts as zero, so nothing recorded and a real zero look the same.
4. Uses today's date from the device clock, so the answer changes by itself overnight.</t>
        </is>
      </c>
      <c r="N350" s="3" t="inlineStr">
        <is>
          <t>Yes</t>
        </is>
      </c>
      <c r="O350" s="3" t="inlineStr">
        <is>
          <t>1. MK-PF-F-006 capGains
2. MK-PF-F-031 contractMultiplier
3. MK-PF-F-002 costBasis
4. MK-CF-F-132 map
5. MK-PF-F-004 marketValue
6. MK-PF-F-028 realizedFromLedger
7. MK-PF-F-001 totalShares</t>
        </is>
      </c>
      <c r="P350" s="3" t="n">
        <v>8</v>
      </c>
      <c r="Q350" s="3" t="inlineStr">
        <is>
          <t>1. MK-PF-F-006 capGains
2. MK-PF-F-031 contractMultiplier
3. MK-PF-F-002 costBasis
4. MK-CF-F-132 map
5. MK-PF-F-004 marketValue
6. MK-PF-F-028 realizedFromLedger
7. MK-PF-F-001 totalShares
8. MK-XS-F-122 n</t>
        </is>
      </c>
      <c r="R350" s="3" t="inlineStr">
        <is>
          <t>1. MK-PF-F-031 contractMultiplier → MK-PF-F-006 capGains → MK-NW-O-006 theHolding
2. MK-XS-F-122 n → MK-PF-F-006 capGains → MK-NW-O-006 theHolding
3. MK-PF-F-031 contractMultiplier → MK-NW-O-006 theHolding
4. MK-PF-F-031 contractMultiplier → MK-PF-F-002 costBasis → MK-NW-O-006 theHolding
5. MK-CF-F-132 map → MK-NW-O-006 theHolding
6. MK-PF-F-031 contractMultiplier → MK-PF-F-004 marketValue → MK-NW-O-006 theHolding
7. MK-PF-F-001 totalShares → MK-PF-F-004 marketValue → MK-NW-O-006 theHolding
8. MK-PF-F-028 realizedFromLedger → MK-NW-O-006 theHolding
9. … and 1 more paths</t>
        </is>
      </c>
      <c r="S350" s="3" t="inlineStr">
        <is>
          <t>MK-NW-M-029 · MK-NW-M-030 · MK-NW-M-031 · MK-NW-M-033 · MK-NW-M-034 · MK-NW-M-035 · MK-NW-M-036 · MK-NW-M-037 · MK-NW-M-059 · MK-NW-M-060 · MK-NW-M-061</t>
        </is>
      </c>
      <c r="T350" s="3" t="inlineStr">
        <is>
          <t>—</t>
        </is>
      </c>
      <c r="U350" s="3" t="inlineStr">
        <is>
          <t>ACTIVE</t>
        </is>
      </c>
      <c r="V350" s="3" t="inlineStr">
        <is>
          <t>2026-10-01</t>
        </is>
      </c>
      <c r="W350" s="3" t="n"/>
      <c r="X350" s="3" t="n"/>
      <c r="Y350" s="3" t="inlineStr">
        <is>
          <t>NOTHING OPEN</t>
        </is>
      </c>
    </row>
    <row r="351" ht="45" customHeight="1">
      <c r="A351" s="3" t="inlineStr">
        <is>
          <t>MK-NW-O-007</t>
        </is>
      </c>
      <c r="B351" s="3" t="inlineStr">
        <is>
          <t>theLookBack</t>
        </is>
      </c>
      <c r="C351" s="3" t="inlineStr">
        <is>
          <t>MoneyKeel/functions/networth-and-performance/look-back.ts</t>
        </is>
      </c>
      <c r="D351" s="3" t="n">
        <v>44</v>
      </c>
      <c r="E351" s="3" t="inlineStr">
        <is>
          <t>2 · DISPLAYED</t>
        </is>
      </c>
      <c r="F351" s="3" t="inlineStr">
        <is>
          <t>What would this holding be worth today had I put the same money into something else on the same days?</t>
        </is>
      </c>
      <c r="G351" s="11" t="inlineStr">
        <is>
          <t>look back(input.amount, input.from series, input.to series, input.months, input.now ?? new date())</t>
        </is>
      </c>
      <c r="H351" s="3" t="inlineStr">
        <is>
          <t>look back(input.amount, input.from series, input.to series, input.months, input.now ?? new date()).</t>
        </is>
      </c>
      <c r="I351" s="3" t="inlineStr">
        <is>
          <t>PARTLY READ — some of the code is still showing through; needs a hand pass</t>
        </is>
      </c>
      <c r="J351" s="3" t="inlineStr">
        <is>
          <t>Nothing is handed to it</t>
        </is>
      </c>
      <c r="K351" s="3" t="inlineStr">
        <is>
          <t>NOT DECLARED — the code does not say what it gives back</t>
        </is>
      </c>
      <c r="L351" s="3" t="inlineStr">
        <is>
          <t>NOT FOUND — a screen calls it, but the words printed beside its answer could not be traced automatically. Needs reading.</t>
        </is>
      </c>
      <c r="M351" s="3" t="inlineStr">
        <is>
          <t>· Uses today's date from the device clock, so the answer changes by itself overnight.</t>
        </is>
      </c>
      <c r="N351" s="3" t="inlineStr">
        <is>
          <t>Yes</t>
        </is>
      </c>
      <c r="O351" s="3" t="inlineStr">
        <is>
          <t>MK-PF-F-023 lookBack</t>
        </is>
      </c>
      <c r="P351" s="3" t="n">
        <v>3</v>
      </c>
      <c r="Q351" s="3" t="inlineStr">
        <is>
          <t>1. MK-PF-F-023 lookBack
2. MK-PF-F-022 factorOverMonths
3. MK-ST-F-065 isoLocalDate</t>
        </is>
      </c>
      <c r="R351" s="3" t="inlineStr">
        <is>
          <t>MK-ST-F-065 isoLocalDate → MK-PF-F-022 factorOverMonths → MK-PF-F-023 lookBack → MK-NW-O-007 theLookBack</t>
        </is>
      </c>
      <c r="S351" s="3" t="inlineStr">
        <is>
          <t>MK-PF-M-010 · MK-PF-M-011 · MK-PF-M-012</t>
        </is>
      </c>
      <c r="T351" s="3" t="inlineStr">
        <is>
          <t>—</t>
        </is>
      </c>
      <c r="U351" s="3" t="inlineStr">
        <is>
          <t>ACTIVE</t>
        </is>
      </c>
      <c r="V351" s="3" t="inlineStr">
        <is>
          <t>2026-09-28</t>
        </is>
      </c>
      <c r="W351" s="3" t="n"/>
      <c r="X351" s="3" t="n"/>
      <c r="Y351" s="3" t="inlineStr">
        <is>
          <t>NOTHING OPEN</t>
        </is>
      </c>
    </row>
    <row r="352" ht="60" customHeight="1">
      <c r="A352" s="3" t="inlineStr">
        <is>
          <t>MK-NW-O-008</t>
        </is>
      </c>
      <c r="B352" s="3" t="inlineStr">
        <is>
          <t>thePerformance</t>
        </is>
      </c>
      <c r="C352" s="3" t="inlineStr">
        <is>
          <t>MoneyKeel/functions/networth-and-performance/performance.ts</t>
        </is>
      </c>
      <c r="D352" s="3" t="n">
        <v>353</v>
      </c>
      <c r="E352" s="3" t="inlineStr">
        <is>
          <t>2 · DISPLAYED</t>
        </is>
      </c>
      <c r="F352" s="3" t="inlineStr">
        <is>
          <t>How are my investments doing over a period: where they started, what I put in and took out, what they made, where they ended, and the return?</t>
        </is>
      </c>
      <c r="G352" s="11" t="inlineStr">
        <is>
          <t>bounds = window bounds(window start, today)   if window start
nothing   otherwise
days = input.snapshot days (or none when missing)
joined = new map&lt;string, { date: string; value: number }&gt;()
seen = new set&lt;string&gt;()
j = joined.get(string(account id ?? ''))
the answer = the first 10) ≤ date of not (j and string(date ?? '')
flows = personal flow totals(counted)
transferred in = 0, transferred out = 0
net = Σ over movements of([t], input.investment account ids).flows of (amount)
joined value = Σ over [...joined.values()] of (value)
contributions = flows.contributions.to number(2) + transferred in + joined value
… the first steps only — the rest of the body needs reading by hand.</t>
        </is>
      </c>
      <c r="H352" s="3" t="inlineStr">
        <is>
          <t>Bounds is window bounds(window start, today) — when window start; no answer — otherwise. Days is input.snapshot days (or none — when missing). Joined is new map&lt;string, { date: string; value: number }&gt;(). Seen is new set&lt;string&gt;(). J is joined.get(string(account id ?? '')). The answer: the first 10) is at most date of not (j and string(date ?? ''). Flows is personal flow totals(counted). Transferred in is 0, transferred out = 0. Net: the amount added up across movements of([t], input.investment account ids).flows. Joined value: the value added up across [...joined.values()]. Contributions is flows.contributions.to number(2) plus transferred in plus joined value. Only the first steps are shown; the rest of the body needs reading by hand.</t>
        </is>
      </c>
      <c r="I352" s="3" t="inlineStr">
        <is>
          <t>PARTLY READ — some of the code is still showing through; needs a hand pass</t>
        </is>
      </c>
      <c r="J352" s="3" t="inlineStr">
        <is>
          <t>Nothing is handed to it</t>
        </is>
      </c>
      <c r="K352" s="3" t="inlineStr">
        <is>
          <t>NOT DECLARED — the code does not say what it gives back</t>
        </is>
      </c>
      <c r="L352" s="3" t="inlineStr">
        <is>
          <t>1. "Return" — on the Performance screen
2. "Wealth generated" — on the Performance screen, under "SUMMARY
3. $"</t>
        </is>
      </c>
      <c r="M352" s="3" t="inlineStr">
        <is>
          <t>1. If ending is missing it uses 0.
2. If balance is missing it counts as zero, so nothing recorded and a real zero look the same.
3. Treats a year as 365 days.</t>
        </is>
      </c>
      <c r="N352" s="3" t="inlineStr">
        <is>
          <t>Yes</t>
        </is>
      </c>
      <c r="O352" s="3" t="inlineStr">
        <is>
          <t>1. MK-ST-F-083 accountValuesOn
2. MK-XS-F-011 buildChangeWalk
3. MK-ST-F-028 buildDayFromAccounts
4. MK-CF-F-155 cash
5. MK-NW-F-104 closedWith
6. MK-ST-F-078 dateShown
7. MK-ST-F-056 has
8. MK-CF-F-132 map
9. MK-ST-F-082 movementsOf
10. MK-ST-F-013 personalFlowTotals
11. MK-ST-F-030 record
12. MK-ST-F-081 timeWeightedReturn
13. MK-ST-F-021 toNumber
14. MK-ST-F-031 valueOn
15. MK-ST-F-060 verdict
16. MK-NW-F-105 whyNoReturn
17. MK-ST-F-038 windowBounds</t>
        </is>
      </c>
      <c r="P352" s="3" t="n">
        <v>121</v>
      </c>
      <c r="Q352" s="3" t="inlineStr">
        <is>
          <t>1. MK-ST-F-083 accountValuesOn
2. MK-XS-F-011 buildChangeWalk
3. MK-ST-F-028 buildDayFromAccounts
4. MK-CF-F-155 cash
5. MK-NW-F-104 closedWith
6. MK-ST-F-078 dateShown
7. MK-ST-F-056 has
8. MK-CF-F-132 map
9. MK-ST-F-082 movementsOf
10. MK-ST-F-013 personalFlowTotals
11. MK-ST-F-030 record
12. MK-ST-F-081 timeWeightedReturn
13. MK-ST-F-021 toNumber
14. MK-ST-F-031 valueOn
15. MK-ST-F-060 verdict
16. MK-NW-F-105 whyNoReturn
17. MK-ST-F-038 windowBounds
18. MK-ST-F-027 accountId
19. MK-XS-F-122 n
20. MK-ST-F-080 isDay
21. MK-CF-F-204 line
22. MK-ST-F-039 on
23. MK-ST-F-033 onOrBefore
24. MK-ST-F-063 shiftDay
25. MK-ST-F-062 toUtc
26. MK-CF-F-203 MONTH
27. MK-XS-F-180 declareFigures
28. MK-CF-O-010 theMonth
29. MK-CF-O-002 expenses
30. MK-CF-O-003 thisMonth
31. MK-CF-F-151 actualSpending
32. MK-CF-F-150 debtPaymentsCountedAsExpenses
33. MK-CF-F-153 radar
34. MK-CF-F-149 recurringDebtPayments
35. MK-CF-F-005 actualMonthFlow
36. MK-CF-F-156 plannedMonthFlow
37. MK-CF-F-148 inMonth
38. MK-ST-F-052 toNum
39. MK-CF-F-191 ym
40. MK-CF-F-022 paymentShape
41. MK-CF-F-152 isRadarItem
42. MK-CF-F-023 requiredPayment
43. MK-NW-F-078 ONE
44. MK-CF-F-157 debtPaymentsByDebt
45. MK-CF-F-192 inflowLabel
46. MK-XS-F-027 takeHomeMonthly
47. MK-CF-F-021 defaultPaymentType
48. MK-NW-F-077 ALL
49. MK-NW-F-059 currentYield
50. MK-ST-F-049 formatMoney
51. MK-ST-F-053 money
52. MK-NW-O-001 theBonds
53. MK-CF-F-193 inflowSourceWord
54. MK-CF-F-092 incomeMonthlyGrid
55. MK-CF-F-011 savingsByMonth
56. MK-NW-F-112 yearlyInterest
57. MK-ST-F-048 currencySymbol
58. MK-NW-F-057 annualCoupon
59. MK-NW-F-056 bondInfo
60. MK-NW-F-064 bondRateSensitivity
61. MK-NW-F-061 bondSummary
62. MK-NW-F-055 isBond
63. MK-ST-F-065 isoLocalDate
64. MK-NW-F-072 rowOf
65. MK-CF-F-069 benefitActiveMonths
66. MK-CF-F-072 currentRetirementIncomeMonthly
67. MK-CF-F-173 earnerWages
68. MK-CF-F-065 equityVestWeights
69. MK-CF-F-071 extraIncome
70. MK-CF-F-206 householdK401ByMonth
71. MK-CF-F-087 monthlyTaxRates
72. MK-CF-F-073 otherIncomeMonth
73. MK-CF-F-181 rateInForce
74. MK-CF-F-068 rentalNetAnnual
75. MK-CF-F-066 rsuAnnual
76. MK-CF-F-060 salaryGrossByMonth
77. MK-CF-F-077 scholarshipByCalendarMonth
78. MK-CF-F-088 taxableByCalendarMonth
79. MK-CF-F-177 wageGrossByMonth
80. MK-PL-F-012 waterfall
81. MK-CF-F-008 spendByMonth
82. MK-ST-F-047 activeCurrency
83. MK-NW-F-060 approxYTM
84. MK-NW-F-069 priceAtYield
85. MK-NW-F-011 assetClassOf
86. MK-NW-F-070 accruedInterestCaveat
87. MK-NW-F-058 yearsToMaturity
88. MK-CF-F-075 retirementIncomeMonthly
89. MK-CF-F-172 hasWage
90. MK-CF-F-062 equityRowValue
91. MK-CF-F-070 benefitAnnual
92. MK-CF-F-176 sumMonthsOverEarners
93. MK-CF-F-090 effectiveRate
94. MK-CF-F-180 enteredLandsAnnual
95. MK-CF-F-085 filingStatusOf
96. MK-CF-F-089 over65CountOf
97. MK-CF-F-082 salaryAnnual
98. MK-CF-F-086 stateRateOf
99. MK-CF-F-101 taxOwedFor
100. MK-CF-F-084 taxableAnnual
101. MK-CF-F-067 rentalList
102. MK-CF-F-063 rowVestYear
103. MK-CF-F-130 enteredMonthlyRaw
104. MK-CF-F-166 hasMonthlySalaryTable
105. MK-ST-F-036 reconcile
106. MK-CF-F-167 salaryCalendarYear
107. MK-CF-F-120 pctBaseMonthly
108. MK-CF-F-004 spendBuckets
109. MK-NW-F-119 estimatedAccrued
110. MK-NW-F-008 incomeBearingClassOf
111. MK-CF-F-100 taxableIncomeFor
112. MK-CF-F-074 tipsAnnual
113. MK-CF-F-165 salaryMonths
114. MK-CF-F-003 categoryMonthly
115. MK-ST-F-010 nameEvidence
116. MK-CF-F-099 deductionFor
117. MK-CF-F-081 salaryActiveMonths
118. MK-XS-F-147 call
119. MK-CF-F-187 seniorDeductionFor
120. MK-XS-F-064 currentIdToken
121. MK-XS-F-112 relayUrl</t>
        </is>
      </c>
      <c r="R352" s="3" t="inlineStr">
        <is>
          <t>1. MK-ST-F-027 accountId → MK-ST-F-083 accountValuesOn → MK-NW-O-008 thePerformance
2. MK-ST-F-056 has → MK-ST-F-083 accountValuesOn → MK-NW-O-008 thePerformance
3. MK-XS-F-011 buildChangeWalk → MK-NW-O-008 thePerformance
4. MK-ST-F-028 buildDayFromAccounts → MK-NW-O-008 thePerformance
5. MK-XS-F-122 n → MK-CF-F-155 cash → MK-NW-O-008 thePerformance
6. MK-ST-F-027 accountId → MK-NW-F-104 closedWith → MK-NW-O-008 thePerformance
7. MK-ST-F-056 has → MK-NW-F-104 closedWith → MK-NW-O-008 thePerformance
8. MK-CF-F-132 map → MK-NW-F-104 closedWith → MK-NW-O-008 thePerformance
9. … and 5 more paths</t>
        </is>
      </c>
      <c r="S352" s="3" t="inlineStr">
        <is>
          <t>MK-PF-M-002 · MK-PF-M-003 · MK-PF-M-005 · MK-PF-M-006 · MK-PF-M-007 · MK-PF-M-008 · MK-PF-M-013 · MK-PF-M-014 · MK-PF-M-015 · MK-PF-M-016 · MK-PF-M-017 · MK-PF-M-018 · MK-PF-M-019 · MK-PF-M-020 · MK-XS-M-004</t>
        </is>
      </c>
      <c r="T352" s="3" t="inlineStr">
        <is>
          <t>—</t>
        </is>
      </c>
      <c r="U352" s="3" t="inlineStr">
        <is>
          <t>ACTIVE</t>
        </is>
      </c>
      <c r="V352" s="3" t="inlineStr">
        <is>
          <t>2026-10-04</t>
        </is>
      </c>
      <c r="W352" s="3" t="n"/>
      <c r="X352" s="3" t="n"/>
      <c r="Y352" s="3" t="inlineStr">
        <is>
          <t>NOTHING OPEN</t>
        </is>
      </c>
    </row>
    <row r="353" ht="45" customHeight="1">
      <c r="A353" s="3" t="inlineStr">
        <is>
          <t>MK-PF-F-001</t>
        </is>
      </c>
      <c r="B353" s="3" t="inlineStr">
        <is>
          <t>totalShares</t>
        </is>
      </c>
      <c r="C353" s="3" t="inlineStr">
        <is>
          <t>src/domain/performance/index.ts</t>
        </is>
      </c>
      <c r="D353" s="3" t="n">
        <v>190</v>
      </c>
      <c r="E353" s="3" t="inlineStr">
        <is>
          <t>2 · DISPLAYED</t>
        </is>
      </c>
      <c r="F353" s="3" t="inlineStr">
        <is>
          <t>How many shares of a holding are held, added up across every purchase.</t>
        </is>
      </c>
      <c r="G353" s="11" t="inlineStr">
        <is>
          <t>total shares(holding) = Σ over every lot of (shares, or 0 when missing)</t>
        </is>
      </c>
      <c r="H353" s="3" t="inlineStr">
        <is>
          <t>Adds the share count of every lot. A lot with no share count counts as zero, so "nothing recorded" and "a real zero" give the same answer.</t>
        </is>
      </c>
      <c r="I353" s="3" t="inlineStr">
        <is>
          <t>READ BY HAND 2026-08-26 — checked line by line against the code</t>
        </is>
      </c>
      <c r="J353" s="3" t="inlineStr">
        <is>
          <t>p: Position</t>
        </is>
      </c>
      <c r="K353" s="3" t="inlineStr">
        <is>
          <t>number</t>
        </is>
      </c>
      <c r="L353" s="3" t="inlineStr">
        <is>
          <t>NOT FOUND — a screen calls it, but the words printed beside its answer could not be traced automatically. Needs reading.</t>
        </is>
      </c>
      <c r="M353" s="3" t="inlineStr">
        <is>
          <t>· If shares is missing it counts as zero, so nothing recorded and a real zero look the same.</t>
        </is>
      </c>
      <c r="N353" s="3" t="inlineStr">
        <is>
          <t>Yes</t>
        </is>
      </c>
      <c r="O353" s="3" t="inlineStr">
        <is>
          <t>—</t>
        </is>
      </c>
      <c r="P353" s="3" t="n">
        <v>0</v>
      </c>
      <c r="Q353" s="3" t="inlineStr">
        <is>
          <t>None — no dependent function stands behind it</t>
        </is>
      </c>
      <c r="R353" s="3" t="inlineStr">
        <is>
          <t>No dependent function — it reads its inputs and answers</t>
        </is>
      </c>
      <c r="S353" s="3" t="inlineStr">
        <is>
          <t>—</t>
        </is>
      </c>
      <c r="T353" s="3" t="inlineStr">
        <is>
          <t>HOLDING_SHARES</t>
        </is>
      </c>
      <c r="U353" s="3" t="inlineStr">
        <is>
          <t>ACTIVE</t>
        </is>
      </c>
      <c r="V353" s="3" t="inlineStr">
        <is>
          <t>2026-08-27</t>
        </is>
      </c>
      <c r="W353" s="3" t="inlineStr">
        <is>
          <t>[from MK-NW-M-031, typed Q07/Q09] 8 decimals for coins; always capture units.</t>
        </is>
      </c>
      <c r="X353" s="6" t="inlineStr">
        <is>
          <t>Sums raw numbers with no unit and no rounding. Fix: a unit on the position; coin quantities to 8 decimals — see MK-NW-M-031.</t>
        </is>
      </c>
      <c r="Y353" s="6" t="inlineStr">
        <is>
          <t>WAITING ON YOU — answer to read</t>
        </is>
      </c>
    </row>
    <row r="354" ht="60" customHeight="1">
      <c r="A354" s="3" t="inlineStr">
        <is>
          <t>MK-PF-F-002</t>
        </is>
      </c>
      <c r="B354" s="3" t="inlineStr">
        <is>
          <t>costBasis</t>
        </is>
      </c>
      <c r="C354" s="3" t="inlineStr">
        <is>
          <t>src/domain/performance/index.ts</t>
        </is>
      </c>
      <c r="D354" s="3" t="n">
        <v>230</v>
      </c>
      <c r="E354" s="3" t="inlineStr">
        <is>
          <t>2 · DISPLAYED</t>
        </is>
      </c>
      <c r="F354" s="3" t="inlineStr">
        <is>
          <t>What did I pay for this in total?</t>
        </is>
      </c>
      <c r="G354" s="11" t="inlineStr">
        <is>
          <t>cost basis(holding) = Σ over every lot of (shares × cost per share)</t>
        </is>
      </c>
      <c r="H354" s="3" t="inlineStr">
        <is>
          <t>What was paid, added across the lots. A lot with no cost per share contributes nothing, so a holding with neither a price nor a cost lands at $0 and quietly leaves net worth.</t>
        </is>
      </c>
      <c r="I354" s="3" t="inlineStr">
        <is>
          <t>READ BY HAND 2026-08-26 — checked line by line against the code</t>
        </is>
      </c>
      <c r="J354" s="3" t="inlineStr">
        <is>
          <t>p: Position</t>
        </is>
      </c>
      <c r="K354" s="3" t="inlineStr">
        <is>
          <t>number</t>
        </is>
      </c>
      <c r="L354" s="3" t="inlineStr">
        <is>
          <t>NOT FOUND — a screen calls it, but the words printed beside its answer could not be traced automatically. Needs reading.</t>
        </is>
      </c>
      <c r="M354" s="3" t="inlineStr">
        <is>
          <t>1. If shares is missing it counts as zero, so nothing recorded and a real zero look the same.
2. If cost per share is missing it counts as zero, so nothing recorded and a real zero look the same.</t>
        </is>
      </c>
      <c r="N354" s="3" t="inlineStr">
        <is>
          <t>Yes</t>
        </is>
      </c>
      <c r="O354" s="3" t="inlineStr">
        <is>
          <t>MK-PF-F-031 contractMultiplier</t>
        </is>
      </c>
      <c r="P354" s="3" t="n">
        <v>1</v>
      </c>
      <c r="Q354" s="3" t="inlineStr">
        <is>
          <t>MK-PF-F-031 contractMultiplier</t>
        </is>
      </c>
      <c r="R354" s="3" t="inlineStr">
        <is>
          <t>MK-PF-F-031 contractMultiplier → MK-PF-F-002 costBasis</t>
        </is>
      </c>
      <c r="S354" s="3" t="inlineStr">
        <is>
          <t>—</t>
        </is>
      </c>
      <c r="T354" s="3" t="inlineStr">
        <is>
          <t>HOLDING_COST_BASIS</t>
        </is>
      </c>
      <c r="U354" s="3" t="inlineStr">
        <is>
          <t>ACTIVE</t>
        </is>
      </c>
      <c r="V354" s="3" t="inlineStr">
        <is>
          <t>2026-09-09</t>
        </is>
      </c>
      <c r="W354" s="3" t="inlineStr">
        <is>
          <t>[from MK-NW-M-032 / M-033] Average price must not divide by shares whose cost is missing or zero; Total paid vs Price paid (average) — two things or one?</t>
        </is>
      </c>
      <c r="X354"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54" s="6" t="inlineStr">
        <is>
          <t>WAITING ON YOU — answer to read · TESTED, NOT VERIFIED (Q06)</t>
        </is>
      </c>
    </row>
    <row r="355" ht="60" customHeight="1">
      <c r="A355" s="3" t="inlineStr">
        <is>
          <t>MK-PF-F-003</t>
        </is>
      </c>
      <c r="B355" s="3" t="inlineStr">
        <is>
          <t>avgCost</t>
        </is>
      </c>
      <c r="C355" s="3" t="inlineStr">
        <is>
          <t>src/domain/performance/index.ts</t>
        </is>
      </c>
      <c r="D355" s="3" t="n">
        <v>259</v>
      </c>
      <c r="E355" s="3" t="inlineStr">
        <is>
          <t>2 · DISPLAYED</t>
        </is>
      </c>
      <c r="F355" s="3" t="inlineStr">
        <is>
          <t>The average price paid per share of a holding: its total cost divided by the shares held, or zero when no shares are held.</t>
        </is>
      </c>
      <c r="G355" s="11" t="inlineStr">
        <is>
          <t>sh = total shares(p)
the answer:
cost basis(p) ÷ (sh × contract multiplier(p))   if sh &gt; 0
0   otherwise</t>
        </is>
      </c>
      <c r="H355" s="3" t="inlineStr">
        <is>
          <t>Sh is total shares(p). The answer is cost basis(p) divided by (sh times contract multiplier(p)) — when sh &gt; 0; 0 — otherwise.</t>
        </is>
      </c>
      <c r="I355" s="3" t="inlineStr">
        <is>
          <t>READ FROM THE CODE — rendered from the expressions the function runs</t>
        </is>
      </c>
      <c r="J355" s="3" t="inlineStr">
        <is>
          <t>p: Position</t>
        </is>
      </c>
      <c r="K355" s="3" t="inlineStr">
        <is>
          <t>number</t>
        </is>
      </c>
      <c r="L355" s="3" t="inlineStr">
        <is>
          <t>NOT FOUND — a screen calls it, but the words printed beside its answer could not be traced automatically. Needs reading.</t>
        </is>
      </c>
      <c r="M355" s="3" t="inlineStr">
        <is>
          <t>None found in this function — anything it assumes comes from the functions it depends on.</t>
        </is>
      </c>
      <c r="N355" s="3" t="inlineStr">
        <is>
          <t>Yes</t>
        </is>
      </c>
      <c r="O355" s="3" t="inlineStr">
        <is>
          <t>1. MK-PF-F-031 contractMultiplier
2. MK-PF-F-002 costBasis
3. MK-PF-F-001 totalShares</t>
        </is>
      </c>
      <c r="P355" s="3" t="n">
        <v>3</v>
      </c>
      <c r="Q355" s="3" t="inlineStr">
        <is>
          <t>1. MK-PF-F-031 contractMultiplier
2. MK-PF-F-002 costBasis
3. MK-PF-F-001 totalShares</t>
        </is>
      </c>
      <c r="R355" s="3" t="inlineStr">
        <is>
          <t>1. MK-PF-F-031 contractMultiplier → MK-PF-F-003 avgCost
2. MK-PF-F-031 contractMultiplier → MK-PF-F-002 costBasis → MK-PF-F-003 avgCost
3. MK-PF-F-001 totalShares → MK-PF-F-003 avgCost</t>
        </is>
      </c>
      <c r="S355" s="3" t="inlineStr">
        <is>
          <t>MK-NW-M-032</t>
        </is>
      </c>
      <c r="T355" s="3" t="inlineStr">
        <is>
          <t>—</t>
        </is>
      </c>
      <c r="U355" s="3" t="inlineStr">
        <is>
          <t>ACTIVE</t>
        </is>
      </c>
      <c r="V355" s="3" t="inlineStr">
        <is>
          <t>2026-10-04</t>
        </is>
      </c>
      <c r="W355" s="3" t="inlineStr">
        <is>
          <t>[from MK-NW-M-032 / M-033] see MK-PF-F-002</t>
        </is>
      </c>
      <c r="X355" s="6" t="inlineStr">
        <is>
          <t>Unused by any screen (it clips to cents; the screen wants 3 decimals) and it divides by ALL shares. Retire it or make it the averagePricePaid of JJ-1 (cost &gt; 0 lots only, no cents clipping).</t>
        </is>
      </c>
      <c r="Y355" s="6" t="inlineStr">
        <is>
          <t>WAITING ON YOU — answer to read</t>
        </is>
      </c>
    </row>
    <row r="356" ht="60" customHeight="1">
      <c r="A356" s="3" t="inlineStr">
        <is>
          <t>MK-PF-F-004</t>
        </is>
      </c>
      <c r="B356" s="3" t="inlineStr">
        <is>
          <t>marketValue</t>
        </is>
      </c>
      <c r="C356" s="3" t="inlineStr">
        <is>
          <t>src/domain/performance/index.ts</t>
        </is>
      </c>
      <c r="D356" s="3" t="n">
        <v>298</v>
      </c>
      <c r="E356" s="3" t="inlineStr">
        <is>
          <t>3 · DEPENDENT</t>
        </is>
      </c>
      <c r="F356" s="3" t="inlineStr">
        <is>
          <t>What is this holding worth right now?</t>
        </is>
      </c>
      <c r="G356" s="11" t="inlineStr">
        <is>
          <t>market value(holding) = round(total shares × price, 2 dp)
                      = 0   when no price came back</t>
        </is>
      </c>
      <c r="H356"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56" s="3" t="inlineStr">
        <is>
          <t>READ BY HAND 2026-08-26 — checked line by line against the code</t>
        </is>
      </c>
      <c r="J356" s="3" t="inlineStr">
        <is>
          <t>1. p: Position
2. price: number | null | undefined</t>
        </is>
      </c>
      <c r="K356" s="3" t="inlineStr">
        <is>
          <t>number</t>
        </is>
      </c>
      <c r="L356" s="3" t="inlineStr">
        <is>
          <t>—</t>
        </is>
      </c>
      <c r="M356" s="3" t="inlineStr">
        <is>
          <t>None found in this function — anything it assumes comes from the functions it depends on.</t>
        </is>
      </c>
      <c r="N356" s="3" t="inlineStr">
        <is>
          <t>Yes</t>
        </is>
      </c>
      <c r="O356" s="3" t="inlineStr">
        <is>
          <t>1. MK-PF-F-031 contractMultiplier
2. MK-PF-F-001 totalShares</t>
        </is>
      </c>
      <c r="P356" s="3" t="n">
        <v>2</v>
      </c>
      <c r="Q356" s="3" t="inlineStr">
        <is>
          <t>1. MK-PF-F-031 contractMultiplier
2. MK-PF-F-001 totalShares</t>
        </is>
      </c>
      <c r="R356" s="3" t="inlineStr">
        <is>
          <t>1. MK-PF-F-031 contractMultiplier → MK-PF-F-004 marketValue
2. MK-PF-F-001 totalShares → MK-PF-F-004 marketValue</t>
        </is>
      </c>
      <c r="S356" s="3" t="inlineStr">
        <is>
          <t>—</t>
        </is>
      </c>
      <c r="T356" s="3" t="inlineStr">
        <is>
          <t>HOLDING_MARKET_VALUE</t>
        </is>
      </c>
      <c r="U356" s="3" t="inlineStr">
        <is>
          <t>ACTIVE</t>
        </is>
      </c>
      <c r="V356" s="3" t="inlineStr">
        <is>
          <t>2026-08-27</t>
        </is>
      </c>
      <c r="W356" s="3" t="inlineStr">
        <is>
          <t>[from MK-NW-M-030, typed Q06] value is contracts * 100 * price unless stated otherwise by broker or user.</t>
        </is>
      </c>
      <c r="X356" s="6" t="inlineStr">
        <is>
          <t>NOT APPLIED here: market value = units × price, no multiplier. Fix: multiply by the position's multiplier (100 for a contract unless the feed or the person states another) — Q42 on MK-NW-M-030.</t>
        </is>
      </c>
      <c r="Y356" s="6" t="inlineStr">
        <is>
          <t>WAITING ON YOU — answer to read · TESTED, NOT VERIFIED (Q06)</t>
        </is>
      </c>
    </row>
    <row r="357" ht="60" customHeight="1">
      <c r="A357" s="3" t="inlineStr">
        <is>
          <t>MK-PF-F-005</t>
        </is>
      </c>
      <c r="B357" s="3" t="inlineStr">
        <is>
          <t>unrealizedGain</t>
        </is>
      </c>
      <c r="C357" s="3" t="inlineStr">
        <is>
          <t>src/domain/performance/index.ts</t>
        </is>
      </c>
      <c r="D357" s="3" t="n">
        <v>322</v>
      </c>
      <c r="E357" s="3" t="inlineStr">
        <is>
          <t>3 · DEPENDENT</t>
        </is>
      </c>
      <c r="F357" s="3" t="inlineStr">
        <is>
          <t>Unrealized gain = market value − cost basis (null price → 0).</t>
        </is>
      </c>
      <c r="G357" s="11" t="inlineStr">
        <is>
          <t>0   if price = nothing
market value(p, price) − cost basis(p)   otherwise</t>
        </is>
      </c>
      <c r="H357" s="3" t="inlineStr">
        <is>
          <t>0 — when price is missing; market value(p, price) minus cost basis(p) — otherwise.</t>
        </is>
      </c>
      <c r="I357" s="3" t="inlineStr">
        <is>
          <t>READ FROM THE CODE — rendered from the expressions the function runs</t>
        </is>
      </c>
      <c r="J357" s="3" t="inlineStr">
        <is>
          <t>1. p: Position
2. price: number | null | undefined</t>
        </is>
      </c>
      <c r="K357" s="3" t="inlineStr">
        <is>
          <t>number</t>
        </is>
      </c>
      <c r="L357" s="3" t="inlineStr">
        <is>
          <t>—</t>
        </is>
      </c>
      <c r="M357" s="3" t="inlineStr">
        <is>
          <t>None found in this function — anything it assumes comes from the functions it depends on.</t>
        </is>
      </c>
      <c r="N357" s="3" t="inlineStr">
        <is>
          <t>Yes</t>
        </is>
      </c>
      <c r="O357" s="3" t="inlineStr">
        <is>
          <t>1. MK-PF-F-002 costBasis
2. MK-CF-F-204 line
3. MK-PF-F-004 marketValue</t>
        </is>
      </c>
      <c r="P357" s="3" t="n">
        <v>107</v>
      </c>
      <c r="Q357" s="3" t="inlineStr">
        <is>
          <t>1. MK-PF-F-002 costBasis
2. MK-CF-F-204 line
3. MK-PF-F-004 marketValue
4. MK-PF-F-031 contractMultiplier
5. MK-CF-F-203 MONTH
6. MK-XS-F-180 declareFigures
7. MK-PF-F-001 totalShares
8. MK-CF-O-010 theMonth
9. MK-CF-F-155 cash
10. MK-CF-O-002 expenses
11. MK-CF-O-003 thisMonth
12. MK-XS-F-122 n
13. MK-CF-F-151 actualSpending
14. MK-CF-F-150 debtPaymentsCountedAsExpenses
15. MK-CF-F-153 radar
16. MK-CF-F-149 recurringDebtPayments
17. MK-CF-F-005 actualMonthFlow
18. MK-CF-F-156 plannedMonthFlow
19. MK-CF-F-148 inMonth
20. MK-ST-F-052 toNum
21. MK-CF-F-191 ym
22. MK-ST-F-056 has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MK-ST-F-039 on
43. MK-ST-F-027 accountId
44. MK-NW-F-057 annualCoupon
45. MK-NW-F-056 bondInfo
46. MK-NW-F-064 bondRateSensitivity
47. MK-NW-F-061 bondSummary
48. MK-NW-F-055 isBond
49. MK-ST-F-065 isoLocalDate
50. MK-NW-F-072 rowOf
51. MK-CF-F-069 benefitActiveMonths
52. MK-CF-F-072 currentRetirementIncomeMonthly
53. MK-CF-F-173 earnerWages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MK-CF-F-177 wageGrossByMonth
66. MK-PL-F-012 waterfall
67. MK-CF-F-008 spendByMonth
68. MK-ST-F-047 activeCurrency
69. MK-NW-F-060 approxYTM
70. MK-NW-F-069 priceAtYield
71. MK-NW-F-011 assetClassOf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MK-NW-F-119 estimatedAccrued
96. MK-NW-F-008 incomeBearingClassOf
97. MK-CF-F-100 taxableIncomeFor
98. MK-CF-F-074 tipsAnnual
99. MK-CF-F-165 salaryMonths
100. MK-CF-F-003 categoryMonthly
101. MK-ST-F-010 nameEvidence
102. MK-CF-F-099 deductionFor
103. MK-CF-F-081 salaryActiveMonths
104. MK-XS-F-147 call
105. MK-CF-F-187 seniorDeductionFor
106. MK-XS-F-064 currentIdToken
107. MK-XS-F-112 relayUrl</t>
        </is>
      </c>
      <c r="R357" s="3" t="inlineStr">
        <is>
          <t>1. MK-PF-F-031 contractMultiplier → MK-PF-F-002 costBasis → MK-PF-F-005 unrealizedGain
2. MONTH (already above — a loop) → MK-CF-O-010 theMonth → MK-CF-F-203 MONTH → MK-CF-F-204 line → MK-PF-F-005 unrealizedGain
3. MK-XS-F-122 n → MK-CF-F-155 cash → MK-CF-O-010 theMonth → MK-CF-F-203 MONTH → MK-CF-F-204 line → MK-PF-F-005 unrealizedGain
4. MK-CF-F-151 actualSpending → MK-CF-O-002 expenses → MK-CF-O-010 theMonth → MK-CF-F-203 MONTH → MK-CF-F-204 line → MK-PF-F-005 unrealizedGain
5. MK-CF-F-150 debtPaymentsCountedAsExpenses → MK-CF-O-002 expenses → MK-CF-O-010 theMonth → MK-CF-F-203 MONTH → MK-CF-F-204 line → MK-PF-F-005 unrealizedGain
6. MK-CF-F-153 radar → MK-CF-O-002 expenses → MK-CF-O-010 theMonth → MK-CF-F-203 MONTH → MK-CF-F-204 line → MK-PF-F-005 unrealizedGain
7. MK-CF-F-149 recurringDebtPayments → MK-CF-O-002 expenses → MK-CF-O-010 theMonth → MK-CF-F-203 MONTH → MK-CF-F-204 line → MK-PF-F-005 unrealizedGain
8. MK-CF-F-005 actualMonthFlow → MK-CF-O-003 thisMonth → MK-CF-O-010 theMonth → MK-CF-F-203 MONTH → MK-CF-F-204 line → MK-PF-F-005 unrealizedGain
9. … and 4 more paths</t>
        </is>
      </c>
      <c r="S357" s="3" t="inlineStr">
        <is>
          <t>—</t>
        </is>
      </c>
      <c r="T357" s="3" t="inlineStr">
        <is>
          <t>HOLDING_UNREALISED_GAIN</t>
        </is>
      </c>
      <c r="U357" s="3" t="inlineStr">
        <is>
          <t>ACTIVE</t>
        </is>
      </c>
      <c r="V357" s="3" t="inlineStr">
        <is>
          <t>2026-09-09</t>
        </is>
      </c>
      <c r="W357" s="3" t="n"/>
      <c r="X357" s="3" t="n"/>
      <c r="Y357" s="3" t="inlineStr">
        <is>
          <t>NOTHING OPEN</t>
        </is>
      </c>
    </row>
    <row r="358" ht="60" customHeight="1">
      <c r="A358" s="3" t="inlineStr">
        <is>
          <t>MK-PF-F-006</t>
        </is>
      </c>
      <c r="B358" s="3" t="inlineStr">
        <is>
          <t>capGains</t>
        </is>
      </c>
      <c r="C358" s="3" t="inlineStr">
        <is>
          <t>src/domain/performance/index.ts</t>
        </is>
      </c>
      <c r="D358" s="3" t="n">
        <v>360</v>
      </c>
      <c r="E358" s="3" t="inlineStr">
        <is>
          <t>3 · DEPENDENT</t>
        </is>
      </c>
      <c r="F358" s="3" t="inlineStr">
        <is>
          <t>If I sold this today, how much of the gain is long-term and how much short-term?</t>
        </is>
      </c>
      <c r="G358" s="11" t="inlineStr">
        <is>
          <t>per lot:  gain = shares × (price − cost per share)
long-term when today is LATER than the first anniversary of the purchase
short-term otherwise, and a lot with no cost recorded is skipped entirely</t>
        </is>
      </c>
      <c r="H358"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58" s="3" t="inlineStr">
        <is>
          <t>READ BY HAND 2026-08-26 — checked line by line against the code</t>
        </is>
      </c>
      <c r="J358" s="3" t="inlineStr">
        <is>
          <t>1. p: Position
2. price: number | null | undefined
3. now: Date = new Date()</t>
        </is>
      </c>
      <c r="K358" s="3" t="inlineStr">
        <is>
          <t>CapGains</t>
        </is>
      </c>
      <c r="L358" s="3" t="inlineStr">
        <is>
          <t>—</t>
        </is>
      </c>
      <c r="M358" s="3" t="inlineStr">
        <is>
          <t>· Uses today's date from the device clock, so the answer changes by itself overnight.</t>
        </is>
      </c>
      <c r="N358" s="3" t="inlineStr">
        <is>
          <t>Yes</t>
        </is>
      </c>
      <c r="O358" s="3" t="inlineStr">
        <is>
          <t>1. MK-PF-F-031 contractMultiplier
2. MK-XS-F-122 n</t>
        </is>
      </c>
      <c r="P358" s="3" t="n">
        <v>2</v>
      </c>
      <c r="Q358" s="3" t="inlineStr">
        <is>
          <t>1. MK-PF-F-031 contractMultiplier
2. MK-XS-F-122 n</t>
        </is>
      </c>
      <c r="R358" s="3" t="inlineStr">
        <is>
          <t>1. MK-PF-F-031 contractMultiplier → MK-PF-F-006 capGains
2. MK-XS-F-122 n → MK-PF-F-006 capGains</t>
        </is>
      </c>
      <c r="S358" s="3" t="inlineStr">
        <is>
          <t>—</t>
        </is>
      </c>
      <c r="T358" s="3" t="inlineStr">
        <is>
          <t>HOLDING_CAP_GAINS</t>
        </is>
      </c>
      <c r="U358" s="3" t="inlineStr">
        <is>
          <t>ACTIVE</t>
        </is>
      </c>
      <c r="V358" s="3" t="inlineStr">
        <is>
          <t>2026-09-28</t>
        </is>
      </c>
      <c r="W358" s="3" t="n"/>
      <c r="X358" s="3" t="n"/>
      <c r="Y358" s="6" t="inlineStr">
        <is>
          <t>TESTED, NOT VERIFIED (G2)</t>
        </is>
      </c>
    </row>
    <row r="359" ht="60" customHeight="1">
      <c r="A359" s="3" t="inlineStr">
        <is>
          <t>MK-PF-F-007</t>
        </is>
      </c>
      <c r="B359" s="3" t="inlineStr">
        <is>
          <t>totalROI</t>
        </is>
      </c>
      <c r="C359" s="3" t="inlineStr">
        <is>
          <t>src/domain/performance/index.ts</t>
        </is>
      </c>
      <c r="D359" s="3" t="n">
        <v>412</v>
      </c>
      <c r="E359" s="3" t="inlineStr">
        <is>
          <t>3 · DEPENDENT</t>
        </is>
      </c>
      <c r="F359" s="3" t="inlineStr">
        <is>
          <t>Total return since purchase = gain / cost basis (decimal).</t>
        </is>
      </c>
      <c r="G359" s="11" t="inlineStr">
        <is>
          <t>basis = cost basis(p)
nothing   when price = nothing (or basis ≤ 0 when missing or zero)
the answer = unrealized gain(p, price) ÷ basis</t>
        </is>
      </c>
      <c r="H359" s="3" t="inlineStr">
        <is>
          <t>Basis is cost basis(p). When price is missing (or basis is at most 0 — when missing or zero), it answers no answer. The answer is unrealized gain(p, price) divided by basis.</t>
        </is>
      </c>
      <c r="I359" s="3" t="inlineStr">
        <is>
          <t>READ FROM THE CODE — rendered from the expressions the function runs</t>
        </is>
      </c>
      <c r="J359" s="3" t="inlineStr">
        <is>
          <t>1. p: Position
2. price: number | null | undefined</t>
        </is>
      </c>
      <c r="K359" s="3" t="inlineStr">
        <is>
          <t>number | null</t>
        </is>
      </c>
      <c r="L359" s="3" t="inlineStr">
        <is>
          <t>—</t>
        </is>
      </c>
      <c r="M359" s="3" t="inlineStr">
        <is>
          <t>None found in this function — anything it assumes comes from the functions it depends on.</t>
        </is>
      </c>
      <c r="N359" s="3" t="inlineStr">
        <is>
          <t>Yes</t>
        </is>
      </c>
      <c r="O359" s="3" t="inlineStr">
        <is>
          <t>1. MK-PF-F-002 costBasis
2. MK-PF-F-005 unrealizedGain</t>
        </is>
      </c>
      <c r="P359" s="3" t="n">
        <v>108</v>
      </c>
      <c r="Q359" s="3" t="inlineStr">
        <is>
          <t>1. MK-PF-F-002 costBasis
2. MK-PF-F-005 unrealizedGain
3. MK-PF-F-031 contractMultiplier
4. MK-CF-F-204 line
5. MK-PF-F-004 marketValue
6. MK-CF-F-203 MONTH
7. MK-XS-F-180 declareFigures
8. MK-PF-F-001 totalShares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MK-ST-F-056 has
24. MK-CF-F-022 paymentShape
25. MK-CF-F-152 isRadarItem
26. MK-CF-F-023 requiredPayment
27. MK-CF-F-132 map
28. MK-NW-F-078 ONE
29. MK-CF-F-157 debtPaymentsByDebt
30. MK-CF-F-192 inflowLabel
31. MK-XS-F-027 takeHomeMonthly
32. MK-CF-F-021 defaultPaymentType
33. MK-NW-F-077 ALL
34. MK-NW-F-059 currentYield
35. MK-ST-F-049 formatMoney
36. MK-ST-F-053 money
37. MK-NW-O-001 theBonds
38. MK-CF-F-193 inflowSourceWord
39. MK-CF-F-092 incomeMonthlyGrid
40. MK-CF-F-011 savingsByMonth
41. MK-NW-F-112 yearlyInterest
42. MK-ST-F-048 currencySymbol
43. MK-ST-F-039 on
44. MK-ST-F-027 accountId
45. MK-NW-F-057 annualCoupon
46. MK-NW-F-056 bondInfo
47. MK-NW-F-064 bondRateSensitivity
48. MK-NW-F-061 bondSummary
49. MK-NW-F-055 isBond
50. MK-ST-F-065 isoLocalDate
51. MK-NW-F-072 rowOf
52. MK-CF-F-069 benefitActiveMonths
53. MK-CF-F-072 currentRetirementIncomeMonthly
54. MK-CF-F-173 earnerWages
55. MK-CF-F-065 equityVestWeights
56. MK-CF-F-071 extraIncome
57. MK-CF-F-206 householdK401ByMonth
58. MK-CF-F-087 monthlyTaxRates
59. MK-CF-F-073 otherIncomeMonth
60. MK-CF-F-181 rateInForce
61. MK-CF-F-068 rentalNetAnnual
62. MK-CF-F-066 rsuAnnual
63. MK-CF-F-060 salaryGrossByMonth
64. MK-CF-F-077 scholarshipByCalendarMonth
65. MK-CF-F-088 taxableByCalendarMonth
66. MK-CF-F-177 wageGrossByMonth
67. MK-PL-F-012 waterfall
68. MK-CF-F-008 spendByMonth
69. MK-ST-F-047 activeCurrency
70. MK-NW-F-060 approxYTM
71. MK-NW-F-069 priceAtYield
72. MK-NW-F-011 assetClassOf
73. MK-NW-F-070 accruedInterestCaveat
74. MK-NW-F-058 yearsToMaturity
75. MK-CF-F-075 retirementIncomeMonthly
76. MK-CF-F-172 hasWage
77. MK-CF-F-062 equityRowValue
78. MK-CF-F-070 benefitAnnual
79. MK-CF-F-176 sumMonthsOverEarners
80. MK-CF-F-090 effectiveRate
81. MK-CF-F-180 enteredLandsAnnual
82. MK-CF-F-085 filingStatusOf
83. MK-CF-F-089 over65CountOf
84. MK-CF-F-082 salaryAnnual
85. MK-CF-F-086 stateRateOf
86. MK-CF-F-101 taxOwedFor
87. MK-CF-F-084 taxableAnnual
88. MK-CF-F-067 rentalList
89. MK-CF-F-063 rowVestYear
90. MK-CF-F-130 enteredMonthlyRaw
91. MK-CF-F-166 hasMonthlySalaryTable
92. MK-ST-F-036 reconcile
93. MK-CF-F-167 salaryCalendarYear
94. MK-CF-F-120 pctBaseMonthly
95. MK-CF-F-004 spendBuckets
96. MK-NW-F-119 estimatedAccrued
97. MK-NW-F-008 incomeBearingClassOf
98. MK-CF-F-100 taxableIncomeFor
99. MK-CF-F-074 tipsAnnual
100. MK-CF-F-165 salaryMonths
101. MK-CF-F-003 categoryMonthly
102. MK-ST-F-010 nameEvidence
103. MK-CF-F-099 deductionFor
104. MK-CF-F-081 salaryActiveMonths
105. MK-XS-F-147 call
106. MK-CF-F-187 seniorDeductionFor
107. MK-XS-F-064 currentIdToken
108. MK-XS-F-112 relayUrl</t>
        </is>
      </c>
      <c r="R359" s="3" t="inlineStr">
        <is>
          <t>1. MK-PF-F-031 contractMultiplier → MK-PF-F-002 costBasis → MK-PF-F-007 totalROI
2. MK-PF-F-031 contractMultiplier → MK-PF-F-002 costBasis → MK-PF-F-005 unrealizedGain → MK-PF-F-007 totalROI
3. MONTH (already above — a loop) → MK-CF-O-010 theMonth → MK-CF-F-203 MONTH → MK-CF-F-204 line → MK-PF-F-005 unrealizedGain → MK-PF-F-007 totalROI
4. MK-CF-F-155 cash → MK-CF-O-010 theMonth → MK-CF-F-203 MONTH → MK-CF-F-204 line → MK-PF-F-005 unrealizedGain → MK-PF-F-007 totalROI
5. MK-CF-O-002 expenses → MK-CF-O-010 theMonth → MK-CF-F-203 MONTH → MK-CF-F-204 line → MK-PF-F-005 unrealizedGain → MK-PF-F-007 totalROI
6. MK-CF-O-003 thisMonth → MK-CF-O-010 theMonth → MK-CF-F-203 MONTH → MK-CF-F-204 line → MK-PF-F-005 unrealizedGain → MK-PF-F-007 totalROI
7. MK-XS-F-180 declareFigures → MK-CF-F-204 line → MK-PF-F-005 unrealizedGain → MK-PF-F-007 totalROI
8. MK-PF-F-031 contractMultiplier → MK-PF-F-004 marketValue → MK-PF-F-005 unrealizedGain → MK-PF-F-007 totalROI
9. … and 1 more paths</t>
        </is>
      </c>
      <c r="S359" s="3" t="inlineStr">
        <is>
          <t>—</t>
        </is>
      </c>
      <c r="T359" s="3" t="inlineStr">
        <is>
          <t>HOLDING_TOTAL_ROI</t>
        </is>
      </c>
      <c r="U359" s="3" t="inlineStr">
        <is>
          <t>ACTIVE</t>
        </is>
      </c>
      <c r="V359" s="3" t="inlineStr">
        <is>
          <t>2026-09-09</t>
        </is>
      </c>
      <c r="W359" s="3" t="n"/>
      <c r="X359" s="3" t="n"/>
      <c r="Y359" s="3" t="inlineStr">
        <is>
          <t>NOTHING OPEN</t>
        </is>
      </c>
    </row>
    <row r="360" ht="60" customHeight="1">
      <c r="A360" s="3" t="inlineStr">
        <is>
          <t>MK-PF-F-008</t>
        </is>
      </c>
      <c r="B360" s="3" t="inlineStr">
        <is>
          <t>startDateFor</t>
        </is>
      </c>
      <c r="C360" s="3" t="inlineStr">
        <is>
          <t>src/domain/performance/index.ts</t>
        </is>
      </c>
      <c r="D360" s="3" t="n">
        <v>442</v>
      </c>
      <c r="E360" s="3" t="inlineStr">
        <is>
          <t>2 · DISPLAYED</t>
        </is>
      </c>
      <c r="F360" s="3" t="inlineStr">
        <is>
          <t>The date a period starts from, counted back from today: one, three or six months, the start of this year, one year or two years.</t>
        </is>
      </c>
      <c r="G360" s="11" t="inlineStr">
        <is>
          <t>d = the date now
the answer = d</t>
        </is>
      </c>
      <c r="H360" s="3" t="inlineStr">
        <is>
          <t>D: the date now. The answer is d.</t>
        </is>
      </c>
      <c r="I360" s="3" t="inlineStr">
        <is>
          <t>READ FROM THE CODE — rendered from the expressions the function runs</t>
        </is>
      </c>
      <c r="J360" s="3" t="inlineStr">
        <is>
          <t>1. period: Period
2. now: Date</t>
        </is>
      </c>
      <c r="K360" s="3" t="inlineStr">
        <is>
          <t>Date</t>
        </is>
      </c>
      <c r="L360" s="3" t="inlineStr">
        <is>
          <t>NOT FOUND — a screen calls it, but the words printed beside its answer could not be traced automatically. Needs reading.</t>
        </is>
      </c>
      <c r="M360" s="3" t="inlineStr">
        <is>
          <t>None found in this function — anything it assumes comes from the functions it depends on.</t>
        </is>
      </c>
      <c r="N360" s="3" t="inlineStr">
        <is>
          <t>Yes</t>
        </is>
      </c>
      <c r="O360" s="3" t="inlineStr">
        <is>
          <t>—</t>
        </is>
      </c>
      <c r="P360" s="3" t="n">
        <v>0</v>
      </c>
      <c r="Q360" s="3" t="inlineStr">
        <is>
          <t>None — no dependent function stands behind it</t>
        </is>
      </c>
      <c r="R360" s="3" t="inlineStr">
        <is>
          <t>No dependent function — it reads its inputs and answers</t>
        </is>
      </c>
      <c r="S360" s="3" t="inlineStr">
        <is>
          <t>—</t>
        </is>
      </c>
      <c r="T360" s="3" t="inlineStr">
        <is>
          <t>PERIOD_START_DATE</t>
        </is>
      </c>
      <c r="U360" s="3" t="inlineStr">
        <is>
          <t>ACTIVE</t>
        </is>
      </c>
      <c r="V360" s="3" t="inlineStr">
        <is>
          <t>2026-08-27</t>
        </is>
      </c>
      <c r="W360" s="3" t="n"/>
      <c r="X360" s="3" t="n"/>
      <c r="Y360" s="3" t="inlineStr">
        <is>
          <t>NOTHING OPEN</t>
        </is>
      </c>
    </row>
    <row r="361" ht="60" customHeight="1">
      <c r="A361" s="3" t="inlineStr">
        <is>
          <t>MK-PF-F-009</t>
        </is>
      </c>
      <c r="B361" s="3" t="inlineStr">
        <is>
          <t>latestClose</t>
        </is>
      </c>
      <c r="C361" s="3" t="inlineStr">
        <is>
          <t>src/domain/performance/index.ts</t>
        </is>
      </c>
      <c r="D361" s="3" t="n">
        <v>563</v>
      </c>
      <c r="E361" s="3" t="inlineStr">
        <is>
          <t>2 · DISPLAYED</t>
        </is>
      </c>
      <c r="F361" s="3" t="inlineStr">
        <is>
          <t>What is the most recent price we hold for this?</t>
        </is>
      </c>
      <c r="G361" s="11" t="inlineStr">
        <is>
          <t>latest close = the last point in the price series
             = nothing   when the series is empty</t>
        </is>
      </c>
      <c r="H361" s="3" t="inlineStr">
        <is>
          <t>The most recent closing price held for a ticker. It carries no date with it, so nothing downstream can tell a price from this morning from one three weeks old.</t>
        </is>
      </c>
      <c r="I361" s="3" t="inlineStr">
        <is>
          <t>READ BY HAND 2026-08-26 — checked line by line against the code</t>
        </is>
      </c>
      <c r="J361" s="3" t="inlineStr">
        <is>
          <t>series: PriceSeries | null | undefined</t>
        </is>
      </c>
      <c r="K361" s="3" t="inlineStr">
        <is>
          <t>number | null</t>
        </is>
      </c>
      <c r="L361" s="3" t="inlineStr">
        <is>
          <t>NOT FOUND — a screen calls it, but the words printed beside its answer could not be traced automatically. Needs reading.</t>
        </is>
      </c>
      <c r="M361" s="3" t="inlineStr">
        <is>
          <t>None found in this function — anything it assumes comes from the functions it depends on.</t>
        </is>
      </c>
      <c r="N361" s="3" t="inlineStr">
        <is>
          <t>Yes</t>
        </is>
      </c>
      <c r="O361" s="3" t="inlineStr">
        <is>
          <t>—</t>
        </is>
      </c>
      <c r="P361" s="3" t="n">
        <v>0</v>
      </c>
      <c r="Q361" s="3" t="inlineStr">
        <is>
          <t>None — no dependent function stands behind it</t>
        </is>
      </c>
      <c r="R361" s="3" t="inlineStr">
        <is>
          <t>No dependent function — it reads its inputs and answers</t>
        </is>
      </c>
      <c r="S361" s="3" t="inlineStr">
        <is>
          <t>—</t>
        </is>
      </c>
      <c r="T361" s="3" t="inlineStr">
        <is>
          <t>PRICE_LATEST</t>
        </is>
      </c>
      <c r="U361" s="3" t="inlineStr">
        <is>
          <t>ACTIVE</t>
        </is>
      </c>
      <c r="V361" s="3" t="inlineStr">
        <is>
          <t>2026-09-08</t>
        </is>
      </c>
      <c r="W361" s="3" t="n"/>
      <c r="X361" s="3" t="n"/>
      <c r="Y361" s="3" t="inlineStr">
        <is>
          <t>NOTHING OPEN</t>
        </is>
      </c>
    </row>
    <row r="362" ht="60" customHeight="1">
      <c r="A362" s="3" t="inlineStr">
        <is>
          <t>MK-PF-F-010</t>
        </is>
      </c>
      <c r="B362" s="3" t="inlineStr">
        <is>
          <t>periodReturn</t>
        </is>
      </c>
      <c r="C362" s="3" t="inlineStr">
        <is>
          <t>src/domain/performance/index.ts</t>
        </is>
      </c>
      <c r="D362" s="3" t="n">
        <v>601</v>
      </c>
      <c r="E362" s="3" t="inlineStr">
        <is>
          <t>3 · DEPENDENT</t>
        </is>
      </c>
      <c r="F362" s="3" t="inlineStr">
        <is>
          <t>Price return of a ticker over a period (decimal).</t>
        </is>
      </c>
      <c r="G362" s="11" t="inlineStr">
        <is>
          <t>nothing   when series is missing (or not (count of series.points) when missing or zero)
end = latest close(series)
start = close as of(series, start date for(period, now))
nothing   when end = nothing (or start = nothing (or start ≤ 0 when missing or zero) when missing or zero)
raw = end ÷ start − 1
first = the date series.points[0].date), last = new date(series.points[series.points.length − 1].date
reaches = first.get time() ≤ start date for(period, now).get time()
years = 2   if reaches
(last.get time() − first.get time()) ÷ (365.25 × 86400000)   otherwise
the answer:
(end ÷ start)^(1 ÷ years) − 1   if years &gt; 1
raw   otherwise</t>
        </is>
      </c>
      <c r="H362" s="3" t="inlineStr">
        <is>
          <t>When series is missing (or not (how many series.points) — when missing or zero) there are, it answers no answer. End is latest close(series). Start is close as of(series, start date for(period, now)). When end is missing (or start is missing (or start is at most 0 — when missing or zero) — when missing or zero), it answers no answer. Raw is end divided by start minus 1. First: the date series.points[0].date), last = new date(series.points[series.points.length minus 1].date. Reaches is first.get time() is at most start date for(period, now).get time(). Years is 2 — when reaches; (last.get time() minus first.get time()) divided by (365.25 times 86400000) — otherwise. The answer is (end divided by start)^(1 divided by years) minus 1 — when years &gt; 1; raw — otherwise.</t>
        </is>
      </c>
      <c r="I362" s="3" t="inlineStr">
        <is>
          <t>PARTLY READ — some of the code is still showing through; needs a hand pass</t>
        </is>
      </c>
      <c r="J362" s="3" t="inlineStr">
        <is>
          <t>1. series: PriceSeries | null | undefined
2. period: Period
3. now = new Date()</t>
        </is>
      </c>
      <c r="K362" s="3" t="inlineStr">
        <is>
          <t>number | null</t>
        </is>
      </c>
      <c r="L362" s="3" t="inlineStr">
        <is>
          <t>—</t>
        </is>
      </c>
      <c r="M362" s="3" t="inlineStr">
        <is>
          <t>· Uses today's date from the device clock, so the answer changes by itself overnight.</t>
        </is>
      </c>
      <c r="N362" s="3" t="inlineStr">
        <is>
          <t>Yes</t>
        </is>
      </c>
      <c r="O362" s="3" t="inlineStr">
        <is>
          <t>1. MK-PF-F-029 closeAsOf
2. MK-PF-F-009 latestClose
3. MK-ST-F-030 record
4. MK-PF-F-008 startDateFor</t>
        </is>
      </c>
      <c r="P362" s="3" t="n">
        <v>4</v>
      </c>
      <c r="Q362" s="3" t="inlineStr">
        <is>
          <t>1. MK-PF-F-029 closeAsOf
2. MK-PF-F-009 latestClose
3. MK-ST-F-030 record
4. MK-PF-F-008 startDateFor</t>
        </is>
      </c>
      <c r="R362" s="3" t="inlineStr">
        <is>
          <t>1. MK-PF-F-029 closeAsOf → MK-PF-F-010 periodReturn
2. MK-PF-F-009 latestClose → MK-PF-F-010 periodReturn
3. MK-ST-F-030 record → MK-PF-F-010 periodReturn
4. MK-PF-F-008 startDateFor → MK-PF-F-010 periodReturn</t>
        </is>
      </c>
      <c r="S362" s="3" t="inlineStr">
        <is>
          <t>—</t>
        </is>
      </c>
      <c r="T362" s="3" t="inlineStr">
        <is>
          <t>PERIOD_RETURN</t>
        </is>
      </c>
      <c r="U362" s="3" t="inlineStr">
        <is>
          <t>ACTIVE</t>
        </is>
      </c>
      <c r="V362" s="3" t="inlineStr">
        <is>
          <t>2026-10-04</t>
        </is>
      </c>
      <c r="W362" s="3" t="n"/>
      <c r="X362" s="3" t="n"/>
      <c r="Y362" s="3" t="inlineStr">
        <is>
          <t>NOTHING OPEN</t>
        </is>
      </c>
    </row>
    <row r="363" ht="60" customHeight="1">
      <c r="A363" s="3" t="inlineStr">
        <is>
          <t>MK-PF-F-011</t>
        </is>
      </c>
      <c r="B363" s="3" t="inlineStr">
        <is>
          <t>periodReturnSince</t>
        </is>
      </c>
      <c r="C363" s="3" t="inlineStr">
        <is>
          <t>src/domain/performance/index.ts</t>
        </is>
      </c>
      <c r="D363" s="3" t="n">
        <v>653</v>
      </c>
      <c r="E363" s="3" t="inlineStr">
        <is>
          <t>2 · DISPLAYED</t>
        </is>
      </c>
      <c r="F363" s="3" t="inlineStr">
        <is>
          <t>Price return from an explicit start DATE to now (for purchase-capped windows).</t>
        </is>
      </c>
      <c r="G363"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63"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63" s="3" t="inlineStr">
        <is>
          <t>PARTLY READ — some of the code is still showing through; needs a hand pass</t>
        </is>
      </c>
      <c r="J363" s="3" t="inlineStr">
        <is>
          <t>1. series: PriceSeries | null | undefined
2. sinceISO: string
3. now = new Date()</t>
        </is>
      </c>
      <c r="K363" s="3" t="inlineStr">
        <is>
          <t>number | null</t>
        </is>
      </c>
      <c r="L363" s="3" t="inlineStr">
        <is>
          <t>NOT FOUND — a screen calls it, but the words printed beside its answer could not be traced automatically. Needs reading.</t>
        </is>
      </c>
      <c r="M363" s="3" t="inlineStr">
        <is>
          <t>· Uses today's date from the device clock, so the answer changes by itself overnight.</t>
        </is>
      </c>
      <c r="N363" s="3" t="inlineStr">
        <is>
          <t>Yes</t>
        </is>
      </c>
      <c r="O363" s="3" t="inlineStr">
        <is>
          <t>1. MK-PF-F-029 closeAsOf
2. MK-PF-F-009 latestClose</t>
        </is>
      </c>
      <c r="P363" s="3" t="n">
        <v>2</v>
      </c>
      <c r="Q363" s="3" t="inlineStr">
        <is>
          <t>1. MK-PF-F-029 closeAsOf
2. MK-PF-F-009 latestClose</t>
        </is>
      </c>
      <c r="R363" s="3" t="inlineStr">
        <is>
          <t>1. MK-PF-F-029 closeAsOf → MK-PF-F-011 periodReturnSince
2. MK-PF-F-009 latestClose → MK-PF-F-011 periodReturnSince</t>
        </is>
      </c>
      <c r="S363" s="3" t="inlineStr">
        <is>
          <t>—</t>
        </is>
      </c>
      <c r="T363" s="3" t="inlineStr">
        <is>
          <t>RETURN_SINCE_A_DATE</t>
        </is>
      </c>
      <c r="U363" s="3" t="inlineStr">
        <is>
          <t>ACTIVE</t>
        </is>
      </c>
      <c r="V363" s="3" t="inlineStr">
        <is>
          <t>2026-09-26</t>
        </is>
      </c>
      <c r="W363" s="3" t="n"/>
      <c r="X363" s="3" t="n"/>
      <c r="Y363" s="3" t="inlineStr">
        <is>
          <t>NOTHING OPEN</t>
        </is>
      </c>
    </row>
    <row r="364" ht="60" customHeight="1">
      <c r="A364" s="3" t="inlineStr">
        <is>
          <t>MK-PF-F-012</t>
        </is>
      </c>
      <c r="B364" s="3" t="inlineStr">
        <is>
          <t>earliestPurchaseDate</t>
        </is>
      </c>
      <c r="C364" s="3" t="inlineStr">
        <is>
          <t>src/domain/performance/index.ts</t>
        </is>
      </c>
      <c r="D364" s="3" t="n">
        <v>684</v>
      </c>
      <c r="E364" s="3" t="inlineStr">
        <is>
          <t>3 · DEPENDENT</t>
        </is>
      </c>
      <c r="F364" s="3" t="inlineStr">
        <is>
          <t>Earliest dated lot — the day this holding became YOUR money.</t>
        </is>
      </c>
      <c r="G364" s="11" t="inlineStr">
        <is>
          <t>dates = for each of lots (or none when missing): purchase date where ÷ ^\each{4}-\each{2}-\each{2} ÷ .test(each ?? '')
the answer:
the first 10 of dates.sort()[0]!   if count of dates
nothing   otherwise</t>
        </is>
      </c>
      <c r="H364" s="3" t="inlineStr">
        <is>
          <t>Dates is for each of lots (or none — when missing): purchase date where divided by ^\each{4}-\each{2}-\each{2} divided by .test(each ?? ''). The answer: the first 10 of dates.sort()[0]! — when how many dates there are; no answer — otherwise.</t>
        </is>
      </c>
      <c r="I364" s="3" t="inlineStr">
        <is>
          <t>PARTLY READ — some of the code is still showing through; needs a hand pass</t>
        </is>
      </c>
      <c r="J364" s="3" t="inlineStr">
        <is>
          <t>p: Position</t>
        </is>
      </c>
      <c r="K364" s="3" t="inlineStr">
        <is>
          <t>string | null</t>
        </is>
      </c>
      <c r="L364" s="3" t="inlineStr">
        <is>
          <t>—</t>
        </is>
      </c>
      <c r="M364" s="3" t="inlineStr">
        <is>
          <t>None found in this function — anything it assumes comes from the functions it depends on.</t>
        </is>
      </c>
      <c r="N364" s="3" t="inlineStr">
        <is>
          <t>Yes</t>
        </is>
      </c>
      <c r="O364" s="3" t="inlineStr">
        <is>
          <t>MK-CF-F-132 map</t>
        </is>
      </c>
      <c r="P364" s="3" t="n">
        <v>1</v>
      </c>
      <c r="Q364" s="3" t="inlineStr">
        <is>
          <t>MK-CF-F-132 map</t>
        </is>
      </c>
      <c r="R364" s="3" t="inlineStr">
        <is>
          <t>MK-CF-F-132 map → MK-PF-F-012 earliestPurchaseDate</t>
        </is>
      </c>
      <c r="S364" s="3" t="inlineStr">
        <is>
          <t>—</t>
        </is>
      </c>
      <c r="T364" s="3" t="inlineStr">
        <is>
          <t>HOLDING_FIRST_BOUGHT</t>
        </is>
      </c>
      <c r="U364" s="3" t="inlineStr">
        <is>
          <t>ACTIVE</t>
        </is>
      </c>
      <c r="V364" s="3" t="inlineStr">
        <is>
          <t>2026-08-27</t>
        </is>
      </c>
      <c r="W364" s="3" t="n"/>
      <c r="X364" s="3" t="n"/>
      <c r="Y364" s="3" t="inlineStr">
        <is>
          <t>NOTHING OPEN</t>
        </is>
      </c>
    </row>
    <row r="365" ht="60" customHeight="1">
      <c r="A365" s="3" t="inlineStr">
        <is>
          <t>MK-PF-F-013</t>
        </is>
      </c>
      <c r="B365" s="3" t="inlineStr">
        <is>
          <t>benchmarkTicker</t>
        </is>
      </c>
      <c r="C365" s="3" t="inlineStr">
        <is>
          <t>src/domain/performance/index.ts</t>
        </is>
      </c>
      <c r="D365" s="3" t="n">
        <v>734</v>
      </c>
      <c r="E365" s="3" t="inlineStr">
        <is>
          <t>2 · DISPLAYED</t>
        </is>
      </c>
      <c r="F365" s="3" t="inlineStr">
        <is>
          <t>What should this holding be compared against?</t>
        </is>
      </c>
      <c r="G365" s="11" t="inlineStr">
        <is>
          <t>BENCHMARK_TICKER[kind ?? ''] (or 'SPY' when missing)</t>
        </is>
      </c>
      <c r="H365" s="3" t="inlineStr">
        <is>
          <t>BENCHMARK_TICKER[kind ?? ''] (or 'SPY' — when missing).</t>
        </is>
      </c>
      <c r="I365" s="3" t="inlineStr">
        <is>
          <t>PARTLY READ — some of the code is still showing through; needs a hand pass</t>
        </is>
      </c>
      <c r="J365" s="3" t="inlineStr">
        <is>
          <t>kind?: string</t>
        </is>
      </c>
      <c r="K365" s="3" t="inlineStr">
        <is>
          <t>string</t>
        </is>
      </c>
      <c r="L365" s="3" t="inlineStr">
        <is>
          <t>1. "Name (optional)" — on the Performance screen
2. "You are" — on the Holding detail screen, under "VS THE STOCK MARKET
3. SAME DATES"</t>
        </is>
      </c>
      <c r="M365" s="3" t="inlineStr">
        <is>
          <t>None found in this function — anything it assumes comes from the functions it depends on.</t>
        </is>
      </c>
      <c r="N365" s="3" t="inlineStr">
        <is>
          <t>Yes</t>
        </is>
      </c>
      <c r="O365" s="3" t="inlineStr">
        <is>
          <t>MK-ST-F-053 money</t>
        </is>
      </c>
      <c r="P365" s="3" t="n">
        <v>6</v>
      </c>
      <c r="Q365" s="3" t="inlineStr">
        <is>
          <t>1. MK-ST-F-053 money
2. MK-ST-F-049 formatMoney
3. MK-XS-F-122 n
4. MK-ST-F-048 currencySymbol
5. MK-ST-F-039 on
6. MK-ST-F-047 activeCurrency</t>
        </is>
      </c>
      <c r="R365"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65" s="3" t="inlineStr">
        <is>
          <t>—</t>
        </is>
      </c>
      <c r="T365" s="3" t="inlineStr">
        <is>
          <t>BENCHMARK_FOR_KIND</t>
        </is>
      </c>
      <c r="U365" s="3" t="inlineStr">
        <is>
          <t>ACTIVE</t>
        </is>
      </c>
      <c r="V365" s="3" t="inlineStr">
        <is>
          <t>2026-08-27</t>
        </is>
      </c>
      <c r="W365" s="3" t="n"/>
      <c r="X365" s="3" t="n"/>
      <c r="Y365" s="3" t="inlineStr">
        <is>
          <t>NOTHING OPEN</t>
        </is>
      </c>
    </row>
    <row r="366" ht="60" customHeight="1">
      <c r="A366" s="3" t="inlineStr">
        <is>
          <t>MK-PF-F-014</t>
        </is>
      </c>
      <c r="B366" s="3" t="inlineStr">
        <is>
          <t>buildPerformance</t>
        </is>
      </c>
      <c r="C366" s="3" t="inlineStr">
        <is>
          <t>src/domain/performance/index.ts</t>
        </is>
      </c>
      <c r="D366" s="3" t="n">
        <v>786</v>
      </c>
      <c r="E366" s="3" t="inlineStr">
        <is>
          <t>2 · DISPLAYED</t>
        </is>
      </c>
      <c r="F366" s="3" t="inlineStr">
        <is>
          <t>Build the per-holding rows for a period from positions + a price-series lookup.</t>
        </is>
      </c>
      <c r="G366" s="11" t="inlineStr">
        <is>
          <t>period start = the first 10 of start date for(period, now).to isostring()
series = price of(ticker)
price = latest close(series)
bought = earliest purchase date(p) (or purchase date of.(p) (or nothing when missing) when missing)
capped = bought ≠ nothing and bought &gt; period start
pr = total roi(p, price)   if capped
period return(series, period, now)   otherwise
bench ticker = benchmark ticker(kind)</t>
        </is>
      </c>
      <c r="H366" s="3" t="inlineStr">
        <is>
          <t>Period start: the first 10 of start date for(period, now).to isostring(). Series is price of(ticker). Price is latest close(series). Bought is earliest purchase date(p) (or purchase date of.(p) (or no answer — when missing) — when missing). Capped is bought is not no answer and bought &gt; period start. Pr is total roi(p, price) — when capped; period return(series, period, now) — otherwise. Bench ticker is benchmark ticker(kind).</t>
        </is>
      </c>
      <c r="I366" s="3" t="inlineStr">
        <is>
          <t>PARTLY READ — some of the code is still showing through; needs a hand pass</t>
        </is>
      </c>
      <c r="J366" s="3" t="inlineStr">
        <is>
          <t>Nothing is handed to it</t>
        </is>
      </c>
      <c r="K366" s="3" t="inlineStr">
        <is>
          <t>NOT DECLARED — the code does not say what it gives back</t>
        </is>
      </c>
      <c r="L366" s="3" t="inlineStr">
        <is>
          <t>NOT FOUND — a screen calls it, but the words printed beside its answer could not be traced automatically. Needs reading.</t>
        </is>
      </c>
      <c r="M366" s="3" t="inlineStr">
        <is>
          <t>· Uses today's date from the device clock, so the answer changes by itself overnight.</t>
        </is>
      </c>
      <c r="N366" s="3" t="inlineStr">
        <is>
          <t>Yes</t>
        </is>
      </c>
      <c r="O366"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t>
        </is>
      </c>
      <c r="P366" s="3" t="n">
        <v>117</v>
      </c>
      <c r="Q366"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
13. MK-PF-F-031 contractMultiplier
14. MK-PF-F-001 totalShares
15. MK-ST-F-049 formatMoney
16. MK-XS-F-122 n
17. MK-PF-F-029 closeAsOf
18. MK-ST-F-030 record
19. MK-CF-F-204 line
20. MK-ST-F-048 currencySymbol
21. MK-ST-F-039 on
22. MK-CF-F-203 MONTH
23. MK-XS-F-180 declareFigures
24. MK-ST-F-047 activeCurrency
25. MK-CF-O-010 theMonth
26. MK-CF-F-155 cash
27. MK-CF-O-002 expenses
28. MK-CF-O-003 thisMonth
29. MK-CF-F-151 actualSpending
30. MK-CF-F-150 debtPaymentsCountedAsExpenses
31. MK-CF-F-153 radar
32. MK-CF-F-149 recurringDebtPayments
33. MK-CF-F-005 actualMonthFlow
34. MK-CF-F-156 plannedMonthFlow
35. MK-CF-F-148 inMonth
36. MK-ST-F-052 toNum
37. MK-CF-F-191 ym
38. MK-ST-F-056 has
39. MK-CF-F-022 paymentShape
40. MK-CF-F-152 isRadarItem
41. MK-CF-F-023 requiredPayment
42. MK-NW-F-078 ONE
43. MK-CF-F-157 debtPaymentsByDebt
44. MK-CF-F-192 inflowLabel
45. MK-XS-F-027 takeHomeMonthly
46. MK-CF-F-021 defaultPaymentType
47. MK-NW-F-077 ALL
48. MK-NW-F-059 currentYield
49. MK-NW-O-001 theBonds
50. MK-CF-F-193 inflowSourceWord
51. MK-CF-F-092 incomeMonthlyGrid
52. MK-CF-F-011 savingsByMonth
53. MK-NW-F-112 yearlyInterest
54. MK-ST-F-027 accountId
55. MK-NW-F-057 annualCoupon
56. MK-NW-F-056 bondInfo
57. MK-NW-F-064 bondRateSensitivity
58. MK-NW-F-061 bondSummary
59. MK-NW-F-055 isBond
60. MK-ST-F-065 isoLocalDate
61. MK-NW-F-072 rowOf
62. MK-CF-F-069 benefitActiveMonths
63. MK-CF-F-072 currentRetirementIncomeMonthly
64. MK-CF-F-173 earnerWages
65. MK-CF-F-065 equityVestWeights
66. MK-CF-F-071 extraIncome
67. MK-CF-F-206 householdK401ByMonth
68. MK-CF-F-087 monthlyTaxRates
69. MK-CF-F-073 otherIncomeMonth
70. MK-CF-F-181 rateInForce
71. MK-CF-F-068 rentalNetAnnual
72. MK-CF-F-066 rsuAnnual
73. MK-CF-F-060 salaryGrossByMonth
74. MK-CF-F-077 scholarshipByCalendarMonth
75. MK-CF-F-088 taxableByCalendarMonth
76. MK-CF-F-177 wageGrossByMonth
77. MK-PL-F-012 waterfall
78. MK-CF-F-008 spendByMonth
79. MK-NW-F-060 approxYTM
80. MK-NW-F-069 priceAtYield
81. MK-NW-F-011 assetClassOf
82. MK-NW-F-070 accruedInterestCaveat
83. MK-NW-F-058 yearsToMaturity
84. MK-CF-F-075 retirementIncomeMonthly
85. MK-CF-F-172 hasWage
86. MK-CF-F-062 equityRowValue
87. MK-CF-F-070 benefitAnnual
88. MK-CF-F-176 sumMonthsOverEarners
89. MK-CF-F-090 effectiveRate
90. MK-CF-F-180 enteredLandsAnnual
91. MK-CF-F-085 filingStatusOf
92. MK-CF-F-089 over65CountOf
93. MK-CF-F-082 salaryAnnual
94. MK-CF-F-086 stateRateOf
95. MK-CF-F-101 taxOwedFor
96. MK-CF-F-084 taxableAnnual
97. MK-CF-F-067 rentalList
98. MK-CF-F-063 rowVestYear
99. MK-CF-F-130 enteredMonthlyRaw
100. MK-CF-F-166 hasMonthlySalaryTable
101. MK-ST-F-036 reconcile
102. MK-CF-F-167 salaryCalendarYear
103. MK-CF-F-120 pctBaseMonthly
104. MK-CF-F-004 spendBuckets
105. MK-NW-F-119 estimatedAccrued
106. MK-NW-F-008 incomeBearingClassOf
107. MK-CF-F-100 taxableIncomeFor
108. MK-CF-F-074 tipsAnnual
109. MK-CF-F-165 salaryMonths
110. MK-CF-F-003 categoryMonthly
111. MK-ST-F-010 nameEvidence
112. MK-CF-F-099 deductionFor
113. MK-CF-F-081 salaryActiveMonths
114. MK-XS-F-147 call
115. MK-CF-F-187 seniorDeductionFor
116. MK-XS-F-064 currentIdToken
117. MK-XS-F-112 relayUrl</t>
        </is>
      </c>
      <c r="R366"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is>
      </c>
      <c r="S366" s="3" t="inlineStr">
        <is>
          <t>—</t>
        </is>
      </c>
      <c r="T366" s="3" t="inlineStr">
        <is>
          <t>PERFORMANCE_TABLE</t>
        </is>
      </c>
      <c r="U366" s="3" t="inlineStr">
        <is>
          <t>ACTIVE</t>
        </is>
      </c>
      <c r="V366" s="3" t="inlineStr">
        <is>
          <t>2026-08-27</t>
        </is>
      </c>
      <c r="W366" s="3" t="n"/>
      <c r="X366" s="3" t="n"/>
      <c r="Y366" s="3" t="inlineStr">
        <is>
          <t>NOTHING OPEN</t>
        </is>
      </c>
    </row>
    <row r="367" ht="60" customHeight="1">
      <c r="A367" s="3" t="inlineStr">
        <is>
          <t>MK-PF-F-015</t>
        </is>
      </c>
      <c r="B367" s="3" t="inlineStr">
        <is>
          <t>topHoldingConcentration</t>
        </is>
      </c>
      <c r="C367" s="3" t="inlineStr">
        <is>
          <t>src/domain/performance/index.ts</t>
        </is>
      </c>
      <c r="D367" s="3" t="n">
        <v>844</v>
      </c>
      <c r="E367" s="3" t="inlineStr">
        <is>
          <t>2 · DISPLAYED</t>
        </is>
      </c>
      <c r="F367" s="3" t="inlineStr">
        <is>
          <t>The holding-concentration FACT (Invest main + the insights function share this one rule): the largest single holding as a % of invested money, reported only at 25%+ with 2+ holdings — below that it isn't a fact worth a card.</t>
        </is>
      </c>
      <c r="G367" s="11" t="inlineStr">
        <is>
          <t>invested = Σ over rows of (market value)
nothing   when invested ≤ 0 (or rows.length &lt; 2 when missing or zero)
top = rows.reduce((m, r) =&gt; (market value &gt; market value ? r : m), rows[0])
pct = round((top.market value ÷ invested) × 100)
the answer:
ticker = top.position.ticker
pct = pct
value = round(top.market value)   if pct ≥ 25
nothing   otherwise</t>
        </is>
      </c>
      <c r="H367" s="3" t="inlineStr">
        <is>
          <t>Invested: the market value added up across rows. When invested is at most 0 (or rows.length &lt; 2 — when missing or zero), it answers no answer. Top is rows.reduce((m, r) =&gt; (market value &gt; market value ? r : m), rows[0]). Pct is (top.market value divided by invested, to a whole number times 100). The answer is ticker = top.position.ticker; pct = pct; value = top.market value, to a whole number — when pct is at least 25; no answer — otherwise.</t>
        </is>
      </c>
      <c r="I367" s="3" t="inlineStr">
        <is>
          <t>PARTLY READ — some of the code is still showing through; needs a hand pass</t>
        </is>
      </c>
      <c r="J367" s="3" t="inlineStr">
        <is>
          <t>rows: PerformanceRow[]</t>
        </is>
      </c>
      <c r="K367" s="3" t="inlineStr">
        <is>
          <t>NOT DECLARED — the code does not say what it gives back</t>
        </is>
      </c>
      <c r="L367" s="3" t="inlineStr">
        <is>
          <t>NOT FOUND — a screen calls it, but the words printed beside its answer could not be traced automatically. Needs reading.</t>
        </is>
      </c>
      <c r="M367" s="3" t="inlineStr">
        <is>
          <t>· Rounds the answer to a whole number.</t>
        </is>
      </c>
      <c r="N367" s="3" t="inlineStr">
        <is>
          <t>Yes</t>
        </is>
      </c>
      <c r="O367" s="3" t="inlineStr">
        <is>
          <t>MK-PF-F-004 marketValue</t>
        </is>
      </c>
      <c r="P367" s="3" t="n">
        <v>3</v>
      </c>
      <c r="Q367" s="3" t="inlineStr">
        <is>
          <t>1. MK-PF-F-004 marketValue
2. MK-PF-F-031 contractMultiplier
3. MK-PF-F-001 totalShares</t>
        </is>
      </c>
      <c r="R367" s="3" t="inlineStr">
        <is>
          <t>1. MK-PF-F-031 contractMultiplier → MK-PF-F-004 marketValue → MK-PF-F-015 topHoldingConcentration
2. MK-PF-F-001 totalShares → MK-PF-F-004 marketValue → MK-PF-F-015 topHoldingConcentration</t>
        </is>
      </c>
      <c r="S367" s="3" t="inlineStr">
        <is>
          <t>—</t>
        </is>
      </c>
      <c r="T367" s="3" t="inlineStr">
        <is>
          <t>CONCENTRATION</t>
        </is>
      </c>
      <c r="U367" s="3" t="inlineStr">
        <is>
          <t>ACTIVE</t>
        </is>
      </c>
      <c r="V367" s="3" t="inlineStr">
        <is>
          <t>2026-08-27</t>
        </is>
      </c>
      <c r="W367" s="3" t="n"/>
      <c r="X367" s="3" t="n"/>
      <c r="Y367" s="3" t="inlineStr">
        <is>
          <t>NOTHING OPEN</t>
        </is>
      </c>
    </row>
    <row r="368" ht="60" customHeight="1">
      <c r="A368" s="3" t="inlineStr">
        <is>
          <t>MK-PF-F-016</t>
        </is>
      </c>
      <c r="B368" s="3" t="inlineStr">
        <is>
          <t>attribution</t>
        </is>
      </c>
      <c r="C368" s="3" t="inlineStr">
        <is>
          <t>src/domain/performance/index.ts</t>
        </is>
      </c>
      <c r="D368" s="3" t="n">
        <v>870</v>
      </c>
      <c r="E368" s="3" t="inlineStr">
        <is>
          <t>3 · DEPENDENT (feeds an action only)</t>
        </is>
      </c>
      <c r="F368" s="3" t="inlineStr">
        <is>
          <t>Per-holding contribution to the portfolio's period return = weight × the holding's return (pts).</t>
        </is>
      </c>
      <c r="G368" s="11" t="inlineStr">
        <is>
          <t>total = Σ over rows of (market value)
[]   when total ≤ 0</t>
        </is>
      </c>
      <c r="H368" s="3" t="inlineStr">
        <is>
          <t>Total: the market value added up across rows. When total is at most 0, it answers [].</t>
        </is>
      </c>
      <c r="I368" s="3" t="inlineStr">
        <is>
          <t>READ FROM THE CODE — rendered from the expressions the function runs</t>
        </is>
      </c>
      <c r="J368" s="3" t="inlineStr">
        <is>
          <t>rows: PerformanceRow[]</t>
        </is>
      </c>
      <c r="K368" s="3" t="inlineStr">
        <is>
          <t>NOT DECLARED — the code does not say what it gives back</t>
        </is>
      </c>
      <c r="L368" s="3" t="inlineStr">
        <is>
          <t>—</t>
        </is>
      </c>
      <c r="M368" s="3" t="inlineStr">
        <is>
          <t>None found in this function — anything it assumes comes from the functions it depends on.</t>
        </is>
      </c>
      <c r="N368" s="3" t="inlineStr">
        <is>
          <t>No</t>
        </is>
      </c>
      <c r="O368" s="3" t="inlineStr">
        <is>
          <t>1. MK-CF-F-132 map
2. MK-PF-F-004 marketValue</t>
        </is>
      </c>
      <c r="P368" s="3" t="n">
        <v>4</v>
      </c>
      <c r="Q368" s="3" t="inlineStr">
        <is>
          <t>1. MK-CF-F-132 map
2. MK-PF-F-004 marketValue
3. MK-PF-F-031 contractMultiplier
4. MK-PF-F-001 totalShares</t>
        </is>
      </c>
      <c r="R368" s="3" t="inlineStr">
        <is>
          <t>1. MK-CF-F-132 map → MK-PF-F-016 attribution
2. MK-PF-F-031 contractMultiplier → MK-PF-F-004 marketValue → MK-PF-F-016 attribution
3. MK-PF-F-001 totalShares → MK-PF-F-004 marketValue → MK-PF-F-016 attribution</t>
        </is>
      </c>
      <c r="S368" s="3" t="inlineStr">
        <is>
          <t>—</t>
        </is>
      </c>
      <c r="T368" s="3" t="inlineStr">
        <is>
          <t>WHAT_DROVE_THE_RETURN</t>
        </is>
      </c>
      <c r="U368" s="3" t="inlineStr">
        <is>
          <t>ACTIVE</t>
        </is>
      </c>
      <c r="V368" s="3" t="inlineStr">
        <is>
          <t>2026-09-25</t>
        </is>
      </c>
      <c r="W368" s="3" t="n"/>
      <c r="X368" s="3" t="n"/>
      <c r="Y368" s="3" t="inlineStr">
        <is>
          <t>NOTHING OPEN</t>
        </is>
      </c>
    </row>
    <row r="369" ht="60" customHeight="1">
      <c r="A369" s="3" t="inlineStr">
        <is>
          <t>MK-PF-F-017</t>
        </is>
      </c>
      <c r="B369" s="3" t="inlineStr">
        <is>
          <t>allocation</t>
        </is>
      </c>
      <c r="C369" s="3" t="inlineStr">
        <is>
          <t>src/domain/performance/index.ts</t>
        </is>
      </c>
      <c r="D369" s="3" t="n">
        <v>906</v>
      </c>
      <c r="E369" s="3" t="inlineStr">
        <is>
          <t>3 · DEPENDENT (feeds an action only)</t>
        </is>
      </c>
      <c r="F369" s="3" t="inlineStr">
        <is>
          <t>How is my invested money spread?</t>
        </is>
      </c>
      <c r="G369" s="11" t="inlineStr">
        <is>
          <t>by kind = {}
total = Σ over object.values(by kind) of (each)+ max(0, cash)
[]   when total ≤ 0
slices = for each of object.entries(by kind): [key, v]) =&gt; ({ key, value: (v), pct: math.round((v ÷ total) × 1000) ÷ 10 }
the answer = slices.sort((a, b) =&gt; value − value)</t>
        </is>
      </c>
      <c r="H369" s="3" t="inlineStr">
        <is>
          <t>By kind is {}. Total: the each)+ cash added up across object.values(by kind, never below zero. When total is at most 0, it answers []. Slices is for each of object.entries(by kind): [key, v]) =&gt; ({ key, value: (v), pct: math.(v divided by total, to a whole number times 1000) divided by 10 }. The answer is slices.sort((a, b) =&gt; value minus value).</t>
        </is>
      </c>
      <c r="I369" s="3" t="inlineStr">
        <is>
          <t>PARTLY READ — some of the code is still showing through; needs a hand pass</t>
        </is>
      </c>
      <c r="J369" s="3" t="inlineStr">
        <is>
          <t>1. rows: PerformanceRow[]
2. cash = 0</t>
        </is>
      </c>
      <c r="K369" s="3" t="inlineStr">
        <is>
          <t>AllocSlice[]</t>
        </is>
      </c>
      <c r="L369" s="3" t="inlineStr">
        <is>
          <t>—</t>
        </is>
      </c>
      <c r="M369" s="3" t="inlineStr">
        <is>
          <t>1. If by kind[k] is missing it counts as zero, so nothing recorded and a real zero look the same.
2. Never lets cash fall below 0.</t>
        </is>
      </c>
      <c r="N369" s="3" t="inlineStr">
        <is>
          <t>No</t>
        </is>
      </c>
      <c r="O369" s="3" t="inlineStr">
        <is>
          <t>1. MK-CF-F-155 cash
2. MK-CF-F-132 map</t>
        </is>
      </c>
      <c r="P369" s="3" t="n">
        <v>3</v>
      </c>
      <c r="Q369" s="3" t="inlineStr">
        <is>
          <t>1. MK-CF-F-155 cash
2. MK-CF-F-132 map
3. MK-XS-F-122 n</t>
        </is>
      </c>
      <c r="R369" s="3" t="inlineStr">
        <is>
          <t>1. MK-XS-F-122 n → MK-CF-F-155 cash → MK-PF-F-017 allocation
2. MK-CF-F-132 map → MK-PF-F-017 allocation</t>
        </is>
      </c>
      <c r="S369" s="3" t="inlineStr">
        <is>
          <t>—</t>
        </is>
      </c>
      <c r="T369" s="3" t="inlineStr">
        <is>
          <t>ALLOCATION_BY_HOLDING_KIND</t>
        </is>
      </c>
      <c r="U369" s="3" t="inlineStr">
        <is>
          <t>ACTIVE</t>
        </is>
      </c>
      <c r="V369" s="3" t="inlineStr">
        <is>
          <t>2026-09-25</t>
        </is>
      </c>
      <c r="W369" s="3" t="n"/>
      <c r="X369" s="3" t="n"/>
      <c r="Y369" s="3" t="inlineStr">
        <is>
          <t>NOTHING OPEN</t>
        </is>
      </c>
    </row>
    <row r="370" ht="60" customHeight="1">
      <c r="A370" s="3" t="inlineStr">
        <is>
          <t>MK-PF-F-018</t>
        </is>
      </c>
      <c r="B370" s="3" t="inlineStr">
        <is>
          <t>portfolioTrend</t>
        </is>
      </c>
      <c r="C370" s="3" t="inlineStr">
        <is>
          <t>src/domain/performance/index.ts</t>
        </is>
      </c>
      <c r="D370" s="3" t="n">
        <v>951</v>
      </c>
      <c r="E370" s="3" t="inlineStr">
        <is>
          <t>3 · DEPENDENT (feeds an action only)</t>
        </is>
      </c>
      <c r="F370" s="3" t="inlineStr">
        <is>
          <t>How has my portfolio moved over the period, against its benchmark?</t>
        </is>
      </c>
      <c r="G370" s="11" t="inlineStr">
        <is>
          <t>[]   when count of !positions?
start = start date for(period, now)
span = now.get time() − start.get time()
[]   when span ≤ 0
n = 12
dates = array.from({ length: N + 1 }, (_, i) =&gt; new date(start.get time() + (span × i) ÷ N))
bench series = price of(bench ticker sym)
value at = (d: date) =&gt; positions.reduce((t, p) =&gt; { const c = close as of(price of(ticker), d); return t + (c = nothing ? 0 : total shares(p) × c); }, 0)
v0 = value at(dates[0])
b0 = close as of(bench series, dates[0])
value = value at(d)
… the first steps only — the rest of the body needs reading by hand.</t>
        </is>
      </c>
      <c r="H370" s="3" t="inlineStr">
        <is>
          <t>When how many !positions? there are, it answers []. Start is start date for(period, now). Span is now.get time() minus start.get time(). When span is at most 0, it answers []. N is 12. Dates is array.from({ length: N plus 1 }, (_, i) =&gt; new date(start.get time() plus (span times i) divided by N)). Bench series is price of(bench ticker sym). Value at is (d: date) =&gt; positions.reduce((t, p) =&gt; { const c = close as of(price of(ticker), d); return t plus (c is missing ? 0 : total shares(p) times c); }, 0). V0 is value at(dates[0]). B0 is close as of(bench series, dates[0]). Value is value at(d). Only the first steps are shown; the rest of the body needs reading by hand.</t>
        </is>
      </c>
      <c r="I370" s="3" t="inlineStr">
        <is>
          <t>PARTLY READ — some of the code is still showing through; needs a hand pass</t>
        </is>
      </c>
      <c r="J370" s="3" t="inlineStr">
        <is>
          <t>Nothing is handed to it</t>
        </is>
      </c>
      <c r="K370" s="3" t="inlineStr">
        <is>
          <t>NOT DECLARED — the code does not say what it gives back</t>
        </is>
      </c>
      <c r="L370" s="3" t="inlineStr">
        <is>
          <t>—</t>
        </is>
      </c>
      <c r="M370" s="3" t="inlineStr">
        <is>
          <t>1. Uses a built-in n of 12.
2. Uses today's date from the device clock, so the answer changes by itself overnight.</t>
        </is>
      </c>
      <c r="N370" s="3" t="inlineStr">
        <is>
          <t>No</t>
        </is>
      </c>
      <c r="O370" s="3" t="inlineStr">
        <is>
          <t>1. MK-PF-F-029 closeAsOf
2. MK-CF-F-132 map
3. MK-PF-F-008 startDateFor
4. MK-PF-F-001 totalShares</t>
        </is>
      </c>
      <c r="P370" s="3" t="n">
        <v>4</v>
      </c>
      <c r="Q370" s="3" t="inlineStr">
        <is>
          <t>1. MK-PF-F-029 closeAsOf
2. MK-CF-F-132 map
3. MK-PF-F-008 startDateFor
4. MK-PF-F-001 totalShares</t>
        </is>
      </c>
      <c r="R370" s="3" t="inlineStr">
        <is>
          <t>1. MK-PF-F-029 closeAsOf → MK-PF-F-018 portfolioTrend
2. MK-CF-F-132 map → MK-PF-F-018 portfolioTrend
3. MK-PF-F-008 startDateFor → MK-PF-F-018 portfolioTrend
4. MK-PF-F-001 totalShares → MK-PF-F-018 portfolioTrend</t>
        </is>
      </c>
      <c r="S370" s="3" t="inlineStr">
        <is>
          <t>—</t>
        </is>
      </c>
      <c r="T370" s="3" t="inlineStr">
        <is>
          <t>PORTFOLIO_TREND_LINE</t>
        </is>
      </c>
      <c r="U370" s="3" t="inlineStr">
        <is>
          <t>ACTIVE</t>
        </is>
      </c>
      <c r="V370" s="3" t="inlineStr">
        <is>
          <t>2026-09-25</t>
        </is>
      </c>
      <c r="W370" s="3" t="n"/>
      <c r="X370" s="3" t="n"/>
      <c r="Y370" s="3" t="inlineStr">
        <is>
          <t>NOTHING OPEN</t>
        </is>
      </c>
    </row>
    <row r="371" ht="60" customHeight="1">
      <c r="A371" s="3" t="inlineStr">
        <is>
          <t>MK-PF-F-019</t>
        </is>
      </c>
      <c r="B371" s="3" t="inlineStr">
        <is>
          <t>portfolioPeriodReturn</t>
        </is>
      </c>
      <c r="C371" s="3" t="inlineStr">
        <is>
          <t>src/domain/performance/index.ts</t>
        </is>
      </c>
      <c r="D371" s="3" t="n">
        <v>998</v>
      </c>
      <c r="E371" s="3" t="inlineStr">
        <is>
          <t>3 · DEPENDENT (feeds an action only)</t>
        </is>
      </c>
      <c r="F371" s="3" t="inlineStr">
        <is>
          <t>Value-weighted portfolio period return across holdings that have one (decimal), or null.</t>
        </is>
      </c>
      <c r="G371" s="11" t="inlineStr">
        <is>
          <t>usable = rows where period return ≠ nothing and market value &gt; 0
total = Σ over usable of (market value)
nothing   when total ≤ 0
the answer = Σ over usable of ((period return as number) × market value)÷ total</t>
        </is>
      </c>
      <c r="H371" s="3" t="inlineStr">
        <is>
          <t>Usable is rows where period return is not no answer and market value &gt; 0. Total: the market value added up across usable. When total is at most 0, it answers no answer. The answer: the (period return as number added up across usable times market value)÷ total.</t>
        </is>
      </c>
      <c r="I371" s="3" t="inlineStr">
        <is>
          <t>READ FROM THE CODE — rendered from the expressions the function runs</t>
        </is>
      </c>
      <c r="J371" s="3" t="inlineStr">
        <is>
          <t>rows: PerformanceRow[]</t>
        </is>
      </c>
      <c r="K371" s="3" t="inlineStr">
        <is>
          <t>number | null</t>
        </is>
      </c>
      <c r="L371" s="3" t="inlineStr">
        <is>
          <t>—</t>
        </is>
      </c>
      <c r="M371" s="3" t="inlineStr">
        <is>
          <t>· Second verification G18, 2026-09-08: this is the value-weighted average of holding returns, not a Dietz return.</t>
        </is>
      </c>
      <c r="N371" s="3" t="inlineStr">
        <is>
          <t>No</t>
        </is>
      </c>
      <c r="O371" s="3" t="inlineStr">
        <is>
          <t>MK-PF-F-004 marketValue</t>
        </is>
      </c>
      <c r="P371" s="3" t="n">
        <v>3</v>
      </c>
      <c r="Q371" s="3" t="inlineStr">
        <is>
          <t>1. MK-PF-F-004 marketValue
2. MK-PF-F-031 contractMultiplier
3. MK-PF-F-001 totalShares</t>
        </is>
      </c>
      <c r="R371" s="3" t="inlineStr">
        <is>
          <t>1. MK-PF-F-031 contractMultiplier → MK-PF-F-004 marketValue → MK-PF-F-019 portfolioPeriodReturn
2. MK-PF-F-001 totalShares → MK-PF-F-004 marketValue → MK-PF-F-019 portfolioPeriodReturn</t>
        </is>
      </c>
      <c r="S371" s="3" t="inlineStr">
        <is>
          <t>—</t>
        </is>
      </c>
      <c r="T371" s="3" t="inlineStr">
        <is>
          <t>VALUE_WEIGHTED_RETURN</t>
        </is>
      </c>
      <c r="U371" s="3" t="inlineStr">
        <is>
          <t>ACTIVE</t>
        </is>
      </c>
      <c r="V371" s="3" t="inlineStr">
        <is>
          <t>2026-09-30</t>
        </is>
      </c>
      <c r="W371" s="3" t="n"/>
      <c r="X371" s="3" t="n"/>
      <c r="Y371" s="6" t="inlineStr">
        <is>
          <t>TESTED, NOT VERIFIED (C1, G18)</t>
        </is>
      </c>
    </row>
    <row r="372" ht="60" customHeight="1">
      <c r="A372" s="3" t="inlineStr">
        <is>
          <t>MK-PF-F-020</t>
        </is>
      </c>
      <c r="B372" s="3" t="inlineStr">
        <is>
          <t>portfolioBenchReturn</t>
        </is>
      </c>
      <c r="C372" s="3" t="inlineStr">
        <is>
          <t>src/domain/performance/index.ts</t>
        </is>
      </c>
      <c r="D372" s="3" t="n">
        <v>1029</v>
      </c>
      <c r="E372" s="3" t="inlineStr">
        <is>
          <t>2 · DISPLAYED</t>
        </is>
      </c>
      <c r="F372" s="3" t="inlineStr">
        <is>
          <t>Value-weighted benchmark ("the market, matched to your mix") return across holdings that have one (decimal), or null.</t>
        </is>
      </c>
      <c r="G372" s="11" t="inlineStr">
        <is>
          <t>usable = rows where bench return ≠ nothing and market value &gt; 0
total = Σ over usable of (market value)
nothing   when total ≤ 0
the answer = Σ over usable of ((bench return as number) × market value)÷ total</t>
        </is>
      </c>
      <c r="H372" s="3" t="inlineStr">
        <is>
          <t>Usable is rows where bench return is not no answer and market value &gt; 0. Total: the market value added up across usable. When total is at most 0, it answers no answer. The answer: the (bench return as number added up across usable times market value)÷ total.</t>
        </is>
      </c>
      <c r="I372" s="3" t="inlineStr">
        <is>
          <t>READ FROM THE CODE — rendered from the expressions the function runs</t>
        </is>
      </c>
      <c r="J372" s="3" t="inlineStr">
        <is>
          <t>rows: PerformanceRow[]</t>
        </is>
      </c>
      <c r="K372" s="3" t="inlineStr">
        <is>
          <t>number | null</t>
        </is>
      </c>
      <c r="L372" s="3" t="inlineStr">
        <is>
          <t>NOT FOUND — a screen calls it, but the words printed beside its answer could not be traced automatically. Needs reading.</t>
        </is>
      </c>
      <c r="M372" s="3" t="inlineStr">
        <is>
          <t>None found in this function — anything it assumes comes from the functions it depends on.</t>
        </is>
      </c>
      <c r="N372" s="3" t="inlineStr">
        <is>
          <t>Yes</t>
        </is>
      </c>
      <c r="O372" s="3" t="inlineStr">
        <is>
          <t>MK-PF-F-004 marketValue</t>
        </is>
      </c>
      <c r="P372" s="3" t="n">
        <v>3</v>
      </c>
      <c r="Q372" s="3" t="inlineStr">
        <is>
          <t>1. MK-PF-F-004 marketValue
2. MK-PF-F-031 contractMultiplier
3. MK-PF-F-001 totalShares</t>
        </is>
      </c>
      <c r="R372" s="3" t="inlineStr">
        <is>
          <t>1. MK-PF-F-031 contractMultiplier → MK-PF-F-004 marketValue → MK-PF-F-020 portfolioBenchReturn
2. MK-PF-F-001 totalShares → MK-PF-F-004 marketValue → MK-PF-F-020 portfolioBenchReturn</t>
        </is>
      </c>
      <c r="S372" s="3" t="inlineStr">
        <is>
          <t>—</t>
        </is>
      </c>
      <c r="T372" s="3" t="inlineStr">
        <is>
          <t>BENCHMARK_RETURN_BLENDED</t>
        </is>
      </c>
      <c r="U372" s="3" t="inlineStr">
        <is>
          <t>ACTIVE</t>
        </is>
      </c>
      <c r="V372" s="3" t="inlineStr">
        <is>
          <t>2026-08-27</t>
        </is>
      </c>
      <c r="W372" s="3" t="n"/>
      <c r="X372" s="3" t="n"/>
      <c r="Y372" s="3" t="inlineStr">
        <is>
          <t>NOTHING OPEN</t>
        </is>
      </c>
    </row>
    <row r="373" ht="60" customHeight="1">
      <c r="A373" s="3" t="inlineStr">
        <is>
          <t>MK-PF-F-021</t>
        </is>
      </c>
      <c r="B373" s="3" t="inlineStr">
        <is>
          <t>periodDollarDelta</t>
        </is>
      </c>
      <c r="C373" s="3" t="inlineStr">
        <is>
          <t>src/domain/performance/index.ts</t>
        </is>
      </c>
      <c r="D373" s="3" t="n">
        <v>1059</v>
      </c>
      <c r="E373" s="3" t="inlineStr">
        <is>
          <t>3 · DEPENDENT (feeds an action only)</t>
        </is>
      </c>
      <c r="F373" s="3" t="inlineStr">
        <is>
          <t>The DOLLAR change implied by a period return on today's total — the approved Home hero shows "up $11,200 (1.4%) this month": dollars AND percent from the SAME measured return, so the two figures can never disagree (one concept, one source).</t>
        </is>
      </c>
      <c r="G373" s="11" t="inlineStr">
        <is>
          <t>0   when !number.is finite(current total) (or !number.is finite(period return) (or period return ≤ -1 when missing or zero) when missing or zero)
round(current total × period return ÷ (1 + period return))</t>
        </is>
      </c>
      <c r="H373" s="3" t="inlineStr">
        <is>
          <t>When !number.is finite(current total) (or !number.is finite(period return) (or period return is at most -1 — when missing or zero) — when missing or zero), it answers 0. current total times period return divided by (1 plus period return, to a whole number).</t>
        </is>
      </c>
      <c r="I373" s="3" t="inlineStr">
        <is>
          <t>PARTLY READ — some of the code is still showing through; needs a hand pass</t>
        </is>
      </c>
      <c r="J373" s="3" t="inlineStr">
        <is>
          <t>1. currentTotal: number
2. periodReturn: number</t>
        </is>
      </c>
      <c r="K373" s="3" t="inlineStr">
        <is>
          <t>number</t>
        </is>
      </c>
      <c r="L373" s="3" t="inlineStr">
        <is>
          <t>—</t>
        </is>
      </c>
      <c r="M373" s="3" t="inlineStr">
        <is>
          <t>· Rounds the answer to a whole number.</t>
        </is>
      </c>
      <c r="N373" s="3" t="inlineStr">
        <is>
          <t>No</t>
        </is>
      </c>
      <c r="O373" s="3" t="inlineStr">
        <is>
          <t>MK-PF-F-010 periodReturn</t>
        </is>
      </c>
      <c r="P373" s="3" t="n">
        <v>5</v>
      </c>
      <c r="Q373" s="3" t="inlineStr">
        <is>
          <t>1. MK-PF-F-010 periodReturn
2. MK-PF-F-029 closeAsOf
3. MK-PF-F-009 latestClose
4. MK-ST-F-030 record
5. MK-PF-F-008 startDateFor</t>
        </is>
      </c>
      <c r="R373" s="3" t="inlineStr">
        <is>
          <t>1. MK-PF-F-029 closeAsOf → MK-PF-F-010 periodReturn → MK-PF-F-021 periodDollarDelta
2. MK-PF-F-009 latestClose → MK-PF-F-010 periodReturn → MK-PF-F-021 periodDollarDelta
3. MK-ST-F-030 record → MK-PF-F-010 periodReturn → MK-PF-F-021 periodDollarDelta
4. MK-PF-F-008 startDateFor → MK-PF-F-010 periodReturn → MK-PF-F-021 periodDollarDelta</t>
        </is>
      </c>
      <c r="S373" s="3" t="inlineStr">
        <is>
          <t>—</t>
        </is>
      </c>
      <c r="T373" s="3" t="inlineStr">
        <is>
          <t>—</t>
        </is>
      </c>
      <c r="U373" s="3" t="inlineStr">
        <is>
          <t>ACTIVE</t>
        </is>
      </c>
      <c r="V373" s="3" t="inlineStr">
        <is>
          <t>2026-09-30</t>
        </is>
      </c>
      <c r="W373" s="3" t="n"/>
      <c r="X373" s="3" t="n"/>
      <c r="Y373" s="3" t="inlineStr">
        <is>
          <t>NOTHING OPEN</t>
        </is>
      </c>
    </row>
    <row r="374" ht="60" customHeight="1">
      <c r="A374" s="3" t="inlineStr">
        <is>
          <t>MK-PF-F-022</t>
        </is>
      </c>
      <c r="B374" s="3" t="inlineStr">
        <is>
          <t>factorOverMonths</t>
        </is>
      </c>
      <c r="C374" s="3" t="inlineStr">
        <is>
          <t>src/domain/performance/lookBack.ts</t>
        </is>
      </c>
      <c r="D374" s="3" t="n">
        <v>49</v>
      </c>
      <c r="E374" s="3" t="inlineStr">
        <is>
          <t>3 · DEPENDENT</t>
        </is>
      </c>
      <c r="F374" s="3" t="inlineStr">
        <is>
          <t>Price factor over the trailing window: last close ÷ the close at (now − months).</t>
        </is>
      </c>
      <c r="G374"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74"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74" s="3" t="inlineStr">
        <is>
          <t>READ BY HAND 2026-08-26 — checked line by line against the code</t>
        </is>
      </c>
      <c r="J374" s="3" t="inlineStr">
        <is>
          <t>1. series: PriceSeries | null | undefined
2. months: number
3. now: Date = new Date()</t>
        </is>
      </c>
      <c r="K374" s="3" t="inlineStr">
        <is>
          <t>number | null</t>
        </is>
      </c>
      <c r="L374" s="3" t="inlineStr">
        <is>
          <t>—</t>
        </is>
      </c>
      <c r="M374" s="3" t="inlineStr">
        <is>
          <t>1. Uses today's date from the device clock, so the answer changes by itself overnight.
2. The window boundary is a LOCAL calendar date (the person's own day), so the answer is the same in every timezone (TZ-1, 2026-09-08).</t>
        </is>
      </c>
      <c r="N374" s="3" t="inlineStr">
        <is>
          <t>Yes</t>
        </is>
      </c>
      <c r="O374" s="3" t="inlineStr">
        <is>
          <t>MK-ST-F-065 isoLocalDate</t>
        </is>
      </c>
      <c r="P374" s="3" t="n">
        <v>1</v>
      </c>
      <c r="Q374" s="3" t="inlineStr">
        <is>
          <t>MK-ST-F-065 isoLocalDate</t>
        </is>
      </c>
      <c r="R374" s="3" t="inlineStr">
        <is>
          <t>MK-ST-F-065 isoLocalDate → MK-PF-F-022 factorOverMonths</t>
        </is>
      </c>
      <c r="S374" s="3" t="inlineStr">
        <is>
          <t>—</t>
        </is>
      </c>
      <c r="T374" s="3" t="inlineStr">
        <is>
          <t>PRICE_FACTOR_OVER_WINDOW</t>
        </is>
      </c>
      <c r="U374" s="3" t="inlineStr">
        <is>
          <t>ACTIVE</t>
        </is>
      </c>
      <c r="V374" s="3" t="inlineStr">
        <is>
          <t>2026-09-08</t>
        </is>
      </c>
      <c r="W374" s="3" t="n"/>
      <c r="X374" s="3" t="n"/>
      <c r="Y374" s="6" t="inlineStr">
        <is>
          <t>TESTED, NOT VERIFIED (TZ-1)</t>
        </is>
      </c>
    </row>
    <row r="375" ht="60" customHeight="1">
      <c r="A375" s="3" t="inlineStr">
        <is>
          <t>MK-PF-F-023</t>
        </is>
      </c>
      <c r="B375" s="3" t="inlineStr">
        <is>
          <t>lookBack</t>
        </is>
      </c>
      <c r="C375" s="3" t="inlineStr">
        <is>
          <t>src/domain/performance/lookBack.ts</t>
        </is>
      </c>
      <c r="D375" s="3" t="n">
        <v>97</v>
      </c>
      <c r="E375" s="3" t="inlineStr">
        <is>
          <t>3 · DEPENDENT</t>
        </is>
      </c>
      <c r="F375" s="3" t="inlineStr">
        <is>
          <t>What if I had moved this money?</t>
        </is>
      </c>
      <c r="G375"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75"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75" s="3" t="inlineStr">
        <is>
          <t>READ FROM THE CODE — rendered from the expressions the function runs</t>
        </is>
      </c>
      <c r="J375" s="3" t="inlineStr">
        <is>
          <t>1. amount: number
2. fromSeries: PriceSeries | null | undefined
3. toSeries: PriceSeries | null | undefined
4. months: number
5. now: Date = new Date()</t>
        </is>
      </c>
      <c r="K375" s="3" t="inlineStr">
        <is>
          <t>LookBackResult | null</t>
        </is>
      </c>
      <c r="L375" s="3" t="inlineStr">
        <is>
          <t>—</t>
        </is>
      </c>
      <c r="M375" s="3" t="inlineStr">
        <is>
          <t>· Uses today's date from the device clock, so the answer changes by itself overnight.</t>
        </is>
      </c>
      <c r="N375" s="3" t="inlineStr">
        <is>
          <t>Yes</t>
        </is>
      </c>
      <c r="O375" s="3" t="inlineStr">
        <is>
          <t>MK-PF-F-022 factorOverMonths</t>
        </is>
      </c>
      <c r="P375" s="3" t="n">
        <v>2</v>
      </c>
      <c r="Q375" s="3" t="inlineStr">
        <is>
          <t>1. MK-PF-F-022 factorOverMonths
2. MK-ST-F-065 isoLocalDate</t>
        </is>
      </c>
      <c r="R375" s="3" t="inlineStr">
        <is>
          <t>MK-ST-F-065 isoLocalDate → MK-PF-F-022 factorOverMonths → MK-PF-F-023 lookBack</t>
        </is>
      </c>
      <c r="S375" s="3" t="inlineStr">
        <is>
          <t>—</t>
        </is>
      </c>
      <c r="T375" s="3" t="inlineStr">
        <is>
          <t>LOOK_BACK</t>
        </is>
      </c>
      <c r="U375" s="3" t="inlineStr">
        <is>
          <t>ACTIVE</t>
        </is>
      </c>
      <c r="V375" s="3" t="inlineStr">
        <is>
          <t>2026-09-28</t>
        </is>
      </c>
      <c r="W375" s="3" t="n"/>
      <c r="X375" s="3" t="n"/>
      <c r="Y375" s="3" t="inlineStr">
        <is>
          <t>NOTHING OPEN</t>
        </is>
      </c>
    </row>
    <row r="376" ht="60" customHeight="1">
      <c r="A376" s="3" t="inlineStr">
        <is>
          <t>MK-PF-F-028</t>
        </is>
      </c>
      <c r="B376" s="3" t="inlineStr">
        <is>
          <t>realizedFromLedger</t>
        </is>
      </c>
      <c r="C376" s="3" t="inlineStr">
        <is>
          <t>src/domain/performance/realized.ts</t>
        </is>
      </c>
      <c r="D376" s="3" t="n">
        <v>44</v>
      </c>
      <c r="E376" s="3" t="inlineStr">
        <is>
          <t>3 · DEPENDENT</t>
        </is>
      </c>
      <c r="F376" s="3" t="inlineStr">
        <is>
          <t>How much profit have I actually taken?</t>
        </is>
      </c>
      <c r="G376"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76"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76" s="3" t="inlineStr">
        <is>
          <t>READ BY HAND 2026-08-26 — checked line by line against the code</t>
        </is>
      </c>
      <c r="J376" s="3" t="inlineStr">
        <is>
          <t>Nothing is handed to it</t>
        </is>
      </c>
      <c r="K376" s="3" t="inlineStr">
        <is>
          <t>NOT DECLARED — the code does not say what it gives back</t>
        </is>
      </c>
      <c r="L376" s="3" t="inlineStr">
        <is>
          <t>—</t>
        </is>
      </c>
      <c r="M376" s="3" t="inlineStr">
        <is>
          <t>1. If shares is missing it uses 0.
2. Uses today's date from the device clock, so the answer changes by itself overnight.
3. Sales dated in the current calendar year make the this-year total; the device clock decides which year that is.</t>
        </is>
      </c>
      <c r="N376" s="3" t="inlineStr">
        <is>
          <t>Yes</t>
        </is>
      </c>
      <c r="O376" s="3" t="inlineStr">
        <is>
          <t>—</t>
        </is>
      </c>
      <c r="P376" s="3" t="n">
        <v>0</v>
      </c>
      <c r="Q376" s="3" t="inlineStr">
        <is>
          <t>None — no dependent function stands behind it</t>
        </is>
      </c>
      <c r="R376" s="3" t="inlineStr">
        <is>
          <t>No dependent function — it reads its inputs and answers</t>
        </is>
      </c>
      <c r="S376" s="3" t="inlineStr">
        <is>
          <t>—</t>
        </is>
      </c>
      <c r="T376" s="3" t="inlineStr">
        <is>
          <t>REALISED_GAIN</t>
        </is>
      </c>
      <c r="U376" s="3" t="inlineStr">
        <is>
          <t>ACTIVE</t>
        </is>
      </c>
      <c r="V376" s="3" t="inlineStr">
        <is>
          <t>2026-09-28</t>
        </is>
      </c>
      <c r="W376"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76"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76" s="6" t="inlineStr">
        <is>
          <t>WAITING ON YOU — answer to read</t>
        </is>
      </c>
    </row>
    <row r="377" ht="60" customHeight="1">
      <c r="A377" s="3" t="inlineStr">
        <is>
          <t>MK-PF-F-029</t>
        </is>
      </c>
      <c r="B377" s="3" t="inlineStr">
        <is>
          <t>closeAsOf</t>
        </is>
      </c>
      <c r="C377" s="3" t="inlineStr">
        <is>
          <t>src/domain/performance/index.ts</t>
        </is>
      </c>
      <c r="D377" s="3" t="n">
        <v>481</v>
      </c>
      <c r="E377" s="3" t="inlineStr">
        <is>
          <t>3 · DEPENDENT</t>
        </is>
      </c>
      <c r="F377" s="3" t="inlineStr">
        <is>
          <t>Close on/just-before a target date (series oldest→newest).</t>
        </is>
      </c>
      <c r="G377" s="11" t="inlineStr">
        <is>
          <t>pts = series.points (or none when missing)
nothing   when count of pts is missing
t = target.get time()
chosen = nothing
the answer = chosen (or pts[0].close when missing)</t>
        </is>
      </c>
      <c r="H377" s="3" t="inlineStr">
        <is>
          <t>Pts is series.points (or none — when missing). When how many pts is missing there are, it answers no answer. T is target.get time(). Chosen is no answer. The answer is chosen (or pts[0].close — when missing).</t>
        </is>
      </c>
      <c r="I377" s="3" t="inlineStr">
        <is>
          <t>PARTLY READ — some of the code is still showing through; needs a hand pass</t>
        </is>
      </c>
      <c r="J377" s="3" t="inlineStr">
        <is>
          <t>1. series: PriceSeries | null | undefined
2. target: Date</t>
        </is>
      </c>
      <c r="K377" s="3" t="inlineStr">
        <is>
          <t>number | null</t>
        </is>
      </c>
      <c r="L377" s="3" t="inlineStr">
        <is>
          <t>—</t>
        </is>
      </c>
      <c r="M377" s="3" t="inlineStr">
        <is>
          <t>None found in this function — anything it assumes comes from the functions it depends on.</t>
        </is>
      </c>
      <c r="N377" s="3" t="inlineStr">
        <is>
          <t>Yes</t>
        </is>
      </c>
      <c r="O377" s="3" t="inlineStr">
        <is>
          <t>—</t>
        </is>
      </c>
      <c r="P377" s="3" t="n">
        <v>0</v>
      </c>
      <c r="Q377" s="3" t="inlineStr">
        <is>
          <t>None — no dependent function stands behind it</t>
        </is>
      </c>
      <c r="R377" s="3" t="inlineStr">
        <is>
          <t>No dependent function — it reads its inputs and answers</t>
        </is>
      </c>
      <c r="S377" s="3" t="inlineStr">
        <is>
          <t>—</t>
        </is>
      </c>
      <c r="T377" s="3" t="inlineStr">
        <is>
          <t>—</t>
        </is>
      </c>
      <c r="U377" s="3" t="inlineStr">
        <is>
          <t>ACTIVE</t>
        </is>
      </c>
      <c r="V377" s="3" t="inlineStr">
        <is>
          <t>2026-08-27</t>
        </is>
      </c>
      <c r="W377" s="3" t="n"/>
      <c r="X377" s="3" t="n"/>
      <c r="Y377" s="3" t="inlineStr">
        <is>
          <t>NOTHING OPEN</t>
        </is>
      </c>
    </row>
    <row r="378" ht="60" customHeight="1">
      <c r="A378" s="3" t="inlineStr">
        <is>
          <t>MK-PF-F-031</t>
        </is>
      </c>
      <c r="B378" s="3" t="inlineStr">
        <is>
          <t>contractMultiplier</t>
        </is>
      </c>
      <c r="C378" s="3" t="inlineStr">
        <is>
          <t>src/domain/performance/index.ts</t>
        </is>
      </c>
      <c r="D378" s="3" t="n">
        <v>79</v>
      </c>
      <c r="E378" s="3" t="inlineStr">
        <is>
          <t>3 · DEPENDENT</t>
        </is>
      </c>
      <c r="F378" s="3" t="inlineStr">
        <is>
          <t>How many units one contract stands for: 100 for an option unless the holding states its own figure, and 1 for everything else.</t>
        </is>
      </c>
      <c r="G378" s="11" t="inlineStr">
        <is>
          <t>multiplier   when multiplier ≠ nothing and multiplier &gt; 0
OPTION_CONTRACT_MULTIPLIER   if kind = 'options'
1   otherwise</t>
        </is>
      </c>
      <c r="H378" s="3" t="inlineStr">
        <is>
          <t>When multiplier is not no answer and multiplier &gt; 0, it answers multiplier. OPTION_CONTRACT_MULTIPLIER — when kind = 'options'; 1 — otherwise.</t>
        </is>
      </c>
      <c r="I378" s="3" t="inlineStr">
        <is>
          <t>READ FROM THE CODE — rendered from the expressions the function runs</t>
        </is>
      </c>
      <c r="J378" s="3" t="inlineStr">
        <is>
          <t>p: Pick&lt;Position, 'kind' | 'multiplier'&gt;</t>
        </is>
      </c>
      <c r="K378" s="3" t="inlineStr">
        <is>
          <t>number</t>
        </is>
      </c>
      <c r="L378" s="3" t="inlineStr">
        <is>
          <t>—</t>
        </is>
      </c>
      <c r="M378" s="3" t="inlineStr">
        <is>
          <t>None found in this function — anything it assumes comes from the functions it depends on.</t>
        </is>
      </c>
      <c r="N378" s="3" t="inlineStr">
        <is>
          <t>Yes</t>
        </is>
      </c>
      <c r="O378" s="3" t="inlineStr">
        <is>
          <t>—</t>
        </is>
      </c>
      <c r="P378" s="3" t="n">
        <v>0</v>
      </c>
      <c r="Q378" s="3" t="inlineStr">
        <is>
          <t>None — no dependent function stands behind it</t>
        </is>
      </c>
      <c r="R378" s="3" t="inlineStr">
        <is>
          <t>No dependent function — it reads its inputs and answers</t>
        </is>
      </c>
      <c r="S378" s="3" t="inlineStr">
        <is>
          <t>—</t>
        </is>
      </c>
      <c r="T378" s="3" t="inlineStr">
        <is>
          <t>—</t>
        </is>
      </c>
      <c r="U378" s="3" t="inlineStr">
        <is>
          <t>ACTIVE</t>
        </is>
      </c>
      <c r="V378" s="3" t="inlineStr">
        <is>
          <t>2026-09-11</t>
        </is>
      </c>
      <c r="W378" s="3" t="n"/>
      <c r="X378" s="3" t="n"/>
      <c r="Y378" s="6" t="inlineStr">
        <is>
          <t>TESTED, NOT VERIFIED (Q06)</t>
        </is>
      </c>
    </row>
    <row r="379" ht="60" customHeight="1">
      <c r="A379" s="3" t="inlineStr">
        <is>
          <t>MK-PF-F-032</t>
        </is>
      </c>
      <c r="B379" s="3" t="inlineStr">
        <is>
          <t>quantityUnit</t>
        </is>
      </c>
      <c r="C379" s="3" t="inlineStr">
        <is>
          <t>src/domain/performance/index.ts</t>
        </is>
      </c>
      <c r="D379" s="3" t="n">
        <v>115</v>
      </c>
      <c r="E379" s="3" t="inlineStr">
        <is>
          <t>3 · DEPENDENT</t>
        </is>
      </c>
      <c r="F379" s="3" t="inlineStr">
        <is>
          <t>The unit written beside a quantity: the person's own where they entered one, otherwise coins for crypto, contracts for options, ounces for commodities and shares for everything else.</t>
        </is>
      </c>
      <c r="G379" s="11" t="inlineStr">
        <is>
          <t>unit   when unit
'coins'   when kind = 'crypto'
'contracts'   when kind = 'options'
'ounces'   when kind = 'commodities'
'shares'</t>
        </is>
      </c>
      <c r="H379" s="3" t="inlineStr">
        <is>
          <t>When unit, it answers unit. When kind = 'crypto', it answers 'coins'. When kind = 'options', it answers 'contracts'. When kind = 'commodities', it answers 'ounces'. 'shares'.</t>
        </is>
      </c>
      <c r="I379" s="3" t="inlineStr">
        <is>
          <t>READ FROM THE CODE — rendered from the expressions the function runs</t>
        </is>
      </c>
      <c r="J379" s="3" t="inlineStr">
        <is>
          <t>p: Pick&lt;Position, 'kind' | 'unit'&gt;</t>
        </is>
      </c>
      <c r="K379" s="3" t="inlineStr">
        <is>
          <t>QuantityUnit</t>
        </is>
      </c>
      <c r="L379" s="3" t="inlineStr">
        <is>
          <t>—</t>
        </is>
      </c>
      <c r="M379" s="3" t="inlineStr">
        <is>
          <t>None found in this function — anything it assumes comes from the functions it depends on.</t>
        </is>
      </c>
      <c r="N379" s="3" t="inlineStr">
        <is>
          <t>Yes</t>
        </is>
      </c>
      <c r="O379" s="3" t="inlineStr">
        <is>
          <t>—</t>
        </is>
      </c>
      <c r="P379" s="3" t="n">
        <v>0</v>
      </c>
      <c r="Q379" s="3" t="inlineStr">
        <is>
          <t>None — no dependent function stands behind it</t>
        </is>
      </c>
      <c r="R379" s="3" t="inlineStr">
        <is>
          <t>No dependent function — it reads its inputs and answers</t>
        </is>
      </c>
      <c r="S379" s="3" t="inlineStr">
        <is>
          <t>—</t>
        </is>
      </c>
      <c r="T379" s="3" t="inlineStr">
        <is>
          <t>—</t>
        </is>
      </c>
      <c r="U379" s="3" t="inlineStr">
        <is>
          <t>ACTIVE</t>
        </is>
      </c>
      <c r="V379" s="3" t="inlineStr">
        <is>
          <t>2026-09-11</t>
        </is>
      </c>
      <c r="W379" s="3" t="n"/>
      <c r="X379" s="3" t="n"/>
      <c r="Y379" s="6" t="inlineStr">
        <is>
          <t>TESTED, NOT VERIFIED (Q09)</t>
        </is>
      </c>
    </row>
    <row r="380" ht="60" customHeight="1">
      <c r="A380" s="3" t="inlineStr">
        <is>
          <t>MK-PF-F-033</t>
        </is>
      </c>
      <c r="B380" s="3" t="inlineStr">
        <is>
          <t>quantityWithUnit</t>
        </is>
      </c>
      <c r="C380" s="3" t="inlineStr">
        <is>
          <t>src/domain/performance/index.ts</t>
        </is>
      </c>
      <c r="D380" s="3" t="n">
        <v>143</v>
      </c>
      <c r="E380" s="3" t="inlineStr">
        <is>
          <t>2 · DISPLAYED</t>
        </is>
      </c>
      <c r="F380" s="3" t="inlineStr">
        <is>
          <t>"3 shares", "1 coin", "2 contracts" — the quantity printed with its unit, singular when it is one.</t>
        </is>
      </c>
      <c r="G380" s="11" t="inlineStr">
        <is>
          <t>unit = quantity unit(p)
the answer = `${format(qty)} ${qty = 1 ? unit.replace( ÷ s$ ÷ , '') : unit}`</t>
        </is>
      </c>
      <c r="H380" s="3" t="inlineStr">
        <is>
          <t>Unit is quantity unit(p). The answer is `${format(qty)} ${qty = 1 ? unit.replace( divided by s$ divided by , '') : unit}`.</t>
        </is>
      </c>
      <c r="I380" s="3" t="inlineStr">
        <is>
          <t>PARTLY READ — some of the code is still showing through; needs a hand pass</t>
        </is>
      </c>
      <c r="J380" s="3" t="inlineStr">
        <is>
          <t>1. p: Pick&lt;Position, 'kind' | 'unit'&gt;
2. qty: number
3. format: (n: number) =&gt; string = String</t>
        </is>
      </c>
      <c r="K380" s="3" t="inlineStr">
        <is>
          <t>string</t>
        </is>
      </c>
      <c r="L380" s="3" t="inlineStr">
        <is>
          <t>"Quantity" — on the Holding detail screen, under "CURRENT PRICE$"</t>
        </is>
      </c>
      <c r="M380" s="3" t="inlineStr">
        <is>
          <t>None found in this function — anything it assumes comes from the functions it depends on.</t>
        </is>
      </c>
      <c r="N380" s="3" t="inlineStr">
        <is>
          <t>Yes</t>
        </is>
      </c>
      <c r="O380" s="3" t="inlineStr">
        <is>
          <t>MK-PF-F-032 quantityUnit</t>
        </is>
      </c>
      <c r="P380" s="3" t="n">
        <v>1</v>
      </c>
      <c r="Q380" s="3" t="inlineStr">
        <is>
          <t>MK-PF-F-032 quantityUnit</t>
        </is>
      </c>
      <c r="R380" s="3" t="inlineStr">
        <is>
          <t>MK-PF-F-032 quantityUnit → MK-PF-F-033 quantityWithUnit</t>
        </is>
      </c>
      <c r="S380" s="3" t="inlineStr">
        <is>
          <t>—</t>
        </is>
      </c>
      <c r="T380" s="3" t="inlineStr">
        <is>
          <t>—</t>
        </is>
      </c>
      <c r="U380" s="3" t="inlineStr">
        <is>
          <t>ACTIVE</t>
        </is>
      </c>
      <c r="V380" s="3" t="inlineStr">
        <is>
          <t>2026-09-11</t>
        </is>
      </c>
      <c r="W380" s="3" t="n"/>
      <c r="X380" s="3" t="n"/>
      <c r="Y380" s="6" t="inlineStr">
        <is>
          <t>TESTED, NOT VERIFIED (Q09)</t>
        </is>
      </c>
    </row>
    <row r="381" ht="60" customHeight="1">
      <c r="A381" s="3" t="inlineStr">
        <is>
          <t>MK-PF-F-034</t>
        </is>
      </c>
      <c r="B381" s="3" t="inlineStr">
        <is>
          <t>closeOnOrBefore</t>
        </is>
      </c>
      <c r="C381" s="3" t="inlineStr">
        <is>
          <t>src/domain/performance/index.ts</t>
        </is>
      </c>
      <c r="D381" s="3" t="n">
        <v>526</v>
      </c>
      <c r="E381" s="3" t="inlineStr">
        <is>
          <t>3 · DEPENDENT</t>
        </is>
      </c>
      <c r="F381" s="3" t="inlineStr">
        <is>
          <t>The close ON OR BEFORE a day, with NO fallback.</t>
        </is>
      </c>
      <c r="G381" s="11" t="inlineStr">
        <is>
          <t>pts = series.points (or none when missing)
nothing   when count of pts is missing (or ! ÷ ^\d{4}-\d{2}-\d{2}$ ÷ .test(iso date) when missing or zero)
chosen = nothing
the answer = chosen</t>
        </is>
      </c>
      <c r="H381" s="3" t="inlineStr">
        <is>
          <t>Pts is series.points (or none — when missing). When how many pts is missing (or ! divided by ^\d{4}-\d{2}-\d{2}$ divided by .test(iso date) — when missing or zero) there are, it answers no answer. Chosen is no answer. The answer is chosen.</t>
        </is>
      </c>
      <c r="I381" s="3" t="inlineStr">
        <is>
          <t>PARTLY READ — some of the code is still showing through; needs a hand pass</t>
        </is>
      </c>
      <c r="J381" s="3" t="inlineStr">
        <is>
          <t>1. series: PriceSeries | null | undefined
2. isoDate: string</t>
        </is>
      </c>
      <c r="K381" s="3" t="inlineStr">
        <is>
          <t>number | null</t>
        </is>
      </c>
      <c r="L381" s="3" t="inlineStr">
        <is>
          <t>—</t>
        </is>
      </c>
      <c r="M381" s="3" t="inlineStr">
        <is>
          <t>None found in this function — anything it assumes comes from the functions it depends on.</t>
        </is>
      </c>
      <c r="N381" s="3" t="inlineStr">
        <is>
          <t>Yes</t>
        </is>
      </c>
      <c r="O381" s="3" t="inlineStr">
        <is>
          <t>—</t>
        </is>
      </c>
      <c r="P381" s="3" t="n">
        <v>0</v>
      </c>
      <c r="Q381" s="3" t="inlineStr">
        <is>
          <t>None — no dependent function stands behind it</t>
        </is>
      </c>
      <c r="R381" s="3" t="inlineStr">
        <is>
          <t>No dependent function — it reads its inputs and answers</t>
        </is>
      </c>
      <c r="S381" s="3" t="inlineStr">
        <is>
          <t>—</t>
        </is>
      </c>
      <c r="T381" s="3" t="inlineStr">
        <is>
          <t>—</t>
        </is>
      </c>
      <c r="U381" s="3" t="inlineStr">
        <is>
          <t>ACTIVE</t>
        </is>
      </c>
      <c r="V381" s="3" t="inlineStr">
        <is>
          <t>2026-09-25</t>
        </is>
      </c>
      <c r="W381" s="3" t="n"/>
      <c r="X381" s="3" t="n"/>
      <c r="Y381" s="3" t="inlineStr">
        <is>
          <t>NOTHING OPEN</t>
        </is>
      </c>
    </row>
    <row r="382" ht="60" customHeight="1">
      <c r="A382" s="3" t="inlineStr">
        <is>
          <t>MK-PL-F-001</t>
        </is>
      </c>
      <c r="B382" s="3" t="inlineStr">
        <is>
          <t>taxBucketSplit</t>
        </is>
      </c>
      <c r="C382" s="3" t="inlineStr">
        <is>
          <t>src/domain/decumulation/index.ts</t>
        </is>
      </c>
      <c r="D382" s="3" t="n">
        <v>39</v>
      </c>
      <c r="E382" s="3" t="inlineStr">
        <is>
          <t>2 · DISPLAYED</t>
        </is>
      </c>
      <c r="F382" s="3" t="inlineStr">
        <is>
          <t>How is the retirement money split by the tax that will be owed on it?</t>
        </is>
      </c>
      <c r="G382" s="11" t="inlineStr">
        <is>
          <t>s = taxable = 0
pre tax = 0
roth = 0
cash = 0
total = 0
v = earmarked amount(a)
the answer = s</t>
        </is>
      </c>
      <c r="H382" s="3" t="inlineStr">
        <is>
          <t>S is taxable = 0; pre tax = 0; roth = 0; cash = 0; total = 0. V is earmarked amount(a). The answer is s.</t>
        </is>
      </c>
      <c r="I382" s="3" t="inlineStr">
        <is>
          <t>READ FROM THE CODE — rendered from the expressions the function runs</t>
        </is>
      </c>
      <c r="J382" s="3" t="inlineStr">
        <is>
          <t>accounts: AssetAccount[]</t>
        </is>
      </c>
      <c r="K382" s="3" t="inlineStr">
        <is>
          <t>BucketSplit</t>
        </is>
      </c>
      <c r="L382"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382" s="3" t="inlineStr">
        <is>
          <t>None found in this function — anything it assumes comes from the functions it depends on.</t>
        </is>
      </c>
      <c r="N382" s="3" t="inlineStr">
        <is>
          <t>Yes</t>
        </is>
      </c>
      <c r="O382" s="3" t="inlineStr">
        <is>
          <t>MK-NW-F-032 earmarkedAmount</t>
        </is>
      </c>
      <c r="P382" s="3" t="n">
        <v>13</v>
      </c>
      <c r="Q382" s="3" t="inlineStr">
        <is>
          <t>1. MK-NW-F-032 earmarkedAmount
2. MK-NW-F-030 earmarkDefault
3. MK-NW-F-011 assetClassOf
4. MK-NW-F-008 incomeBearingClassOf
5. MK-CF-F-155 cash
6. MK-ST-F-010 nameEvidence
7. MK-XS-F-122 n
8. MK-XS-F-147 call
9. MK-ST-F-056 has
10. MK-CF-F-132 map
11. MK-ST-F-027 accountId
12. MK-XS-F-064 currentIdToken
13. MK-XS-F-112 relayUrl</t>
        </is>
      </c>
      <c r="R382" s="3" t="inlineStr">
        <is>
          <t>1. MK-CF-F-155 cash → MK-NW-F-008 incomeBearingClassOf → MK-NW-F-011 assetClassOf → MK-NW-F-030 earmarkDefault → MK-NW-F-032 earmarkedAmount → MK-PL-F-001 taxBucketSplit
2. MK-ST-F-010 nameEvidence → MK-NW-F-008 incomeBearingClassOf → MK-NW-F-011 assetClassOf → MK-NW-F-030 earmarkDefault → MK-NW-F-032 earmarkedAmount → MK-PL-F-001 taxBucketSplit</t>
        </is>
      </c>
      <c r="S382" s="3" t="inlineStr">
        <is>
          <t>—</t>
        </is>
      </c>
      <c r="T382" s="3" t="inlineStr">
        <is>
          <t>SPLIT_BY_HOW_IT_IS_TAXED</t>
        </is>
      </c>
      <c r="U382" s="3" t="inlineStr">
        <is>
          <t>ACTIVE</t>
        </is>
      </c>
      <c r="V382" s="3" t="inlineStr">
        <is>
          <t>2026-08-27</t>
        </is>
      </c>
      <c r="W382" s="3" t="n"/>
      <c r="X382" s="3" t="n"/>
      <c r="Y382" s="3" t="inlineStr">
        <is>
          <t>NOTHING OPEN</t>
        </is>
      </c>
    </row>
    <row r="383" ht="60" customHeight="1">
      <c r="A383" s="3" t="inlineStr">
        <is>
          <t>MK-PL-F-002</t>
        </is>
      </c>
      <c r="B383" s="3" t="inlineStr">
        <is>
          <t>withdrawalPlan</t>
        </is>
      </c>
      <c r="C383" s="3" t="inlineStr">
        <is>
          <t>src/domain/decumulation/index.ts</t>
        </is>
      </c>
      <c r="D383" s="3" t="n">
        <v>125</v>
      </c>
      <c r="E383" s="3" t="inlineStr">
        <is>
          <t>2 · DISPLAYED</t>
        </is>
      </c>
      <c r="F383" s="3" t="inlineStr">
        <is>
          <t>NOT DETERMINED — the code carries no note saying what this is for, and it has no row in the old inventory. Needs reading.</t>
        </is>
      </c>
      <c r="G383"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383"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383" s="3" t="inlineStr">
        <is>
          <t>READ FROM THE CODE — rendered from the expressions the function runs</t>
        </is>
      </c>
      <c r="J383" s="3" t="inlineStr">
        <is>
          <t>1. spendMonthly: number
2. guaranteedMonthly: number
3. nestEgg: number</t>
        </is>
      </c>
      <c r="K383" s="3" t="inlineStr">
        <is>
          <t>WithdrawalPlan</t>
        </is>
      </c>
      <c r="L383" s="3" t="inlineStr">
        <is>
          <t>1. "From your portfolio" — on the Retirement cockpit screen
2. "WILL YOUR MONEY LAST?" — on the Retirement cockpit screen, under "RETIREMENT
3. WHERE YOU STAND"
4. "You plan to spend" — on the Retirement cockpit screen</t>
        </is>
      </c>
      <c r="M383" s="3" t="inlineStr">
        <is>
          <t>· Turns a monthly figure into a year by multiplying by twelve.</t>
        </is>
      </c>
      <c r="N383" s="3" t="inlineStr">
        <is>
          <t>Yes</t>
        </is>
      </c>
      <c r="O383" s="3" t="inlineStr">
        <is>
          <t>—</t>
        </is>
      </c>
      <c r="P383" s="3" t="n">
        <v>0</v>
      </c>
      <c r="Q383" s="3" t="inlineStr">
        <is>
          <t>None — no dependent function stands behind it</t>
        </is>
      </c>
      <c r="R383" s="3" t="inlineStr">
        <is>
          <t>No dependent function — it reads its inputs and answers</t>
        </is>
      </c>
      <c r="S383" s="3" t="inlineStr">
        <is>
          <t>—</t>
        </is>
      </c>
      <c r="T383" s="3" t="inlineStr">
        <is>
          <t>—</t>
        </is>
      </c>
      <c r="U383" s="3" t="inlineStr">
        <is>
          <t>ACTIVE</t>
        </is>
      </c>
      <c r="V383" s="3" t="inlineStr">
        <is>
          <t>2026-09-09</t>
        </is>
      </c>
      <c r="W383" s="3" t="n"/>
      <c r="X383" s="3" t="n"/>
      <c r="Y383" s="3" t="inlineStr">
        <is>
          <t>NOTHING OPEN</t>
        </is>
      </c>
    </row>
    <row r="384" ht="60" customHeight="1">
      <c r="A384" s="3" t="inlineStr">
        <is>
          <t>MK-PL-F-003</t>
        </is>
      </c>
      <c r="B384" s="3" t="inlineStr">
        <is>
          <t>depletionAge</t>
        </is>
      </c>
      <c r="C384" s="3" t="inlineStr">
        <is>
          <t>src/domain/decumulation/index.ts</t>
        </is>
      </c>
      <c r="D384" s="3" t="n">
        <v>168</v>
      </c>
      <c r="E384" s="3" t="inlineStr">
        <is>
          <t>2 · DISPLAYED</t>
        </is>
      </c>
      <c r="F384" s="3" t="inlineStr">
        <is>
          <t>---- deterministic depletion ---- Age the portfolio runs out (deterministic), or null if it lasts to the horizon.</t>
        </is>
      </c>
      <c r="G384" s="11" t="inlineStr">
        <is>
          <t>bal = nest egg
net = net withdrawal now
rmd on = (pre tax share ?? 0) &gt; 0
pre tax bal = bal × min(1, max(0, pre tax share!))   if rmd on
0   otherwise
rate = min(0.6, max(0, rmd tax rate (or 0.22 when missing)))
growth = 1 + return rate
a + 1   when bal ≤ 0
the answer = nothing</t>
        </is>
      </c>
      <c r="H384"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384" s="3" t="inlineStr">
        <is>
          <t>PARTLY READ — some of the code is still showing through; needs a hand pass</t>
        </is>
      </c>
      <c r="J384" s="3" t="inlineStr">
        <is>
          <t>o: { age: number; horizon: number; nestEgg: number; netWithdrawalNow: number; returnRate: number; inflation: number; preTaxShare?: number; rmdTaxRate?: number }</t>
        </is>
      </c>
      <c r="K384" s="3" t="inlineStr">
        <is>
          <t>number | null</t>
        </is>
      </c>
      <c r="L384" s="3" t="inlineStr">
        <is>
          <t>NOT FOUND — a screen calls it, but the words printed beside its answer could not be traced automatically. Needs reading.</t>
        </is>
      </c>
      <c r="M384" s="3" t="inlineStr">
        <is>
          <t>1. If pre tax share is missing it uses 0.
2. If required withdrawal tax rate is missing it uses 22%.</t>
        </is>
      </c>
      <c r="N384" s="3" t="inlineStr">
        <is>
          <t>Yes</t>
        </is>
      </c>
      <c r="O384" s="3" t="inlineStr">
        <is>
          <t>1. MK-PL-F-007 rmdAtAge
2. MK-PL-F-005 rmdStartAgeFor</t>
        </is>
      </c>
      <c r="P384" s="3" t="n">
        <v>6</v>
      </c>
      <c r="Q384" s="3" t="inlineStr">
        <is>
          <t>1. MK-PL-F-007 rmdAtAge
2. MK-PL-F-005 rmdStartAgeFor
3. MK-PL-F-078 rmdDivisorAtAge
4. MK-ST-F-025 rmdStartAgeFromAge
5. MK-ST-F-024 rmdStartAge
6. MK-ST-F-056 has</t>
        </is>
      </c>
      <c r="R384" s="3" t="inlineStr">
        <is>
          <t>1. MK-PL-F-078 rmdDivisorAtAge → MK-PL-F-007 rmdAtAge → MK-PL-F-003 depletionAge
2. MK-ST-F-056 has → MK-ST-F-024 rmdStartAge → MK-ST-F-025 rmdStartAgeFromAge → MK-PL-F-005 rmdStartAgeFor → MK-PL-F-003 depletionAge</t>
        </is>
      </c>
      <c r="S384" s="3" t="inlineStr">
        <is>
          <t>—</t>
        </is>
      </c>
      <c r="T384" s="3" t="inlineStr">
        <is>
          <t>—</t>
        </is>
      </c>
      <c r="U384" s="3" t="inlineStr">
        <is>
          <t>ACTIVE</t>
        </is>
      </c>
      <c r="V384" s="3" t="inlineStr">
        <is>
          <t>2026-08-27</t>
        </is>
      </c>
      <c r="W384" s="3" t="n"/>
      <c r="X384" s="3" t="n"/>
      <c r="Y384" s="3" t="inlineStr">
        <is>
          <t>NOTHING OPEN</t>
        </is>
      </c>
    </row>
    <row r="385" ht="60" customHeight="1">
      <c r="A385" s="3" t="inlineStr">
        <is>
          <t>MK-PL-F-004</t>
        </is>
      </c>
      <c r="B385" s="3" t="inlineStr">
        <is>
          <t>withdrawalOrder</t>
        </is>
      </c>
      <c r="C385" s="3" t="inlineStr">
        <is>
          <t>src/domain/decumulation/index.ts</t>
        </is>
      </c>
      <c r="D385" s="3" t="n">
        <v>222</v>
      </c>
      <c r="E385" s="3" t="inlineStr">
        <is>
          <t>2 · DISPLAYED</t>
        </is>
      </c>
      <c r="F385" s="3" t="inlineStr">
        <is>
          <t>NOT DETERMINED — the code carries no note saying what this is for, and it has no row in the old inventory. Needs reading.</t>
        </is>
      </c>
      <c r="G385" s="11" t="inlineStr">
        <is>
          <t>steps = seq where split[bucket] &gt; 0for each of : ...each = ...each
amount = split[bucket]
pre = steps.find((s) =&gt; bucket = 'preTax')
the answer = steps</t>
        </is>
      </c>
      <c r="H385" s="3" t="inlineStr">
        <is>
          <t>Steps is seq where split[bucket] &gt; 0for each of : ...each = ...each; amount = split[bucket]. Pre is steps.find((s) =&gt; bucket = 'preTax'). The answer is steps.</t>
        </is>
      </c>
      <c r="I385" s="3" t="inlineStr">
        <is>
          <t>PARTLY READ — some of the code is still showing through; needs a hand pass</t>
        </is>
      </c>
      <c r="J385" s="3" t="inlineStr">
        <is>
          <t>1. split: BucketSplit
2. age = 0
3. userOrder?: DrawBucket[] | null</t>
        </is>
      </c>
      <c r="K385" s="3" t="inlineStr">
        <is>
          <t>OrderStep[]</t>
        </is>
      </c>
      <c r="L385" s="3" t="inlineStr">
        <is>
          <t>1. "Why this order?" — on the Cash flow screen
2. "Why? ›" — on the Cash flow screen</t>
        </is>
      </c>
      <c r="M385" s="3" t="inlineStr">
        <is>
          <t>None found in this function — anything it assumes comes from the functions it depends on.</t>
        </is>
      </c>
      <c r="N385" s="3" t="inlineStr">
        <is>
          <t>Yes</t>
        </is>
      </c>
      <c r="O385" s="3" t="inlineStr">
        <is>
          <t>1. MK-CF-F-132 map
2. MK-ST-F-039 on
3. MK-PL-F-007 rmdAtAge
4. MK-PL-F-005 rmdStartAgeFor</t>
        </is>
      </c>
      <c r="P385" s="3" t="n">
        <v>8</v>
      </c>
      <c r="Q385" s="3" t="inlineStr">
        <is>
          <t>1. MK-CF-F-132 map
2. MK-ST-F-039 on
3. MK-PL-F-007 rmdAtAge
4. MK-PL-F-005 rmdStartAgeFor
5. MK-PL-F-078 rmdDivisorAtAge
6. MK-ST-F-025 rmdStartAgeFromAge
7. MK-ST-F-024 rmdStartAge
8. MK-ST-F-056 has</t>
        </is>
      </c>
      <c r="R385"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385" s="3" t="inlineStr">
        <is>
          <t>—</t>
        </is>
      </c>
      <c r="T385" s="3" t="inlineStr">
        <is>
          <t>—</t>
        </is>
      </c>
      <c r="U385" s="3" t="inlineStr">
        <is>
          <t>ACTIVE</t>
        </is>
      </c>
      <c r="V385" s="3" t="inlineStr">
        <is>
          <t>2026-08-27</t>
        </is>
      </c>
      <c r="W385" s="3" t="n"/>
      <c r="X385" s="3" t="n"/>
      <c r="Y385" s="3" t="inlineStr">
        <is>
          <t>NOTHING OPEN</t>
        </is>
      </c>
    </row>
    <row r="386" ht="60" customHeight="1">
      <c r="A386" s="3" t="inlineStr">
        <is>
          <t>MK-PL-F-005</t>
        </is>
      </c>
      <c r="B386" s="3" t="inlineStr">
        <is>
          <t>rmdStartAgeFor</t>
        </is>
      </c>
      <c r="C386" s="3" t="inlineStr">
        <is>
          <t>src/domain/decumulation/index.ts</t>
        </is>
      </c>
      <c r="D386" s="3" t="n">
        <v>276</v>
      </c>
      <c r="E386" s="3" t="inlineStr">
        <is>
          <t>2 · DISPLAYED</t>
        </is>
      </c>
      <c r="F386" s="3" t="inlineStr">
        <is>
          <t>---- Required Minimum Distributions ---- B4 (founder brief 2026-08-20): the rule lives in ONE dated, sourced table — the Calculation Module's rmd function.</t>
        </is>
      </c>
      <c r="G386" s="11" t="inlineStr">
        <is>
          <t>73   if age = nothing
rmd start age from age(age, now year)   otherwise</t>
        </is>
      </c>
      <c r="H386" s="3" t="inlineStr">
        <is>
          <t>73 — when age is missing; rmd start age from age(age, now year) — otherwise.</t>
        </is>
      </c>
      <c r="I386" s="3" t="inlineStr">
        <is>
          <t>READ FROM THE CODE — rendered from the expressions the function runs</t>
        </is>
      </c>
      <c r="J386" s="3" t="inlineStr">
        <is>
          <t>1. age?: number | null
2. nowYear = new Date().getFullYear()</t>
        </is>
      </c>
      <c r="K386" s="3" t="inlineStr">
        <is>
          <t>number</t>
        </is>
      </c>
      <c r="L386"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386" s="3" t="inlineStr">
        <is>
          <t>· Uses today's date from the device clock, so the answer changes by itself overnight.</t>
        </is>
      </c>
      <c r="N386" s="3" t="inlineStr">
        <is>
          <t>Yes</t>
        </is>
      </c>
      <c r="O386" s="3" t="inlineStr">
        <is>
          <t>MK-ST-F-025 rmdStartAgeFromAge</t>
        </is>
      </c>
      <c r="P386" s="3" t="n">
        <v>3</v>
      </c>
      <c r="Q386" s="3" t="inlineStr">
        <is>
          <t>1. MK-ST-F-025 rmdStartAgeFromAge
2. MK-ST-F-024 rmdStartAge
3. MK-ST-F-056 has</t>
        </is>
      </c>
      <c r="R386" s="3" t="inlineStr">
        <is>
          <t>MK-ST-F-056 has → MK-ST-F-024 rmdStartAge → MK-ST-F-025 rmdStartAgeFromAge → MK-PL-F-005 rmdStartAgeFor</t>
        </is>
      </c>
      <c r="S386" s="3" t="inlineStr">
        <is>
          <t>—</t>
        </is>
      </c>
      <c r="T386" s="3" t="inlineStr">
        <is>
          <t>—</t>
        </is>
      </c>
      <c r="U386" s="3" t="inlineStr">
        <is>
          <t>ACTIVE</t>
        </is>
      </c>
      <c r="V386" s="3" t="inlineStr">
        <is>
          <t>2026-08-27</t>
        </is>
      </c>
      <c r="W386" s="3" t="n"/>
      <c r="X386" s="3" t="n"/>
      <c r="Y386" s="3" t="inlineStr">
        <is>
          <t>NOTHING OPEN</t>
        </is>
      </c>
    </row>
    <row r="387" ht="60" customHeight="1">
      <c r="A387" s="3" t="inlineStr">
        <is>
          <t>MK-PL-F-006</t>
        </is>
      </c>
      <c r="B387" s="3" t="inlineStr">
        <is>
          <t>rmdDivisor</t>
        </is>
      </c>
      <c r="C387" s="3" t="inlineStr">
        <is>
          <t>Calculation Module code/engines/rmd.ts</t>
        </is>
      </c>
      <c r="D387" s="3" t="n">
        <v>133</v>
      </c>
      <c r="E387" s="3" t="inlineStr">
        <is>
          <t>3 · DEPENDENT (feeds an action only)</t>
        </is>
      </c>
      <c r="F387" s="3" t="inlineStr">
        <is>
          <t>Divisor at an age, 0 before that person's start age.</t>
        </is>
      </c>
      <c r="G387" s="11" t="inlineStr">
        <is>
          <t>divisor(age) = 0                        when age is below the start age
               the table value at age   when the table lists that age
               straight-line between the two nearest listed ages   otherwise</t>
        </is>
      </c>
      <c r="H387"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387" s="3" t="inlineStr">
        <is>
          <t>READ BY HAND 2026-08-26 — checked line by line against the code</t>
        </is>
      </c>
      <c r="J387" s="3" t="inlineStr">
        <is>
          <t>1. age: number
2. birthYear?: number | null</t>
        </is>
      </c>
      <c r="K387" s="3" t="inlineStr">
        <is>
          <t>number</t>
        </is>
      </c>
      <c r="L387" s="3" t="inlineStr">
        <is>
          <t>—</t>
        </is>
      </c>
      <c r="M387" s="3" t="inlineStr">
        <is>
          <t>None found in this function — anything it assumes comes from the functions it depends on.</t>
        </is>
      </c>
      <c r="N387" s="3" t="inlineStr">
        <is>
          <t>No</t>
        </is>
      </c>
      <c r="O387" s="3" t="inlineStr">
        <is>
          <t>MK-ST-F-024 rmdStartAge</t>
        </is>
      </c>
      <c r="P387" s="3" t="n">
        <v>2</v>
      </c>
      <c r="Q387" s="3" t="inlineStr">
        <is>
          <t>1. MK-ST-F-024 rmdStartAge
2. MK-ST-F-056 has</t>
        </is>
      </c>
      <c r="R387" s="3" t="inlineStr">
        <is>
          <t>MK-ST-F-056 has → MK-ST-F-024 rmdStartAge → MK-PL-F-006 rmdDivisor</t>
        </is>
      </c>
      <c r="S387" s="3" t="inlineStr">
        <is>
          <t>—</t>
        </is>
      </c>
      <c r="T387" s="3" t="inlineStr">
        <is>
          <t>—</t>
        </is>
      </c>
      <c r="U387" s="3" t="inlineStr">
        <is>
          <t>ACTIVE</t>
        </is>
      </c>
      <c r="V387" s="3" t="inlineStr">
        <is>
          <t>2026-08-27</t>
        </is>
      </c>
      <c r="W387" s="3" t="n"/>
      <c r="X387" s="3" t="n"/>
      <c r="Y387" s="3" t="inlineStr">
        <is>
          <t>NOTHING OPEN</t>
        </is>
      </c>
    </row>
    <row r="388" ht="60" customHeight="1">
      <c r="A388" s="3" t="inlineStr">
        <is>
          <t>MK-PL-F-007</t>
        </is>
      </c>
      <c r="B388" s="3" t="inlineStr">
        <is>
          <t>rmdAtAge</t>
        </is>
      </c>
      <c r="C388" s="3" t="inlineStr">
        <is>
          <t>src/domain/decumulation/index.ts</t>
        </is>
      </c>
      <c r="D388" s="3" t="n">
        <v>334</v>
      </c>
      <c r="E388" s="3" t="inlineStr">
        <is>
          <t>2 · DISPLAYED</t>
        </is>
      </c>
      <c r="F388" s="3" t="inlineStr">
        <is>
          <t>Required minimum distribution from pre-tax balances at a given age (0 before the start age).</t>
        </is>
      </c>
      <c r="G388" s="11" t="inlineStr">
        <is>
          <t>required withdrawal = round(pre-tax balance ÷ divisor(age), 2 dp)
                    = 0   when the divisor is 0</t>
        </is>
      </c>
      <c r="H388"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388" s="3" t="inlineStr">
        <is>
          <t>READ BY HAND 2026-08-26 — checked line by line against the code</t>
        </is>
      </c>
      <c r="J388" s="3" t="inlineStr">
        <is>
          <t>1. preTaxBalance: number
2. age: number</t>
        </is>
      </c>
      <c r="K388" s="3" t="inlineStr">
        <is>
          <t>number</t>
        </is>
      </c>
      <c r="L388"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388"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388" s="3" t="inlineStr">
        <is>
          <t>Yes</t>
        </is>
      </c>
      <c r="O388" s="3" t="inlineStr">
        <is>
          <t>MK-PL-F-078 rmdDivisorAtAge</t>
        </is>
      </c>
      <c r="P388" s="3" t="n">
        <v>1</v>
      </c>
      <c r="Q388" s="3" t="inlineStr">
        <is>
          <t>MK-PL-F-078 rmdDivisorAtAge</t>
        </is>
      </c>
      <c r="R388" s="3" t="inlineStr">
        <is>
          <t>MK-PL-F-078 rmdDivisorAtAge → MK-PL-F-007 rmdAtAge</t>
        </is>
      </c>
      <c r="S388" s="3" t="inlineStr">
        <is>
          <t>—</t>
        </is>
      </c>
      <c r="T388" s="3" t="inlineStr">
        <is>
          <t>—</t>
        </is>
      </c>
      <c r="U388" s="3" t="inlineStr">
        <is>
          <t>ACTIVE</t>
        </is>
      </c>
      <c r="V388" s="3" t="inlineStr">
        <is>
          <t>2026-08-27</t>
        </is>
      </c>
      <c r="W388" s="3" t="n"/>
      <c r="X388" s="3" t="n"/>
      <c r="Y388" s="3" t="inlineStr">
        <is>
          <t>NOTHING OPEN</t>
        </is>
      </c>
    </row>
    <row r="389" ht="60" customHeight="1">
      <c r="A389" s="3" t="inlineStr">
        <is>
          <t>MK-PL-F-008</t>
        </is>
      </c>
      <c r="B389" s="3" t="inlineStr">
        <is>
          <t>rmdSchedule</t>
        </is>
      </c>
      <c r="C389" s="3" t="inlineStr">
        <is>
          <t>src/domain/decumulation/index.ts</t>
        </is>
      </c>
      <c r="D389" s="3" t="n">
        <v>415</v>
      </c>
      <c r="E389" s="3" t="inlineStr">
        <is>
          <t>2 · DISPLAYED</t>
        </is>
      </c>
      <c r="F389" s="3" t="inlineStr">
        <is>
          <t>Year-by-year mandated-withdrawal schedule (ESTIMATES: future balances move with returns).</t>
        </is>
      </c>
      <c r="G389" s="11" t="inlineStr">
        <is>
          <t>rows = []
rows   when pre tax now ≤ 0
start age = max(rmd start age for(age now, now year), age now)
bal = pre tax now
r = max(0, exp return (or 0 when missing or zero))
age = start age + i
amount = rmd at age(bal, age)
the answer = rows</t>
        </is>
      </c>
      <c r="H389"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389" s="3" t="inlineStr">
        <is>
          <t>READ FROM THE CODE — rendered from the expressions the function runs</t>
        </is>
      </c>
      <c r="J389" s="3" t="inlineStr">
        <is>
          <t>1. preTaxNow: number
2. ageNow: number
3. expReturn: number
4. years = 15
5. nowYear = new Date().getFullYear()</t>
        </is>
      </c>
      <c r="K389" s="3" t="inlineStr">
        <is>
          <t>RmdYearRow[]</t>
        </is>
      </c>
      <c r="L389" s="3" t="inlineStr">
        <is>
          <t>NOT FOUND — a screen calls it, but the words printed beside its answer could not be traced automatically. Needs reading.</t>
        </is>
      </c>
      <c r="M389" s="3" t="inlineStr">
        <is>
          <t>1. If exp return is missing it counts as zero, so nothing recorded and a real zero look the same.
2. Uses today's date from the device clock, so the answer changes by itself overnight.
3. Rounds the answer to a whole number.</t>
        </is>
      </c>
      <c r="N389" s="3" t="inlineStr">
        <is>
          <t>Yes</t>
        </is>
      </c>
      <c r="O389" s="3" t="inlineStr">
        <is>
          <t>1. MK-PL-F-077 clamp
2. MK-PL-F-054 growOneYear
3. MK-PL-F-007 rmdAtAge
4. MK-PL-F-078 rmdDivisorAtAge
5. MK-PL-F-005 rmdStartAgeFor</t>
        </is>
      </c>
      <c r="P389" s="3" t="n">
        <v>39</v>
      </c>
      <c r="Q389" s="3" t="inlineStr">
        <is>
          <t>1. MK-PL-F-077 clamp
2. MK-PL-F-054 growOneYear
3. MK-PL-F-007 rmdAtAge
4. MK-PL-F-078 rmdDivisorAtAge
5. MK-PL-F-005 rmdStartAgeFor
6. MK-NW-F-035 blendedVolatility
7. MK-ST-F-025 rmdStartAgeFromAge
8. MK-CF-F-155 cash
9. MK-NW-F-032 earmarkedAmount
10. MK-NW-F-031 primaryCarIdOf
11. MK-NW-F-110 primaryHomeIdOf
12. MK-ST-F-024 rmdStartAge
13. MK-XS-F-122 n
14. MK-NW-F-030 earmarkDefault
15. MK-NW-F-117 propertyUseMap
16. MK-ST-F-056 has
17. MK-NW-F-011 assetClassOf
18. MK-NW-F-115 liveRent
19. MK-NW-F-116 rentedIdsOf
20. MK-NW-F-008 incomeBearingClassOf
21. MK-CF-O-002 expenses
22. MK-NW-F-114 rentAmount
23. MK-CF-F-132 map
24. MK-ST-F-010 nameEvidence
25. MK-CF-F-151 actualSpending
26. MK-CF-F-150 debtPaymentsCountedAsExpenses
27. MK-CF-F-153 radar
28. MK-CF-F-149 recurringDebtPayments
29. MK-XS-F-147 call
30. MK-CF-F-148 inMonth
31. MK-ST-F-052 toNum
32. MK-CF-F-191 ym
33. MK-CF-F-022 paymentShape
34. MK-CF-F-152 isRadarItem
35. MK-CF-F-023 requiredPayment
36. MK-ST-F-027 accountId
37. MK-XS-F-064 currentIdToken
38. MK-XS-F-112 relayUrl
39. MK-CF-F-021 defaultPaymentType</t>
        </is>
      </c>
      <c r="R389" s="3" t="inlineStr">
        <is>
          <t>1. MK-XS-F-122 n → MK-CF-F-155 cash → MK-NW-F-035 blendedVolatility → MK-PL-F-077 clamp → MK-PL-F-008 rmdSchedule
2. MK-NW-F-011 assetClassOf → MK-NW-F-030 earmarkDefault → MK-NW-F-032 earmarkedAmount → MK-NW-F-035 blendedVolatility → MK-PL-F-077 clamp → MK-PL-F-008 rmdSchedule
3. MK-NW-F-031 primaryCarIdOf → MK-NW-F-035 blendedVolatility → MK-PL-F-077 clamp → MK-PL-F-008 rmdSchedule
4. MK-NW-F-011 assetClassOf → MK-NW-F-030 earmarkDefault → MK-NW-F-110 primaryHomeIdOf → MK-NW-F-035 blendedVolatility → MK-PL-F-077 clamp → MK-PL-F-008 rmdSchedule
5. MK-NW-F-011 assetClassOf → MK-NW-F-117 propertyUseMap → MK-NW-F-110 primaryHomeIdOf → MK-NW-F-035 blendedVolatility → MK-PL-F-077 clamp → MK-PL-F-008 rmdSchedule
6. MK-ST-F-056 has → MK-NW-F-117 propertyUseMap → MK-NW-F-110 primaryHomeIdOf → MK-NW-F-035 blendedVolatility → MK-PL-F-077 clamp → MK-PL-F-008 rmdSchedule
7. MK-NW-F-115 liveRent → MK-NW-F-117 propertyUseMap → MK-NW-F-110 primaryHomeIdOf → MK-NW-F-035 blendedVolatility → MK-PL-F-077 clamp → MK-PL-F-008 rmdSchedule
8. MK-NW-F-116 rentedIdsOf → MK-NW-F-117 propertyUseMap → MK-NW-F-110 primaryHomeIdOf → MK-NW-F-035 blendedVolatility → MK-PL-F-077 clamp → MK-PL-F-008 rmdSchedule
9. … and 4 more paths</t>
        </is>
      </c>
      <c r="S389" s="3" t="inlineStr">
        <is>
          <t>—</t>
        </is>
      </c>
      <c r="T389" s="3" t="inlineStr">
        <is>
          <t>—</t>
        </is>
      </c>
      <c r="U389" s="3" t="inlineStr">
        <is>
          <t>ACTIVE</t>
        </is>
      </c>
      <c r="V389" s="3" t="inlineStr">
        <is>
          <t>2026-08-27</t>
        </is>
      </c>
      <c r="W389" s="3" t="n"/>
      <c r="X389" s="3" t="n"/>
      <c r="Y389" s="3" t="inlineStr">
        <is>
          <t>NOTHING OPEN</t>
        </is>
      </c>
    </row>
    <row r="390" ht="60" customHeight="1">
      <c r="A390" s="3" t="inlineStr">
        <is>
          <t>MK-PL-F-009</t>
        </is>
      </c>
      <c r="B390" s="3" t="inlineStr">
        <is>
          <t>rmdTakenThisYear</t>
        </is>
      </c>
      <c r="C390" s="3" t="inlineStr">
        <is>
          <t>src/domain/decumulation/index.ts</t>
        </is>
      </c>
      <c r="D390" s="3" t="n">
        <v>460</v>
      </c>
      <c r="E390" s="3" t="inlineStr">
        <is>
          <t>2 · DISPLAYED</t>
        </is>
      </c>
      <c r="F390" s="3" t="inlineStr">
        <is>
          <t>Withdrawals already taken THIS year from the pre-tax accounts (the one ledger — no side lists).</t>
        </is>
      </c>
      <c r="G390" s="11" t="inlineStr">
        <is>
          <t>ids = a list with no repeats of for each of pre tax account ids: string</t>
        </is>
      </c>
      <c r="H390" s="3" t="inlineStr">
        <is>
          <t>Ids is a list with no repeats of for each of pre tax account ids: string.</t>
        </is>
      </c>
      <c r="I390" s="3" t="inlineStr">
        <is>
          <t>READ FROM THE CODE — rendered from the expressions the function runs</t>
        </is>
      </c>
      <c r="J390" s="3" t="inlineStr">
        <is>
          <t>1. transactions: { type?: string; account_id?: string; amount?: number; date?: string }[]
2. preTaxAccountIds: string[]
3. nowYear = new Date().getFullYear()</t>
        </is>
      </c>
      <c r="K390" s="3" t="inlineStr">
        <is>
          <t>number</t>
        </is>
      </c>
      <c r="L390" s="3" t="inlineStr">
        <is>
          <t>NOT FOUND — a screen calls it, but the words printed beside its answer could not be traced automatically. Needs reading.</t>
        </is>
      </c>
      <c r="M390" s="3" t="inlineStr">
        <is>
          <t>1. If amount is missing it counts as zero, so nothing recorded and a real zero look the same.
2. Uses today's date from the device clock, so the answer changes by itself overnight.</t>
        </is>
      </c>
      <c r="N390" s="3" t="inlineStr">
        <is>
          <t>Yes</t>
        </is>
      </c>
      <c r="O390" s="3" t="inlineStr">
        <is>
          <t>1. MK-ST-F-056 has
2. MK-CF-F-132 map</t>
        </is>
      </c>
      <c r="P390" s="3" t="n">
        <v>2</v>
      </c>
      <c r="Q390" s="3" t="inlineStr">
        <is>
          <t>1. MK-ST-F-056 has
2. MK-CF-F-132 map</t>
        </is>
      </c>
      <c r="R390" s="3" t="inlineStr">
        <is>
          <t>1. MK-ST-F-056 has → MK-PL-F-009 rmdTakenThisYear
2. MK-CF-F-132 map → MK-PL-F-009 rmdTakenThisYear</t>
        </is>
      </c>
      <c r="S390" s="3" t="inlineStr">
        <is>
          <t>—</t>
        </is>
      </c>
      <c r="T390" s="3" t="inlineStr">
        <is>
          <t>—</t>
        </is>
      </c>
      <c r="U390" s="3" t="inlineStr">
        <is>
          <t>ACTIVE</t>
        </is>
      </c>
      <c r="V390" s="3" t="inlineStr">
        <is>
          <t>2026-08-27</t>
        </is>
      </c>
      <c r="W390" s="3" t="n"/>
      <c r="X390" s="3" t="n"/>
      <c r="Y390" s="3" t="inlineStr">
        <is>
          <t>NOTHING OPEN</t>
        </is>
      </c>
    </row>
    <row r="391" ht="60" customHeight="1">
      <c r="A391" s="3" t="inlineStr">
        <is>
          <t>MK-PL-F-010</t>
        </is>
      </c>
      <c r="B391" s="3" t="inlineStr">
        <is>
          <t>drawOrderOutcome</t>
        </is>
      </c>
      <c r="C391" s="3" t="inlineStr">
        <is>
          <t>src/domain/decumulation/index.ts</t>
        </is>
      </c>
      <c r="D391" s="3" t="n">
        <v>509</v>
      </c>
      <c r="E391" s="3" t="inlineStr">
        <is>
          <t>2 · DISPLAYED</t>
        </is>
      </c>
      <c r="F391" s="3" t="inlineStr">
        <is>
          <t>If the draw came from the accounts in this order, how long would the money last and what tax would it cost?</t>
        </is>
      </c>
      <c r="G391"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391"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391" s="3" t="inlineStr">
        <is>
          <t>READ BY HAND 2026-08-26 — checked line by line against the code</t>
        </is>
      </c>
      <c r="J391" s="3" t="inlineStr">
        <is>
          <t>Nothing is handed to it</t>
        </is>
      </c>
      <c r="K391" s="3" t="inlineStr">
        <is>
          <t>NOT DECLARED — the code does not say what it gives back</t>
        </is>
      </c>
      <c r="L391" s="3" t="inlineStr">
        <is>
          <t>NOT FOUND — a screen calls it, but the words printed beside its answer could not be traced automatically. Needs reading.</t>
        </is>
      </c>
      <c r="M391"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391" s="3" t="inlineStr">
        <is>
          <t>Yes</t>
        </is>
      </c>
      <c r="O391" s="3" t="inlineStr">
        <is>
          <t>1. MK-CF-F-155 cash
2. MK-PL-F-007 rmdAtAge
3. MK-PL-F-005 rmdStartAgeFor</t>
        </is>
      </c>
      <c r="P391" s="3" t="n">
        <v>8</v>
      </c>
      <c r="Q391" s="3" t="inlineStr">
        <is>
          <t>1. MK-CF-F-155 cash
2. MK-PL-F-007 rmdAtAge
3. MK-PL-F-005 rmdStartAgeFor
4. MK-XS-F-122 n
5. MK-PL-F-078 rmdDivisorAtAge
6. MK-ST-F-025 rmdStartAgeFromAge
7. MK-ST-F-024 rmdStartAge
8. MK-ST-F-056 has</t>
        </is>
      </c>
      <c r="R391" s="3" t="inlineStr">
        <is>
          <t>1. MK-XS-F-122 n → MK-CF-F-155 cash → MK-PL-F-010 drawOrderOutcome
2. MK-PL-F-078 rmdDivisorAtAge → MK-PL-F-007 rmdAtAge → MK-PL-F-010 drawOrderOutcome
3. MK-ST-F-056 has → MK-ST-F-024 rmdStartAge → MK-ST-F-025 rmdStartAgeFromAge → MK-PL-F-005 rmdStartAgeFor → MK-PL-F-010 drawOrderOutcome</t>
        </is>
      </c>
      <c r="S391" s="3" t="inlineStr">
        <is>
          <t>—</t>
        </is>
      </c>
      <c r="T391" s="3" t="inlineStr">
        <is>
          <t>—</t>
        </is>
      </c>
      <c r="U391" s="3" t="inlineStr">
        <is>
          <t>ACTIVE</t>
        </is>
      </c>
      <c r="V391" s="3" t="inlineStr">
        <is>
          <t>2026-09-12</t>
        </is>
      </c>
      <c r="W391" s="3" t="n"/>
      <c r="X391" s="3" t="n"/>
      <c r="Y391" s="6" t="inlineStr">
        <is>
          <t>TESTED, NOT VERIFIED (G6)</t>
        </is>
      </c>
    </row>
    <row r="392" ht="60" customHeight="1">
      <c r="A392" s="3" t="inlineStr">
        <is>
          <t>MK-PL-F-011</t>
        </is>
      </c>
      <c r="B392" s="3" t="inlineStr">
        <is>
          <t>buildGoalsState</t>
        </is>
      </c>
      <c r="C392" s="3" t="inlineStr">
        <is>
          <t>src/domain/goals/index.ts</t>
        </is>
      </c>
      <c r="D392" s="3" t="n">
        <v>45</v>
      </c>
      <c r="E392" s="3" t="inlineStr">
        <is>
          <t>3 · DEPENDENT</t>
        </is>
      </c>
      <c r="F392" s="3" t="inlineStr">
        <is>
          <t>Months to reach each goal at the given monthly savings capacity.</t>
        </is>
      </c>
      <c r="G392" s="11" t="inlineStr">
        <is>
          <t>user id = uid
goals = progress
monthly capacity = monthly capacity</t>
        </is>
      </c>
      <c r="H392" s="3" t="inlineStr">
        <is>
          <t>user id = uid; goals = progress; monthly capacity = monthly capacity.</t>
        </is>
      </c>
      <c r="I392" s="3" t="inlineStr">
        <is>
          <t>READ FROM THE CODE — rendered from the expressions the function runs</t>
        </is>
      </c>
      <c r="J392" s="3" t="inlineStr">
        <is>
          <t>1. uid: UserId
2. goals: Goal[]
3. monthlyCapacity: number</t>
        </is>
      </c>
      <c r="K392" s="3" t="inlineStr">
        <is>
          <t>GoalsState</t>
        </is>
      </c>
      <c r="L392" s="3" t="inlineStr">
        <is>
          <t>—</t>
        </is>
      </c>
      <c r="M392" s="3" t="inlineStr">
        <is>
          <t>None found in this function — anything it assumes comes from the functions it depends on.</t>
        </is>
      </c>
      <c r="N392" s="3" t="inlineStr">
        <is>
          <t>Yes</t>
        </is>
      </c>
      <c r="O392" s="3" t="inlineStr">
        <is>
          <t>1. MK-CF-F-132 map
2. MK-XS-F-175 uid
3. MK-PL-F-012 waterfall</t>
        </is>
      </c>
      <c r="P392" s="3" t="n">
        <v>84</v>
      </c>
      <c r="Q392" s="3" t="inlineStr">
        <is>
          <t>1. MK-CF-F-132 map
2. MK-XS-F-175 uid
3. MK-PL-F-012 waterfall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392"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392" s="3" t="inlineStr">
        <is>
          <t>—</t>
        </is>
      </c>
      <c r="T392" s="3" t="inlineStr">
        <is>
          <t>—</t>
        </is>
      </c>
      <c r="U392" s="3" t="inlineStr">
        <is>
          <t>ACTIVE</t>
        </is>
      </c>
      <c r="V392" s="3" t="inlineStr">
        <is>
          <t>2026-09-09</t>
        </is>
      </c>
      <c r="W392" s="3" t="n"/>
      <c r="X392" s="3" t="n"/>
      <c r="Y392" s="3" t="inlineStr">
        <is>
          <t>NOTHING OPEN</t>
        </is>
      </c>
    </row>
    <row r="393" ht="60" customHeight="1">
      <c r="A393" s="3" t="inlineStr">
        <is>
          <t>MK-PL-F-012</t>
        </is>
      </c>
      <c r="B393" s="3" t="inlineStr">
        <is>
          <t>waterfall</t>
        </is>
      </c>
      <c r="C393" s="3" t="inlineStr">
        <is>
          <t>src/domain/goals/index.ts</t>
        </is>
      </c>
      <c r="D393" s="3" t="n">
        <v>94</v>
      </c>
      <c r="E393" s="3" t="inlineStr">
        <is>
          <t>3 · DEPENDENT</t>
        </is>
      </c>
      <c r="F393" s="3" t="inlineStr">
        <is>
          <t>NOT DETERMINED — the code carries no note saying what this is for, and it has no row in the old inventory. Needs reading.</t>
        </is>
      </c>
      <c r="G393" s="11" t="inlineStr">
        <is>
          <t>left = max(0, surplus)
steps = []
a = min(left, max(0, need)); left -= a; steps.push({ name, allocated: (a) })
the answer = steps</t>
        </is>
      </c>
      <c r="H393" s="3" t="inlineStr">
        <is>
          <t>Left is surplus, never below zero. Steps is []. A: the smaller of left and need, never below zero; left -= a; steps.push({ name, allocated: (a) }). The answer is steps.</t>
        </is>
      </c>
      <c r="I393" s="3" t="inlineStr">
        <is>
          <t>PARTLY READ — some of the code is still showing through; needs a hand pass</t>
        </is>
      </c>
      <c r="J393" s="3" t="inlineStr">
        <is>
          <t>Nothing is handed to it</t>
        </is>
      </c>
      <c r="K393" s="3" t="inlineStr">
        <is>
          <t>NOT DECLARED — the code does not say what it gives back</t>
        </is>
      </c>
      <c r="L393" s="3" t="inlineStr">
        <is>
          <t>—</t>
        </is>
      </c>
      <c r="M393" s="3" t="inlineStr">
        <is>
          <t>1. If emergency gap is missing it uses 0.
2. If toxic debt is missing it uses 0.
3. If employer match monthly is missing it uses 0.
4. Never lets surplus fall below 0.
5. Never lets need fall below 0.</t>
        </is>
      </c>
      <c r="N393" s="3" t="inlineStr">
        <is>
          <t>Yes</t>
        </is>
      </c>
      <c r="O393" s="3" t="inlineStr">
        <is>
          <t>—</t>
        </is>
      </c>
      <c r="P393" s="3" t="n">
        <v>0</v>
      </c>
      <c r="Q393" s="3" t="inlineStr">
        <is>
          <t>None — no dependent function stands behind it</t>
        </is>
      </c>
      <c r="R393" s="3" t="inlineStr">
        <is>
          <t>No dependent function — it reads its inputs and answers</t>
        </is>
      </c>
      <c r="S393" s="3" t="inlineStr">
        <is>
          <t>—</t>
        </is>
      </c>
      <c r="T393" s="3" t="inlineStr">
        <is>
          <t>—</t>
        </is>
      </c>
      <c r="U393" s="3" t="inlineStr">
        <is>
          <t>ACTIVE</t>
        </is>
      </c>
      <c r="V393" s="3" t="inlineStr">
        <is>
          <t>2026-09-09</t>
        </is>
      </c>
      <c r="W393" s="3" t="n"/>
      <c r="X393" s="3" t="n"/>
      <c r="Y393" s="3" t="inlineStr">
        <is>
          <t>NOTHING OPEN</t>
        </is>
      </c>
    </row>
    <row r="394" ht="60" customHeight="1">
      <c r="A394" s="3" t="inlineStr">
        <is>
          <t>MK-PL-F-013</t>
        </is>
      </c>
      <c r="B394" s="3" t="inlineStr">
        <is>
          <t>goalsFromOnboarding</t>
        </is>
      </c>
      <c r="C394" s="3" t="inlineStr">
        <is>
          <t>src/domain/goals/index.ts</t>
        </is>
      </c>
      <c r="D394" s="3" t="n">
        <v>143</v>
      </c>
      <c r="E394" s="3" t="inlineStr">
        <is>
          <t>3 · DEPENDENT</t>
        </is>
      </c>
      <c r="F394" s="3" t="inlineStr">
        <is>
          <t>NOT DETERMINED — the code carries no note saying what this is for, and it has no row in the old inventory. Needs reading.</t>
        </is>
      </c>
      <c r="G394" s="11" t="inlineStr">
        <is>
          <t>a = op (or none when missing)
raw = goals   if array.is array(goals)
[]   otherwise
the answer:
user id = uid
goals = goals</t>
        </is>
      </c>
      <c r="H394" s="3" t="inlineStr">
        <is>
          <t>A is op (or none — when missing). Raw is goals — when array.is array(goals); [] — otherwise. The answer is user id = uid; goals = goals.</t>
        </is>
      </c>
      <c r="I394" s="3" t="inlineStr">
        <is>
          <t>PARTLY READ — some of the code is still showing through; needs a hand pass</t>
        </is>
      </c>
      <c r="J394" s="3" t="inlineStr">
        <is>
          <t>1. uid: UserId
2. op: Record&lt;string, any&gt; | null</t>
        </is>
      </c>
      <c r="K394" s="3" t="inlineStr">
        <is>
          <t>GoalsDoc</t>
        </is>
      </c>
      <c r="L394" s="3" t="inlineStr">
        <is>
          <t>—</t>
        </is>
      </c>
      <c r="M394" s="3" t="inlineStr">
        <is>
          <t>None found in this function — anything it assumes comes from the functions it depends on.</t>
        </is>
      </c>
      <c r="N394" s="3" t="inlineStr">
        <is>
          <t>Yes</t>
        </is>
      </c>
      <c r="O394" s="3" t="inlineStr">
        <is>
          <t>1. MK-CF-F-132 map
2. MK-ST-F-043 newEntityId
3. MK-ST-F-052 toNum
4. MK-XS-F-175 uid</t>
        </is>
      </c>
      <c r="P394" s="3" t="n">
        <v>82</v>
      </c>
      <c r="Q394"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MK-ST-F-056 has
18. MK-CF-F-116 inverseOf
19. MK-ST-F-065 isoLocalDate
20. MK-CF-F-112 makeTransaction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MK-NW-F-011 assetClassOf
76. MK-XS-F-147 call
77. MK-CF-F-075 retirementIncomeMonthly
78. MK-ST-F-047 activeCurrency
79. MK-CF-F-099 deductionFor
80. MK-XS-F-064 currentIdToken
81. MK-XS-F-112 relayUrl
82. MK-CF-F-187 seniorDeductionFor</t>
        </is>
      </c>
      <c r="R394"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394" s="3" t="inlineStr">
        <is>
          <t>—</t>
        </is>
      </c>
      <c r="T394" s="3" t="inlineStr">
        <is>
          <t>—</t>
        </is>
      </c>
      <c r="U394" s="3" t="inlineStr">
        <is>
          <t>ACTIVE</t>
        </is>
      </c>
      <c r="V394" s="3" t="inlineStr">
        <is>
          <t>2026-08-27</t>
        </is>
      </c>
      <c r="W394" s="3" t="n"/>
      <c r="X394" s="3" t="n"/>
      <c r="Y394" s="3" t="inlineStr">
        <is>
          <t>NOTHING OPEN</t>
        </is>
      </c>
    </row>
    <row r="395" ht="60" customHeight="1">
      <c r="A395" s="3" t="inlineStr">
        <is>
          <t>MK-PL-F-014</t>
        </is>
      </c>
      <c r="B395" s="3" t="inlineStr">
        <is>
          <t>loadGoals</t>
        </is>
      </c>
      <c r="C395" s="3" t="inlineStr">
        <is>
          <t>src/domain/goals/index.ts</t>
        </is>
      </c>
      <c r="D395" s="3" t="n">
        <v>171</v>
      </c>
      <c r="E395" s="3" t="inlineStr">
        <is>
          <t>3 · DEPENDENT (feeds an action only)</t>
        </is>
      </c>
      <c r="F395" s="3" t="inlineStr">
        <is>
          <t>NOT DETERMINED — the code carries no note saying what this is for, and it has no row in the old inventory. Needs reading.</t>
        </is>
      </c>
      <c r="G395" s="11" t="inlineStr">
        <is>
          <t>It reaches outside the app for data and hands back what came back — no arithmetic of its own.</t>
        </is>
      </c>
      <c r="H395" s="3" t="inlineStr">
        <is>
          <t>It reaches outside the app for data and hands back what came back — no arithmetic of its own.</t>
        </is>
      </c>
      <c r="I395" s="3" t="inlineStr">
        <is>
          <t>NO ARITHMETIC — there is no formula to state</t>
        </is>
      </c>
      <c r="J395" s="3" t="inlineStr">
        <is>
          <t>uid: UserId</t>
        </is>
      </c>
      <c r="K395" s="3" t="inlineStr">
        <is>
          <t>NOT DECLARED — the code does not say what it gives back</t>
        </is>
      </c>
      <c r="L395" s="3" t="inlineStr">
        <is>
          <t>—</t>
        </is>
      </c>
      <c r="M395" s="3" t="inlineStr">
        <is>
          <t>None found in this function — anything it assumes comes from the functions it depends on.</t>
        </is>
      </c>
      <c r="N395" s="3" t="inlineStr">
        <is>
          <t>No</t>
        </is>
      </c>
      <c r="O395" s="3" t="inlineStr">
        <is>
          <t>MK-XS-F-175 uid</t>
        </is>
      </c>
      <c r="P395" s="3" t="n">
        <v>83</v>
      </c>
      <c r="Q395"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395"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395" s="3" t="inlineStr">
        <is>
          <t>—</t>
        </is>
      </c>
      <c r="T395" s="3" t="inlineStr">
        <is>
          <t>—</t>
        </is>
      </c>
      <c r="U395" s="3" t="inlineStr">
        <is>
          <t>ACTIVE</t>
        </is>
      </c>
      <c r="V395" s="3" t="inlineStr">
        <is>
          <t>2026-08-27</t>
        </is>
      </c>
      <c r="W395" s="3" t="n"/>
      <c r="X395" s="3" t="n"/>
      <c r="Y395" s="3" t="inlineStr">
        <is>
          <t>NOTHING OPEN</t>
        </is>
      </c>
    </row>
    <row r="396" ht="60" customHeight="1">
      <c r="A396" s="3" t="inlineStr">
        <is>
          <t>MK-PL-F-015</t>
        </is>
      </c>
      <c r="B396" s="3" t="inlineStr">
        <is>
          <t>saveGoals</t>
        </is>
      </c>
      <c r="C396" s="3" t="inlineStr">
        <is>
          <t>src/domain/goals/index.ts</t>
        </is>
      </c>
      <c r="D396" s="3" t="n">
        <v>187</v>
      </c>
      <c r="E396" s="3" t="inlineStr">
        <is>
          <t>1 · ACTION</t>
        </is>
      </c>
      <c r="F396" s="3" t="inlineStr">
        <is>
          <t>NOT DETERMINED — the code carries no note saying what this is for, and it has no row in the old inventory. Needs reading.</t>
        </is>
      </c>
      <c r="G396" s="11" t="inlineStr">
        <is>
          <t>It records or announces something and returns no figure — no arithmetic of its own.</t>
        </is>
      </c>
      <c r="H396" s="3" t="inlineStr">
        <is>
          <t>It records or announces something and returns no figure — no arithmetic of its own.</t>
        </is>
      </c>
      <c r="I396" s="3" t="inlineStr">
        <is>
          <t>NO ARITHMETIC — there is no formula to state</t>
        </is>
      </c>
      <c r="J396" s="3" t="inlineStr">
        <is>
          <t>d: GoalsDoc</t>
        </is>
      </c>
      <c r="K396" s="3" t="inlineStr">
        <is>
          <t>NOT DECLARED — the code does not say what it gives back</t>
        </is>
      </c>
      <c r="L396" s="3" t="inlineStr">
        <is>
          <t>—</t>
        </is>
      </c>
      <c r="M396" s="3" t="inlineStr">
        <is>
          <t>None found in this function — anything it assumes comes from the functions it depends on.</t>
        </is>
      </c>
      <c r="N396" s="3" t="inlineStr">
        <is>
          <t>No</t>
        </is>
      </c>
      <c r="O396" s="3" t="inlineStr">
        <is>
          <t>MK-ST-F-042 setUserDoc</t>
        </is>
      </c>
      <c r="P396" s="3" t="n">
        <v>84</v>
      </c>
      <c r="Q396"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396"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396" s="3" t="inlineStr">
        <is>
          <t>—</t>
        </is>
      </c>
      <c r="T396" s="3" t="inlineStr">
        <is>
          <t>—</t>
        </is>
      </c>
      <c r="U396" s="3" t="inlineStr">
        <is>
          <t>ACTIVE</t>
        </is>
      </c>
      <c r="V396" s="3" t="inlineStr">
        <is>
          <t>2026-08-27</t>
        </is>
      </c>
      <c r="W396" s="3" t="n"/>
      <c r="X396" s="3" t="n"/>
      <c r="Y396" s="3" t="inlineStr">
        <is>
          <t>NOTHING OPEN</t>
        </is>
      </c>
    </row>
    <row r="397" ht="60" customHeight="1">
      <c r="A397" s="3" t="inlineStr">
        <is>
          <t>MK-PL-F-016</t>
        </is>
      </c>
      <c r="B397" s="3" t="inlineStr">
        <is>
          <t>availableToSaveSummary</t>
        </is>
      </c>
      <c r="C397" s="3" t="inlineStr">
        <is>
          <t>src/domain/goals/index.ts</t>
        </is>
      </c>
      <c r="D397" s="3" t="n">
        <v>222</v>
      </c>
      <c r="E397" s="3" t="inlineStr">
        <is>
          <t>2 · DISPLAYED</t>
        </is>
      </c>
      <c r="F397" s="3" t="inlineStr">
        <is>
          <t>Summarize per-month available-to-save from a 12-month cash-flow grid.</t>
        </is>
      </c>
      <c r="G397"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397"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397" s="3" t="inlineStr">
        <is>
          <t>READ FROM THE CODE — rendered from the expressions the function runs</t>
        </is>
      </c>
      <c r="J397" s="3" t="inlineStr">
        <is>
          <t>grid: { label: string; amount: number }[]</t>
        </is>
      </c>
      <c r="K397" s="3" t="inlineStr">
        <is>
          <t>SaveCapacity</t>
        </is>
      </c>
      <c r="L397" s="3" t="inlineStr">
        <is>
          <t>"Plan" — on the Goals screen</t>
        </is>
      </c>
      <c r="M397" s="3" t="inlineStr">
        <is>
          <t>· Applies a built-in rate of 25% to avg.</t>
        </is>
      </c>
      <c r="N397" s="3" t="inlineStr">
        <is>
          <t>Yes</t>
        </is>
      </c>
      <c r="O397" s="3" t="inlineStr">
        <is>
          <t>MK-CF-F-132 map</t>
        </is>
      </c>
      <c r="P397" s="3" t="n">
        <v>1</v>
      </c>
      <c r="Q397" s="3" t="inlineStr">
        <is>
          <t>MK-CF-F-132 map</t>
        </is>
      </c>
      <c r="R397" s="3" t="inlineStr">
        <is>
          <t>MK-CF-F-132 map → MK-PL-F-016 availableToSaveSummary</t>
        </is>
      </c>
      <c r="S397" s="3" t="inlineStr">
        <is>
          <t>—</t>
        </is>
      </c>
      <c r="T397" s="3" t="inlineStr">
        <is>
          <t>—</t>
        </is>
      </c>
      <c r="U397" s="3" t="inlineStr">
        <is>
          <t>ACTIVE</t>
        </is>
      </c>
      <c r="V397" s="3" t="inlineStr">
        <is>
          <t>2026-09-09</t>
        </is>
      </c>
      <c r="W397" s="3" t="n"/>
      <c r="X397" s="3" t="n"/>
      <c r="Y397" s="3" t="inlineStr">
        <is>
          <t>NOTHING OPEN</t>
        </is>
      </c>
    </row>
    <row r="398" ht="60" customHeight="1">
      <c r="A398" s="3" t="inlineStr">
        <is>
          <t>MK-PL-F-017</t>
        </is>
      </c>
      <c r="B398" s="3" t="inlineStr">
        <is>
          <t>sinkingFund</t>
        </is>
      </c>
      <c r="C398" s="3" t="inlineStr">
        <is>
          <t>src/domain/goals/index.ts</t>
        </is>
      </c>
      <c r="D398" s="3" t="n">
        <v>256</v>
      </c>
      <c r="E398" s="3" t="inlineStr">
        <is>
          <t>2 · DISPLAYED</t>
        </is>
      </c>
      <c r="F398" s="3" t="inlineStr">
        <is>
          <t>NOT DETERMINED — the code carries no note saying what this is for, and it has no row in the old inventory. Needs reading.</t>
        </is>
      </c>
      <c r="G398" s="11" t="inlineStr">
        <is>
          <t>monthly = max(0, monthly non monthly)
the answer:
annual = monthly × 12
monthly = monthly</t>
        </is>
      </c>
      <c r="H398" s="3" t="inlineStr">
        <is>
          <t>Monthly is monthly non monthly, never below zero. The answer is annual = monthly times 12; monthly = monthly.</t>
        </is>
      </c>
      <c r="I398" s="3" t="inlineStr">
        <is>
          <t>READ FROM THE CODE — rendered from the expressions the function runs</t>
        </is>
      </c>
      <c r="J398" s="3" t="inlineStr">
        <is>
          <t>monthlyNonMonthly: number</t>
        </is>
      </c>
      <c r="K398" s="3" t="inlineStr">
        <is>
          <t>SinkingFund</t>
        </is>
      </c>
      <c r="L398" s="3" t="inlineStr">
        <is>
          <t>NOT FOUND — a screen calls it, but the words printed beside its answer could not be traced automatically. Needs reading.</t>
        </is>
      </c>
      <c r="M398" s="3" t="inlineStr">
        <is>
          <t>1. Turns a monthly figure into a year by multiplying by twelve.
2. Never lets monthly non monthly fall below 0.</t>
        </is>
      </c>
      <c r="N398" s="3" t="inlineStr">
        <is>
          <t>Yes</t>
        </is>
      </c>
      <c r="O398" s="3" t="inlineStr">
        <is>
          <t>—</t>
        </is>
      </c>
      <c r="P398" s="3" t="n">
        <v>0</v>
      </c>
      <c r="Q398" s="3" t="inlineStr">
        <is>
          <t>None — no dependent function stands behind it</t>
        </is>
      </c>
      <c r="R398" s="3" t="inlineStr">
        <is>
          <t>No dependent function — it reads its inputs and answers</t>
        </is>
      </c>
      <c r="S398" s="3" t="inlineStr">
        <is>
          <t>—</t>
        </is>
      </c>
      <c r="T398" s="3" t="inlineStr">
        <is>
          <t>—</t>
        </is>
      </c>
      <c r="U398" s="3" t="inlineStr">
        <is>
          <t>ACTIVE</t>
        </is>
      </c>
      <c r="V398" s="3" t="inlineStr">
        <is>
          <t>2026-09-09</t>
        </is>
      </c>
      <c r="W398" s="3" t="n"/>
      <c r="X398" s="3" t="n"/>
      <c r="Y398" s="3" t="inlineStr">
        <is>
          <t>NOTHING OPEN</t>
        </is>
      </c>
    </row>
    <row r="399" ht="60" customHeight="1">
      <c r="A399" s="3" t="inlineStr">
        <is>
          <t>MK-PL-F-018</t>
        </is>
      </c>
      <c r="B399" s="3" t="inlineStr">
        <is>
          <t>monthsUntil</t>
        </is>
      </c>
      <c r="C399" s="3" t="inlineStr">
        <is>
          <t>src/domain/goals/index.ts</t>
        </is>
      </c>
      <c r="D399" s="3" t="n">
        <v>292</v>
      </c>
      <c r="E399" s="3" t="inlineStr">
        <is>
          <t>2 · DISPLAYED</t>
        </is>
      </c>
      <c r="F399" s="3" t="inlineStr">
        <is>
          <t>Whole months from `now` to the target month ('YYYY-MM'); &gt;=1, or null if no/!invalid date.</t>
        </is>
      </c>
      <c r="G399" s="11" t="inlineStr">
        <is>
          <t>nothing   when target date is missing
nothing   when y is missing (or m is missing when missing or zero)
max(1, (y − now.get full year()) × 12 + (m − 1 − now.get month()))</t>
        </is>
      </c>
      <c r="H399" s="3" t="inlineStr">
        <is>
          <t>When target date is missing, it answers no answer. When y is missing (or m is missing — when missing or zero), it answers no answer. the larger of 1 and (y minus now.get full year() times 12 plus (m minus 1 minus now.get month())).</t>
        </is>
      </c>
      <c r="I399" s="3" t="inlineStr">
        <is>
          <t>PARTLY READ — some of the code is still showing through; needs a hand pass</t>
        </is>
      </c>
      <c r="J399" s="3" t="inlineStr">
        <is>
          <t>1. targetDate: string | undefined
2. now: Date</t>
        </is>
      </c>
      <c r="K399" s="3" t="inlineStr">
        <is>
          <t>number | null</t>
        </is>
      </c>
      <c r="L399" s="3" t="inlineStr">
        <is>
          <t>NOT FOUND — a screen calls it, but the words printed beside its answer could not be traced automatically. Needs reading.</t>
        </is>
      </c>
      <c r="M399" s="3" t="inlineStr">
        <is>
          <t>· Turns a monthly figure into a year by multiplying by twelve.</t>
        </is>
      </c>
      <c r="N399" s="3" t="inlineStr">
        <is>
          <t>Yes</t>
        </is>
      </c>
      <c r="O399" s="3" t="inlineStr">
        <is>
          <t>MK-CF-F-132 map</t>
        </is>
      </c>
      <c r="P399" s="3" t="n">
        <v>1</v>
      </c>
      <c r="Q399" s="3" t="inlineStr">
        <is>
          <t>MK-CF-F-132 map</t>
        </is>
      </c>
      <c r="R399" s="3" t="inlineStr">
        <is>
          <t>MK-CF-F-132 map → MK-PL-F-018 monthsUntil</t>
        </is>
      </c>
      <c r="S399" s="3" t="inlineStr">
        <is>
          <t>—</t>
        </is>
      </c>
      <c r="T399" s="3" t="inlineStr">
        <is>
          <t>—</t>
        </is>
      </c>
      <c r="U399" s="3" t="inlineStr">
        <is>
          <t>ACTIVE</t>
        </is>
      </c>
      <c r="V399" s="3" t="inlineStr">
        <is>
          <t>2026-08-27</t>
        </is>
      </c>
      <c r="W399" s="3" t="n"/>
      <c r="X399" s="3" t="n"/>
      <c r="Y399" s="3" t="inlineStr">
        <is>
          <t>NOTHING OPEN</t>
        </is>
      </c>
    </row>
    <row r="400" ht="60" customHeight="1">
      <c r="A400" s="3" t="inlineStr">
        <is>
          <t>MK-PL-F-019</t>
        </is>
      </c>
      <c r="B400" s="3" t="inlineStr">
        <is>
          <t>goalMonthsRemaining</t>
        </is>
      </c>
      <c r="C400" s="3" t="inlineStr">
        <is>
          <t>src/domain/goals/index.ts</t>
        </is>
      </c>
      <c r="D400" s="3" t="n">
        <v>327</v>
      </c>
      <c r="E400" s="3" t="inlineStr">
        <is>
          <t>3 · DEPENDENT</t>
        </is>
      </c>
      <c r="F400" s="3" t="inlineStr">
        <is>
          <t>Months remaining: from the target date if set, else the goal's `duration` (months).</t>
        </is>
      </c>
      <c r="G400" s="11" t="inlineStr">
        <is>
          <t>from date = months until(target date, now)
from date   when from date ≠ nothing
d = duration read as a number
the answer:
d   if number.is finite(d) and d &gt; 0
nothing   otherwise</t>
        </is>
      </c>
      <c r="H400" s="3" t="inlineStr">
        <is>
          <t>From date is months until(target date, now). When from date is not no answer, it answers from date. D is duration read as a number. The answer is d — when number.is finite(d) and d &gt; 0; no answer — otherwise.</t>
        </is>
      </c>
      <c r="I400" s="3" t="inlineStr">
        <is>
          <t>PARTLY READ — some of the code is still showing through; needs a hand pass</t>
        </is>
      </c>
      <c r="J400" s="3" t="inlineStr">
        <is>
          <t>1. g: GoalLike
2. now: Date = new Date()</t>
        </is>
      </c>
      <c r="K400" s="3" t="inlineStr">
        <is>
          <t>number | null</t>
        </is>
      </c>
      <c r="L400" s="3" t="inlineStr">
        <is>
          <t>—</t>
        </is>
      </c>
      <c r="M400" s="3" t="inlineStr">
        <is>
          <t>· Uses today's date from the device clock, so the answer changes by itself overnight.</t>
        </is>
      </c>
      <c r="N400" s="3" t="inlineStr">
        <is>
          <t>Yes</t>
        </is>
      </c>
      <c r="O400" s="3" t="inlineStr">
        <is>
          <t>MK-PL-F-018 monthsUntil</t>
        </is>
      </c>
      <c r="P400" s="3" t="n">
        <v>2</v>
      </c>
      <c r="Q400" s="3" t="inlineStr">
        <is>
          <t>1. MK-PL-F-018 monthsUntil
2. MK-CF-F-132 map</t>
        </is>
      </c>
      <c r="R400" s="3" t="inlineStr">
        <is>
          <t>MK-CF-F-132 map → MK-PL-F-018 monthsUntil → MK-PL-F-019 goalMonthsRemaining</t>
        </is>
      </c>
      <c r="S400" s="3" t="inlineStr">
        <is>
          <t>—</t>
        </is>
      </c>
      <c r="T400" s="3" t="inlineStr">
        <is>
          <t>—</t>
        </is>
      </c>
      <c r="U400" s="3" t="inlineStr">
        <is>
          <t>ACTIVE</t>
        </is>
      </c>
      <c r="V400" s="3" t="inlineStr">
        <is>
          <t>2026-08-27</t>
        </is>
      </c>
      <c r="W400" s="3" t="n"/>
      <c r="X400" s="3" t="n"/>
      <c r="Y400" s="3" t="inlineStr">
        <is>
          <t>NOTHING OPEN</t>
        </is>
      </c>
    </row>
    <row r="401" ht="60" customHeight="1">
      <c r="A401" s="3" t="inlineStr">
        <is>
          <t>MK-PL-F-020</t>
        </is>
      </c>
      <c r="B401" s="3" t="inlineStr">
        <is>
          <t>requiredMonthly</t>
        </is>
      </c>
      <c r="C401" s="3" t="inlineStr">
        <is>
          <t>src/domain/goals/index.ts</t>
        </is>
      </c>
      <c r="D401" s="3" t="n">
        <v>364</v>
      </c>
      <c r="E401" s="3" t="inlineStr">
        <is>
          <t>2 · DISPLAYED</t>
        </is>
      </c>
      <c r="F401" s="3" t="inlineStr">
        <is>
          <t>$/month still needed to hit the target on time (0 if already funded; null if no date/duration).</t>
        </is>
      </c>
      <c r="G401" s="11" t="inlineStr">
        <is>
          <t>remaining = max(0, (target or 0) − (saved or 0))
0   when remaining = 0
months = goal months remaining(g, now)
the answer:
remaining ÷ months   if months
nothing   otherwise</t>
        </is>
      </c>
      <c r="H401" s="3" t="inlineStr">
        <is>
          <t>Remaining is (target or 0, never below zero minus (saved or 0)). When remaining = 0, it answers 0. Months is goal months remaining(g, now). The answer is remaining divided by months — when months; no answer — otherwise.</t>
        </is>
      </c>
      <c r="I401" s="3" t="inlineStr">
        <is>
          <t>READ FROM THE CODE — rendered from the expressions the function runs</t>
        </is>
      </c>
      <c r="J401" s="3" t="inlineStr">
        <is>
          <t>1. g: GoalLike
2. now: Date = new Date()</t>
        </is>
      </c>
      <c r="K401" s="3" t="inlineStr">
        <is>
          <t>number | null</t>
        </is>
      </c>
      <c r="L401" s="3" t="inlineStr">
        <is>
          <t>NOT FOUND — a screen calls it, but the words printed beside its answer could not be traced automatically. Needs reading.</t>
        </is>
      </c>
      <c r="M401"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401" s="3" t="inlineStr">
        <is>
          <t>Yes</t>
        </is>
      </c>
      <c r="O401" s="3" t="inlineStr">
        <is>
          <t>MK-PL-F-019 goalMonthsRemaining</t>
        </is>
      </c>
      <c r="P401" s="3" t="n">
        <v>3</v>
      </c>
      <c r="Q401" s="3" t="inlineStr">
        <is>
          <t>1. MK-PL-F-019 goalMonthsRemaining
2. MK-PL-F-018 monthsUntil
3. MK-CF-F-132 map</t>
        </is>
      </c>
      <c r="R401" s="3" t="inlineStr">
        <is>
          <t>MK-CF-F-132 map → MK-PL-F-018 monthsUntil → MK-PL-F-019 goalMonthsRemaining → MK-PL-F-020 requiredMonthly</t>
        </is>
      </c>
      <c r="S401" s="3" t="inlineStr">
        <is>
          <t>—</t>
        </is>
      </c>
      <c r="T401" s="3" t="inlineStr">
        <is>
          <t>—</t>
        </is>
      </c>
      <c r="U401" s="3" t="inlineStr">
        <is>
          <t>ACTIVE</t>
        </is>
      </c>
      <c r="V401" s="3" t="inlineStr">
        <is>
          <t>2026-09-09</t>
        </is>
      </c>
      <c r="W401" s="3" t="n"/>
      <c r="X401" s="3" t="n"/>
      <c r="Y401" s="3" t="inlineStr">
        <is>
          <t>NOTHING OPEN</t>
        </is>
      </c>
    </row>
    <row r="402" ht="60" customHeight="1">
      <c r="A402" s="3" t="inlineStr">
        <is>
          <t>MK-PL-F-021</t>
        </is>
      </c>
      <c r="B402" s="3" t="inlineStr">
        <is>
          <t>monthsToGoal</t>
        </is>
      </c>
      <c r="C402" s="3" t="inlineStr">
        <is>
          <t>src/domain/goals/index.ts</t>
        </is>
      </c>
      <c r="D402" s="3" t="n">
        <v>399</v>
      </c>
      <c r="E402" s="3" t="inlineStr">
        <is>
          <t>2 · DISPLAYED</t>
        </is>
      </c>
      <c r="F402" s="3" t="inlineStr">
        <is>
          <t>Months to reach the goal at a given monthly contribution (0 if funded; null if contribution &lt;= 0).</t>
        </is>
      </c>
      <c r="G402" s="11" t="inlineStr">
        <is>
          <t>remaining = max(0, (target or 0) − (saved or 0))
0   when remaining = 0
the answer:
round up(remaining ÷ monthly contribution)   if monthly contribution &gt; 0
nothing   otherwise</t>
        </is>
      </c>
      <c r="H402" s="3" t="inlineStr">
        <is>
          <t>Remaining is (target or 0, never below zero minus (saved or 0)). When remaining = 0, it answers 0. The answer is remaining divided by monthly contribution, rounded up — when monthly contribution &gt; 0; no answer — otherwise.</t>
        </is>
      </c>
      <c r="I402" s="3" t="inlineStr">
        <is>
          <t>READ FROM THE CODE — rendered from the expressions the function runs</t>
        </is>
      </c>
      <c r="J402" s="3" t="inlineStr">
        <is>
          <t>1. g: GoalLike
2. monthlyContribution: number</t>
        </is>
      </c>
      <c r="K402" s="3" t="inlineStr">
        <is>
          <t>number | null</t>
        </is>
      </c>
      <c r="L402" s="3" t="inlineStr">
        <is>
          <t>NOT FOUND — a screen calls it, but the words printed beside its answer could not be traced automatically. Needs reading.</t>
        </is>
      </c>
      <c r="M402" s="3" t="inlineStr">
        <is>
          <t>1. If target is missing it counts as zero, so nothing recorded and a real zero look the same.
2. If saved is missing it counts as zero, so nothing recorded and a real zero look the same.</t>
        </is>
      </c>
      <c r="N402" s="3" t="inlineStr">
        <is>
          <t>Yes</t>
        </is>
      </c>
      <c r="O402" s="3" t="inlineStr">
        <is>
          <t>—</t>
        </is>
      </c>
      <c r="P402" s="3" t="n">
        <v>0</v>
      </c>
      <c r="Q402" s="3" t="inlineStr">
        <is>
          <t>None — no dependent function stands behind it</t>
        </is>
      </c>
      <c r="R402" s="3" t="inlineStr">
        <is>
          <t>No dependent function — it reads its inputs and answers</t>
        </is>
      </c>
      <c r="S402" s="3" t="inlineStr">
        <is>
          <t>—</t>
        </is>
      </c>
      <c r="T402" s="3" t="inlineStr">
        <is>
          <t>—</t>
        </is>
      </c>
      <c r="U402" s="3" t="inlineStr">
        <is>
          <t>ACTIVE</t>
        </is>
      </c>
      <c r="V402" s="3" t="inlineStr">
        <is>
          <t>2026-08-27</t>
        </is>
      </c>
      <c r="W402" s="3" t="n"/>
      <c r="X402" s="3" t="n"/>
      <c r="Y402" s="3" t="inlineStr">
        <is>
          <t>NOTHING OPEN</t>
        </is>
      </c>
    </row>
    <row r="403" ht="60" customHeight="1">
      <c r="A403" s="3" t="inlineStr">
        <is>
          <t>MK-PL-F-022</t>
        </is>
      </c>
      <c r="B403" s="3" t="inlineStr">
        <is>
          <t>goalProgressPct</t>
        </is>
      </c>
      <c r="C403" s="3" t="inlineStr">
        <is>
          <t>src/domain/goals/index.ts</t>
        </is>
      </c>
      <c r="D403" s="3" t="n">
        <v>428</v>
      </c>
      <c r="E403" s="3" t="inlineStr">
        <is>
          <t>3 · DEPENDENT (feeds an action only)</t>
        </is>
      </c>
      <c r="F403" s="3" t="inlineStr">
        <is>
          <t>Funded %, clamped 0–100.</t>
        </is>
      </c>
      <c r="G403" s="11" t="inlineStr">
        <is>
          <t>0   when (target or 0) ≤ 0
min(100, max(0, round(((saved or 0) ÷ target) × 100)))</t>
        </is>
      </c>
      <c r="H403" s="3" t="inlineStr">
        <is>
          <t>When (target or 0) is at most 0, it answers 0. the smaller of 100 and ((saved or 0, to a whole number divided by target, never below zero times 100)).</t>
        </is>
      </c>
      <c r="I403" s="3" t="inlineStr">
        <is>
          <t>READ FROM THE CODE — rendered from the expressions the function runs</t>
        </is>
      </c>
      <c r="J403" s="3" t="inlineStr">
        <is>
          <t>g: GoalLike</t>
        </is>
      </c>
      <c r="K403" s="3" t="inlineStr">
        <is>
          <t>number</t>
        </is>
      </c>
      <c r="L403" s="3" t="inlineStr">
        <is>
          <t>—</t>
        </is>
      </c>
      <c r="M403" s="3" t="inlineStr">
        <is>
          <t>1. If target is missing it counts as zero, so nothing recorded and a real zero look the same.
2. If saved is missing it counts as zero, so nothing recorded and a real zero look the same.
3. Rounds the answer to a whole number.</t>
        </is>
      </c>
      <c r="N403" s="3" t="inlineStr">
        <is>
          <t>No</t>
        </is>
      </c>
      <c r="O403" s="3" t="inlineStr">
        <is>
          <t>MK-CF-F-155 cash</t>
        </is>
      </c>
      <c r="P403" s="3" t="n">
        <v>2</v>
      </c>
      <c r="Q403" s="3" t="inlineStr">
        <is>
          <t>1. MK-CF-F-155 cash
2. MK-XS-F-122 n</t>
        </is>
      </c>
      <c r="R403" s="3" t="inlineStr">
        <is>
          <t>MK-XS-F-122 n → MK-CF-F-155 cash → MK-PL-F-022 goalProgressPct</t>
        </is>
      </c>
      <c r="S403" s="3" t="inlineStr">
        <is>
          <t>—</t>
        </is>
      </c>
      <c r="T403" s="3" t="inlineStr">
        <is>
          <t>—</t>
        </is>
      </c>
      <c r="U403" s="3" t="inlineStr">
        <is>
          <t>ACTIVE</t>
        </is>
      </c>
      <c r="V403" s="3" t="inlineStr">
        <is>
          <t>2026-08-27</t>
        </is>
      </c>
      <c r="W403" s="3" t="n"/>
      <c r="X403" s="3" t="n"/>
      <c r="Y403" s="3" t="inlineStr">
        <is>
          <t>NOTHING OPEN</t>
        </is>
      </c>
    </row>
    <row r="404" ht="60" customHeight="1">
      <c r="A404" s="3" t="inlineStr">
        <is>
          <t>MK-PL-F-023</t>
        </is>
      </c>
      <c r="B404" s="3" t="inlineStr">
        <is>
          <t>goalStatus</t>
        </is>
      </c>
      <c r="C404" s="3" t="inlineStr">
        <is>
          <t>src/domain/goals/index.ts</t>
        </is>
      </c>
      <c r="D404" s="3" t="n">
        <v>469</v>
      </c>
      <c r="E404" s="3" t="inlineStr">
        <is>
          <t>2 · DISPLAYED</t>
        </is>
      </c>
      <c r="F404" s="3" t="inlineStr">
        <is>
          <t>NOT DETERMINED — the code carries no note saying what this is for, and it has no row in the old inventory. Needs reading.</t>
        </is>
      </c>
      <c r="G404" s="11" t="inlineStr">
        <is>
          <t>'fully_funded'   when (saved or 0) ≥ (target or 0) and (target or 0) &gt; 0
req = required monthly(g, now)
'no_date'   when req = nothing
'fully_funded'   when req = 0
the answer:
'on_track'   if (funded this month or 0) + 1e − 6 ≥ req
'behind'   otherwise</t>
        </is>
      </c>
      <c r="H404"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404" s="3" t="inlineStr">
        <is>
          <t>READ FROM THE CODE — rendered from the expressions the function runs</t>
        </is>
      </c>
      <c r="J404" s="3" t="inlineStr">
        <is>
          <t>1. g: GoalLike
2. fundedThisMonth: number | null | undefined
3. now: Date = new Date()</t>
        </is>
      </c>
      <c r="K404" s="3" t="inlineStr">
        <is>
          <t>GoalStatus</t>
        </is>
      </c>
      <c r="L404" s="3" t="inlineStr">
        <is>
          <t>"Complete! 🎉" — on the rewards screen</t>
        </is>
      </c>
      <c r="M404"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404" s="3" t="inlineStr">
        <is>
          <t>Yes</t>
        </is>
      </c>
      <c r="O404" s="3" t="inlineStr">
        <is>
          <t>MK-PL-F-020 requiredMonthly</t>
        </is>
      </c>
      <c r="P404" s="3" t="n">
        <v>4</v>
      </c>
      <c r="Q404" s="3" t="inlineStr">
        <is>
          <t>1. MK-PL-F-020 requiredMonthly
2. MK-PL-F-019 goalMonthsRemaining
3. MK-PL-F-018 monthsUntil
4. MK-CF-F-132 map</t>
        </is>
      </c>
      <c r="R404" s="3" t="inlineStr">
        <is>
          <t>MK-CF-F-132 map → MK-PL-F-018 monthsUntil → MK-PL-F-019 goalMonthsRemaining → MK-PL-F-020 requiredMonthly → MK-PL-F-023 goalStatus</t>
        </is>
      </c>
      <c r="S404" s="3" t="inlineStr">
        <is>
          <t>MK-MN-M-009</t>
        </is>
      </c>
      <c r="T404" s="3" t="inlineStr">
        <is>
          <t>—</t>
        </is>
      </c>
      <c r="U404" s="3" t="inlineStr">
        <is>
          <t>ACTIVE</t>
        </is>
      </c>
      <c r="V404" s="3" t="inlineStr">
        <is>
          <t>2026-08-27</t>
        </is>
      </c>
      <c r="W404" s="3" t="n"/>
      <c r="X404" s="3" t="n"/>
      <c r="Y404" s="3" t="inlineStr">
        <is>
          <t>NOTHING OPEN</t>
        </is>
      </c>
    </row>
    <row r="405" ht="60" customHeight="1">
      <c r="A405" s="3" t="inlineStr">
        <is>
          <t>MK-PL-F-024</t>
        </is>
      </c>
      <c r="B405" s="3" t="inlineStr">
        <is>
          <t>oddsLine</t>
        </is>
      </c>
      <c r="C405" s="3" t="inlineStr">
        <is>
          <t>src/domain/planning/hub.ts</t>
        </is>
      </c>
      <c r="D405" s="3" t="n">
        <v>44</v>
      </c>
      <c r="E405" s="3" t="inlineStr">
        <is>
          <t>2 · DISPLAYED</t>
        </is>
      </c>
      <c r="F405" s="3" t="inlineStr">
        <is>
          <t>How do we state the odds in words?</t>
        </is>
      </c>
      <c r="G405" s="11" t="inlineStr">
        <is>
          <t>`${chance}% ${odds tail(horizon age)}`</t>
        </is>
      </c>
      <c r="H405" s="3" t="inlineStr">
        <is>
          <t>`${chance}% ${odds tail(horizon age)}`.</t>
        </is>
      </c>
      <c r="I405" s="3" t="inlineStr">
        <is>
          <t>PARTLY READ — some of the code is still showing through; needs a hand pass</t>
        </is>
      </c>
      <c r="J405" s="3" t="inlineStr">
        <is>
          <t>1. _lens: 'retired' | string
2. chance: number
3. horizonAge: number</t>
        </is>
      </c>
      <c r="K405" s="3" t="inlineStr">
        <is>
          <t>string</t>
        </is>
      </c>
      <c r="L405" s="3" t="inlineStr">
        <is>
          <t>1. "Draw from savings" — on the Cash flow screen, under "YOUR FUTURE PAYCHECK"
2. "WILL MY MONEY LAST?" — on a card used on more than one screen (PlanOutcome)
3. "WILL MY MONEY LAST?" — on the Home screen, under "WILL MY MONEY LAST?"</t>
        </is>
      </c>
      <c r="M405" s="3" t="inlineStr">
        <is>
          <t>None found in this function — anything it assumes comes from the functions it depends on.</t>
        </is>
      </c>
      <c r="N405" s="3" t="inlineStr">
        <is>
          <t>Yes</t>
        </is>
      </c>
      <c r="O405" s="3" t="inlineStr">
        <is>
          <t>MK-PL-F-085 oddsTail</t>
        </is>
      </c>
      <c r="P405" s="3" t="n">
        <v>1</v>
      </c>
      <c r="Q405" s="3" t="inlineStr">
        <is>
          <t>MK-PL-F-085 oddsTail</t>
        </is>
      </c>
      <c r="R405" s="3" t="inlineStr">
        <is>
          <t>MK-PL-F-085 oddsTail → MK-PL-F-024 oddsLine</t>
        </is>
      </c>
      <c r="S405" s="3" t="inlineStr">
        <is>
          <t>—</t>
        </is>
      </c>
      <c r="T405" s="3" t="inlineStr">
        <is>
          <t>ODDS_SENTENCE</t>
        </is>
      </c>
      <c r="U405" s="3" t="inlineStr">
        <is>
          <t>ACTIVE</t>
        </is>
      </c>
      <c r="V405" s="3" t="inlineStr">
        <is>
          <t>2026-10-01</t>
        </is>
      </c>
      <c r="W405" s="3" t="n"/>
      <c r="X405" s="3" t="n"/>
      <c r="Y405" s="3" t="inlineStr">
        <is>
          <t>NOTHING OPEN</t>
        </is>
      </c>
    </row>
    <row r="406" ht="60" customHeight="1">
      <c r="A406" s="3" t="inlineStr">
        <is>
          <t>MK-PL-F-025</t>
        </is>
      </c>
      <c r="B406" s="3" t="inlineStr">
        <is>
          <t>sampleOddsLine</t>
        </is>
      </c>
      <c r="C406" s="3" t="inlineStr">
        <is>
          <t>src/domain/planning/hub.ts</t>
        </is>
      </c>
      <c r="D406" s="3" t="n">
        <v>87</v>
      </c>
      <c r="E406" s="3" t="inlineStr">
        <is>
          <t>2 · DISPLAYED</t>
        </is>
      </c>
      <c r="F406" s="3" t="inlineStr">
        <is>
          <t>The same sentence for the app-wide SAMPLE, always labelled as one.</t>
        </is>
      </c>
      <c r="G406" s="11" t="inlineStr">
        <is>
          <t>`sample: ${SAMPLE_CHANCE}% odds of lasting to age ${horizon age}`</t>
        </is>
      </c>
      <c r="H406" s="3" t="inlineStr">
        <is>
          <t>`sample: ${SAMPLE_CHANCE}% odds of lasting to age ${horizon age}`.</t>
        </is>
      </c>
      <c r="I406" s="3" t="inlineStr">
        <is>
          <t>PARTLY READ — some of the code is still showing through; needs a hand pass</t>
        </is>
      </c>
      <c r="J406" s="3" t="inlineStr">
        <is>
          <t>horizonAge: number = SAMPLE_HORIZON</t>
        </is>
      </c>
      <c r="K406" s="3" t="inlineStr">
        <is>
          <t>string</t>
        </is>
      </c>
      <c r="L406" s="3" t="inlineStr">
        <is>
          <t>1. "WILL MY MONEY LAST?" — on the Plan screen, under "WILL MY MONEY LAST?"
2. "YOUR RETIREMENT PLAN" — on the Net worth screen, under "YOUR RETIREMENT PLAN"</t>
        </is>
      </c>
      <c r="M406" s="3" t="inlineStr">
        <is>
          <t>None found in this function — anything it assumes comes from the functions it depends on.</t>
        </is>
      </c>
      <c r="N406" s="3" t="inlineStr">
        <is>
          <t>Yes</t>
        </is>
      </c>
      <c r="O406" s="3" t="inlineStr">
        <is>
          <t>—</t>
        </is>
      </c>
      <c r="P406" s="3" t="n">
        <v>0</v>
      </c>
      <c r="Q406" s="3" t="inlineStr">
        <is>
          <t>None — no dependent function stands behind it</t>
        </is>
      </c>
      <c r="R406" s="3" t="inlineStr">
        <is>
          <t>No dependent function — it reads its inputs and answers</t>
        </is>
      </c>
      <c r="S406" s="3" t="inlineStr">
        <is>
          <t>—</t>
        </is>
      </c>
      <c r="T406" s="3" t="inlineStr">
        <is>
          <t>SAMPLE_ODDS_SENTENCE</t>
        </is>
      </c>
      <c r="U406" s="3" t="inlineStr">
        <is>
          <t>ACTIVE</t>
        </is>
      </c>
      <c r="V406" s="3" t="inlineStr">
        <is>
          <t>2026-08-27</t>
        </is>
      </c>
      <c r="W406" s="3" t="n"/>
      <c r="X406" s="3" t="n"/>
      <c r="Y406" s="6" t="inlineStr">
        <is>
          <t>TESTED, NOT VERIFIED (Odds — exact, no rounding)</t>
        </is>
      </c>
    </row>
    <row r="407" ht="60" customHeight="1">
      <c r="A407" s="3" t="inlineStr">
        <is>
          <t>MK-PL-F-026</t>
        </is>
      </c>
      <c r="B407" s="3" t="inlineStr">
        <is>
          <t>planDoor</t>
        </is>
      </c>
      <c r="C407" s="3" t="inlineStr">
        <is>
          <t>src/domain/planning/hub.ts</t>
        </is>
      </c>
      <c r="D407" s="3" t="n">
        <v>124</v>
      </c>
      <c r="E407" s="3" t="inlineStr">
        <is>
          <t>2 · DISPLAYED</t>
        </is>
      </c>
      <c r="F407" s="3" t="inlineStr">
        <is>
          <t>Is there enough to show this person their own odds?</t>
        </is>
      </c>
      <c r="G407"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has have = earmarked &gt; 0</t>
        </is>
      </c>
      <c r="H407"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Has have is earmarked &gt; 0.</t>
        </is>
      </c>
      <c r="I407" s="3" t="inlineStr">
        <is>
          <t>PARTLY READ — some of the code is still showing through; needs a hand pass</t>
        </is>
      </c>
      <c r="J407" s="3" t="inlineStr">
        <is>
          <t>1. op: Record&lt;string, any&gt; | null
2. accounts: AssetAccount[]</t>
        </is>
      </c>
      <c r="K407" s="3" t="inlineStr">
        <is>
          <t>PlanDoor</t>
        </is>
      </c>
      <c r="L407" s="3" t="inlineStr">
        <is>
          <t>"WILL MY MONEY LAST?" — on the Plan screen, under "WILL MY MONEY LAST?"</t>
        </is>
      </c>
      <c r="M407" s="3" t="inlineStr">
        <is>
          <t>· If balance is missing it counts as zero, so nothing recorded and a real zero look the same.</t>
        </is>
      </c>
      <c r="N407" s="3" t="inlineStr">
        <is>
          <t>Yes</t>
        </is>
      </c>
      <c r="O407" s="3" t="inlineStr">
        <is>
          <t>MK-NW-F-033 retirementEarmarkedValue</t>
        </is>
      </c>
      <c r="P407" s="3" t="n">
        <v>32</v>
      </c>
      <c r="Q407" s="3" t="inlineStr">
        <is>
          <t>1. MK-NW-F-033 retirementEarmarkedValue
2. MK-NW-F-032 earmarkedAmount
3. MK-NW-F-031 primaryCarIdOf
4. MK-NW-F-110 primaryHomeIdOf
5. MK-NW-F-030 earmarkDefault
6. MK-NW-F-117 propertyUseMap
7. MK-NW-F-011 assetClassOf
8. MK-ST-F-056 has
9. MK-NW-F-115 liveRent
10. MK-NW-F-116 rentedIdsOf
11. MK-NW-F-008 incomeBearingClassOf
12. MK-CF-O-002 expenses
13. MK-NW-F-114 rentAmount
14. MK-CF-F-132 map
15. MK-CF-F-155 cash
16. MK-ST-F-010 nameEvidence
17. MK-CF-F-151 actualSpending
18. MK-CF-F-150 debtPaymentsCountedAsExpenses
19. MK-CF-F-153 radar
20. MK-CF-F-149 recurringDebtPayments
21. MK-XS-F-122 n
22. MK-XS-F-147 call
23. MK-CF-F-148 inMonth
24. MK-ST-F-052 toNum
25. MK-CF-F-191 ym
26. MK-CF-F-022 paymentShape
27. MK-CF-F-152 isRadarItem
28. MK-CF-F-023 requiredPayment
29. MK-ST-F-027 accountId
30. MK-XS-F-064 currentIdToken
31. MK-XS-F-112 relayUrl
32. MK-CF-F-021 defaultPaymentType</t>
        </is>
      </c>
      <c r="R407" s="3" t="inlineStr">
        <is>
          <t>1. MK-NW-F-008 incomeBearingClassOf → MK-NW-F-011 assetClassOf → MK-NW-F-030 earmarkDefault → MK-NW-F-032 earmarkedAmount → MK-NW-F-033 retirementEarmarkedValue → MK-PL-F-026 planDoor
2. MK-NW-F-031 primaryCarIdOf → MK-NW-F-033 retirementEarmarkedValue → MK-PL-F-026 planDoor
3. MK-NW-F-008 incomeBearingClassOf → MK-NW-F-011 assetClassOf → MK-NW-F-030 earmarkDefault → MK-NW-F-110 primaryHomeIdOf → MK-NW-F-033 retirementEarmarkedValue → MK-PL-F-026 planDoor
4. MK-NW-F-008 incomeBearingClassOf → MK-NW-F-011 assetClassOf → MK-NW-F-117 propertyUseMap → MK-NW-F-110 primaryHomeIdOf → MK-NW-F-033 retirementEarmarkedValue → MK-PL-F-026 planDoor
5. MK-ST-F-056 has → MK-NW-F-117 propertyUseMap → MK-NW-F-110 primaryHomeIdOf → MK-NW-F-033 retirementEarmarkedValue → MK-PL-F-026 planDoor
6. MK-CF-O-002 expenses → MK-NW-F-115 liveRent → MK-NW-F-117 propertyUseMap → MK-NW-F-110 primaryHomeIdOf → MK-NW-F-033 retirementEarmarkedValue → MK-PL-F-026 planDoor
7. MK-NW-F-114 rentAmount → MK-NW-F-115 liveRent → MK-NW-F-117 propertyUseMap → MK-NW-F-110 primaryHomeIdOf → MK-NW-F-033 retirementEarmarkedValue → MK-PL-F-026 planDoor
8. MK-NW-F-115 liveRent → MK-NW-F-116 rentedIdsOf → MK-NW-F-117 propertyUseMap → MK-NW-F-110 primaryHomeIdOf → MK-NW-F-033 retirementEarmarkedValue → MK-PL-F-026 planDoor
9. … and 1 more paths</t>
        </is>
      </c>
      <c r="S407" s="3" t="inlineStr">
        <is>
          <t>MK-PL-M-001 · MK-PL-M-002</t>
        </is>
      </c>
      <c r="T407" s="3" t="inlineStr">
        <is>
          <t>WHAT_THE_PLAN_STILL_NEEDS</t>
        </is>
      </c>
      <c r="U407" s="3" t="inlineStr">
        <is>
          <t>ACTIVE</t>
        </is>
      </c>
      <c r="V407" s="3" t="inlineStr">
        <is>
          <t>2026-09-12</t>
        </is>
      </c>
      <c r="W407" s="3" t="n"/>
      <c r="X407" s="3" t="n"/>
      <c r="Y407" s="3" t="inlineStr">
        <is>
          <t>NOTHING OPEN</t>
        </is>
      </c>
    </row>
    <row r="408" ht="60" customHeight="1">
      <c r="A408" s="3" t="inlineStr">
        <is>
          <t>MK-PL-F-027</t>
        </is>
      </c>
      <c r="B408" s="3" t="inlineStr">
        <is>
          <t>nextDecision</t>
        </is>
      </c>
      <c r="C408" s="3" t="inlineStr">
        <is>
          <t>src/domain/planning/hub.ts</t>
        </is>
      </c>
      <c r="D408" s="3" t="n">
        <v>188</v>
      </c>
      <c r="E408" s="3" t="inlineStr">
        <is>
          <t>2 · DISPLAYED</t>
        </is>
      </c>
      <c r="F408" s="3" t="inlineStr">
        <is>
          <t>NOT DETERMINED — the code carries no note saying what this is for, and it has no row in the old inventory. Needs reading.</t>
        </is>
      </c>
      <c r="G408"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408"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408" s="3" t="inlineStr">
        <is>
          <t>PARTLY READ — some of the code is still showing through; needs a hand pass</t>
        </is>
      </c>
      <c r="J408" s="3" t="inlineStr">
        <is>
          <t>Nothing is handed to it</t>
        </is>
      </c>
      <c r="K408" s="3" t="inlineStr">
        <is>
          <t>NOT DECLARED — the code does not say what it gives back</t>
        </is>
      </c>
      <c r="L408" s="3" t="inlineStr">
        <is>
          <t>NOT FOUND — a screen calls it, but the words printed beside its answer could not be traced automatically. Needs reading.</t>
        </is>
      </c>
      <c r="M408" s="3" t="inlineStr">
        <is>
          <t>1. Uses a built-in s a m p l e c h a n c e of 84.
2. Uses a built-in s a m p l e h o r i z o n of 90.
3. Uses today's date from the device clock, so the answer changes by itself overnight.
4. Rounds the answer to a whole number.</t>
        </is>
      </c>
      <c r="N408" s="3" t="inlineStr">
        <is>
          <t>Yes</t>
        </is>
      </c>
      <c r="O408" s="3" t="inlineStr">
        <is>
          <t>1. MK-PL-F-080 rmdRequiredThisYear
2. MK-PL-F-005 rmdStartAgeFor
3. MK-PL-F-009 rmdTakenThisYear</t>
        </is>
      </c>
      <c r="P408" s="3" t="n">
        <v>9</v>
      </c>
      <c r="Q408" s="3" t="inlineStr">
        <is>
          <t>1. MK-PL-F-080 rmdRequiredThisYear
2. MK-PL-F-005 rmdStartAgeFor
3. MK-PL-F-009 rmdTakenThisYear
4. MK-PL-F-007 rmdAtAge
5. MK-ST-F-025 rmdStartAgeFromAge
6. MK-ST-F-056 has
7. MK-CF-F-132 map
8. MK-PL-F-078 rmdDivisorAtAge
9. MK-ST-F-024 rmdStartAge</t>
        </is>
      </c>
      <c r="R408"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408" s="3" t="inlineStr">
        <is>
          <t>—</t>
        </is>
      </c>
      <c r="T408" s="3" t="inlineStr">
        <is>
          <t>—</t>
        </is>
      </c>
      <c r="U408" s="3" t="inlineStr">
        <is>
          <t>ACTIVE</t>
        </is>
      </c>
      <c r="V408" s="3" t="inlineStr">
        <is>
          <t>2026-09-08</t>
        </is>
      </c>
      <c r="W408" s="3" t="n"/>
      <c r="X408" s="3" t="n"/>
      <c r="Y408" s="3" t="inlineStr">
        <is>
          <t>NOTHING OPEN</t>
        </is>
      </c>
    </row>
    <row r="409" ht="60" customHeight="1">
      <c r="A409" s="3" t="inlineStr">
        <is>
          <t>MK-PL-F-028</t>
        </is>
      </c>
      <c r="B409" s="3" t="inlineStr">
        <is>
          <t>sampleAskLine</t>
        </is>
      </c>
      <c r="C409" s="3" t="inlineStr">
        <is>
          <t>src/domain/planning/hub.ts</t>
        </is>
      </c>
      <c r="D409" s="3" t="n">
        <v>284</v>
      </c>
      <c r="E409" s="3" t="inlineStr">
        <is>
          <t>2 · DISPLAYED</t>
        </is>
      </c>
      <c r="F409" s="3" t="inlineStr">
        <is>
          <t>The invitation under a sample: name the answers still missing, so a dead end becomes one tap.</t>
        </is>
      </c>
      <c r="G409"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409"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409" s="3" t="inlineStr">
        <is>
          <t>PARTLY READ — some of the code is still showing through; needs a hand pass</t>
        </is>
      </c>
      <c r="J409" s="3" t="inlineStr">
        <is>
          <t>missing: string[]</t>
        </is>
      </c>
      <c r="K409" s="3" t="inlineStr">
        <is>
          <t>string</t>
        </is>
      </c>
      <c r="L409" s="3" t="inlineStr">
        <is>
          <t>NOT FOUND — a screen calls it, but the words printed beside its answer could not be traced automatically. Needs reading.</t>
        </is>
      </c>
      <c r="M409" s="3" t="inlineStr">
        <is>
          <t>None found in this function — anything it assumes comes from the functions it depends on.</t>
        </is>
      </c>
      <c r="N409" s="3" t="inlineStr">
        <is>
          <t>Yes</t>
        </is>
      </c>
      <c r="O409" s="3" t="inlineStr">
        <is>
          <t>—</t>
        </is>
      </c>
      <c r="P409" s="3" t="n">
        <v>0</v>
      </c>
      <c r="Q409" s="3" t="inlineStr">
        <is>
          <t>None — no dependent function stands behind it</t>
        </is>
      </c>
      <c r="R409" s="3" t="inlineStr">
        <is>
          <t>No dependent function — it reads its inputs and answers</t>
        </is>
      </c>
      <c r="S409" s="3" t="inlineStr">
        <is>
          <t>—</t>
        </is>
      </c>
      <c r="T409" s="3" t="inlineStr">
        <is>
          <t>SAMPLE_ASK_SENTENCE</t>
        </is>
      </c>
      <c r="U409" s="3" t="inlineStr">
        <is>
          <t>ACTIVE</t>
        </is>
      </c>
      <c r="V409" s="3" t="inlineStr">
        <is>
          <t>2026-08-27</t>
        </is>
      </c>
      <c r="W409" s="3" t="n"/>
      <c r="X409" s="3" t="n"/>
      <c r="Y409" s="3" t="inlineStr">
        <is>
          <t>NOTHING OPEN</t>
        </is>
      </c>
    </row>
    <row r="410" ht="45" customHeight="1">
      <c r="A410" s="3" t="inlineStr">
        <is>
          <t>MK-PL-F-029</t>
        </is>
      </c>
      <c r="B410" s="3" t="inlineStr">
        <is>
          <t>shortfallAgeFromBand</t>
        </is>
      </c>
      <c r="C410" s="3" t="inlineStr">
        <is>
          <t>src/domain/planning/hub.ts</t>
        </is>
      </c>
      <c r="D410" s="3" t="n">
        <v>309</v>
      </c>
      <c r="E410" s="3" t="inlineStr">
        <is>
          <t>2 · DISPLAYED</t>
        </is>
      </c>
      <c r="F410" s="3" t="inlineStr">
        <is>
          <t>The age the middle path first hits zero, from a simulation band — null while it never does.</t>
        </is>
      </c>
      <c r="G410" s="11" t="inlineStr">
        <is>
          <t>(band ?? []).find((pt) =&gt; pt.p50 ≤ 0).age (or nothing when missing)</t>
        </is>
      </c>
      <c r="H410" s="3" t="inlineStr">
        <is>
          <t>(band ?? []).find((pt) =&gt; pt.p50 is at most 0).age (or no answer — when missing).</t>
        </is>
      </c>
      <c r="I410" s="3" t="inlineStr">
        <is>
          <t>PARTLY READ — some of the code is still showing through; needs a hand pass</t>
        </is>
      </c>
      <c r="J410" s="3" t="inlineStr">
        <is>
          <t>band?: { age: number; p50: number }[] | null</t>
        </is>
      </c>
      <c r="K410" s="3" t="inlineStr">
        <is>
          <t>number | null</t>
        </is>
      </c>
      <c r="L410" s="3" t="inlineStr">
        <is>
          <t>NOT FOUND — a screen calls it, but the words printed beside its answer could not be traced automatically. Needs reading.</t>
        </is>
      </c>
      <c r="M410" s="3" t="inlineStr">
        <is>
          <t>None found in this function — anything it assumes comes from the functions it depends on.</t>
        </is>
      </c>
      <c r="N410" s="3" t="inlineStr">
        <is>
          <t>Yes</t>
        </is>
      </c>
      <c r="O410" s="3" t="inlineStr">
        <is>
          <t>—</t>
        </is>
      </c>
      <c r="P410" s="3" t="n">
        <v>0</v>
      </c>
      <c r="Q410" s="3" t="inlineStr">
        <is>
          <t>None — no dependent function stands behind it</t>
        </is>
      </c>
      <c r="R410" s="3" t="inlineStr">
        <is>
          <t>No dependent function — it reads its inputs and answers</t>
        </is>
      </c>
      <c r="S410" s="3" t="inlineStr">
        <is>
          <t>—</t>
        </is>
      </c>
      <c r="T410" s="3" t="inlineStr">
        <is>
          <t>AGE_THE_MONEY_RUNS_OUT</t>
        </is>
      </c>
      <c r="U410" s="3" t="inlineStr">
        <is>
          <t>ACTIVE</t>
        </is>
      </c>
      <c r="V410" s="3" t="inlineStr">
        <is>
          <t>2026-08-27</t>
        </is>
      </c>
      <c r="W410" s="3" t="n"/>
      <c r="X410" s="3" t="n"/>
      <c r="Y410" s="3" t="inlineStr">
        <is>
          <t>NOTHING OPEN</t>
        </is>
      </c>
    </row>
    <row r="411" ht="60" customHeight="1">
      <c r="A411" s="3" t="inlineStr">
        <is>
          <t>MK-PL-F-030</t>
        </is>
      </c>
      <c r="B411" s="3" t="inlineStr">
        <is>
          <t>onCourseSentence</t>
        </is>
      </c>
      <c r="C411" s="3" t="inlineStr">
        <is>
          <t>src/domain/planning/hub.ts</t>
        </is>
      </c>
      <c r="D411" s="3" t="n">
        <v>337</v>
      </c>
      <c r="E411" s="3" t="inlineStr">
        <is>
          <t>2 · DISPLAYED</t>
        </is>
      </c>
      <c r="F411" s="3" t="inlineStr">
        <is>
          <t>In one sentence, how is this plan doing?</t>
        </is>
      </c>
      <c r="G411"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411"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411" s="3" t="inlineStr">
        <is>
          <t>PARTLY READ — some of the code is still showing through; needs a hand pass</t>
        </is>
      </c>
      <c r="J411" s="3" t="inlineStr">
        <is>
          <t>Nothing is handed to it</t>
        </is>
      </c>
      <c r="K411" s="3" t="inlineStr">
        <is>
          <t>NOT DECLARED — the code does not say what it gives back</t>
        </is>
      </c>
      <c r="L411" s="3" t="inlineStr">
        <is>
          <t>NOT FOUND — a screen calls it, but the words printed beside its answer could not be traced automatically. Needs reading.</t>
        </is>
      </c>
      <c r="M411" s="3" t="inlineStr">
        <is>
          <t>1. If leftover at horizon is missing it uses 0.
2. Rounds the answer to a whole number.</t>
        </is>
      </c>
      <c r="N411" s="3" t="inlineStr">
        <is>
          <t>Yes</t>
        </is>
      </c>
      <c r="O411" s="3" t="inlineStr">
        <is>
          <t>MK-ST-F-053 money</t>
        </is>
      </c>
      <c r="P411" s="3" t="n">
        <v>6</v>
      </c>
      <c r="Q411" s="3" t="inlineStr">
        <is>
          <t>1. MK-ST-F-053 money
2. MK-ST-F-049 formatMoney
3. MK-XS-F-122 n
4. MK-ST-F-048 currencySymbol
5. MK-ST-F-039 on
6. MK-ST-F-047 activeCurrency</t>
        </is>
      </c>
      <c r="R411"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411" s="3" t="inlineStr">
        <is>
          <t>—</t>
        </is>
      </c>
      <c r="T411" s="3" t="inlineStr">
        <is>
          <t>ARE_YOU_ON_COURSE</t>
        </is>
      </c>
      <c r="U411" s="3" t="inlineStr">
        <is>
          <t>ACTIVE</t>
        </is>
      </c>
      <c r="V411" s="3" t="inlineStr">
        <is>
          <t>2026-08-27</t>
        </is>
      </c>
      <c r="W411" s="3" t="n"/>
      <c r="X411" s="3" t="n"/>
      <c r="Y411" s="3" t="inlineStr">
        <is>
          <t>NOTHING OPEN</t>
        </is>
      </c>
    </row>
    <row r="412" ht="60" customHeight="1">
      <c r="A412" s="3" t="inlineStr">
        <is>
          <t>MK-PL-F-031</t>
        </is>
      </c>
      <c r="B412" s="3" t="inlineStr">
        <is>
          <t>taxOrganizer</t>
        </is>
      </c>
      <c r="C412" s="3" t="inlineStr">
        <is>
          <t>src/domain/planning/index.ts</t>
        </is>
      </c>
      <c r="D412" s="3" t="n">
        <v>129</v>
      </c>
      <c r="E412" s="3" t="inlineStr">
        <is>
          <t>3 · DEPENDENT</t>
        </is>
      </c>
      <c r="F412" s="3" t="inlineStr">
        <is>
          <t>The year-end summary for the accountant: income lines, the four taxable-income steps, contributions, accounts, documents to gather.</t>
        </is>
      </c>
      <c r="G412"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412"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412" s="3" t="inlineStr">
        <is>
          <t>PARTLY READ — some of the code is still showing through; needs a hand pass</t>
        </is>
      </c>
      <c r="J412" s="3" t="inlineStr">
        <is>
          <t>1. op: OnboardingProfile | null
2. opts: { accounts?: any[]; liabilities?: any[]; actualPassive?: number; year: number }</t>
        </is>
      </c>
      <c r="K412" s="3" t="inlineStr">
        <is>
          <t>TaxOrganizer</t>
        </is>
      </c>
      <c r="L412" s="3" t="inlineStr">
        <is>
          <t>—</t>
        </is>
      </c>
      <c r="M412" s="3" t="inlineStr">
        <is>
          <t>1. If balance is missing it counts as zero, so nothing recorded and a real zero look the same.
2. Turns a monthly figure into a year by multiplying by twelve.</t>
        </is>
      </c>
      <c r="N412" s="3" t="inlineStr">
        <is>
          <t>Yes</t>
        </is>
      </c>
      <c r="O412"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412" s="3" t="n">
        <v>54</v>
      </c>
      <c r="Q412"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MK-CF-F-180 enteredLandsAnnual
30. MK-CF-F-206 householdK401ByMonth
31. MK-CF-F-086 stateRateOf
32. MK-CF-F-101 taxOwedFor
33. MK-CF-F-084 taxableAnnual
34. MK-CF-F-151 actualSpending
35. MK-CF-F-150 debtPaymentsCountedAsExpenses
36. MK-CF-F-153 radar
37. MK-CF-F-149 recurringDebtPayments
38. MK-CF-F-176 sumMonthsOverEarners
39. MK-CF-F-177 wageGrossByMonth
40. MK-CF-F-175 sumOverEarners
41. MK-CF-F-172 hasWage
42. MK-CF-F-100 taxableIncomeFor
43. MK-CF-F-071 extraIncome
44. MK-CF-F-148 inMonth
45. MK-CF-F-191 ym
46. MK-CF-F-022 paymentShape
47. MK-CF-F-152 isRadarItem
48. MK-CF-F-023 requiredPayment
49. MK-CF-F-130 enteredMonthlyRaw
50. MK-CF-F-166 hasMonthlySalaryTable
51. MK-ST-F-036 reconcile
52. MK-CF-F-167 salaryCalendarYear
53. MK-CF-F-021 defaultPaymentType
54. MK-CF-F-165 salaryMonths</t>
        </is>
      </c>
      <c r="R412"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MK-CF-F-172 hasWage → MK-CF-F-173 earnerWages → MK-CF-F-180 enteredLandsAnnual → MK-CF-F-181 rateInForce → MK-CF-F-090 effectiveRate → MK-PL-F-031 taxOrganizer
6. MK-XS-F-122 n → MK-ST-F-052 toNum → MK-CF-F-180 enteredLandsAnnual → MK-CF-F-181 rateInForce → MK-CF-F-090 effectiveRate → MK-PL-F-031 taxOrganizer
7. MK-CF-F-085 filingStatusOf → MK-CF-F-181 rateInForce → MK-CF-F-090 effectiveRate → MK-PL-F-031 taxOrganizer
8. MK-CF-F-132 map → MK-CF-F-206 householdK401ByMonth → MK-CF-F-181 rateInForce → MK-CF-F-090 effectiveRate → MK-PL-F-031 taxOrganizer
9. … and 5 more paths</t>
        </is>
      </c>
      <c r="S412" s="3" t="inlineStr">
        <is>
          <t>MK-MN-M-027 · MK-MN-M-028</t>
        </is>
      </c>
      <c r="T412" s="3" t="inlineStr">
        <is>
          <t>—</t>
        </is>
      </c>
      <c r="U412" s="3" t="inlineStr">
        <is>
          <t>ACTIVE</t>
        </is>
      </c>
      <c r="V412" s="3" t="inlineStr">
        <is>
          <t>2026-09-28</t>
        </is>
      </c>
      <c r="W412" s="3" t="n"/>
      <c r="X412" s="3" t="n"/>
      <c r="Y412" s="3" t="inlineStr">
        <is>
          <t>NOTHING OPEN</t>
        </is>
      </c>
    </row>
    <row r="413" ht="60" customHeight="1">
      <c r="A413" s="3" t="inlineStr">
        <is>
          <t>MK-PL-F-032</t>
        </is>
      </c>
      <c r="B413" s="3" t="inlineStr">
        <is>
          <t>rothConversionCost</t>
        </is>
      </c>
      <c r="C413" s="3" t="inlineStr">
        <is>
          <t>src/domain/planning/index.ts</t>
        </is>
      </c>
      <c r="D413" s="3" t="n">
        <v>215</v>
      </c>
      <c r="E413" s="3" t="inlineStr">
        <is>
          <t>2 · DISPLAYED</t>
        </is>
      </c>
      <c r="F413" s="3" t="inlineStr">
        <is>
          <t>───────────────────────── Roth conversion (fill a low bracket) ───────────────────────── In a low-income year (e.g.</t>
        </is>
      </c>
      <c r="G413" s="11" t="inlineStr">
        <is>
          <t>tax owed for(gross + amount, status, state rate) − tax owed for(gross, status, state rate)</t>
        </is>
      </c>
      <c r="H413" s="3" t="inlineStr">
        <is>
          <t>tax owed for(gross plus amount, status, state rate) minus tax owed for(gross, status, state rate).</t>
        </is>
      </c>
      <c r="I413" s="3" t="inlineStr">
        <is>
          <t>READ FROM THE CODE — rendered from the expressions the function runs</t>
        </is>
      </c>
      <c r="J413" s="3" t="inlineStr">
        <is>
          <t>1. gross: number
2. amount: number
3. status: import('../income/tax').FilingStatus
4. stateRate: number</t>
        </is>
      </c>
      <c r="K413" s="3" t="inlineStr">
        <is>
          <t>number</t>
        </is>
      </c>
      <c r="L413" s="3" t="inlineStr">
        <is>
          <t>NOT FOUND — a screen calls it, but the words printed beside its answer could not be traced automatically. Needs reading.</t>
        </is>
      </c>
      <c r="M413"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413" s="3" t="inlineStr">
        <is>
          <t>Yes</t>
        </is>
      </c>
      <c r="O413" s="3" t="inlineStr">
        <is>
          <t>MK-CF-F-101 taxOwedFor</t>
        </is>
      </c>
      <c r="P413" s="3" t="n">
        <v>4</v>
      </c>
      <c r="Q413" s="3" t="inlineStr">
        <is>
          <t>1. MK-CF-F-101 taxOwedFor
2. MK-CF-F-100 taxableIncomeFor
3. MK-CF-F-099 deductionFor
4. MK-CF-F-187 seniorDeductionFor</t>
        </is>
      </c>
      <c r="R413" s="3" t="inlineStr">
        <is>
          <t>MK-CF-F-187 seniorDeductionFor → MK-CF-F-099 deductionFor → MK-CF-F-100 taxableIncomeFor → MK-CF-F-101 taxOwedFor → MK-PL-F-032 rothConversionCost</t>
        </is>
      </c>
      <c r="S413" s="3" t="inlineStr">
        <is>
          <t>—</t>
        </is>
      </c>
      <c r="T413" s="3" t="inlineStr">
        <is>
          <t>—</t>
        </is>
      </c>
      <c r="U413" s="3" t="inlineStr">
        <is>
          <t>ACTIVE</t>
        </is>
      </c>
      <c r="V413" s="3" t="inlineStr">
        <is>
          <t>2026-09-09</t>
        </is>
      </c>
      <c r="W413" s="3" t="n"/>
      <c r="X413" s="3" t="n"/>
      <c r="Y413" s="3" t="inlineStr">
        <is>
          <t>NOTHING OPEN</t>
        </is>
      </c>
    </row>
    <row r="414" ht="60" customHeight="1">
      <c r="A414" s="3" t="inlineStr">
        <is>
          <t>MK-PL-F-033</t>
        </is>
      </c>
      <c r="B414" s="3" t="inlineStr">
        <is>
          <t>educationPlan</t>
        </is>
      </c>
      <c r="C414" s="3" t="inlineStr">
        <is>
          <t>src/domain/planning/index.ts</t>
        </is>
      </c>
      <c r="D414" s="3" t="n">
        <v>266</v>
      </c>
      <c r="E414" s="3" t="inlineStr">
        <is>
          <t>2 · DISPLAYED</t>
        </is>
      </c>
      <c r="F414" s="3" t="inlineStr">
        <is>
          <t>NOT DETERMINED — the code carries no note saying what this is for, and it has no row in the old inventory. Needs reading.</t>
        </is>
      </c>
      <c r="G414"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414"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414" s="3" t="inlineStr">
        <is>
          <t>PARTLY READ — the body has a loop the extractor cannot render; the steps shown are the ones before it. Needs a hand pass (G23).</t>
        </is>
      </c>
      <c r="J414" s="3" t="inlineStr">
        <is>
          <t>inp: EduPlanInput</t>
        </is>
      </c>
      <c r="K414" s="3" t="inlineStr">
        <is>
          <t>EduPlan</t>
        </is>
      </c>
      <c r="L414" s="3" t="inlineStr">
        <is>
          <t>"Projected total cost" — on the College costs screen</t>
        </is>
      </c>
      <c r="M414" s="3" t="inlineStr">
        <is>
          <t>1. Uses a built-in future total cost of 0.
2. Turns a monthly figure into a year by multiplying by twelve.
3. Rounds the answer to a whole number.</t>
        </is>
      </c>
      <c r="N414" s="3" t="inlineStr">
        <is>
          <t>Yes</t>
        </is>
      </c>
      <c r="O414" s="3" t="inlineStr">
        <is>
          <t>MK-XS-F-122 n</t>
        </is>
      </c>
      <c r="P414" s="3" t="n">
        <v>1</v>
      </c>
      <c r="Q414" s="3" t="inlineStr">
        <is>
          <t>MK-XS-F-122 n</t>
        </is>
      </c>
      <c r="R414" s="3" t="inlineStr">
        <is>
          <t>MK-XS-F-122 n → MK-PL-F-033 educationPlan</t>
        </is>
      </c>
      <c r="S414" s="3" t="inlineStr">
        <is>
          <t>MK-PL-M-036 · MK-PL-M-037</t>
        </is>
      </c>
      <c r="T414" s="3" t="inlineStr">
        <is>
          <t>—</t>
        </is>
      </c>
      <c r="U414" s="3" t="inlineStr">
        <is>
          <t>ACTIVE</t>
        </is>
      </c>
      <c r="V414" s="3" t="inlineStr">
        <is>
          <t>2026-09-08</t>
        </is>
      </c>
      <c r="W414" s="3" t="n"/>
      <c r="X414" s="3" t="n"/>
      <c r="Y414" s="3" t="inlineStr">
        <is>
          <t>NOTHING OPEN</t>
        </is>
      </c>
    </row>
    <row r="415" ht="60" customHeight="1">
      <c r="A415" s="3" t="inlineStr">
        <is>
          <t>MK-PL-F-034</t>
        </is>
      </c>
      <c r="B415" s="3" t="inlineStr">
        <is>
          <t>lifeInsuranceNeed</t>
        </is>
      </c>
      <c r="C415" s="3" t="inlineStr">
        <is>
          <t>src/domain/planning/index.ts</t>
        </is>
      </c>
      <c r="D415" s="3" t="n">
        <v>329</v>
      </c>
      <c r="E415" s="3" t="inlineStr">
        <is>
          <t>2 · DISPLAYED</t>
        </is>
      </c>
      <c r="F415" s="3" t="inlineStr">
        <is>
          <t>NOT DETERMINED — the code carries no note saying what this is for, and it has no row in the old inventory. Needs reading.</t>
        </is>
      </c>
      <c r="G415" s="11" t="inlineStr">
        <is>
          <t>income replacement = max(0, inp.annual income) × math.max(0, inp.years to replace)
total need = income replacement + max(0, inp.debts) + max(0, inp.future goals) + max(0, inp.final expenses)
covered = max(0, inp.liquid savings) + math.max(0, inp.existing coverage)</t>
        </is>
      </c>
      <c r="H415"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415" s="3" t="inlineStr">
        <is>
          <t>PARTLY READ — some of the code is still showing through; needs a hand pass</t>
        </is>
      </c>
      <c r="J415" s="3" t="inlineStr">
        <is>
          <t>inp: InsuranceInput</t>
        </is>
      </c>
      <c r="K415" s="3" t="inlineStr">
        <is>
          <t>InsuranceNeed</t>
        </is>
      </c>
      <c r="L415" s="3" t="inlineStr">
        <is>
          <t>1. "Gap" — on the Insurance screen
2. "Total need" — on the Insurance screen</t>
        </is>
      </c>
      <c r="M415"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415" s="3" t="inlineStr">
        <is>
          <t>Yes</t>
        </is>
      </c>
      <c r="O415" s="3" t="inlineStr">
        <is>
          <t>—</t>
        </is>
      </c>
      <c r="P415" s="3" t="n">
        <v>0</v>
      </c>
      <c r="Q415" s="3" t="inlineStr">
        <is>
          <t>None — no dependent function stands behind it</t>
        </is>
      </c>
      <c r="R415" s="3" t="inlineStr">
        <is>
          <t>No dependent function — it reads its inputs and answers</t>
        </is>
      </c>
      <c r="S415" s="3" t="inlineStr">
        <is>
          <t>—</t>
        </is>
      </c>
      <c r="T415" s="3" t="inlineStr">
        <is>
          <t>—</t>
        </is>
      </c>
      <c r="U415" s="3" t="inlineStr">
        <is>
          <t>ACTIVE</t>
        </is>
      </c>
      <c r="V415" s="3" t="inlineStr">
        <is>
          <t>2026-08-27</t>
        </is>
      </c>
      <c r="W415" s="3" t="n"/>
      <c r="X415" s="3" t="n"/>
      <c r="Y415" s="3" t="inlineStr">
        <is>
          <t>NOTHING OPEN</t>
        </is>
      </c>
    </row>
    <row r="416" ht="60" customHeight="1">
      <c r="A416" s="3" t="inlineStr">
        <is>
          <t>MK-PL-F-035</t>
        </is>
      </c>
      <c r="B416" s="3" t="inlineStr">
        <is>
          <t>retireAgeWithContribution</t>
        </is>
      </c>
      <c r="C416" s="3" t="inlineStr">
        <is>
          <t>src/domain/planning/multiGoal.ts</t>
        </is>
      </c>
      <c r="D416" s="3" t="n">
        <v>67</v>
      </c>
      <c r="E416" s="3" t="inlineStr">
        <is>
          <t>2 · DISPLAYED</t>
        </is>
      </c>
      <c r="F416" s="3" t="inlineStr">
        <is>
          <t>Earliest age the projection covers the need, WITH contributions until that age (F4's before/after).</t>
        </is>
      </c>
      <c r="G416" s="11" t="inlineStr">
        <is>
          <t>p = project nest egg({ ...inp, annual contribution: monthly contribution × 12, retire age: age, guaranteed start age: inp.guaranteed start age })
age   when will have ≥ will need
the answer = nothing</t>
        </is>
      </c>
      <c r="H416" s="3" t="inlineStr">
        <is>
          <t>P is project nest egg({ ...inp, annual contribution: monthly contribution times 12, retire age: age, guaranteed start age: inp.guaranteed start age }). When will have is at least will need, it answers age. The answer is no answer.</t>
        </is>
      </c>
      <c r="I416" s="3" t="inlineStr">
        <is>
          <t>READ FROM THE CODE — rendered from the expressions the function runs</t>
        </is>
      </c>
      <c r="J416" s="3" t="inlineStr">
        <is>
          <t>1. inp: RetirementInputs
2. monthlyContribution: number
3. maxAge = 80</t>
        </is>
      </c>
      <c r="K416" s="3" t="inlineStr">
        <is>
          <t>number | null</t>
        </is>
      </c>
      <c r="L416" s="3" t="inlineStr">
        <is>
          <t>NOT FOUND — a screen calls it, but the words printed beside its answer could not be traced automatically. Needs reading.</t>
        </is>
      </c>
      <c r="M416" s="3" t="inlineStr">
        <is>
          <t>· Turns a monthly figure into a year by multiplying by twelve.</t>
        </is>
      </c>
      <c r="N416" s="3" t="inlineStr">
        <is>
          <t>Yes</t>
        </is>
      </c>
      <c r="O416" s="3" t="inlineStr">
        <is>
          <t>1. MK-PL-F-055 projectNestEgg
2. MK-PL-F-050 simulate
3. MK-PL-F-056 solveRetireAge</t>
        </is>
      </c>
      <c r="P416" s="3" t="n">
        <v>24</v>
      </c>
      <c r="Q416"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16"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416" s="3" t="inlineStr">
        <is>
          <t>—</t>
        </is>
      </c>
      <c r="T416" s="3" t="inlineStr">
        <is>
          <t>—</t>
        </is>
      </c>
      <c r="U416" s="3" t="inlineStr">
        <is>
          <t>ACTIVE</t>
        </is>
      </c>
      <c r="V416" s="3" t="inlineStr">
        <is>
          <t>2026-08-27</t>
        </is>
      </c>
      <c r="W416" s="3" t="n"/>
      <c r="X416" s="3" t="n"/>
      <c r="Y416" s="3" t="inlineStr">
        <is>
          <t>NOTHING OPEN</t>
        </is>
      </c>
    </row>
    <row r="417" ht="60" customHeight="1">
      <c r="A417" s="3" t="inlineStr">
        <is>
          <t>MK-PL-F-036</t>
        </is>
      </c>
      <c r="B417" s="3" t="inlineStr">
        <is>
          <t>weighGoals</t>
        </is>
      </c>
      <c r="C417" s="3" t="inlineStr">
        <is>
          <t>src/domain/planning/multiGoal.ts</t>
        </is>
      </c>
      <c r="D417" s="3" t="n">
        <v>117</v>
      </c>
      <c r="E417" s="3" t="inlineStr">
        <is>
          <t>2 · DISPLAYED</t>
        </is>
      </c>
      <c r="F417" s="3" t="inlineStr">
        <is>
          <t>Run the whole combination once.</t>
        </is>
      </c>
      <c r="G417"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417"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417" s="3" t="inlineStr">
        <is>
          <t>PARTLY READ — some of the code is still showing through; needs a hand pass</t>
        </is>
      </c>
      <c r="J417" s="3" t="inlineStr">
        <is>
          <t>w: WeighInputs</t>
        </is>
      </c>
      <c r="K417" s="3" t="inlineStr">
        <is>
          <t>WeighResult</t>
        </is>
      </c>
      <c r="L417" s="3" t="inlineStr">
        <is>
          <t>NOT FOUND — a screen calls it, but the words printed beside its answer could not be traced automatically. Needs reading.</t>
        </is>
      </c>
      <c r="M417"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417" s="3" t="inlineStr">
        <is>
          <t>Yes</t>
        </is>
      </c>
      <c r="O417" s="3" t="inlineStr">
        <is>
          <t>1. MK-PL-F-021 monthsToGoal
2. MK-ST-F-039 on
3. MK-CF-F-034 payoffPlan
4. MK-PL-F-035 retireAgeWithContribution
5. MK-PL-F-050 simulate</t>
        </is>
      </c>
      <c r="P417" s="3" t="n">
        <v>28</v>
      </c>
      <c r="Q417"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417"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417" s="3" t="inlineStr">
        <is>
          <t>—</t>
        </is>
      </c>
      <c r="T417" s="3" t="inlineStr">
        <is>
          <t>—</t>
        </is>
      </c>
      <c r="U417" s="3" t="inlineStr">
        <is>
          <t>ACTIVE</t>
        </is>
      </c>
      <c r="V417" s="3" t="inlineStr">
        <is>
          <t>2026-09-09</t>
        </is>
      </c>
      <c r="W417" s="3" t="n"/>
      <c r="X417" s="3" t="n"/>
      <c r="Y417" s="3" t="inlineStr">
        <is>
          <t>NOTHING OPEN</t>
        </is>
      </c>
    </row>
    <row r="418" ht="60" customHeight="1">
      <c r="A418" s="3" t="inlineStr">
        <is>
          <t>MK-PL-F-037</t>
        </is>
      </c>
      <c r="B418" s="3" t="inlineStr">
        <is>
          <t>trimHints</t>
        </is>
      </c>
      <c r="C418" s="3" t="inlineStr">
        <is>
          <t>src/domain/planning/multiGoal.ts</t>
        </is>
      </c>
      <c r="D418" s="3" t="n">
        <v>193</v>
      </c>
      <c r="E418" s="3" t="inlineStr">
        <is>
          <t>2 · DISPLAYED</t>
        </is>
      </c>
      <c r="F418" s="3" t="inlineStr">
        <is>
          <t>One hint per active goal: the SAME weigher re-run with that dial reduced — a pre-run of the slider, so applying the hint's amount reproduces its numbers exactly (the pin).</t>
        </is>
      </c>
      <c r="G418" s="11" t="inlineStr">
        <is>
          <t>trimmed amount = max(0, round((monthly amount × reduce to) ÷ 100) × 100)
freed = monthly amount − trimmed amount
the answer:
dial id = id
label = label
trimmed amount = trimmed amount
retire age = retire age
chance = chance</t>
        </is>
      </c>
      <c r="H418"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418" s="3" t="inlineStr">
        <is>
          <t>READ FROM THE CODE — rendered from the expressions the function runs</t>
        </is>
      </c>
      <c r="J418" s="3" t="inlineStr">
        <is>
          <t>1. w: WeighInputs
2. reduceTo = 0.6</t>
        </is>
      </c>
      <c r="K418" s="3" t="inlineStr">
        <is>
          <t>TrimHint[]</t>
        </is>
      </c>
      <c r="L418" s="3" t="inlineStr">
        <is>
          <t>NOT FOUND — a screen calls it, but the words printed beside its answer could not be traced automatically. Needs reading.</t>
        </is>
      </c>
      <c r="M418" s="3" t="inlineStr">
        <is>
          <t>· Rounds the answer to a whole number.</t>
        </is>
      </c>
      <c r="N418" s="3" t="inlineStr">
        <is>
          <t>Yes</t>
        </is>
      </c>
      <c r="O418" s="3" t="inlineStr">
        <is>
          <t>1. MK-CF-F-132 map
2. MK-PL-F-036 weighGoals</t>
        </is>
      </c>
      <c r="P418" s="3" t="n">
        <v>29</v>
      </c>
      <c r="Q418"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418"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418" s="3" t="inlineStr">
        <is>
          <t>—</t>
        </is>
      </c>
      <c r="T418" s="3" t="inlineStr">
        <is>
          <t>—</t>
        </is>
      </c>
      <c r="U418" s="3" t="inlineStr">
        <is>
          <t>ACTIVE</t>
        </is>
      </c>
      <c r="V418" s="3" t="inlineStr">
        <is>
          <t>2026-08-27</t>
        </is>
      </c>
      <c r="W418" s="3" t="n"/>
      <c r="X418" s="3" t="n"/>
      <c r="Y418" s="3" t="inlineStr">
        <is>
          <t>NOTHING OPEN</t>
        </is>
      </c>
    </row>
    <row r="419" ht="60" customHeight="1">
      <c r="A419" s="3" t="inlineStr">
        <is>
          <t>MK-PL-F-038</t>
        </is>
      </c>
      <c r="B419" s="3" t="inlineStr">
        <is>
          <t>spendMoreState</t>
        </is>
      </c>
      <c r="C419" s="3" t="inlineStr">
        <is>
          <t>src/domain/planning/spendMore.ts</t>
        </is>
      </c>
      <c r="D419" s="3" t="n">
        <v>78</v>
      </c>
      <c r="E419" s="3" t="inlineStr">
        <is>
          <t>2 · DISPLAYED</t>
        </is>
      </c>
      <c r="F419" s="3" t="inlineStr">
        <is>
          <t>How much more she could spend, and how much of it is genuinely free.</t>
        </is>
      </c>
      <c r="G419" s="11" t="inlineStr">
        <is>
          <t>today = base.retire monthly spend today
odds today = odds at(base, today)
free = 0
the answer:
max extra = max extra
free extra = free
odds today = odds today</t>
        </is>
      </c>
      <c r="H419" s="3" t="inlineStr">
        <is>
          <t>Today is base.retire monthly spend today. Odds today is odds at(base, today). Free is 0. The answer is max extra = max extra; free extra = free; odds today = odds today.</t>
        </is>
      </c>
      <c r="I419" s="3" t="inlineStr">
        <is>
          <t>READ FROM THE CODE — rendered from the expressions the function runs</t>
        </is>
      </c>
      <c r="J419" s="3" t="inlineStr">
        <is>
          <t>1. base: RetirementInputs
2. maxExtra: number
3. step = 500</t>
        </is>
      </c>
      <c r="K419" s="3" t="inlineStr">
        <is>
          <t>SpendMoreState</t>
        </is>
      </c>
      <c r="L419" s="3" t="inlineStr">
        <is>
          <t>"Can I spend more?" — on a card used on more than one screen (SpendMoreControl)</t>
        </is>
      </c>
      <c r="M419" s="3" t="inlineStr">
        <is>
          <t>· Uses a built-in free of 0.</t>
        </is>
      </c>
      <c r="N419" s="3" t="inlineStr">
        <is>
          <t>Yes</t>
        </is>
      </c>
      <c r="O419" s="3" t="inlineStr">
        <is>
          <t>MK-PL-F-069 oddsAt</t>
        </is>
      </c>
      <c r="P419" s="3" t="n">
        <v>23</v>
      </c>
      <c r="Q419"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19"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419" s="3" t="inlineStr">
        <is>
          <t>—</t>
        </is>
      </c>
      <c r="T419" s="3" t="inlineStr">
        <is>
          <t>—</t>
        </is>
      </c>
      <c r="U419" s="3" t="inlineStr">
        <is>
          <t>ACTIVE</t>
        </is>
      </c>
      <c r="V419" s="3" t="inlineStr">
        <is>
          <t>2026-08-27</t>
        </is>
      </c>
      <c r="W419" s="3" t="n"/>
      <c r="X419" s="3" t="n"/>
      <c r="Y419" s="3" t="inlineStr">
        <is>
          <t>NOTHING OPEN</t>
        </is>
      </c>
    </row>
    <row r="420" ht="60" customHeight="1">
      <c r="A420" s="3" t="inlineStr">
        <is>
          <t>MK-PL-F-039</t>
        </is>
      </c>
      <c r="B420" s="3" t="inlineStr">
        <is>
          <t>spendMoreSentence</t>
        </is>
      </c>
      <c r="C420" s="3" t="inlineStr">
        <is>
          <t>src/domain/planning/spendMore.ts</t>
        </is>
      </c>
      <c r="D420" s="3" t="n">
        <v>119</v>
      </c>
      <c r="E420" s="3" t="inlineStr">
        <is>
          <t>2 · DISPLAYED</t>
        </is>
      </c>
      <c r="F420" s="3" t="inlineStr">
        <is>
          <t>What the screen says at a given stepper position — a real run every time, never a bucket.</t>
        </is>
      </c>
      <c r="G420" s="11" t="inlineStr">
        <is>
          <t>chance = odds at(base, base.retire monthly spend today + extra)
failing = round(100 − chance, 6 dp)
the answer:
chance = chance
tone = 'watch'
text = `lasts in almost every simulated future — about ${chance} out of 100.`</t>
        </is>
      </c>
      <c r="H420" s="3" t="inlineStr">
        <is>
          <t>Chance is odds at(base, base.retire monthly spend today plus extra). Failing is 100 minus chance, to 6 decimal places. The answer is chance = chance; tone = 'watch'; text = `lasts in almost every simulated future — about ${chance} out of 100.`.</t>
        </is>
      </c>
      <c r="I420" s="3" t="inlineStr">
        <is>
          <t>PARTLY READ — some of the code is still showing through; needs a hand pass</t>
        </is>
      </c>
      <c r="J420" s="3" t="inlineStr">
        <is>
          <t>1. base: RetirementInputs
2. extra: number
3. horizonAge: number
4. oddsToday: number</t>
        </is>
      </c>
      <c r="K420" s="3" t="inlineStr">
        <is>
          <t>NOT DECLARED — the code does not say what it gives back</t>
        </is>
      </c>
      <c r="L420" s="3" t="inlineStr">
        <is>
          <t>NOT FOUND — a screen calls it, but the words printed beside its answer could not be traced automatically. Needs reading.</t>
        </is>
      </c>
      <c r="M420" s="3" t="inlineStr">
        <is>
          <t>· Rounds the answer to 6 decimal places.</t>
        </is>
      </c>
      <c r="N420" s="3" t="inlineStr">
        <is>
          <t>Yes</t>
        </is>
      </c>
      <c r="O420" s="3" t="inlineStr">
        <is>
          <t>MK-PL-F-069 oddsAt</t>
        </is>
      </c>
      <c r="P420" s="3" t="n">
        <v>23</v>
      </c>
      <c r="Q420"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20"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420" s="3" t="inlineStr">
        <is>
          <t>—</t>
        </is>
      </c>
      <c r="T420" s="3" t="inlineStr">
        <is>
          <t>—</t>
        </is>
      </c>
      <c r="U420" s="3" t="inlineStr">
        <is>
          <t>ACTIVE</t>
        </is>
      </c>
      <c r="V420" s="3" t="inlineStr">
        <is>
          <t>2026-09-14</t>
        </is>
      </c>
      <c r="W420" s="3" t="n"/>
      <c r="X420" s="3" t="n"/>
      <c r="Y420" s="3" t="inlineStr">
        <is>
          <t>NOTHING OPEN</t>
        </is>
      </c>
    </row>
    <row r="421" ht="60" customHeight="1">
      <c r="A421" s="3" t="inlineStr">
        <is>
          <t>MK-PL-F-040</t>
        </is>
      </c>
      <c r="B421" s="3" t="inlineStr">
        <is>
          <t>targetAtRetirement</t>
        </is>
      </c>
      <c r="C421" s="3" t="inlineStr">
        <is>
          <t>src/domain/planning/target.ts</t>
        </is>
      </c>
      <c r="D421" s="3" t="n">
        <v>107</v>
      </c>
      <c r="E421" s="3" t="inlineStr">
        <is>
          <t>2 · DISPLAYED</t>
        </is>
      </c>
      <c r="F421" s="3" t="inlineStr">
        <is>
          <t>THE TARGET: the balance on day one of retirement that reaches TARGET_ODDS.</t>
        </is>
      </c>
      <c r="G421"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21"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21" s="3" t="inlineStr">
        <is>
          <t>PARTLY READ — the body has a loop the extractor cannot render; the steps shown are the ones before it. Needs a hand pass (G23).</t>
        </is>
      </c>
      <c r="J421" s="3" t="inlineStr">
        <is>
          <t>base: RetirementInputs</t>
        </is>
      </c>
      <c r="K421" s="3" t="inlineStr">
        <is>
          <t>number | null</t>
        </is>
      </c>
      <c r="L421" s="3" t="inlineStr">
        <is>
          <t>NOT FOUND — a screen calls it, but the words printed beside its answer could not be traced automatically. Needs reading.</t>
        </is>
      </c>
      <c r="M421" s="3" t="inlineStr">
        <is>
          <t>None found in this function — anything it assumes comes from the functions it depends on.</t>
        </is>
      </c>
      <c r="N421" s="3" t="inlineStr">
        <is>
          <t>Yes</t>
        </is>
      </c>
      <c r="O421" s="3" t="inlineStr">
        <is>
          <t>1. MK-CF-O-002 expenses
2. MK-PL-F-071 oddsOf
3. MK-PL-F-070 smallestThatWorks</t>
        </is>
      </c>
      <c r="P421" s="3" t="n">
        <v>24</v>
      </c>
      <c r="Q421"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21"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21" s="3" t="inlineStr">
        <is>
          <t>—</t>
        </is>
      </c>
      <c r="T421" s="3" t="inlineStr">
        <is>
          <t>—</t>
        </is>
      </c>
      <c r="U421" s="3" t="inlineStr">
        <is>
          <t>ACTIVE</t>
        </is>
      </c>
      <c r="V421" s="3" t="inlineStr">
        <is>
          <t>2026-09-14</t>
        </is>
      </c>
      <c r="W421" s="3" t="n"/>
      <c r="X421" s="3" t="n"/>
      <c r="Y421" s="3" t="inlineStr">
        <is>
          <t>NOTHING OPEN</t>
        </is>
      </c>
    </row>
    <row r="422" ht="60" customHeight="1">
      <c r="A422" s="3" t="inlineStr">
        <is>
          <t>MK-PL-F-041</t>
        </is>
      </c>
      <c r="B422" s="3" t="inlineStr">
        <is>
          <t>requiredAnnualSaving</t>
        </is>
      </c>
      <c r="C422" s="3" t="inlineStr">
        <is>
          <t>src/domain/planning/target.ts</t>
        </is>
      </c>
      <c r="D422" s="3" t="n">
        <v>161</v>
      </c>
      <c r="E422" s="3" t="inlineStr">
        <is>
          <t>3 · DEPENDENT</t>
        </is>
      </c>
      <c r="F422" s="3" t="inlineStr">
        <is>
          <t>THE YEARLY SAVING: the total annual contribution that reaches TARGET_ODDS on the real plan — the one with their age, their years left, their expenses, their big costs.</t>
        </is>
      </c>
      <c r="G422"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22"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22" s="3" t="inlineStr">
        <is>
          <t>PARTLY READ — the body has a loop the extractor cannot render; the steps shown are the ones before it. Needs a hand pass (G23).</t>
        </is>
      </c>
      <c r="J422" s="3" t="inlineStr">
        <is>
          <t>base: RetirementInputs</t>
        </is>
      </c>
      <c r="K422" s="3" t="inlineStr">
        <is>
          <t>NOT DECLARED — the code does not say what it gives back</t>
        </is>
      </c>
      <c r="L422" s="3" t="inlineStr">
        <is>
          <t>—</t>
        </is>
      </c>
      <c r="M422" s="3" t="inlineStr">
        <is>
          <t>· If annual contribution is missing it uses 0.</t>
        </is>
      </c>
      <c r="N422" s="3" t="inlineStr">
        <is>
          <t>Yes</t>
        </is>
      </c>
      <c r="O422" s="3" t="inlineStr">
        <is>
          <t>1. MK-PL-F-071 oddsOf
2. MK-PL-F-070 smallestThatWorks</t>
        </is>
      </c>
      <c r="P422" s="3" t="n">
        <v>24</v>
      </c>
      <c r="Q422"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22"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22" s="3" t="inlineStr">
        <is>
          <t>—</t>
        </is>
      </c>
      <c r="T422" s="3" t="inlineStr">
        <is>
          <t>—</t>
        </is>
      </c>
      <c r="U422" s="3" t="inlineStr">
        <is>
          <t>ACTIVE</t>
        </is>
      </c>
      <c r="V422" s="3" t="inlineStr">
        <is>
          <t>2026-09-14</t>
        </is>
      </c>
      <c r="W422" s="3" t="n"/>
      <c r="X422" s="3" t="n"/>
      <c r="Y422" s="3" t="inlineStr">
        <is>
          <t>NOTHING OPEN</t>
        </is>
      </c>
    </row>
    <row r="423" ht="60" customHeight="1">
      <c r="A423" s="3" t="inlineStr">
        <is>
          <t>MK-PL-F-042</t>
        </is>
      </c>
      <c r="B423" s="3" t="inlineStr">
        <is>
          <t>savingToReachTarget</t>
        </is>
      </c>
      <c r="C423" s="3" t="inlineStr">
        <is>
          <t>src/domain/planning/target.ts</t>
        </is>
      </c>
      <c r="D423" s="3" t="n">
        <v>220</v>
      </c>
      <c r="E423" s="3" t="inlineStr">
        <is>
          <t>3 · DEPENDENT</t>
        </is>
      </c>
      <c r="F423" s="3" t="inlineStr">
        <is>
          <t>The yearly saving whose PROJECTION reaches a typed target.</t>
        </is>
      </c>
      <c r="G423" s="11" t="inlineStr">
        <is>
          <t>found = smallest that works(0, MAX_SAVING, 500, (x) =&gt; projected with(x) ≥ typed target)
nothing   when found = nothing
total = round up(found ÷ 500) × 500
the answer:
total = total
extra = max(0, total − (base.annual contribution ?? 0))</t>
        </is>
      </c>
      <c r="H423"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23" s="3" t="inlineStr">
        <is>
          <t>PARTLY READ — some of the code is still showing through; needs a hand pass</t>
        </is>
      </c>
      <c r="J423" s="3" t="inlineStr">
        <is>
          <t>1. base: RetirementInputs
2. typedTarget: number</t>
        </is>
      </c>
      <c r="K423" s="3" t="inlineStr">
        <is>
          <t>NOT DECLARED — the code does not say what it gives back</t>
        </is>
      </c>
      <c r="L423" s="3" t="inlineStr">
        <is>
          <t>—</t>
        </is>
      </c>
      <c r="M423" s="3" t="inlineStr">
        <is>
          <t>· If annual contribution is missing it uses 0.</t>
        </is>
      </c>
      <c r="N423" s="3" t="inlineStr">
        <is>
          <t>Yes</t>
        </is>
      </c>
      <c r="O423" s="3" t="inlineStr">
        <is>
          <t>1. MK-PL-F-050 simulate
2. MK-PL-F-070 smallestThatWorks</t>
        </is>
      </c>
      <c r="P423" s="3" t="n">
        <v>23</v>
      </c>
      <c r="Q423"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23"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23" s="3" t="inlineStr">
        <is>
          <t>—</t>
        </is>
      </c>
      <c r="T423" s="3" t="inlineStr">
        <is>
          <t>—</t>
        </is>
      </c>
      <c r="U423" s="3" t="inlineStr">
        <is>
          <t>ACTIVE</t>
        </is>
      </c>
      <c r="V423" s="3" t="inlineStr">
        <is>
          <t>2026-08-27</t>
        </is>
      </c>
      <c r="W423" s="3" t="n"/>
      <c r="X423" s="3" t="n"/>
      <c r="Y423" s="3" t="inlineStr">
        <is>
          <t>NOTHING OPEN</t>
        </is>
      </c>
    </row>
    <row r="424" ht="60" customHeight="1">
      <c r="A424" s="3" t="inlineStr">
        <is>
          <t>MK-PL-F-043</t>
        </is>
      </c>
      <c r="B424" s="3" t="inlineStr">
        <is>
          <t>howTheGapCloses</t>
        </is>
      </c>
      <c r="C424" s="3" t="inlineStr">
        <is>
          <t>src/domain/planning/target.ts</t>
        </is>
      </c>
      <c r="D424" s="3" t="n">
        <v>254</v>
      </c>
      <c r="E424" s="3" t="inlineStr">
        <is>
          <t>2 · DISPLAYED</t>
        </is>
      </c>
      <c r="F424" s="3" t="inlineStr">
        <is>
          <t>Where the money to close the gap actually comes from — the breakdown that stops a person subtracting and concluding the app cannot add up (founder, 2026-08-14).</t>
        </is>
      </c>
      <c r="G424" s="11" t="inlineStr">
        <is>
          <t>years = max(0, base.retire age − base.current age)
no saving = simulate({ ...base, annual contribution: 0 }).projected at retirement
with saving = simulate({ ...base, annual contribution: total annual saving }).projected at retirement
put in = total annual saving × years</t>
        </is>
      </c>
      <c r="H424"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24" s="3" t="inlineStr">
        <is>
          <t>PARTLY READ — some of the code is still showing through; needs a hand pass</t>
        </is>
      </c>
      <c r="J424" s="3" t="inlineStr">
        <is>
          <t>1. base: RetirementInputs
2. totalAnnualSaving: number</t>
        </is>
      </c>
      <c r="K424" s="3" t="inlineStr">
        <is>
          <t>NOT DECLARED — the code does not say what it gives back</t>
        </is>
      </c>
      <c r="L424" s="3" t="inlineStr">
        <is>
          <t>NOT FOUND — a screen calls it, but the words printed beside its answer could not be traced automatically. Needs reading.</t>
        </is>
      </c>
      <c r="M424" s="3" t="inlineStr">
        <is>
          <t>None found in this function — anything it assumes comes from the functions it depends on.</t>
        </is>
      </c>
      <c r="N424" s="3" t="inlineStr">
        <is>
          <t>Yes</t>
        </is>
      </c>
      <c r="O424" s="3" t="inlineStr">
        <is>
          <t>1. MK-XS-F-147 call
2. MK-PL-F-050 simulate</t>
        </is>
      </c>
      <c r="P424" s="3" t="n">
        <v>26</v>
      </c>
      <c r="Q424"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24"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424" s="3" t="inlineStr">
        <is>
          <t>—</t>
        </is>
      </c>
      <c r="T424" s="3" t="inlineStr">
        <is>
          <t>—</t>
        </is>
      </c>
      <c r="U424" s="3" t="inlineStr">
        <is>
          <t>ACTIVE</t>
        </is>
      </c>
      <c r="V424" s="3" t="inlineStr">
        <is>
          <t>2026-09-09</t>
        </is>
      </c>
      <c r="W424" s="3" t="n"/>
      <c r="X424" s="3" t="n"/>
      <c r="Y424" s="3" t="inlineStr">
        <is>
          <t>NOTHING OPEN</t>
        </is>
      </c>
    </row>
    <row r="425" ht="60" customHeight="1">
      <c r="A425" s="3" t="inlineStr">
        <is>
          <t>MK-PL-F-044</t>
        </is>
      </c>
      <c r="B425" s="3" t="inlineStr">
        <is>
          <t>planTarget</t>
        </is>
      </c>
      <c r="C425" s="3" t="inlineStr">
        <is>
          <t>src/domain/planning/target.ts</t>
        </is>
      </c>
      <c r="D425" s="3" t="n">
        <v>323</v>
      </c>
      <c r="E425" s="3" t="inlineStr">
        <is>
          <t>2 · DISPLAYED</t>
        </is>
      </c>
      <c r="F425" s="3" t="inlineStr">
        <is>
          <t>One call, everything the second gauge and the bridge sentence need.</t>
        </is>
      </c>
      <c r="G425"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25"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25" s="3" t="inlineStr">
        <is>
          <t>PARTLY READ — some of the code is still showing through; needs a hand pass</t>
        </is>
      </c>
      <c r="J425" s="3" t="inlineStr">
        <is>
          <t>1. base: RetirementInputs
2. annualIncome?: number
3. roomAnnual?: number
4. typedTarget?: number | null</t>
        </is>
      </c>
      <c r="K425" s="3" t="inlineStr">
        <is>
          <t>PlanTarget</t>
        </is>
      </c>
      <c r="L425" s="3" t="inlineStr">
        <is>
          <t>NOT FOUND — a screen calls it, but the words printed beside its answer could not be traced automatically. Needs reading.</t>
        </is>
      </c>
      <c r="M425" s="3" t="inlineStr">
        <is>
          <t>1. If annual contribution is missing it uses 0.
2. Rounds the answer to a whole number.</t>
        </is>
      </c>
      <c r="N425" s="3" t="inlineStr">
        <is>
          <t>Yes</t>
        </is>
      </c>
      <c r="O425" s="3" t="inlineStr">
        <is>
          <t>1. MK-PL-F-041 requiredAnnualSaving
2. MK-PL-F-042 savingToReachTarget
3. MK-PL-F-050 simulate
4. MK-PL-F-040 targetAtRetirement</t>
        </is>
      </c>
      <c r="P425" s="3" t="n">
        <v>27</v>
      </c>
      <c r="Q425" s="3" t="inlineStr">
        <is>
          <t>1. MK-PL-F-041 requiredAnnualSaving
2. MK-PL-F-042 savingToReachTarget
3. MK-PL-F-050 simulate
4. MK-PL-F-040 targetAtRetirement
5. MK-PL-F-071 oddsOf
6. MK-PL-F-070 smallestThatWorks
7. MK-CF-O-002 expenses
8. MK-CF-F-132 map
9. MK-PL-F-074 median
10. MK-PL-F-072 mulberry32
11. MK-XS-F-122 n
12. MK-PL-F-073 normal
13. MK-PL-F-075 pctOfSorted
14. MK-ST-F-025 rmdStartAgeFromAge
15. MK-CF-F-151 actualSpending
16. MK-CF-F-150 debtPaymentsCountedAsExpenses
17. MK-CF-F-153 radar
18. MK-CF-F-149 recurringDebtPayments
19. MK-ST-F-024 rmdStartAge
20. MK-CF-F-148 inMonth
21. MK-ST-F-052 toNum
22. MK-CF-F-191 ym
23. MK-ST-F-056 has
24. MK-CF-F-022 paymentShape
25. MK-CF-F-152 isRadarItem
26. MK-CF-F-023 requiredPayment
27. MK-CF-F-021 defaultPaymentType</t>
        </is>
      </c>
      <c r="R425"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25" s="3" t="inlineStr">
        <is>
          <t>—</t>
        </is>
      </c>
      <c r="T425" s="3" t="inlineStr">
        <is>
          <t>—</t>
        </is>
      </c>
      <c r="U425" s="3" t="inlineStr">
        <is>
          <t>ACTIVE</t>
        </is>
      </c>
      <c r="V425" s="3" t="inlineStr">
        <is>
          <t>2026-09-09</t>
        </is>
      </c>
      <c r="W425" s="3" t="n"/>
      <c r="X425" s="3" t="n"/>
      <c r="Y425" s="3" t="inlineStr">
        <is>
          <t>NOTHING OPEN</t>
        </is>
      </c>
    </row>
    <row r="426" ht="60" customHeight="1">
      <c r="A426" s="3" t="inlineStr">
        <is>
          <t>MK-PL-F-045</t>
        </is>
      </c>
      <c r="B426" s="3" t="inlineStr">
        <is>
          <t>ssUpliftFactor</t>
        </is>
      </c>
      <c r="C426" s="3" t="inlineStr">
        <is>
          <t>src/domain/planning/target.ts</t>
        </is>
      </c>
      <c r="D426" s="3" t="n">
        <v>382</v>
      </c>
      <c r="E426" s="3" t="inlineStr">
        <is>
          <t>3 · DEPENDENT</t>
        </is>
      </c>
      <c r="F426" s="3" t="inlineStr">
        <is>
          <t>Social Security pays roughly 8% more for each year you delay past full retirement age — the claim-later lever has to raise the CHECK, not just move its start date.</t>
        </is>
      </c>
      <c r="G426" s="11" t="inlineStr">
        <is>
          <t>1 + 0.08 × max(0, to age − from age)</t>
        </is>
      </c>
      <c r="H426" s="3" t="inlineStr">
        <is>
          <t>1 plus 0.08 times to age minus from age, never below zero.</t>
        </is>
      </c>
      <c r="I426" s="3" t="inlineStr">
        <is>
          <t>READ FROM THE CODE — rendered from the expressions the function runs</t>
        </is>
      </c>
      <c r="J426" s="3" t="inlineStr">
        <is>
          <t>1. fromAge: number
2. toAge: number</t>
        </is>
      </c>
      <c r="K426" s="3" t="inlineStr">
        <is>
          <t>number</t>
        </is>
      </c>
      <c r="L426" s="3" t="inlineStr">
        <is>
          <t>—</t>
        </is>
      </c>
      <c r="M426" s="3" t="inlineStr">
        <is>
          <t>None found in this function — anything it assumes comes from the functions it depends on.</t>
        </is>
      </c>
      <c r="N426" s="3" t="inlineStr">
        <is>
          <t>Yes</t>
        </is>
      </c>
      <c r="O426" s="3" t="inlineStr">
        <is>
          <t>—</t>
        </is>
      </c>
      <c r="P426" s="3" t="n">
        <v>0</v>
      </c>
      <c r="Q426" s="3" t="inlineStr">
        <is>
          <t>None — no dependent function stands behind it</t>
        </is>
      </c>
      <c r="R426" s="3" t="inlineStr">
        <is>
          <t>No dependent function — it reads its inputs and answers</t>
        </is>
      </c>
      <c r="S426" s="3" t="inlineStr">
        <is>
          <t>—</t>
        </is>
      </c>
      <c r="T426" s="3" t="inlineStr">
        <is>
          <t>—</t>
        </is>
      </c>
      <c r="U426" s="3" t="inlineStr">
        <is>
          <t>ACTIVE</t>
        </is>
      </c>
      <c r="V426" s="3" t="inlineStr">
        <is>
          <t>2026-08-27</t>
        </is>
      </c>
      <c r="W426" s="3" t="n"/>
      <c r="X426" s="3" t="n"/>
      <c r="Y426" s="3" t="inlineStr">
        <is>
          <t>NOTHING OPEN</t>
        </is>
      </c>
    </row>
    <row r="427" ht="60" customHeight="1">
      <c r="A427" s="3" t="inlineStr">
        <is>
          <t>MK-PL-F-046</t>
        </is>
      </c>
      <c r="B427" s="3" t="inlineStr">
        <is>
          <t>leverDeltas</t>
        </is>
      </c>
      <c r="C427" s="3" t="inlineStr">
        <is>
          <t>src/domain/planning/target.ts</t>
        </is>
      </c>
      <c r="D427" s="3" t="n">
        <v>417</v>
      </c>
      <c r="E427" s="3" t="inlineStr">
        <is>
          <t>2 · DISPLAYED</t>
        </is>
      </c>
      <c r="F427" s="3" t="inlineStr">
        <is>
          <t>NOT DETERMINED — the code carries no note saying what this is for, and it has no row in the old inventory. Needs reading.</t>
        </is>
      </c>
      <c r="G427"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27"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27" s="3" t="inlineStr">
        <is>
          <t>PARTLY READ — some of the code is still showing through; needs a hand pass</t>
        </is>
      </c>
      <c r="J427" s="3" t="inlineStr">
        <is>
          <t>1. base: RetirementInputs
2. opts: { spendCutMonthly?: number; retireLaterYears?: number; claimAge?: number } = {}</t>
        </is>
      </c>
      <c r="K427" s="3" t="inlineStr">
        <is>
          <t>Lever[]</t>
        </is>
      </c>
      <c r="L427" s="3" t="inlineStr">
        <is>
          <t>NOT FOUND — a screen calls it, but the words printed beside its answer could not be traced automatically. Needs reading.</t>
        </is>
      </c>
      <c r="M427" s="3" t="inlineStr">
        <is>
          <t>1. If retire later years is missing it uses 2.
2. If spend cut monthly is missing it uses 400.
3. If claim age is missing it uses 70.
4. If guaranteed monthly income is missing it uses 0.
5. Rounds the answer to a whole number.</t>
        </is>
      </c>
      <c r="N427" s="3" t="inlineStr">
        <is>
          <t>Yes</t>
        </is>
      </c>
      <c r="O427" s="3" t="inlineStr">
        <is>
          <t>1. MK-CF-F-132 map
2. MK-PL-F-071 oddsOf
3. MK-PL-F-051 ssStreamOf
4. MK-PL-F-045 ssUpliftFactor
5. MK-PL-F-052 withSsStream</t>
        </is>
      </c>
      <c r="P427" s="3" t="n">
        <v>26</v>
      </c>
      <c r="Q427"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27"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27" s="3" t="inlineStr">
        <is>
          <t>—</t>
        </is>
      </c>
      <c r="T427" s="3" t="inlineStr">
        <is>
          <t>—</t>
        </is>
      </c>
      <c r="U427" s="3" t="inlineStr">
        <is>
          <t>ACTIVE</t>
        </is>
      </c>
      <c r="V427" s="3" t="inlineStr">
        <is>
          <t>2026-08-27</t>
        </is>
      </c>
      <c r="W427" s="3" t="n"/>
      <c r="X427" s="3" t="n"/>
      <c r="Y427" s="3" t="inlineStr">
        <is>
          <t>NOTHING OPEN</t>
        </is>
      </c>
    </row>
    <row r="428" ht="60" customHeight="1">
      <c r="A428" s="3" t="inlineStr">
        <is>
          <t>MK-PL-F-047</t>
        </is>
      </c>
      <c r="B428" s="3" t="inlineStr">
        <is>
          <t>colFactor</t>
        </is>
      </c>
      <c r="C428" s="3" t="inlineStr">
        <is>
          <t>src/domain/retirement/col.ts</t>
        </is>
      </c>
      <c r="D428" s="3" t="n">
        <v>79</v>
      </c>
      <c r="E428" s="3" t="inlineStr">
        <is>
          <t>2 · DISPLAYED</t>
        </is>
      </c>
      <c r="F428" s="3" t="inlineStr">
        <is>
          <t>Cost-of-living factor for a free-text location.</t>
        </is>
      </c>
      <c r="G428" s="11" t="inlineStr">
        <is>
          <t>q = string(location ?? '').trim().to lower case()
factor = 1
name = nothing   when q is missing
the answer:
factor = row.factor
name = row.name
[LOOP — the answer is found inside a loop the extractor cannot render; the steps above are the ones before it. Read by hand.]</t>
        </is>
      </c>
      <c r="H428" s="3" t="inlineStr">
        <is>
          <t>Q is string(location ?? '').trim().to lower case(). When q is missing, it answers factor = 1; name is missing. The answer is factor = row.factor; name = row.name. The answer is found inside a loop that cannot be rendered here; read the code by hand.</t>
        </is>
      </c>
      <c r="I428" s="3" t="inlineStr">
        <is>
          <t>PARTLY READ — the body has a loop the extractor cannot render; the steps shown are the ones before it. Needs a hand pass (G23).</t>
        </is>
      </c>
      <c r="J428" s="3" t="inlineStr">
        <is>
          <t>location?: string | null</t>
        </is>
      </c>
      <c r="K428" s="3" t="inlineStr">
        <is>
          <t>ColMatch</t>
        </is>
      </c>
      <c r="L428" s="3" t="inlineStr">
        <is>
          <t>1. "Country / region" — on the setup questions, which appear on more than one screen
2. "You plan to spend" — on the Retirement cockpit screen</t>
        </is>
      </c>
      <c r="M428" s="3" t="inlineStr">
        <is>
          <t>None found in this function — anything it assumes comes from the functions it depends on.</t>
        </is>
      </c>
      <c r="N428" s="3" t="inlineStr">
        <is>
          <t>Yes</t>
        </is>
      </c>
      <c r="O428" s="3" t="inlineStr">
        <is>
          <t>—</t>
        </is>
      </c>
      <c r="P428" s="3" t="n">
        <v>0</v>
      </c>
      <c r="Q428" s="3" t="inlineStr">
        <is>
          <t>None — no dependent function stands behind it</t>
        </is>
      </c>
      <c r="R428" s="3" t="inlineStr">
        <is>
          <t>No dependent function — it reads its inputs and answers</t>
        </is>
      </c>
      <c r="S428" s="3" t="inlineStr">
        <is>
          <t>—</t>
        </is>
      </c>
      <c r="T428" s="3" t="inlineStr">
        <is>
          <t>COST_OF_LIVING</t>
        </is>
      </c>
      <c r="U428" s="3" t="inlineStr">
        <is>
          <t>ACTIVE</t>
        </is>
      </c>
      <c r="V428" s="3" t="inlineStr">
        <is>
          <t>2026-09-08</t>
        </is>
      </c>
      <c r="W428" s="3" t="n"/>
      <c r="X428" s="3" t="n"/>
      <c r="Y428" s="3" t="inlineStr">
        <is>
          <t>NOTHING OPEN</t>
        </is>
      </c>
    </row>
    <row r="429" ht="60" customHeight="1">
      <c r="A429" s="3" t="inlineStr">
        <is>
          <t>MK-PL-F-048</t>
        </is>
      </c>
      <c r="B429" s="3" t="inlineStr">
        <is>
          <t>capitalNeeded</t>
        </is>
      </c>
      <c r="C429" s="3" t="inlineStr">
        <is>
          <t>src/domain/retirement/index.ts</t>
        </is>
      </c>
      <c r="D429" s="3" t="n">
        <v>61</v>
      </c>
      <c r="E429" s="3" t="inlineStr">
        <is>
          <t>2 · DISPLAYED</t>
        </is>
      </c>
      <c r="F429" s="3" t="inlineStr">
        <is>
          <t>NOT DETERMINED — the code carries no note saying what this is for, and it has no row in the old inventory. Needs reading.</t>
        </is>
      </c>
      <c r="G429"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29"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29" s="3" t="inlineStr">
        <is>
          <t>PARTLY READ — some of the code is still showing through; needs a hand pass</t>
        </is>
      </c>
      <c r="J429" s="3" t="inlineStr">
        <is>
          <t>inp: CapitalNeedInputs</t>
        </is>
      </c>
      <c r="K429" s="3" t="inlineStr">
        <is>
          <t>CapitalNeed</t>
        </is>
      </c>
      <c r="L429"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29" s="3" t="inlineStr">
        <is>
          <t>1. Turns a monthly figure into a year by multiplying by twelve.
2. Never lets r fall below 0.</t>
        </is>
      </c>
      <c r="N429" s="3" t="inlineStr">
        <is>
          <t>Yes</t>
        </is>
      </c>
      <c r="O429" s="3" t="inlineStr">
        <is>
          <t>—</t>
        </is>
      </c>
      <c r="P429" s="3" t="n">
        <v>0</v>
      </c>
      <c r="Q429" s="3" t="inlineStr">
        <is>
          <t>None — no dependent function stands behind it</t>
        </is>
      </c>
      <c r="R429" s="3" t="inlineStr">
        <is>
          <t>No dependent function — it reads its inputs and answers</t>
        </is>
      </c>
      <c r="S429" s="3" t="inlineStr">
        <is>
          <t>—</t>
        </is>
      </c>
      <c r="T429" s="3" t="inlineStr">
        <is>
          <t>—</t>
        </is>
      </c>
      <c r="U429" s="3" t="inlineStr">
        <is>
          <t>ACTIVE</t>
        </is>
      </c>
      <c r="V429" s="3" t="inlineStr">
        <is>
          <t>2026-08-27</t>
        </is>
      </c>
      <c r="W429" s="3" t="n"/>
      <c r="X429" s="3" t="n"/>
      <c r="Y429" s="3" t="inlineStr">
        <is>
          <t>NOTHING OPEN</t>
        </is>
      </c>
    </row>
    <row r="430" ht="60" customHeight="1">
      <c r="A430" s="3" t="inlineStr">
        <is>
          <t>MK-PL-F-049</t>
        </is>
      </c>
      <c r="B430" s="3" t="inlineStr">
        <is>
          <t>retirementSpendMonthly</t>
        </is>
      </c>
      <c r="C430" s="3" t="inlineStr">
        <is>
          <t>src/domain/retirement/index.ts</t>
        </is>
      </c>
      <c r="D430" s="3" t="n">
        <v>113</v>
      </c>
      <c r="E430" s="3" t="inlineStr">
        <is>
          <t>2 · DISPLAYED</t>
        </is>
      </c>
      <c r="F430" s="3" t="inlineStr">
        <is>
          <t>All-in monthly retirement spend = base + travel + medical (annual→monthly), adjusted by the expected trajectory (spend less / same / more later) and the retirement location's cost-of-living factor (retLocation).</t>
        </is>
      </c>
      <c r="G430"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30"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30" s="3" t="inlineStr">
        <is>
          <t>PARTLY READ — some of the code is still showing through; needs a hand pass</t>
        </is>
      </c>
      <c r="J430" s="3" t="inlineStr">
        <is>
          <t>op: OnboardingProfile | null</t>
        </is>
      </c>
      <c r="K430" s="3" t="inlineStr">
        <is>
          <t>number</t>
        </is>
      </c>
      <c r="L430" s="3" t="inlineStr">
        <is>
          <t>NOT FOUND — a screen calls it, but the words printed beside its answer could not be traced automatically. Needs reading.</t>
        </is>
      </c>
      <c r="M430" s="3" t="inlineStr">
        <is>
          <t>None found in this function — anything it assumes comes from the functions it depends on.</t>
        </is>
      </c>
      <c r="N430" s="3" t="inlineStr">
        <is>
          <t>Yes</t>
        </is>
      </c>
      <c r="O430" s="3" t="inlineStr">
        <is>
          <t>1. MK-PL-F-047 colFactor
2. MK-CF-O-002 expenses
3. MK-PL-F-001 taxBucketSplit
4. MK-ST-F-052 toNum</t>
        </is>
      </c>
      <c r="P430" s="3" t="n">
        <v>27</v>
      </c>
      <c r="Q430" s="3" t="inlineStr">
        <is>
          <t>1. MK-PL-F-047 colFactor
2. MK-CF-O-002 expenses
3. MK-PL-F-001 taxBucketSplit
4. MK-ST-F-052 toNum
5. MK-CF-F-151 actualSpending
6. MK-CF-F-150 debtPaymentsCountedAsExpenses
7. MK-CF-F-153 radar
8. MK-CF-F-149 recurringDebtPayments
9. MK-NW-F-032 earmarkedAmount
10. MK-XS-F-122 n
11. MK-CF-F-148 inMonth
12. MK-CF-F-191 ym
13. MK-ST-F-056 has
14. MK-CF-F-022 paymentShape
15. MK-CF-F-152 isRadarItem
16. MK-CF-F-023 requiredPayment
17. MK-CF-F-132 map
18. MK-NW-F-030 earmarkDefault
19. MK-CF-F-021 defaultPaymentType
20. MK-NW-F-011 assetClassOf
21. MK-NW-F-008 incomeBearingClassOf
22. MK-CF-F-155 cash
23. MK-ST-F-010 nameEvidence
24. MK-XS-F-147 call
25. MK-ST-F-027 accountId
26. MK-XS-F-064 currentIdToken
27. MK-XS-F-112 relayUrl</t>
        </is>
      </c>
      <c r="R43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30" s="3" t="inlineStr">
        <is>
          <t>MK-PL-M-009</t>
        </is>
      </c>
      <c r="T430" s="3" t="inlineStr">
        <is>
          <t>RETIREMENT_SPENDING</t>
        </is>
      </c>
      <c r="U430" s="3" t="inlineStr">
        <is>
          <t>ACTIVE</t>
        </is>
      </c>
      <c r="V430" s="3" t="inlineStr">
        <is>
          <t>2026-09-12</t>
        </is>
      </c>
      <c r="W430" s="3" t="n"/>
      <c r="X430" s="3" t="n"/>
      <c r="Y430" s="3" t="inlineStr">
        <is>
          <t>NOTHING OPEN</t>
        </is>
      </c>
    </row>
    <row r="431" ht="60" customHeight="1">
      <c r="A431" s="3" t="inlineStr">
        <is>
          <t>MK-PL-F-050</t>
        </is>
      </c>
      <c r="B431" s="3" t="inlineStr">
        <is>
          <t>simulate</t>
        </is>
      </c>
      <c r="C431" s="3" t="inlineStr">
        <is>
          <t>src/domain/retirement/index.ts</t>
        </is>
      </c>
      <c r="D431" s="3" t="n">
        <v>372</v>
      </c>
      <c r="E431" s="3" t="inlineStr">
        <is>
          <t>2 · DISPLAYED</t>
        </is>
      </c>
      <c r="F431" s="3" t="inlineStr">
        <is>
          <t>B4 (founder brief 2026-08-20): the RMD rule lives in the ONE dated, sourced table — the Calculation Module's rmd function.</t>
        </is>
      </c>
      <c r="G431"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31"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31" s="3" t="inlineStr">
        <is>
          <t>PARTLY READ — some of the code is still showing through; needs a hand pass</t>
        </is>
      </c>
      <c r="J431" s="3" t="inlineStr">
        <is>
          <t>inp: RetirementInputs</t>
        </is>
      </c>
      <c r="K431" s="3" t="inlineStr">
        <is>
          <t>NOT DECLARED — the code does not say what it gives back</t>
        </is>
      </c>
      <c r="L431" s="3" t="inlineStr">
        <is>
          <t>1. "Claim at age" — on the Retirement cockpit screen
2. "Run Monte Carlo simulation" — on the Retirement cockpit screen</t>
        </is>
      </c>
      <c r="M431"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31" s="3" t="inlineStr">
        <is>
          <t>Yes</t>
        </is>
      </c>
      <c r="O431" s="3" t="inlineStr">
        <is>
          <t>1. MK-CF-O-002 expenses
2. MK-CF-F-132 map
3. MK-PL-F-074 median
4. MK-PL-F-072 mulberry32
5. MK-XS-F-122 n
6. MK-PL-F-073 normal
7. MK-PL-F-075 pctOfSorted
8. MK-ST-F-025 rmdStartAgeFromAge</t>
        </is>
      </c>
      <c r="P431" s="3" t="n">
        <v>21</v>
      </c>
      <c r="Q431"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31"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31" s="3" t="inlineStr">
        <is>
          <t>MK-CF-M-022 · MK-PL-M-034 · MK-XS-M-002</t>
        </is>
      </c>
      <c r="T431" s="3" t="inlineStr">
        <is>
          <t>WILL_IT_LAST</t>
        </is>
      </c>
      <c r="U431" s="3" t="inlineStr">
        <is>
          <t>ACTIVE</t>
        </is>
      </c>
      <c r="V431" s="3" t="inlineStr">
        <is>
          <t>2026-09-08</t>
        </is>
      </c>
      <c r="W431" s="3" t="n"/>
      <c r="X431" s="3" t="n"/>
      <c r="Y431" s="6" t="inlineStr">
        <is>
          <t>TESTED, NOT VERIFIED (G14, G17, G7, Odds — exact, no rounding)</t>
        </is>
      </c>
    </row>
    <row r="432" ht="60" customHeight="1">
      <c r="A432" s="3" t="inlineStr">
        <is>
          <t>MK-PL-F-051</t>
        </is>
      </c>
      <c r="B432" s="3" t="inlineStr">
        <is>
          <t>ssStreamOf</t>
        </is>
      </c>
      <c r="C432" s="3" t="inlineStr">
        <is>
          <t>src/domain/retirement/index.ts</t>
        </is>
      </c>
      <c r="D432" s="3" t="n">
        <v>521</v>
      </c>
      <c r="E432" s="3" t="inlineStr">
        <is>
          <t>3 · DEPENDENT</t>
        </is>
      </c>
      <c r="F432" s="3" t="inlineStr">
        <is>
          <t>The Social Security stream inside an input set, when streams are in use.</t>
        </is>
      </c>
      <c r="G432" s="11" t="inlineStr">
        <is>
          <t>st = (inp.guaranteed streams ?? []).find((x) =&gt; kind = 'ss')
the answer:
monthly = st.monthly
start age = st.start age   if st
nothing   otherwise</t>
        </is>
      </c>
      <c r="H432" s="3" t="inlineStr">
        <is>
          <t>St is (inp.guaranteed streams ?? []).find((x) =&gt; kind = 'ss'). The answer is monthly = st.monthly; start age = st.start age — when st; no answer — otherwise.</t>
        </is>
      </c>
      <c r="I432" s="3" t="inlineStr">
        <is>
          <t>PARTLY READ — some of the code is still showing through; needs a hand pass</t>
        </is>
      </c>
      <c r="J432" s="3" t="inlineStr">
        <is>
          <t>inp: RetirementInputs</t>
        </is>
      </c>
      <c r="K432" s="3" t="inlineStr">
        <is>
          <t>NOT DECLARED — the code does not say what it gives back</t>
        </is>
      </c>
      <c r="L432" s="3" t="inlineStr">
        <is>
          <t>—</t>
        </is>
      </c>
      <c r="M432" s="3" t="inlineStr">
        <is>
          <t>None found in this function — anything it assumes comes from the functions it depends on.</t>
        </is>
      </c>
      <c r="N432" s="3" t="inlineStr">
        <is>
          <t>Yes</t>
        </is>
      </c>
      <c r="O432" s="3" t="inlineStr">
        <is>
          <t>—</t>
        </is>
      </c>
      <c r="P432" s="3" t="n">
        <v>0</v>
      </c>
      <c r="Q432" s="3" t="inlineStr">
        <is>
          <t>None — no dependent function stands behind it</t>
        </is>
      </c>
      <c r="R432" s="3" t="inlineStr">
        <is>
          <t>No dependent function — it reads its inputs and answers</t>
        </is>
      </c>
      <c r="S432" s="3" t="inlineStr">
        <is>
          <t>—</t>
        </is>
      </c>
      <c r="T432" s="3" t="inlineStr">
        <is>
          <t>—</t>
        </is>
      </c>
      <c r="U432" s="3" t="inlineStr">
        <is>
          <t>ACTIVE</t>
        </is>
      </c>
      <c r="V432" s="3" t="inlineStr">
        <is>
          <t>2026-08-27</t>
        </is>
      </c>
      <c r="W432" s="3" t="n"/>
      <c r="X432" s="3" t="n"/>
      <c r="Y432" s="3" t="inlineStr">
        <is>
          <t>NOTHING OPEN</t>
        </is>
      </c>
    </row>
    <row r="433" ht="60" customHeight="1">
      <c r="A433" s="3" t="inlineStr">
        <is>
          <t>MK-PL-F-052</t>
        </is>
      </c>
      <c r="B433" s="3" t="inlineStr">
        <is>
          <t>withSsStream</t>
        </is>
      </c>
      <c r="C433" s="3" t="inlineStr">
        <is>
          <t>src/domain/retirement/index.ts</t>
        </is>
      </c>
      <c r="D433" s="3" t="n">
        <v>550</v>
      </c>
      <c r="E433" s="3" t="inlineStr">
        <is>
          <t>2 · DISPLAYED</t>
        </is>
      </c>
      <c r="F433" s="3" t="inlineStr">
        <is>
          <t>An input set with its Social Security stream replaced — the ONE way a decision screen patches a claim scenario, so the flat streams ride along untouched and the legacy fields stay in step for anything still reading them.</t>
        </is>
      </c>
      <c r="G433" s="11" t="inlineStr">
        <is>
          <t>others = inp.guaranteed streams (or none when missing) where kind ! = 'ss'</t>
        </is>
      </c>
      <c r="H433" s="3" t="inlineStr">
        <is>
          <t>Others is inp.guaranteed streams (or none — when missing) where kind ! = 'ss'.</t>
        </is>
      </c>
      <c r="I433" s="3" t="inlineStr">
        <is>
          <t>PARTLY READ — some of the code is still showing through; needs a hand pass</t>
        </is>
      </c>
      <c r="J433" s="3" t="inlineStr">
        <is>
          <t>1. inp: RetirementInputs
2. monthly: number
3. claimAge: number</t>
        </is>
      </c>
      <c r="K433" s="3" t="inlineStr">
        <is>
          <t>RetirementInputs</t>
        </is>
      </c>
      <c r="L433" s="3" t="inlineStr">
        <is>
          <t>NOT FOUND — a screen calls it, but the words printed beside its answer could not be traced automatically. Needs reading.</t>
        </is>
      </c>
      <c r="M433" s="3" t="inlineStr">
        <is>
          <t>None found in this function — anything it assumes comes from the functions it depends on.</t>
        </is>
      </c>
      <c r="N433" s="3" t="inlineStr">
        <is>
          <t>Yes</t>
        </is>
      </c>
      <c r="O433" s="3" t="inlineStr">
        <is>
          <t>—</t>
        </is>
      </c>
      <c r="P433" s="3" t="n">
        <v>0</v>
      </c>
      <c r="Q433" s="3" t="inlineStr">
        <is>
          <t>None — no dependent function stands behind it</t>
        </is>
      </c>
      <c r="R433" s="3" t="inlineStr">
        <is>
          <t>No dependent function — it reads its inputs and answers</t>
        </is>
      </c>
      <c r="S433" s="3" t="inlineStr">
        <is>
          <t>—</t>
        </is>
      </c>
      <c r="T433" s="3" t="inlineStr">
        <is>
          <t>—</t>
        </is>
      </c>
      <c r="U433" s="3" t="inlineStr">
        <is>
          <t>ACTIVE</t>
        </is>
      </c>
      <c r="V433" s="3" t="inlineStr">
        <is>
          <t>2026-08-27</t>
        </is>
      </c>
      <c r="W433" s="3" t="n"/>
      <c r="X433" s="3" t="n"/>
      <c r="Y433" s="3" t="inlineStr">
        <is>
          <t>NOTHING OPEN</t>
        </is>
      </c>
    </row>
    <row r="434" ht="60" customHeight="1">
      <c r="A434" s="3" t="inlineStr">
        <is>
          <t>MK-PL-F-053</t>
        </is>
      </c>
      <c r="B434" s="3" t="inlineStr">
        <is>
          <t>buildRetirementState</t>
        </is>
      </c>
      <c r="C434" s="3" t="inlineStr">
        <is>
          <t>src/domain/retirement/index.ts</t>
        </is>
      </c>
      <c r="D434" s="3" t="n">
        <v>584</v>
      </c>
      <c r="E434" s="3" t="inlineStr">
        <is>
          <t>3 · DEPENDENT</t>
        </is>
      </c>
      <c r="F434" s="3" t="inlineStr">
        <is>
          <t>NOT DETERMINED — the code carries no note saying what this is for, and it has no row in the old inventory. Needs reading.</t>
        </is>
      </c>
      <c r="G434" s="11" t="inlineStr">
        <is>
          <t>sim = simulate(inp)</t>
        </is>
      </c>
      <c r="H434" s="3" t="inlineStr">
        <is>
          <t>Sim is simulate(inp).</t>
        </is>
      </c>
      <c r="I434" s="3" t="inlineStr">
        <is>
          <t>READ FROM THE CODE — rendered from the expressions the function runs</t>
        </is>
      </c>
      <c r="J434" s="3" t="inlineStr">
        <is>
          <t>1. uid: UserId
2. inp: RetirementInputs</t>
        </is>
      </c>
      <c r="K434" s="3" t="inlineStr">
        <is>
          <t>RetirementState</t>
        </is>
      </c>
      <c r="L434" s="3" t="inlineStr">
        <is>
          <t>—</t>
        </is>
      </c>
      <c r="M434" s="3" t="inlineStr">
        <is>
          <t>· If paths is missing it uses 1000.</t>
        </is>
      </c>
      <c r="N434" s="3" t="inlineStr">
        <is>
          <t>Yes</t>
        </is>
      </c>
      <c r="O434" s="3" t="inlineStr">
        <is>
          <t>1. MK-PL-F-050 simulate
2. MK-XS-F-175 uid</t>
        </is>
      </c>
      <c r="P434" s="3" t="n">
        <v>99</v>
      </c>
      <c r="Q434"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MK-ST-F-043 newEntityId
28. MK-XS-F-006 pruneDaily
29. MK-ST-F-073 rebuildDays
30. MK-NW-F-054 reclassifyAccounts
31. MK-XS-F-174 recomputeBalances
32. MK-CF-F-115 restoreUndo
33. MK-CF-F-109 reviewTransactions
34. MK-ST-F-044 setMoneyFormat
35. MK-CF-F-114 undoSnapshot
36. MK-CF-F-191 ym
37. MK-CF-F-151 actualSpending
38. MK-CF-F-150 debtPaymentsCountedAsExpenses
39. MK-CF-F-153 radar
40. MK-CF-F-149 recurringDebtPayments
41. MK-ST-F-024 rmdStartAge
42. MK-CF-F-138 addLot
43. MK-CF-F-136 bumpCash
44. MK-CF-F-137 findPos
45. MK-CF-F-139 removeShares
46. MK-PF-F-001 totalShares
47. MK-ST-F-052 toNum
48. MK-ST-F-053 money
49. MK-CF-F-085 filingStatusOf
50. MK-CF-F-097 grossFromNet
51. MK-CF-F-185 needsTakeHomeConversion
52. MK-CF-F-089 over65CountOf
53. MK-CF-F-037 inferDebtType
54. MK-ST-F-069 amountOf
55. MK-CF-F-133 cashOf
56. MK-ST-F-066 isDayKey
57. MK-ST-F-070 isOpening
58. MK-ST-F-039 on
59. MK-ST-F-071 rebuildableFrom
60. MK-ST-F-068 stepDay
61. MK-ST-F-072 undo
62. MK-NW-F-053 correctClassOf
63. MK-NW-F-008 incomeBearingClassOf
64. MK-PF-F-002 costBasis
65. MK-PF-F-009 latestClose
66. MK-PF-F-004 marketValue
67. MK-ST-F-030 record
68. MK-XS-F-024 resolveLens
69. MK-ST-F-055 round2
70. MK-CF-F-162 daysApart
71. MK-CF-F-108 isMoneyOut
72. MK-CF-F-131 normPayee
73. MK-CF-F-113 affectedAccountIds
74. MK-CF-F-148 inMonth
75. MK-CF-F-022 paymentShape
76. MK-CF-F-152 isRadarItem
77. MK-CF-F-023 requiredPayment
78. MK-CF-F-134 usesSleeve
79. MK-ST-F-049 formatMoney
80. MK-CF-F-101 taxOwedFor
81. MK-ST-F-067 utcOfDay
82. MK-CF-F-155 cash
83. MK-ST-F-035 covers
84. MK-NW-F-009 maturityClass
85. MK-ST-F-010 nameEvidence
86. MK-PF-F-031 contractMultiplier
87. MK-CF-F-072 currentRetirementIncomeMonthly
88. MK-CF-F-021 defaultPaymentType
89. MK-ST-F-048 currencySymbol
90. MK-CF-F-100 taxableIncomeFor
91. MK-ST-F-034 firstDate
92. MK-NW-F-011 assetClassOf
93. MK-XS-F-147 call
94. MK-CF-F-075 retirementIncomeMonthly
95. MK-ST-F-047 activeCurrency
96. MK-CF-F-099 deductionFor
97. MK-XS-F-064 currentIdToken
98. MK-XS-F-112 relayUrl
99. MK-CF-F-187 seniorDeductionFor</t>
        </is>
      </c>
      <c r="R434"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34" s="3" t="inlineStr">
        <is>
          <t>—</t>
        </is>
      </c>
      <c r="T434" s="3" t="inlineStr">
        <is>
          <t>—</t>
        </is>
      </c>
      <c r="U434" s="3" t="inlineStr">
        <is>
          <t>ACTIVE</t>
        </is>
      </c>
      <c r="V434" s="3" t="inlineStr">
        <is>
          <t>2026-08-27</t>
        </is>
      </c>
      <c r="W434" s="3" t="n"/>
      <c r="X434" s="3" t="n"/>
      <c r="Y434" s="3" t="inlineStr">
        <is>
          <t>NOTHING OPEN</t>
        </is>
      </c>
    </row>
    <row r="435" ht="60" customHeight="1">
      <c r="A435" s="3" t="inlineStr">
        <is>
          <t>MK-PL-F-054</t>
        </is>
      </c>
      <c r="B435" s="3" t="inlineStr">
        <is>
          <t>growOneYear</t>
        </is>
      </c>
      <c r="C435" s="3" t="inlineStr">
        <is>
          <t>src/domain/retirement/index.ts</t>
        </is>
      </c>
      <c r="D435" s="3" t="n">
        <v>623</v>
      </c>
      <c r="E435" s="3" t="inlineStr">
        <is>
          <t>3 · DEPENDENT</t>
        </is>
      </c>
      <c r="F435" s="3" t="inlineStr">
        <is>
          <t>── Deterministic projection (instant — drives the live sliders; no RNG) ────────────── Assumes the average return every year (no market swings).</t>
        </is>
      </c>
      <c r="G435" s="11" t="inlineStr">
        <is>
          <t>balance × (1 + (rate or 0))</t>
        </is>
      </c>
      <c r="H435" s="3" t="inlineStr">
        <is>
          <t>balance times (1 plus (rate or 0)).</t>
        </is>
      </c>
      <c r="I435" s="3" t="inlineStr">
        <is>
          <t>READ FROM THE CODE — rendered from the expressions the function runs</t>
        </is>
      </c>
      <c r="J435" s="3" t="inlineStr">
        <is>
          <t>1. balance: number
2. rate: number</t>
        </is>
      </c>
      <c r="K435" s="3" t="inlineStr">
        <is>
          <t>number</t>
        </is>
      </c>
      <c r="L435" s="3" t="inlineStr">
        <is>
          <t>—</t>
        </is>
      </c>
      <c r="M435" s="3" t="inlineStr">
        <is>
          <t>· If rate is missing it counts as zero, so nothing recorded and a real zero look the same.</t>
        </is>
      </c>
      <c r="N435" s="3" t="inlineStr">
        <is>
          <t>Yes</t>
        </is>
      </c>
      <c r="O435" s="3" t="inlineStr">
        <is>
          <t>—</t>
        </is>
      </c>
      <c r="P435" s="3" t="n">
        <v>0</v>
      </c>
      <c r="Q435" s="3" t="inlineStr">
        <is>
          <t>None — no dependent function stands behind it</t>
        </is>
      </c>
      <c r="R435" s="3" t="inlineStr">
        <is>
          <t>No dependent function — it reads its inputs and answers</t>
        </is>
      </c>
      <c r="S435" s="3" t="inlineStr">
        <is>
          <t>—</t>
        </is>
      </c>
      <c r="T435" s="3" t="inlineStr">
        <is>
          <t>—</t>
        </is>
      </c>
      <c r="U435" s="3" t="inlineStr">
        <is>
          <t>ACTIVE</t>
        </is>
      </c>
      <c r="V435" s="3" t="inlineStr">
        <is>
          <t>2026-08-27</t>
        </is>
      </c>
      <c r="W435" s="3" t="n"/>
      <c r="X435" s="3" t="n"/>
      <c r="Y435" s="3" t="inlineStr">
        <is>
          <t>NOTHING OPEN</t>
        </is>
      </c>
    </row>
    <row r="436" ht="60" customHeight="1">
      <c r="A436" s="3" t="inlineStr">
        <is>
          <t>MK-PL-F-055</t>
        </is>
      </c>
      <c r="B436" s="3" t="inlineStr">
        <is>
          <t>projectNestEgg</t>
        </is>
      </c>
      <c r="C436" s="3" t="inlineStr">
        <is>
          <t>src/domain/retirement/index.ts</t>
        </is>
      </c>
      <c r="D436" s="3" t="n">
        <v>669</v>
      </c>
      <c r="E436" s="3" t="inlineStr">
        <is>
          <t>2 · DISPLAYED</t>
        </is>
      </c>
      <c r="F436" s="3" t="inlineStr">
        <is>
          <t>What will the pot be worth at retirement, and how big does it need to be?</t>
        </is>
      </c>
      <c r="G436" s="11" t="inlineStr">
        <is>
          <t>years to retire  n = max(0, retire age − age today)
pot = start balance × (1 + r)^n
    + Σ for year y = 0 … n−1 of ( contribution × (1 + g)^y × (1 + r)^(n − y − 1) )
where r = the assumed return and g = the rate contributions grow</t>
        </is>
      </c>
      <c r="H436"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36" s="3" t="inlineStr">
        <is>
          <t>READ BY HAND 2026-08-26 — checked line by line against the code</t>
        </is>
      </c>
      <c r="J436" s="3" t="inlineStr">
        <is>
          <t>inp: RetirementInputs</t>
        </is>
      </c>
      <c r="K436" s="3" t="inlineStr">
        <is>
          <t>NestEggProjection</t>
        </is>
      </c>
      <c r="L436" s="3" t="inlineStr">
        <is>
          <t>NOT FOUND — a screen calls it, but the words printed beside its answer could not be traced automatically. Needs reading.</t>
        </is>
      </c>
      <c r="M436"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36" s="3" t="inlineStr">
        <is>
          <t>Yes</t>
        </is>
      </c>
      <c r="O436" s="3" t="inlineStr">
        <is>
          <t>1. MK-CF-F-132 map
2. MK-PL-F-050 simulate</t>
        </is>
      </c>
      <c r="P436" s="3" t="n">
        <v>22</v>
      </c>
      <c r="Q436"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36"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36" s="3" t="inlineStr">
        <is>
          <t>MK-PL-M-026 · MK-PL-M-033</t>
        </is>
      </c>
      <c r="T436" s="3" t="inlineStr">
        <is>
          <t>POT_AT_RETIREMENT</t>
        </is>
      </c>
      <c r="U436" s="3" t="inlineStr">
        <is>
          <t>ACTIVE</t>
        </is>
      </c>
      <c r="V436" s="3" t="inlineStr">
        <is>
          <t>2026-08-27</t>
        </is>
      </c>
      <c r="W436" s="3" t="n"/>
      <c r="X436" s="3" t="n"/>
      <c r="Y436" s="3" t="inlineStr">
        <is>
          <t>NOTHING OPEN</t>
        </is>
      </c>
    </row>
    <row r="437" ht="60" customHeight="1">
      <c r="A437" s="3" t="inlineStr">
        <is>
          <t>MK-PL-F-056</t>
        </is>
      </c>
      <c r="B437" s="3" t="inlineStr">
        <is>
          <t>solveRetireAge</t>
        </is>
      </c>
      <c r="C437" s="3" t="inlineStr">
        <is>
          <t>src/domain/retirement/index.ts</t>
        </is>
      </c>
      <c r="D437" s="3" t="n">
        <v>727</v>
      </c>
      <c r="E437" s="3" t="inlineStr">
        <is>
          <t>2 · DISPLAYED</t>
        </is>
      </c>
      <c r="F437" s="3" t="inlineStr">
        <is>
          <t>"Even if you never save another dollar, you can retire at age Y." Earliest retire age where the current pot (no further contributions) already covers the plan.</t>
        </is>
      </c>
      <c r="G437" s="11" t="inlineStr">
        <is>
          <t>p = project nest egg({ ...inp, annual contribution: 0, retire age: age, guaranteed start age: inp.guaranteed start age })
age   when will have ≥ will need
the answer = nothing</t>
        </is>
      </c>
      <c r="H437" s="3" t="inlineStr">
        <is>
          <t>P is project nest egg({ ...inp, annual contribution: 0, retire age: age, guaranteed start age: inp.guaranteed start age }). When will have is at least will need, it answers age. The answer is no answer.</t>
        </is>
      </c>
      <c r="I437" s="3" t="inlineStr">
        <is>
          <t>READ FROM THE CODE — rendered from the expressions the function runs</t>
        </is>
      </c>
      <c r="J437" s="3" t="inlineStr">
        <is>
          <t>1. inp: RetirementInputs
2. maxAge = 80</t>
        </is>
      </c>
      <c r="K437" s="3" t="inlineStr">
        <is>
          <t>number | null</t>
        </is>
      </c>
      <c r="L437" s="3" t="inlineStr">
        <is>
          <t>"IF YOU NEVER SAVE AGAIN" — on the Retirement cockpit screen</t>
        </is>
      </c>
      <c r="M437" s="3" t="inlineStr">
        <is>
          <t>None found in this function — anything it assumes comes from the functions it depends on.</t>
        </is>
      </c>
      <c r="N437" s="3" t="inlineStr">
        <is>
          <t>Yes</t>
        </is>
      </c>
      <c r="O437" s="3" t="inlineStr">
        <is>
          <t>MK-PL-F-055 projectNestEgg</t>
        </is>
      </c>
      <c r="P437" s="3" t="n">
        <v>23</v>
      </c>
      <c r="Q437"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37"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37" s="3" t="inlineStr">
        <is>
          <t>—</t>
        </is>
      </c>
      <c r="T437" s="3" t="inlineStr">
        <is>
          <t>—</t>
        </is>
      </c>
      <c r="U437" s="3" t="inlineStr">
        <is>
          <t>ACTIVE</t>
        </is>
      </c>
      <c r="V437" s="3" t="inlineStr">
        <is>
          <t>2026-08-27</t>
        </is>
      </c>
      <c r="W437" s="3" t="n"/>
      <c r="X437" s="3" t="n"/>
      <c r="Y437" s="3" t="inlineStr">
        <is>
          <t>NOTHING OPEN</t>
        </is>
      </c>
    </row>
    <row r="438" ht="60" customHeight="1">
      <c r="A438" s="3" t="inlineStr">
        <is>
          <t>MK-PL-F-057</t>
        </is>
      </c>
      <c r="B438" s="3" t="inlineStr">
        <is>
          <t>fullRetirementAge</t>
        </is>
      </c>
      <c r="C438" s="3" t="inlineStr">
        <is>
          <t>src/domain/retirement/ssTiming.ts</t>
        </is>
      </c>
      <c r="D438" s="3" t="n">
        <v>48</v>
      </c>
      <c r="E438" s="3" t="inlineStr">
        <is>
          <t>3 · DEPENDENT</t>
        </is>
      </c>
      <c r="F438" s="3" t="inlineStr">
        <is>
          <t>Full retirement age in YEARS (fractional — 66y4m = 66.333…), from the birth year.</t>
        </is>
      </c>
      <c r="G438" s="11" t="inlineStr">
        <is>
          <t>full retirement age = 67                          when born 1960 or later
                      66 + (birth year − 1954) × 2 months   when born 1955-1959
                      66                          when born 1954 or earlier</t>
        </is>
      </c>
      <c r="H438"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38" s="3" t="inlineStr">
        <is>
          <t>READ BY HAND 2026-08-26 — checked line by line against the code</t>
        </is>
      </c>
      <c r="J438" s="3" t="inlineStr">
        <is>
          <t>birthYear?: number | null</t>
        </is>
      </c>
      <c r="K438" s="3" t="inlineStr">
        <is>
          <t>number</t>
        </is>
      </c>
      <c r="L438" s="3" t="inlineStr">
        <is>
          <t>—</t>
        </is>
      </c>
      <c r="M438" s="3" t="inlineStr">
        <is>
          <t>None found in this function — anything it assumes comes from the functions it depends on.</t>
        </is>
      </c>
      <c r="N438" s="3" t="inlineStr">
        <is>
          <t>Yes</t>
        </is>
      </c>
      <c r="O438" s="3" t="inlineStr">
        <is>
          <t>—</t>
        </is>
      </c>
      <c r="P438" s="3" t="n">
        <v>0</v>
      </c>
      <c r="Q438" s="3" t="inlineStr">
        <is>
          <t>None — no dependent function stands behind it</t>
        </is>
      </c>
      <c r="R438" s="3" t="inlineStr">
        <is>
          <t>No dependent function — it reads its inputs and answers</t>
        </is>
      </c>
      <c r="S438" s="3" t="inlineStr">
        <is>
          <t>—</t>
        </is>
      </c>
      <c r="T438" s="3" t="inlineStr">
        <is>
          <t>SS_FULL_RETIREMENT_AGE</t>
        </is>
      </c>
      <c r="U438" s="3" t="inlineStr">
        <is>
          <t>ACTIVE</t>
        </is>
      </c>
      <c r="V438" s="3" t="inlineStr">
        <is>
          <t>2026-08-27</t>
        </is>
      </c>
      <c r="W438" s="3" t="n"/>
      <c r="X438" s="3" t="n"/>
      <c r="Y438" s="3" t="inlineStr">
        <is>
          <t>NOTHING OPEN</t>
        </is>
      </c>
    </row>
    <row r="439" ht="60" customHeight="1">
      <c r="A439" s="3" t="inlineStr">
        <is>
          <t>MK-PL-F-058</t>
        </is>
      </c>
      <c r="B439" s="3" t="inlineStr">
        <is>
          <t>ssClaimFactorFor</t>
        </is>
      </c>
      <c r="C439" s="3" t="inlineStr">
        <is>
          <t>src/domain/retirement/ssTiming.ts</t>
        </is>
      </c>
      <c r="D439" s="3" t="n">
        <v>95</v>
      </c>
      <c r="E439" s="3" t="inlineStr">
        <is>
          <t>3 · DEPENDENT</t>
        </is>
      </c>
      <c r="F439" s="3" t="inlineStr">
        <is>
          <t>SSA factor for a claim age (62–70), relative to the statement amount at the person's OWN full retirement age.</t>
        </is>
      </c>
      <c r="G439" s="11" t="inlineStr">
        <is>
          <t>months = round(claim age) × 12 − full retirement age × 12
factor = 1                                                   when months = 0
         1 − (first 36 early months × 5/9 of 1%)
           − (each further early month × 5/12 of 1%)          when claiming early
         1 + (each month claimed late × 2/3 of 1%)            when claiming late</t>
        </is>
      </c>
      <c r="H439"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39" s="3" t="inlineStr">
        <is>
          <t>READ BY HAND 2026-08-26 — checked line by line against the code</t>
        </is>
      </c>
      <c r="J439" s="3" t="inlineStr">
        <is>
          <t>1. claimAge: number
2. birthYear?: number | null</t>
        </is>
      </c>
      <c r="K439" s="3" t="inlineStr">
        <is>
          <t>number</t>
        </is>
      </c>
      <c r="L439" s="3" t="inlineStr">
        <is>
          <t>—</t>
        </is>
      </c>
      <c r="M439" s="3" t="inlineStr">
        <is>
          <t>1. Turns a monthly figure into a year by multiplying by twelve.
2. Caps early at 36.
3. Rounds the answer to a whole number.</t>
        </is>
      </c>
      <c r="N439" s="3" t="inlineStr">
        <is>
          <t>Yes</t>
        </is>
      </c>
      <c r="O439" s="3" t="inlineStr">
        <is>
          <t>MK-PL-F-057 fullRetirementAge</t>
        </is>
      </c>
      <c r="P439" s="3" t="n">
        <v>1</v>
      </c>
      <c r="Q439" s="3" t="inlineStr">
        <is>
          <t>MK-PL-F-057 fullRetirementAge</t>
        </is>
      </c>
      <c r="R439" s="3" t="inlineStr">
        <is>
          <t>MK-PL-F-057 fullRetirementAge → MK-PL-F-058 ssClaimFactorFor</t>
        </is>
      </c>
      <c r="S439" s="3" t="inlineStr">
        <is>
          <t>MK-PL-M-019</t>
        </is>
      </c>
      <c r="T439" s="3" t="inlineStr">
        <is>
          <t>SS_CLAIM_FACTOR</t>
        </is>
      </c>
      <c r="U439" s="3" t="inlineStr">
        <is>
          <t>ACTIVE</t>
        </is>
      </c>
      <c r="V439" s="3" t="inlineStr">
        <is>
          <t>2026-08-27</t>
        </is>
      </c>
      <c r="W439" s="3" t="n"/>
      <c r="X439" s="3" t="n"/>
      <c r="Y439" s="3" t="inlineStr">
        <is>
          <t>NOTHING OPEN</t>
        </is>
      </c>
    </row>
    <row r="440" ht="45" customHeight="1">
      <c r="A440" s="3" t="inlineStr">
        <is>
          <t>MK-PL-F-059</t>
        </is>
      </c>
      <c r="B440" s="3" t="inlineStr">
        <is>
          <t>ssClaimFactor</t>
        </is>
      </c>
      <c r="C440" s="3" t="inlineStr">
        <is>
          <t>src/domain/retirement/ssTiming.ts</t>
        </is>
      </c>
      <c r="D440" s="3" t="n">
        <v>126</v>
      </c>
      <c r="E440" s="3" t="inlineStr">
        <is>
          <t>3 · DEPENDENT (feeds an action only)</t>
        </is>
      </c>
      <c r="F440" s="3" t="inlineStr">
        <is>
          <t>The pre-table factor, anchored at 67 — unchanged behaviour for anyone born 1960+.</t>
        </is>
      </c>
      <c r="G440" s="11" t="inlineStr">
        <is>
          <t>ss claim factor for(claim age, nothing)</t>
        </is>
      </c>
      <c r="H440" s="3" t="inlineStr">
        <is>
          <t>ss claim factor for(claim age, no answer).</t>
        </is>
      </c>
      <c r="I440" s="3" t="inlineStr">
        <is>
          <t>READ FROM THE CODE — rendered from the expressions the function runs</t>
        </is>
      </c>
      <c r="J440" s="3" t="inlineStr">
        <is>
          <t>claimAge: number</t>
        </is>
      </c>
      <c r="K440" s="3" t="inlineStr">
        <is>
          <t>number</t>
        </is>
      </c>
      <c r="L440" s="3" t="inlineStr">
        <is>
          <t>—</t>
        </is>
      </c>
      <c r="M440" s="3" t="inlineStr">
        <is>
          <t>None found in this function — anything it assumes comes from the functions it depends on.</t>
        </is>
      </c>
      <c r="N440" s="3" t="inlineStr">
        <is>
          <t>No</t>
        </is>
      </c>
      <c r="O440" s="3" t="inlineStr">
        <is>
          <t>MK-PL-F-058 ssClaimFactorFor</t>
        </is>
      </c>
      <c r="P440" s="3" t="n">
        <v>2</v>
      </c>
      <c r="Q440" s="3" t="inlineStr">
        <is>
          <t>1. MK-PL-F-058 ssClaimFactorFor
2. MK-PL-F-057 fullRetirementAge</t>
        </is>
      </c>
      <c r="R440" s="3" t="inlineStr">
        <is>
          <t>MK-PL-F-057 fullRetirementAge → MK-PL-F-058 ssClaimFactorFor → MK-PL-F-059 ssClaimFactor</t>
        </is>
      </c>
      <c r="S440" s="3" t="inlineStr">
        <is>
          <t>—</t>
        </is>
      </c>
      <c r="T440" s="3" t="inlineStr">
        <is>
          <t>—</t>
        </is>
      </c>
      <c r="U440" s="3" t="inlineStr">
        <is>
          <t>ACTIVE</t>
        </is>
      </c>
      <c r="V440" s="3" t="inlineStr">
        <is>
          <t>2026-08-27</t>
        </is>
      </c>
      <c r="W440" s="3" t="n"/>
      <c r="X440" s="3" t="n"/>
      <c r="Y440" s="3" t="inlineStr">
        <is>
          <t>NOTHING OPEN</t>
        </is>
      </c>
    </row>
    <row r="441" ht="60" customHeight="1">
      <c r="A441" s="3" t="inlineStr">
        <is>
          <t>MK-PL-F-060</t>
        </is>
      </c>
      <c r="B441" s="3" t="inlineStr">
        <is>
          <t>ssBenefitAt</t>
        </is>
      </c>
      <c r="C441" s="3" t="inlineStr">
        <is>
          <t>src/domain/retirement/ssTiming.ts</t>
        </is>
      </c>
      <c r="D441" s="3" t="n">
        <v>158</v>
      </c>
      <c r="E441" s="3" t="inlineStr">
        <is>
          <t>2 · DISPLAYED</t>
        </is>
      </c>
      <c r="F441" s="3" t="inlineStr">
        <is>
          <t>Monthly benefit at a claim age from the at-FRA statement amount (today's dollars, whole $).</t>
        </is>
      </c>
      <c r="G441" s="11" t="inlineStr">
        <is>
          <t>monthly benefit = statement amount at full retirement age × factor(claim age)</t>
        </is>
      </c>
      <c r="H441" s="3" t="inlineStr">
        <is>
          <t>The amount on the Social Security statement, scaled by the claim-age factor and rounded to whole dollars. In today's money — no inflation is applied here.</t>
        </is>
      </c>
      <c r="I441" s="3" t="inlineStr">
        <is>
          <t>READ BY HAND 2026-08-26 — checked line by line against the code</t>
        </is>
      </c>
      <c r="J441" s="3" t="inlineStr">
        <is>
          <t>1. statementMonthly: number
2. claimAge: number
3. birthYear?: number | null</t>
        </is>
      </c>
      <c r="K441" s="3" t="inlineStr">
        <is>
          <t>number</t>
        </is>
      </c>
      <c r="L441" s="3" t="inlineStr">
        <is>
          <t>NOT FOUND — a screen calls it, but the words printed beside its answer could not be traced automatically. Needs reading.</t>
        </is>
      </c>
      <c r="M441" s="3" t="inlineStr">
        <is>
          <t>· If statement monthly is missing it counts as zero, so nothing recorded and a real zero look the same.</t>
        </is>
      </c>
      <c r="N441" s="3" t="inlineStr">
        <is>
          <t>Yes</t>
        </is>
      </c>
      <c r="O441" s="3" t="inlineStr">
        <is>
          <t>MK-PL-F-058 ssClaimFactorFor</t>
        </is>
      </c>
      <c r="P441" s="3" t="n">
        <v>2</v>
      </c>
      <c r="Q441" s="3" t="inlineStr">
        <is>
          <t>1. MK-PL-F-058 ssClaimFactorFor
2. MK-PL-F-057 fullRetirementAge</t>
        </is>
      </c>
      <c r="R441" s="3" t="inlineStr">
        <is>
          <t>MK-PL-F-057 fullRetirementAge → MK-PL-F-058 ssClaimFactorFor → MK-PL-F-060 ssBenefitAt</t>
        </is>
      </c>
      <c r="S441" s="3" t="inlineStr">
        <is>
          <t>MK-PL-M-017 · MK-PL-M-019</t>
        </is>
      </c>
      <c r="T441" s="3" t="inlineStr">
        <is>
          <t>SS_BENEFIT_AT_AGE</t>
        </is>
      </c>
      <c r="U441" s="3" t="inlineStr">
        <is>
          <t>ACTIVE</t>
        </is>
      </c>
      <c r="V441" s="3" t="inlineStr">
        <is>
          <t>2026-09-09</t>
        </is>
      </c>
      <c r="W441" s="3" t="n"/>
      <c r="X441" s="3" t="n"/>
      <c r="Y441" s="3" t="inlineStr">
        <is>
          <t>NOTHING OPEN</t>
        </is>
      </c>
    </row>
    <row r="442" ht="45" customHeight="1">
      <c r="A442" s="3" t="inlineStr">
        <is>
          <t>MK-PL-F-061</t>
        </is>
      </c>
      <c r="B442" s="3" t="inlineStr">
        <is>
          <t>ssBenefitAtClaimAge</t>
        </is>
      </c>
      <c r="C442" s="3" t="inlineStr">
        <is>
          <t>src/domain/retirement/ssTiming.ts</t>
        </is>
      </c>
      <c r="D442" s="3" t="n">
        <v>179</v>
      </c>
      <c r="E442" s="3" t="inlineStr">
        <is>
          <t>2 · DISPLAYED</t>
        </is>
      </c>
      <c r="F442" s="3" t="inlineStr">
        <is>
          <t>Kept for callers not yet passing a birth year (behaves as born-1960+).</t>
        </is>
      </c>
      <c r="G442" s="11" t="inlineStr">
        <is>
          <t>ss benefit at(statement monthly, claim age, nothing)</t>
        </is>
      </c>
      <c r="H442" s="3" t="inlineStr">
        <is>
          <t>ss benefit at(statement monthly, claim age, no answer).</t>
        </is>
      </c>
      <c r="I442" s="3" t="inlineStr">
        <is>
          <t>READ FROM THE CODE — rendered from the expressions the function runs</t>
        </is>
      </c>
      <c r="J442" s="3" t="inlineStr">
        <is>
          <t>1. statementMonthly: number
2. claimAge: number</t>
        </is>
      </c>
      <c r="K442" s="3" t="inlineStr">
        <is>
          <t>number</t>
        </is>
      </c>
      <c r="L442" s="3" t="inlineStr">
        <is>
          <t>"When should I claim Social Security?" — on a card used on more than one screen (ClaimAgeRow)</t>
        </is>
      </c>
      <c r="M442" s="3" t="inlineStr">
        <is>
          <t>None found in this function — anything it assumes comes from the functions it depends on.</t>
        </is>
      </c>
      <c r="N442" s="3" t="inlineStr">
        <is>
          <t>Yes</t>
        </is>
      </c>
      <c r="O442" s="3" t="inlineStr">
        <is>
          <t>MK-PL-F-060 ssBenefitAt</t>
        </is>
      </c>
      <c r="P442" s="3" t="n">
        <v>3</v>
      </c>
      <c r="Q442" s="3" t="inlineStr">
        <is>
          <t>1. MK-PL-F-060 ssBenefitAt
2. MK-PL-F-058 ssClaimFactorFor
3. MK-PL-F-057 fullRetirementAge</t>
        </is>
      </c>
      <c r="R442" s="3" t="inlineStr">
        <is>
          <t>MK-PL-F-057 fullRetirementAge → MK-PL-F-058 ssClaimFactorFor → MK-PL-F-060 ssBenefitAt → MK-PL-F-061 ssBenefitAtClaimAge</t>
        </is>
      </c>
      <c r="S442" s="3" t="inlineStr">
        <is>
          <t>—</t>
        </is>
      </c>
      <c r="T442" s="3" t="inlineStr">
        <is>
          <t>—</t>
        </is>
      </c>
      <c r="U442" s="3" t="inlineStr">
        <is>
          <t>ACTIVE</t>
        </is>
      </c>
      <c r="V442" s="3" t="inlineStr">
        <is>
          <t>2026-08-27</t>
        </is>
      </c>
      <c r="W442" s="3" t="n"/>
      <c r="X442" s="3" t="n"/>
      <c r="Y442" s="3" t="inlineStr">
        <is>
          <t>NOTHING OPEN</t>
        </is>
      </c>
    </row>
    <row r="443" ht="60" customHeight="1">
      <c r="A443" s="3" t="inlineStr">
        <is>
          <t>MK-PL-F-062</t>
        </is>
      </c>
      <c r="B443" s="3" t="inlineStr">
        <is>
          <t>ssLifetimeTotal</t>
        </is>
      </c>
      <c r="C443" s="3" t="inlineStr">
        <is>
          <t>src/domain/retirement/ssTiming.ts</t>
        </is>
      </c>
      <c r="D443" s="3" t="n">
        <v>208</v>
      </c>
      <c r="E443" s="3" t="inlineStr">
        <is>
          <t>2 · DISPLAYED</t>
        </is>
      </c>
      <c r="F443" s="3" t="inlineStr">
        <is>
          <t>Total collected from claim age to a live-to age the USER sets (months × monthly, today's dollars).</t>
        </is>
      </c>
      <c r="G443" s="11" t="inlineStr">
        <is>
          <t>months = max(0, round((live to age − claim age) × 12))
the answer = ss benefit at(statement monthly, claim age, birth year) × months</t>
        </is>
      </c>
      <c r="H443" s="3" t="inlineStr">
        <is>
          <t>Months is (live to age minus claim age, to a whole number times 12, never below zero). The answer is ss benefit at(statement monthly, claim age, birth year) times months.</t>
        </is>
      </c>
      <c r="I443" s="3" t="inlineStr">
        <is>
          <t>READ FROM THE CODE — rendered from the expressions the function runs</t>
        </is>
      </c>
      <c r="J443" s="3" t="inlineStr">
        <is>
          <t>1. statementMonthly: number
2. claimAge: number
3. liveToAge: number
4. birthYear?: number | null</t>
        </is>
      </c>
      <c r="K443" s="3" t="inlineStr">
        <is>
          <t>number</t>
        </is>
      </c>
      <c r="L443" s="3" t="inlineStr">
        <is>
          <t>NOT FOUND — a screen calls it, but the words printed beside its answer could not be traced automatically. Needs reading.</t>
        </is>
      </c>
      <c r="M443"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43" s="3" t="inlineStr">
        <is>
          <t>Yes</t>
        </is>
      </c>
      <c r="O443" s="3" t="inlineStr">
        <is>
          <t>MK-PL-F-060 ssBenefitAt</t>
        </is>
      </c>
      <c r="P443" s="3" t="n">
        <v>3</v>
      </c>
      <c r="Q443" s="3" t="inlineStr">
        <is>
          <t>1. MK-PL-F-060 ssBenefitAt
2. MK-PL-F-058 ssClaimFactorFor
3. MK-PL-F-057 fullRetirementAge</t>
        </is>
      </c>
      <c r="R443" s="3" t="inlineStr">
        <is>
          <t>MK-PL-F-057 fullRetirementAge → MK-PL-F-058 ssClaimFactorFor → MK-PL-F-060 ssBenefitAt → MK-PL-F-062 ssLifetimeTotal</t>
        </is>
      </c>
      <c r="S443" s="3" t="inlineStr">
        <is>
          <t>—</t>
        </is>
      </c>
      <c r="T443" s="3" t="inlineStr">
        <is>
          <t>—</t>
        </is>
      </c>
      <c r="U443" s="3" t="inlineStr">
        <is>
          <t>ACTIVE</t>
        </is>
      </c>
      <c r="V443" s="3" t="inlineStr">
        <is>
          <t>2026-08-27</t>
        </is>
      </c>
      <c r="W443" s="3" t="n"/>
      <c r="X443" s="3" t="n"/>
      <c r="Y443" s="3" t="inlineStr">
        <is>
          <t>NOTHING OPEN</t>
        </is>
      </c>
    </row>
    <row r="444" ht="60" customHeight="1">
      <c r="A444" s="3" t="inlineStr">
        <is>
          <t>MK-PL-F-063</t>
        </is>
      </c>
      <c r="B444" s="3" t="inlineStr">
        <is>
          <t>fraLabel</t>
        </is>
      </c>
      <c r="C444" s="3" t="inlineStr">
        <is>
          <t>src/domain/retirement/ssTiming.ts</t>
        </is>
      </c>
      <c r="D444" s="3" t="n">
        <v>239</v>
      </c>
      <c r="E444" s="3" t="inlineStr">
        <is>
          <t>2 · DISPLAYED</t>
        </is>
      </c>
      <c r="F444" s="3" t="inlineStr">
        <is>
          <t>The FRA as words a person recognises — "67", or "66 and 4 months".</t>
        </is>
      </c>
      <c r="G444" s="11" t="inlineStr">
        <is>
          <t>fra = full retirement age(birth year)
years = round down(fra)
months = round((fra − years) × 12)
the answer:
string(years)   if months = 0
`${years} and ${months} months`   otherwise</t>
        </is>
      </c>
      <c r="H444" s="3" t="inlineStr">
        <is>
          <t>Fra is full retirement age(birth year). Years is fra, rounded down. Months is (fra minus years, to a whole number times 12). The answer is string(years) — when months = 0; `${years} and ${months} months` — otherwise.</t>
        </is>
      </c>
      <c r="I444" s="3" t="inlineStr">
        <is>
          <t>PARTLY READ — some of the code is still showing through; needs a hand pass</t>
        </is>
      </c>
      <c r="J444" s="3" t="inlineStr">
        <is>
          <t>birthYear?: number | null</t>
        </is>
      </c>
      <c r="K444" s="3" t="inlineStr">
        <is>
          <t>string</t>
        </is>
      </c>
      <c r="L444" s="3" t="inlineStr">
        <is>
          <t>"We lay it out. You decide." — on the Social Security timing screen</t>
        </is>
      </c>
      <c r="M444" s="3" t="inlineStr">
        <is>
          <t>1. Turns a monthly figure into a year by multiplying by twelve.
2. Rounds the answer to a whole number.</t>
        </is>
      </c>
      <c r="N444" s="3" t="inlineStr">
        <is>
          <t>Yes</t>
        </is>
      </c>
      <c r="O444" s="3" t="inlineStr">
        <is>
          <t>MK-PL-F-057 fullRetirementAge</t>
        </is>
      </c>
      <c r="P444" s="3" t="n">
        <v>1</v>
      </c>
      <c r="Q444" s="3" t="inlineStr">
        <is>
          <t>MK-PL-F-057 fullRetirementAge</t>
        </is>
      </c>
      <c r="R444" s="3" t="inlineStr">
        <is>
          <t>MK-PL-F-057 fullRetirementAge → MK-PL-F-063 fraLabel</t>
        </is>
      </c>
      <c r="S444" s="3" t="inlineStr">
        <is>
          <t>—</t>
        </is>
      </c>
      <c r="T444" s="3" t="inlineStr">
        <is>
          <t>—</t>
        </is>
      </c>
      <c r="U444" s="3" t="inlineStr">
        <is>
          <t>ACTIVE</t>
        </is>
      </c>
      <c r="V444" s="3" t="inlineStr">
        <is>
          <t>2026-08-27</t>
        </is>
      </c>
      <c r="W444" s="3" t="n"/>
      <c r="X444" s="3" t="n"/>
      <c r="Y444" s="3" t="inlineStr">
        <is>
          <t>NOTHING OPEN</t>
        </is>
      </c>
    </row>
    <row r="445" ht="60" customHeight="1">
      <c r="A445" s="3" t="inlineStr">
        <is>
          <t>MK-PL-F-064</t>
        </is>
      </c>
      <c r="B445" s="3" t="inlineStr">
        <is>
          <t>claimWindow</t>
        </is>
      </c>
      <c r="C445" s="3" t="inlineStr">
        <is>
          <t>src/domain/retirement/ssTiming.ts</t>
        </is>
      </c>
      <c r="D445" s="3" t="n">
        <v>271</v>
      </c>
      <c r="E445" s="3" t="inlineStr">
        <is>
          <t>2 · DISPLAYED</t>
        </is>
      </c>
      <c r="F445" s="3" t="inlineStr">
        <is>
          <t>The claim window: the month the person turns 62 → the month they turn 70.</t>
        </is>
      </c>
      <c r="G445"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45"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45" s="3" t="inlineStr">
        <is>
          <t>PARTLY READ — some of the code is still showing through; needs a hand pass</t>
        </is>
      </c>
      <c r="J445" s="3" t="inlineStr">
        <is>
          <t>1. birthYear: number | null
2. birthMonth: number | null</t>
        </is>
      </c>
      <c r="K445" s="3" t="inlineStr">
        <is>
          <t>NOT DECLARED — the code does not say what it gives back</t>
        </is>
      </c>
      <c r="L445" s="3" t="inlineStr">
        <is>
          <t>"Your assumption, not our prediction." — on the Social Security timing screen</t>
        </is>
      </c>
      <c r="M445" s="3" t="inlineStr">
        <is>
          <t>None found in this function — anything it assumes comes from the functions it depends on.</t>
        </is>
      </c>
      <c r="N445" s="3" t="inlineStr">
        <is>
          <t>Yes</t>
        </is>
      </c>
      <c r="O445" s="3" t="inlineStr">
        <is>
          <t>—</t>
        </is>
      </c>
      <c r="P445" s="3" t="n">
        <v>0</v>
      </c>
      <c r="Q445" s="3" t="inlineStr">
        <is>
          <t>None — no dependent function stands behind it</t>
        </is>
      </c>
      <c r="R445" s="3" t="inlineStr">
        <is>
          <t>No dependent function — it reads its inputs and answers</t>
        </is>
      </c>
      <c r="S445" s="3" t="inlineStr">
        <is>
          <t>—</t>
        </is>
      </c>
      <c r="T445" s="3" t="inlineStr">
        <is>
          <t>—</t>
        </is>
      </c>
      <c r="U445" s="3" t="inlineStr">
        <is>
          <t>ACTIVE</t>
        </is>
      </c>
      <c r="V445" s="3" t="inlineStr">
        <is>
          <t>2026-08-27</t>
        </is>
      </c>
      <c r="W445" s="3" t="n"/>
      <c r="X445" s="3" t="n"/>
      <c r="Y445" s="3" t="inlineStr">
        <is>
          <t>NOTHING OPEN</t>
        </is>
      </c>
    </row>
    <row r="446" ht="60" customHeight="1">
      <c r="A446" s="3" t="inlineStr">
        <is>
          <t>MK-PL-F-065</t>
        </is>
      </c>
      <c r="B446" s="3" t="inlineStr">
        <is>
          <t>volOf</t>
        </is>
      </c>
      <c r="C446" s="3" t="inlineStr">
        <is>
          <t>src/domain/retirement/willItLast.ts</t>
        </is>
      </c>
      <c r="D446" s="3" t="n">
        <v>86</v>
      </c>
      <c r="E446" s="3" t="inlineStr">
        <is>
          <t>2 · DISPLAYED</t>
        </is>
      </c>
      <c r="F446" s="3" t="inlineStr">
        <is>
          <t>Same volatility convention as the cockpit: higher return ⇒ more volatility.</t>
        </is>
      </c>
      <c r="G446" s="11" t="inlineStr">
        <is>
          <t>hold ret × 1.7 between 0.05 and 0.2</t>
        </is>
      </c>
      <c r="H446" s="3" t="inlineStr">
        <is>
          <t>hold ret times 1.7 between 0.05 and 0.2</t>
        </is>
      </c>
      <c r="I446" s="3" t="inlineStr">
        <is>
          <t>READ FROM THE CODE — rendered from the expressions the function runs</t>
        </is>
      </c>
      <c r="J446" s="3" t="inlineStr">
        <is>
          <t>ret: number</t>
        </is>
      </c>
      <c r="K446" s="3" t="inlineStr">
        <is>
          <t>NOT DECLARED — the code does not say what it gives back</t>
        </is>
      </c>
      <c r="L446" s="3" t="inlineStr">
        <is>
          <t>NOT FOUND — a screen calls it, but the words printed beside its answer could not be traced automatically. Needs reading.</t>
        </is>
      </c>
      <c r="M446" s="3" t="inlineStr">
        <is>
          <t>· Never lets the answer fall below 5% or rise above 20%.</t>
        </is>
      </c>
      <c r="N446" s="3" t="inlineStr">
        <is>
          <t>Yes</t>
        </is>
      </c>
      <c r="O446" s="3" t="inlineStr">
        <is>
          <t>1. MK-PL-F-077 clamp
2. MK-CF-O-002 expenses
3. MK-PL-F-050 simulate</t>
        </is>
      </c>
      <c r="P446" s="3" t="n">
        <v>40</v>
      </c>
      <c r="Q446"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MK-NW-F-110 primaryHomeIdOf
20. MK-CF-F-148 inMonth
21. MK-ST-F-052 toNum
22. MK-CF-F-191 ym
23. MK-ST-F-056 has
24. MK-CF-F-022 paymentShape
25. MK-CF-F-152 isRadarItem
26. MK-CF-F-023 requiredPayment
27. MK-ST-F-024 rmdStartAge
28. MK-NW-F-030 earmarkDefault
29. MK-NW-F-117 propertyUseMap
30. MK-CF-F-021 defaultPaymentType
31. MK-NW-F-011 assetClassOf
32. MK-NW-F-115 liveRent
33. MK-NW-F-116 rentedIdsOf
34. MK-NW-F-008 incomeBearingClassOf
35. MK-NW-F-114 rentAmount
36. MK-ST-F-010 nameEvidence
37. MK-XS-F-147 call
38. MK-ST-F-027 accountId
39. MK-XS-F-064 currentIdToken
40. MK-XS-F-112 relayUrl</t>
        </is>
      </c>
      <c r="R446" s="3" t="inlineStr">
        <is>
          <t>1. MK-XS-F-122 n → MK-CF-F-155 cash → MK-NW-F-035 blendedVolatility → MK-PL-F-077 clamp → MK-PL-F-065 volOf
2. MK-NW-F-011 assetClassOf → MK-NW-F-030 earmarkDefault → MK-NW-F-032 earmarkedAmount → MK-NW-F-035 blendedVolatility → MK-PL-F-077 clamp → MK-PL-F-065 volOf
3. MK-NW-F-031 primaryCarIdOf → MK-NW-F-035 blendedVolatility → MK-PL-F-077 clamp → MK-PL-F-065 volOf
4. MK-NW-F-011 assetClassOf → MK-NW-F-030 earmarkDefault → MK-NW-F-110 primaryHomeIdOf → MK-NW-F-035 blendedVolatility → MK-PL-F-077 clamp → MK-PL-F-065 volOf
5. MK-NW-F-011 assetClassOf → MK-NW-F-117 propertyUseMap → MK-NW-F-110 primaryHomeIdOf → MK-NW-F-035 blendedVolatility → MK-PL-F-077 clamp → MK-PL-F-065 volOf
6. MK-ST-F-056 has → MK-NW-F-117 propertyUseMap → MK-NW-F-110 primaryHomeIdOf → MK-NW-F-035 blendedVolatility → MK-PL-F-077 clamp → MK-PL-F-065 volOf
7. MK-NW-F-115 liveRent → MK-NW-F-117 propertyUseMap → MK-NW-F-110 primaryHomeIdOf → MK-NW-F-035 blendedVolatility → MK-PL-F-077 clamp → MK-PL-F-065 volOf
8. MK-NW-F-116 rentedIdsOf → MK-NW-F-117 propertyUseMap → MK-NW-F-110 primaryHomeIdOf → MK-NW-F-035 blendedVolatility → MK-PL-F-077 clamp → MK-PL-F-065 volOf
9. … and 5 more paths</t>
        </is>
      </c>
      <c r="S446" s="3" t="inlineStr">
        <is>
          <t>—</t>
        </is>
      </c>
      <c r="T446" s="3" t="inlineStr">
        <is>
          <t>SWING_FROM_RETURN</t>
        </is>
      </c>
      <c r="U446" s="3" t="inlineStr">
        <is>
          <t>ACTIVE</t>
        </is>
      </c>
      <c r="V446" s="3" t="inlineStr">
        <is>
          <t>2026-08-27</t>
        </is>
      </c>
      <c r="W446" s="3" t="n"/>
      <c r="X446" s="3" t="n"/>
      <c r="Y446" s="3" t="inlineStr">
        <is>
          <t>NOTHING OPEN</t>
        </is>
      </c>
    </row>
    <row r="447" ht="60" customHeight="1">
      <c r="A447" s="3" t="inlineStr">
        <is>
          <t>MK-PL-F-066</t>
        </is>
      </c>
      <c r="B447" s="3" t="inlineStr">
        <is>
          <t>displayOdds</t>
        </is>
      </c>
      <c r="C447" s="3" t="inlineStr">
        <is>
          <t>src/domain/retirement/willItLast.ts</t>
        </is>
      </c>
      <c r="D447" s="3" t="n">
        <v>143</v>
      </c>
      <c r="E447" s="3" t="inlineStr">
        <is>
          <t>2 · DISPLAYED</t>
        </is>
      </c>
      <c r="F447" s="3" t="inlineStr">
        <is>
          <t>B6 (founder brief 2026-08-20): the odds a person sees, to the nearest 5 — with one honesty guard at each end: 100 means "every simulated future worked" and 0 means "none did", and neither claim may be minted by rounding.</t>
        </is>
      </c>
      <c r="G447" s="11" t="inlineStr">
        <is>
          <t>min(100, max(0, round(chance, 6 dp)))</t>
        </is>
      </c>
      <c r="H447" s="3" t="inlineStr">
        <is>
          <t>the smaller of 100 and chance, to 6 decimal places, never below zero.</t>
        </is>
      </c>
      <c r="I447" s="3" t="inlineStr">
        <is>
          <t>READ FROM THE CODE — rendered from the expressions the function runs</t>
        </is>
      </c>
      <c r="J447" s="3" t="inlineStr">
        <is>
          <t>chance: number</t>
        </is>
      </c>
      <c r="K447" s="3" t="inlineStr">
        <is>
          <t>number</t>
        </is>
      </c>
      <c r="L447" s="3" t="inlineStr">
        <is>
          <t>"Claim at age" — on the Retirement cockpit screen</t>
        </is>
      </c>
      <c r="M447" s="3" t="inlineStr">
        <is>
          <t>· Rounds the answer to 6 decimal places.</t>
        </is>
      </c>
      <c r="N447" s="3" t="inlineStr">
        <is>
          <t>Yes</t>
        </is>
      </c>
      <c r="O447" s="3" t="inlineStr">
        <is>
          <t>—</t>
        </is>
      </c>
      <c r="P447" s="3" t="n">
        <v>0</v>
      </c>
      <c r="Q447" s="3" t="inlineStr">
        <is>
          <t>None — no dependent function stands behind it</t>
        </is>
      </c>
      <c r="R447" s="3" t="inlineStr">
        <is>
          <t>No dependent function — it reads its inputs and answers</t>
        </is>
      </c>
      <c r="S447" s="3" t="inlineStr">
        <is>
          <t>—</t>
        </is>
      </c>
      <c r="T447" s="3" t="inlineStr">
        <is>
          <t>ODDS_DISPLAY</t>
        </is>
      </c>
      <c r="U447" s="3" t="inlineStr">
        <is>
          <t>ACTIVE</t>
        </is>
      </c>
      <c r="V447" s="3" t="inlineStr">
        <is>
          <t>2026-09-14</t>
        </is>
      </c>
      <c r="W447" s="3" t="n"/>
      <c r="X447" s="3" t="n"/>
      <c r="Y447" s="3" t="inlineStr">
        <is>
          <t>NOTHING OPEN</t>
        </is>
      </c>
    </row>
    <row r="448" ht="60" customHeight="1">
      <c r="A448" s="3" t="inlineStr">
        <is>
          <t>MK-PL-F-067</t>
        </is>
      </c>
      <c r="B448" s="3" t="inlineStr">
        <is>
          <t>willItLastInputs</t>
        </is>
      </c>
      <c r="C448" s="3" t="inlineStr">
        <is>
          <t>src/domain/retirement/willItLast.ts</t>
        </is>
      </c>
      <c r="D448" s="3" t="n">
        <v>196</v>
      </c>
      <c r="E448" s="3" t="inlineStr">
        <is>
          <t>2 · DISPLAYED</t>
        </is>
      </c>
      <c r="F448" s="3" t="inlineStr">
        <is>
          <t>What goes into working out the odds?</t>
        </is>
      </c>
      <c r="G448" s="11" t="inlineStr">
        <is>
          <t>op = op (or none when missing)
a = assumptions (or none when missing)
age = age attained in year(num or zero(op.birth year) or nothing)
nothing   when age = nothing
nest egg = retirement earmarked value(accounts)
bequest = num or zero(op.legacy target)
spendable egg = max(0, nest egg − bequest)
bench blended = blended return(accounts) (or 0.06 when missing)
actual blended = portfolio actual return(accounts)
return basis = A.return basis (or 'benchmark' when missing)
scenario return = A.expected return (or bench blended when missing)
… the first steps only — the rest of the body needs reading by hand.</t>
        </is>
      </c>
      <c r="H448" s="3" t="inlineStr">
        <is>
          <t>Op is op (or none — when missing). A is assumptions (or none — when missing). Age is age attained in year(num or zero(op.birth year) or no answer). When age is missing, it answers no answer. Nest egg is retirement earmarked value(accounts). Bequest is num or zero(op.legacy target). Spendable egg is nest egg minus bequest, never below zero. Bench blended is blended return(accounts) (or 0.06 — when missing). Actual blended is portfolio actual return(accounts). Return basis is A.return basis (or 'benchmark' — when missing). Scenario return is A.expected return (or bench blended — when missing). Only the first steps are shown; the rest of the body needs reading by hand.</t>
        </is>
      </c>
      <c r="I448" s="3" t="inlineStr">
        <is>
          <t>PARTLY READ — some of the code is still showing through; needs a hand pass</t>
        </is>
      </c>
      <c r="J448" s="3" t="inlineStr">
        <is>
          <t>a: WillItLastArgs</t>
        </is>
      </c>
      <c r="K448" s="3" t="inlineStr">
        <is>
          <t>RetirementInputs | null</t>
        </is>
      </c>
      <c r="L448" s="3" t="inlineStr">
        <is>
          <t>NOT FOUND — a screen calls it, but the words printed beside its answer could not be traced automatically. Needs reading.</t>
        </is>
      </c>
      <c r="M448"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48" s="3" t="inlineStr">
        <is>
          <t>Yes</t>
        </is>
      </c>
      <c r="O448"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t>
        </is>
      </c>
      <c r="P448" s="3" t="n">
        <v>100</v>
      </c>
      <c r="Q448"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
23. MK-XS-F-017 currentAge
24. MK-NW-F-034 benchmarkReturn
25. MK-NW-F-032 earmarkedAmount
26. MK-NW-F-031 primaryCarIdOf
27. MK-NW-F-110 primaryHomeIdOf
28. MK-CF-F-155 cash
29. MK-CF-F-101 taxOwedFor
30. MK-CF-F-151 actualSpending
31. MK-CF-F-150 debtPaymentsCountedAsExpenses
32. MK-CF-F-153 radar
33. MK-CF-F-149 recurringDebtPayments
34. MK-ST-F-052 toNum
35. MK-CF-F-053 annual401kLimit
36. MK-CF-F-078 employerMatchMonthly
37. MK-ST-F-053 money
38. MK-XS-F-122 n
39. MK-PL-F-047 colFactor
40. MK-PL-F-058 ssClaimFactorFor
41. MK-CF-F-072 currentRetirementIncomeMonthly
42. MK-CF-F-071 extraIncome
43. MK-CF-F-068 rentalNetAnnual
44. MK-CF-F-066 rsuAnnual
45. MK-CF-F-082 salaryAnnual
46. MK-CF-F-074 tipsAnnual
47. MK-PL-F-077 clamp
48. MK-PL-F-050 simulate
49. MK-NW-F-007 assetKind
50. MK-NW-F-030 earmarkDefault
51. MK-NW-F-117 propertyUseMap
52. MK-CF-F-100 taxableIncomeFor
53. MK-CF-F-148 inMonth
54. MK-CF-F-191 ym
55. MK-ST-F-056 has
56. MK-CF-F-022 paymentShape
57. MK-CF-F-152 isRadarItem
58. MK-CF-F-023 requiredPayment
59. MK-CF-F-175 sumOverEarners
60. MK-CF-F-178 wageMatchMonthly
61. MK-ST-F-049 formatMoney
62. MK-PL-F-057 fullRetirementAge
63. MK-CF-F-075 retirementIncomeMonthly
64. MK-CF-F-070 benefitAnnual
65. MK-CF-F-067 rentalList
66. MK-CF-F-062 equityRowValue
67. MK-CF-F-063 rowVestYear
68. MK-CF-F-060 salaryGrossByMonth
69. MK-CF-F-081 salaryActiveMonths
70. MK-PL-F-074 median
71. MK-PL-F-072 mulberry32
72. MK-PL-F-073 normal
73. MK-PL-F-075 pctOfSorted
74. MK-ST-F-025 rmdStartAgeFromAge
75. MK-NW-F-011 assetClassOf
76. MK-NW-F-115 liveRent
77. MK-NW-F-116 rentedIdsOf
78. MK-CF-F-099 deductionFor
79. MK-CF-F-021 defaultPaymentType
80. MK-CF-F-173 earnerWages
81. MK-ST-F-048 currencySymbol
82. MK-CF-F-069 benefitActiveMonths
83. MK-CF-F-176 sumMonthsOverEarners
84. MK-CF-F-177 wageGrossByMonth
85. MK-ST-F-024 rmdStartAge
86. MK-NW-F-008 incomeBearingClassOf
87. MK-NW-F-114 rentAmount
88. MK-CF-F-187 seniorDeductionFor
89. MK-CF-F-172 hasWage
90. MK-ST-F-047 activeCurrency
91. MK-CF-F-130 enteredMonthlyRaw
92. MK-CF-F-166 hasMonthlySalaryTable
93. MK-ST-F-036 reconcile
94. MK-CF-F-167 salaryCalendarYear
95. MK-ST-F-010 nameEvidence
96. MK-CF-F-165 salaryMonths
97. MK-XS-F-147 call
98. MK-ST-F-027 accountId
99. MK-XS-F-064 currentIdToken
100. MK-XS-F-112 relayUrl</t>
        </is>
      </c>
      <c r="R448"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MK-NW-F-031 primaryCarIdOf → MK-NW-F-037 blendedReturn → MK-PL-F-067 willItLastInputs
7. MK-NW-F-008 incomeBearingClassOf → MK-NW-F-011 assetClassOf → MK-NW-F-030 earmarkDefault → MK-NW-F-110 primaryHomeIdOf → MK-NW-F-037 blendedReturn → MK-PL-F-067 willItLastInputs
8. MK-NW-F-008 incomeBearingClassOf → MK-NW-F-011 assetClassOf → MK-NW-F-117 propertyUseMap → MK-NW-F-110 primaryHomeIdOf → MK-NW-F-037 blendedReturn → MK-PL-F-067 willItLastInputs
9. … and 5 more paths</t>
        </is>
      </c>
      <c r="S448" s="3" t="inlineStr">
        <is>
          <t>MK-PL-M-008 · MK-PL-M-011 · MK-PL-M-029</t>
        </is>
      </c>
      <c r="T448" s="3" t="inlineStr">
        <is>
          <t>WILL_IT_LAST_INPUTS</t>
        </is>
      </c>
      <c r="U448" s="3" t="inlineStr">
        <is>
          <t>ACTIVE</t>
        </is>
      </c>
      <c r="V448" s="3" t="inlineStr">
        <is>
          <t>2026-10-07</t>
        </is>
      </c>
      <c r="W448" s="3" t="n"/>
      <c r="X448" s="3" t="n"/>
      <c r="Y448" s="6" t="inlineStr">
        <is>
          <t>TESTED, NOT VERIFIED (G5, G7, G9)</t>
        </is>
      </c>
    </row>
    <row r="449" ht="60" customHeight="1">
      <c r="A449" s="3" t="inlineStr">
        <is>
          <t>MK-PL-F-068</t>
        </is>
      </c>
      <c r="B449" s="3" t="inlineStr">
        <is>
          <t>selectWillItLast</t>
        </is>
      </c>
      <c r="C449" s="3" t="inlineStr">
        <is>
          <t>src/domain/retirement/willItLast.ts</t>
        </is>
      </c>
      <c r="D449" s="3" t="n">
        <v>318</v>
      </c>
      <c r="E449" s="3" t="inlineStr">
        <is>
          <t>2 · DISPLAYED</t>
        </is>
      </c>
      <c r="F449" s="3" t="inlineStr">
        <is>
          <t>The one will-it-last read.</t>
        </is>
      </c>
      <c r="G449" s="11" t="inlineStr">
        <is>
          <t>op = op (or none when missing)
inputs = will it last inputs(a)
nest egg = retirement earmarked value(accounts)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49" s="3" t="inlineStr">
        <is>
          <t>Op is op (or none — when missing). Inputs is will it last inputs(a). Nest egg is retirement earmarked value(accounts).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49" s="3" t="inlineStr">
        <is>
          <t>PARTLY READ — some of the code is still showing through; needs a hand pass</t>
        </is>
      </c>
      <c r="J449" s="3" t="inlineStr">
        <is>
          <t>a: WillItLastArgs</t>
        </is>
      </c>
      <c r="K449" s="3" t="inlineStr">
        <is>
          <t>WillItLastResult</t>
        </is>
      </c>
      <c r="L449" s="3" t="inlineStr">
        <is>
          <t>1. "Draw from savings" — on the Cash flow screen, under "YOUR FUTURE PAYCHECK"
2. "WILL MY MONEY LAST?" — on the Cash flow screen, under "WILL MY MONEY LAST?"</t>
        </is>
      </c>
      <c r="M449" s="3" t="inlineStr">
        <is>
          <t>None found in this function — anything it assumes comes from the functions it depends on.</t>
        </is>
      </c>
      <c r="N449" s="3" t="inlineStr">
        <is>
          <t>Yes</t>
        </is>
      </c>
      <c r="O449" s="3" t="inlineStr">
        <is>
          <t>1. MK-PL-F-066 displayOdds
2. MK-PL-F-079 numOrZero
3. MK-NW-F-033 retirementEarmarkedValue
4. MK-PL-F-049 retirementSpendMonthly
5. MK-PL-F-050 simulate
6. MK-PL-F-067 willItLastInputs</t>
        </is>
      </c>
      <c r="P449" s="3" t="n">
        <v>102</v>
      </c>
      <c r="Q449" s="3" t="inlineStr">
        <is>
          <t>1. MK-PL-F-066 displayOdds
2. MK-PL-F-079 numOrZero
3. MK-NW-F-033 retirementEarmarkedValue
4. MK-PL-F-049 retirementSpendMonthly
5. MK-PL-F-050 simulate
6. MK-PL-F-067 willItLastInputs
7. MK-XS-F-122 n
8. MK-NW-F-032 earmarkedAmount
9. MK-NW-F-031 primaryCarIdOf
10. MK-NW-F-110 primaryHomeIdOf
11. MK-PL-F-047 colFactor
12. MK-CF-O-002 expenses
13. MK-PL-F-001 taxBucketSplit
14. MK-ST-F-052 toNum
15. MK-CF-F-132 map
16. MK-PL-F-074 median
17. MK-PL-F-072 mulberry32
18. MK-PL-F-073 normal
19. MK-PL-F-075 pctOfSorted
20. MK-ST-F-025 rmdStartAgeFromAge
21. MK-CF-F-197 ageAttainedInYear
22. MK-XS-F-179 ageToday
23. MK-NW-F-037 blendedReturn
24. MK-NW-F-035 blendedVolatility
25. MK-CF-F-102 effectiveRateOnGrossFor
26. MK-CF-F-085 filingStatusOf
27. MK-CF-F-076 guaranteedOutsideStreams
28. MK-PL-F-083 inflationRateInForce
29. MK-NW-F-041 monthlyContributionsFromOnboarding
30. MK-ST-F-039 on
31. MK-CF-F-089 over65CountOf
32. MK-NW-F-004 portfolioActualReturn
33. MK-PL-F-060 ssBenefitAt
34. MK-CF-F-086 stateRateOf
35. MK-CF-F-083 totalGrossAnnual
36. MK-PL-F-065 volOf
37. MK-NW-F-030 earmarkDefault
38. MK-NW-F-117 propertyUseMap
39. MK-CF-F-151 actualSpending
40. MK-CF-F-150 debtPaymentsCountedAsExpenses
41. MK-CF-F-153 radar
42. MK-CF-F-149 recurringDebtPayments
43. MK-ST-F-024 rmdStartAge
44. MK-XS-F-017 currentAge
45. MK-NW-F-034 benchmarkReturn
46. MK-CF-F-155 cash
47. MK-CF-F-101 taxOwedFor
48. MK-CF-F-053 annual401kLimit
49. MK-CF-F-078 employerMatchMonthly
50. MK-ST-F-053 money
51. MK-PL-F-058 ssClaimFactorFor
52. MK-CF-F-072 currentRetirementIncomeMonthly
53. MK-CF-F-071 extraIncome
54. MK-CF-F-068 rentalNetAnnual
55. MK-CF-F-066 rsuAnnual
56. MK-CF-F-082 salaryAnnual
57. MK-CF-F-074 tipsAnnual
58. MK-PL-F-077 clamp
59. MK-NW-F-011 assetClassOf
60. MK-ST-F-056 has
61. MK-NW-F-115 liveRent
62. MK-NW-F-116 rentedIdsOf
63. MK-CF-F-148 inMonth
64. MK-CF-F-191 ym
65. MK-CF-F-022 paymentShape
66. MK-CF-F-152 isRadarItem
67. MK-CF-F-023 requiredPayment
68. MK-NW-F-007 assetKind
69. MK-CF-F-100 taxableIncomeFor
70. MK-CF-F-175 sumOverEarners
71. MK-CF-F-178 wageMatchMonthly
72. MK-ST-F-049 formatMoney
73. MK-PL-F-057 fullRetirementAge
74. MK-CF-F-075 retirementIncomeMonthly
75. MK-CF-F-070 benefitAnnual
76. MK-CF-F-067 rentalList
77. MK-CF-F-062 equityRowValue
78. MK-CF-F-063 rowVestYear
79. MK-CF-F-060 salaryGrossByMonth
80. MK-CF-F-081 salaryActiveMonths
81. MK-NW-F-008 incomeBearingClassOf
82. MK-NW-F-114 rentAmount
83. MK-CF-F-021 defaultPaymentType
84. MK-CF-F-099 deductionFor
85. MK-CF-F-173 earnerWages
86. MK-ST-F-048 currencySymbol
87. MK-CF-F-069 benefitActiveMonths
88. MK-CF-F-176 sumMonthsOverEarners
89. MK-CF-F-177 wageGrossByMonth
90. MK-ST-F-010 nameEvidence
91. MK-CF-F-187 seniorDeductionFor
92. MK-CF-F-172 hasWage
93. MK-ST-F-047 activeCurrency
94. MK-CF-F-130 enteredMonthlyRaw
95. MK-CF-F-166 hasMonthlySalaryTable
96. MK-ST-F-036 reconcile
97. MK-CF-F-167 salaryCalendarYear
98. MK-XS-F-147 call
99. MK-CF-F-165 salaryMonths
100. MK-ST-F-027 accountId
101. MK-XS-F-064 currentIdToken
102. MK-XS-F-112 relayUrl</t>
        </is>
      </c>
      <c r="R449"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MK-NW-F-031 primaryCarIdOf → MK-NW-F-033 retirementEarmarkedValue → MK-PL-F-068 selectWillItLast
5. MK-NW-F-008 incomeBearingClassOf → MK-NW-F-011 assetClassOf → MK-NW-F-030 earmarkDefault → MK-NW-F-110 primaryHomeIdOf → MK-NW-F-033 retirementEarmarkedValue → MK-PL-F-068 selectWillItLast
6. MK-NW-F-008 incomeBearingClassOf → MK-NW-F-011 assetClassOf → MK-NW-F-117 propertyUseMap → MK-NW-F-110 primaryHomeIdOf → MK-NW-F-033 retirementEarmarkedValue → MK-PL-F-068 selectWillItLast
7. MK-ST-F-056 has → MK-NW-F-117 propertyUseMap → MK-NW-F-110 primaryHomeIdOf → MK-NW-F-033 retirementEarmarkedValue → MK-PL-F-068 selectWillItLast
8. MK-CF-O-002 expenses → MK-NW-F-115 liveRent → MK-NW-F-117 propertyUseMap → MK-NW-F-110 primaryHomeIdOf → MK-NW-F-033 retirementEarmarkedValue → MK-PL-F-068 selectWillItLast
9. … and 5 more paths</t>
        </is>
      </c>
      <c r="S449" s="3" t="inlineStr">
        <is>
          <t>MK-PL-M-034 · MK-XS-M-002</t>
        </is>
      </c>
      <c r="T449" s="3" t="inlineStr">
        <is>
          <t>WILL_IT_LAST_RESULT</t>
        </is>
      </c>
      <c r="U449" s="3" t="inlineStr">
        <is>
          <t>ACTIVE</t>
        </is>
      </c>
      <c r="V449" s="3" t="inlineStr">
        <is>
          <t>2026-09-12</t>
        </is>
      </c>
      <c r="W449" s="3" t="n"/>
      <c r="X449" s="3" t="n"/>
      <c r="Y449" s="3" t="inlineStr">
        <is>
          <t>NOTHING OPEN</t>
        </is>
      </c>
    </row>
    <row r="450" ht="60" customHeight="1">
      <c r="A450" s="3" t="inlineStr">
        <is>
          <t>MK-PL-F-069</t>
        </is>
      </c>
      <c r="B450" s="3" t="inlineStr">
        <is>
          <t>oddsAt</t>
        </is>
      </c>
      <c r="C450" s="3" t="inlineStr">
        <is>
          <t>src/domain/planning/spendMore.ts</t>
        </is>
      </c>
      <c r="D450" s="3" t="n">
        <v>45</v>
      </c>
      <c r="E450" s="3" t="inlineStr">
        <is>
          <t>1 · ACTION</t>
        </is>
      </c>
      <c r="F450" s="3" t="inlineStr">
        <is>
          <t>NOT DETERMINED — the code carries no note saying what this is for, and it has no row in the old inventory. Needs reading.</t>
        </is>
      </c>
      <c r="G450" s="11" t="inlineStr">
        <is>
          <t>the answer = simulate({ …base, retire monthly spend today: monthly spend }).chance of success</t>
        </is>
      </c>
      <c r="H450" s="3" t="inlineStr">
        <is>
          <t>The odds the money lasts when the monthly expenses in retirement are set to a given figure — one full run of the simulation (MK-PL-F-050) with that one input changed.</t>
        </is>
      </c>
      <c r="I450" s="3" t="inlineStr">
        <is>
          <t>READ BY HAND 2026-08-26 — checked line by line against the code</t>
        </is>
      </c>
      <c r="J450" s="3" t="inlineStr">
        <is>
          <t>1. base: RetirementInputs
2. monthlySpend: number</t>
        </is>
      </c>
      <c r="K450" s="3" t="inlineStr">
        <is>
          <t>NOT DECLARED — the code does not say what it gives back</t>
        </is>
      </c>
      <c r="L450" s="3" t="inlineStr">
        <is>
          <t>—</t>
        </is>
      </c>
      <c r="M450" s="3" t="inlineStr">
        <is>
          <t>None found in this function — anything it assumes comes from the functions it depends on.</t>
        </is>
      </c>
      <c r="N450" s="3" t="inlineStr">
        <is>
          <t>Yes</t>
        </is>
      </c>
      <c r="O450" s="3" t="inlineStr">
        <is>
          <t>MK-PL-F-050 simulate</t>
        </is>
      </c>
      <c r="P450" s="3" t="n">
        <v>22</v>
      </c>
      <c r="Q450"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50"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50" s="3" t="inlineStr">
        <is>
          <t>—</t>
        </is>
      </c>
      <c r="T450" s="3" t="inlineStr">
        <is>
          <t>—</t>
        </is>
      </c>
      <c r="U450" s="3" t="inlineStr">
        <is>
          <t>ACTIVE</t>
        </is>
      </c>
      <c r="V450" s="3" t="inlineStr">
        <is>
          <t>2026-09-12</t>
        </is>
      </c>
      <c r="W450" s="3" t="n"/>
      <c r="X450" s="3" t="n"/>
      <c r="Y450" s="3" t="inlineStr">
        <is>
          <t>NOTHING OPEN</t>
        </is>
      </c>
    </row>
    <row r="451" ht="60" customHeight="1">
      <c r="A451" s="3" t="inlineStr">
        <is>
          <t>MK-PL-F-070</t>
        </is>
      </c>
      <c r="B451" s="3" t="inlineStr">
        <is>
          <t>smallestThatWorks</t>
        </is>
      </c>
      <c r="C451" s="3" t="inlineStr">
        <is>
          <t>src/domain/planning/target.ts</t>
        </is>
      </c>
      <c r="D451" s="3" t="n">
        <v>48</v>
      </c>
      <c r="E451" s="3" t="inlineStr">
        <is>
          <t>3 · DEPENDENT</t>
        </is>
      </c>
      <c r="F451" s="3" t="inlineStr">
        <is>
          <t>Smallest x in [lo, hi] where reaching(x) is true, to `tol`.</t>
        </is>
      </c>
      <c r="G451" s="11" t="inlineStr">
        <is>
          <t>lo   when works(lo)
nothing   when !works(hi)
a = lo, b = hi
mid = (a + b) ÷ 2
the answer = b</t>
        </is>
      </c>
      <c r="H451" s="3" t="inlineStr">
        <is>
          <t>When works(lo), it answers lo. When !works(hi), it answers no answer. A is lo, b = hi. Mid is (a plus b) divided by 2. The answer is b.</t>
        </is>
      </c>
      <c r="I451" s="3" t="inlineStr">
        <is>
          <t>READ FROM THE CODE — rendered from the expressions the function runs</t>
        </is>
      </c>
      <c r="J451" s="3" t="inlineStr">
        <is>
          <t>1. lo: number
2. hi: number
3. tol: number
4. works: (x: number) =&gt; boolean</t>
        </is>
      </c>
      <c r="K451" s="3" t="inlineStr">
        <is>
          <t>number | null</t>
        </is>
      </c>
      <c r="L451" s="3" t="inlineStr">
        <is>
          <t>—</t>
        </is>
      </c>
      <c r="M451" s="3" t="inlineStr">
        <is>
          <t>None found in this function — anything it assumes comes from the functions it depends on.</t>
        </is>
      </c>
      <c r="N451" s="3" t="inlineStr">
        <is>
          <t>Yes</t>
        </is>
      </c>
      <c r="O451" s="3" t="inlineStr">
        <is>
          <t>—</t>
        </is>
      </c>
      <c r="P451" s="3" t="n">
        <v>0</v>
      </c>
      <c r="Q451" s="3" t="inlineStr">
        <is>
          <t>None — no dependent function stands behind it</t>
        </is>
      </c>
      <c r="R451" s="3" t="inlineStr">
        <is>
          <t>No dependent function — it reads its inputs and answers</t>
        </is>
      </c>
      <c r="S451" s="3" t="inlineStr">
        <is>
          <t>—</t>
        </is>
      </c>
      <c r="T451" s="3" t="inlineStr">
        <is>
          <t>—</t>
        </is>
      </c>
      <c r="U451" s="3" t="inlineStr">
        <is>
          <t>ACTIVE</t>
        </is>
      </c>
      <c r="V451" s="3" t="inlineStr">
        <is>
          <t>2026-08-27</t>
        </is>
      </c>
      <c r="W451" s="3" t="n"/>
      <c r="X451" s="3" t="n"/>
      <c r="Y451" s="3" t="inlineStr">
        <is>
          <t>NOTHING OPEN</t>
        </is>
      </c>
    </row>
    <row r="452" ht="60" customHeight="1">
      <c r="A452" s="3" t="inlineStr">
        <is>
          <t>MK-PL-F-071</t>
        </is>
      </c>
      <c r="B452" s="3" t="inlineStr">
        <is>
          <t>oddsOf</t>
        </is>
      </c>
      <c r="C452" s="3" t="inlineStr">
        <is>
          <t>src/domain/planning/target.ts</t>
        </is>
      </c>
      <c r="D452" s="3" t="n">
        <v>79</v>
      </c>
      <c r="E452" s="3" t="inlineStr">
        <is>
          <t>1 · ACTION</t>
        </is>
      </c>
      <c r="F452" s="3" t="inlineStr">
        <is>
          <t>NOT DETERMINED — the code carries no note saying what this is for, and it has no row in the old inventory. Needs reading.</t>
        </is>
      </c>
      <c r="G452" s="11" t="inlineStr">
        <is>
          <t>simulate(inp).chance of success</t>
        </is>
      </c>
      <c r="H452" s="3" t="inlineStr">
        <is>
          <t>simulate(inp).chance of success</t>
        </is>
      </c>
      <c r="I452" s="3" t="inlineStr">
        <is>
          <t>PARTLY READ — some of the code is still showing through; needs a hand pass</t>
        </is>
      </c>
      <c r="J452" s="3" t="inlineStr">
        <is>
          <t>inp: RetirementInputs</t>
        </is>
      </c>
      <c r="K452" s="3" t="inlineStr">
        <is>
          <t>NOT DECLARED — the code does not say what it gives back</t>
        </is>
      </c>
      <c r="L452" s="3" t="inlineStr">
        <is>
          <t>—</t>
        </is>
      </c>
      <c r="M452" s="3" t="inlineStr">
        <is>
          <t>None found in this function — anything it assumes comes from the functions it depends on.</t>
        </is>
      </c>
      <c r="N452" s="3" t="inlineStr">
        <is>
          <t>Yes</t>
        </is>
      </c>
      <c r="O452" s="3" t="inlineStr">
        <is>
          <t>MK-PL-F-050 simulate</t>
        </is>
      </c>
      <c r="P452" s="3" t="n">
        <v>22</v>
      </c>
      <c r="Q452"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52"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52" s="3" t="inlineStr">
        <is>
          <t>—</t>
        </is>
      </c>
      <c r="T452" s="3" t="inlineStr">
        <is>
          <t>—</t>
        </is>
      </c>
      <c r="U452" s="3" t="inlineStr">
        <is>
          <t>ACTIVE</t>
        </is>
      </c>
      <c r="V452" s="3" t="inlineStr">
        <is>
          <t>2026-08-27</t>
        </is>
      </c>
      <c r="W452" s="3" t="n"/>
      <c r="X452" s="3" t="n"/>
      <c r="Y452" s="3" t="inlineStr">
        <is>
          <t>NOTHING OPEN</t>
        </is>
      </c>
    </row>
    <row r="453" ht="45" customHeight="1">
      <c r="A453" s="3" t="inlineStr">
        <is>
          <t>MK-PL-F-072</t>
        </is>
      </c>
      <c r="B453" s="3" t="inlineStr">
        <is>
          <t>mulberry32</t>
        </is>
      </c>
      <c r="C453" s="3" t="inlineStr">
        <is>
          <t>src/domain/retirement/index.ts</t>
        </is>
      </c>
      <c r="D453" s="3" t="n">
        <v>218</v>
      </c>
      <c r="E453" s="3" t="inlineStr">
        <is>
          <t>3 · DEPENDENT</t>
        </is>
      </c>
      <c r="F453" s="3" t="inlineStr">
        <is>
          <t>deterministic RNG so results/tests are reproducible</t>
        </is>
      </c>
      <c r="G453" s="11" t="inlineStr">
        <is>
          <t>t = seed += 0x6d2b79f5
the answer = ((t ^ (t &gt;&gt;&gt; 14)) &gt;&gt;&gt; 0) ÷ 4294967296</t>
        </is>
      </c>
      <c r="H453" s="3" t="inlineStr">
        <is>
          <t>T is seed += 0x6d2b79f5. The answer is ((t ^ (t &gt;&gt;&gt; 14)) &gt;&gt;&gt; 0) divided by 4294967296.</t>
        </is>
      </c>
      <c r="I453" s="3" t="inlineStr">
        <is>
          <t>READ FROM THE CODE — rendered from the expressions the function runs</t>
        </is>
      </c>
      <c r="J453" s="3" t="inlineStr">
        <is>
          <t>seed: number</t>
        </is>
      </c>
      <c r="K453" s="3" t="inlineStr">
        <is>
          <t>NOT DECLARED — the code does not say what it gives back</t>
        </is>
      </c>
      <c r="L453" s="3" t="inlineStr">
        <is>
          <t>—</t>
        </is>
      </c>
      <c r="M453" s="3" t="inlineStr">
        <is>
          <t>None found in this function — anything it assumes comes from the functions it depends on.</t>
        </is>
      </c>
      <c r="N453" s="3" t="inlineStr">
        <is>
          <t>Yes</t>
        </is>
      </c>
      <c r="O453" s="3" t="inlineStr">
        <is>
          <t>—</t>
        </is>
      </c>
      <c r="P453" s="3" t="n">
        <v>0</v>
      </c>
      <c r="Q453" s="3" t="inlineStr">
        <is>
          <t>None — no dependent function stands behind it</t>
        </is>
      </c>
      <c r="R453" s="3" t="inlineStr">
        <is>
          <t>No dependent function — it reads its inputs and answers</t>
        </is>
      </c>
      <c r="S453" s="3" t="inlineStr">
        <is>
          <t>—</t>
        </is>
      </c>
      <c r="T453" s="3" t="inlineStr">
        <is>
          <t>—</t>
        </is>
      </c>
      <c r="U453" s="3" t="inlineStr">
        <is>
          <t>ACTIVE</t>
        </is>
      </c>
      <c r="V453" s="3" t="inlineStr">
        <is>
          <t>2026-08-27</t>
        </is>
      </c>
      <c r="W453" s="3" t="n"/>
      <c r="X453" s="3" t="n"/>
      <c r="Y453" s="3" t="inlineStr">
        <is>
          <t>NOTHING OPEN</t>
        </is>
      </c>
    </row>
    <row r="454" ht="60" customHeight="1">
      <c r="A454" s="3" t="inlineStr">
        <is>
          <t>MK-PL-F-073</t>
        </is>
      </c>
      <c r="B454" s="3" t="inlineStr">
        <is>
          <t>normal</t>
        </is>
      </c>
      <c r="C454" s="3" t="inlineStr">
        <is>
          <t>src/domain/retirement/index.ts</t>
        </is>
      </c>
      <c r="D454" s="3" t="n">
        <v>254</v>
      </c>
      <c r="E454" s="3" t="inlineStr">
        <is>
          <t>3 · DEPENDENT</t>
        </is>
      </c>
      <c r="F454" s="3" t="inlineStr">
        <is>
          <t>NOT DETERMINED — the code carries no note saying what this is for, and it has no row in the old inventory. Needs reading.</t>
        </is>
      </c>
      <c r="G454" s="11" t="inlineStr">
        <is>
          <t>u = 0, v = 0
[LOOP — the answer is found inside a loop the extractor cannot render; the steps above are the ones before it. Read by hand.]</t>
        </is>
      </c>
      <c r="H454" s="3" t="inlineStr">
        <is>
          <t>U is 0, v = 0. The answer is mean plus sd times √(-2 times math.log(u)) times math.cos(2 times math.PI times v). The answer is found inside a loop that cannot be rendered here; read the code by hand.</t>
        </is>
      </c>
      <c r="I454" s="3" t="inlineStr">
        <is>
          <t>PARTLY READ — the body has a loop the extractor cannot render; the steps shown are the ones before it. Needs a hand pass (G23).</t>
        </is>
      </c>
      <c r="J454" s="3" t="inlineStr">
        <is>
          <t>rng: () =&gt; number, mean: number, sd: number</t>
        </is>
      </c>
      <c r="K454" s="3" t="inlineStr">
        <is>
          <t>number</t>
        </is>
      </c>
      <c r="L454" s="3" t="inlineStr">
        <is>
          <t>—</t>
        </is>
      </c>
      <c r="M454" s="3" t="inlineStr">
        <is>
          <t>None found in this function — anything it assumes comes from the functions it depends on.</t>
        </is>
      </c>
      <c r="N454" s="3" t="inlineStr">
        <is>
          <t>Yes</t>
        </is>
      </c>
      <c r="O454" s="3" t="inlineStr">
        <is>
          <t>—</t>
        </is>
      </c>
      <c r="P454" s="3" t="n">
        <v>0</v>
      </c>
      <c r="Q454" s="3" t="inlineStr">
        <is>
          <t>None — no dependent function stands behind it</t>
        </is>
      </c>
      <c r="R454" s="3" t="inlineStr">
        <is>
          <t>No dependent function — it reads its inputs and answers</t>
        </is>
      </c>
      <c r="S454" s="3" t="inlineStr">
        <is>
          <t>—</t>
        </is>
      </c>
      <c r="T454" s="3" t="inlineStr">
        <is>
          <t>—</t>
        </is>
      </c>
      <c r="U454" s="3" t="inlineStr">
        <is>
          <t>ACTIVE</t>
        </is>
      </c>
      <c r="V454" s="3" t="inlineStr">
        <is>
          <t>2026-09-08</t>
        </is>
      </c>
      <c r="W454" s="3" t="n"/>
      <c r="X454" s="3" t="n"/>
      <c r="Y454" s="3" t="inlineStr">
        <is>
          <t>NOTHING OPEN</t>
        </is>
      </c>
    </row>
    <row r="455" ht="60" customHeight="1">
      <c r="A455" s="3" t="inlineStr">
        <is>
          <t>MK-PL-F-074</t>
        </is>
      </c>
      <c r="B455" s="3" t="inlineStr">
        <is>
          <t>median</t>
        </is>
      </c>
      <c r="C455" s="3" t="inlineStr">
        <is>
          <t>src/domain/_shared/num.ts</t>
        </is>
      </c>
      <c r="D455" s="3" t="n">
        <v>158</v>
      </c>
      <c r="E455" s="3" t="inlineStr">
        <is>
          <t>2 · DISPLAYED</t>
        </is>
      </c>
      <c r="F455" s="3" t="inlineStr">
        <is>
          <t>The middle value of a list, 0 when it is empty.</t>
        </is>
      </c>
      <c r="G455" s="11" t="inlineStr">
        <is>
          <t>0   when count of xs is missing
s = [...xs].sort((a, b) =&gt; a − b)
m = round down(length ÷ 2)
the answer:
s[m]   if length % 2
(s[m − 1] + s[m]) ÷ 2   otherwise</t>
        </is>
      </c>
      <c r="H455" s="3" t="inlineStr">
        <is>
          <t>When how many xs is missing there are, it answers 0. S is [...xs].sort((a, b) =&gt; a minus b). M is length divided by 2, rounded down. The answer is s[m] — when length % 2; (s[m minus 1] plus s[m]) divided by 2 — otherwise.</t>
        </is>
      </c>
      <c r="I455" s="3" t="inlineStr">
        <is>
          <t>PARTLY READ — some of the code is still showing through; needs a hand pass</t>
        </is>
      </c>
      <c r="J455" s="3" t="inlineStr">
        <is>
          <t>xs: number[]</t>
        </is>
      </c>
      <c r="K455" s="3" t="inlineStr">
        <is>
          <t>number</t>
        </is>
      </c>
      <c r="L455" s="3" t="inlineStr">
        <is>
          <t>NOT FOUND — a screen calls it, but the words printed beside its answer could not be traced automatically. Needs reading.</t>
        </is>
      </c>
      <c r="M455" s="3" t="inlineStr">
        <is>
          <t>None found in this function — anything it assumes comes from the functions it depends on.</t>
        </is>
      </c>
      <c r="N455" s="3" t="inlineStr">
        <is>
          <t>Yes</t>
        </is>
      </c>
      <c r="O455" s="3" t="inlineStr">
        <is>
          <t>—</t>
        </is>
      </c>
      <c r="P455" s="3" t="n">
        <v>0</v>
      </c>
      <c r="Q455" s="3" t="inlineStr">
        <is>
          <t>None — no dependent function stands behind it</t>
        </is>
      </c>
      <c r="R455" s="3" t="inlineStr">
        <is>
          <t>No dependent function — it reads its inputs and answers</t>
        </is>
      </c>
      <c r="S455" s="3" t="inlineStr">
        <is>
          <t>—</t>
        </is>
      </c>
      <c r="T455" s="3" t="inlineStr">
        <is>
          <t>—</t>
        </is>
      </c>
      <c r="U455" s="3" t="inlineStr">
        <is>
          <t>ACTIVE</t>
        </is>
      </c>
      <c r="V455" s="3" t="inlineStr">
        <is>
          <t>2026-08-27</t>
        </is>
      </c>
      <c r="W455" s="3" t="n"/>
      <c r="X455" s="3" t="n"/>
      <c r="Y455" s="3" t="inlineStr">
        <is>
          <t>NOTHING OPEN</t>
        </is>
      </c>
    </row>
    <row r="456" ht="60" customHeight="1">
      <c r="A456" s="3" t="inlineStr">
        <is>
          <t>MK-PL-F-075</t>
        </is>
      </c>
      <c r="B456" s="3" t="inlineStr">
        <is>
          <t>pctOfSorted</t>
        </is>
      </c>
      <c r="C456" s="3" t="inlineStr">
        <is>
          <t>src/domain/retirement/index.ts</t>
        </is>
      </c>
      <c r="D456" s="3" t="n">
        <v>293</v>
      </c>
      <c r="E456" s="3" t="inlineStr">
        <is>
          <t>3 · DEPENDENT</t>
        </is>
      </c>
      <c r="F456" s="3" t="inlineStr">
        <is>
          <t>p in [0,1] over a pre-sorted ascending array (nearest-rank)</t>
        </is>
      </c>
      <c r="G456" s="11" t="inlineStr">
        <is>
          <t>0   when count of sorted is missing
idx = min(sorted.length − 1, max(0, round(p × (sorted.length − 1))))
the answer = sorted[idx]</t>
        </is>
      </c>
      <c r="H456" s="3" t="inlineStr">
        <is>
          <t>When how many sorted is missing there are, it answers 0. Idx: the smaller of sorted.length minus 1 and p times (sorted.length minus 1, to a whole number, never below zero). The answer is sorted[idx].</t>
        </is>
      </c>
      <c r="I456" s="3" t="inlineStr">
        <is>
          <t>READ FROM THE CODE — rendered from the expressions the function runs</t>
        </is>
      </c>
      <c r="J456" s="3" t="inlineStr">
        <is>
          <t>1. sorted: number[]
2. p: number</t>
        </is>
      </c>
      <c r="K456" s="3" t="inlineStr">
        <is>
          <t>number</t>
        </is>
      </c>
      <c r="L456" s="3" t="inlineStr">
        <is>
          <t>—</t>
        </is>
      </c>
      <c r="M456" s="3" t="inlineStr">
        <is>
          <t>· Rounds the answer to a whole number.</t>
        </is>
      </c>
      <c r="N456" s="3" t="inlineStr">
        <is>
          <t>Yes</t>
        </is>
      </c>
      <c r="O456" s="3" t="inlineStr">
        <is>
          <t>—</t>
        </is>
      </c>
      <c r="P456" s="3" t="n">
        <v>0</v>
      </c>
      <c r="Q456" s="3" t="inlineStr">
        <is>
          <t>None — no dependent function stands behind it</t>
        </is>
      </c>
      <c r="R456" s="3" t="inlineStr">
        <is>
          <t>No dependent function — it reads its inputs and answers</t>
        </is>
      </c>
      <c r="S456" s="3" t="inlineStr">
        <is>
          <t>—</t>
        </is>
      </c>
      <c r="T456" s="3" t="inlineStr">
        <is>
          <t>—</t>
        </is>
      </c>
      <c r="U456" s="3" t="inlineStr">
        <is>
          <t>ACTIVE</t>
        </is>
      </c>
      <c r="V456" s="3" t="inlineStr">
        <is>
          <t>2026-08-27</t>
        </is>
      </c>
      <c r="W456" s="3" t="n"/>
      <c r="X456" s="3" t="n"/>
      <c r="Y456" s="3" t="inlineStr">
        <is>
          <t>NOTHING OPEN</t>
        </is>
      </c>
    </row>
    <row r="457" ht="60" customHeight="1">
      <c r="A457" s="3" t="inlineStr">
        <is>
          <t>MK-PL-F-077</t>
        </is>
      </c>
      <c r="B457" s="3" t="inlineStr">
        <is>
          <t>clamp</t>
        </is>
      </c>
      <c r="C457" s="3" t="inlineStr">
        <is>
          <t>src/domain/retirement/willItLast.ts</t>
        </is>
      </c>
      <c r="D457" s="3" t="n">
        <v>56</v>
      </c>
      <c r="E457" s="3" t="inlineStr">
        <is>
          <t>2 · DISPLAYED</t>
        </is>
      </c>
      <c r="F457" s="3" t="inlineStr">
        <is>
          <t>NOT DETERMINED — the code carries no note saying what this is for, and it has no row in the old inventory. Needs reading.</t>
        </is>
      </c>
      <c r="G457" s="11" t="inlineStr">
        <is>
          <t>max(lo, min(hi, v))</t>
        </is>
      </c>
      <c r="H457" s="3" t="inlineStr">
        <is>
          <t>the larger of lo and the smaller of hi and v</t>
        </is>
      </c>
      <c r="I457" s="3" t="inlineStr">
        <is>
          <t>READ FROM THE CODE — rendered from the expressions the function runs</t>
        </is>
      </c>
      <c r="J457" s="3" t="inlineStr">
        <is>
          <t>1. v: number
2. lo: number
3. hi: number</t>
        </is>
      </c>
      <c r="K457" s="3" t="inlineStr">
        <is>
          <t>NOT DECLARED — the code does not say what it gives back</t>
        </is>
      </c>
      <c r="L457" s="3" t="inlineStr">
        <is>
          <t>1. "Claim at age" — on the Retirement cockpit screen
2. "Save" — on the Retirement cockpit screen
3. "Test retiring earlier, saving more, market ups &amp; downs." — on the Retirement cockpit screen
4. "What counts toward retirement?" — on the Retirement cockpit screen</t>
        </is>
      </c>
      <c r="M457" s="3" t="inlineStr">
        <is>
          <t>None found in this function — anything it assumes comes from the functions it depends on.</t>
        </is>
      </c>
      <c r="N457" s="3" t="inlineStr">
        <is>
          <t>Yes</t>
        </is>
      </c>
      <c r="O457" s="3" t="inlineStr">
        <is>
          <t>MK-NW-F-035 blendedVolatility</t>
        </is>
      </c>
      <c r="P457" s="3" t="n">
        <v>32</v>
      </c>
      <c r="Q457" s="3" t="inlineStr">
        <is>
          <t>1. MK-NW-F-035 blendedVolatility
2. MK-CF-F-155 cash
3. MK-NW-F-032 earmarkedAmount
4. MK-NW-F-031 primaryCarIdOf
5. MK-NW-F-110 primaryHomeIdOf
6. MK-XS-F-122 n
7. MK-NW-F-030 earmarkDefault
8. MK-NW-F-117 propertyUseMap
9. MK-NW-F-011 assetClassOf
10. MK-ST-F-056 has
11. MK-NW-F-115 liveRent
12. MK-NW-F-116 rentedIdsOf
13. MK-NW-F-008 incomeBearingClassOf
14. MK-CF-O-002 expenses
15. MK-NW-F-114 rentAmount
16. MK-CF-F-132 map
17. MK-ST-F-010 nameEvidence
18. MK-CF-F-151 actualSpending
19. MK-CF-F-150 debtPaymentsCountedAsExpenses
20. MK-CF-F-153 radar
21. MK-CF-F-149 recurringDebtPayments
22. MK-XS-F-147 call
23. MK-CF-F-148 inMonth
24. MK-ST-F-052 toNum
25. MK-CF-F-191 ym
26. MK-CF-F-022 paymentShape
27. MK-CF-F-152 isRadarItem
28. MK-CF-F-023 requiredPayment
29. MK-ST-F-027 accountId
30. MK-XS-F-064 currentIdToken
31. MK-XS-F-112 relayUrl
32. MK-CF-F-021 defaultPaymentType</t>
        </is>
      </c>
      <c r="R457" s="3" t="inlineStr">
        <is>
          <t>1. MK-XS-F-122 n → MK-CF-F-155 cash → MK-NW-F-035 blendedVolatility → MK-PL-F-077 clamp
2. MK-NW-F-008 incomeBearingClassOf → MK-NW-F-011 assetClassOf → MK-NW-F-030 earmarkDefault → MK-NW-F-032 earmarkedAmount → MK-NW-F-035 blendedVolatility → MK-PL-F-077 clamp
3. MK-NW-F-031 primaryCarIdOf → MK-NW-F-035 blendedVolatility → MK-PL-F-077 clamp
4. MK-NW-F-008 incomeBearingClassOf → MK-NW-F-011 assetClassOf → MK-NW-F-030 earmarkDefault → MK-NW-F-110 primaryHomeIdOf → MK-NW-F-035 blendedVolatility → MK-PL-F-077 clamp
5. MK-NW-F-008 incomeBearingClassOf → MK-NW-F-011 assetClassOf → MK-NW-F-117 propertyUseMap → MK-NW-F-110 primaryHomeIdOf → MK-NW-F-035 blendedVolatility → MK-PL-F-077 clamp
6. MK-ST-F-056 has → MK-NW-F-117 propertyUseMap → MK-NW-F-110 primaryHomeIdOf → MK-NW-F-035 blendedVolatility → MK-PL-F-077 clamp
7. MK-CF-O-002 expenses → MK-NW-F-115 liveRent → MK-NW-F-117 propertyUseMap → MK-NW-F-110 primaryHomeIdOf → MK-NW-F-035 blendedVolatility → MK-PL-F-077 clamp
8. MK-NW-F-114 rentAmount → MK-NW-F-115 liveRent → MK-NW-F-117 propertyUseMap → MK-NW-F-110 primaryHomeIdOf → MK-NW-F-035 blendedVolatility → MK-PL-F-077 clamp
9. … and 2 more paths</t>
        </is>
      </c>
      <c r="S457" s="3" t="inlineStr">
        <is>
          <t>—</t>
        </is>
      </c>
      <c r="T457" s="3" t="inlineStr">
        <is>
          <t>—</t>
        </is>
      </c>
      <c r="U457" s="3" t="inlineStr">
        <is>
          <t>ACTIVE</t>
        </is>
      </c>
      <c r="V457" s="3" t="inlineStr">
        <is>
          <t>2026-08-27</t>
        </is>
      </c>
      <c r="W457" s="3" t="n"/>
      <c r="X457" s="3" t="n"/>
      <c r="Y457" s="3" t="inlineStr">
        <is>
          <t>NOTHING OPEN</t>
        </is>
      </c>
    </row>
    <row r="458" ht="60" customHeight="1">
      <c r="A458" s="3" t="inlineStr">
        <is>
          <t>MK-PL-F-078</t>
        </is>
      </c>
      <c r="B458" s="3" t="inlineStr">
        <is>
          <t>rmdDivisorAtAge</t>
        </is>
      </c>
      <c r="C458" s="3" t="inlineStr">
        <is>
          <t>src/domain/decumulation/index.ts</t>
        </is>
      </c>
      <c r="D458" s="3" t="n">
        <v>303</v>
      </c>
      <c r="E458" s="3" t="inlineStr">
        <is>
          <t>2 · DISPLAYED</t>
        </is>
      </c>
      <c r="F458" s="3" t="inlineStr">
        <is>
          <t>NOT DETERMINED — the code carries no note saying what this is for, and it has no row in the old inventory. Needs reading.</t>
        </is>
      </c>
      <c r="G458" s="11" t="inlineStr">
        <is>
          <t>table rmd divisor(age, now year − age)</t>
        </is>
      </c>
      <c r="H458" s="3" t="inlineStr">
        <is>
          <t>table rmd divisor(age, now year minus age).</t>
        </is>
      </c>
      <c r="I458" s="3" t="inlineStr">
        <is>
          <t>READ FROM THE CODE — rendered from the expressions the function runs</t>
        </is>
      </c>
      <c r="J458" s="3" t="inlineStr">
        <is>
          <t>1. age: number
2. nowYear = new Date().getFullYear()</t>
        </is>
      </c>
      <c r="K458" s="3" t="inlineStr">
        <is>
          <t>number</t>
        </is>
      </c>
      <c r="L458" s="3" t="inlineStr">
        <is>
          <t>"Suggested withdrawal order" — on the Retirement cockpit screen</t>
        </is>
      </c>
      <c r="M458" s="3" t="inlineStr">
        <is>
          <t>· Uses today's date from the device clock, so the answer changes by itself overnight.</t>
        </is>
      </c>
      <c r="N458" s="3" t="inlineStr">
        <is>
          <t>Yes</t>
        </is>
      </c>
      <c r="O458" s="3" t="inlineStr">
        <is>
          <t>—</t>
        </is>
      </c>
      <c r="P458" s="3" t="n">
        <v>0</v>
      </c>
      <c r="Q458" s="3" t="inlineStr">
        <is>
          <t>None — no dependent function stands behind it</t>
        </is>
      </c>
      <c r="R458" s="3" t="inlineStr">
        <is>
          <t>No dependent function — it reads its inputs and answers</t>
        </is>
      </c>
      <c r="S458" s="3" t="inlineStr">
        <is>
          <t>—</t>
        </is>
      </c>
      <c r="T458" s="3" t="inlineStr">
        <is>
          <t>—</t>
        </is>
      </c>
      <c r="U458" s="3" t="inlineStr">
        <is>
          <t>ACTIVE</t>
        </is>
      </c>
      <c r="V458" s="3" t="inlineStr">
        <is>
          <t>2026-09-13</t>
        </is>
      </c>
      <c r="W458" s="3" t="n"/>
      <c r="X458" s="3" t="n"/>
      <c r="Y458" s="3" t="inlineStr">
        <is>
          <t>NOTHING OPEN</t>
        </is>
      </c>
    </row>
    <row r="459" ht="60" customHeight="1">
      <c r="A459" s="3" t="inlineStr">
        <is>
          <t>MK-PL-F-079</t>
        </is>
      </c>
      <c r="B459" s="3" t="inlineStr">
        <is>
          <t>numOrZero</t>
        </is>
      </c>
      <c r="C459" s="3" t="inlineStr">
        <is>
          <t>src/domain/retirement/willItLast.ts</t>
        </is>
      </c>
      <c r="D459" s="3" t="n">
        <v>35</v>
      </c>
      <c r="E459" s="3" t="inlineStr">
        <is>
          <t>3 · DEPENDENT</t>
        </is>
      </c>
      <c r="F459" s="3" t="inlineStr">
        <is>
          <t>NOT DETERMINED — the code carries no note saying what this is for, and it has no row in the old inventory. Needs reading.</t>
        </is>
      </c>
      <c r="G459" s="11" t="inlineStr">
        <is>
          <t>n = the number in the text after every character but digits and the decimal point is removed
the answer = 0 when that is not a number, else n</t>
        </is>
      </c>
      <c r="H459" s="3" t="inlineStr">
        <is>
          <t>Reads a typed amount as a number — strips dollar signs, commas and spaces — and gives 0 when nothing numeric is left.</t>
        </is>
      </c>
      <c r="I459" s="3" t="inlineStr">
        <is>
          <t>READ BY HAND 2026-08-26 — checked line by line against the code</t>
        </is>
      </c>
      <c r="J459" s="3" t="inlineStr">
        <is>
          <t>v: any</t>
        </is>
      </c>
      <c r="K459" s="3" t="inlineStr">
        <is>
          <t>n; };</t>
        </is>
      </c>
      <c r="L459" s="3" t="inlineStr">
        <is>
          <t>—</t>
        </is>
      </c>
      <c r="M459" s="3" t="inlineStr">
        <is>
          <t>None found in this function — anything it assumes comes from the functions it depends on.</t>
        </is>
      </c>
      <c r="N459" s="3" t="inlineStr">
        <is>
          <t>Yes</t>
        </is>
      </c>
      <c r="O459" s="3" t="inlineStr">
        <is>
          <t>MK-XS-F-122 n</t>
        </is>
      </c>
      <c r="P459" s="3" t="n">
        <v>1</v>
      </c>
      <c r="Q459" s="3" t="inlineStr">
        <is>
          <t>MK-XS-F-122 n</t>
        </is>
      </c>
      <c r="R459" s="3" t="inlineStr">
        <is>
          <t>MK-XS-F-122 n → MK-PL-F-079 numOrZero</t>
        </is>
      </c>
      <c r="S459" s="3" t="inlineStr">
        <is>
          <t>—</t>
        </is>
      </c>
      <c r="T459" s="3" t="inlineStr">
        <is>
          <t>—</t>
        </is>
      </c>
      <c r="U459" s="3" t="inlineStr">
        <is>
          <t>ACTIVE</t>
        </is>
      </c>
      <c r="V459" s="3" t="inlineStr">
        <is>
          <t>2026-09-12</t>
        </is>
      </c>
      <c r="W459" s="3" t="n"/>
      <c r="X459" s="3" t="n"/>
      <c r="Y459" s="3" t="inlineStr">
        <is>
          <t>NOTHING OPEN</t>
        </is>
      </c>
    </row>
    <row r="460" ht="60" customHeight="1">
      <c r="A460" s="3" t="inlineStr">
        <is>
          <t>MK-PL-F-080</t>
        </is>
      </c>
      <c r="B460" s="3" t="inlineStr">
        <is>
          <t>rmdRequiredThisYear</t>
        </is>
      </c>
      <c r="C460" s="3" t="inlineStr">
        <is>
          <t>src/domain/decumulation/index.ts</t>
        </is>
      </c>
      <c r="D460" s="3" t="n">
        <v>367</v>
      </c>
      <c r="E460" s="3" t="inlineStr">
        <is>
          <t>2 · DISPLAYED</t>
        </is>
      </c>
      <c r="F460" s="3" t="inlineStr">
        <is>
          <t>What must be taken out this year, and which balance is it based on?</t>
        </is>
      </c>
      <c r="G460" s="11" t="inlineStr">
        <is>
          <t>balance used = the pre-tax balance on 31 December last year, when the person entered one (&gt; 0); otherwise today's pre-tax balance
amount = rmd at age(balance used, age)
basis = 'prior_year_end' or 'today' — so the screen can say which</t>
        </is>
      </c>
      <c r="H460" s="3" t="inlineStr">
        <is>
          <t>If the person has entered last 31 December's pre-tax balance, the required amount is that balance divided by the life-expectancy factor for their age. If not, today's balance is used instead, and the answer carries a flag saying so, which the screen prints.</t>
        </is>
      </c>
      <c r="I460" s="3" t="inlineStr">
        <is>
          <t>READ BY HAND 2026-08-26 — checked line by line against the code</t>
        </is>
      </c>
      <c r="J460" s="3" t="inlineStr">
        <is>
          <t>1. preTaxToday: number
2. priorYearEndPreTax: number | null | undefined
3. age: number</t>
        </is>
      </c>
      <c r="K460" s="3" t="inlineStr">
        <is>
          <t>RmdThisYear</t>
        </is>
      </c>
      <c r="L460" s="3" t="inlineStr">
        <is>
          <t>NOT FOUND — a screen calls it, but the words printed beside its answer could not be traced automatically. Needs reading.</t>
        </is>
      </c>
      <c r="M460"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60" s="3" t="inlineStr">
        <is>
          <t>Yes</t>
        </is>
      </c>
      <c r="O460" s="3" t="inlineStr">
        <is>
          <t>MK-PL-F-007 rmdAtAge</t>
        </is>
      </c>
      <c r="P460" s="3" t="n">
        <v>2</v>
      </c>
      <c r="Q460" s="3" t="inlineStr">
        <is>
          <t>1. MK-PL-F-007 rmdAtAge
2. MK-PL-F-078 rmdDivisorAtAge</t>
        </is>
      </c>
      <c r="R460" s="3" t="inlineStr">
        <is>
          <t>MK-PL-F-078 rmdDivisorAtAge → MK-PL-F-007 rmdAtAge → MK-PL-F-080 rmdRequiredThisYear</t>
        </is>
      </c>
      <c r="S460" s="3" t="inlineStr">
        <is>
          <t>MK-PL-M-013</t>
        </is>
      </c>
      <c r="T460" s="3" t="inlineStr">
        <is>
          <t>—</t>
        </is>
      </c>
      <c r="U460" s="3" t="inlineStr">
        <is>
          <t>ACTIVE</t>
        </is>
      </c>
      <c r="V460" s="3" t="inlineStr">
        <is>
          <t>2026-09-08</t>
        </is>
      </c>
      <c r="W460" s="3" t="n"/>
      <c r="X460" s="3" t="n"/>
      <c r="Y460" s="6" t="inlineStr">
        <is>
          <t>TESTED, NOT VERIFIED (G8)</t>
        </is>
      </c>
    </row>
    <row r="461" ht="60" customHeight="1">
      <c r="A461" s="3" t="inlineStr">
        <is>
          <t>MK-PL-F-081</t>
        </is>
      </c>
      <c r="B461" s="3" t="inlineStr">
        <is>
          <t>taxableGainShare</t>
        </is>
      </c>
      <c r="C461" s="3" t="inlineStr">
        <is>
          <t>src/domain/decumulation/index.ts</t>
        </is>
      </c>
      <c r="D461" s="3" t="n">
        <v>575</v>
      </c>
      <c r="E461" s="3" t="inlineStr">
        <is>
          <t>2 · DISPLAYED</t>
        </is>
      </c>
      <c r="F461" s="3" t="inlineStr">
        <is>
          <t>What share of the person's taxable holdings is unrealised gain?</t>
        </is>
      </c>
      <c r="G461" s="11" t="inlineStr">
        <is>
          <t>over every holding in a TAXABLE account that has a price (the broker's mark, else the price feed): value += market value(holding, price) · basis += cost basis(holding)
nothing   when value ≤ 0 (no priced taxable holding)
the answer = min(1, max(0, (value − basis) ÷ value))</t>
        </is>
      </c>
      <c r="H461" s="3" t="inlineStr">
        <is>
          <t>Add up what the taxable holdings are worth today and what was paid for them; the gain share is the difference as a fraction of today's value, never below zero and never above one. With no priced taxable holding there is no answer.</t>
        </is>
      </c>
      <c r="I461" s="3" t="inlineStr">
        <is>
          <t>READ BY HAND 2026-08-26 — checked line by line against the code</t>
        </is>
      </c>
      <c r="J461" s="3" t="inlineStr">
        <is>
          <t>1. accounts: AssetAccount[]
2. priceOf: (ticker: string) =&gt; number | null</t>
        </is>
      </c>
      <c r="K461" s="3" t="inlineStr">
        <is>
          <t>number | null</t>
        </is>
      </c>
      <c r="L461" s="3" t="inlineStr">
        <is>
          <t>NOT FOUND — a screen calls it, but the words printed beside its answer could not be traced automatically. Needs reading.</t>
        </is>
      </c>
      <c r="M461" s="3" t="inlineStr">
        <is>
          <t>1. A holding with no price is left out; no priced taxable holding at all → nothing, never a guessed 50% (founder ruling 2026-09-08, G6).
2. A loss overall counts as a 0% gain share (no tax on drawing at a loss), never negative.</t>
        </is>
      </c>
      <c r="N461" s="3" t="inlineStr">
        <is>
          <t>Yes</t>
        </is>
      </c>
      <c r="O461" s="3" t="inlineStr">
        <is>
          <t>1. MK-PF-F-002 costBasis
2. MK-PF-F-004 marketValue</t>
        </is>
      </c>
      <c r="P461" s="3" t="n">
        <v>4</v>
      </c>
      <c r="Q461" s="3" t="inlineStr">
        <is>
          <t>1. MK-PF-F-002 costBasis
2. MK-PF-F-004 marketValue
3. MK-PF-F-031 contractMultiplier
4. MK-PF-F-001 totalShares</t>
        </is>
      </c>
      <c r="R461" s="3" t="inlineStr">
        <is>
          <t>1. MK-PF-F-031 contractMultiplier → MK-PF-F-002 costBasis → MK-PL-F-081 taxableGainShare
2. MK-PF-F-031 contractMultiplier → MK-PF-F-004 marketValue → MK-PL-F-081 taxableGainShare
3. MK-PF-F-001 totalShares → MK-PF-F-004 marketValue → MK-PL-F-081 taxableGainShare</t>
        </is>
      </c>
      <c r="S461" s="3" t="inlineStr">
        <is>
          <t>—</t>
        </is>
      </c>
      <c r="T461" s="3" t="inlineStr">
        <is>
          <t>—</t>
        </is>
      </c>
      <c r="U461" s="3" t="inlineStr">
        <is>
          <t>ACTIVE</t>
        </is>
      </c>
      <c r="V461" s="3" t="inlineStr">
        <is>
          <t>2026-09-08</t>
        </is>
      </c>
      <c r="W461" s="3" t="n"/>
      <c r="X461" s="3" t="n"/>
      <c r="Y461" s="6" t="inlineStr">
        <is>
          <t>TESTED, NOT VERIFIED (G6)</t>
        </is>
      </c>
    </row>
    <row r="462" ht="60" customHeight="1">
      <c r="A462" s="3" t="inlineStr">
        <is>
          <t>MK-PL-F-082</t>
        </is>
      </c>
      <c r="B462" s="3" t="inlineStr">
        <is>
          <t>taxableIncomeSteps</t>
        </is>
      </c>
      <c r="C462" s="3" t="inlineStr">
        <is>
          <t>src/domain/planning/index.ts</t>
        </is>
      </c>
      <c r="D462" s="3" t="n">
        <v>65</v>
      </c>
      <c r="E462" s="3" t="inlineStr">
        <is>
          <t>3 · DEPENDENT</t>
        </is>
      </c>
      <c r="F462" s="3" t="inlineStr">
        <is>
          <t>From everything earned to what is actually taxed — the four lines a return shows (founder ruling brief Q-46 (2026-08-20), 2026-09-08).</t>
        </is>
      </c>
      <c r="G462"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62"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62" s="3" t="inlineStr">
        <is>
          <t>READ BY HAND 2026-08-26 — checked line by line against the code</t>
        </is>
      </c>
      <c r="J462" s="3" t="inlineStr">
        <is>
          <t>1. op: OnboardingProfile | null
2. grossIncome: number</t>
        </is>
      </c>
      <c r="K462" s="3" t="inlineStr">
        <is>
          <t>TaxableIncomeSteps</t>
        </is>
      </c>
      <c r="L462" s="3" t="inlineStr">
        <is>
          <t>—</t>
        </is>
      </c>
      <c r="M462"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62" s="3" t="inlineStr">
        <is>
          <t>Yes</t>
        </is>
      </c>
      <c r="O462" s="3" t="inlineStr">
        <is>
          <t>1. MK-CF-F-099 deductionFor
2. MK-CF-F-085 filingStatusOf
3. MK-CF-F-188 householdPreTaxContributionsAnnual
4. MK-ST-F-039 on
5. MK-CF-F-089 over65CountOf
6. MK-CF-F-187 seniorDeductionFor</t>
        </is>
      </c>
      <c r="P462" s="3" t="n">
        <v>12</v>
      </c>
      <c r="Q462"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62"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62" s="3" t="inlineStr">
        <is>
          <t>MK-MN-M-027 · MK-MN-M-028</t>
        </is>
      </c>
      <c r="T462" s="3" t="inlineStr">
        <is>
          <t>—</t>
        </is>
      </c>
      <c r="U462" s="3" t="inlineStr">
        <is>
          <t>ACTIVE</t>
        </is>
      </c>
      <c r="V462" s="3" t="inlineStr">
        <is>
          <t>2026-09-08</t>
        </is>
      </c>
      <c r="W462" s="3" t="n"/>
      <c r="X462" s="3" t="n"/>
      <c r="Y462" s="6" t="inlineStr">
        <is>
          <t>TESTED, NOT VERIFIED (G22 / Q46)</t>
        </is>
      </c>
    </row>
    <row r="463" ht="60" customHeight="1">
      <c r="A463" s="3" t="inlineStr">
        <is>
          <t>MK-PL-F-083</t>
        </is>
      </c>
      <c r="B463" s="3" t="inlineStr">
        <is>
          <t>inflationRateInForce</t>
        </is>
      </c>
      <c r="C463" s="3" t="inlineStr">
        <is>
          <t>src/domain/retirement/inflation.ts</t>
        </is>
      </c>
      <c r="D463" s="3" t="n">
        <v>48</v>
      </c>
      <c r="E463" s="3" t="inlineStr">
        <is>
          <t>2 · DISPLAYED</t>
        </is>
      </c>
      <c r="F463" s="3" t="inlineStr">
        <is>
          <t>The inflation rate a plan runs on, and where it came from.</t>
        </is>
      </c>
      <c r="G463"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63" s="3" t="inlineStr">
        <is>
          <t>The person's own inflation rate when they set one on the cockpit; otherwise the dated default — 2.5% a year, the 30-year average of consumer prices — with its source, so the screen can say where the figure came from.</t>
        </is>
      </c>
      <c r="I463" s="3" t="inlineStr">
        <is>
          <t>READ BY HAND 2026-08-26 — checked line by line against the code</t>
        </is>
      </c>
      <c r="J463" s="3" t="inlineStr">
        <is>
          <t>entered: number | null | undefined</t>
        </is>
      </c>
      <c r="K463" s="3" t="inlineStr">
        <is>
          <t>InflationInForce</t>
        </is>
      </c>
      <c r="L463" s="3" t="inlineStr">
        <is>
          <t>NOT FOUND — a screen calls it, but the words printed beside its answer could not be traced automatically. Needs reading.</t>
        </is>
      </c>
      <c r="M463" s="3" t="inlineStr">
        <is>
          <t>· Founder ruling brief Q-50 (2026-08-20), executed 2026-09-08 (G30): the default is the dated 30-year average — 2.5% a year, Bureau of Labor Statistics CPI-U 1996–2025, checked 2026-09-08 — never a live feed; the person's own rate outranks it.</t>
        </is>
      </c>
      <c r="N463" s="3" t="inlineStr">
        <is>
          <t>Yes</t>
        </is>
      </c>
      <c r="O463" s="3" t="inlineStr">
        <is>
          <t>—</t>
        </is>
      </c>
      <c r="P463" s="3" t="n">
        <v>0</v>
      </c>
      <c r="Q463" s="3" t="inlineStr">
        <is>
          <t>None — no dependent function stands behind it</t>
        </is>
      </c>
      <c r="R463" s="3" t="inlineStr">
        <is>
          <t>No dependent function — it reads its inputs and answers</t>
        </is>
      </c>
      <c r="S463" s="3" t="inlineStr">
        <is>
          <t>—</t>
        </is>
      </c>
      <c r="T463" s="3" t="inlineStr">
        <is>
          <t>—</t>
        </is>
      </c>
      <c r="U463" s="3" t="inlineStr">
        <is>
          <t>ACTIVE</t>
        </is>
      </c>
      <c r="V463" s="3" t="inlineStr">
        <is>
          <t>2026-09-11</t>
        </is>
      </c>
      <c r="W463" s="3" t="n"/>
      <c r="X463" s="3" t="n"/>
      <c r="Y463" s="6" t="inlineStr">
        <is>
          <t>TESTED, NOT VERIFIED (Brief D7 — inflation lever, G30)</t>
        </is>
      </c>
    </row>
    <row r="464" ht="60" customHeight="1">
      <c r="A464" s="3" t="inlineStr">
        <is>
          <t>MK-PL-F-084</t>
        </is>
      </c>
      <c r="B464" s="3" t="inlineStr">
        <is>
          <t>rateBandWords</t>
        </is>
      </c>
      <c r="C464" s="3" t="inlineStr">
        <is>
          <t>src/domain/decumulation/index.ts</t>
        </is>
      </c>
      <c r="D464" s="3" t="n">
        <v>87</v>
      </c>
      <c r="E464" s="3" t="inlineStr">
        <is>
          <t>2 · DISPLAYED</t>
        </is>
      </c>
      <c r="F464" s="3" t="inlineStr">
        <is>
          <t>HOW A WITHDRAWAL RATE READS, IN HIS OWN-MATH FRAMING — DEC-0036, and ONE place for it (DEC-0215).</t>
        </is>
      </c>
      <c r="G464" s="11" t="inlineStr">
        <is>
          <t>NOT READ YET — the body is not a shape this can render faithfully, so nothing is claimed rather than something being guessed. It needs reading by hand.</t>
        </is>
      </c>
      <c r="H464" s="3" t="inlineStr">
        <is>
          <t>NOT READ YET — the body is not a shape this can render faithfully, so nothing is claimed rather than something being guessed. It needs reading by hand.</t>
        </is>
      </c>
      <c r="I464" s="3" t="inlineStr">
        <is>
          <t>NOT READ — nothing is claimed rather than something guessed</t>
        </is>
      </c>
      <c r="J464" s="3" t="inlineStr">
        <is>
          <t>1. band: RateBand | null | undefined
2. opts?: { short?: boolean }</t>
        </is>
      </c>
      <c r="K464" s="3" t="inlineStr">
        <is>
          <t>string</t>
        </is>
      </c>
      <c r="L464" s="3" t="inlineStr">
        <is>
          <t>1. "From your portfolio" — on the Retirement cockpit screen
2. "WILL YOUR MONEY LAST?" — on the Retirement cockpit screen, under "RETIREMENT
3. WHERE YOU STAND"</t>
        </is>
      </c>
      <c r="M464" s="3" t="inlineStr">
        <is>
          <t>None found in this function — anything it assumes comes from the functions it depends on.</t>
        </is>
      </c>
      <c r="N464" s="3" t="inlineStr">
        <is>
          <t>Yes</t>
        </is>
      </c>
      <c r="O464" s="3" t="inlineStr">
        <is>
          <t>—</t>
        </is>
      </c>
      <c r="P464" s="3" t="n">
        <v>0</v>
      </c>
      <c r="Q464" s="3" t="inlineStr">
        <is>
          <t>None — no dependent function stands behind it</t>
        </is>
      </c>
      <c r="R464" s="3" t="inlineStr">
        <is>
          <t>No dependent function — it reads its inputs and answers</t>
        </is>
      </c>
      <c r="S464" s="3" t="inlineStr">
        <is>
          <t>—</t>
        </is>
      </c>
      <c r="T464" s="3" t="inlineStr">
        <is>
          <t>—</t>
        </is>
      </c>
      <c r="U464" s="3" t="inlineStr">
        <is>
          <t>ACTIVE</t>
        </is>
      </c>
      <c r="V464" s="3" t="inlineStr">
        <is>
          <t>2026-10-01</t>
        </is>
      </c>
      <c r="W464" s="3" t="n"/>
      <c r="X464" s="3" t="n"/>
      <c r="Y464" s="3" t="inlineStr">
        <is>
          <t>NOTHING OPEN</t>
        </is>
      </c>
    </row>
    <row r="465" ht="45" customHeight="1">
      <c r="A465" s="3" t="inlineStr">
        <is>
          <t>MK-PL-F-085</t>
        </is>
      </c>
      <c r="B465" s="3" t="inlineStr">
        <is>
          <t>oddsTail</t>
        </is>
      </c>
      <c r="C465" s="3" t="inlineStr">
        <is>
          <t>src/domain/planning/hub.ts</t>
        </is>
      </c>
      <c r="D465" s="3" t="n">
        <v>68</v>
      </c>
      <c r="E465" s="3" t="inlineStr">
        <is>
          <t>2 · DISPLAYED</t>
        </is>
      </c>
      <c r="F465" s="3" t="inlineStr">
        <is>
          <t>THE WORDS WITHOUT THE NUMBER — for the gauge, which prints the number large and the words beneath it.</t>
        </is>
      </c>
      <c r="G465" s="11" t="inlineStr">
        <is>
          <t>`odds of lasting to age ${horizon age}`</t>
        </is>
      </c>
      <c r="H465" s="3" t="inlineStr">
        <is>
          <t>`odds of lasting to age ${horizon age}`.</t>
        </is>
      </c>
      <c r="I465" s="3" t="inlineStr">
        <is>
          <t>PARTLY READ — some of the code is still showing through; needs a hand pass</t>
        </is>
      </c>
      <c r="J465" s="3" t="inlineStr">
        <is>
          <t>horizonAge: number</t>
        </is>
      </c>
      <c r="K465" s="3" t="inlineStr">
        <is>
          <t>string</t>
        </is>
      </c>
      <c r="L465" s="3" t="inlineStr">
        <is>
          <t>NOT FOUND — a screen calls it, but the words printed beside its answer could not be traced automatically. Needs reading.</t>
        </is>
      </c>
      <c r="M465" s="3" t="inlineStr">
        <is>
          <t>None found in this function — anything it assumes comes from the functions it depends on.</t>
        </is>
      </c>
      <c r="N465" s="3" t="inlineStr">
        <is>
          <t>Yes</t>
        </is>
      </c>
      <c r="O465" s="3" t="inlineStr">
        <is>
          <t>—</t>
        </is>
      </c>
      <c r="P465" s="3" t="n">
        <v>0</v>
      </c>
      <c r="Q465" s="3" t="inlineStr">
        <is>
          <t>None — no dependent function stands behind it</t>
        </is>
      </c>
      <c r="R465" s="3" t="inlineStr">
        <is>
          <t>No dependent function — it reads its inputs and answers</t>
        </is>
      </c>
      <c r="S465" s="3" t="inlineStr">
        <is>
          <t>—</t>
        </is>
      </c>
      <c r="T465" s="3" t="inlineStr">
        <is>
          <t>—</t>
        </is>
      </c>
      <c r="U465" s="3" t="inlineStr">
        <is>
          <t>ACTIVE</t>
        </is>
      </c>
      <c r="V465" s="3" t="inlineStr">
        <is>
          <t>2026-10-01</t>
        </is>
      </c>
      <c r="W465" s="3" t="n"/>
      <c r="X465" s="3" t="n"/>
      <c r="Y465" s="3" t="inlineStr">
        <is>
          <t>NOTHING OPEN</t>
        </is>
      </c>
    </row>
    <row r="466" ht="60" customHeight="1">
      <c r="A466" s="3" t="inlineStr">
        <is>
          <t>MK-ST-F-001</t>
        </is>
      </c>
      <c r="B466" s="3" t="inlineStr">
        <is>
          <t>looksFixedIncome</t>
        </is>
      </c>
      <c r="C466" s="3" t="inlineStr">
        <is>
          <t>Calculation Module code/engines/classify.ts</t>
        </is>
      </c>
      <c r="D466" s="3" t="n">
        <v>271</v>
      </c>
      <c r="E466" s="3" t="inlineStr">
        <is>
          <t>3 · DEPENDENT (feeds an action only)</t>
        </is>
      </c>
      <c r="F466" s="3" t="inlineStr">
        <is>
          <t>Fixed income by its words.</t>
        </is>
      </c>
      <c r="G466"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66"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66" s="3" t="inlineStr">
        <is>
          <t>PARTLY READ — some of the code is still showing through; needs a hand pass</t>
        </is>
      </c>
      <c r="J466" s="3" t="inlineStr">
        <is>
          <t>text: string</t>
        </is>
      </c>
      <c r="K466" s="3" t="inlineStr">
        <is>
          <t>boolean</t>
        </is>
      </c>
      <c r="L466" s="3" t="inlineStr">
        <is>
          <t>—</t>
        </is>
      </c>
      <c r="M466" s="3" t="inlineStr">
        <is>
          <t>None found in this function — anything it assumes comes from the functions it depends on.</t>
        </is>
      </c>
      <c r="N466" s="3" t="inlineStr">
        <is>
          <t>No</t>
        </is>
      </c>
      <c r="O466" s="3" t="inlineStr">
        <is>
          <t>—</t>
        </is>
      </c>
      <c r="P466" s="3" t="n">
        <v>0</v>
      </c>
      <c r="Q466" s="3" t="inlineStr">
        <is>
          <t>None — no dependent function stands behind it</t>
        </is>
      </c>
      <c r="R466" s="3" t="inlineStr">
        <is>
          <t>No dependent function — it reads its inputs and answers</t>
        </is>
      </c>
      <c r="S466" s="3" t="inlineStr">
        <is>
          <t>—</t>
        </is>
      </c>
      <c r="T466" s="3" t="inlineStr">
        <is>
          <t>—</t>
        </is>
      </c>
      <c r="U466" s="3" t="inlineStr">
        <is>
          <t>ACTIVE</t>
        </is>
      </c>
      <c r="V466" s="3" t="inlineStr">
        <is>
          <t>2026-08-27</t>
        </is>
      </c>
      <c r="W466" s="3" t="n"/>
      <c r="X466" s="3" t="n"/>
      <c r="Y466" s="3" t="inlineStr">
        <is>
          <t>NOTHING OPEN</t>
        </is>
      </c>
    </row>
    <row r="467" ht="45" customHeight="1">
      <c r="A467" s="3" t="inlineStr">
        <is>
          <t>MK-ST-F-002</t>
        </is>
      </c>
      <c r="B467" s="3" t="inlineStr">
        <is>
          <t>monthWords</t>
        </is>
      </c>
      <c r="C467" s="3" t="inlineStr">
        <is>
          <t>Calculation Module code/engines/coverage.ts</t>
        </is>
      </c>
      <c r="D467" s="3" t="n">
        <v>55</v>
      </c>
      <c r="E467" s="3" t="inlineStr">
        <is>
          <t>3 · DEPENDENT</t>
        </is>
      </c>
      <c r="F467" s="3" t="inlineStr">
        <is>
          <t>"March 2022" — a month a person reads, not a date stamp.</t>
        </is>
      </c>
      <c r="G467" s="11" t="inlineStr">
        <is>
          <t>''   when iso is missing
`${MONTHS[m − 1]} ${y}`   if m
string(y)   otherwise</t>
        </is>
      </c>
      <c r="H467" s="3" t="inlineStr">
        <is>
          <t>When iso is missing, it answers ''. `${MONTHS[m minus 1]} ${y}` — when m; string(y) — otherwise.</t>
        </is>
      </c>
      <c r="I467" s="3" t="inlineStr">
        <is>
          <t>PARTLY READ — some of the code is still showing through; needs a hand pass</t>
        </is>
      </c>
      <c r="J467" s="3" t="inlineStr">
        <is>
          <t>iso: string | null</t>
        </is>
      </c>
      <c r="K467" s="3" t="inlineStr">
        <is>
          <t>string</t>
        </is>
      </c>
      <c r="L467" s="3" t="inlineStr">
        <is>
          <t>—</t>
        </is>
      </c>
      <c r="M467" s="3" t="inlineStr">
        <is>
          <t>None found in this function — anything it assumes comes from the functions it depends on.</t>
        </is>
      </c>
      <c r="N467" s="3" t="inlineStr">
        <is>
          <t>Yes</t>
        </is>
      </c>
      <c r="O467" s="3" t="inlineStr">
        <is>
          <t>MK-CF-F-132 map</t>
        </is>
      </c>
      <c r="P467" s="3" t="n">
        <v>1</v>
      </c>
      <c r="Q467" s="3" t="inlineStr">
        <is>
          <t>MK-CF-F-132 map</t>
        </is>
      </c>
      <c r="R467" s="3" t="inlineStr">
        <is>
          <t>MK-CF-F-132 map → MK-ST-F-002 monthWords</t>
        </is>
      </c>
      <c r="S467" s="3" t="inlineStr">
        <is>
          <t>—</t>
        </is>
      </c>
      <c r="T467" s="3" t="inlineStr">
        <is>
          <t>—</t>
        </is>
      </c>
      <c r="U467" s="3" t="inlineStr">
        <is>
          <t>ACTIVE</t>
        </is>
      </c>
      <c r="V467" s="3" t="inlineStr">
        <is>
          <t>2026-08-27</t>
        </is>
      </c>
      <c r="W467" s="3" t="n"/>
      <c r="X467" s="3" t="n"/>
      <c r="Y467" s="3" t="inlineStr">
        <is>
          <t>NOTHING OPEN</t>
        </is>
      </c>
    </row>
    <row r="468" ht="45" customHeight="1">
      <c r="A468" s="3" t="inlineStr">
        <is>
          <t>MK-ST-F-003</t>
        </is>
      </c>
      <c r="B468" s="3" t="inlineStr">
        <is>
          <t>dayWords</t>
        </is>
      </c>
      <c r="C468" s="3" t="inlineStr">
        <is>
          <t>Calculation Module code/engines/coverage.ts</t>
        </is>
      </c>
      <c r="D468" s="3" t="n">
        <v>82</v>
      </c>
      <c r="E468" s="3" t="inlineStr">
        <is>
          <t>2 · DISPLAYED</t>
        </is>
      </c>
      <c r="F468" s="3" t="inlineStr">
        <is>
          <t>"14 March 2022".</t>
        </is>
      </c>
      <c r="G468" s="11" t="inlineStr">
        <is>
          <t>''   when iso is missing
`${d} ${MONTHS[m − 1]} ${y}`   if m and d
month words(iso)   otherwise</t>
        </is>
      </c>
      <c r="H468" s="3" t="inlineStr">
        <is>
          <t>When iso is missing, it answers ''. `${d} ${MONTHS[m minus 1]} ${y}` — when m and d; month words(iso) — otherwise.</t>
        </is>
      </c>
      <c r="I468" s="3" t="inlineStr">
        <is>
          <t>PARTLY READ — some of the code is still showing through; needs a hand pass</t>
        </is>
      </c>
      <c r="J468" s="3" t="inlineStr">
        <is>
          <t>iso: string | null</t>
        </is>
      </c>
      <c r="K468" s="3" t="inlineStr">
        <is>
          <t>string</t>
        </is>
      </c>
      <c r="L468" s="3" t="inlineStr">
        <is>
          <t>"Nothing received yet this month." — on the Cash flow screen, under "current ?"</t>
        </is>
      </c>
      <c r="M468" s="3" t="inlineStr">
        <is>
          <t>None found in this function — anything it assumes comes from the functions it depends on.</t>
        </is>
      </c>
      <c r="N468" s="3" t="inlineStr">
        <is>
          <t>Yes</t>
        </is>
      </c>
      <c r="O468" s="3" t="inlineStr">
        <is>
          <t>1. MK-CF-F-132 map
2. MK-ST-F-002 monthWords</t>
        </is>
      </c>
      <c r="P468" s="3" t="n">
        <v>2</v>
      </c>
      <c r="Q468" s="3" t="inlineStr">
        <is>
          <t>1. MK-CF-F-132 map
2. MK-ST-F-002 monthWords</t>
        </is>
      </c>
      <c r="R468" s="3" t="inlineStr">
        <is>
          <t>1. MK-CF-F-132 map → MK-ST-F-003 dayWords
2. MK-CF-F-132 map → MK-ST-F-002 monthWords → MK-ST-F-003 dayWords</t>
        </is>
      </c>
      <c r="S468" s="3" t="inlineStr">
        <is>
          <t>—</t>
        </is>
      </c>
      <c r="T468" s="3" t="inlineStr">
        <is>
          <t>—</t>
        </is>
      </c>
      <c r="U468" s="3" t="inlineStr">
        <is>
          <t>ACTIVE</t>
        </is>
      </c>
      <c r="V468" s="3" t="inlineStr">
        <is>
          <t>2026-10-03</t>
        </is>
      </c>
      <c r="W468" s="3" t="n"/>
      <c r="X468" s="3" t="n"/>
      <c r="Y468" s="3" t="inlineStr">
        <is>
          <t>NOTHING OPEN</t>
        </is>
      </c>
    </row>
    <row r="469" ht="60" customHeight="1">
      <c r="A469" s="3" t="inlineStr">
        <is>
          <t>MK-ST-F-004</t>
        </is>
      </c>
      <c r="B469" s="3" t="inlineStr">
        <is>
          <t>coverageFor</t>
        </is>
      </c>
      <c r="C469" s="3" t="inlineStr">
        <is>
          <t>Calculation Module code/engines/coverage.ts</t>
        </is>
      </c>
      <c r="D469" s="3" t="n">
        <v>119</v>
      </c>
      <c r="E469" s="3" t="inlineStr">
        <is>
          <t>2 · DISPLAYED</t>
        </is>
      </c>
      <c r="F469" s="3" t="inlineStr">
        <is>
          <t>What can we honestly say about a window starting on `from`?</t>
        </is>
      </c>
      <c r="G469"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469"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469" s="3" t="inlineStr">
        <is>
          <t>PARTLY READ — some of the code is still showing through; needs a hand pass</t>
        </is>
      </c>
      <c r="J469" s="3" t="inlineStr">
        <is>
          <t>1. days: Dated[]
2. from: string
3. today: string</t>
        </is>
      </c>
      <c r="K469" s="3" t="inlineStr">
        <is>
          <t>Coverage</t>
        </is>
      </c>
      <c r="L469" s="3" t="inlineStr">
        <is>
          <t>NOT FOUND — a screen calls it, but the words printed beside its answer could not be traced automatically. Needs reading.</t>
        </is>
      </c>
      <c r="M469" s="3" t="inlineStr">
        <is>
          <t>None found in this function — anything it assumes comes from the functions it depends on.</t>
        </is>
      </c>
      <c r="N469" s="3" t="inlineStr">
        <is>
          <t>Yes</t>
        </is>
      </c>
      <c r="O469" s="3" t="inlineStr">
        <is>
          <t>1. MK-ST-F-003 dayWords
2. MK-ST-F-034 firstDate
3. MK-ST-F-002 monthWords</t>
        </is>
      </c>
      <c r="P469" s="3" t="n">
        <v>4</v>
      </c>
      <c r="Q469" s="3" t="inlineStr">
        <is>
          <t>1. MK-ST-F-003 dayWords
2. MK-ST-F-034 firstDate
3. MK-ST-F-002 monthWords
4. MK-CF-F-132 map</t>
        </is>
      </c>
      <c r="R469" s="3" t="inlineStr">
        <is>
          <t>1. MK-CF-F-132 map → MK-ST-F-003 dayWords → MK-ST-F-004 coverageFor
2. MK-CF-F-132 map → MK-ST-F-002 monthWords → MK-ST-F-003 dayWords → MK-ST-F-004 coverageFor
3. MK-ST-F-034 firstDate → MK-ST-F-004 coverageFor
4. MK-CF-F-132 map → MK-ST-F-002 monthWords → MK-ST-F-004 coverageFor</t>
        </is>
      </c>
      <c r="S469" s="3" t="inlineStr">
        <is>
          <t>—</t>
        </is>
      </c>
      <c r="T469" s="3" t="inlineStr">
        <is>
          <t>—</t>
        </is>
      </c>
      <c r="U469" s="3" t="inlineStr">
        <is>
          <t>ACTIVE</t>
        </is>
      </c>
      <c r="V469" s="3" t="inlineStr">
        <is>
          <t>2026-08-27</t>
        </is>
      </c>
      <c r="W469" s="3" t="n"/>
      <c r="X469" s="3" t="n"/>
      <c r="Y469" s="3" t="inlineStr">
        <is>
          <t>NOTHING OPEN</t>
        </is>
      </c>
    </row>
    <row r="470" ht="60" customHeight="1">
      <c r="A470" s="3" t="inlineStr">
        <is>
          <t>MK-ST-F-005</t>
        </is>
      </c>
      <c r="B470" s="3" t="inlineStr">
        <is>
          <t>measuredFromLabel</t>
        </is>
      </c>
      <c r="C470" s="3" t="inlineStr">
        <is>
          <t>Calculation Module code/engines/coverage.ts</t>
        </is>
      </c>
      <c r="D470" s="3" t="n">
        <v>168</v>
      </c>
      <c r="E470" s="3" t="inlineStr">
        <is>
          <t>2 · DISPLAYED</t>
        </is>
      </c>
      <c r="F470" s="3" t="inlineStr">
        <is>
          <t>The short label that rides beside a change figure, always — whether the window is covered or not.</t>
        </is>
      </c>
      <c r="G470" s="11" t="inlineStr">
        <is>
          <t>start = first date(days)
''   when start is missing
actual = start   if start &gt; from
from   otherwise
the answer = `since ${day words(actual)}`</t>
        </is>
      </c>
      <c r="H470" s="3" t="inlineStr">
        <is>
          <t>Start is first date(days). When start is missing, it answers ''. Actual is start — when start &gt; from; from — otherwise. The answer is `since ${day words(actual)}`.</t>
        </is>
      </c>
      <c r="I470" s="3" t="inlineStr">
        <is>
          <t>PARTLY READ — some of the code is still showing through; needs a hand pass</t>
        </is>
      </c>
      <c r="J470" s="3" t="inlineStr">
        <is>
          <t>1. days: Dated[]
2. from: string</t>
        </is>
      </c>
      <c r="K470" s="3" t="inlineStr">
        <is>
          <t>string</t>
        </is>
      </c>
      <c r="L470" s="3" t="inlineStr">
        <is>
          <t>NOT FOUND — a screen calls it, but the words printed beside its answer could not be traced automatically. Needs reading.</t>
        </is>
      </c>
      <c r="M470" s="3" t="inlineStr">
        <is>
          <t>None found in this function — anything it assumes comes from the functions it depends on.</t>
        </is>
      </c>
      <c r="N470" s="3" t="inlineStr">
        <is>
          <t>Yes</t>
        </is>
      </c>
      <c r="O470" s="3" t="inlineStr">
        <is>
          <t>1. MK-ST-F-003 dayWords
2. MK-ST-F-034 firstDate</t>
        </is>
      </c>
      <c r="P470" s="3" t="n">
        <v>4</v>
      </c>
      <c r="Q470" s="3" t="inlineStr">
        <is>
          <t>1. MK-ST-F-003 dayWords
2. MK-ST-F-034 firstDate
3. MK-CF-F-132 map
4. MK-ST-F-002 monthWords</t>
        </is>
      </c>
      <c r="R470" s="3" t="inlineStr">
        <is>
          <t>1. MK-CF-F-132 map → MK-ST-F-003 dayWords → MK-ST-F-005 measuredFromLabel
2. MK-CF-F-132 map → MK-ST-F-002 monthWords → MK-ST-F-003 dayWords → MK-ST-F-005 measuredFromLabel
3. MK-ST-F-034 firstDate → MK-ST-F-005 measuredFromLabel</t>
        </is>
      </c>
      <c r="S470" s="3" t="inlineStr">
        <is>
          <t>—</t>
        </is>
      </c>
      <c r="T470" s="3" t="inlineStr">
        <is>
          <t>—</t>
        </is>
      </c>
      <c r="U470" s="3" t="inlineStr">
        <is>
          <t>ACTIVE</t>
        </is>
      </c>
      <c r="V470" s="3" t="inlineStr">
        <is>
          <t>2026-08-27</t>
        </is>
      </c>
      <c r="W470" s="3" t="n"/>
      <c r="X470" s="3" t="n"/>
      <c r="Y470" s="3" t="inlineStr">
        <is>
          <t>NOTHING OPEN</t>
        </is>
      </c>
    </row>
    <row r="471" ht="45" customHeight="1">
      <c r="A471" s="3" t="inlineStr">
        <is>
          <t>MK-ST-F-006</t>
        </is>
      </c>
      <c r="B471" s="3" t="inlineStr">
        <is>
          <t>canAnswer</t>
        </is>
      </c>
      <c r="C471" s="3" t="inlineStr">
        <is>
          <t>Calculation Module code/engines/coverage.ts</t>
        </is>
      </c>
      <c r="D471" s="3" t="n">
        <v>192</v>
      </c>
      <c r="E471" s="3" t="inlineStr">
        <is>
          <t>3 · DEPENDENT (feeds an action only)</t>
        </is>
      </c>
      <c r="F471" s="3" t="inlineStr">
        <is>
          <t>Is there any record at all on or before this date?</t>
        </is>
      </c>
      <c r="G471" s="11" t="inlineStr">
        <is>
          <t>on or before(days, from) ≠ nothing</t>
        </is>
      </c>
      <c r="H471" s="3" t="inlineStr">
        <is>
          <t>on or before(days, from) is not no answer.</t>
        </is>
      </c>
      <c r="I471" s="3" t="inlineStr">
        <is>
          <t>READ FROM THE CODE — rendered from the expressions the function runs</t>
        </is>
      </c>
      <c r="J471" s="3" t="inlineStr">
        <is>
          <t>1. days: Dated[]
2. from: string</t>
        </is>
      </c>
      <c r="K471" s="3" t="inlineStr">
        <is>
          <t>boolean</t>
        </is>
      </c>
      <c r="L471" s="3" t="inlineStr">
        <is>
          <t>—</t>
        </is>
      </c>
      <c r="M471" s="3" t="inlineStr">
        <is>
          <t>None found in this function — anything it assumes comes from the functions it depends on.</t>
        </is>
      </c>
      <c r="N471" s="3" t="inlineStr">
        <is>
          <t>No</t>
        </is>
      </c>
      <c r="O471" s="3" t="inlineStr">
        <is>
          <t>1. MK-ST-F-034 firstDate
2. MK-ST-F-033 onOrBefore</t>
        </is>
      </c>
      <c r="P471" s="3" t="n">
        <v>2</v>
      </c>
      <c r="Q471" s="3" t="inlineStr">
        <is>
          <t>1. MK-ST-F-034 firstDate
2. MK-ST-F-033 onOrBefore</t>
        </is>
      </c>
      <c r="R471" s="3" t="inlineStr">
        <is>
          <t>1. MK-ST-F-034 firstDate → MK-ST-F-006 canAnswer
2. MK-ST-F-033 onOrBefore → MK-ST-F-006 canAnswer</t>
        </is>
      </c>
      <c r="S471" s="3" t="inlineStr">
        <is>
          <t>—</t>
        </is>
      </c>
      <c r="T471" s="3" t="inlineStr">
        <is>
          <t>—</t>
        </is>
      </c>
      <c r="U471" s="3" t="inlineStr">
        <is>
          <t>ACTIVE</t>
        </is>
      </c>
      <c r="V471" s="3" t="inlineStr">
        <is>
          <t>2026-08-27</t>
        </is>
      </c>
      <c r="W471" s="3" t="n"/>
      <c r="X471" s="3" t="n"/>
      <c r="Y471" s="3" t="inlineStr">
        <is>
          <t>NOTHING OPEN</t>
        </is>
      </c>
    </row>
    <row r="472" ht="60" customHeight="1">
      <c r="A472" s="3" t="inlineStr">
        <is>
          <t>MK-ST-F-007</t>
        </is>
      </c>
      <c r="B472" s="3" t="inlineStr">
        <is>
          <t>classifyEvent</t>
        </is>
      </c>
      <c r="C472" s="3" t="inlineStr">
        <is>
          <t>Calculation Module code/engines/events.ts</t>
        </is>
      </c>
      <c r="D472" s="3" t="n">
        <v>208</v>
      </c>
      <c r="E472" s="3" t="inlineStr">
        <is>
          <t>3 · DEPENDENT (feeds an action only)</t>
        </is>
      </c>
      <c r="F472" s="3" t="inlineStr">
        <is>
          <t>Classify one institution word.</t>
        </is>
      </c>
      <c r="G472"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472"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472" s="3" t="inlineStr">
        <is>
          <t>PARTLY READ — the body has a loop the extractor cannot render; the steps shown are the ones before it. Needs a hand pass (G23).</t>
        </is>
      </c>
      <c r="J472" s="3" t="inlineStr">
        <is>
          <t>word: string | null | undefined</t>
        </is>
      </c>
      <c r="K472" s="3" t="inlineStr">
        <is>
          <t>Classified</t>
        </is>
      </c>
      <c r="L472" s="3" t="inlineStr">
        <is>
          <t>—</t>
        </is>
      </c>
      <c r="M472" s="3" t="inlineStr">
        <is>
          <t>None found in this function — anything it assumes comes from the functions it depends on.</t>
        </is>
      </c>
      <c r="N472" s="3" t="inlineStr">
        <is>
          <t>No</t>
        </is>
      </c>
      <c r="O472" s="3" t="inlineStr">
        <is>
          <t>—</t>
        </is>
      </c>
      <c r="P472" s="3" t="n">
        <v>0</v>
      </c>
      <c r="Q472" s="3" t="inlineStr">
        <is>
          <t>None — no dependent function stands behind it</t>
        </is>
      </c>
      <c r="R472" s="3" t="inlineStr">
        <is>
          <t>No dependent function — it reads its inputs and answers</t>
        </is>
      </c>
      <c r="S472" s="3" t="inlineStr">
        <is>
          <t>—</t>
        </is>
      </c>
      <c r="T472" s="3" t="inlineStr">
        <is>
          <t>—</t>
        </is>
      </c>
      <c r="U472" s="3" t="inlineStr">
        <is>
          <t>ACTIVE</t>
        </is>
      </c>
      <c r="V472" s="3" t="inlineStr">
        <is>
          <t>2026-09-08</t>
        </is>
      </c>
      <c r="W472" s="3" t="n"/>
      <c r="X472" s="3" t="n"/>
      <c r="Y472" s="3" t="inlineStr">
        <is>
          <t>NOTHING OPEN</t>
        </is>
      </c>
    </row>
    <row r="473" ht="60" customHeight="1">
      <c r="A473" s="3" t="inlineStr">
        <is>
          <t>MK-ST-F-008</t>
        </is>
      </c>
      <c r="B473" s="3" t="inlineStr">
        <is>
          <t>touches</t>
        </is>
      </c>
      <c r="C473" s="3" t="inlineStr">
        <is>
          <t>Calculation Module code/engines/events.ts</t>
        </is>
      </c>
      <c r="D473" s="3" t="n">
        <v>236</v>
      </c>
      <c r="E473" s="3" t="inlineStr">
        <is>
          <t>3 · DEPENDENT (feeds an action only)</t>
        </is>
      </c>
      <c r="F473" s="3" t="inlineStr">
        <is>
          <t>Does this event add to that total?</t>
        </is>
      </c>
      <c r="G473" s="11" t="inlineStr">
        <is>
          <t>EVENTS[e].totals.includes(total)</t>
        </is>
      </c>
      <c r="H473" s="3" t="inlineStr">
        <is>
          <t>EVENTS[e].totals.includes(total).</t>
        </is>
      </c>
      <c r="I473" s="3" t="inlineStr">
        <is>
          <t>PARTLY READ — some of the code is still showing through; needs a hand pass</t>
        </is>
      </c>
      <c r="J473" s="3" t="inlineStr">
        <is>
          <t>1. e: CanonicalEvent
2. total: 'contributions' | 'withdrawals' | 'income' | 'costs' | 'units' | 'costBasis' | 'realisedGain'</t>
        </is>
      </c>
      <c r="K473" s="3" t="inlineStr">
        <is>
          <t>boolean</t>
        </is>
      </c>
      <c r="L473" s="3" t="inlineStr">
        <is>
          <t>—</t>
        </is>
      </c>
      <c r="M473" s="3" t="inlineStr">
        <is>
          <t>None found in this function — anything it assumes comes from the functions it depends on.</t>
        </is>
      </c>
      <c r="N473" s="3" t="inlineStr">
        <is>
          <t>No</t>
        </is>
      </c>
      <c r="O473" s="3" t="inlineStr">
        <is>
          <t>—</t>
        </is>
      </c>
      <c r="P473" s="3" t="n">
        <v>0</v>
      </c>
      <c r="Q473" s="3" t="inlineStr">
        <is>
          <t>None — no dependent function stands behind it</t>
        </is>
      </c>
      <c r="R473" s="3" t="inlineStr">
        <is>
          <t>No dependent function — it reads its inputs and answers</t>
        </is>
      </c>
      <c r="S473" s="3" t="inlineStr">
        <is>
          <t>—</t>
        </is>
      </c>
      <c r="T473" s="3" t="inlineStr">
        <is>
          <t>—</t>
        </is>
      </c>
      <c r="U473" s="3" t="inlineStr">
        <is>
          <t>ACTIVE</t>
        </is>
      </c>
      <c r="V473" s="3" t="inlineStr">
        <is>
          <t>2026-08-27</t>
        </is>
      </c>
      <c r="W473" s="3" t="n"/>
      <c r="X473" s="3" t="n"/>
      <c r="Y473" s="3" t="inlineStr">
        <is>
          <t>NOTHING OPEN</t>
        </is>
      </c>
    </row>
    <row r="474" ht="45" customHeight="1">
      <c r="A474" s="3" t="inlineStr">
        <is>
          <t>MK-ST-F-009</t>
        </is>
      </c>
      <c r="B474" s="3" t="inlineStr">
        <is>
          <t>directionOf</t>
        </is>
      </c>
      <c r="C474" s="3" t="inlineStr">
        <is>
          <t>Calculation Module code/engines/events.ts</t>
        </is>
      </c>
      <c r="D474" s="3" t="n">
        <v>256</v>
      </c>
      <c r="E474" s="3" t="inlineStr">
        <is>
          <t>3 · DEPENDENT (feeds an action only)</t>
        </is>
      </c>
      <c r="F474" s="3" t="inlineStr">
        <is>
          <t>The direction an event implies, where the event itself decides it.</t>
        </is>
      </c>
      <c r="G474" s="11" t="inlineStr">
        <is>
          <t>EVENTS[e].direction (or 'NONE' when missing)</t>
        </is>
      </c>
      <c r="H474" s="3" t="inlineStr">
        <is>
          <t>EVENTS[e].direction (or 'NONE' — when missing).</t>
        </is>
      </c>
      <c r="I474" s="3" t="inlineStr">
        <is>
          <t>PARTLY READ — some of the code is still showing through; needs a hand pass</t>
        </is>
      </c>
      <c r="J474" s="3" t="inlineStr">
        <is>
          <t>e: CanonicalEvent</t>
        </is>
      </c>
      <c r="K474" s="3" t="inlineStr">
        <is>
          <t>Money['direction']</t>
        </is>
      </c>
      <c r="L474" s="3" t="inlineStr">
        <is>
          <t>—</t>
        </is>
      </c>
      <c r="M474" s="3" t="inlineStr">
        <is>
          <t>None found in this function — anything it assumes comes from the functions it depends on.</t>
        </is>
      </c>
      <c r="N474" s="3" t="inlineStr">
        <is>
          <t>No</t>
        </is>
      </c>
      <c r="O474" s="3" t="inlineStr">
        <is>
          <t>—</t>
        </is>
      </c>
      <c r="P474" s="3" t="n">
        <v>0</v>
      </c>
      <c r="Q474" s="3" t="inlineStr">
        <is>
          <t>None — no dependent function stands behind it</t>
        </is>
      </c>
      <c r="R474" s="3" t="inlineStr">
        <is>
          <t>No dependent function — it reads its inputs and answers</t>
        </is>
      </c>
      <c r="S474" s="3" t="inlineStr">
        <is>
          <t>—</t>
        </is>
      </c>
      <c r="T474" s="3" t="inlineStr">
        <is>
          <t>—</t>
        </is>
      </c>
      <c r="U474" s="3" t="inlineStr">
        <is>
          <t>ACTIVE</t>
        </is>
      </c>
      <c r="V474" s="3" t="inlineStr">
        <is>
          <t>2026-08-27</t>
        </is>
      </c>
      <c r="W474" s="3" t="n"/>
      <c r="X474" s="3" t="n"/>
      <c r="Y474" s="3" t="inlineStr">
        <is>
          <t>NOTHING OPEN</t>
        </is>
      </c>
    </row>
    <row r="475" ht="60" customHeight="1">
      <c r="A475" s="3" t="inlineStr">
        <is>
          <t>MK-ST-F-010</t>
        </is>
      </c>
      <c r="B475" s="3" t="inlineStr">
        <is>
          <t>nameEvidence</t>
        </is>
      </c>
      <c r="C475" s="3" t="inlineStr">
        <is>
          <t>Calculation Module code/engines/holding-class.ts</t>
        </is>
      </c>
      <c r="D475" s="3" t="n">
        <v>91</v>
      </c>
      <c r="E475" s="3" t="inlineStr">
        <is>
          <t>3 · DEPENDENT</t>
        </is>
      </c>
      <c r="F475" s="3" t="inlineStr">
        <is>
          <t>What the NAME (symbol + description together) says, or null when it says nothing.</t>
        </is>
      </c>
      <c r="G475" s="11" t="inlineStr">
        <is>
          <t>t = string(label ?? '').trim()
nothing   when t is missing
words = for each of split( ÷ [\s·—-]+ ÷ ): to upper case()
'stocks_etf'   when MONEY_MARKET_RE.test(t) (or words.some((w) =&gt; MONEY_MARKET_TICKERS.has(w)) when missing or zero)
'cash'   when SWEEP_RE.test(t)
'bonds'   when words.some((w) =&gt; TBILL_ETF_TICKERS.has(w))
'alternatives'   when OCC_OPTION.test(replace( ÷ \s+ ÷ g, '').to upper case())
option shape = ÷ \d{4}-\d{2}-\d{2}|\d{1,2}\ ÷ \d{1,2}(\ ÷ \d{2,4})?|\$\s?\d|\b\d+(\.\d+)?\s × (c|p|call|put)s?\b ÷ test(t)
a fund = ÷ \b(etf|fund|trust|covered call)\b ÷ test(t)
'alternatives'   when DATE_STYLE_OPTION.test(t) (or ÷ \b(put|call)s?\b ÷ test(t) and option shape and !a fund when missing or zero)
'stocks_etf'   when ÷ \b(put|call)s?\b ÷ test(t) and a fund
… the first steps only — the rest of the body needs reading by hand.</t>
        </is>
      </c>
      <c r="H475" s="3" t="inlineStr">
        <is>
          <t>T is string(label ?? '').trim(). When t is missing, it answers no answer. Words is for each of split( divided by [\s·—-]+ divided by ): to upper case(). When MONEY_MARKET_RE.test(t) (or words.some((w) =&gt; MONEY_MARKET_TICKERS.has(w)) — when missing or zero), it answers 'stocks_etf'. When SWEEP_RE.test(t), it answers 'cash'. When words.some((w) =&gt; TBILL_ETF_TICKERS.has(w)), it answers 'bonds'. When OCC_OPTION.test(replace( divided by \s+ divided by g, '').to upper case()), it answers 'alternatives'. Option shape is ÷ \d{4}-\d{2}-\d{2}|\d{1,2}\ divided by \d{1,2}(\ divided by \d{2,4})?|\$\s?\d|\b\d+(\.\d+)?\s times (c|p|call|put)s?\b divided by test(t). A fund is ÷ \b(etf|fund|trust|covered call)\b divided by test(t). When DATE_STYLE_OPTION.test(t) (or divided by \b(put|call)s?\b divided by test(t) and option shape and !a fund — when missing or zero), it answers 'alternatives'. When ÷ \b(put|call)s?\b divided by test(t) and a fund, it answers 'stocks_etf'. Only the first steps are shown; the rest of the body needs reading by hand.</t>
        </is>
      </c>
      <c r="I475" s="3" t="inlineStr">
        <is>
          <t>PARTLY READ — some of the code is still showing through; needs a hand pass</t>
        </is>
      </c>
      <c r="J475" s="3" t="inlineStr">
        <is>
          <t>label?: string | null</t>
        </is>
      </c>
      <c r="K475" s="3" t="inlineStr">
        <is>
          <t>HoldingClass | null</t>
        </is>
      </c>
      <c r="L475" s="3" t="inlineStr">
        <is>
          <t>—</t>
        </is>
      </c>
      <c r="M475" s="3" t="inlineStr">
        <is>
          <t>None found in this function — anything it assumes comes from the functions it depends on.</t>
        </is>
      </c>
      <c r="N475" s="3" t="inlineStr">
        <is>
          <t>Yes</t>
        </is>
      </c>
      <c r="O475" s="3" t="inlineStr">
        <is>
          <t>1. MK-XS-F-147 call
2. MK-ST-F-056 has
3. MK-CF-F-132 map</t>
        </is>
      </c>
      <c r="P475" s="3" t="n">
        <v>6</v>
      </c>
      <c r="Q475" s="3" t="inlineStr">
        <is>
          <t>1. MK-XS-F-147 call
2. MK-ST-F-056 has
3. MK-CF-F-132 map
4. MK-ST-F-027 accountId
5. MK-XS-F-064 currentIdToken
6. MK-XS-F-112 relayUrl</t>
        </is>
      </c>
      <c r="R475"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475" s="3" t="inlineStr">
        <is>
          <t>—</t>
        </is>
      </c>
      <c r="T475" s="3" t="inlineStr">
        <is>
          <t>—</t>
        </is>
      </c>
      <c r="U475" s="3" t="inlineStr">
        <is>
          <t>ACTIVE</t>
        </is>
      </c>
      <c r="V475" s="3" t="inlineStr">
        <is>
          <t>2026-10-07</t>
        </is>
      </c>
      <c r="W475" s="3" t="n"/>
      <c r="X475" s="3" t="n"/>
      <c r="Y475" s="3" t="inlineStr">
        <is>
          <t>NOTHING OPEN</t>
        </is>
      </c>
    </row>
    <row r="476" ht="60" customHeight="1">
      <c r="A476" s="3" t="inlineStr">
        <is>
          <t>MK-ST-F-011</t>
        </is>
      </c>
      <c r="B476" s="3" t="inlineStr">
        <is>
          <t>classifyHoldingClass</t>
        </is>
      </c>
      <c r="C476" s="3" t="inlineStr">
        <is>
          <t>Calculation Module code/engines/holding-class.ts</t>
        </is>
      </c>
      <c r="D476" s="3" t="n">
        <v>207</v>
      </c>
      <c r="E476" s="3" t="inlineStr">
        <is>
          <t>3 · DEPENDENT</t>
        </is>
      </c>
      <c r="F476" s="3" t="inlineStr">
        <is>
          <t>NOT DETERMINED — the code carries no note saying what this is for, and it has no row in the old inventory. Needs reading.</t>
        </is>
      </c>
      <c r="G476"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date and string(maturity date).trim()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476"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date and string(maturity date).trim(),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476" s="3" t="inlineStr">
        <is>
          <t>PARTLY READ — some of the code is still showing through; needs a hand pass</t>
        </is>
      </c>
      <c r="J476" s="3" t="inlineStr">
        <is>
          <t>e: ClassEvidence</t>
        </is>
      </c>
      <c r="K476" s="3" t="inlineStr">
        <is>
          <t>ClassVerdict</t>
        </is>
      </c>
      <c r="L476" s="3" t="inlineStr">
        <is>
          <t>—</t>
        </is>
      </c>
      <c r="M476" s="3" t="inlineStr">
        <is>
          <t>None found in this function — anything it assumes comes from the functions it depends on.</t>
        </is>
      </c>
      <c r="N476" s="3" t="inlineStr">
        <is>
          <t>Yes</t>
        </is>
      </c>
      <c r="O476" s="3" t="inlineStr">
        <is>
          <t>MK-ST-F-010 nameEvidence</t>
        </is>
      </c>
      <c r="P476" s="3" t="n">
        <v>7</v>
      </c>
      <c r="Q476" s="3" t="inlineStr">
        <is>
          <t>1. MK-ST-F-010 nameEvidence
2. MK-XS-F-147 call
3. MK-ST-F-056 has
4. MK-CF-F-132 map
5. MK-ST-F-027 accountId
6. MK-XS-F-064 currentIdToken
7. MK-XS-F-112 relayUrl</t>
        </is>
      </c>
      <c r="R476" s="3" t="inlineStr">
        <is>
          <t>1. MK-ST-F-027 accountId → MK-XS-F-147 call → MK-ST-F-010 nameEvidence → MK-ST-F-011 classifyHoldingClass
2. MK-XS-F-064 currentIdToken → MK-XS-F-147 call → MK-ST-F-010 nameEvidence → MK-ST-F-011 classifyHoldingClass
3. MK-XS-F-112 relayUrl → MK-XS-F-147 call → MK-ST-F-010 nameEvidence → MK-ST-F-011 classifyHoldingClass
4. MK-ST-F-056 has → MK-ST-F-010 nameEvidence → MK-ST-F-011 classifyHoldingClass
5. MK-CF-F-132 map → MK-ST-F-010 nameEvidence → MK-ST-F-011 classifyHoldingClass</t>
        </is>
      </c>
      <c r="S476" s="3" t="inlineStr">
        <is>
          <t>—</t>
        </is>
      </c>
      <c r="T476" s="3" t="inlineStr">
        <is>
          <t>—</t>
        </is>
      </c>
      <c r="U476" s="3" t="inlineStr">
        <is>
          <t>ACTIVE</t>
        </is>
      </c>
      <c r="V476" s="3" t="inlineStr">
        <is>
          <t>2026-08-27</t>
        </is>
      </c>
      <c r="W476" s="3" t="n"/>
      <c r="X476" s="3" t="n"/>
      <c r="Y476" s="3" t="inlineStr">
        <is>
          <t>NOTHING OPEN</t>
        </is>
      </c>
    </row>
    <row r="477" ht="60" customHeight="1">
      <c r="A477" s="3" t="inlineStr">
        <is>
          <t>MK-ST-F-012</t>
        </is>
      </c>
      <c r="B477" s="3" t="inlineStr">
        <is>
          <t>toLedgerRow</t>
        </is>
      </c>
      <c r="C477" s="3" t="inlineStr">
        <is>
          <t>Calculation Module code/engines/ledger.ts</t>
        </is>
      </c>
      <c r="D477" s="3" t="n">
        <v>131</v>
      </c>
      <c r="E477" s="3" t="inlineStr">
        <is>
          <t>3 · DEPENDENT (feeds an action only)</t>
        </is>
      </c>
      <c r="F477" s="3" t="inlineStr">
        <is>
          <t>Read one institution row into one ledger row.</t>
        </is>
      </c>
      <c r="G477" s="11" t="inlineStr">
        <is>
          <t>c = classify event(raw.word)
money = read money(raw.amount, convention, rule.direction)
units = number or undefined(raw.units)
legacy = TO_LEGACY[event]
is trade = legacy = 'BUY' (or legacy = 'SELL' when missing or zero)</t>
        </is>
      </c>
      <c r="H477" s="3" t="inlineStr">
        <is>
          <t>C is classify event(raw.word). Money is read money(raw.amount, convention, rule.direction). Units is number or undefined(raw.units). Legacy is TO_LEGACY[event]. Is trade is legacy = 'BUY' (or legacy = 'SELL' — when missing or zero).</t>
        </is>
      </c>
      <c r="I477" s="3" t="inlineStr">
        <is>
          <t>PARTLY READ — some of the code is still showing through; needs a hand pass</t>
        </is>
      </c>
      <c r="J477" s="3" t="inlineStr">
        <is>
          <t>1. raw: RawActivity
2. convention: SignConvention</t>
        </is>
      </c>
      <c r="K477" s="3" t="inlineStr">
        <is>
          <t>LedgerRow</t>
        </is>
      </c>
      <c r="L477" s="3" t="inlineStr">
        <is>
          <t>—</t>
        </is>
      </c>
      <c r="M477" s="3" t="inlineStr">
        <is>
          <t>None found in this function — anything it assumes comes from the functions it depends on.</t>
        </is>
      </c>
      <c r="N477" s="3" t="inlineStr">
        <is>
          <t>No</t>
        </is>
      </c>
      <c r="O477" s="3" t="inlineStr">
        <is>
          <t>1. MK-ST-F-007 classifyEvent
2. MK-ST-F-053 money
3. MK-ST-F-058 numberOrUndefined
4. MK-ST-F-018 readMoney
5. MK-ST-F-019 signed
6. MK-ST-F-021 toNumber</t>
        </is>
      </c>
      <c r="P477" s="3" t="n">
        <v>11</v>
      </c>
      <c r="Q477" s="3" t="inlineStr">
        <is>
          <t>1. MK-ST-F-007 classifyEvent
2. MK-ST-F-053 money
3. MK-ST-F-058 numberOrUndefined
4. MK-ST-F-018 readMoney
5. MK-ST-F-019 signed
6. MK-ST-F-021 toNumber
7. MK-ST-F-049 formatMoney
8. MK-XS-F-122 n
9. MK-ST-F-048 currencySymbol
10. MK-ST-F-039 on
11. MK-ST-F-047 activeCurrency</t>
        </is>
      </c>
      <c r="R477"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477" s="3" t="inlineStr">
        <is>
          <t>—</t>
        </is>
      </c>
      <c r="T477" s="3" t="inlineStr">
        <is>
          <t>—</t>
        </is>
      </c>
      <c r="U477" s="3" t="inlineStr">
        <is>
          <t>ACTIVE</t>
        </is>
      </c>
      <c r="V477" s="3" t="inlineStr">
        <is>
          <t>2026-08-27</t>
        </is>
      </c>
      <c r="W477" s="3" t="n"/>
      <c r="X477" s="3" t="n"/>
      <c r="Y477" s="3" t="inlineStr">
        <is>
          <t>NOTHING OPEN</t>
        </is>
      </c>
    </row>
    <row r="478" ht="60" customHeight="1">
      <c r="A478" s="3" t="inlineStr">
        <is>
          <t>MK-ST-F-013</t>
        </is>
      </c>
      <c r="B478" s="3" t="inlineStr">
        <is>
          <t>personalFlowTotals</t>
        </is>
      </c>
      <c r="C478" s="3" t="inlineStr">
        <is>
          <t>Calculation Module code/engines/ledger.ts</t>
        </is>
      </c>
      <c r="D478" s="3" t="n">
        <v>227</v>
      </c>
      <c r="E478" s="3" t="inlineStr">
        <is>
          <t>2 · DISPLAYED</t>
        </is>
      </c>
      <c r="F478" s="3" t="inlineStr">
        <is>
          <t>NOT DETERMINED — the code carries no note saying what this is for, and it has no row in the old inventory. Needs reading.</t>
        </is>
      </c>
      <c r="G478" s="11" t="inlineStr">
        <is>
          <t>bucket = STORED_TYPE_BUCKET[string(type ?? '')] (or 'none' when missing)
d = dec.parse(amount)
the answer = t</t>
        </is>
      </c>
      <c r="H478" s="3" t="inlineStr">
        <is>
          <t>Bucket is STORED_TYPE_BUCKET[string(type ?? '')] (or 'none' — when missing). D is dec.parse(amount). The answer is t.</t>
        </is>
      </c>
      <c r="I478" s="3" t="inlineStr">
        <is>
          <t>PARTLY READ — some of the code is still showing through; needs a hand pass</t>
        </is>
      </c>
      <c r="J478" s="3" t="inlineStr">
        <is>
          <t>rows: StoredFlowRow[]</t>
        </is>
      </c>
      <c r="K478" s="3" t="inlineStr">
        <is>
          <t>PersonalFlowTotals</t>
        </is>
      </c>
      <c r="L478" s="3" t="inlineStr">
        <is>
          <t>NOT FOUND — a screen calls it, but the words printed beside its answer could not be traced automatically. Needs reading.</t>
        </is>
      </c>
      <c r="M478" s="3" t="inlineStr">
        <is>
          <t>None found in this function — anything it assumes comes from the functions it depends on.</t>
        </is>
      </c>
      <c r="N478" s="3" t="inlineStr">
        <is>
          <t>Yes</t>
        </is>
      </c>
      <c r="O478" s="3" t="inlineStr">
        <is>
          <t>—</t>
        </is>
      </c>
      <c r="P478" s="3" t="n">
        <v>0</v>
      </c>
      <c r="Q478" s="3" t="inlineStr">
        <is>
          <t>None — no dependent function stands behind it</t>
        </is>
      </c>
      <c r="R478" s="3" t="inlineStr">
        <is>
          <t>No dependent function — it reads its inputs and answers</t>
        </is>
      </c>
      <c r="S478" s="3" t="inlineStr">
        <is>
          <t>—</t>
        </is>
      </c>
      <c r="T478" s="3" t="inlineStr">
        <is>
          <t>—</t>
        </is>
      </c>
      <c r="U478" s="3" t="inlineStr">
        <is>
          <t>ACTIVE</t>
        </is>
      </c>
      <c r="V478" s="3" t="inlineStr">
        <is>
          <t>2026-08-27</t>
        </is>
      </c>
      <c r="W478" s="3" t="n"/>
      <c r="X478" s="3" t="n"/>
      <c r="Y478" s="3" t="inlineStr">
        <is>
          <t>NOTHING OPEN</t>
        </is>
      </c>
    </row>
    <row r="479" ht="60" customHeight="1">
      <c r="A479" s="3" t="inlineStr">
        <is>
          <t>MK-ST-F-014</t>
        </is>
      </c>
      <c r="B479" s="3" t="inlineStr">
        <is>
          <t>importKey</t>
        </is>
      </c>
      <c r="C479" s="3" t="inlineStr">
        <is>
          <t>Calculation Module code/engines/ledger.ts</t>
        </is>
      </c>
      <c r="D479" s="3" t="n">
        <v>279</v>
      </c>
      <c r="E479" s="3" t="inlineStr">
        <is>
          <t>3 · DEPENDENT (feeds an action only)</t>
        </is>
      </c>
      <c r="F479" s="3" t="inlineStr">
        <is>
          <t>NOT DETERMINED — the code carries no note saying what this is for, and it has no row in the old inventory. Needs reading.</t>
        </is>
      </c>
      <c r="G479" s="11" t="inlineStr">
        <is>
          <t>the answer = account | date | WORD | amount | units | security | ref | description, joined with '|' (missing parts empty)</t>
        </is>
      </c>
      <c r="H479"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479" s="3" t="inlineStr">
        <is>
          <t>READ BY HAND 2026-08-26 — checked line by line against the code</t>
        </is>
      </c>
      <c r="J479" s="3" t="inlineStr">
        <is>
          <t>id: ImportIdentity</t>
        </is>
      </c>
      <c r="K479" s="3" t="inlineStr">
        <is>
          <t>string</t>
        </is>
      </c>
      <c r="L479" s="3" t="inlineStr">
        <is>
          <t>—</t>
        </is>
      </c>
      <c r="M479" s="3" t="inlineStr">
        <is>
          <t>None found in this function — anything it assumes comes from the functions it depends on.</t>
        </is>
      </c>
      <c r="N479" s="3" t="inlineStr">
        <is>
          <t>No</t>
        </is>
      </c>
      <c r="O479" s="3" t="inlineStr">
        <is>
          <t>—</t>
        </is>
      </c>
      <c r="P479" s="3" t="n">
        <v>0</v>
      </c>
      <c r="Q479" s="3" t="inlineStr">
        <is>
          <t>None — no dependent function stands behind it</t>
        </is>
      </c>
      <c r="R479" s="3" t="inlineStr">
        <is>
          <t>No dependent function — it reads its inputs and answers</t>
        </is>
      </c>
      <c r="S479" s="3" t="inlineStr">
        <is>
          <t>—</t>
        </is>
      </c>
      <c r="T479" s="3" t="inlineStr">
        <is>
          <t>—</t>
        </is>
      </c>
      <c r="U479" s="3" t="inlineStr">
        <is>
          <t>ACTIVE</t>
        </is>
      </c>
      <c r="V479" s="3" t="inlineStr">
        <is>
          <t>2026-09-12</t>
        </is>
      </c>
      <c r="W479" s="3" t="n"/>
      <c r="X479" s="3" t="n"/>
      <c r="Y479" s="3" t="inlineStr">
        <is>
          <t>NOTHING OPEN</t>
        </is>
      </c>
    </row>
    <row r="480" ht="60" customHeight="1">
      <c r="A480" s="3" t="inlineStr">
        <is>
          <t>MK-ST-F-015</t>
        </is>
      </c>
      <c r="B480" s="3" t="inlineStr">
        <is>
          <t>rowsFor</t>
        </is>
      </c>
      <c r="C480" s="3" t="inlineStr">
        <is>
          <t>Calculation Module code/engines/ledger.ts</t>
        </is>
      </c>
      <c r="D480" s="3" t="n">
        <v>310</v>
      </c>
      <c r="E480" s="3" t="inlineStr">
        <is>
          <t>3 · DEPENDENT (feeds an action only)</t>
        </is>
      </c>
      <c r="F480" s="3" t="inlineStr">
        <is>
          <t>NOT DETERMINED — the code carries no note saying what this is for, and it has no row in the old inventory. Needs reading.</t>
        </is>
      </c>
      <c r="G480" s="11" t="inlineStr">
        <is>
          <t>rows where EVENTS[event].totals.includes(total)</t>
        </is>
      </c>
      <c r="H480" s="3" t="inlineStr">
        <is>
          <t>rows where EVENTS[event].totals.includes(total).</t>
        </is>
      </c>
      <c r="I480" s="3" t="inlineStr">
        <is>
          <t>PARTLY READ — some of the code is still showing through; needs a hand pass</t>
        </is>
      </c>
      <c r="J480" s="3" t="inlineStr">
        <is>
          <t>Nothing is handed to it</t>
        </is>
      </c>
      <c r="K480" s="3" t="inlineStr">
        <is>
          <t>NOT DECLARED — the code does not say what it gives back</t>
        </is>
      </c>
      <c r="L480" s="3" t="inlineStr">
        <is>
          <t>—</t>
        </is>
      </c>
      <c r="M480" s="3" t="inlineStr">
        <is>
          <t>None found in this function — anything it assumes comes from the functions it depends on.</t>
        </is>
      </c>
      <c r="N480" s="3" t="inlineStr">
        <is>
          <t>No</t>
        </is>
      </c>
      <c r="O480" s="3" t="inlineStr">
        <is>
          <t>—</t>
        </is>
      </c>
      <c r="P480" s="3" t="n">
        <v>0</v>
      </c>
      <c r="Q480" s="3" t="inlineStr">
        <is>
          <t>None — no dependent function stands behind it</t>
        </is>
      </c>
      <c r="R480" s="3" t="inlineStr">
        <is>
          <t>No dependent function — it reads its inputs and answers</t>
        </is>
      </c>
      <c r="S480" s="3" t="inlineStr">
        <is>
          <t>—</t>
        </is>
      </c>
      <c r="T480" s="3" t="inlineStr">
        <is>
          <t>—</t>
        </is>
      </c>
      <c r="U480" s="3" t="inlineStr">
        <is>
          <t>ACTIVE</t>
        </is>
      </c>
      <c r="V480" s="3" t="inlineStr">
        <is>
          <t>2026-08-27</t>
        </is>
      </c>
      <c r="W480" s="3" t="n"/>
      <c r="X480" s="3" t="n"/>
      <c r="Y480" s="3" t="inlineStr">
        <is>
          <t>NOTHING OPEN</t>
        </is>
      </c>
    </row>
    <row r="481" ht="45" customHeight="1">
      <c r="A481" s="3" t="inlineStr">
        <is>
          <t>MK-ST-F-016</t>
        </is>
      </c>
      <c r="B481" s="3" t="inlineStr">
        <is>
          <t>totalOf</t>
        </is>
      </c>
      <c r="C481" s="3" t="inlineStr">
        <is>
          <t>Calculation Module code/engines/ledger.ts</t>
        </is>
      </c>
      <c r="D481" s="3" t="n">
        <v>334</v>
      </c>
      <c r="E481" s="3" t="inlineStr">
        <is>
          <t>3 · DEPENDENT (feeds an action only)</t>
        </is>
      </c>
      <c r="F481" s="3" t="inlineStr">
        <is>
          <t>A total, summed SIGNED and EXACT — a reversal reduces its total instead of inflating it.</t>
        </is>
      </c>
      <c r="G481" s="11" t="inlineStr">
        <is>
          <t>dec.sum(rows for(rows, total).map((r) =&gt; signed amount))</t>
        </is>
      </c>
      <c r="H481" s="3" t="inlineStr">
        <is>
          <t>dec.sum(rows for(rows, total).map((r) =&gt; signed amount)).</t>
        </is>
      </c>
      <c r="I481" s="3" t="inlineStr">
        <is>
          <t>PARTLY READ — some of the code is still showing through; needs a hand pass</t>
        </is>
      </c>
      <c r="J481" s="3" t="inlineStr">
        <is>
          <t>1. rows: LedgerRow[]
2. total: 'contributions' | 'withdrawals' | 'income' | 'costs'</t>
        </is>
      </c>
      <c r="K481" s="3" t="inlineStr">
        <is>
          <t>Dec</t>
        </is>
      </c>
      <c r="L481" s="3" t="inlineStr">
        <is>
          <t>—</t>
        </is>
      </c>
      <c r="M481" s="3" t="inlineStr">
        <is>
          <t>None found in this function — anything it assumes comes from the functions it depends on.</t>
        </is>
      </c>
      <c r="N481" s="3" t="inlineStr">
        <is>
          <t>No</t>
        </is>
      </c>
      <c r="O481" s="3" t="inlineStr">
        <is>
          <t>1. MK-CF-F-132 map
2. MK-ST-F-015 rowsFor</t>
        </is>
      </c>
      <c r="P481" s="3" t="n">
        <v>2</v>
      </c>
      <c r="Q481" s="3" t="inlineStr">
        <is>
          <t>1. MK-CF-F-132 map
2. MK-ST-F-015 rowsFor</t>
        </is>
      </c>
      <c r="R481" s="3" t="inlineStr">
        <is>
          <t>1. MK-CF-F-132 map → MK-ST-F-016 totalOf
2. MK-ST-F-015 rowsFor → MK-ST-F-016 totalOf</t>
        </is>
      </c>
      <c r="S481" s="3" t="inlineStr">
        <is>
          <t>—</t>
        </is>
      </c>
      <c r="T481" s="3" t="inlineStr">
        <is>
          <t>—</t>
        </is>
      </c>
      <c r="U481" s="3" t="inlineStr">
        <is>
          <t>ACTIVE</t>
        </is>
      </c>
      <c r="V481" s="3" t="inlineStr">
        <is>
          <t>2026-08-27</t>
        </is>
      </c>
      <c r="W481" s="3" t="n"/>
      <c r="X481" s="3" t="n"/>
      <c r="Y481" s="3" t="inlineStr">
        <is>
          <t>NOTHING OPEN</t>
        </is>
      </c>
    </row>
    <row r="482" ht="45" customHeight="1">
      <c r="A482" s="3" t="inlineStr">
        <is>
          <t>MK-ST-F-017</t>
        </is>
      </c>
      <c r="B482" s="3" t="inlineStr">
        <is>
          <t>unclassified</t>
        </is>
      </c>
      <c r="C482" s="3" t="inlineStr">
        <is>
          <t>Calculation Module code/engines/ledger.ts</t>
        </is>
      </c>
      <c r="D482" s="3" t="n">
        <v>354</v>
      </c>
      <c r="E482" s="3" t="inlineStr">
        <is>
          <t>3 · DEPENDENT (feeds an action only)</t>
        </is>
      </c>
      <c r="F482" s="3" t="inlineStr">
        <is>
          <t>Everything we could not name, for the honest line on screen: "12 entries we could not classify".</t>
        </is>
      </c>
      <c r="G482" s="11" t="inlineStr">
        <is>
          <t>rows where recognised is missing</t>
        </is>
      </c>
      <c r="H482" s="3" t="inlineStr">
        <is>
          <t>rows where recognised is missing.</t>
        </is>
      </c>
      <c r="I482" s="3" t="inlineStr">
        <is>
          <t>READ FROM THE CODE — rendered from the expressions the function runs</t>
        </is>
      </c>
      <c r="J482" s="3" t="inlineStr">
        <is>
          <t>rows: LedgerRow[]</t>
        </is>
      </c>
      <c r="K482" s="3" t="inlineStr">
        <is>
          <t>LedgerRow[]</t>
        </is>
      </c>
      <c r="L482" s="3" t="inlineStr">
        <is>
          <t>—</t>
        </is>
      </c>
      <c r="M482" s="3" t="inlineStr">
        <is>
          <t>None found in this function — anything it assumes comes from the functions it depends on.</t>
        </is>
      </c>
      <c r="N482" s="3" t="inlineStr">
        <is>
          <t>No</t>
        </is>
      </c>
      <c r="O482" s="3" t="inlineStr">
        <is>
          <t>—</t>
        </is>
      </c>
      <c r="P482" s="3" t="n">
        <v>0</v>
      </c>
      <c r="Q482" s="3" t="inlineStr">
        <is>
          <t>None — no dependent function stands behind it</t>
        </is>
      </c>
      <c r="R482" s="3" t="inlineStr">
        <is>
          <t>No dependent function — it reads its inputs and answers</t>
        </is>
      </c>
      <c r="S482" s="3" t="inlineStr">
        <is>
          <t>—</t>
        </is>
      </c>
      <c r="T482" s="3" t="inlineStr">
        <is>
          <t>—</t>
        </is>
      </c>
      <c r="U482" s="3" t="inlineStr">
        <is>
          <t>ACTIVE</t>
        </is>
      </c>
      <c r="V482" s="3" t="inlineStr">
        <is>
          <t>2026-08-27</t>
        </is>
      </c>
      <c r="W482" s="3" t="n"/>
      <c r="X482" s="3" t="n"/>
      <c r="Y482" s="3" t="inlineStr">
        <is>
          <t>NOTHING OPEN</t>
        </is>
      </c>
    </row>
    <row r="483" ht="60" customHeight="1">
      <c r="A483" s="3" t="inlineStr">
        <is>
          <t>MK-ST-F-018</t>
        </is>
      </c>
      <c r="B483" s="3" t="inlineStr">
        <is>
          <t>readMoney</t>
        </is>
      </c>
      <c r="C483" s="3" t="inlineStr">
        <is>
          <t>Calculation Module code/engines/money.ts</t>
        </is>
      </c>
      <c r="D483" s="3" t="n">
        <v>65</v>
      </c>
      <c r="E483" s="3" t="inlineStr">
        <is>
          <t>3 · DEPENDENT (feeds an action only)</t>
        </is>
      </c>
      <c r="F483" s="3" t="inlineStr">
        <is>
          <t>Read a raw amount into a Money, given how that source signs things.</t>
        </is>
      </c>
      <c r="G483"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483"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483" s="3" t="inlineStr">
        <is>
          <t>PARTLY READ — some of the code is still showing through; needs a hand pass</t>
        </is>
      </c>
      <c r="J483" s="3" t="inlineStr">
        <is>
          <t>Nothing is handed to it</t>
        </is>
      </c>
      <c r="K483" s="3" t="inlineStr">
        <is>
          <t>NOT DECLARED — the code does not say what it gives back</t>
        </is>
      </c>
      <c r="L483" s="3" t="inlineStr">
        <is>
          <t>—</t>
        </is>
      </c>
      <c r="M483" s="3" t="inlineStr">
        <is>
          <t>None found in this function — anything it assumes comes from the functions it depends on.</t>
        </is>
      </c>
      <c r="N483" s="3" t="inlineStr">
        <is>
          <t>No</t>
        </is>
      </c>
      <c r="O483" s="3" t="inlineStr">
        <is>
          <t>—</t>
        </is>
      </c>
      <c r="P483" s="3" t="n">
        <v>0</v>
      </c>
      <c r="Q483" s="3" t="inlineStr">
        <is>
          <t>None — no dependent function stands behind it</t>
        </is>
      </c>
      <c r="R483" s="3" t="inlineStr">
        <is>
          <t>No dependent function — it reads its inputs and answers</t>
        </is>
      </c>
      <c r="S483" s="3" t="inlineStr">
        <is>
          <t>—</t>
        </is>
      </c>
      <c r="T483" s="3" t="inlineStr">
        <is>
          <t>—</t>
        </is>
      </c>
      <c r="U483" s="3" t="inlineStr">
        <is>
          <t>ACTIVE</t>
        </is>
      </c>
      <c r="V483" s="3" t="inlineStr">
        <is>
          <t>2026-08-27</t>
        </is>
      </c>
      <c r="W483" s="3" t="n"/>
      <c r="X483" s="3" t="n"/>
      <c r="Y483" s="3" t="inlineStr">
        <is>
          <t>NOTHING OPEN</t>
        </is>
      </c>
    </row>
    <row r="484" ht="60" customHeight="1">
      <c r="A484" s="3" t="inlineStr">
        <is>
          <t>MK-ST-F-019</t>
        </is>
      </c>
      <c r="B484" s="3" t="inlineStr">
        <is>
          <t>signed</t>
        </is>
      </c>
      <c r="C484" s="3" t="inlineStr">
        <is>
          <t>Calculation Module code/engines/money.ts</t>
        </is>
      </c>
      <c r="D484" s="3" t="n">
        <v>108</v>
      </c>
      <c r="E484" s="3" t="inlineStr">
        <is>
          <t>2 · DISPLAYED</t>
        </is>
      </c>
      <c r="F484" s="3" t="inlineStr">
        <is>
          <t>The signed value, for arithmetic.</t>
        </is>
      </c>
      <c r="G484" s="11" t="inlineStr">
        <is>
          <t>amount.neg()   if direction = 'OUT'
amount   if direction = 'IN'
dec.ZERO   otherwise   otherwise</t>
        </is>
      </c>
      <c r="H484" s="3" t="inlineStr">
        <is>
          <t>amount.neg() — when direction = 'OUT'; amount — when direction = 'IN'; dec.ZERO — otherwise — otherwise.</t>
        </is>
      </c>
      <c r="I484" s="3" t="inlineStr">
        <is>
          <t>PARTLY READ — some of the code is still showing through; needs a hand pass</t>
        </is>
      </c>
      <c r="J484" s="3" t="inlineStr">
        <is>
          <t>m: Money</t>
        </is>
      </c>
      <c r="K484" s="3" t="inlineStr">
        <is>
          <t>Dec</t>
        </is>
      </c>
      <c r="L484" s="3" t="inlineStr">
        <is>
          <t>1. "ACTUAL
2. SO FAR" — on the Cash flow screen, under "ACTUAL
3. SO FAR"
4. "Surplus after your budget" — on the Cash flow screen, under "PLANNED
5. $"</t>
        </is>
      </c>
      <c r="M484" s="3" t="inlineStr">
        <is>
          <t>None found in this function — anything it assumes comes from the functions it depends on.</t>
        </is>
      </c>
      <c r="N484" s="3" t="inlineStr">
        <is>
          <t>Yes</t>
        </is>
      </c>
      <c r="O484" s="3" t="inlineStr">
        <is>
          <t>—</t>
        </is>
      </c>
      <c r="P484" s="3" t="n">
        <v>0</v>
      </c>
      <c r="Q484" s="3" t="inlineStr">
        <is>
          <t>None — no dependent function stands behind it</t>
        </is>
      </c>
      <c r="R484" s="3" t="inlineStr">
        <is>
          <t>No dependent function — it reads its inputs and answers</t>
        </is>
      </c>
      <c r="S484" s="3" t="inlineStr">
        <is>
          <t>—</t>
        </is>
      </c>
      <c r="T484" s="3" t="inlineStr">
        <is>
          <t>—</t>
        </is>
      </c>
      <c r="U484" s="3" t="inlineStr">
        <is>
          <t>ACTIVE</t>
        </is>
      </c>
      <c r="V484" s="3" t="inlineStr">
        <is>
          <t>2026-10-03</t>
        </is>
      </c>
      <c r="W484" s="3" t="n"/>
      <c r="X484" s="3" t="n"/>
      <c r="Y484" s="3" t="inlineStr">
        <is>
          <t>NOTHING OPEN</t>
        </is>
      </c>
    </row>
    <row r="485" ht="60" customHeight="1">
      <c r="A485" s="3" t="inlineStr">
        <is>
          <t>MK-ST-F-020</t>
        </is>
      </c>
      <c r="B485" s="3" t="inlineStr">
        <is>
          <t>sumSigned</t>
        </is>
      </c>
      <c r="C485" s="3" t="inlineStr">
        <is>
          <t>Calculation Module code/engines/money.ts</t>
        </is>
      </c>
      <c r="D485" s="3" t="n">
        <v>129</v>
      </c>
      <c r="E485" s="3" t="inlineStr">
        <is>
          <t>3 · DEPENDENT (feeds an action only)</t>
        </is>
      </c>
      <c r="F485" s="3" t="inlineStr">
        <is>
          <t>Add money SIGNED and EXACTLY — a credit and its reversal cancel to true zero, so a reconciliation can assert equality rather than a tolerance.</t>
        </is>
      </c>
      <c r="G485" s="11" t="inlineStr">
        <is>
          <t>dec.sum(items.map(signed))</t>
        </is>
      </c>
      <c r="H485" s="3" t="inlineStr">
        <is>
          <t>dec.sum(items.map(signed)).</t>
        </is>
      </c>
      <c r="I485" s="3" t="inlineStr">
        <is>
          <t>PARTLY READ — some of the code is still showing through; needs a hand pass</t>
        </is>
      </c>
      <c r="J485" s="3" t="inlineStr">
        <is>
          <t>items: Money[]</t>
        </is>
      </c>
      <c r="K485" s="3" t="inlineStr">
        <is>
          <t>Dec</t>
        </is>
      </c>
      <c r="L485" s="3" t="inlineStr">
        <is>
          <t>—</t>
        </is>
      </c>
      <c r="M485" s="3" t="inlineStr">
        <is>
          <t>None found in this function — anything it assumes comes from the functions it depends on.</t>
        </is>
      </c>
      <c r="N485" s="3" t="inlineStr">
        <is>
          <t>No</t>
        </is>
      </c>
      <c r="O485" s="3" t="inlineStr">
        <is>
          <t>1. MK-CF-F-132 map
2. MK-ST-F-019 signed</t>
        </is>
      </c>
      <c r="P485" s="3" t="n">
        <v>2</v>
      </c>
      <c r="Q485" s="3" t="inlineStr">
        <is>
          <t>1. MK-CF-F-132 map
2. MK-ST-F-019 signed</t>
        </is>
      </c>
      <c r="R485" s="3" t="inlineStr">
        <is>
          <t>1. MK-CF-F-132 map → MK-ST-F-020 sumSigned
2. MK-ST-F-019 signed → MK-ST-F-020 sumSigned</t>
        </is>
      </c>
      <c r="S485" s="3" t="inlineStr">
        <is>
          <t>—</t>
        </is>
      </c>
      <c r="T485" s="3" t="inlineStr">
        <is>
          <t>—</t>
        </is>
      </c>
      <c r="U485" s="3" t="inlineStr">
        <is>
          <t>ACTIVE</t>
        </is>
      </c>
      <c r="V485" s="3" t="inlineStr">
        <is>
          <t>2026-08-27</t>
        </is>
      </c>
      <c r="W485" s="3" t="n"/>
      <c r="X485" s="3" t="n"/>
      <c r="Y485" s="3" t="inlineStr">
        <is>
          <t>NOTHING OPEN</t>
        </is>
      </c>
    </row>
    <row r="486" ht="60" customHeight="1">
      <c r="A486" s="3" t="inlineStr">
        <is>
          <t>MK-ST-F-021</t>
        </is>
      </c>
      <c r="B486" s="3" t="inlineStr">
        <is>
          <t>toNumber</t>
        </is>
      </c>
      <c r="C486" s="3" t="inlineStr">
        <is>
          <t>Calculation Module code/engines/money.ts</t>
        </is>
      </c>
      <c r="D486" s="3" t="n">
        <v>172</v>
      </c>
      <c r="E486" s="3" t="inlineStr">
        <is>
          <t>2 · DISPLAYED</t>
        </is>
      </c>
      <c r="F486" s="3" t="inlineStr">
        <is>
          <t>Institution files write money as text: "$8,502.00 ", "($0.53)", "--", "1,234.56".</t>
        </is>
      </c>
      <c r="G486"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486"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486" s="3" t="inlineStr">
        <is>
          <t>PARTLY READ — some of the code is still showing through; needs a hand pass</t>
        </is>
      </c>
      <c r="J486" s="3" t="inlineStr">
        <is>
          <t>raw: number | string | null | undefined</t>
        </is>
      </c>
      <c r="K486" s="3" t="inlineStr">
        <is>
          <t>number | null</t>
        </is>
      </c>
      <c r="L486" s="3" t="inlineStr">
        <is>
          <t>NOT FOUND — a screen calls it, but the words printed beside its answer could not be traced automatically. Needs reading.</t>
        </is>
      </c>
      <c r="M486" s="3" t="inlineStr">
        <is>
          <t>None found in this function — anything it assumes comes from the functions it depends on.</t>
        </is>
      </c>
      <c r="N486" s="3" t="inlineStr">
        <is>
          <t>Yes</t>
        </is>
      </c>
      <c r="O486" s="3" t="inlineStr">
        <is>
          <t>MK-XS-F-122 n</t>
        </is>
      </c>
      <c r="P486" s="3" t="n">
        <v>1</v>
      </c>
      <c r="Q486" s="3" t="inlineStr">
        <is>
          <t>MK-XS-F-122 n</t>
        </is>
      </c>
      <c r="R486" s="3" t="inlineStr">
        <is>
          <t>MK-XS-F-122 n → MK-ST-F-021 toNumber</t>
        </is>
      </c>
      <c r="S486" s="3" t="inlineStr">
        <is>
          <t>—</t>
        </is>
      </c>
      <c r="T486" s="3" t="inlineStr">
        <is>
          <t>—</t>
        </is>
      </c>
      <c r="U486" s="3" t="inlineStr">
        <is>
          <t>ACTIVE</t>
        </is>
      </c>
      <c r="V486" s="3" t="inlineStr">
        <is>
          <t>2026-08-27</t>
        </is>
      </c>
      <c r="W486" s="3" t="n"/>
      <c r="X486" s="3" t="n"/>
      <c r="Y486" s="3" t="inlineStr">
        <is>
          <t>NOTHING OPEN</t>
        </is>
      </c>
    </row>
    <row r="487" ht="60" customHeight="1">
      <c r="A487" s="3" t="inlineStr">
        <is>
          <t>MK-ST-F-022</t>
        </is>
      </c>
      <c r="B487" s="3" t="inlineStr">
        <is>
          <t>reconcileAccountTotal</t>
        </is>
      </c>
      <c r="C487" s="3" t="inlineStr">
        <is>
          <t>Calculation Module code/engines/reconcile.ts</t>
        </is>
      </c>
      <c r="D487" s="3" t="n">
        <v>82</v>
      </c>
      <c r="E487" s="3" t="inlineStr">
        <is>
          <t>3 · DEPENDENT (feeds an action only)</t>
        </is>
      </c>
      <c r="F487" s="3" t="inlineStr">
        <is>
          <t>ASSERTION 1 — holdings + cash = the broker's stated total.</t>
        </is>
      </c>
      <c r="G487" s="11" t="inlineStr">
        <is>
          <t>stated = dec.parse(stated total) (or dec.ZERO when missing)
the answer = verdict(parts, stated, 'what the account holds and the broker\'s own total')</t>
        </is>
      </c>
      <c r="H487" s="3" t="inlineStr">
        <is>
          <t>Stated is dec.parse(stated total) (or dec.ZERO — when missing). The answer is verdict(parts, stated, 'what the account holds and the broker\'s own total').</t>
        </is>
      </c>
      <c r="I487" s="3" t="inlineStr">
        <is>
          <t>PARTLY READ — some of the code is still showing through; needs a hand pass</t>
        </is>
      </c>
      <c r="J487" s="3" t="inlineStr">
        <is>
          <t>Nothing is handed to it</t>
        </is>
      </c>
      <c r="K487" s="3" t="inlineStr">
        <is>
          <t>NOT DECLARED — the code does not say what it gives back</t>
        </is>
      </c>
      <c r="L487" s="3" t="inlineStr">
        <is>
          <t>—</t>
        </is>
      </c>
      <c r="M487" s="3" t="inlineStr">
        <is>
          <t>None found in this function — anything it assumes comes from the functions it depends on.</t>
        </is>
      </c>
      <c r="N487" s="3" t="inlineStr">
        <is>
          <t>No</t>
        </is>
      </c>
      <c r="O487" s="3" t="inlineStr">
        <is>
          <t>1. MK-CF-F-132 map
2. MK-ST-F-060 verdict</t>
        </is>
      </c>
      <c r="P487" s="3" t="n">
        <v>2</v>
      </c>
      <c r="Q487" s="3" t="inlineStr">
        <is>
          <t>1. MK-CF-F-132 map
2. MK-ST-F-060 verdict</t>
        </is>
      </c>
      <c r="R487" s="3" t="inlineStr">
        <is>
          <t>1. MK-CF-F-132 map → MK-ST-F-022 reconcileAccountTotal
2. MK-ST-F-060 verdict → MK-ST-F-022 reconcileAccountTotal</t>
        </is>
      </c>
      <c r="S487" s="3" t="inlineStr">
        <is>
          <t>—</t>
        </is>
      </c>
      <c r="T487" s="3" t="inlineStr">
        <is>
          <t>—</t>
        </is>
      </c>
      <c r="U487" s="3" t="inlineStr">
        <is>
          <t>ACTIVE</t>
        </is>
      </c>
      <c r="V487" s="3" t="inlineStr">
        <is>
          <t>2026-08-27</t>
        </is>
      </c>
      <c r="W487" s="3" t="n"/>
      <c r="X487" s="3" t="n"/>
      <c r="Y487" s="3" t="inlineStr">
        <is>
          <t>NOTHING OPEN</t>
        </is>
      </c>
    </row>
    <row r="488" ht="60" customHeight="1">
      <c r="A488" s="3" t="inlineStr">
        <is>
          <t>MK-ST-F-023</t>
        </is>
      </c>
      <c r="B488" s="3" t="inlineStr">
        <is>
          <t>reconcileLedgerIdentity</t>
        </is>
      </c>
      <c r="C488" s="3" t="inlineStr">
        <is>
          <t>Calculation Module code/engines/reconcile.ts</t>
        </is>
      </c>
      <c r="D488" s="3" t="n">
        <v>110</v>
      </c>
      <c r="E488" s="3" t="inlineStr">
        <is>
          <t>3 · DEPENDENT (feeds an action only)</t>
        </is>
      </c>
      <c r="F488" s="3" t="inlineStr">
        <is>
          <t>ASSERTION 2 — the accounting identity every statement satisfies, exactly.</t>
        </is>
      </c>
      <c r="G488" s="11" t="inlineStr">
        <is>
          <t>d = (v: unknown) =&gt; dec.parse(v) (or dec.ZERO when missing)
the answer = verdict(computed, D(ending), 'the change walk and the ending value')</t>
        </is>
      </c>
      <c r="H488" s="3" t="inlineStr">
        <is>
          <t>D is (v: unknown) =&gt; dec.parse(v) (or dec.ZERO — when missing). The answer is verdict(computed, D(ending), 'the change walk and the ending value').</t>
        </is>
      </c>
      <c r="I488" s="3" t="inlineStr">
        <is>
          <t>PARTLY READ — some of the code is still showing through; needs a hand pass</t>
        </is>
      </c>
      <c r="J488" s="3" t="inlineStr">
        <is>
          <t>Nothing is handed to it</t>
        </is>
      </c>
      <c r="K488" s="3" t="inlineStr">
        <is>
          <t>NOT DECLARED — the code does not say what it gives back</t>
        </is>
      </c>
      <c r="L488" s="3" t="inlineStr">
        <is>
          <t>—</t>
        </is>
      </c>
      <c r="M488" s="3" t="inlineStr">
        <is>
          <t>None found in this function — anything it assumes comes from the functions it depends on.</t>
        </is>
      </c>
      <c r="N488" s="3" t="inlineStr">
        <is>
          <t>No</t>
        </is>
      </c>
      <c r="O488" s="3" t="inlineStr">
        <is>
          <t>MK-ST-F-060 verdict</t>
        </is>
      </c>
      <c r="P488" s="3" t="n">
        <v>1</v>
      </c>
      <c r="Q488" s="3" t="inlineStr">
        <is>
          <t>MK-ST-F-060 verdict</t>
        </is>
      </c>
      <c r="R488" s="3" t="inlineStr">
        <is>
          <t>MK-ST-F-060 verdict → MK-ST-F-023 reconcileLedgerIdentity</t>
        </is>
      </c>
      <c r="S488" s="3" t="inlineStr">
        <is>
          <t>—</t>
        </is>
      </c>
      <c r="T488" s="3" t="inlineStr">
        <is>
          <t>—</t>
        </is>
      </c>
      <c r="U488" s="3" t="inlineStr">
        <is>
          <t>ACTIVE</t>
        </is>
      </c>
      <c r="V488" s="3" t="inlineStr">
        <is>
          <t>2026-08-27</t>
        </is>
      </c>
      <c r="W488" s="3" t="n"/>
      <c r="X488" s="3" t="n"/>
      <c r="Y488" s="3" t="inlineStr">
        <is>
          <t>NOTHING OPEN</t>
        </is>
      </c>
    </row>
    <row r="489" ht="60" customHeight="1">
      <c r="A489" s="3" t="inlineStr">
        <is>
          <t>MK-ST-F-024</t>
        </is>
      </c>
      <c r="B489" s="3" t="inlineStr">
        <is>
          <t>rmdStartAge</t>
        </is>
      </c>
      <c r="C489" s="3" t="inlineStr">
        <is>
          <t>Calculation Module code/engines/rmd.ts</t>
        </is>
      </c>
      <c r="D489" s="3" t="n">
        <v>55</v>
      </c>
      <c r="E489" s="3" t="inlineStr">
        <is>
          <t>2 · DISPLAYED</t>
        </is>
      </c>
      <c r="F489" s="3" t="inlineStr">
        <is>
          <t>The age required withdrawals begin, by birth year.</t>
        </is>
      </c>
      <c r="G489" s="11" t="inlineStr">
        <is>
          <t>start age = 75   when born 1960 or later
            73   otherwise</t>
        </is>
      </c>
      <c r="H489" s="3" t="inlineStr">
        <is>
          <t>The age required withdrawals begin. Born 1960 or later, 75; everyone else, 73 — including birth years before 1951, whose real start age was 72 or 70 and a half. An unknown birth year silently answers 73 rather than refusing. Finding A36.</t>
        </is>
      </c>
      <c r="I489" s="3" t="inlineStr">
        <is>
          <t>READ BY HAND 2026-08-26 — checked line by line against the code</t>
        </is>
      </c>
      <c r="J489" s="3" t="inlineStr">
        <is>
          <t>birthYear?: number | null</t>
        </is>
      </c>
      <c r="K489" s="3" t="inlineStr">
        <is>
          <t>number</t>
        </is>
      </c>
      <c r="L489"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489" s="3" t="inlineStr">
        <is>
          <t>· When the birth year is missing the start age is taken as 73 — the rule for those born 1951–1959, the middle of the 55–70 audience (A36). The whole schedule is coded: 70½ before 1949, 72 for 1949–1950, 73 for 1951–1959, 75 from 1960.</t>
        </is>
      </c>
      <c r="N489" s="3" t="inlineStr">
        <is>
          <t>Yes</t>
        </is>
      </c>
      <c r="O489" s="3" t="inlineStr">
        <is>
          <t>MK-ST-F-056 has</t>
        </is>
      </c>
      <c r="P489" s="3" t="n">
        <v>1</v>
      </c>
      <c r="Q489" s="3" t="inlineStr">
        <is>
          <t>MK-ST-F-056 has</t>
        </is>
      </c>
      <c r="R489" s="3" t="inlineStr">
        <is>
          <t>MK-ST-F-056 has → MK-ST-F-024 rmdStartAge</t>
        </is>
      </c>
      <c r="S489" s="3" t="inlineStr">
        <is>
          <t>—</t>
        </is>
      </c>
      <c r="T489" s="3" t="inlineStr">
        <is>
          <t>—</t>
        </is>
      </c>
      <c r="U489" s="3" t="inlineStr">
        <is>
          <t>ACTIVE</t>
        </is>
      </c>
      <c r="V489" s="3" t="inlineStr">
        <is>
          <t>2026-08-27</t>
        </is>
      </c>
      <c r="W489" s="3" t="n"/>
      <c r="X489" s="3" t="n"/>
      <c r="Y489" s="3" t="inlineStr">
        <is>
          <t>NOTHING OPEN</t>
        </is>
      </c>
    </row>
    <row r="490" ht="60" customHeight="1">
      <c r="A490" s="3" t="inlineStr">
        <is>
          <t>MK-ST-F-025</t>
        </is>
      </c>
      <c r="B490" s="3" t="inlineStr">
        <is>
          <t>rmdStartAgeFromAge</t>
        </is>
      </c>
      <c r="C490" s="3" t="inlineStr">
        <is>
          <t>Calculation Module code/engines/rmd.ts</t>
        </is>
      </c>
      <c r="D490" s="3" t="n">
        <v>94</v>
      </c>
      <c r="E490" s="3" t="inlineStr">
        <is>
          <t>3 · DEPENDENT</t>
        </is>
      </c>
      <c r="F490" s="3" t="inlineStr">
        <is>
          <t>The same rule when only an age is known (birth year ≈ this year − age; ±1 year of precision, which is what an age-only caller has).</t>
        </is>
      </c>
      <c r="G490" s="11" t="inlineStr">
        <is>
          <t>rmd start age(now year − age)</t>
        </is>
      </c>
      <c r="H490" s="3" t="inlineStr">
        <is>
          <t>rmd start age(now year minus age).</t>
        </is>
      </c>
      <c r="I490" s="3" t="inlineStr">
        <is>
          <t>READ FROM THE CODE — rendered from the expressions the function runs</t>
        </is>
      </c>
      <c r="J490" s="3" t="inlineStr">
        <is>
          <t>1. age: number
2. nowYear: number</t>
        </is>
      </c>
      <c r="K490" s="3" t="inlineStr">
        <is>
          <t>number</t>
        </is>
      </c>
      <c r="L490" s="3" t="inlineStr">
        <is>
          <t>—</t>
        </is>
      </c>
      <c r="M490" s="3" t="inlineStr">
        <is>
          <t>None found in this function — anything it assumes comes from the functions it depends on.</t>
        </is>
      </c>
      <c r="N490" s="3" t="inlineStr">
        <is>
          <t>Yes</t>
        </is>
      </c>
      <c r="O490" s="3" t="inlineStr">
        <is>
          <t>MK-ST-F-024 rmdStartAge</t>
        </is>
      </c>
      <c r="P490" s="3" t="n">
        <v>2</v>
      </c>
      <c r="Q490" s="3" t="inlineStr">
        <is>
          <t>1. MK-ST-F-024 rmdStartAge
2. MK-ST-F-056 has</t>
        </is>
      </c>
      <c r="R490" s="3" t="inlineStr">
        <is>
          <t>MK-ST-F-056 has → MK-ST-F-024 rmdStartAge → MK-ST-F-025 rmdStartAgeFromAge</t>
        </is>
      </c>
      <c r="S490" s="3" t="inlineStr">
        <is>
          <t>—</t>
        </is>
      </c>
      <c r="T490" s="3" t="inlineStr">
        <is>
          <t>—</t>
        </is>
      </c>
      <c r="U490" s="3" t="inlineStr">
        <is>
          <t>ACTIVE</t>
        </is>
      </c>
      <c r="V490" s="3" t="inlineStr">
        <is>
          <t>2026-08-27</t>
        </is>
      </c>
      <c r="W490" s="3" t="n"/>
      <c r="X490" s="3" t="n"/>
      <c r="Y490" s="3" t="inlineStr">
        <is>
          <t>NOTHING OPEN</t>
        </is>
      </c>
    </row>
    <row r="491" ht="60" customHeight="1">
      <c r="A491" s="3" t="inlineStr">
        <is>
          <t>MK-ST-F-026</t>
        </is>
      </c>
      <c r="B491" s="3" t="inlineStr">
        <is>
          <t>holdingId</t>
        </is>
      </c>
      <c r="C491" s="3" t="inlineStr">
        <is>
          <t>Calculation Module code/engines/snapshots.ts</t>
        </is>
      </c>
      <c r="D491" s="3" t="n">
        <v>81</v>
      </c>
      <c r="E491" s="3" t="inlineStr">
        <is>
          <t>1 · ACTION</t>
        </is>
      </c>
      <c r="F491" s="3" t="inlineStr">
        <is>
          <t>NOT DETERMINED — the code carries no note saying what this is for, and it has no row in the old inventory. Needs reading.</t>
        </is>
      </c>
      <c r="G491" s="11" t="inlineStr">
        <is>
          <t>the answer = date | account id | security key</t>
        </is>
      </c>
      <c r="H491" s="3" t="inlineStr">
        <is>
          <t>The identity of one holding snapshot: its date, account and security, joined with vertical bars. No arithmetic.</t>
        </is>
      </c>
      <c r="I491" s="3" t="inlineStr">
        <is>
          <t>READ BY HAND 2026-08-26 — checked line by line against the code</t>
        </is>
      </c>
      <c r="J491" s="3" t="inlineStr">
        <is>
          <t>s: Pick&lt;HoldingSnapshot, 'date' | 'accountId' | 'securityKey'&gt;</t>
        </is>
      </c>
      <c r="K491" s="3" t="inlineStr">
        <is>
          <t>string</t>
        </is>
      </c>
      <c r="L491" s="3" t="inlineStr">
        <is>
          <t>—</t>
        </is>
      </c>
      <c r="M491" s="3" t="inlineStr">
        <is>
          <t>None found in this function — anything it assumes comes from the functions it depends on.</t>
        </is>
      </c>
      <c r="N491" s="3" t="inlineStr">
        <is>
          <t>No</t>
        </is>
      </c>
      <c r="O491" s="3" t="inlineStr">
        <is>
          <t>—</t>
        </is>
      </c>
      <c r="P491" s="3" t="n">
        <v>0</v>
      </c>
      <c r="Q491" s="3" t="inlineStr">
        <is>
          <t>None — no dependent function stands behind it</t>
        </is>
      </c>
      <c r="R491" s="3" t="inlineStr">
        <is>
          <t>No dependent function — it reads its inputs and answers</t>
        </is>
      </c>
      <c r="S491" s="3" t="inlineStr">
        <is>
          <t>—</t>
        </is>
      </c>
      <c r="T491" s="3" t="inlineStr">
        <is>
          <t>—</t>
        </is>
      </c>
      <c r="U491" s="3" t="inlineStr">
        <is>
          <t>ACTIVE</t>
        </is>
      </c>
      <c r="V491" s="3" t="inlineStr">
        <is>
          <t>2026-09-12</t>
        </is>
      </c>
      <c r="W491" s="3" t="n"/>
      <c r="X491" s="3" t="n"/>
      <c r="Y491" s="3" t="inlineStr">
        <is>
          <t>NOTHING OPEN</t>
        </is>
      </c>
    </row>
    <row r="492" ht="60" customHeight="1">
      <c r="A492" s="3" t="inlineStr">
        <is>
          <t>MK-ST-F-027</t>
        </is>
      </c>
      <c r="B492" s="3" t="inlineStr">
        <is>
          <t>accountId</t>
        </is>
      </c>
      <c r="C492" s="3" t="inlineStr">
        <is>
          <t>Calculation Module code/engines/snapshots.ts</t>
        </is>
      </c>
      <c r="D492" s="3" t="n">
        <v>119</v>
      </c>
      <c r="E492" s="3" t="inlineStr">
        <is>
          <t>1 · ACTION</t>
        </is>
      </c>
      <c r="F492" s="3" t="inlineStr">
        <is>
          <t>NOT DETERMINED — the code carries no note saying what this is for, and it has no row in the old inventory. Needs reading.</t>
        </is>
      </c>
      <c r="G492" s="11" t="inlineStr">
        <is>
          <t>the answer = date | account id</t>
        </is>
      </c>
      <c r="H492" s="3" t="inlineStr">
        <is>
          <t>The identity of one account snapshot: its date and account, joined with a vertical bar. No arithmetic.</t>
        </is>
      </c>
      <c r="I492" s="3" t="inlineStr">
        <is>
          <t>READ BY HAND 2026-08-26 — checked line by line against the code</t>
        </is>
      </c>
      <c r="J492" s="3" t="inlineStr">
        <is>
          <t>s: Pick&lt;AccountSnapshot, 'date' | 'accountId'&gt;</t>
        </is>
      </c>
      <c r="K492" s="3" t="inlineStr">
        <is>
          <t>string</t>
        </is>
      </c>
      <c r="L492" s="3" t="inlineStr">
        <is>
          <t>—</t>
        </is>
      </c>
      <c r="M492" s="3" t="inlineStr">
        <is>
          <t>None found in this function — anything it assumes comes from the functions it depends on.</t>
        </is>
      </c>
      <c r="N492" s="3" t="inlineStr">
        <is>
          <t>No</t>
        </is>
      </c>
      <c r="O492" s="3" t="inlineStr">
        <is>
          <t>—</t>
        </is>
      </c>
      <c r="P492" s="3" t="n">
        <v>0</v>
      </c>
      <c r="Q492" s="3" t="inlineStr">
        <is>
          <t>None — no dependent function stands behind it</t>
        </is>
      </c>
      <c r="R492" s="3" t="inlineStr">
        <is>
          <t>No dependent function — it reads its inputs and answers</t>
        </is>
      </c>
      <c r="S492" s="3" t="inlineStr">
        <is>
          <t>—</t>
        </is>
      </c>
      <c r="T492" s="3" t="inlineStr">
        <is>
          <t>—</t>
        </is>
      </c>
      <c r="U492" s="3" t="inlineStr">
        <is>
          <t>ACTIVE</t>
        </is>
      </c>
      <c r="V492" s="3" t="inlineStr">
        <is>
          <t>2026-09-12</t>
        </is>
      </c>
      <c r="W492" s="3" t="n"/>
      <c r="X492" s="3" t="n"/>
      <c r="Y492" s="3" t="inlineStr">
        <is>
          <t>NOTHING OPEN</t>
        </is>
      </c>
    </row>
    <row r="493" ht="60" customHeight="1">
      <c r="A493" s="3" t="inlineStr">
        <is>
          <t>MK-ST-F-028</t>
        </is>
      </c>
      <c r="B493" s="3" t="inlineStr">
        <is>
          <t>buildDayFromAccounts</t>
        </is>
      </c>
      <c r="C493" s="3" t="inlineStr">
        <is>
          <t>Calculation Module code/engines/snapshots.ts</t>
        </is>
      </c>
      <c r="D493" s="3" t="n">
        <v>193</v>
      </c>
      <c r="E493" s="3" t="inlineStr">
        <is>
          <t>3 · DEPENDENT</t>
        </is>
      </c>
      <c r="F493" s="3" t="inlineStr">
        <is>
          <t>Today's SnapshotDay, observed from the live account state.</t>
        </is>
      </c>
      <c r="G493"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493"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493" s="3" t="inlineStr">
        <is>
          <t>READ FROM THE CODE — rendered from the expressions the function runs</t>
        </is>
      </c>
      <c r="J493" s="3" t="inlineStr">
        <is>
          <t>1. accounts: AccountLike[]
2. date: string
3. writtenAt: string</t>
        </is>
      </c>
      <c r="K493" s="3" t="inlineStr">
        <is>
          <t>SnapshotDay</t>
        </is>
      </c>
      <c r="L493" s="3" t="inlineStr">
        <is>
          <t>—</t>
        </is>
      </c>
      <c r="M493"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493" s="3" t="inlineStr">
        <is>
          <t>Yes</t>
        </is>
      </c>
      <c r="O493" s="3" t="inlineStr">
        <is>
          <t>—</t>
        </is>
      </c>
      <c r="P493" s="3" t="n">
        <v>0</v>
      </c>
      <c r="Q493" s="3" t="inlineStr">
        <is>
          <t>None — no dependent function stands behind it</t>
        </is>
      </c>
      <c r="R493" s="3" t="inlineStr">
        <is>
          <t>No dependent function — it reads its inputs and answers</t>
        </is>
      </c>
      <c r="S493" s="3" t="inlineStr">
        <is>
          <t>—</t>
        </is>
      </c>
      <c r="T493" s="3" t="inlineStr">
        <is>
          <t>—</t>
        </is>
      </c>
      <c r="U493" s="3" t="inlineStr">
        <is>
          <t>ACTIVE</t>
        </is>
      </c>
      <c r="V493" s="3" t="inlineStr">
        <is>
          <t>2026-09-12</t>
        </is>
      </c>
      <c r="W493" s="3" t="n"/>
      <c r="X493" s="3" t="n"/>
      <c r="Y493" s="3" t="inlineStr">
        <is>
          <t>NOTHING OPEN</t>
        </is>
      </c>
    </row>
    <row r="494" ht="60" customHeight="1">
      <c r="A494" s="3" t="inlineStr">
        <is>
          <t>MK-ST-F-029</t>
        </is>
      </c>
      <c r="B494" s="3" t="inlineStr">
        <is>
          <t>prune</t>
        </is>
      </c>
      <c r="C494" s="3" t="inlineStr">
        <is>
          <t>Calculation Module code/engines/snapshots.ts</t>
        </is>
      </c>
      <c r="D494" s="3" t="n">
        <v>327</v>
      </c>
      <c r="E494" s="3" t="inlineStr">
        <is>
          <t>3 · DEPENDENT (feeds an action only)</t>
        </is>
      </c>
      <c r="F494" s="3" t="inlineStr">
        <is>
          <t>Which days survive.</t>
        </is>
      </c>
      <c r="G494" s="11" t="inlineStr">
        <is>
          <t>cutoff key = daily window start(today)
all = a list with no repeats of for each of days: date
the answer = days where date ≥ cutoff key (or is month end(date, all) when missing or zero)</t>
        </is>
      </c>
      <c r="H494" s="3" t="inlineStr">
        <is>
          <t>Cutoff key is daily window start(today). All is a list with no repeats of for each of days: date. The answer is days where date is at least cutoff key (or is month end(date, all) — when missing or zero).</t>
        </is>
      </c>
      <c r="I494" s="3" t="inlineStr">
        <is>
          <t>READ FROM THE CODE — rendered from the expressions the function runs</t>
        </is>
      </c>
      <c r="J494" s="3" t="inlineStr">
        <is>
          <t>1. days: SnapshotDay[]
2. today: string</t>
        </is>
      </c>
      <c r="K494" s="3" t="inlineStr">
        <is>
          <t>SnapshotDay[]</t>
        </is>
      </c>
      <c r="L494" s="3" t="inlineStr">
        <is>
          <t>—</t>
        </is>
      </c>
      <c r="M494" s="3" t="inlineStr">
        <is>
          <t>None found in this function — anything it assumes comes from the functions it depends on.</t>
        </is>
      </c>
      <c r="N494" s="3" t="inlineStr">
        <is>
          <t>No</t>
        </is>
      </c>
      <c r="O494" s="3" t="inlineStr">
        <is>
          <t>1. MK-ST-F-079 dailyWindowStart
2. MK-ST-F-061 isMonthEnd
3. MK-CF-F-132 map</t>
        </is>
      </c>
      <c r="P494" s="3" t="n">
        <v>4</v>
      </c>
      <c r="Q494" s="3" t="inlineStr">
        <is>
          <t>1. MK-ST-F-079 dailyWindowStart
2. MK-ST-F-061 isMonthEnd
3. MK-CF-F-132 map
4. MK-ST-F-056 has</t>
        </is>
      </c>
      <c r="R494" s="3" t="inlineStr">
        <is>
          <t>1. MK-ST-F-079 dailyWindowStart → MK-ST-F-029 prune
2. MK-ST-F-056 has → MK-ST-F-061 isMonthEnd → MK-ST-F-029 prune
3. MK-CF-F-132 map → MK-ST-F-061 isMonthEnd → MK-ST-F-029 prune
4. MK-CF-F-132 map → MK-ST-F-029 prune</t>
        </is>
      </c>
      <c r="S494" s="3" t="inlineStr">
        <is>
          <t>—</t>
        </is>
      </c>
      <c r="T494" s="3" t="inlineStr">
        <is>
          <t>—</t>
        </is>
      </c>
      <c r="U494" s="3" t="inlineStr">
        <is>
          <t>ACTIVE</t>
        </is>
      </c>
      <c r="V494" s="3" t="inlineStr">
        <is>
          <t>2026-10-03</t>
        </is>
      </c>
      <c r="W494" s="3" t="n"/>
      <c r="X494" s="3" t="n"/>
      <c r="Y494" s="3" t="inlineStr">
        <is>
          <t>NOTHING OPEN</t>
        </is>
      </c>
    </row>
    <row r="495" ht="45" customHeight="1">
      <c r="A495" s="3" t="inlineStr">
        <is>
          <t>MK-ST-F-030</t>
        </is>
      </c>
      <c r="B495" s="3" t="inlineStr">
        <is>
          <t>record</t>
        </is>
      </c>
      <c r="C495" s="3" t="inlineStr">
        <is>
          <t>Calculation Module code/engines/snapshots.ts</t>
        </is>
      </c>
      <c r="D495" s="3" t="n">
        <v>369</v>
      </c>
      <c r="E495" s="3" t="inlineStr">
        <is>
          <t>2 · DISPLAYED</t>
        </is>
      </c>
      <c r="F495" s="3" t="inlineStr">
        <is>
          <t>── writing ───────────────────────────────────────────────────────────────────────────────────── Add a day.</t>
        </is>
      </c>
      <c r="G495" s="11" t="inlineStr">
        <is>
          <t>rest = days where date ! = day.date
the answer = [...rest, day].sort((a, b) =&gt; date.locale compare(date))</t>
        </is>
      </c>
      <c r="H495" s="3" t="inlineStr">
        <is>
          <t>Rest is days where date ! = day.date. The answer is [...rest, day].sort((a, b) =&gt; date.locale compare(date)).</t>
        </is>
      </c>
      <c r="I495" s="3" t="inlineStr">
        <is>
          <t>PARTLY READ — some of the code is still showing through; needs a hand pass</t>
        </is>
      </c>
      <c r="J495" s="3" t="inlineStr">
        <is>
          <t>1. days: SnapshotDay[]
2. day: SnapshotDay</t>
        </is>
      </c>
      <c r="K495" s="3" t="inlineStr">
        <is>
          <t>SnapshotDay[]</t>
        </is>
      </c>
      <c r="L495" s="3" t="inlineStr">
        <is>
          <t>NOT FOUND — a screen calls it, but the words printed beside its answer could not be traced automatically. Needs reading.</t>
        </is>
      </c>
      <c r="M495" s="3" t="inlineStr">
        <is>
          <t>None found in this function — anything it assumes comes from the functions it depends on.</t>
        </is>
      </c>
      <c r="N495" s="3" t="inlineStr">
        <is>
          <t>Yes</t>
        </is>
      </c>
      <c r="O495" s="3" t="inlineStr">
        <is>
          <t>—</t>
        </is>
      </c>
      <c r="P495" s="3" t="n">
        <v>0</v>
      </c>
      <c r="Q495" s="3" t="inlineStr">
        <is>
          <t>None — no dependent function stands behind it</t>
        </is>
      </c>
      <c r="R495" s="3" t="inlineStr">
        <is>
          <t>No dependent function — it reads its inputs and answers</t>
        </is>
      </c>
      <c r="S495" s="3" t="inlineStr">
        <is>
          <t>—</t>
        </is>
      </c>
      <c r="T495" s="3" t="inlineStr">
        <is>
          <t>—</t>
        </is>
      </c>
      <c r="U495" s="3" t="inlineStr">
        <is>
          <t>ACTIVE</t>
        </is>
      </c>
      <c r="V495" s="3" t="inlineStr">
        <is>
          <t>2026-09-25</t>
        </is>
      </c>
      <c r="W495" s="3" t="n"/>
      <c r="X495" s="3" t="n"/>
      <c r="Y495" s="3" t="inlineStr">
        <is>
          <t>NOTHING OPEN</t>
        </is>
      </c>
    </row>
    <row r="496" ht="60" customHeight="1">
      <c r="A496" s="3" t="inlineStr">
        <is>
          <t>MK-ST-F-031</t>
        </is>
      </c>
      <c r="B496" s="3" t="inlineStr">
        <is>
          <t>valueOn</t>
        </is>
      </c>
      <c r="C496" s="3" t="inlineStr">
        <is>
          <t>Calculation Module code/engines/snapshots.ts</t>
        </is>
      </c>
      <c r="D496" s="3" t="n">
        <v>411</v>
      </c>
      <c r="E496" s="3" t="inlineStr">
        <is>
          <t>2 · DISPLAYED</t>
        </is>
      </c>
      <c r="F496" s="3" t="inlineStr">
        <is>
          <t>── reading ───────────────────────────────────────────────────────────────────────────────────── What one account was worth on a date — the figure the old code had to back-solve.</t>
        </is>
      </c>
      <c r="G496" s="11" t="inlineStr">
        <is>
          <t>day = on or before(days, date)
nothing   when day is missing
in set = (id: string) =&gt; account ids.size = 0 (or account ids.has(id) when missing or zero)
each = account values on(day, in set)
nothing   when each.size = 0
total = 0; for (const v of each.values()) total += v
[LOOP — the answer is found inside a loop the extractor cannot render; the steps above are the ones before it. Read by hand.]</t>
        </is>
      </c>
      <c r="H496" s="3" t="inlineStr">
        <is>
          <t>Day is on or before(days, date). When day is missing, it answers no answer. In set is (id: string) =&gt; account ids.size = 0 (or account ids.has(id) — when missing or zero). Each is account values on(day, in set). When each.size = 0, it answers no answer. Total is 0; for (const v of each.values()) total += v. The answer is total. The answer is found inside a loop that cannot be rendered here; read the code by hand.</t>
        </is>
      </c>
      <c r="I496" s="3" t="inlineStr">
        <is>
          <t>PARTLY READ — the body has a loop the extractor cannot render; the steps shown are the ones before it. Needs a hand pass (G23).</t>
        </is>
      </c>
      <c r="J496" s="3" t="inlineStr">
        <is>
          <t>1. days: SnapshotDay[]
2. accountIds: Set&lt;string&gt;
3. date: string</t>
        </is>
      </c>
      <c r="K496" s="3" t="inlineStr">
        <is>
          <t>number | null</t>
        </is>
      </c>
      <c r="L496" s="3" t="inlineStr">
        <is>
          <t>NOT FOUND — a screen calls it, but the words printed beside its answer could not be traced automatically. Needs reading.</t>
        </is>
      </c>
      <c r="M496" s="3" t="inlineStr">
        <is>
          <t>· Uses a built-in total of 0.</t>
        </is>
      </c>
      <c r="N496" s="3" t="inlineStr">
        <is>
          <t>Yes</t>
        </is>
      </c>
      <c r="O496" s="3" t="inlineStr">
        <is>
          <t>1. MK-ST-F-083 accountValuesOn
2. MK-ST-F-056 has
3. MK-ST-F-033 onOrBefore</t>
        </is>
      </c>
      <c r="P496" s="3" t="n">
        <v>4</v>
      </c>
      <c r="Q496" s="3" t="inlineStr">
        <is>
          <t>1. MK-ST-F-083 accountValuesOn
2. MK-ST-F-056 has
3. MK-ST-F-033 onOrBefore
4. MK-ST-F-027 accountId</t>
        </is>
      </c>
      <c r="R496" s="3" t="inlineStr">
        <is>
          <t>1. MK-ST-F-027 accountId → MK-ST-F-083 accountValuesOn → MK-ST-F-031 valueOn
2. MK-ST-F-056 has → MK-ST-F-083 accountValuesOn → MK-ST-F-031 valueOn
3. MK-ST-F-056 has → MK-ST-F-031 valueOn
4. MK-ST-F-033 onOrBefore → MK-ST-F-031 valueOn</t>
        </is>
      </c>
      <c r="S496" s="3" t="inlineStr">
        <is>
          <t>MK-PF-M-001 · MK-PF-M-004</t>
        </is>
      </c>
      <c r="T496" s="3" t="inlineStr">
        <is>
          <t>—</t>
        </is>
      </c>
      <c r="U496" s="3" t="inlineStr">
        <is>
          <t>ACTIVE</t>
        </is>
      </c>
      <c r="V496" s="3" t="inlineStr">
        <is>
          <t>2026-10-04</t>
        </is>
      </c>
      <c r="W496" s="3" t="n"/>
      <c r="X496" s="3" t="n"/>
      <c r="Y496" s="3" t="inlineStr">
        <is>
          <t>NOTHING OPEN</t>
        </is>
      </c>
    </row>
    <row r="497" ht="60" customHeight="1">
      <c r="A497" s="3" t="inlineStr">
        <is>
          <t>MK-ST-F-032</t>
        </is>
      </c>
      <c r="B497" s="3" t="inlineStr">
        <is>
          <t>unitsOn</t>
        </is>
      </c>
      <c r="C497" s="3" t="inlineStr">
        <is>
          <t>Calculation Module code/engines/snapshots.ts</t>
        </is>
      </c>
      <c r="D497" s="3" t="n">
        <v>495</v>
      </c>
      <c r="E497" s="3" t="inlineStr">
        <is>
          <t>3 · DEPENDENT (feeds an action only)</t>
        </is>
      </c>
      <c r="F497" s="3" t="inlineStr">
        <is>
          <t>How many units of one holding were held on a date — what the trend chart needs and never had.</t>
        </is>
      </c>
      <c r="G497" s="11" t="inlineStr">
        <is>
          <t>day = on or before(days, date)
h = day.holdings.find((x) =&gt; account id = acc id and security key = security key)
the answer:
units   if h
nothing   otherwise</t>
        </is>
      </c>
      <c r="H497" s="3" t="inlineStr">
        <is>
          <t>Day is on or before(days, date). H is day.holdings.find((x) =&gt; account id = acc id and security key = security key). The answer is units — when h; no answer — otherwise.</t>
        </is>
      </c>
      <c r="I497" s="3" t="inlineStr">
        <is>
          <t>PARTLY READ — some of the code is still showing through; needs a hand pass</t>
        </is>
      </c>
      <c r="J497" s="3" t="inlineStr">
        <is>
          <t>1. days: SnapshotDay[]
2. accId: string
3. securityKey: string
4. date: string</t>
        </is>
      </c>
      <c r="K497" s="3" t="inlineStr">
        <is>
          <t>number | null</t>
        </is>
      </c>
      <c r="L497" s="3" t="inlineStr">
        <is>
          <t>—</t>
        </is>
      </c>
      <c r="M497" s="3" t="inlineStr">
        <is>
          <t>None found in this function — anything it assumes comes from the functions it depends on.</t>
        </is>
      </c>
      <c r="N497" s="3" t="inlineStr">
        <is>
          <t>No</t>
        </is>
      </c>
      <c r="O497" s="3" t="inlineStr">
        <is>
          <t>MK-ST-F-033 onOrBefore</t>
        </is>
      </c>
      <c r="P497" s="3" t="n">
        <v>1</v>
      </c>
      <c r="Q497" s="3" t="inlineStr">
        <is>
          <t>MK-ST-F-033 onOrBefore</t>
        </is>
      </c>
      <c r="R497" s="3" t="inlineStr">
        <is>
          <t>MK-ST-F-033 onOrBefore → MK-ST-F-032 unitsOn</t>
        </is>
      </c>
      <c r="S497" s="3" t="inlineStr">
        <is>
          <t>—</t>
        </is>
      </c>
      <c r="T497" s="3" t="inlineStr">
        <is>
          <t>—</t>
        </is>
      </c>
      <c r="U497" s="3" t="inlineStr">
        <is>
          <t>ACTIVE</t>
        </is>
      </c>
      <c r="V497" s="3" t="inlineStr">
        <is>
          <t>2026-08-27</t>
        </is>
      </c>
      <c r="W497" s="3" t="n"/>
      <c r="X497" s="3" t="n"/>
      <c r="Y497" s="3" t="inlineStr">
        <is>
          <t>NOTHING OPEN</t>
        </is>
      </c>
    </row>
    <row r="498" ht="60" customHeight="1">
      <c r="A498" s="3" t="inlineStr">
        <is>
          <t>MK-ST-F-033</t>
        </is>
      </c>
      <c r="B498" s="3" t="inlineStr">
        <is>
          <t>onOrBefore</t>
        </is>
      </c>
      <c r="C498" s="3" t="inlineStr">
        <is>
          <t>Calculation Module code/engines/snapshots.ts</t>
        </is>
      </c>
      <c r="D498" s="3" t="n">
        <v>526</v>
      </c>
      <c r="E498" s="3" t="inlineStr">
        <is>
          <t>3 · DEPENDENT</t>
        </is>
      </c>
      <c r="F498" s="3" t="inlineStr">
        <is>
          <t>The latest day at or before a date, or nothing when the record does not reach back that far.</t>
        </is>
      </c>
      <c r="G498" s="11" t="inlineStr">
        <is>
          <t>best = nothing
[LOOP — the answer is found inside a loop the extractor cannot render; the steps above are the ones before it. Read by hand.]</t>
        </is>
      </c>
      <c r="H498" s="3" t="inlineStr">
        <is>
          <t>Best is no answer. The answer is best. The answer is found inside a loop that cannot be rendered here; read the code by hand.</t>
        </is>
      </c>
      <c r="I498" s="3" t="inlineStr">
        <is>
          <t>PARTLY READ — the body has a loop the extractor cannot render; the steps shown are the ones before it. Needs a hand pass (G23).</t>
        </is>
      </c>
      <c r="J498" s="3" t="inlineStr">
        <is>
          <t>1. days: T[]
2. date: string</t>
        </is>
      </c>
      <c r="K498" s="3" t="inlineStr">
        <is>
          <t>T | null</t>
        </is>
      </c>
      <c r="L498" s="3" t="inlineStr">
        <is>
          <t>—</t>
        </is>
      </c>
      <c r="M498" s="3" t="inlineStr">
        <is>
          <t>None found in this function — anything it assumes comes from the functions it depends on.</t>
        </is>
      </c>
      <c r="N498" s="3" t="inlineStr">
        <is>
          <t>Yes</t>
        </is>
      </c>
      <c r="O498" s="3" t="inlineStr">
        <is>
          <t>—</t>
        </is>
      </c>
      <c r="P498" s="3" t="n">
        <v>0</v>
      </c>
      <c r="Q498" s="3" t="inlineStr">
        <is>
          <t>None — no dependent function stands behind it</t>
        </is>
      </c>
      <c r="R498" s="3" t="inlineStr">
        <is>
          <t>No dependent function — it reads its inputs and answers</t>
        </is>
      </c>
      <c r="S498" s="3" t="inlineStr">
        <is>
          <t>—</t>
        </is>
      </c>
      <c r="T498" s="3" t="inlineStr">
        <is>
          <t>—</t>
        </is>
      </c>
      <c r="U498" s="3" t="inlineStr">
        <is>
          <t>ACTIVE</t>
        </is>
      </c>
      <c r="V498" s="3" t="inlineStr">
        <is>
          <t>2026-09-08</t>
        </is>
      </c>
      <c r="W498" s="3" t="n"/>
      <c r="X498" s="3" t="n"/>
      <c r="Y498" s="3" t="inlineStr">
        <is>
          <t>NOTHING OPEN</t>
        </is>
      </c>
    </row>
    <row r="499" ht="60" customHeight="1">
      <c r="A499" s="3" t="inlineStr">
        <is>
          <t>MK-ST-F-034</t>
        </is>
      </c>
      <c r="B499" s="3" t="inlineStr">
        <is>
          <t>firstDate</t>
        </is>
      </c>
      <c r="C499" s="3" t="inlineStr">
        <is>
          <t>Calculation Module code/engines/snapshots.ts</t>
        </is>
      </c>
      <c r="D499" s="3" t="n">
        <v>563</v>
      </c>
      <c r="E499" s="3" t="inlineStr">
        <is>
          <t>3 · DEPENDENT</t>
        </is>
      </c>
      <c r="F499" s="3" t="inlineStr">
        <is>
          <t>The first date the record covers — so a change figure can say what it is measured FROM, rather than presenting a figure measured from install day as though it covered the year.</t>
        </is>
      </c>
      <c r="G499" s="11" t="inlineStr">
        <is>
          <t>days.reduce((a, b) =&gt; (date &lt; date ? a : b)).date   if count of days
nothing   otherwise</t>
        </is>
      </c>
      <c r="H499" s="3" t="inlineStr">
        <is>
          <t>days.reduce((a, b) =&gt; (date &lt; date ? a : b)).date — when how many days there are; no answer — otherwise.</t>
        </is>
      </c>
      <c r="I499" s="3" t="inlineStr">
        <is>
          <t>PARTLY READ — some of the code is still showing through; needs a hand pass</t>
        </is>
      </c>
      <c r="J499" s="3" t="inlineStr">
        <is>
          <t>days: T[]</t>
        </is>
      </c>
      <c r="K499" s="3" t="inlineStr">
        <is>
          <t>string | null</t>
        </is>
      </c>
      <c r="L499" s="3" t="inlineStr">
        <is>
          <t>—</t>
        </is>
      </c>
      <c r="M499" s="3" t="inlineStr">
        <is>
          <t>None found in this function — anything it assumes comes from the functions it depends on.</t>
        </is>
      </c>
      <c r="N499" s="3" t="inlineStr">
        <is>
          <t>Yes</t>
        </is>
      </c>
      <c r="O499" s="3" t="inlineStr">
        <is>
          <t>—</t>
        </is>
      </c>
      <c r="P499" s="3" t="n">
        <v>0</v>
      </c>
      <c r="Q499" s="3" t="inlineStr">
        <is>
          <t>None — no dependent function stands behind it</t>
        </is>
      </c>
      <c r="R499" s="3" t="inlineStr">
        <is>
          <t>No dependent function — it reads its inputs and answers</t>
        </is>
      </c>
      <c r="S499" s="3" t="inlineStr">
        <is>
          <t>—</t>
        </is>
      </c>
      <c r="T499" s="3" t="inlineStr">
        <is>
          <t>—</t>
        </is>
      </c>
      <c r="U499" s="3" t="inlineStr">
        <is>
          <t>ACTIVE</t>
        </is>
      </c>
      <c r="V499" s="3" t="inlineStr">
        <is>
          <t>2026-08-27</t>
        </is>
      </c>
      <c r="W499" s="3" t="n"/>
      <c r="X499" s="3" t="n"/>
      <c r="Y499" s="3" t="inlineStr">
        <is>
          <t>NOTHING OPEN</t>
        </is>
      </c>
    </row>
    <row r="500" ht="45" customHeight="1">
      <c r="A500" s="3" t="inlineStr">
        <is>
          <t>MK-ST-F-035</t>
        </is>
      </c>
      <c r="B500" s="3" t="inlineStr">
        <is>
          <t>covers</t>
        </is>
      </c>
      <c r="C500" s="3" t="inlineStr">
        <is>
          <t>Calculation Module code/engines/snapshots.ts</t>
        </is>
      </c>
      <c r="D500" s="3" t="n">
        <v>599</v>
      </c>
      <c r="E500" s="3" t="inlineStr">
        <is>
          <t>3 · DEPENDENT (feeds an action only)</t>
        </is>
      </c>
      <c r="F500" s="3" t="inlineStr">
        <is>
          <t>Does the record actually cover this window?</t>
        </is>
      </c>
      <c r="G500" s="11" t="inlineStr">
        <is>
          <t>f = first date(days)
the answer = f ≠ nothing and f ≤ from</t>
        </is>
      </c>
      <c r="H500" s="3" t="inlineStr">
        <is>
          <t>F is first date(days). The answer is f is not no answer and f is at most from.</t>
        </is>
      </c>
      <c r="I500" s="3" t="inlineStr">
        <is>
          <t>READ FROM THE CODE — rendered from the expressions the function runs</t>
        </is>
      </c>
      <c r="J500" s="3" t="inlineStr">
        <is>
          <t>1. days: SnapshotDay[]
2. from: string</t>
        </is>
      </c>
      <c r="K500" s="3" t="inlineStr">
        <is>
          <t>boolean</t>
        </is>
      </c>
      <c r="L500" s="3" t="inlineStr">
        <is>
          <t>—</t>
        </is>
      </c>
      <c r="M500" s="3" t="inlineStr">
        <is>
          <t>None found in this function — anything it assumes comes from the functions it depends on.</t>
        </is>
      </c>
      <c r="N500" s="3" t="inlineStr">
        <is>
          <t>No</t>
        </is>
      </c>
      <c r="O500" s="3" t="inlineStr">
        <is>
          <t>MK-ST-F-034 firstDate</t>
        </is>
      </c>
      <c r="P500" s="3" t="n">
        <v>1</v>
      </c>
      <c r="Q500" s="3" t="inlineStr">
        <is>
          <t>MK-ST-F-034 firstDate</t>
        </is>
      </c>
      <c r="R500" s="3" t="inlineStr">
        <is>
          <t>MK-ST-F-034 firstDate → MK-ST-F-035 covers</t>
        </is>
      </c>
      <c r="S500" s="3" t="inlineStr">
        <is>
          <t>—</t>
        </is>
      </c>
      <c r="T500" s="3" t="inlineStr">
        <is>
          <t>—</t>
        </is>
      </c>
      <c r="U500" s="3" t="inlineStr">
        <is>
          <t>ACTIVE</t>
        </is>
      </c>
      <c r="V500" s="3" t="inlineStr">
        <is>
          <t>2026-08-27</t>
        </is>
      </c>
      <c r="W500" s="3" t="n"/>
      <c r="X500" s="3" t="n"/>
      <c r="Y500" s="3" t="inlineStr">
        <is>
          <t>NOTHING OPEN</t>
        </is>
      </c>
    </row>
    <row r="501" ht="60" customHeight="1">
      <c r="A501" s="3" t="inlineStr">
        <is>
          <t>MK-ST-F-036</t>
        </is>
      </c>
      <c r="B501" s="3" t="inlineStr">
        <is>
          <t>reconcile</t>
        </is>
      </c>
      <c r="C501" s="3" t="inlineStr">
        <is>
          <t>Calculation Module code/engines/snapshots.ts</t>
        </is>
      </c>
      <c r="D501" s="3" t="n">
        <v>643</v>
      </c>
      <c r="E501" s="3" t="inlineStr">
        <is>
          <t>3 · DEPENDENT (feeds an action only)</t>
        </is>
      </c>
      <c r="F501" s="3" t="inlineStr">
        <is>
          <t>── the outside check ─────────────────────────────────────────────────────────────────────────── Our figure against the broker's own stated total.</t>
        </is>
      </c>
      <c r="G501" s="11" t="inlineStr">
        <is>
          <t>theirs = day.accounts.find((a) =&gt; account id = acc id).stated total (or nothing when missing)
the answer:
ours = ours
theirs = theirs
difference = nothing   if theirs = nothing
ours − theirs   otherwise</t>
        </is>
      </c>
      <c r="H501" s="3" t="inlineStr">
        <is>
          <t>Theirs is day.accounts.find((a) =&gt; account id = acc id).stated total (or no answer — when missing). The answer is ours = ours; theirs = theirs; difference is missing — when theirs is missing; ours minus theirs — otherwise.</t>
        </is>
      </c>
      <c r="I501" s="3" t="inlineStr">
        <is>
          <t>PARTLY READ — some of the code is still showing through; needs a hand pass</t>
        </is>
      </c>
      <c r="J501" s="3" t="inlineStr">
        <is>
          <t>1. day: SnapshotDay
2. accId: string</t>
        </is>
      </c>
      <c r="K501" s="3" t="inlineStr">
        <is>
          <t>NOT DECLARED — the code does not say what it gives back</t>
        </is>
      </c>
      <c r="L501" s="3" t="inlineStr">
        <is>
          <t>—</t>
        </is>
      </c>
      <c r="M501" s="3" t="inlineStr">
        <is>
          <t>· If cash is missing it uses 0.</t>
        </is>
      </c>
      <c r="N501" s="3" t="inlineStr">
        <is>
          <t>No</t>
        </is>
      </c>
      <c r="O501" s="3" t="inlineStr">
        <is>
          <t>—</t>
        </is>
      </c>
      <c r="P501" s="3" t="n">
        <v>0</v>
      </c>
      <c r="Q501" s="3" t="inlineStr">
        <is>
          <t>None — no dependent function stands behind it</t>
        </is>
      </c>
      <c r="R501" s="3" t="inlineStr">
        <is>
          <t>No dependent function — it reads its inputs and answers</t>
        </is>
      </c>
      <c r="S501" s="3" t="inlineStr">
        <is>
          <t>—</t>
        </is>
      </c>
      <c r="T501" s="3" t="inlineStr">
        <is>
          <t>—</t>
        </is>
      </c>
      <c r="U501" s="3" t="inlineStr">
        <is>
          <t>ACTIVE</t>
        </is>
      </c>
      <c r="V501" s="3" t="inlineStr">
        <is>
          <t>2026-09-09</t>
        </is>
      </c>
      <c r="W501" s="3" t="n"/>
      <c r="X501" s="3" t="n"/>
      <c r="Y501" s="3" t="inlineStr">
        <is>
          <t>NOTHING OPEN</t>
        </is>
      </c>
    </row>
    <row r="502" ht="60" customHeight="1">
      <c r="A502" s="3" t="inlineStr">
        <is>
          <t>MK-ST-F-037</t>
        </is>
      </c>
      <c r="B502" s="3" t="inlineStr">
        <is>
          <t>pendingUpload</t>
        </is>
      </c>
      <c r="C502" s="3" t="inlineStr">
        <is>
          <t>Calculation Module code/engines/snapshots.ts</t>
        </is>
      </c>
      <c r="D502" s="3" t="n">
        <v>671</v>
      </c>
      <c r="E502" s="3" t="inlineStr">
        <is>
          <t>3 · DEPENDENT (feeds an action only)</t>
        </is>
      </c>
      <c r="F502" s="3" t="inlineStr">
        <is>
          <t>── the later cloud sync ──────────────────────────────────────────────────────────────────────── Everything not yet uploaded, oldest first.</t>
        </is>
      </c>
      <c r="G502" s="11" t="inlineStr">
        <is>
          <t>days where last uploaded is missing (or date &gt; last uploaded when missing or zero)</t>
        </is>
      </c>
      <c r="H502" s="3" t="inlineStr">
        <is>
          <t>days where last uploaded is missing (or date &gt; last uploaded — when missing or zero).</t>
        </is>
      </c>
      <c r="I502" s="3" t="inlineStr">
        <is>
          <t>READ FROM THE CODE — rendered from the expressions the function runs</t>
        </is>
      </c>
      <c r="J502" s="3" t="inlineStr">
        <is>
          <t>1. days: SnapshotDay[]
2. lastUploaded: string | null</t>
        </is>
      </c>
      <c r="K502" s="3" t="inlineStr">
        <is>
          <t>SnapshotDay[]</t>
        </is>
      </c>
      <c r="L502" s="3" t="inlineStr">
        <is>
          <t>—</t>
        </is>
      </c>
      <c r="M502" s="3" t="inlineStr">
        <is>
          <t>None found in this function — anything it assumes comes from the functions it depends on.</t>
        </is>
      </c>
      <c r="N502" s="3" t="inlineStr">
        <is>
          <t>No</t>
        </is>
      </c>
      <c r="O502" s="3" t="inlineStr">
        <is>
          <t>—</t>
        </is>
      </c>
      <c r="P502" s="3" t="n">
        <v>0</v>
      </c>
      <c r="Q502" s="3" t="inlineStr">
        <is>
          <t>None — no dependent function stands behind it</t>
        </is>
      </c>
      <c r="R502" s="3" t="inlineStr">
        <is>
          <t>No dependent function — it reads its inputs and answers</t>
        </is>
      </c>
      <c r="S502" s="3" t="inlineStr">
        <is>
          <t>—</t>
        </is>
      </c>
      <c r="T502" s="3" t="inlineStr">
        <is>
          <t>—</t>
        </is>
      </c>
      <c r="U502" s="3" t="inlineStr">
        <is>
          <t>ACTIVE</t>
        </is>
      </c>
      <c r="V502" s="3" t="inlineStr">
        <is>
          <t>2026-08-27</t>
        </is>
      </c>
      <c r="W502" s="3" t="n"/>
      <c r="X502" s="3" t="n"/>
      <c r="Y502" s="3" t="inlineStr">
        <is>
          <t>NOTHING OPEN</t>
        </is>
      </c>
    </row>
    <row r="503" ht="60" customHeight="1">
      <c r="A503" s="3" t="inlineStr">
        <is>
          <t>MK-ST-F-038</t>
        </is>
      </c>
      <c r="B503" s="3" t="inlineStr">
        <is>
          <t>windowBounds</t>
        </is>
      </c>
      <c r="C503" s="3" t="inlineStr">
        <is>
          <t>Calculation Module code/engines/window-return.ts</t>
        </is>
      </c>
      <c r="D503" s="3" t="n">
        <v>89</v>
      </c>
      <c r="E503" s="3" t="inlineStr">
        <is>
          <t>2 · DISPLAYED</t>
        </is>
      </c>
      <c r="F503" s="3" t="inlineStr">
        <is>
          <t>NOT DETERMINED — the code carries no note saying what this is for, and it has no row in the old inventory. Needs reading.</t>
        </is>
      </c>
      <c r="G503" s="11" t="inlineStr">
        <is>
          <t>beginning as of = the day before the start
days = round((end − start) in days) + 1</t>
        </is>
      </c>
      <c r="H503" s="3" t="inlineStr">
        <is>
          <t>The bounds of a return window: the beginning value is read on the day BEFORE the start, and the window's length counts both boundary days (brief D3, 2026-08-20).</t>
        </is>
      </c>
      <c r="I503" s="3" t="inlineStr">
        <is>
          <t>READ BY HAND 2026-08-26 — checked line by line against the code</t>
        </is>
      </c>
      <c r="J503" s="3" t="inlineStr">
        <is>
          <t>1. start: string
2. end: string</t>
        </is>
      </c>
      <c r="K503" s="3" t="inlineStr">
        <is>
          <t>WindowBounds</t>
        </is>
      </c>
      <c r="L503" s="3" t="inlineStr">
        <is>
          <t>NOT FOUND — a screen calls it, but the words printed beside its answer could not be traced automatically. Needs reading.</t>
        </is>
      </c>
      <c r="M503" s="3" t="inlineStr">
        <is>
          <t>· Rounds the answer to a whole number.</t>
        </is>
      </c>
      <c r="N503" s="3" t="inlineStr">
        <is>
          <t>Yes</t>
        </is>
      </c>
      <c r="O503" s="3" t="inlineStr">
        <is>
          <t>1. MK-ST-F-063 shiftDay
2. MK-ST-F-062 toUtc</t>
        </is>
      </c>
      <c r="P503" s="3" t="n">
        <v>2</v>
      </c>
      <c r="Q503" s="3" t="inlineStr">
        <is>
          <t>1. MK-ST-F-063 shiftDay
2. MK-ST-F-062 toUtc</t>
        </is>
      </c>
      <c r="R503" s="3" t="inlineStr">
        <is>
          <t>1. MK-ST-F-062 toUtc → MK-ST-F-063 shiftDay → MK-ST-F-038 windowBounds
2. MK-ST-F-062 toUtc → MK-ST-F-038 windowBounds</t>
        </is>
      </c>
      <c r="S503" s="3" t="inlineStr">
        <is>
          <t>—</t>
        </is>
      </c>
      <c r="T503" s="3" t="inlineStr">
        <is>
          <t>—</t>
        </is>
      </c>
      <c r="U503" s="3" t="inlineStr">
        <is>
          <t>ACTIVE</t>
        </is>
      </c>
      <c r="V503" s="3" t="inlineStr">
        <is>
          <t>2026-09-12</t>
        </is>
      </c>
      <c r="W503" s="3" t="n"/>
      <c r="X503" s="3" t="n"/>
      <c r="Y503" s="3" t="inlineStr">
        <is>
          <t>NOTHING OPEN</t>
        </is>
      </c>
    </row>
    <row r="504" ht="60" customHeight="1">
      <c r="A504" s="3" t="inlineStr">
        <is>
          <t>MK-ST-F-039</t>
        </is>
      </c>
      <c r="B504" s="3" t="inlineStr">
        <is>
          <t>on</t>
        </is>
      </c>
      <c r="C504" s="3" t="inlineStr">
        <is>
          <t>src/domain/_shared/eventBus.ts</t>
        </is>
      </c>
      <c r="D504" s="3" t="n">
        <v>43</v>
      </c>
      <c r="E504" s="3" t="inlineStr">
        <is>
          <t>2 · DISPLAYED</t>
        </is>
      </c>
      <c r="F504" s="3" t="inlineStr">
        <is>
          <t>NOT DETERMINED — the code carries no note saying what this is for, and it has no row in the old inventory. Needs reading.</t>
        </is>
      </c>
      <c r="G504" s="11" t="inlineStr">
        <is>
          <t>() =&gt; handlers[event type].delete(handler as handler)</t>
        </is>
      </c>
      <c r="H504" s="3" t="inlineStr">
        <is>
          <t>() =&gt; handlers[event type].delete(handler as handler).</t>
        </is>
      </c>
      <c r="I504" s="3" t="inlineStr">
        <is>
          <t>PARTLY READ — some of the code is still showing through; needs a hand pass</t>
        </is>
      </c>
      <c r="J504" s="3" t="inlineStr">
        <is>
          <t>1. eventType: string
2. handler: Handler&lt;T&gt;</t>
        </is>
      </c>
      <c r="K504" s="3" t="inlineStr">
        <is>
          <t>()</t>
        </is>
      </c>
      <c r="L504" s="3" t="inlineStr">
        <is>
          <t>NOT FOUND — a screen calls it, but the words printed beside its answer could not be traced automatically. Needs reading.</t>
        </is>
      </c>
      <c r="M504" s="3" t="inlineStr">
        <is>
          <t>None found in this function — anything it assumes comes from the functions it depends on.</t>
        </is>
      </c>
      <c r="N504" s="3" t="inlineStr">
        <is>
          <t>Yes</t>
        </is>
      </c>
      <c r="O504" s="3" t="inlineStr">
        <is>
          <t>—</t>
        </is>
      </c>
      <c r="P504" s="3" t="n">
        <v>0</v>
      </c>
      <c r="Q504" s="3" t="inlineStr">
        <is>
          <t>None — no dependent function stands behind it</t>
        </is>
      </c>
      <c r="R504" s="3" t="inlineStr">
        <is>
          <t>No dependent function — it reads its inputs and answers</t>
        </is>
      </c>
      <c r="S504" s="3" t="inlineStr">
        <is>
          <t>—</t>
        </is>
      </c>
      <c r="T504" s="3" t="inlineStr">
        <is>
          <t>—</t>
        </is>
      </c>
      <c r="U504" s="3" t="inlineStr">
        <is>
          <t>ACTIVE</t>
        </is>
      </c>
      <c r="V504" s="3" t="inlineStr">
        <is>
          <t>2026-08-27</t>
        </is>
      </c>
      <c r="W504" s="3" t="n"/>
      <c r="X504" s="3" t="n"/>
      <c r="Y504" s="3" t="inlineStr">
        <is>
          <t>NOTHING OPEN</t>
        </is>
      </c>
    </row>
    <row r="505" ht="60" customHeight="1">
      <c r="A505" s="3" t="inlineStr">
        <is>
          <t>MK-ST-F-040</t>
        </is>
      </c>
      <c r="B505" s="3" t="inlineStr">
        <is>
          <t>emit</t>
        </is>
      </c>
      <c r="C505" s="3" t="inlineStr">
        <is>
          <t>src/domain/_shared/eventBus.ts</t>
        </is>
      </c>
      <c r="D505" s="3" t="n">
        <v>70</v>
      </c>
      <c r="E505" s="3" t="inlineStr">
        <is>
          <t>1 · ACTION</t>
        </is>
      </c>
      <c r="F505" s="3" t="inlineStr">
        <is>
          <t>NOT DETERMINED — the code carries no note saying what this is for, and it has no row in the old inventory. Needs reading.</t>
        </is>
      </c>
      <c r="G505" s="11" t="inlineStr">
        <is>
          <t>It records or announces something and returns no figure — no arithmetic of its own.</t>
        </is>
      </c>
      <c r="H505" s="3" t="inlineStr">
        <is>
          <t>It records or announces something and returns no figure — no arithmetic of its own.</t>
        </is>
      </c>
      <c r="I505" s="3" t="inlineStr">
        <is>
          <t>NO ARITHMETIC — there is no formula to state</t>
        </is>
      </c>
      <c r="J505" s="3" t="inlineStr">
        <is>
          <t>1. eventType: string
2. payload: T</t>
        </is>
      </c>
      <c r="K505" s="3" t="inlineStr">
        <is>
          <t>void</t>
        </is>
      </c>
      <c r="L505" s="3" t="inlineStr">
        <is>
          <t>—</t>
        </is>
      </c>
      <c r="M505" s="3" t="inlineStr">
        <is>
          <t>None found in this function — anything it assumes comes from the functions it depends on.</t>
        </is>
      </c>
      <c r="N505" s="3" t="inlineStr">
        <is>
          <t>Yes</t>
        </is>
      </c>
      <c r="O505" s="3" t="inlineStr">
        <is>
          <t>—</t>
        </is>
      </c>
      <c r="P505" s="3" t="n">
        <v>0</v>
      </c>
      <c r="Q505" s="3" t="inlineStr">
        <is>
          <t>None — no dependent function stands behind it</t>
        </is>
      </c>
      <c r="R505" s="3" t="inlineStr">
        <is>
          <t>No dependent function — it reads its inputs and answers</t>
        </is>
      </c>
      <c r="S505" s="3" t="inlineStr">
        <is>
          <t>—</t>
        </is>
      </c>
      <c r="T505" s="3" t="inlineStr">
        <is>
          <t>—</t>
        </is>
      </c>
      <c r="U505" s="3" t="inlineStr">
        <is>
          <t>ACTIVE</t>
        </is>
      </c>
      <c r="V505" s="3" t="inlineStr">
        <is>
          <t>2026-08-27</t>
        </is>
      </c>
      <c r="W505" s="3" t="n"/>
      <c r="X505" s="3" t="n"/>
      <c r="Y505" s="3" t="inlineStr">
        <is>
          <t>NOTHING OPEN</t>
        </is>
      </c>
    </row>
    <row r="506" ht="60" customHeight="1">
      <c r="A506" s="3" t="inlineStr">
        <is>
          <t>MK-ST-F-041</t>
        </is>
      </c>
      <c r="B506" s="3" t="inlineStr">
        <is>
          <t>getUserDoc</t>
        </is>
      </c>
      <c r="C506" s="3" t="inlineStr">
        <is>
          <t>src/domain/_shared/firestore.ts</t>
        </is>
      </c>
      <c r="D506" s="3" t="n">
        <v>27</v>
      </c>
      <c r="E506" s="3" t="inlineStr">
        <is>
          <t>4 · BRINGS DATA IN</t>
        </is>
      </c>
      <c r="F506" s="3" t="inlineStr">
        <is>
          <t>Read a single-document-per-user collection (e.g.</t>
        </is>
      </c>
      <c r="G506" s="11" t="inlineStr">
        <is>
          <t>snap = await get doc(doc(db, collection name, uid))
the answer:
snap.data() as T   if snap.exists()
nothing   otherwise</t>
        </is>
      </c>
      <c r="H506" s="3" t="inlineStr">
        <is>
          <t>Snap is await get doc(doc(db, collection name, uid)). The answer is snap.data() as T — when snap.exists(); no answer — otherwise.</t>
        </is>
      </c>
      <c r="I506" s="3" t="inlineStr">
        <is>
          <t>PARTLY READ — some of the code is still showing through; needs a hand pass</t>
        </is>
      </c>
      <c r="J506" s="3" t="inlineStr">
        <is>
          <t>1. collectionName: string
2. uid: UserId</t>
        </is>
      </c>
      <c r="K506" s="3" t="inlineStr">
        <is>
          <t>Promise&lt;T | null&gt;</t>
        </is>
      </c>
      <c r="L506" s="3" t="inlineStr">
        <is>
          <t>—</t>
        </is>
      </c>
      <c r="M506" s="3" t="inlineStr">
        <is>
          <t>None found in this function — anything it assumes comes from the functions it depends on.</t>
        </is>
      </c>
      <c r="N506" s="3" t="inlineStr">
        <is>
          <t>No</t>
        </is>
      </c>
      <c r="O506" s="3" t="inlineStr">
        <is>
          <t>MK-XS-F-175 uid</t>
        </is>
      </c>
      <c r="P506" s="3" t="n">
        <v>83</v>
      </c>
      <c r="Q506"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506"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506" s="3" t="inlineStr">
        <is>
          <t>—</t>
        </is>
      </c>
      <c r="T506" s="3" t="inlineStr">
        <is>
          <t>—</t>
        </is>
      </c>
      <c r="U506" s="3" t="inlineStr">
        <is>
          <t>ACTIVE</t>
        </is>
      </c>
      <c r="V506" s="3" t="inlineStr">
        <is>
          <t>2026-08-27</t>
        </is>
      </c>
      <c r="W506" s="3" t="n"/>
      <c r="X506" s="3" t="n"/>
      <c r="Y506" s="3" t="inlineStr">
        <is>
          <t>NOTHING OPEN</t>
        </is>
      </c>
    </row>
    <row r="507" ht="60" customHeight="1">
      <c r="A507" s="3" t="inlineStr">
        <is>
          <t>MK-ST-F-042</t>
        </is>
      </c>
      <c r="B507" s="3" t="inlineStr">
        <is>
          <t>setUserDoc</t>
        </is>
      </c>
      <c r="C507" s="3" t="inlineStr">
        <is>
          <t>src/domain/_shared/firestore.ts</t>
        </is>
      </c>
      <c r="D507" s="3" t="n">
        <v>55</v>
      </c>
      <c r="E507" s="3" t="inlineStr">
        <is>
          <t>1 · ACTION</t>
        </is>
      </c>
      <c r="F507" s="3" t="inlineStr">
        <is>
          <t>Write/merge a single-document-per-user collection, stamping last_updated.</t>
        </is>
      </c>
      <c r="G507" s="11" t="inlineStr">
        <is>
          <t>It reaches outside the app for data and hands back what came back — no arithmetic of its own.</t>
        </is>
      </c>
      <c r="H507" s="3" t="inlineStr">
        <is>
          <t>It reaches outside the app for data and hands back what came back — no arithmetic of its own.</t>
        </is>
      </c>
      <c r="I507" s="3" t="inlineStr">
        <is>
          <t>NO ARITHMETIC — there is no formula to state</t>
        </is>
      </c>
      <c r="J507" s="3" t="inlineStr">
        <is>
          <t>1. collectionName: string
2. uid: UserId
3. data: T</t>
        </is>
      </c>
      <c r="K507" s="3" t="inlineStr">
        <is>
          <t>Promise&lt;void&gt;</t>
        </is>
      </c>
      <c r="L507" s="3" t="inlineStr">
        <is>
          <t>—</t>
        </is>
      </c>
      <c r="M507" s="3" t="inlineStr">
        <is>
          <t>None found in this function — anything it assumes comes from the functions it depends on.</t>
        </is>
      </c>
      <c r="N507" s="3" t="inlineStr">
        <is>
          <t>Yes</t>
        </is>
      </c>
      <c r="O507" s="3" t="inlineStr">
        <is>
          <t>MK-XS-F-175 uid</t>
        </is>
      </c>
      <c r="P507" s="3" t="n">
        <v>83</v>
      </c>
      <c r="Q50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507"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507" s="3" t="inlineStr">
        <is>
          <t>—</t>
        </is>
      </c>
      <c r="T507" s="3" t="inlineStr">
        <is>
          <t>—</t>
        </is>
      </c>
      <c r="U507" s="3" t="inlineStr">
        <is>
          <t>ACTIVE</t>
        </is>
      </c>
      <c r="V507" s="3" t="inlineStr">
        <is>
          <t>2026-08-27</t>
        </is>
      </c>
      <c r="W507" s="3" t="n"/>
      <c r="X507" s="3" t="n"/>
      <c r="Y507" s="3" t="inlineStr">
        <is>
          <t>NOTHING OPEN</t>
        </is>
      </c>
    </row>
    <row r="508" ht="45" customHeight="1">
      <c r="A508" s="3" t="inlineStr">
        <is>
          <t>MK-ST-F-043</t>
        </is>
      </c>
      <c r="B508" s="3" t="inlineStr">
        <is>
          <t>newEntityId</t>
        </is>
      </c>
      <c r="C508" s="3" t="inlineStr">
        <is>
          <t>src/domain/_shared/ids.ts</t>
        </is>
      </c>
      <c r="D508" s="3" t="n">
        <v>40</v>
      </c>
      <c r="E508" s="3" t="inlineStr">
        <is>
          <t>2 · DISPLAYED</t>
        </is>
      </c>
      <c r="F508" s="3" t="inlineStr">
        <is>
          <t>What do we call this new thing?</t>
        </is>
      </c>
      <c r="G508" s="11" t="inlineStr">
        <is>
          <t>`${prefix}_${date.now().to string(36)}${math.random().to string(36).slice(2, 8)}`</t>
        </is>
      </c>
      <c r="H508" s="3" t="inlineStr">
        <is>
          <t>`${prefix}_${date.now().to string(36)}${math.random().to string(36).slice(2, 8)}`.</t>
        </is>
      </c>
      <c r="I508" s="3" t="inlineStr">
        <is>
          <t>PARTLY READ — some of the code is still showing through; needs a hand pass</t>
        </is>
      </c>
      <c r="J508" s="3" t="inlineStr">
        <is>
          <t>prefix: string</t>
        </is>
      </c>
      <c r="K508" s="3" t="inlineStr">
        <is>
          <t>EntityId</t>
        </is>
      </c>
      <c r="L508" s="3" t="inlineStr">
        <is>
          <t>NOT FOUND — a screen calls it, but the words printed beside its answer could not be traced automatically. Needs reading.</t>
        </is>
      </c>
      <c r="M508" s="3" t="inlineStr">
        <is>
          <t>· Uses today's date from the device clock, so the answer changes by itself overnight.</t>
        </is>
      </c>
      <c r="N508" s="3" t="inlineStr">
        <is>
          <t>Yes</t>
        </is>
      </c>
      <c r="O508" s="3" t="inlineStr">
        <is>
          <t>—</t>
        </is>
      </c>
      <c r="P508" s="3" t="n">
        <v>0</v>
      </c>
      <c r="Q508" s="3" t="inlineStr">
        <is>
          <t>None — no dependent function stands behind it</t>
        </is>
      </c>
      <c r="R508" s="3" t="inlineStr">
        <is>
          <t>No dependent function — it reads its inputs and answers</t>
        </is>
      </c>
      <c r="S508" s="3" t="inlineStr">
        <is>
          <t>—</t>
        </is>
      </c>
      <c r="T508" s="3" t="inlineStr">
        <is>
          <t>NEW_ID</t>
        </is>
      </c>
      <c r="U508" s="3" t="inlineStr">
        <is>
          <t>ACTIVE</t>
        </is>
      </c>
      <c r="V508" s="3" t="inlineStr">
        <is>
          <t>2026-08-27</t>
        </is>
      </c>
      <c r="W508" s="3" t="n"/>
      <c r="X508" s="3" t="n"/>
      <c r="Y508" s="3" t="inlineStr">
        <is>
          <t>NOTHING OPEN</t>
        </is>
      </c>
    </row>
    <row r="509" ht="60" customHeight="1">
      <c r="A509" s="3" t="inlineStr">
        <is>
          <t>MK-ST-F-044</t>
        </is>
      </c>
      <c r="B509" s="3" t="inlineStr">
        <is>
          <t>setMoneyFormat</t>
        </is>
      </c>
      <c r="C509" s="3" t="inlineStr">
        <is>
          <t>src/domain/_shared/money.ts</t>
        </is>
      </c>
      <c r="D509" s="3" t="n">
        <v>56</v>
      </c>
      <c r="E509" s="3" t="inlineStr">
        <is>
          <t>1 · ACTION</t>
        </is>
      </c>
      <c r="F509" s="3" t="inlineStr">
        <is>
          <t>NOT DETERMINED — the code carries no note saying what this is for, and it has no row in the old inventory. Needs reading.</t>
        </is>
      </c>
      <c r="G509" s="11" t="inlineStr">
        <is>
          <t>c = CURRENCIES.find((x) =&gt; code = currency)</t>
        </is>
      </c>
      <c r="H509" s="3" t="inlineStr">
        <is>
          <t>C is CURRENCIES.find((x) =&gt; code = currency).</t>
        </is>
      </c>
      <c r="I509" s="3" t="inlineStr">
        <is>
          <t>PARTLY READ — some of the code is still showing through; needs a hand pass</t>
        </is>
      </c>
      <c r="J509" s="3" t="inlineStr">
        <is>
          <t>1. currency?: string | null
2. locale?: string | null</t>
        </is>
      </c>
      <c r="K509" s="3" t="inlineStr">
        <is>
          <t>NOT DECLARED — the code does not say what it gives back</t>
        </is>
      </c>
      <c r="L509" s="3" t="inlineStr">
        <is>
          <t>—</t>
        </is>
      </c>
      <c r="M509" s="3" t="inlineStr">
        <is>
          <t>None found in this function — anything it assumes comes from the functions it depends on.</t>
        </is>
      </c>
      <c r="N509" s="3" t="inlineStr">
        <is>
          <t>Yes</t>
        </is>
      </c>
      <c r="O509" s="3" t="inlineStr">
        <is>
          <t>1. MK-ST-F-053 money
2. MK-ST-F-055 round2</t>
        </is>
      </c>
      <c r="P509" s="3" t="n">
        <v>7</v>
      </c>
      <c r="Q509" s="3" t="inlineStr">
        <is>
          <t>1. MK-ST-F-053 money
2. MK-ST-F-055 round2
3. MK-ST-F-049 formatMoney
4. MK-XS-F-122 n
5. MK-ST-F-048 currencySymbol
6. MK-ST-F-039 on
7. MK-ST-F-047 activeCurrency</t>
        </is>
      </c>
      <c r="R509"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509" s="3" t="inlineStr">
        <is>
          <t>—</t>
        </is>
      </c>
      <c r="T509" s="3" t="inlineStr">
        <is>
          <t>—</t>
        </is>
      </c>
      <c r="U509" s="3" t="inlineStr">
        <is>
          <t>ACTIVE</t>
        </is>
      </c>
      <c r="V509" s="3" t="inlineStr">
        <is>
          <t>2026-08-27</t>
        </is>
      </c>
      <c r="W509" s="3" t="n"/>
      <c r="X509" s="3" t="n"/>
      <c r="Y509" s="3" t="inlineStr">
        <is>
          <t>NOTHING OPEN</t>
        </is>
      </c>
    </row>
    <row r="510" ht="60" customHeight="1">
      <c r="A510" s="3" t="inlineStr">
        <is>
          <t>MK-ST-F-045</t>
        </is>
      </c>
      <c r="B510" s="3" t="inlineStr">
        <is>
          <t>setHideBalances</t>
        </is>
      </c>
      <c r="C510" s="3" t="inlineStr">
        <is>
          <t>src/domain/_shared/money.ts</t>
        </is>
      </c>
      <c r="D510" s="3" t="n">
        <v>88</v>
      </c>
      <c r="E510" s="3" t="inlineStr">
        <is>
          <t>1 · ACTION</t>
        </is>
      </c>
      <c r="F510" s="3" t="inlineStr">
        <is>
          <t>NOT DETERMINED — the code carries no note saying what this is for, and it has no row in the old inventory. Needs reading.</t>
        </is>
      </c>
      <c r="G510" s="11" t="inlineStr">
        <is>
          <t>It records or announces something and returns no figure — no arithmetic of its own.</t>
        </is>
      </c>
      <c r="H510" s="3" t="inlineStr">
        <is>
          <t>It records or announces something and returns no figure — no arithmetic of its own.</t>
        </is>
      </c>
      <c r="I510" s="3" t="inlineStr">
        <is>
          <t>NO ARITHMETIC — there is no formula to state</t>
        </is>
      </c>
      <c r="J510" s="3" t="inlineStr">
        <is>
          <t>b: boolean</t>
        </is>
      </c>
      <c r="K510" s="3" t="inlineStr">
        <is>
          <t>NOT DECLARED — the code does not say what it gives back</t>
        </is>
      </c>
      <c r="L510" s="3" t="inlineStr">
        <is>
          <t>—</t>
        </is>
      </c>
      <c r="M510" s="3" t="inlineStr">
        <is>
          <t>None found in this function — anything it assumes comes from the functions it depends on.</t>
        </is>
      </c>
      <c r="N510" s="3" t="inlineStr">
        <is>
          <t>Yes</t>
        </is>
      </c>
      <c r="O510" s="3" t="inlineStr">
        <is>
          <t>—</t>
        </is>
      </c>
      <c r="P510" s="3" t="n">
        <v>0</v>
      </c>
      <c r="Q510" s="3" t="inlineStr">
        <is>
          <t>None — no dependent function stands behind it</t>
        </is>
      </c>
      <c r="R510" s="3" t="inlineStr">
        <is>
          <t>No dependent function — it reads its inputs and answers</t>
        </is>
      </c>
      <c r="S510" s="3" t="inlineStr">
        <is>
          <t>—</t>
        </is>
      </c>
      <c r="T510" s="3" t="inlineStr">
        <is>
          <t>—</t>
        </is>
      </c>
      <c r="U510" s="3" t="inlineStr">
        <is>
          <t>ACTIVE</t>
        </is>
      </c>
      <c r="V510" s="3" t="inlineStr">
        <is>
          <t>2026-08-27</t>
        </is>
      </c>
      <c r="W510" s="3" t="n"/>
      <c r="X510" s="3" t="n"/>
      <c r="Y510" s="3" t="inlineStr">
        <is>
          <t>NOTHING OPEN</t>
        </is>
      </c>
    </row>
    <row r="511" ht="60" customHeight="1">
      <c r="A511" s="3" t="inlineStr">
        <is>
          <t>MK-ST-F-046</t>
        </is>
      </c>
      <c r="B511" s="3" t="inlineStr">
        <is>
          <t>balancesHidden</t>
        </is>
      </c>
      <c r="C511" s="3" t="inlineStr">
        <is>
          <t>src/domain/_shared/money.ts</t>
        </is>
      </c>
      <c r="D511" s="3" t="n">
        <v>104</v>
      </c>
      <c r="E511" s="3" t="inlineStr">
        <is>
          <t>3 · DEPENDENT (feeds an action only)</t>
        </is>
      </c>
      <c r="F511" s="3" t="inlineStr">
        <is>
          <t>NOT DETERMINED — the code carries no note saying what this is for, and it has no row in the old inventory. Needs reading.</t>
        </is>
      </c>
      <c r="G511" s="11" t="inlineStr">
        <is>
          <t>the answer = the hide-balances switch</t>
        </is>
      </c>
      <c r="H511" s="3" t="inlineStr">
        <is>
          <t>Whether the person has hidden balances on screen. No arithmetic.</t>
        </is>
      </c>
      <c r="I511" s="3" t="inlineStr">
        <is>
          <t>READ BY HAND 2026-08-26 — checked line by line against the code</t>
        </is>
      </c>
      <c r="J511" s="3" t="inlineStr">
        <is>
          <t>Nothing is handed to it</t>
        </is>
      </c>
      <c r="K511" s="3" t="inlineStr">
        <is>
          <t>boolean</t>
        </is>
      </c>
      <c r="L511" s="3" t="inlineStr">
        <is>
          <t>—</t>
        </is>
      </c>
      <c r="M511" s="3" t="inlineStr">
        <is>
          <t>None found in this function — anything it assumes comes from the functions it depends on.</t>
        </is>
      </c>
      <c r="N511" s="3" t="inlineStr">
        <is>
          <t>No</t>
        </is>
      </c>
      <c r="O511" s="3" t="inlineStr">
        <is>
          <t>—</t>
        </is>
      </c>
      <c r="P511" s="3" t="n">
        <v>0</v>
      </c>
      <c r="Q511" s="3" t="inlineStr">
        <is>
          <t>None — no dependent function stands behind it</t>
        </is>
      </c>
      <c r="R511" s="3" t="inlineStr">
        <is>
          <t>No dependent function — it reads its inputs and answers</t>
        </is>
      </c>
      <c r="S511" s="3" t="inlineStr">
        <is>
          <t>—</t>
        </is>
      </c>
      <c r="T511" s="3" t="inlineStr">
        <is>
          <t>—</t>
        </is>
      </c>
      <c r="U511" s="3" t="inlineStr">
        <is>
          <t>ACTIVE</t>
        </is>
      </c>
      <c r="V511" s="3" t="inlineStr">
        <is>
          <t>2026-09-12</t>
        </is>
      </c>
      <c r="W511" s="3" t="n"/>
      <c r="X511" s="3" t="n"/>
      <c r="Y511" s="3" t="inlineStr">
        <is>
          <t>NOTHING OPEN</t>
        </is>
      </c>
    </row>
    <row r="512" ht="45" customHeight="1">
      <c r="A512" s="3" t="inlineStr">
        <is>
          <t>MK-ST-F-047</t>
        </is>
      </c>
      <c r="B512" s="3" t="inlineStr">
        <is>
          <t>activeCurrency</t>
        </is>
      </c>
      <c r="C512" s="3" t="inlineStr">
        <is>
          <t>src/domain/_shared/money.ts</t>
        </is>
      </c>
      <c r="D512" s="3" t="n">
        <v>133</v>
      </c>
      <c r="E512" s="3" t="inlineStr">
        <is>
          <t>3 · DEPENDENT</t>
        </is>
      </c>
      <c r="F512" s="3" t="inlineStr">
        <is>
          <t>Which currency is the app showing?</t>
        </is>
      </c>
      <c r="G512" s="11" t="inlineStr">
        <is>
          <t>the first of CURRENCIES.find((c) =&gt; code = code) (or CURRENCIES when missing)</t>
        </is>
      </c>
      <c r="H512" s="3" t="inlineStr">
        <is>
          <t>the first of CURRENCIES.find((c) =&gt; code = code) (or CURRENCIES — when missing).</t>
        </is>
      </c>
      <c r="I512" s="3" t="inlineStr">
        <is>
          <t>PARTLY READ — some of the code is still showing through; needs a hand pass</t>
        </is>
      </c>
      <c r="J512" s="3" t="inlineStr">
        <is>
          <t>Nothing is handed to it</t>
        </is>
      </c>
      <c r="K512" s="3" t="inlineStr">
        <is>
          <t>Currency</t>
        </is>
      </c>
      <c r="L512" s="3" t="inlineStr">
        <is>
          <t>—</t>
        </is>
      </c>
      <c r="M512" s="3" t="inlineStr">
        <is>
          <t>None found in this function — anything it assumes comes from the functions it depends on.</t>
        </is>
      </c>
      <c r="N512" s="3" t="inlineStr">
        <is>
          <t>Yes</t>
        </is>
      </c>
      <c r="O512" s="3" t="inlineStr">
        <is>
          <t>—</t>
        </is>
      </c>
      <c r="P512" s="3" t="n">
        <v>0</v>
      </c>
      <c r="Q512" s="3" t="inlineStr">
        <is>
          <t>None — no dependent function stands behind it</t>
        </is>
      </c>
      <c r="R512" s="3" t="inlineStr">
        <is>
          <t>No dependent function — it reads its inputs and answers</t>
        </is>
      </c>
      <c r="S512" s="3" t="inlineStr">
        <is>
          <t>—</t>
        </is>
      </c>
      <c r="T512" s="3" t="inlineStr">
        <is>
          <t>CURRENCY</t>
        </is>
      </c>
      <c r="U512" s="3" t="inlineStr">
        <is>
          <t>ACTIVE</t>
        </is>
      </c>
      <c r="V512" s="3" t="inlineStr">
        <is>
          <t>2026-08-27</t>
        </is>
      </c>
      <c r="W512" s="3" t="n"/>
      <c r="X512" s="3" t="n"/>
      <c r="Y512" s="3" t="inlineStr">
        <is>
          <t>NOTHING OPEN</t>
        </is>
      </c>
    </row>
    <row r="513" ht="60" customHeight="1">
      <c r="A513" s="3" t="inlineStr">
        <is>
          <t>MK-ST-F-048</t>
        </is>
      </c>
      <c r="B513" s="3" t="inlineStr">
        <is>
          <t>currencySymbol</t>
        </is>
      </c>
      <c r="C513" s="3" t="inlineStr">
        <is>
          <t>src/domain/_shared/money.ts</t>
        </is>
      </c>
      <c r="D513" s="3" t="n">
        <v>164</v>
      </c>
      <c r="E513" s="3" t="inlineStr">
        <is>
          <t>2 · DISPLAYED</t>
        </is>
      </c>
      <c r="F513" s="3" t="inlineStr">
        <is>
          <t>NOT DETERMINED — the code carries no note saying what this is for, and it has no row in the old inventory. Needs reading.</t>
        </is>
      </c>
      <c r="G513" s="11" t="inlineStr">
        <is>
          <t>active currency().symbol</t>
        </is>
      </c>
      <c r="H513" s="3" t="inlineStr">
        <is>
          <t>active currency().symbol.</t>
        </is>
      </c>
      <c r="I513" s="3" t="inlineStr">
        <is>
          <t>PARTLY READ — some of the code is still showing through; needs a hand pass</t>
        </is>
      </c>
      <c r="J513" s="3" t="inlineStr">
        <is>
          <t>Nothing is handed to it</t>
        </is>
      </c>
      <c r="K513" s="3" t="inlineStr">
        <is>
          <t>string</t>
        </is>
      </c>
      <c r="L513" s="3" t="inlineStr">
        <is>
          <t>1. "Amount" — on the Look back screen
2. "Estimated benefit" — on the Retirement cockpit screen
3. "HOW MUCH WILL YOU INVEST PER YEAR?" — on the setup questions, which appear on more than one screen
4. "How much (this disbursement)" — on the setup questions, which appear on more than one screen
5. "How much per month" — on the setup questions, which appear on more than one screen
6. "How often?" — on the setup questions, which appear on more than one screen</t>
        </is>
      </c>
      <c r="M513" s="3" t="inlineStr">
        <is>
          <t>None found in this function — anything it assumes comes from the functions it depends on.</t>
        </is>
      </c>
      <c r="N513" s="3" t="inlineStr">
        <is>
          <t>Yes</t>
        </is>
      </c>
      <c r="O513" s="3" t="inlineStr">
        <is>
          <t>MK-ST-F-047 activeCurrency</t>
        </is>
      </c>
      <c r="P513" s="3" t="n">
        <v>1</v>
      </c>
      <c r="Q513" s="3" t="inlineStr">
        <is>
          <t>MK-ST-F-047 activeCurrency</t>
        </is>
      </c>
      <c r="R513" s="3" t="inlineStr">
        <is>
          <t>MK-ST-F-047 activeCurrency → MK-ST-F-048 currencySymbol</t>
        </is>
      </c>
      <c r="S513" s="3" t="inlineStr">
        <is>
          <t>—</t>
        </is>
      </c>
      <c r="T513" s="3" t="inlineStr">
        <is>
          <t>—</t>
        </is>
      </c>
      <c r="U513" s="3" t="inlineStr">
        <is>
          <t>ACTIVE</t>
        </is>
      </c>
      <c r="V513" s="3" t="inlineStr">
        <is>
          <t>2026-08-27</t>
        </is>
      </c>
      <c r="W513" s="3" t="n"/>
      <c r="X513" s="3" t="n"/>
      <c r="Y513" s="3" t="inlineStr">
        <is>
          <t>NOTHING OPEN</t>
        </is>
      </c>
    </row>
    <row r="514" ht="60" customHeight="1">
      <c r="A514" s="3" t="inlineStr">
        <is>
          <t>MK-ST-F-049</t>
        </is>
      </c>
      <c r="B514" s="3" t="inlineStr">
        <is>
          <t>formatMoney</t>
        </is>
      </c>
      <c r="C514" s="3" t="inlineStr">
        <is>
          <t>src/domain/_shared/money.ts</t>
        </is>
      </c>
      <c r="D514" s="3" t="n">
        <v>207</v>
      </c>
      <c r="E514" s="3" t="inlineStr">
        <is>
          <t>2 · DISPLAYED</t>
        </is>
      </c>
      <c r="F514" s="3" t="inlineStr">
        <is>
          <t>Full amount, no minor units (matches the app's whole-number money style), locale-grouped.</t>
        </is>
      </c>
      <c r="G514" s="11" t="inlineStr">
        <is>
          <t>BALANCE_MASK   when hide
NOT_A_NUMBER   when !number.is finite(n)
v = round(n)
the answer = new intl.number format(locale, { style: 'currency', currency: code, maximum fraction digits: 0 }).format(v)
neg = '-'   if v &lt; 0
''   otherwise</t>
        </is>
      </c>
      <c r="H514" s="3" t="inlineStr">
        <is>
          <t>When hide, it answers BALANCE_MASK. When !number.is finite(n), it answers NOT_A_NUMBER. V is n, to a whole number. The answer is new intl.number format(locale, { style: 'currency', currency: code, maximum fraction digits: 0 }).format(v). Neg is '-' — when v &lt; 0; '' — otherwise.</t>
        </is>
      </c>
      <c r="I514" s="3" t="inlineStr">
        <is>
          <t>PARTLY READ — some of the code is still showing through; needs a hand pass</t>
        </is>
      </c>
      <c r="J514" s="3" t="inlineStr">
        <is>
          <t>n: number</t>
        </is>
      </c>
      <c r="K514" s="3" t="inlineStr">
        <is>
          <t>string</t>
        </is>
      </c>
      <c r="L514" s="3" t="inlineStr">
        <is>
          <t>NOT FOUND — a screen calls it, but the words printed beside its answer could not be traced automatically. Needs reading.</t>
        </is>
      </c>
      <c r="M514" s="3" t="inlineStr">
        <is>
          <t>· Rounds the answer to a whole number.</t>
        </is>
      </c>
      <c r="N514" s="3" t="inlineStr">
        <is>
          <t>Yes</t>
        </is>
      </c>
      <c r="O514" s="3" t="inlineStr">
        <is>
          <t>1. MK-ST-F-048 currencySymbol
2. MK-XS-F-122 n
3. MK-ST-F-039 on</t>
        </is>
      </c>
      <c r="P514" s="3" t="n">
        <v>4</v>
      </c>
      <c r="Q514" s="3" t="inlineStr">
        <is>
          <t>1. MK-ST-F-048 currencySymbol
2. MK-XS-F-122 n
3. MK-ST-F-039 on
4. MK-ST-F-047 activeCurrency</t>
        </is>
      </c>
      <c r="R514" s="3" t="inlineStr">
        <is>
          <t>1. MK-ST-F-047 activeCurrency → MK-ST-F-048 currencySymbol → MK-ST-F-049 formatMoney
2. MK-XS-F-122 n → MK-ST-F-049 formatMoney
3. MK-ST-F-039 on → MK-ST-F-049 formatMoney</t>
        </is>
      </c>
      <c r="S514" s="3" t="inlineStr">
        <is>
          <t>—</t>
        </is>
      </c>
      <c r="T514" s="3" t="inlineStr">
        <is>
          <t>MONEY_IN_WORDS</t>
        </is>
      </c>
      <c r="U514" s="3" t="inlineStr">
        <is>
          <t>ACTIVE</t>
        </is>
      </c>
      <c r="V514" s="3" t="inlineStr">
        <is>
          <t>2026-08-27</t>
        </is>
      </c>
      <c r="W514" s="3" t="n"/>
      <c r="X514" s="3" t="n"/>
      <c r="Y514" s="3" t="inlineStr">
        <is>
          <t>NOTHING OPEN</t>
        </is>
      </c>
    </row>
    <row r="515" ht="60" customHeight="1">
      <c r="A515" s="3" t="inlineStr">
        <is>
          <t>MK-ST-F-050</t>
        </is>
      </c>
      <c r="B515" s="3" t="inlineStr">
        <is>
          <t>formatMoneyCents</t>
        </is>
      </c>
      <c r="C515" s="3" t="inlineStr">
        <is>
          <t>src/domain/_shared/money.ts</t>
        </is>
      </c>
      <c r="D515" s="3" t="n">
        <v>246</v>
      </c>
      <c r="E515" s="3" t="inlineStr">
        <is>
          <t>3 · DEPENDENT</t>
        </is>
      </c>
      <c r="F515" s="3" t="inlineStr">
        <is>
          <t>Same as formatMoney but keeps 2 decimal places — for precise amounts (transactions, holdings, recurring lines).</t>
        </is>
      </c>
      <c r="G515" s="11" t="inlineStr">
        <is>
          <t>BALANCE_MASK   when hide
NOT_A_NUMBER   when !number.is finite(n)
v = n
the answer = new intl.number format(locale, { style: 'currency', currency: code, minimum fraction digits: 2, maximum fraction digits: 2 }).format(v)
neg = '-'   if v &lt; 0
''   otherwise</t>
        </is>
      </c>
      <c r="H515"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515" s="3" t="inlineStr">
        <is>
          <t>PARTLY READ — some of the code is still showing through; needs a hand pass</t>
        </is>
      </c>
      <c r="J515" s="3" t="inlineStr">
        <is>
          <t>n: number</t>
        </is>
      </c>
      <c r="K515" s="3" t="inlineStr">
        <is>
          <t>string</t>
        </is>
      </c>
      <c r="L515" s="3" t="inlineStr">
        <is>
          <t>—</t>
        </is>
      </c>
      <c r="M515" s="3" t="inlineStr">
        <is>
          <t>None found in this function — anything it assumes comes from the functions it depends on.</t>
        </is>
      </c>
      <c r="N515" s="3" t="inlineStr">
        <is>
          <t>Yes</t>
        </is>
      </c>
      <c r="O515" s="3" t="inlineStr">
        <is>
          <t>1. MK-ST-F-048 currencySymbol
2. MK-XS-F-122 n</t>
        </is>
      </c>
      <c r="P515" s="3" t="n">
        <v>3</v>
      </c>
      <c r="Q515" s="3" t="inlineStr">
        <is>
          <t>1. MK-ST-F-048 currencySymbol
2. MK-XS-F-122 n
3. MK-ST-F-047 activeCurrency</t>
        </is>
      </c>
      <c r="R515" s="3" t="inlineStr">
        <is>
          <t>1. MK-ST-F-047 activeCurrency → MK-ST-F-048 currencySymbol → MK-ST-F-050 formatMoneyCents
2. MK-XS-F-122 n → MK-ST-F-050 formatMoneyCents</t>
        </is>
      </c>
      <c r="S515" s="3" t="inlineStr">
        <is>
          <t>—</t>
        </is>
      </c>
      <c r="T515" s="3" t="inlineStr">
        <is>
          <t>MONEY_IN_WORDS_WITH_CENTS</t>
        </is>
      </c>
      <c r="U515" s="3" t="inlineStr">
        <is>
          <t>ACTIVE</t>
        </is>
      </c>
      <c r="V515" s="3" t="inlineStr">
        <is>
          <t>2026-08-27</t>
        </is>
      </c>
      <c r="W515" s="3" t="n"/>
      <c r="X515" s="3" t="n"/>
      <c r="Y515" s="3" t="inlineStr">
        <is>
          <t>NOTHING OPEN</t>
        </is>
      </c>
    </row>
    <row r="516" ht="60" customHeight="1">
      <c r="A516" s="3" t="inlineStr">
        <is>
          <t>MK-ST-F-051</t>
        </is>
      </c>
      <c r="B516" s="3" t="inlineStr">
        <is>
          <t>moneyCompact</t>
        </is>
      </c>
      <c r="C516" s="3" t="inlineStr">
        <is>
          <t>src/domain/_shared/money.ts</t>
        </is>
      </c>
      <c r="D516" s="3" t="n">
        <v>289</v>
      </c>
      <c r="E516" s="3" t="inlineStr">
        <is>
          <t>2 · DISPLAYED</t>
        </is>
      </c>
      <c r="F516" s="3" t="inlineStr">
        <is>
          <t>Compact form for tight spaces (chart labels, donut center).</t>
        </is>
      </c>
      <c r="G516" s="11" t="inlineStr">
        <is>
          <t>BALANCE_MASK   when hide
s = currency symbol()
neg = '-'   if n &lt; 0
''   otherwise
a = size of(n)
`${neg}${s}${(a ÷ 1e6).to fixed(2).replace( ÷ \.?0+$ ÷ , '')}${style}`   when a ≥ 1e6
`${neg}${s}${math.round(a ÷ 1e3)}K`   when a ≥ 1e3
the answer = `${neg}${s}${math.round(a)}`</t>
        </is>
      </c>
      <c r="H516"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516" s="3" t="inlineStr">
        <is>
          <t>PARTLY READ — some of the code is still showing through; needs a hand pass</t>
        </is>
      </c>
      <c r="J516" s="3" t="inlineStr">
        <is>
          <t>1. n: number
2. style: 'M' | 'MM' = 'MM'</t>
        </is>
      </c>
      <c r="K516" s="3" t="inlineStr">
        <is>
          <t>string</t>
        </is>
      </c>
      <c r="L516"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516" s="3" t="inlineStr">
        <is>
          <t>1. Rounds the answer to a whole number.
2. Shows 2 decimal places.</t>
        </is>
      </c>
      <c r="N516" s="3" t="inlineStr">
        <is>
          <t>Yes</t>
        </is>
      </c>
      <c r="O516" s="3" t="inlineStr">
        <is>
          <t>1. MK-ST-F-048 currencySymbol
2. MK-XS-F-122 n</t>
        </is>
      </c>
      <c r="P516" s="3" t="n">
        <v>3</v>
      </c>
      <c r="Q516" s="3" t="inlineStr">
        <is>
          <t>1. MK-ST-F-048 currencySymbol
2. MK-XS-F-122 n
3. MK-ST-F-047 activeCurrency</t>
        </is>
      </c>
      <c r="R516" s="3" t="inlineStr">
        <is>
          <t>1. MK-ST-F-047 activeCurrency → MK-ST-F-048 currencySymbol → MK-ST-F-051 moneyCompact
2. MK-XS-F-122 n → MK-ST-F-051 moneyCompact</t>
        </is>
      </c>
      <c r="S516" s="3" t="inlineStr">
        <is>
          <t>—</t>
        </is>
      </c>
      <c r="T516" s="3" t="inlineStr">
        <is>
          <t>—</t>
        </is>
      </c>
      <c r="U516" s="3" t="inlineStr">
        <is>
          <t>ACTIVE</t>
        </is>
      </c>
      <c r="V516" s="3" t="inlineStr">
        <is>
          <t>2026-08-27</t>
        </is>
      </c>
      <c r="W516" s="3" t="n"/>
      <c r="X516" s="3" t="n"/>
      <c r="Y516" s="3" t="inlineStr">
        <is>
          <t>NOTHING OPEN</t>
        </is>
      </c>
    </row>
    <row r="517" ht="60" customHeight="1">
      <c r="A517" s="3" t="inlineStr">
        <is>
          <t>MK-ST-F-052</t>
        </is>
      </c>
      <c r="B517" s="3" t="inlineStr">
        <is>
          <t>toNum</t>
        </is>
      </c>
      <c r="C517" s="3" t="inlineStr">
        <is>
          <t>src/domain/_shared/num.ts</t>
        </is>
      </c>
      <c r="D517" s="3" t="n">
        <v>67</v>
      </c>
      <c r="E517" s="3" t="inlineStr">
        <is>
          <t>3 · DEPENDENT</t>
        </is>
      </c>
      <c r="F517" s="3" t="inlineStr">
        <is>
          <t>What number did the person actually type?</t>
        </is>
      </c>
      <c r="G517" s="11" t="inlineStr">
        <is>
          <t>n = parse float(string(v ?? '').replace( ÷ [^0 − 9.\-] ÷ g, ''))
the answer:
n   if number.is finite(n)
0   otherwise</t>
        </is>
      </c>
      <c r="H517" s="3" t="inlineStr">
        <is>
          <t>N is parse float(string(v ?? '').replace( divided by [^0 minus 9.\-] divided by g, '')). The answer is n — when number.is finite(n); 0 — otherwise.</t>
        </is>
      </c>
      <c r="I517" s="3" t="inlineStr">
        <is>
          <t>PARTLY READ — some of the code is still showing through; needs a hand pass</t>
        </is>
      </c>
      <c r="J517" s="3" t="inlineStr">
        <is>
          <t>v: any</t>
        </is>
      </c>
      <c r="K517" s="3" t="inlineStr">
        <is>
          <t>number</t>
        </is>
      </c>
      <c r="L517" s="3" t="inlineStr">
        <is>
          <t>—</t>
        </is>
      </c>
      <c r="M517" s="3" t="inlineStr">
        <is>
          <t>None found in this function — anything it assumes comes from the functions it depends on.</t>
        </is>
      </c>
      <c r="N517" s="3" t="inlineStr">
        <is>
          <t>Yes</t>
        </is>
      </c>
      <c r="O517" s="3" t="inlineStr">
        <is>
          <t>MK-XS-F-122 n</t>
        </is>
      </c>
      <c r="P517" s="3" t="n">
        <v>1</v>
      </c>
      <c r="Q517" s="3" t="inlineStr">
        <is>
          <t>MK-XS-F-122 n</t>
        </is>
      </c>
      <c r="R517" s="3" t="inlineStr">
        <is>
          <t>MK-XS-F-122 n → MK-ST-F-052 toNum</t>
        </is>
      </c>
      <c r="S517" s="3" t="inlineStr">
        <is>
          <t>—</t>
        </is>
      </c>
      <c r="T517" s="3" t="inlineStr">
        <is>
          <t>READ_A_NUMBER</t>
        </is>
      </c>
      <c r="U517" s="3" t="inlineStr">
        <is>
          <t>ACTIVE</t>
        </is>
      </c>
      <c r="V517" s="3" t="inlineStr">
        <is>
          <t>2026-08-27</t>
        </is>
      </c>
      <c r="W517" s="3" t="n"/>
      <c r="X517" s="3" t="n"/>
      <c r="Y517" s="3" t="inlineStr">
        <is>
          <t>NOTHING OPEN</t>
        </is>
      </c>
    </row>
    <row r="518" ht="60" customHeight="1">
      <c r="A518" s="3" t="inlineStr">
        <is>
          <t>MK-ST-F-053</t>
        </is>
      </c>
      <c r="B518" s="3" t="inlineStr">
        <is>
          <t>money</t>
        </is>
      </c>
      <c r="C518" s="3" t="inlineStr">
        <is>
          <t>src/domain/_shared/num.ts</t>
        </is>
      </c>
      <c r="D518" s="3" t="n">
        <v>105</v>
      </c>
      <c r="E518" s="3" t="inlineStr">
        <is>
          <t>1 · ACTION</t>
        </is>
      </c>
      <c r="F518" s="3" t="inlineStr">
        <is>
          <t>Currency/locale-aware (delegates to the active money format; defaults to USD/en-US).</t>
        </is>
      </c>
      <c r="G518" s="11" t="inlineStr">
        <is>
          <t>format money(n)</t>
        </is>
      </c>
      <c r="H518" s="3" t="inlineStr">
        <is>
          <t>format money(n)</t>
        </is>
      </c>
      <c r="I518" s="3" t="inlineStr">
        <is>
          <t>READ FROM THE CODE — rendered from the expressions the function runs</t>
        </is>
      </c>
      <c r="J518" s="3" t="inlineStr">
        <is>
          <t>n: number</t>
        </is>
      </c>
      <c r="K518" s="3" t="inlineStr">
        <is>
          <t>string</t>
        </is>
      </c>
      <c r="L518" s="3" t="inlineStr">
        <is>
          <t>1. "ACCOUNTS (year-end)" — on the Tax organiser screen, under "ACCOUNTS (year-end)"
2. "Allocate to this goal ›" — on the Goals screen, under "YOUR GOALS"
3. "Annual vesting cash flow" — on the setup questions, which appear on more than one screen
4. "Annuity / other" — on the setup questions, which appear on more than one screen
5. "Available /year" — on the setup questions, which appear on more than one screen
6. "Capital needed" — on the setup questions, which appear on more than one screen</t>
        </is>
      </c>
      <c r="M518" s="3" t="inlineStr">
        <is>
          <t>None found in this function — anything it assumes comes from the functions it depends on.</t>
        </is>
      </c>
      <c r="N518" s="3" t="inlineStr">
        <is>
          <t>Yes</t>
        </is>
      </c>
      <c r="O518" s="3" t="inlineStr">
        <is>
          <t>1. MK-ST-F-049 formatMoney
2. MK-XS-F-122 n</t>
        </is>
      </c>
      <c r="P518" s="3" t="n">
        <v>5</v>
      </c>
      <c r="Q518" s="3" t="inlineStr">
        <is>
          <t>1. MK-ST-F-049 formatMoney
2. MK-XS-F-122 n
3. MK-ST-F-048 currencySymbol
4. MK-ST-F-039 on
5. MK-ST-F-047 activeCurrency</t>
        </is>
      </c>
      <c r="R518" s="3" t="inlineStr">
        <is>
          <t>1. MK-ST-F-047 activeCurrency → MK-ST-F-048 currencySymbol → MK-ST-F-049 formatMoney → MK-ST-F-053 money
2. MK-XS-F-122 n → MK-ST-F-049 formatMoney → MK-ST-F-053 money
3. MK-ST-F-039 on → MK-ST-F-049 formatMoney → MK-ST-F-053 money
4. MK-XS-F-122 n → MK-ST-F-053 money</t>
        </is>
      </c>
      <c r="S518" s="3" t="inlineStr">
        <is>
          <t>—</t>
        </is>
      </c>
      <c r="T518" s="3" t="inlineStr">
        <is>
          <t>—</t>
        </is>
      </c>
      <c r="U518" s="3" t="inlineStr">
        <is>
          <t>ACTIVE</t>
        </is>
      </c>
      <c r="V518" s="3" t="inlineStr">
        <is>
          <t>2026-08-27</t>
        </is>
      </c>
      <c r="W518" s="3" t="n"/>
      <c r="X518" s="3" t="n"/>
      <c r="Y518" s="3" t="inlineStr">
        <is>
          <t>NOTHING OPEN</t>
        </is>
      </c>
    </row>
    <row r="519" ht="60" customHeight="1">
      <c r="A519" s="3" t="inlineStr">
        <is>
          <t>MK-ST-F-054</t>
        </is>
      </c>
      <c r="B519" s="3" t="inlineStr">
        <is>
          <t>money2</t>
        </is>
      </c>
      <c r="C519" s="3" t="inlineStr">
        <is>
          <t>src/domain/_shared/num.ts</t>
        </is>
      </c>
      <c r="D519" s="3" t="n">
        <v>122</v>
      </c>
      <c r="E519" s="3" t="inlineStr">
        <is>
          <t>1 · ACTION</t>
        </is>
      </c>
      <c r="F519" s="3" t="inlineStr">
        <is>
          <t>Same, but keeps cents — for precise amounts (transactions, holdings).</t>
        </is>
      </c>
      <c r="G519" s="11" t="inlineStr">
        <is>
          <t>format money cents(n)</t>
        </is>
      </c>
      <c r="H519" s="3" t="inlineStr">
        <is>
          <t>format money cents(n)</t>
        </is>
      </c>
      <c r="I519" s="3" t="inlineStr">
        <is>
          <t>READ FROM THE CODE — rendered from the expressions the function runs</t>
        </is>
      </c>
      <c r="J519" s="3" t="inlineStr">
        <is>
          <t>n: number</t>
        </is>
      </c>
      <c r="K519" s="3" t="inlineStr">
        <is>
          <t>string</t>
        </is>
      </c>
      <c r="L519" s="3" t="inlineStr">
        <is>
          <t>1. "Total" — on the Import holdings screen
2. "Value" — on the Import holdings screen, under "REVIEW YOUR HOLDINGS"</t>
        </is>
      </c>
      <c r="M519" s="3" t="inlineStr">
        <is>
          <t>None found in this function — anything it assumes comes from the functions it depends on.</t>
        </is>
      </c>
      <c r="N519" s="3" t="inlineStr">
        <is>
          <t>Yes</t>
        </is>
      </c>
      <c r="O519" s="3" t="inlineStr">
        <is>
          <t>1. MK-ST-F-050 formatMoneyCents
2. MK-XS-F-122 n</t>
        </is>
      </c>
      <c r="P519" s="3" t="n">
        <v>4</v>
      </c>
      <c r="Q519" s="3" t="inlineStr">
        <is>
          <t>1. MK-ST-F-050 formatMoneyCents
2. MK-XS-F-122 n
3. MK-ST-F-048 currencySymbol
4. MK-ST-F-047 activeCurrency</t>
        </is>
      </c>
      <c r="R519" s="3" t="inlineStr">
        <is>
          <t>1. MK-ST-F-047 activeCurrency → MK-ST-F-048 currencySymbol → MK-ST-F-050 formatMoneyCents → MK-ST-F-054 money2
2. MK-XS-F-122 n → MK-ST-F-050 formatMoneyCents → MK-ST-F-054 money2
3. MK-XS-F-122 n → MK-ST-F-054 money2</t>
        </is>
      </c>
      <c r="S519" s="3" t="inlineStr">
        <is>
          <t>—</t>
        </is>
      </c>
      <c r="T519" s="3" t="inlineStr">
        <is>
          <t>—</t>
        </is>
      </c>
      <c r="U519" s="3" t="inlineStr">
        <is>
          <t>ACTIVE</t>
        </is>
      </c>
      <c r="V519" s="3" t="inlineStr">
        <is>
          <t>2026-08-27</t>
        </is>
      </c>
      <c r="W519" s="3" t="n"/>
      <c r="X519" s="3" t="n"/>
      <c r="Y519" s="3" t="inlineStr">
        <is>
          <t>NOTHING OPEN</t>
        </is>
      </c>
    </row>
    <row r="520" ht="60" customHeight="1">
      <c r="A520" s="3" t="inlineStr">
        <is>
          <t>MK-ST-F-055</t>
        </is>
      </c>
      <c r="B520" s="3" t="inlineStr">
        <is>
          <t>round2</t>
        </is>
      </c>
      <c r="C520" s="3" t="inlineStr">
        <is>
          <t>Calculation Module code/engines/money.ts</t>
        </is>
      </c>
      <c r="D520" s="3" t="n">
        <v>217</v>
      </c>
      <c r="E520" s="3" t="inlineStr">
        <is>
          <t>3 · DEPENDENT</t>
        </is>
      </c>
      <c r="F520" s="3" t="inlineStr">
        <is>
          <t>Rounds a money figure to the cent — two decimals.</t>
        </is>
      </c>
      <c r="G520" s="11" t="inlineStr">
        <is>
          <t>round2(n) = round(n × 100) ÷ 100</t>
        </is>
      </c>
      <c r="H520" s="3" t="inlineStr">
        <is>
          <t>Rounds to two decimal places — the cent. The hundred is the rounding scale, nothing to do with percentages or with an option contract being a hundred shares.</t>
        </is>
      </c>
      <c r="I520" s="3" t="inlineStr">
        <is>
          <t>READ BY HAND 2026-08-26 — checked line by line against the code</t>
        </is>
      </c>
      <c r="J520" s="3" t="inlineStr">
        <is>
          <t>n: number</t>
        </is>
      </c>
      <c r="K520" s="3" t="inlineStr">
        <is>
          <t>number</t>
        </is>
      </c>
      <c r="L520" s="3" t="inlineStr">
        <is>
          <t>—</t>
        </is>
      </c>
      <c r="M520" s="3" t="inlineStr">
        <is>
          <t>· Rounds the answer to two decimals (cents).</t>
        </is>
      </c>
      <c r="N520" s="3" t="inlineStr">
        <is>
          <t>Yes</t>
        </is>
      </c>
      <c r="O520" s="3" t="inlineStr">
        <is>
          <t>—</t>
        </is>
      </c>
      <c r="P520" s="3" t="n">
        <v>0</v>
      </c>
      <c r="Q520" s="3" t="inlineStr">
        <is>
          <t>None — no dependent function stands behind it</t>
        </is>
      </c>
      <c r="R520" s="3" t="inlineStr">
        <is>
          <t>No dependent function — it reads its inputs and answers</t>
        </is>
      </c>
      <c r="S520" s="3" t="inlineStr">
        <is>
          <t>—</t>
        </is>
      </c>
      <c r="T520" s="3" t="inlineStr">
        <is>
          <t>—</t>
        </is>
      </c>
      <c r="U520" s="3" t="inlineStr">
        <is>
          <t>ACTIVE</t>
        </is>
      </c>
      <c r="V520" s="3" t="inlineStr">
        <is>
          <t>2026-09-08</t>
        </is>
      </c>
      <c r="W520" s="3" t="inlineStr">
        <is>
          <t>[from MK-NW-M-043, Assumptions; typed A15] does it round to 2 decimals or a whole number? Two contradicting statements.</t>
        </is>
      </c>
      <c r="X520" s="6" t="inlineStr">
        <is>
          <t>Two decimals: round(n × 100) ÷ 100. Both file lines are false (A15, C4); the generator misreads the idiom. Fix the generator and re-extract; the row then reads 'Rounds to two decimals (cents)'. Code right.</t>
        </is>
      </c>
      <c r="Y520" s="6" t="inlineStr">
        <is>
          <t>WAITING ON YOU — answer to read · CODED, NOT TESTED (C4)</t>
        </is>
      </c>
    </row>
    <row r="521" ht="60" customHeight="1">
      <c r="A521" s="3" t="inlineStr">
        <is>
          <t>MK-ST-F-056</t>
        </is>
      </c>
      <c r="B521" s="3" t="inlineStr">
        <is>
          <t>has</t>
        </is>
      </c>
      <c r="C521" s="3" t="inlineStr">
        <is>
          <t>Calculation Module code/engines/classify.ts</t>
        </is>
      </c>
      <c r="D521" s="3" t="n">
        <v>126</v>
      </c>
      <c r="E521" s="3" t="inlineStr">
        <is>
          <t>1 · ACTION</t>
        </is>
      </c>
      <c r="F521" s="3" t="inlineStr">
        <is>
          <t>NOT DETERMINED — the code carries no note saying what this is for, and it has no row in the old inventory. Needs reading.</t>
        </is>
      </c>
      <c r="G521" s="11" t="inlineStr">
        <is>
          <t>re.test(s)</t>
        </is>
      </c>
      <c r="H521" s="3" t="inlineStr">
        <is>
          <t>re.test(s)</t>
        </is>
      </c>
      <c r="I521" s="3" t="inlineStr">
        <is>
          <t>PARTLY READ — some of the code is still showing through; needs a hand pass</t>
        </is>
      </c>
      <c r="J521" s="3" t="inlineStr">
        <is>
          <t>1. s: string
2. re: RegExp</t>
        </is>
      </c>
      <c r="K521" s="3" t="inlineStr">
        <is>
          <t>NOT DECLARED — the code does not say what it gives back</t>
        </is>
      </c>
      <c r="L521" s="3" t="inlineStr">
        <is>
          <t>—</t>
        </is>
      </c>
      <c r="M521" s="3" t="inlineStr">
        <is>
          <t>None found in this function — anything it assumes comes from the functions it depends on.</t>
        </is>
      </c>
      <c r="N521" s="3" t="inlineStr">
        <is>
          <t>Yes</t>
        </is>
      </c>
      <c r="O521" s="3" t="inlineStr">
        <is>
          <t>—</t>
        </is>
      </c>
      <c r="P521" s="3" t="n">
        <v>0</v>
      </c>
      <c r="Q521" s="3" t="inlineStr">
        <is>
          <t>None — no dependent function stands behind it</t>
        </is>
      </c>
      <c r="R521" s="3" t="inlineStr">
        <is>
          <t>No dependent function — it reads its inputs and answers</t>
        </is>
      </c>
      <c r="S521" s="3" t="inlineStr">
        <is>
          <t>—</t>
        </is>
      </c>
      <c r="T521" s="3" t="inlineStr">
        <is>
          <t>—</t>
        </is>
      </c>
      <c r="U521" s="3" t="inlineStr">
        <is>
          <t>ACTIVE</t>
        </is>
      </c>
      <c r="V521" s="3" t="inlineStr">
        <is>
          <t>2026-08-27</t>
        </is>
      </c>
      <c r="W521" s="3" t="n"/>
      <c r="X521" s="3" t="n"/>
      <c r="Y521" s="3" t="inlineStr">
        <is>
          <t>NOTHING OPEN</t>
        </is>
      </c>
    </row>
    <row r="522" ht="60" customHeight="1">
      <c r="A522" s="3" t="inlineStr">
        <is>
          <t>MK-ST-F-057</t>
        </is>
      </c>
      <c r="B522" s="3" t="inlineStr">
        <is>
          <t>divRounded</t>
        </is>
      </c>
      <c r="C522" s="3" t="inlineStr">
        <is>
          <t>Calculation Module code/engines/decimal.ts</t>
        </is>
      </c>
      <c r="D522" s="3" t="n">
        <v>127</v>
      </c>
      <c r="E522" s="3" t="inlineStr">
        <is>
          <t>3 · DEPENDENT (feeds an action only)</t>
        </is>
      </c>
      <c r="F522" s="3" t="inlineStr">
        <is>
          <t>Round-half-even division on bigints.</t>
        </is>
      </c>
      <c r="G522" s="11" t="inlineStr">
        <is>
          <t>negative = (num &lt; 0n) ! = (den &lt; 0n)
n = -num   if num &lt; 0n
-den   if num, d = den &lt; 0n
den   otherwise   otherwise
q = n ÷ d, r = (n % d) × 2n
out = q
the answer:
-out   if negative
out   otherwise</t>
        </is>
      </c>
      <c r="H522" s="3" t="inlineStr">
        <is>
          <t>Negative is (num &lt; 0n) ! = (den &lt; 0n). N is -num — when num &lt; 0n; -den — when num, d = den &lt; 0n; den — otherwise — otherwise. Q is n divided by d, r = (n % d) times 2n. Out is q. The answer is -out — when negative; out — otherwise.</t>
        </is>
      </c>
      <c r="I522" s="3" t="inlineStr">
        <is>
          <t>READ FROM THE CODE — rendered from the expressions the function runs</t>
        </is>
      </c>
      <c r="J522" s="3" t="inlineStr">
        <is>
          <t>1. num: bigint
2. den: bigint</t>
        </is>
      </c>
      <c r="K522" s="3" t="inlineStr">
        <is>
          <t>bigint</t>
        </is>
      </c>
      <c r="L522" s="3" t="inlineStr">
        <is>
          <t>—</t>
        </is>
      </c>
      <c r="M522" s="3" t="inlineStr">
        <is>
          <t>None found in this function — anything it assumes comes from the functions it depends on.</t>
        </is>
      </c>
      <c r="N522" s="3" t="inlineStr">
        <is>
          <t>No</t>
        </is>
      </c>
      <c r="O522" s="3" t="inlineStr">
        <is>
          <t>—</t>
        </is>
      </c>
      <c r="P522" s="3" t="n">
        <v>0</v>
      </c>
      <c r="Q522" s="3" t="inlineStr">
        <is>
          <t>None — no dependent function stands behind it</t>
        </is>
      </c>
      <c r="R522" s="3" t="inlineStr">
        <is>
          <t>No dependent function — it reads its inputs and answers</t>
        </is>
      </c>
      <c r="S522" s="3" t="inlineStr">
        <is>
          <t>—</t>
        </is>
      </c>
      <c r="T522" s="3" t="inlineStr">
        <is>
          <t>—</t>
        </is>
      </c>
      <c r="U522" s="3" t="inlineStr">
        <is>
          <t>ACTIVE</t>
        </is>
      </c>
      <c r="V522" s="3" t="inlineStr">
        <is>
          <t>2026-08-27</t>
        </is>
      </c>
      <c r="W522" s="3" t="n"/>
      <c r="X522" s="3" t="n"/>
      <c r="Y522" s="3" t="inlineStr">
        <is>
          <t>NOTHING OPEN</t>
        </is>
      </c>
    </row>
    <row r="523" ht="60" customHeight="1">
      <c r="A523" s="3" t="inlineStr">
        <is>
          <t>MK-ST-F-058</t>
        </is>
      </c>
      <c r="B523" s="3" t="inlineStr">
        <is>
          <t>numberOrUndefined</t>
        </is>
      </c>
      <c r="C523" s="3" t="inlineStr">
        <is>
          <t>Calculation Module code/engines/ledger.ts</t>
        </is>
      </c>
      <c r="D523" s="3" t="n">
        <v>381</v>
      </c>
      <c r="E523" s="3" t="inlineStr">
        <is>
          <t>3 · DEPENDENT (feeds an action only)</t>
        </is>
      </c>
      <c r="F523" s="3" t="inlineStr">
        <is>
          <t>NOT DETERMINED — the code carries no note saying what this is for, and it has no row in the old inventory. Needs reading.</t>
        </is>
      </c>
      <c r="G523" s="11" t="inlineStr">
        <is>
          <t>n = v   if v is a number
na n   if v = nothing
parse float(string(v).replace( ÷ [$,\s] ÷ g, ''))   otherwise   otherwise
the answer:
n   if number.is finite(n)
undefined   otherwise</t>
        </is>
      </c>
      <c r="H523" s="3" t="inlineStr">
        <is>
          <t>N is v — when v is a number; na n — when v is missing; parse float(string(v).replace( divided by [$,\s] divided by g, '')) — otherwise — otherwise. The answer is n — when number.is finite(n); undefined — otherwise.</t>
        </is>
      </c>
      <c r="I523" s="3" t="inlineStr">
        <is>
          <t>PARTLY READ — some of the code is still showing through; needs a hand pass</t>
        </is>
      </c>
      <c r="J523" s="3" t="inlineStr">
        <is>
          <t>v: unknown</t>
        </is>
      </c>
      <c r="K523" s="3" t="inlineStr">
        <is>
          <t>number | undefined</t>
        </is>
      </c>
      <c r="L523" s="3" t="inlineStr">
        <is>
          <t>—</t>
        </is>
      </c>
      <c r="M523" s="3" t="inlineStr">
        <is>
          <t>None found in this function — anything it assumes comes from the functions it depends on.</t>
        </is>
      </c>
      <c r="N523" s="3" t="inlineStr">
        <is>
          <t>No</t>
        </is>
      </c>
      <c r="O523" s="3" t="inlineStr">
        <is>
          <t>MK-XS-F-122 n</t>
        </is>
      </c>
      <c r="P523" s="3" t="n">
        <v>1</v>
      </c>
      <c r="Q523" s="3" t="inlineStr">
        <is>
          <t>MK-XS-F-122 n</t>
        </is>
      </c>
      <c r="R523" s="3" t="inlineStr">
        <is>
          <t>MK-XS-F-122 n → MK-ST-F-058 numberOrUndefined</t>
        </is>
      </c>
      <c r="S523" s="3" t="inlineStr">
        <is>
          <t>—</t>
        </is>
      </c>
      <c r="T523" s="3" t="inlineStr">
        <is>
          <t>—</t>
        </is>
      </c>
      <c r="U523" s="3" t="inlineStr">
        <is>
          <t>ACTIVE</t>
        </is>
      </c>
      <c r="V523" s="3" t="inlineStr">
        <is>
          <t>2026-08-27</t>
        </is>
      </c>
      <c r="W523" s="3" t="n"/>
      <c r="X523" s="3" t="n"/>
      <c r="Y523" s="3" t="inlineStr">
        <is>
          <t>NOTHING OPEN</t>
        </is>
      </c>
    </row>
    <row r="524" ht="60" customHeight="1">
      <c r="A524" s="3" t="inlineStr">
        <is>
          <t>MK-ST-F-059</t>
        </is>
      </c>
      <c r="B524" s="3" t="inlineStr">
        <is>
          <t>round8</t>
        </is>
      </c>
      <c r="C524" s="3" t="inlineStr">
        <is>
          <t>Calculation Module code/engines/ledger.ts</t>
        </is>
      </c>
      <c r="D524" s="3" t="n">
        <v>403</v>
      </c>
      <c r="E524" s="3" t="inlineStr">
        <is>
          <t>1 · ACTION</t>
        </is>
      </c>
      <c r="F524" s="3" t="inlineStr">
        <is>
          <t>NOT DETERMINED — the code carries no note saying what this is for, and it has no row in the old inventory. Needs reading.</t>
        </is>
      </c>
      <c r="G524" s="11" t="inlineStr">
        <is>
          <t>round(n × 1e8) ÷ 1e8</t>
        </is>
      </c>
      <c r="H524" s="3" t="inlineStr">
        <is>
          <t>n times 1e8, to a whole number divided by 1e8</t>
        </is>
      </c>
      <c r="I524" s="3" t="inlineStr">
        <is>
          <t>READ FROM THE CODE — rendered from the expressions the function runs</t>
        </is>
      </c>
      <c r="J524" s="3" t="inlineStr">
        <is>
          <t>n: number</t>
        </is>
      </c>
      <c r="K524" s="3" t="inlineStr">
        <is>
          <t>NOT DECLARED — the code does not say what it gives back</t>
        </is>
      </c>
      <c r="L524" s="3" t="inlineStr">
        <is>
          <t>—</t>
        </is>
      </c>
      <c r="M524" s="3" t="inlineStr">
        <is>
          <t>· Rounds the answer to 8 decimal places.</t>
        </is>
      </c>
      <c r="N524" s="3" t="inlineStr">
        <is>
          <t>No</t>
        </is>
      </c>
      <c r="O524" s="3" t="inlineStr">
        <is>
          <t>—</t>
        </is>
      </c>
      <c r="P524" s="3" t="n">
        <v>0</v>
      </c>
      <c r="Q524" s="3" t="inlineStr">
        <is>
          <t>None — no dependent function stands behind it</t>
        </is>
      </c>
      <c r="R524" s="3" t="inlineStr">
        <is>
          <t>No dependent function — it reads its inputs and answers</t>
        </is>
      </c>
      <c r="S524" s="3" t="inlineStr">
        <is>
          <t>—</t>
        </is>
      </c>
      <c r="T524" s="3" t="inlineStr">
        <is>
          <t>—</t>
        </is>
      </c>
      <c r="U524" s="3" t="inlineStr">
        <is>
          <t>ACTIVE</t>
        </is>
      </c>
      <c r="V524" s="3" t="inlineStr">
        <is>
          <t>2026-08-27</t>
        </is>
      </c>
      <c r="W524" s="3" t="n"/>
      <c r="X524" s="3" t="n"/>
      <c r="Y524" s="3" t="inlineStr">
        <is>
          <t>NOTHING OPEN</t>
        </is>
      </c>
    </row>
    <row r="525" ht="60" customHeight="1">
      <c r="A525" s="3" t="inlineStr">
        <is>
          <t>MK-ST-F-060</t>
        </is>
      </c>
      <c r="B525" s="3" t="inlineStr">
        <is>
          <t>verdict</t>
        </is>
      </c>
      <c r="C525" s="3" t="inlineStr">
        <is>
          <t>Calculation Module code/engines/reconcile.ts</t>
        </is>
      </c>
      <c r="D525" s="3" t="n">
        <v>50</v>
      </c>
      <c r="E525" s="3" t="inlineStr">
        <is>
          <t>2 · DISPLAYED</t>
        </is>
      </c>
      <c r="F525" s="3" t="inlineStr">
        <is>
          <t>NOT DETERMINED — the code carries no note saying what this is for, and it has no row in the old inventory. Needs reading.</t>
        </is>
      </c>
      <c r="G525" s="11" t="inlineStr">
        <is>
          <t>difference = computed.sub(stated)</t>
        </is>
      </c>
      <c r="H525" s="3" t="inlineStr">
        <is>
          <t>Difference is computed.sub(stated).</t>
        </is>
      </c>
      <c r="I525" s="3" t="inlineStr">
        <is>
          <t>PARTLY READ — some of the code is still showing through; needs a hand pass</t>
        </is>
      </c>
      <c r="J525" s="3" t="inlineStr">
        <is>
          <t>1. computed: Dec
2. stated: Dec
3. what: string</t>
        </is>
      </c>
      <c r="K525" s="3" t="inlineStr">
        <is>
          <t>Reconciliation</t>
        </is>
      </c>
      <c r="L525" s="3" t="inlineStr">
        <is>
          <t>NOT FOUND — a screen calls it, but the words printed beside its answer could not be traced automatically. Needs reading.</t>
        </is>
      </c>
      <c r="M525" s="3" t="inlineStr">
        <is>
          <t>None found in this function — anything it assumes comes from the functions it depends on.</t>
        </is>
      </c>
      <c r="N525" s="3" t="inlineStr">
        <is>
          <t>Yes</t>
        </is>
      </c>
      <c r="O525" s="3" t="inlineStr">
        <is>
          <t>—</t>
        </is>
      </c>
      <c r="P525" s="3" t="n">
        <v>0</v>
      </c>
      <c r="Q525" s="3" t="inlineStr">
        <is>
          <t>None — no dependent function stands behind it</t>
        </is>
      </c>
      <c r="R525" s="3" t="inlineStr">
        <is>
          <t>No dependent function — it reads its inputs and answers</t>
        </is>
      </c>
      <c r="S525" s="3" t="inlineStr">
        <is>
          <t>—</t>
        </is>
      </c>
      <c r="T525" s="3" t="inlineStr">
        <is>
          <t>—</t>
        </is>
      </c>
      <c r="U525" s="3" t="inlineStr">
        <is>
          <t>ACTIVE</t>
        </is>
      </c>
      <c r="V525" s="3" t="inlineStr">
        <is>
          <t>2026-08-27</t>
        </is>
      </c>
      <c r="W525" s="3" t="n"/>
      <c r="X525" s="3" t="n"/>
      <c r="Y525" s="3" t="inlineStr">
        <is>
          <t>NOTHING OPEN</t>
        </is>
      </c>
    </row>
    <row r="526" ht="60" customHeight="1">
      <c r="A526" s="3" t="inlineStr">
        <is>
          <t>MK-ST-F-061</t>
        </is>
      </c>
      <c r="B526" s="3" t="inlineStr">
        <is>
          <t>isMonthEnd</t>
        </is>
      </c>
      <c r="C526" s="3" t="inlineStr">
        <is>
          <t>Calculation Module code/engines/snapshots.ts</t>
        </is>
      </c>
      <c r="D526" s="3" t="n">
        <v>296</v>
      </c>
      <c r="E526" s="3" t="inlineStr">
        <is>
          <t>3 · DEPENDENT (feeds an action only)</t>
        </is>
      </c>
      <c r="F526" s="3" t="inlineStr">
        <is>
          <t>NOT DETERMINED — the code carries no note saying what this is for, and it has no row in the old inventory. Needs reading.</t>
        </is>
      </c>
      <c r="G526" s="11" t="inlineStr">
        <is>
          <t>last = the date y, m, 0).get date(
false   when the first 7)}-${string(d).pad start(2, '0')}` of all dates.has(`${date
the answer = true</t>
        </is>
      </c>
      <c r="H526" s="3" t="inlineStr">
        <is>
          <t>Last: the date y, m, 0).get date(. When the first 7)}-${string(d).pad start(2, '0')}` of all dates.has(`${date, it answers false. The answer is true.</t>
        </is>
      </c>
      <c r="I526" s="3" t="inlineStr">
        <is>
          <t>PARTLY READ — some of the code is still showing through; needs a hand pass</t>
        </is>
      </c>
      <c r="J526" s="3" t="inlineStr">
        <is>
          <t>1. date: string
2. allDates: Set&lt;string&gt;</t>
        </is>
      </c>
      <c r="K526" s="3" t="inlineStr">
        <is>
          <t>boolean</t>
        </is>
      </c>
      <c r="L526" s="3" t="inlineStr">
        <is>
          <t>—</t>
        </is>
      </c>
      <c r="M526" s="3" t="inlineStr">
        <is>
          <t>None found in this function — anything it assumes comes from the functions it depends on.</t>
        </is>
      </c>
      <c r="N526" s="3" t="inlineStr">
        <is>
          <t>No</t>
        </is>
      </c>
      <c r="O526" s="3" t="inlineStr">
        <is>
          <t>1. MK-ST-F-056 has
2. MK-CF-F-132 map</t>
        </is>
      </c>
      <c r="P526" s="3" t="n">
        <v>2</v>
      </c>
      <c r="Q526" s="3" t="inlineStr">
        <is>
          <t>1. MK-ST-F-056 has
2. MK-CF-F-132 map</t>
        </is>
      </c>
      <c r="R526" s="3" t="inlineStr">
        <is>
          <t>1. MK-ST-F-056 has → MK-ST-F-061 isMonthEnd
2. MK-CF-F-132 map → MK-ST-F-061 isMonthEnd</t>
        </is>
      </c>
      <c r="S526" s="3" t="inlineStr">
        <is>
          <t>—</t>
        </is>
      </c>
      <c r="T526" s="3" t="inlineStr">
        <is>
          <t>—</t>
        </is>
      </c>
      <c r="U526" s="3" t="inlineStr">
        <is>
          <t>ACTIVE</t>
        </is>
      </c>
      <c r="V526" s="3" t="inlineStr">
        <is>
          <t>2026-08-27</t>
        </is>
      </c>
      <c r="W526" s="3" t="n"/>
      <c r="X526" s="3" t="n"/>
      <c r="Y526" s="3" t="inlineStr">
        <is>
          <t>NOTHING OPEN</t>
        </is>
      </c>
    </row>
    <row r="527" ht="60" customHeight="1">
      <c r="A527" s="3" t="inlineStr">
        <is>
          <t>MK-ST-F-062</t>
        </is>
      </c>
      <c r="B527" s="3" t="inlineStr">
        <is>
          <t>toUtc</t>
        </is>
      </c>
      <c r="C527" s="3" t="inlineStr">
        <is>
          <t>Calculation Module code/engines/window-return.ts</t>
        </is>
      </c>
      <c r="D527" s="3" t="n">
        <v>35</v>
      </c>
      <c r="E527" s="3" t="inlineStr">
        <is>
          <t>1 · ACTION</t>
        </is>
      </c>
      <c r="F527" s="3" t="inlineStr">
        <is>
          <t>NOT DETERMINED — the code carries no note saying what this is for, and it has no row in the old inventory. Needs reading.</t>
        </is>
      </c>
      <c r="G527" s="11" t="inlineStr">
        <is>
          <t>the answer = the milliseconds since 1970 of the date at midnight UTC</t>
        </is>
      </c>
      <c r="H527" s="3" t="inlineStr">
        <is>
          <t>A 'YYYY-MM-DD' text as a moment in time at midnight UTC, so day arithmetic is unaffected by the device's timezone.</t>
        </is>
      </c>
      <c r="I527" s="3" t="inlineStr">
        <is>
          <t>READ BY HAND 2026-08-26 — checked line by line against the code</t>
        </is>
      </c>
      <c r="J527" s="3" t="inlineStr">
        <is>
          <t>d: string</t>
        </is>
      </c>
      <c r="K527" s="3" t="inlineStr">
        <is>
          <t>00:00Z`);</t>
        </is>
      </c>
      <c r="L527" s="3" t="inlineStr">
        <is>
          <t>—</t>
        </is>
      </c>
      <c r="M527" s="3" t="inlineStr">
        <is>
          <t>None found in this function — anything it assumes comes from the functions it depends on.</t>
        </is>
      </c>
      <c r="N527" s="3" t="inlineStr">
        <is>
          <t>Yes</t>
        </is>
      </c>
      <c r="O527" s="3" t="inlineStr">
        <is>
          <t>—</t>
        </is>
      </c>
      <c r="P527" s="3" t="n">
        <v>0</v>
      </c>
      <c r="Q527" s="3" t="inlineStr">
        <is>
          <t>None — no dependent function stands behind it</t>
        </is>
      </c>
      <c r="R527" s="3" t="inlineStr">
        <is>
          <t>No dependent function — it reads its inputs and answers</t>
        </is>
      </c>
      <c r="S527" s="3" t="inlineStr">
        <is>
          <t>—</t>
        </is>
      </c>
      <c r="T527" s="3" t="inlineStr">
        <is>
          <t>—</t>
        </is>
      </c>
      <c r="U527" s="3" t="inlineStr">
        <is>
          <t>ACTIVE</t>
        </is>
      </c>
      <c r="V527" s="3" t="inlineStr">
        <is>
          <t>2026-09-12</t>
        </is>
      </c>
      <c r="W527" s="3" t="n"/>
      <c r="X527" s="3" t="n"/>
      <c r="Y527" s="3" t="inlineStr">
        <is>
          <t>NOTHING OPEN</t>
        </is>
      </c>
    </row>
    <row r="528" ht="60" customHeight="1">
      <c r="A528" s="3" t="inlineStr">
        <is>
          <t>MK-ST-F-063</t>
        </is>
      </c>
      <c r="B528" s="3" t="inlineStr">
        <is>
          <t>shiftDay</t>
        </is>
      </c>
      <c r="C528" s="3" t="inlineStr">
        <is>
          <t>Calculation Module code/engines/window-return.ts</t>
        </is>
      </c>
      <c r="D528" s="3" t="n">
        <v>56</v>
      </c>
      <c r="E528" s="3" t="inlineStr">
        <is>
          <t>1 · ACTION</t>
        </is>
      </c>
      <c r="F528" s="3" t="inlineStr">
        <is>
          <t>NOT DETERMINED — the code carries no note saying what this is for, and it has no row in the old inventory. Needs reading.</t>
        </is>
      </c>
      <c r="G528" s="11" t="inlineStr">
        <is>
          <t>the first 10 of the date to utc(d) + by × day ms).to isostring(</t>
        </is>
      </c>
      <c r="H528" s="3" t="inlineStr">
        <is>
          <t>the first 10 of the date to utc(d) plus by times day ms).to isostring(</t>
        </is>
      </c>
      <c r="I528" s="3" t="inlineStr">
        <is>
          <t>PARTLY READ — some of the code is still showing through; needs a hand pass</t>
        </is>
      </c>
      <c r="J528" s="3" t="inlineStr">
        <is>
          <t>1. d: string
2. by: number</t>
        </is>
      </c>
      <c r="K528" s="3" t="inlineStr">
        <is>
          <t>NOT DECLARED — the code does not say what it gives back</t>
        </is>
      </c>
      <c r="L528" s="3" t="inlineStr">
        <is>
          <t>—</t>
        </is>
      </c>
      <c r="M528" s="3" t="inlineStr">
        <is>
          <t>None found in this function — anything it assumes comes from the functions it depends on.</t>
        </is>
      </c>
      <c r="N528" s="3" t="inlineStr">
        <is>
          <t>Yes</t>
        </is>
      </c>
      <c r="O528" s="3" t="inlineStr">
        <is>
          <t>MK-ST-F-062 toUtc</t>
        </is>
      </c>
      <c r="P528" s="3" t="n">
        <v>1</v>
      </c>
      <c r="Q528" s="3" t="inlineStr">
        <is>
          <t>MK-ST-F-062 toUtc</t>
        </is>
      </c>
      <c r="R528" s="3" t="inlineStr">
        <is>
          <t>MK-ST-F-062 toUtc → MK-ST-F-063 shiftDay</t>
        </is>
      </c>
      <c r="S528" s="3" t="inlineStr">
        <is>
          <t>—</t>
        </is>
      </c>
      <c r="T528" s="3" t="inlineStr">
        <is>
          <t>—</t>
        </is>
      </c>
      <c r="U528" s="3" t="inlineStr">
        <is>
          <t>ACTIVE</t>
        </is>
      </c>
      <c r="V528" s="3" t="inlineStr">
        <is>
          <t>2026-08-27</t>
        </is>
      </c>
      <c r="W528" s="3" t="n"/>
      <c r="X528" s="3" t="n"/>
      <c r="Y528" s="3" t="inlineStr">
        <is>
          <t>NOTHING OPEN</t>
        </is>
      </c>
    </row>
    <row r="529" ht="60" customHeight="1">
      <c r="A529" s="3" t="inlineStr">
        <is>
          <t>MK-ST-F-065</t>
        </is>
      </c>
      <c r="B529" s="3" t="inlineStr">
        <is>
          <t>isoLocalDate</t>
        </is>
      </c>
      <c r="C529" s="3" t="inlineStr">
        <is>
          <t>src/domain/_shared/dates.ts</t>
        </is>
      </c>
      <c r="D529" s="3" t="n">
        <v>38</v>
      </c>
      <c r="E529" s="3" t="inlineStr">
        <is>
          <t>2 · DISPLAYED</t>
        </is>
      </c>
      <c r="F529" s="3" t="inlineStr">
        <is>
          <t>THE DATE A PERSON IS LIVING IN, not the one UTC is.</t>
        </is>
      </c>
      <c r="G529" s="11" t="inlineStr">
        <is>
          <t>`${get full year()}-${string(get month() + 1).pad start(2, '0')}-${string(get date()).pad start(2, '0')}`</t>
        </is>
      </c>
      <c r="H529" s="3" t="inlineStr">
        <is>
          <t>`${get full year()}-${string(get month() plus 1).pad start(2, '0')}-${string(get date()).pad start(2, '0')}`.</t>
        </is>
      </c>
      <c r="I529" s="3" t="inlineStr">
        <is>
          <t>PARTLY READ — some of the code is still showing through; needs a hand pass</t>
        </is>
      </c>
      <c r="J529" s="3" t="inlineStr">
        <is>
          <t>d: Date</t>
        </is>
      </c>
      <c r="K529" s="3" t="inlineStr">
        <is>
          <t>string</t>
        </is>
      </c>
      <c r="L529" s="3" t="inlineStr">
        <is>
          <t>1. "Date (opt)" — on the Performance screen
2. "Nothing needs you today — nice." — on the Home screen, under "CHIEF OF STAFF — WHAT NEEDS YOU $"
3. "Performance" — on the Performance screen</t>
        </is>
      </c>
      <c r="M529" s="3" t="inlineStr">
        <is>
          <t>None found in this function — anything it assumes comes from the functions it depends on.</t>
        </is>
      </c>
      <c r="N529" s="3" t="inlineStr">
        <is>
          <t>Yes</t>
        </is>
      </c>
      <c r="O529" s="3" t="inlineStr">
        <is>
          <t>—</t>
        </is>
      </c>
      <c r="P529" s="3" t="n">
        <v>0</v>
      </c>
      <c r="Q529" s="3" t="inlineStr">
        <is>
          <t>None — no dependent function stands behind it</t>
        </is>
      </c>
      <c r="R529" s="3" t="inlineStr">
        <is>
          <t>No dependent function — it reads its inputs and answers</t>
        </is>
      </c>
      <c r="S529" s="3" t="inlineStr">
        <is>
          <t>—</t>
        </is>
      </c>
      <c r="T529" s="3" t="inlineStr">
        <is>
          <t>—</t>
        </is>
      </c>
      <c r="U529" s="3" t="inlineStr">
        <is>
          <t>ACTIVE</t>
        </is>
      </c>
      <c r="V529" s="3" t="inlineStr">
        <is>
          <t>2026-08-27</t>
        </is>
      </c>
      <c r="W529" s="3" t="n"/>
      <c r="X529" s="3" t="n"/>
      <c r="Y529" s="3" t="inlineStr">
        <is>
          <t>NOTHING OPEN</t>
        </is>
      </c>
    </row>
    <row r="530" ht="60" customHeight="1">
      <c r="A530" s="3" t="inlineStr">
        <is>
          <t>MK-ST-F-066</t>
        </is>
      </c>
      <c r="B530" s="3" t="inlineStr">
        <is>
          <t>isDayKey</t>
        </is>
      </c>
      <c r="C530" s="3" t="inlineStr">
        <is>
          <t>Calculation Module code/engines/rebuild-history.ts</t>
        </is>
      </c>
      <c r="D530" s="3" t="n">
        <v>72</v>
      </c>
      <c r="E530" s="3" t="inlineStr">
        <is>
          <t>1 · ACTION</t>
        </is>
      </c>
      <c r="F530" s="3" t="inlineStr">
        <is>
          <t>NOT DETERMINED — the code carries no note saying what this is for, and it has no row in the old inventory. Needs reading.</t>
        </is>
      </c>
      <c r="G530" s="11" t="inlineStr">
        <is>
          <t>NOT READ YET — the body is not a shape this can render faithfully, so nothing is claimed rather than something being guessed. It needs reading by hand.</t>
        </is>
      </c>
      <c r="H530" s="3" t="inlineStr">
        <is>
          <t>NOT READ YET — the body is not a shape this can render faithfully, so nothing is claimed rather than something being guessed. It needs reading by hand.</t>
        </is>
      </c>
      <c r="I530" s="3" t="inlineStr">
        <is>
          <t>NOT READ — nothing is claimed rather than something guessed</t>
        </is>
      </c>
      <c r="J530" s="3" t="inlineStr">
        <is>
          <t>d: unknown</t>
        </is>
      </c>
      <c r="K530" s="3" t="inlineStr">
        <is>
          <t>d is string</t>
        </is>
      </c>
      <c r="L530" s="3" t="inlineStr">
        <is>
          <t>—</t>
        </is>
      </c>
      <c r="M530" s="3" t="inlineStr">
        <is>
          <t>None found in this function — anything it assumes comes from the functions it depends on.</t>
        </is>
      </c>
      <c r="N530" s="3" t="inlineStr">
        <is>
          <t>Yes</t>
        </is>
      </c>
      <c r="O530" s="3" t="inlineStr">
        <is>
          <t>—</t>
        </is>
      </c>
      <c r="P530" s="3" t="n">
        <v>0</v>
      </c>
      <c r="Q530" s="3" t="inlineStr">
        <is>
          <t>None — no dependent function stands behind it</t>
        </is>
      </c>
      <c r="R530" s="3" t="inlineStr">
        <is>
          <t>No dependent function — it reads its inputs and answers</t>
        </is>
      </c>
      <c r="S530" s="3" t="inlineStr">
        <is>
          <t>—</t>
        </is>
      </c>
      <c r="T530" s="3" t="inlineStr">
        <is>
          <t>—</t>
        </is>
      </c>
      <c r="U530" s="3" t="inlineStr">
        <is>
          <t>ACTIVE</t>
        </is>
      </c>
      <c r="V530" s="3" t="inlineStr">
        <is>
          <t>2026-09-25</t>
        </is>
      </c>
      <c r="W530" s="3" t="n"/>
      <c r="X530" s="3" t="n"/>
      <c r="Y530" s="3" t="inlineStr">
        <is>
          <t>NOTHING OPEN</t>
        </is>
      </c>
    </row>
    <row r="531" ht="60" customHeight="1">
      <c r="A531" s="3" t="inlineStr">
        <is>
          <t>MK-ST-F-067</t>
        </is>
      </c>
      <c r="B531" s="3" t="inlineStr">
        <is>
          <t>utcOfDay</t>
        </is>
      </c>
      <c r="C531" s="3" t="inlineStr">
        <is>
          <t>Calculation Module code/engines/rebuild-history.ts</t>
        </is>
      </c>
      <c r="D531" s="3" t="n">
        <v>100</v>
      </c>
      <c r="E531" s="3" t="inlineStr">
        <is>
          <t>1 · ACTION</t>
        </is>
      </c>
      <c r="F531" s="3" t="inlineStr">
        <is>
          <t>NOT DETERMINED — the code carries no note saying what this is for, and it has no row in the old inventory. Needs reading.</t>
        </is>
      </c>
      <c r="G531" s="11" t="inlineStr">
        <is>
          <t>the first 4), +slice(5, 7) − 1, +slice(8, 10) of date.UTC(+d</t>
        </is>
      </c>
      <c r="H531" s="3" t="inlineStr">
        <is>
          <t>the first 4), +slice(5, 7) minus 1, +slice(8, 10) of date.UTC(+d</t>
        </is>
      </c>
      <c r="I531" s="3" t="inlineStr">
        <is>
          <t>PARTLY READ — some of the code is still showing through; needs a hand pass</t>
        </is>
      </c>
      <c r="J531" s="3" t="inlineStr">
        <is>
          <t>d: string</t>
        </is>
      </c>
      <c r="K531" s="3" t="inlineStr">
        <is>
          <t>NOT DECLARED — the code does not say what it gives back</t>
        </is>
      </c>
      <c r="L531" s="3" t="inlineStr">
        <is>
          <t>—</t>
        </is>
      </c>
      <c r="M531" s="3" t="inlineStr">
        <is>
          <t>None found in this function — anything it assumes comes from the functions it depends on.</t>
        </is>
      </c>
      <c r="N531" s="3" t="inlineStr">
        <is>
          <t>Yes</t>
        </is>
      </c>
      <c r="O531" s="3" t="inlineStr">
        <is>
          <t>—</t>
        </is>
      </c>
      <c r="P531" s="3" t="n">
        <v>0</v>
      </c>
      <c r="Q531" s="3" t="inlineStr">
        <is>
          <t>None — no dependent function stands behind it</t>
        </is>
      </c>
      <c r="R531" s="3" t="inlineStr">
        <is>
          <t>No dependent function — it reads its inputs and answers</t>
        </is>
      </c>
      <c r="S531" s="3" t="inlineStr">
        <is>
          <t>—</t>
        </is>
      </c>
      <c r="T531" s="3" t="inlineStr">
        <is>
          <t>—</t>
        </is>
      </c>
      <c r="U531" s="3" t="inlineStr">
        <is>
          <t>ACTIVE</t>
        </is>
      </c>
      <c r="V531" s="3" t="inlineStr">
        <is>
          <t>2026-09-25</t>
        </is>
      </c>
      <c r="W531" s="3" t="n"/>
      <c r="X531" s="3" t="n"/>
      <c r="Y531" s="3" t="inlineStr">
        <is>
          <t>NOTHING OPEN</t>
        </is>
      </c>
    </row>
    <row r="532" ht="60" customHeight="1">
      <c r="A532" s="3" t="inlineStr">
        <is>
          <t>MK-ST-F-068</t>
        </is>
      </c>
      <c r="B532" s="3" t="inlineStr">
        <is>
          <t>stepDay</t>
        </is>
      </c>
      <c r="C532" s="3" t="inlineStr">
        <is>
          <t>Calculation Module code/engines/rebuild-history.ts</t>
        </is>
      </c>
      <c r="D532" s="3" t="n">
        <v>128</v>
      </c>
      <c r="E532" s="3" t="inlineStr">
        <is>
          <t>1 · ACTION</t>
        </is>
      </c>
      <c r="F532" s="3" t="inlineStr">
        <is>
          <t>NOT DETERMINED — the code carries no note saying what this is for, and it has no row in the old inventory. Needs reading.</t>
        </is>
      </c>
      <c r="G532" s="11" t="inlineStr">
        <is>
          <t>the first 10 of the date utc of day(d) + days × DAY).to isostring(</t>
        </is>
      </c>
      <c r="H532" s="3" t="inlineStr">
        <is>
          <t>the first 10 of the date utc of day(d) plus days times DAY).to isostring(</t>
        </is>
      </c>
      <c r="I532" s="3" t="inlineStr">
        <is>
          <t>PARTLY READ — some of the code is still showing through; needs a hand pass</t>
        </is>
      </c>
      <c r="J532" s="3" t="inlineStr">
        <is>
          <t>1. d: string
2. days: number</t>
        </is>
      </c>
      <c r="K532" s="3" t="inlineStr">
        <is>
          <t>NOT DECLARED — the code does not say what it gives back</t>
        </is>
      </c>
      <c r="L532" s="3" t="inlineStr">
        <is>
          <t>—</t>
        </is>
      </c>
      <c r="M532" s="3" t="inlineStr">
        <is>
          <t>None found in this function — anything it assumes comes from the functions it depends on.</t>
        </is>
      </c>
      <c r="N532" s="3" t="inlineStr">
        <is>
          <t>Yes</t>
        </is>
      </c>
      <c r="O532" s="3" t="inlineStr">
        <is>
          <t>MK-ST-F-067 utcOfDay</t>
        </is>
      </c>
      <c r="P532" s="3" t="n">
        <v>1</v>
      </c>
      <c r="Q532" s="3" t="inlineStr">
        <is>
          <t>MK-ST-F-067 utcOfDay</t>
        </is>
      </c>
      <c r="R532" s="3" t="inlineStr">
        <is>
          <t>MK-ST-F-067 utcOfDay → MK-ST-F-068 stepDay</t>
        </is>
      </c>
      <c r="S532" s="3" t="inlineStr">
        <is>
          <t>—</t>
        </is>
      </c>
      <c r="T532" s="3" t="inlineStr">
        <is>
          <t>—</t>
        </is>
      </c>
      <c r="U532" s="3" t="inlineStr">
        <is>
          <t>ACTIVE</t>
        </is>
      </c>
      <c r="V532" s="3" t="inlineStr">
        <is>
          <t>2026-09-25</t>
        </is>
      </c>
      <c r="W532" s="3" t="n"/>
      <c r="X532" s="3" t="n"/>
      <c r="Y532" s="3" t="inlineStr">
        <is>
          <t>NOTHING OPEN</t>
        </is>
      </c>
    </row>
    <row r="533" ht="60" customHeight="1">
      <c r="A533" s="3" t="inlineStr">
        <is>
          <t>MK-ST-F-069</t>
        </is>
      </c>
      <c r="B533" s="3" t="inlineStr">
        <is>
          <t>amountOf</t>
        </is>
      </c>
      <c r="C533" s="3" t="inlineStr">
        <is>
          <t>Calculation Module code/engines/rebuild-history.ts</t>
        </is>
      </c>
      <c r="D533" s="3" t="n">
        <v>157</v>
      </c>
      <c r="E533" s="3" t="inlineStr">
        <is>
          <t>1 · ACTION</t>
        </is>
      </c>
      <c r="F533" s="3" t="inlineStr">
        <is>
          <t>NOT DETERMINED — the code carries no note saying what this is for, and it has no row in the old inventory. Needs reading.</t>
        </is>
      </c>
      <c r="G533" s="11" t="inlineStr">
        <is>
          <t>v   if typeof v = 'number' and number.is finite(v)
0   otherwise</t>
        </is>
      </c>
      <c r="H533" s="3" t="inlineStr">
        <is>
          <t>v — when typeof v = 'number' and number.is finite(v); 0 — otherwise</t>
        </is>
      </c>
      <c r="I533" s="3" t="inlineStr">
        <is>
          <t>PARTLY READ — some of the code is still showing through; needs a hand pass</t>
        </is>
      </c>
      <c r="J533" s="3" t="inlineStr">
        <is>
          <t>v: unknown</t>
        </is>
      </c>
      <c r="K533" s="3" t="inlineStr">
        <is>
          <t>0);</t>
        </is>
      </c>
      <c r="L533"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33" s="3" t="inlineStr">
        <is>
          <t>None found in this function — anything it assumes comes from the functions it depends on.</t>
        </is>
      </c>
      <c r="N533" s="3" t="inlineStr">
        <is>
          <t>Yes</t>
        </is>
      </c>
      <c r="O533" s="3" t="inlineStr">
        <is>
          <t>—</t>
        </is>
      </c>
      <c r="P533" s="3" t="n">
        <v>0</v>
      </c>
      <c r="Q533" s="3" t="inlineStr">
        <is>
          <t>None — no dependent function stands behind it</t>
        </is>
      </c>
      <c r="R533" s="3" t="inlineStr">
        <is>
          <t>No dependent function — it reads its inputs and answers</t>
        </is>
      </c>
      <c r="S533" s="3" t="inlineStr">
        <is>
          <t>—</t>
        </is>
      </c>
      <c r="T533" s="3" t="inlineStr">
        <is>
          <t>—</t>
        </is>
      </c>
      <c r="U533" s="3" t="inlineStr">
        <is>
          <t>ACTIVE</t>
        </is>
      </c>
      <c r="V533" s="3" t="inlineStr">
        <is>
          <t>2026-09-28</t>
        </is>
      </c>
      <c r="W533" s="3" t="n"/>
      <c r="X533" s="3" t="n"/>
      <c r="Y533" s="3" t="inlineStr">
        <is>
          <t>NOTHING OPEN</t>
        </is>
      </c>
    </row>
    <row r="534" ht="45" customHeight="1">
      <c r="A534" s="3" t="inlineStr">
        <is>
          <t>MK-ST-F-070</t>
        </is>
      </c>
      <c r="B534" s="3" t="inlineStr">
        <is>
          <t>isOpening</t>
        </is>
      </c>
      <c r="C534" s="3" t="inlineStr">
        <is>
          <t>Calculation Module code/engines/rebuild-history.ts</t>
        </is>
      </c>
      <c r="D534" s="3" t="n">
        <v>188</v>
      </c>
      <c r="E534" s="3" t="inlineStr">
        <is>
          <t>1 · ACTION</t>
        </is>
      </c>
      <c r="F534" s="3" t="inlineStr">
        <is>
          <t>An opening row is the first capture of something that already existed — proof that the records do NOT reach behind it.</t>
        </is>
      </c>
      <c r="G534" s="11" t="inlineStr">
        <is>
          <t>type = 'OPENING_POSITION' (or type = 'OPENING_CASH' when missing or zero)</t>
        </is>
      </c>
      <c r="H534" s="3" t="inlineStr">
        <is>
          <t>type = 'OPENING_POSITION' (or type = 'OPENING_CASH' — when missing or zero)</t>
        </is>
      </c>
      <c r="I534" s="3" t="inlineStr">
        <is>
          <t>READ FROM THE CODE — rendered from the expressions the function runs</t>
        </is>
      </c>
      <c r="J534" s="3" t="inlineStr">
        <is>
          <t>t: RebuildTxn</t>
        </is>
      </c>
      <c r="K534" s="3" t="inlineStr">
        <is>
          <t>NOT DECLARED — the code does not say what it gives back</t>
        </is>
      </c>
      <c r="L534" s="3" t="inlineStr">
        <is>
          <t>—</t>
        </is>
      </c>
      <c r="M534" s="3" t="inlineStr">
        <is>
          <t>None found in this function — anything it assumes comes from the functions it depends on.</t>
        </is>
      </c>
      <c r="N534" s="3" t="inlineStr">
        <is>
          <t>Yes</t>
        </is>
      </c>
      <c r="O534" s="3" t="inlineStr">
        <is>
          <t>—</t>
        </is>
      </c>
      <c r="P534" s="3" t="n">
        <v>0</v>
      </c>
      <c r="Q534" s="3" t="inlineStr">
        <is>
          <t>None — no dependent function stands behind it</t>
        </is>
      </c>
      <c r="R534" s="3" t="inlineStr">
        <is>
          <t>No dependent function — it reads its inputs and answers</t>
        </is>
      </c>
      <c r="S534" s="3" t="inlineStr">
        <is>
          <t>—</t>
        </is>
      </c>
      <c r="T534" s="3" t="inlineStr">
        <is>
          <t>—</t>
        </is>
      </c>
      <c r="U534" s="3" t="inlineStr">
        <is>
          <t>ACTIVE</t>
        </is>
      </c>
      <c r="V534" s="3" t="inlineStr">
        <is>
          <t>2026-09-25</t>
        </is>
      </c>
      <c r="W534" s="3" t="n"/>
      <c r="X534" s="3" t="n"/>
      <c r="Y534" s="3" t="inlineStr">
        <is>
          <t>NOTHING OPEN</t>
        </is>
      </c>
    </row>
    <row r="535" ht="60" customHeight="1">
      <c r="A535" s="3" t="inlineStr">
        <is>
          <t>MK-ST-F-071</t>
        </is>
      </c>
      <c r="B535" s="3" t="inlineStr">
        <is>
          <t>rebuildableFrom</t>
        </is>
      </c>
      <c r="C535" s="3" t="inlineStr">
        <is>
          <t>Calculation Module code/engines/rebuild-history.ts</t>
        </is>
      </c>
      <c r="D535" s="3" t="n">
        <v>229</v>
      </c>
      <c r="E535" s="3" t="inlineStr">
        <is>
          <t>3 · DEPENDENT</t>
        </is>
      </c>
      <c r="F535" s="3" t="inlineStr">
        <is>
          <t>The earliest day this account's past can honestly be rebuilt to: the first record it gave us, but never behind an opening capture, because nothing explains what sat there before it.</t>
        </is>
      </c>
      <c r="G535" s="11" t="inlineStr">
        <is>
          <t>first = nothing
last opening = nothing
nothing   when first = nothing
the answer:
last opening   if last opening ≠ nothing and last opening &gt; first
first   otherwise</t>
        </is>
      </c>
      <c r="H535" s="3" t="inlineStr">
        <is>
          <t>First is no answer. Last opening is no answer. When first is missing, it answers no answer. The answer is last opening — when last opening is not no answer and last opening &gt; first; first — otherwise.</t>
        </is>
      </c>
      <c r="I535" s="3" t="inlineStr">
        <is>
          <t>READ FROM THE CODE — rendered from the expressions the function runs</t>
        </is>
      </c>
      <c r="J535" s="3" t="inlineStr">
        <is>
          <t>1. txns: RebuildTxn[]
2. accountId: string</t>
        </is>
      </c>
      <c r="K535" s="3" t="inlineStr">
        <is>
          <t>string | null</t>
        </is>
      </c>
      <c r="L535" s="3" t="inlineStr">
        <is>
          <t>—</t>
        </is>
      </c>
      <c r="M535" s="3" t="inlineStr">
        <is>
          <t>None found in this function — anything it assumes comes from the functions it depends on.</t>
        </is>
      </c>
      <c r="N535" s="3" t="inlineStr">
        <is>
          <t>Yes</t>
        </is>
      </c>
      <c r="O535" s="3" t="inlineStr">
        <is>
          <t>1. MK-ST-F-066 isDayKey
2. MK-ST-F-070 isOpening</t>
        </is>
      </c>
      <c r="P535" s="3" t="n">
        <v>2</v>
      </c>
      <c r="Q535" s="3" t="inlineStr">
        <is>
          <t>1. MK-ST-F-066 isDayKey
2. MK-ST-F-070 isOpening</t>
        </is>
      </c>
      <c r="R535" s="3" t="inlineStr">
        <is>
          <t>1. MK-ST-F-066 isDayKey → MK-ST-F-071 rebuildableFrom
2. MK-ST-F-070 isOpening → MK-ST-F-071 rebuildableFrom</t>
        </is>
      </c>
      <c r="S535" s="3" t="inlineStr">
        <is>
          <t>—</t>
        </is>
      </c>
      <c r="T535" s="3" t="inlineStr">
        <is>
          <t>—</t>
        </is>
      </c>
      <c r="U535" s="3" t="inlineStr">
        <is>
          <t>ACTIVE</t>
        </is>
      </c>
      <c r="V535" s="3" t="inlineStr">
        <is>
          <t>2026-09-25</t>
        </is>
      </c>
      <c r="W535" s="3" t="n"/>
      <c r="X535" s="3" t="n"/>
      <c r="Y535" s="3" t="inlineStr">
        <is>
          <t>NOTHING OPEN</t>
        </is>
      </c>
    </row>
    <row r="536" ht="60" customHeight="1">
      <c r="A536" s="3" t="inlineStr">
        <is>
          <t>MK-ST-F-072</t>
        </is>
      </c>
      <c r="B536" s="3" t="inlineStr">
        <is>
          <t>undo</t>
        </is>
      </c>
      <c r="C536" s="3" t="inlineStr">
        <is>
          <t>Calculation Module code/engines/rebuild-history.ts</t>
        </is>
      </c>
      <c r="D536" s="3" t="n">
        <v>279</v>
      </c>
      <c r="E536" s="3" t="inlineStr">
        <is>
          <t>1 · ACTION</t>
        </is>
      </c>
      <c r="F536" s="3" t="inlineStr">
        <is>
          <t>Undo one record: take the state on the day AFTER it back to the state before it happened.</t>
        </is>
      </c>
      <c r="G536" s="11" t="inlineStr">
        <is>
          <t>acc = account id
key = (ticker ?? '').trim().to upper case()
cash = (id: string, by: number) =&gt; cash of.set(id, (cash of.get(id) ?? 0) + by)
m = `${id}|${k}`
cur = held.get(m) (or units = 0 when missing)
came = -1   if direction = 'OUT'
1   otherwise</t>
        </is>
      </c>
      <c r="H536" s="3" t="inlineStr">
        <is>
          <t>Acc is account id. Key is (ticker ?? '').trim().to upper case(). Cash is (id: string, by: number) =&gt; cash of.set(id, (cash of.get(id) ?? 0) plus by). M is `${id}|${k}`. Cur is held.get(m) (or units = 0 — when missing). Came is -1 — when direction = 'OUT'; 1 — otherwise.</t>
        </is>
      </c>
      <c r="I536" s="3" t="inlineStr">
        <is>
          <t>PARTLY READ — some of the code is still showing through; needs a hand pass</t>
        </is>
      </c>
      <c r="J536" s="3" t="inlineStr">
        <is>
          <t>1. t: RebuildTxn
2. held: Map&lt;string, Held&gt;
3. cashOf: Map&lt;string, number&gt;</t>
        </is>
      </c>
      <c r="K536" s="3" t="inlineStr">
        <is>
          <t>void</t>
        </is>
      </c>
      <c r="L536" s="3" t="inlineStr">
        <is>
          <t>—</t>
        </is>
      </c>
      <c r="M536" s="3" t="inlineStr">
        <is>
          <t>None found in this function — anything it assumes comes from the functions it depends on.</t>
        </is>
      </c>
      <c r="N536" s="3" t="inlineStr">
        <is>
          <t>Yes</t>
        </is>
      </c>
      <c r="O536" s="3" t="inlineStr">
        <is>
          <t>1. MK-ST-F-069 amountOf
2. MK-CF-F-155 cash
3. MK-ST-F-035 covers</t>
        </is>
      </c>
      <c r="P536" s="3" t="n">
        <v>5</v>
      </c>
      <c r="Q536" s="3" t="inlineStr">
        <is>
          <t>1. MK-ST-F-069 amountOf
2. MK-CF-F-155 cash
3. MK-ST-F-035 covers
4. MK-XS-F-122 n
5. MK-ST-F-034 firstDate</t>
        </is>
      </c>
      <c r="R536" s="3" t="inlineStr">
        <is>
          <t>1. MK-ST-F-069 amountOf → MK-ST-F-072 undo
2. MK-XS-F-122 n → MK-CF-F-155 cash → MK-ST-F-072 undo
3. MK-ST-F-034 firstDate → MK-ST-F-035 covers → MK-ST-F-072 undo</t>
        </is>
      </c>
      <c r="S536" s="3" t="inlineStr">
        <is>
          <t>—</t>
        </is>
      </c>
      <c r="T536" s="3" t="inlineStr">
        <is>
          <t>—</t>
        </is>
      </c>
      <c r="U536" s="3" t="inlineStr">
        <is>
          <t>ACTIVE</t>
        </is>
      </c>
      <c r="V536" s="3" t="inlineStr">
        <is>
          <t>2026-10-04</t>
        </is>
      </c>
      <c r="W536" s="3" t="n"/>
      <c r="X536" s="3" t="n"/>
      <c r="Y536" s="3" t="inlineStr">
        <is>
          <t>NOTHING OPEN</t>
        </is>
      </c>
    </row>
    <row r="537" ht="60" customHeight="1">
      <c r="A537" s="3" t="inlineStr">
        <is>
          <t>MK-ST-F-073</t>
        </is>
      </c>
      <c r="B537" s="3" t="inlineStr">
        <is>
          <t>rebuildDays</t>
        </is>
      </c>
      <c r="C537" s="3" t="inlineStr">
        <is>
          <t>Calculation Module code/engines/rebuild-history.ts</t>
        </is>
      </c>
      <c r="D537" s="3" t="n">
        <v>415</v>
      </c>
      <c r="E537" s="3" t="inlineStr">
        <is>
          <t>3 · DEPENDENT</t>
        </is>
      </c>
      <c r="F537" s="3" t="inlineStr">
        <is>
          <t>Rebuild the daily record backwards from today, for the accounts whose records can explain it.</t>
        </is>
      </c>
      <c r="G537"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37"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37" s="3" t="inlineStr">
        <is>
          <t>PARTLY READ — some of the code is still showing through; needs a hand pass</t>
        </is>
      </c>
      <c r="J537" s="3" t="inlineStr">
        <is>
          <t>input: RebuildInput</t>
        </is>
      </c>
      <c r="K537" s="3" t="inlineStr">
        <is>
          <t>RebuildResult</t>
        </is>
      </c>
      <c r="L537" s="3" t="inlineStr">
        <is>
          <t>—</t>
        </is>
      </c>
      <c r="M537" s="3" t="inlineStr">
        <is>
          <t>· Uses a built-in cursor of 0.</t>
        </is>
      </c>
      <c r="N537" s="3" t="inlineStr">
        <is>
          <t>Yes</t>
        </is>
      </c>
      <c r="O537" s="3" t="inlineStr">
        <is>
          <t>1. MK-ST-F-069 amountOf
2. MK-CF-F-133 cashOf
3. MK-ST-F-056 has
4. MK-ST-F-066 isDayKey
5. MK-ST-F-070 isOpening
6. MK-CF-F-132 map
7. MK-ST-F-039 on
8. MK-ST-F-071 rebuildableFrom
9. MK-ST-F-068 stepDay
10. MK-ST-F-072 undo</t>
        </is>
      </c>
      <c r="P537" s="3" t="n">
        <v>15</v>
      </c>
      <c r="Q537" s="3" t="inlineStr">
        <is>
          <t>1. MK-ST-F-069 amountOf
2. MK-CF-F-133 cashOf
3. MK-ST-F-056 has
4. MK-ST-F-066 isDayKey
5. MK-ST-F-070 isOpening
6. MK-CF-F-132 map
7. MK-ST-F-039 on
8. MK-ST-F-071 rebuildableFrom
9. MK-ST-F-068 stepDay
10. MK-ST-F-072 undo
11. MK-ST-F-067 utcOfDay
12. MK-CF-F-155 cash
13. MK-ST-F-035 covers
14. MK-XS-F-122 n
15. MK-ST-F-034 firstDate</t>
        </is>
      </c>
      <c r="R537" s="3" t="inlineStr">
        <is>
          <t>1. MK-ST-F-069 amountOf → MK-ST-F-073 rebuildDays
2. MK-CF-F-133 cashOf → MK-ST-F-073 rebuildDays
3. MK-ST-F-056 has → MK-ST-F-073 rebuildDays
4. MK-ST-F-066 isDayKey → MK-ST-F-073 rebuildDays
5. MK-ST-F-070 isOpening → MK-ST-F-073 rebuildDays
6. MK-CF-F-132 map → MK-ST-F-073 rebuildDays
7. MK-ST-F-039 on → MK-ST-F-073 rebuildDays
8. MK-ST-F-066 isDayKey → MK-ST-F-071 rebuildableFrom → MK-ST-F-073 rebuildDays
9. … and 4 more paths</t>
        </is>
      </c>
      <c r="S537" s="3" t="inlineStr">
        <is>
          <t>—</t>
        </is>
      </c>
      <c r="T537" s="3" t="inlineStr">
        <is>
          <t>—</t>
        </is>
      </c>
      <c r="U537" s="3" t="inlineStr">
        <is>
          <t>ACTIVE</t>
        </is>
      </c>
      <c r="V537" s="3" t="inlineStr">
        <is>
          <t>2026-09-25</t>
        </is>
      </c>
      <c r="W537" s="3" t="n"/>
      <c r="X537" s="3" t="n"/>
      <c r="Y537" s="3" t="inlineStr">
        <is>
          <t>NOTHING OPEN</t>
        </is>
      </c>
    </row>
    <row r="538" ht="60" customHeight="1">
      <c r="A538" s="3" t="inlineStr">
        <is>
          <t>MK-ST-F-074</t>
        </is>
      </c>
      <c r="B538" s="3" t="inlineStr">
        <is>
          <t>rebuiltSentence</t>
        </is>
      </c>
      <c r="C538" s="3" t="inlineStr">
        <is>
          <t>Calculation Module code/engines/rebuild-history.ts</t>
        </is>
      </c>
      <c r="D538" s="3" t="n">
        <v>605</v>
      </c>
      <c r="E538" s="3" t="inlineStr">
        <is>
          <t>2 · DISPLAYED</t>
        </is>
      </c>
      <c r="F538" s="3" t="inlineStr">
        <is>
          <t>The one sentence the screen says about a rebuilt line: where it came from and where it starts.</t>
        </is>
      </c>
      <c r="G538" s="11" t="inlineStr">
        <is>
          <t>''   when from is missing
who = (institution ?? '').trim()
day = the date `${from}T12:00:00`).to locale date string('en − US', { month: 'short', day: 'numeric', year: 'numeric' }</t>
        </is>
      </c>
      <c r="H538" s="3" t="inlineStr">
        <is>
          <t>When from is missing, it answers ''. Who is (institution ?? '').trim(). Day: the date `${from}T12:00:00`).to locale date string('en minus US', { month: 'short', day: 'numeric', year: 'numeric' }.</t>
        </is>
      </c>
      <c r="I538" s="3" t="inlineStr">
        <is>
          <t>PARTLY READ — some of the code is still showing through; needs a hand pass</t>
        </is>
      </c>
      <c r="J538" s="3" t="inlineStr">
        <is>
          <t>1. institution: string | null | undefined
2. from: string | null</t>
        </is>
      </c>
      <c r="K538" s="3" t="inlineStr">
        <is>
          <t>string</t>
        </is>
      </c>
      <c r="L538" s="3" t="inlineStr">
        <is>
          <t>NOT FOUND — a screen calls it, but the words printed beside its answer could not be traced automatically. Needs reading.</t>
        </is>
      </c>
      <c r="M538" s="3" t="inlineStr">
        <is>
          <t>None found in this function — anything it assumes comes from the functions it depends on.</t>
        </is>
      </c>
      <c r="N538" s="3" t="inlineStr">
        <is>
          <t>Yes</t>
        </is>
      </c>
      <c r="O538" s="3" t="inlineStr">
        <is>
          <t>—</t>
        </is>
      </c>
      <c r="P538" s="3" t="n">
        <v>0</v>
      </c>
      <c r="Q538" s="3" t="inlineStr">
        <is>
          <t>None — no dependent function stands behind it</t>
        </is>
      </c>
      <c r="R538" s="3" t="inlineStr">
        <is>
          <t>No dependent function — it reads its inputs and answers</t>
        </is>
      </c>
      <c r="S538" s="3" t="inlineStr">
        <is>
          <t>—</t>
        </is>
      </c>
      <c r="T538" s="3" t="inlineStr">
        <is>
          <t>—</t>
        </is>
      </c>
      <c r="U538" s="3" t="inlineStr">
        <is>
          <t>ACTIVE</t>
        </is>
      </c>
      <c r="V538" s="3" t="inlineStr">
        <is>
          <t>2026-09-25</t>
        </is>
      </c>
      <c r="W538" s="3" t="n"/>
      <c r="X538" s="3" t="n"/>
      <c r="Y538" s="3" t="inlineStr">
        <is>
          <t>NOTHING OPEN</t>
        </is>
      </c>
    </row>
    <row r="539" ht="60" customHeight="1">
      <c r="A539" s="3" t="inlineStr">
        <is>
          <t>MK-ST-F-075</t>
        </is>
      </c>
      <c r="B539" s="3" t="inlineStr">
        <is>
          <t>agoLabel</t>
        </is>
      </c>
      <c r="C539" s="3" t="inlineStr">
        <is>
          <t>src/domain/_shared/freshness.ts</t>
        </is>
      </c>
      <c r="D539" s="3" t="n">
        <v>83</v>
      </c>
      <c r="E539" s="3" t="inlineStr">
        <is>
          <t>3 · DEPENDENT</t>
        </is>
      </c>
      <c r="F539" s="3" t="inlineStr">
        <is>
          <t>How long ago, in words a person reads — never a raw date.</t>
        </is>
      </c>
      <c r="G539" s="11" t="inlineStr">
        <is>
          <t>days = days since(when, now)
nothing   when days = nothing
`${days} day${days &gt; 1 ? 's' : ''} ago`   when days ≥ 1
hours = round down((now − (typeof when = 'number' ? when : date.parse(string(when)))) ÷ 3600000)
the answer:
`${hours}h ago`   if hours ≥ 1
'just now'   otherwise</t>
        </is>
      </c>
      <c r="H539" s="3" t="inlineStr">
        <is>
          <t>Days is days since(when, now). When days is missing, it answers no answer. When days is at least 1, it answers `${days} day${days &gt; 1 ? 's' : ''} ago`. Hours is (now minus (typeof — when = 'number' ? — when : date.parse(string(when, rounded down))) divided by 3600000). The answer is `${hours}h ago` — when hours is at least 1; 'just now' — otherwise.</t>
        </is>
      </c>
      <c r="I539" s="3" t="inlineStr">
        <is>
          <t>PARTLY READ — some of the code is still showing through; needs a hand pass</t>
        </is>
      </c>
      <c r="J539" s="3" t="inlineStr">
        <is>
          <t>1. when: string | number | null | undefined
2. now: number</t>
        </is>
      </c>
      <c r="K539" s="3" t="inlineStr">
        <is>
          <t>string | null</t>
        </is>
      </c>
      <c r="L539" s="3" t="inlineStr">
        <is>
          <t>—</t>
        </is>
      </c>
      <c r="M539" s="3" t="inlineStr">
        <is>
          <t>None found in this function — anything it assumes comes from the functions it depends on.</t>
        </is>
      </c>
      <c r="N539" s="3" t="inlineStr">
        <is>
          <t>Yes</t>
        </is>
      </c>
      <c r="O539" s="3" t="inlineStr">
        <is>
          <t>MK-XS-F-170 daysSince</t>
        </is>
      </c>
      <c r="P539" s="3" t="n">
        <v>1</v>
      </c>
      <c r="Q539" s="3" t="inlineStr">
        <is>
          <t>MK-XS-F-170 daysSince</t>
        </is>
      </c>
      <c r="R539" s="3" t="inlineStr">
        <is>
          <t>MK-XS-F-170 daysSince → MK-ST-F-075 agoLabel</t>
        </is>
      </c>
      <c r="S539" s="3" t="inlineStr">
        <is>
          <t>—</t>
        </is>
      </c>
      <c r="T539" s="3" t="inlineStr">
        <is>
          <t>—</t>
        </is>
      </c>
      <c r="U539" s="3" t="inlineStr">
        <is>
          <t>ACTIVE</t>
        </is>
      </c>
      <c r="V539" s="3" t="inlineStr">
        <is>
          <t>2026-10-01</t>
        </is>
      </c>
      <c r="W539" s="3" t="n"/>
      <c r="X539" s="3" t="n"/>
      <c r="Y539" s="3" t="inlineStr">
        <is>
          <t>NOTHING OPEN</t>
        </is>
      </c>
    </row>
    <row r="540" ht="60" customHeight="1">
      <c r="A540" s="3" t="inlineStr">
        <is>
          <t>MK-ST-F-076</t>
        </is>
      </c>
      <c r="B540" s="3" t="inlineStr">
        <is>
          <t>ageLabel</t>
        </is>
      </c>
      <c r="C540" s="3" t="inlineStr">
        <is>
          <t>src/domain/_shared/freshness.ts</t>
        </is>
      </c>
      <c r="D540" s="3" t="n">
        <v>123</v>
      </c>
      <c r="E540" s="3" t="inlineStr">
        <is>
          <t>3 · DEPENDENT</t>
        </is>
      </c>
      <c r="F540" s="3" t="inlineStr">
        <is>
          <t>HOW OLD, IN DAYS, IN THE WORDS HE APPROVED — 'today', 'yesterday', '3 days old'.</t>
        </is>
      </c>
      <c r="G540" s="11" t="inlineStr">
        <is>
          <t>days = days since(when, now)
nothing   when days = nothing
'today'   when days = 0
'yesterday'   when days = 1
the answer = `${days} days old`</t>
        </is>
      </c>
      <c r="H540" s="3" t="inlineStr">
        <is>
          <t>Days is days since(when, now). When days is missing, it answers no answer. When days = 0, it answers 'today'. When days = 1, it answers 'yesterday'. The answer is `${days} days old`.</t>
        </is>
      </c>
      <c r="I540" s="3" t="inlineStr">
        <is>
          <t>PARTLY READ — some of the code is still showing through; needs a hand pass</t>
        </is>
      </c>
      <c r="J540" s="3" t="inlineStr">
        <is>
          <t>1. when: string | number | null | undefined
2. now: number</t>
        </is>
      </c>
      <c r="K540" s="3" t="inlineStr">
        <is>
          <t>string | null</t>
        </is>
      </c>
      <c r="L540" s="3" t="inlineStr">
        <is>
          <t>—</t>
        </is>
      </c>
      <c r="M540" s="3" t="inlineStr">
        <is>
          <t>None found in this function — anything it assumes comes from the functions it depends on.</t>
        </is>
      </c>
      <c r="N540" s="3" t="inlineStr">
        <is>
          <t>Yes</t>
        </is>
      </c>
      <c r="O540" s="3" t="inlineStr">
        <is>
          <t>MK-XS-F-170 daysSince</t>
        </is>
      </c>
      <c r="P540" s="3" t="n">
        <v>1</v>
      </c>
      <c r="Q540" s="3" t="inlineStr">
        <is>
          <t>MK-XS-F-170 daysSince</t>
        </is>
      </c>
      <c r="R540" s="3" t="inlineStr">
        <is>
          <t>MK-XS-F-170 daysSince → MK-ST-F-076 ageLabel</t>
        </is>
      </c>
      <c r="S540" s="3" t="inlineStr">
        <is>
          <t>—</t>
        </is>
      </c>
      <c r="T540" s="3" t="inlineStr">
        <is>
          <t>—</t>
        </is>
      </c>
      <c r="U540" s="3" t="inlineStr">
        <is>
          <t>ACTIVE</t>
        </is>
      </c>
      <c r="V540" s="3" t="inlineStr">
        <is>
          <t>2026-10-01</t>
        </is>
      </c>
      <c r="W540" s="3" t="n"/>
      <c r="X540" s="3" t="n"/>
      <c r="Y540" s="3" t="inlineStr">
        <is>
          <t>NOTHING OPEN</t>
        </is>
      </c>
    </row>
    <row r="541" ht="45" customHeight="1">
      <c r="A541" s="3" t="inlineStr">
        <is>
          <t>MK-ST-F-077</t>
        </is>
      </c>
      <c r="B541" s="3" t="inlineStr">
        <is>
          <t>isStale</t>
        </is>
      </c>
      <c r="C541" s="3" t="inlineStr">
        <is>
          <t>src/domain/_shared/freshness.ts</t>
        </is>
      </c>
      <c r="D541" s="3" t="n">
        <v>154</v>
      </c>
      <c r="E541" s="3" t="inlineStr">
        <is>
          <t>3 · DEPENDENT</t>
        </is>
      </c>
      <c r="F541" s="3" t="inlineStr">
        <is>
          <t>Stale, by the one threshold.</t>
        </is>
      </c>
      <c r="G541" s="11" t="inlineStr">
        <is>
          <t>days = days since(when, now)
the answer = days = nothing (or days ≥ STALE_AFTER_DAYS when missing or zero)</t>
        </is>
      </c>
      <c r="H541" s="3" t="inlineStr">
        <is>
          <t>Days is days since(when, now). The answer is days is missing (or days is at least STALE_AFTER_DAYS — when missing or zero).</t>
        </is>
      </c>
      <c r="I541" s="3" t="inlineStr">
        <is>
          <t>READ FROM THE CODE — rendered from the expressions the function runs</t>
        </is>
      </c>
      <c r="J541" s="3" t="inlineStr">
        <is>
          <t>1. when: string | number | null | undefined
2. now: number</t>
        </is>
      </c>
      <c r="K541" s="3" t="inlineStr">
        <is>
          <t>boolean</t>
        </is>
      </c>
      <c r="L541" s="3" t="inlineStr">
        <is>
          <t>—</t>
        </is>
      </c>
      <c r="M541" s="3" t="inlineStr">
        <is>
          <t>None found in this function — anything it assumes comes from the functions it depends on.</t>
        </is>
      </c>
      <c r="N541" s="3" t="inlineStr">
        <is>
          <t>Yes</t>
        </is>
      </c>
      <c r="O541" s="3" t="inlineStr">
        <is>
          <t>MK-XS-F-170 daysSince</t>
        </is>
      </c>
      <c r="P541" s="3" t="n">
        <v>1</v>
      </c>
      <c r="Q541" s="3" t="inlineStr">
        <is>
          <t>MK-XS-F-170 daysSince</t>
        </is>
      </c>
      <c r="R541" s="3" t="inlineStr">
        <is>
          <t>MK-XS-F-170 daysSince → MK-ST-F-077 isStale</t>
        </is>
      </c>
      <c r="S541" s="3" t="inlineStr">
        <is>
          <t>—</t>
        </is>
      </c>
      <c r="T541" s="3" t="inlineStr">
        <is>
          <t>—</t>
        </is>
      </c>
      <c r="U541" s="3" t="inlineStr">
        <is>
          <t>ACTIVE</t>
        </is>
      </c>
      <c r="V541" s="3" t="inlineStr">
        <is>
          <t>2026-10-01</t>
        </is>
      </c>
      <c r="W541" s="3" t="n"/>
      <c r="X541" s="3" t="n"/>
      <c r="Y541" s="3" t="inlineStr">
        <is>
          <t>NOTHING OPEN</t>
        </is>
      </c>
    </row>
    <row r="542" ht="60" customHeight="1">
      <c r="A542" s="3" t="inlineStr">
        <is>
          <t>MK-ST-F-078</t>
        </is>
      </c>
      <c r="B542" s="3" t="inlineStr">
        <is>
          <t>dateShown</t>
        </is>
      </c>
      <c r="C542" s="3" t="inlineStr">
        <is>
          <t>src/domain/_shared/dates.ts</t>
        </is>
      </c>
      <c r="D542" s="3" t="n">
        <v>71</v>
      </c>
      <c r="E542" s="3" t="inlineStr">
        <is>
          <t>2 · DISPLAYED</t>
        </is>
      </c>
      <c r="F542" s="3" t="inlineStr">
        <is>
          <t>NOT DETERMINED — the code carries no note saying what this is for, and it has no row in the old inventory. Needs reading.</t>
        </is>
      </c>
      <c r="G542" s="11" t="inlineStr">
        <is>
          <t>''   when iso is missing
`${MONTH_SHORT[(m or 1) − 1]} ${d}, ${y}`   if y
''   otherwise</t>
        </is>
      </c>
      <c r="H542" s="3" t="inlineStr">
        <is>
          <t>When iso is missing, it answers ''. `${MONTH_SHORT[(m or 1) minus 1]} ${d}, ${y}` — when y; '' — otherwise.</t>
        </is>
      </c>
      <c r="I542" s="3" t="inlineStr">
        <is>
          <t>PARTLY READ — some of the code is still showing through; needs a hand pass</t>
        </is>
      </c>
      <c r="J542" s="3" t="inlineStr">
        <is>
          <t>iso: string | null | undefined</t>
        </is>
      </c>
      <c r="K542" s="3" t="inlineStr">
        <is>
          <t>string</t>
        </is>
      </c>
      <c r="L542" s="3" t="inlineStr">
        <is>
          <t>"Performance" — on the Performance screen</t>
        </is>
      </c>
      <c r="M542" s="3" t="inlineStr">
        <is>
          <t>None found in this function — anything it assumes comes from the functions it depends on.</t>
        </is>
      </c>
      <c r="N542" s="3" t="inlineStr">
        <is>
          <t>Yes</t>
        </is>
      </c>
      <c r="O542" s="3" t="inlineStr">
        <is>
          <t>MK-CF-F-132 map</t>
        </is>
      </c>
      <c r="P542" s="3" t="n">
        <v>1</v>
      </c>
      <c r="Q542" s="3" t="inlineStr">
        <is>
          <t>MK-CF-F-132 map</t>
        </is>
      </c>
      <c r="R542" s="3" t="inlineStr">
        <is>
          <t>MK-CF-F-132 map → MK-ST-F-078 dateShown</t>
        </is>
      </c>
      <c r="S542" s="3" t="inlineStr">
        <is>
          <t>—</t>
        </is>
      </c>
      <c r="T542" s="3" t="inlineStr">
        <is>
          <t>—</t>
        </is>
      </c>
      <c r="U542" s="3" t="inlineStr">
        <is>
          <t>ACTIVE</t>
        </is>
      </c>
      <c r="V542" s="3" t="inlineStr">
        <is>
          <t>2026-10-01</t>
        </is>
      </c>
      <c r="W542" s="3" t="n"/>
      <c r="X542" s="3" t="n"/>
      <c r="Y542" s="3" t="inlineStr">
        <is>
          <t>NOTHING OPEN</t>
        </is>
      </c>
    </row>
    <row r="543" ht="45" customHeight="1">
      <c r="A543" s="3" t="inlineStr">
        <is>
          <t>MK-ST-F-079</t>
        </is>
      </c>
      <c r="B543" s="3" t="inlineStr">
        <is>
          <t>dailyWindowStart</t>
        </is>
      </c>
      <c r="C543" s="3" t="inlineStr">
        <is>
          <t>Calculation Module code/engines/snapshots.ts</t>
        </is>
      </c>
      <c r="D543" s="3" t="n">
        <v>266</v>
      </c>
      <c r="E543" s="3" t="inlineStr">
        <is>
          <t>3 · DEPENDENT</t>
        </is>
      </c>
      <c r="F543" s="3" t="inlineStr">
        <is>
          <t>THE FIRST DAY OF THE DAILY RECORD: two years back AND THE DAY BEFORE THAT.</t>
        </is>
      </c>
      <c r="G543" s="11" t="inlineStr">
        <is>
          <t>cutoff = the first 10)}T12:00:00Z` of new date(`${today
the answer = the first 10 of cutoff.to isostring()</t>
        </is>
      </c>
      <c r="H543" s="3" t="inlineStr">
        <is>
          <t>Cutoff: the first 10)}T12:00:00Z` of new date(`${today. The answer: the first 10 of cutoff.to isostring().</t>
        </is>
      </c>
      <c r="I543" s="3" t="inlineStr">
        <is>
          <t>PARTLY READ — some of the code is still showing through; needs a hand pass</t>
        </is>
      </c>
      <c r="J543" s="3" t="inlineStr">
        <is>
          <t>today: string</t>
        </is>
      </c>
      <c r="K543" s="3" t="inlineStr">
        <is>
          <t>string</t>
        </is>
      </c>
      <c r="L543" s="3" t="inlineStr">
        <is>
          <t>—</t>
        </is>
      </c>
      <c r="M543" s="3" t="inlineStr">
        <is>
          <t>None found in this function — anything it assumes comes from the functions it depends on.</t>
        </is>
      </c>
      <c r="N543" s="3" t="inlineStr">
        <is>
          <t>Yes</t>
        </is>
      </c>
      <c r="O543" s="3" t="inlineStr">
        <is>
          <t>—</t>
        </is>
      </c>
      <c r="P543" s="3" t="n">
        <v>0</v>
      </c>
      <c r="Q543" s="3" t="inlineStr">
        <is>
          <t>None — no dependent function stands behind it</t>
        </is>
      </c>
      <c r="R543" s="3" t="inlineStr">
        <is>
          <t>No dependent function — it reads its inputs and answers</t>
        </is>
      </c>
      <c r="S543" s="3" t="inlineStr">
        <is>
          <t>—</t>
        </is>
      </c>
      <c r="T543" s="3" t="inlineStr">
        <is>
          <t>—</t>
        </is>
      </c>
      <c r="U543" s="3" t="inlineStr">
        <is>
          <t>ACTIVE</t>
        </is>
      </c>
      <c r="V543" s="3" t="inlineStr">
        <is>
          <t>2026-10-03</t>
        </is>
      </c>
      <c r="W543" s="3" t="n"/>
      <c r="X543" s="3" t="n"/>
      <c r="Y543" s="3" t="inlineStr">
        <is>
          <t>NOTHING OPEN</t>
        </is>
      </c>
    </row>
    <row r="544" ht="60" customHeight="1">
      <c r="A544" s="3" t="inlineStr">
        <is>
          <t>MK-ST-F-080</t>
        </is>
      </c>
      <c r="B544" s="3" t="inlineStr">
        <is>
          <t>isDay</t>
        </is>
      </c>
      <c r="C544" s="3" t="inlineStr">
        <is>
          <t>Calculation Module code/engines/time-weighted-return.ts</t>
        </is>
      </c>
      <c r="D544" s="3" t="n">
        <v>94</v>
      </c>
      <c r="E544" s="3" t="inlineStr">
        <is>
          <t>3 · DEPENDENT</t>
        </is>
      </c>
      <c r="F544" s="3" t="inlineStr">
        <is>
          <t>Whether a value is a calendar day written as year-month-day.</t>
        </is>
      </c>
      <c r="G544" s="11" t="inlineStr">
        <is>
          <t>NOT READ YET — the body is not a shape this can render faithfully, so nothing is claimed rather than something being guessed. It needs reading by hand.</t>
        </is>
      </c>
      <c r="H544" s="3" t="inlineStr">
        <is>
          <t>NOT READ YET — the body is not a shape this can render faithfully, so nothing is claimed rather than something being guessed. It needs reading by hand.</t>
        </is>
      </c>
      <c r="I544" s="3" t="inlineStr">
        <is>
          <t>NOT READ — nothing is claimed rather than something guessed</t>
        </is>
      </c>
      <c r="J544" s="3" t="inlineStr">
        <is>
          <t>d: unknown</t>
        </is>
      </c>
      <c r="K544" s="3" t="inlineStr">
        <is>
          <t>d is string</t>
        </is>
      </c>
      <c r="L544" s="3" t="inlineStr">
        <is>
          <t>—</t>
        </is>
      </c>
      <c r="M544" s="3" t="inlineStr">
        <is>
          <t>· Uses a built-in s a m e of 0.5%.</t>
        </is>
      </c>
      <c r="N544" s="3" t="inlineStr">
        <is>
          <t>Yes</t>
        </is>
      </c>
      <c r="O544" s="3" t="inlineStr">
        <is>
          <t>—</t>
        </is>
      </c>
      <c r="P544" s="3" t="n">
        <v>0</v>
      </c>
      <c r="Q544" s="3" t="inlineStr">
        <is>
          <t>None — no dependent function stands behind it</t>
        </is>
      </c>
      <c r="R544" s="3" t="inlineStr">
        <is>
          <t>No dependent function — it reads its inputs and answers</t>
        </is>
      </c>
      <c r="S544" s="3" t="inlineStr">
        <is>
          <t>—</t>
        </is>
      </c>
      <c r="T544" s="3" t="inlineStr">
        <is>
          <t>—</t>
        </is>
      </c>
      <c r="U544" s="3" t="inlineStr">
        <is>
          <t>ACTIVE</t>
        </is>
      </c>
      <c r="V544" s="3" t="inlineStr">
        <is>
          <t>2026-10-04</t>
        </is>
      </c>
      <c r="W544" s="3" t="n"/>
      <c r="X544" s="3" t="n"/>
      <c r="Y544" s="3" t="inlineStr">
        <is>
          <t>NOTHING OPEN</t>
        </is>
      </c>
    </row>
    <row r="545" ht="60" customHeight="1">
      <c r="A545" s="3" t="inlineStr">
        <is>
          <t>MK-ST-F-081</t>
        </is>
      </c>
      <c r="B545" s="3" t="inlineStr">
        <is>
          <t>timeWeightedReturn</t>
        </is>
      </c>
      <c r="C545" s="3" t="inlineStr">
        <is>
          <t>Calculation Module code/engines/time-weighted-return.ts</t>
        </is>
      </c>
      <c r="D545" s="3" t="n">
        <v>139</v>
      </c>
      <c r="E545" s="3" t="inlineStr">
        <is>
          <t>3 · DEPENDENT</t>
        </is>
      </c>
      <c r="F545" s="3" t="inlineStr">
        <is>
          <t>The time-weighted return of a set of accounts between two days, or the reason it cannot be measured.</t>
        </is>
      </c>
      <c r="G545" s="11" t="inlineStr">
        <is>
          <t>ids = account ids
cash = cash ids (or new set&lt;string&gt;() when missing)
refuse = (refused: time weighted refusal, day?: string): time weighted verdict =&gt; ({ rate: nothing, refused, day, measured from: nothing })
days = days (or none when missing) where is day(date) and date ≤ end.sort((x, y) =&gt; date.locale compare(date))
line = new map&lt;string, map&lt;string, number&gt;&gt;()
holds = new set&lt;string&gt;()
span = new map&lt;string, { first: string; last: string }&gt;()
values = new map&lt;string, number&gt;()
s = span.get(id)!
v = rows.get(date)
nothing   when v = nothing
[LOOP — the answer is found inside a loop the extractor cannot render; the steps above are the ones before it. Read by hand.]
… the first steps only — the rest of the body needs reading by hand.</t>
        </is>
      </c>
      <c r="H545" s="3" t="inlineStr">
        <is>
          <t>Ids is account ids. Cash is cash ids (or new set&lt;string&gt;() — when missing). Refuse is (refused: time weighted refusal, day?: string): time weighted verdict =&gt; ({ rate: no answer, refused, day, measured from: no answer }). Days is days (or none — when missing) where is day(date) and date is at most end.sort((x, y) =&gt; date.locale compare(date)). Line is new map&lt;string, map&lt;string, number&gt;&gt;(). Holds is new set&lt;string&gt;(). Span is new map&lt;string, { first: string; last: string }&gt;(). Values is new map&lt;string, number&gt;(). S is span.get(id)!. V is rows.get(date). When v is missing, it answers no answer. The answer is found inside a loop that cannot be rendered here; read the code by hand. Only the first steps are shown; the rest of the body needs reading by hand.</t>
        </is>
      </c>
      <c r="I545" s="3" t="inlineStr">
        <is>
          <t>PARTLY READ — the body has a loop the extractor cannot render; the steps shown are the ones before it. Needs a hand pass (G23).</t>
        </is>
      </c>
      <c r="J545" s="3" t="inlineStr">
        <is>
          <t>a: TimeWeightedInput</t>
        </is>
      </c>
      <c r="K545" s="3" t="inlineStr">
        <is>
          <t>TimeWeightedVerdict</t>
        </is>
      </c>
      <c r="L545" s="3" t="inlineStr">
        <is>
          <t>—</t>
        </is>
      </c>
      <c r="M545" s="3" t="inlineStr">
        <is>
          <t>1. Uses a built-in total of 0.
2. Uses a built-in growth of 1.
3. Uses a built-in money in of 0.
4. Never lets before fall below 0.</t>
        </is>
      </c>
      <c r="N545" s="3" t="inlineStr">
        <is>
          <t>Yes</t>
        </is>
      </c>
      <c r="O545" s="3" t="inlineStr">
        <is>
          <t>1. MK-ST-F-027 accountId
2. MK-ST-F-083 accountValuesOn
3. MK-ST-F-056 has
4. MK-ST-F-080 isDay
5. MK-CF-F-204 line
6. MK-ST-F-039 on</t>
        </is>
      </c>
      <c r="P545" s="3" t="n">
        <v>105</v>
      </c>
      <c r="Q545" s="3" t="inlineStr">
        <is>
          <t>1. MK-ST-F-027 accountId
2. MK-ST-F-083 accountValuesOn
3. MK-ST-F-056 has
4. MK-ST-F-080 isDay
5. MK-CF-F-204 line
6. MK-ST-F-039 on
7. MK-CF-F-203 MONTH
8. MK-XS-F-180 declareFigures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MK-NW-F-057 annualCoupon
43. MK-NW-F-056 bondInfo
44. MK-NW-F-064 bondRateSensitivity
45. MK-NW-F-061 bondSummary
46. MK-NW-F-055 isBond
47. MK-ST-F-065 isoLocalDate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MK-NW-F-011 assetClassOf
70. MK-NW-F-070 accruedInterestCaveat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MK-NW-F-119 estimatedAccrued
94. MK-NW-F-008 incomeBearingClassOf
95. MK-CF-F-100 taxableIncomeFor
96. MK-CF-F-074 tipsAnnual
97. MK-CF-F-165 salaryMonths
98. MK-CF-F-003 categoryMonthly
99. MK-ST-F-010 nameEvidence
100. MK-CF-F-099 deductionFor
101. MK-CF-F-081 salaryActiveMonths
102. MK-XS-F-147 call
103. MK-CF-F-187 seniorDeductionFor
104. MK-XS-F-064 currentIdToken
105. MK-XS-F-112 relayUrl</t>
        </is>
      </c>
      <c r="R545" s="3" t="inlineStr">
        <is>
          <t>1. MK-ST-F-027 accountId → MK-ST-F-081 timeWeightedReturn
2. MK-ST-F-027 accountId → MK-ST-F-083 accountValuesOn → MK-ST-F-081 timeWeightedReturn
3. MK-ST-F-056 has → MK-ST-F-083 accountValuesOn → MK-ST-F-081 timeWeightedReturn
4. MK-ST-F-056 has → MK-ST-F-081 timeWeightedReturn
5. MK-ST-F-080 isDay → MK-ST-F-081 timeWeightedReturn
6. MONTH (already above — a loop) → MK-CF-O-010 theMonth → MK-CF-F-203 MONTH → MK-CF-F-204 line → MK-ST-F-081 timeWeightedReturn
7. MK-XS-F-122 n → MK-CF-F-155 cash → MK-CF-O-010 theMonth → MK-CF-F-203 MONTH → MK-CF-F-204 line → MK-ST-F-081 timeWeightedReturn
8. MK-CF-F-151 actualSpending → MK-CF-O-002 expenses → MK-CF-O-010 theMonth → MK-CF-F-203 MONTH → MK-CF-F-204 line → MK-ST-F-081 timeWeightedReturn
9. … and 5 more paths</t>
        </is>
      </c>
      <c r="S545" s="3" t="inlineStr">
        <is>
          <t>—</t>
        </is>
      </c>
      <c r="T545" s="3" t="inlineStr">
        <is>
          <t>—</t>
        </is>
      </c>
      <c r="U545" s="3" t="inlineStr">
        <is>
          <t>ACTIVE</t>
        </is>
      </c>
      <c r="V545" s="3" t="inlineStr">
        <is>
          <t>2026-10-04</t>
        </is>
      </c>
      <c r="W545" s="3" t="n"/>
      <c r="X545" s="3" t="n"/>
      <c r="Y545" s="3" t="inlineStr">
        <is>
          <t>NOTHING OPEN</t>
        </is>
      </c>
    </row>
    <row r="546" ht="60" customHeight="1">
      <c r="A546" s="3" t="inlineStr">
        <is>
          <t>MK-ST-F-082</t>
        </is>
      </c>
      <c r="B546" s="3" t="inlineStr">
        <is>
          <t>movementsOf</t>
        </is>
      </c>
      <c r="C546" s="3" t="inlineStr">
        <is>
          <t>Calculation Module code/engines/time-weighted-return.ts</t>
        </is>
      </c>
      <c r="D546" s="3" t="n">
        <v>255</v>
      </c>
      <c r="E546" s="3" t="inlineStr">
        <is>
          <t>3 · DEPENDENT</t>
        </is>
      </c>
      <c r="F546" s="3" t="inlineStr">
        <is>
          <t>Which of a household's records are money moving in or out of the measured accounts, which are interest, and on which days shares were moved.</t>
        </is>
      </c>
      <c r="G546" s="11" t="inlineStr">
        <is>
          <t>flows = [], interest: dated amount[] = [], shares moved: string[] = []
date = the first 10 of string(date ?? '')
acc = string(account id)   if account id ≠ nothing
''   otherwise
other = string(counter account id)   if counter account id ≠ nothing
''   otherwise
amount = amount read as a number (or 0 when missing or zero)
the answer = { flows, interest, shares moved }</t>
        </is>
      </c>
      <c r="H546" s="3" t="inlineStr">
        <is>
          <t>Flows is [], interest: dated amount[] = [], shares moved: string[] = []. Date: the first 10 of string(date ?? ''). Acc is string(account id) — when account id is not no answer; '' — otherwise. Other is string(counter account id) — when counter account id is not no answer; '' — otherwise. Amount is amount read as a number (or 0 — when missing or zero). The answer is { flows, interest, shares moved }.</t>
        </is>
      </c>
      <c r="I546" s="3" t="inlineStr">
        <is>
          <t>PARTLY READ — some of the code is still showing through; needs a hand pass</t>
        </is>
      </c>
      <c r="J546" s="3" t="inlineStr">
        <is>
          <t>1. transactions: any[]
2. ids: Set&lt;string&gt;</t>
        </is>
      </c>
      <c r="K546" s="3" t="inlineStr">
        <is>
          <t>NOT DECLARED — the code does not say what it gives back</t>
        </is>
      </c>
      <c r="L546" s="3" t="inlineStr">
        <is>
          <t>—</t>
        </is>
      </c>
      <c r="M546" s="3" t="inlineStr">
        <is>
          <t>None found in this function — anything it assumes comes from the functions it depends on.</t>
        </is>
      </c>
      <c r="N546" s="3" t="inlineStr">
        <is>
          <t>Yes</t>
        </is>
      </c>
      <c r="O546" s="3" t="inlineStr">
        <is>
          <t>MK-ST-F-056 has</t>
        </is>
      </c>
      <c r="P546" s="3" t="n">
        <v>1</v>
      </c>
      <c r="Q546" s="3" t="inlineStr">
        <is>
          <t>MK-ST-F-056 has</t>
        </is>
      </c>
      <c r="R546" s="3" t="inlineStr">
        <is>
          <t>MK-ST-F-056 has → MK-ST-F-082 movementsOf</t>
        </is>
      </c>
      <c r="S546" s="3" t="inlineStr">
        <is>
          <t>—</t>
        </is>
      </c>
      <c r="T546" s="3" t="inlineStr">
        <is>
          <t>—</t>
        </is>
      </c>
      <c r="U546" s="3" t="inlineStr">
        <is>
          <t>ACTIVE</t>
        </is>
      </c>
      <c r="V546" s="3" t="inlineStr">
        <is>
          <t>2026-10-04</t>
        </is>
      </c>
      <c r="W546" s="3" t="n"/>
      <c r="X546" s="3" t="n"/>
      <c r="Y546" s="3" t="inlineStr">
        <is>
          <t>NOTHING OPEN</t>
        </is>
      </c>
    </row>
    <row r="547" ht="60" customHeight="1">
      <c r="A547" s="3" t="inlineStr">
        <is>
          <t>MK-ST-F-083</t>
        </is>
      </c>
      <c r="B547" s="3" t="inlineStr">
        <is>
          <t>accountValuesOn</t>
        </is>
      </c>
      <c r="C547" s="3" t="inlineStr">
        <is>
          <t>Calculation Module code/engines/snapshots.ts</t>
        </is>
      </c>
      <c r="D547" s="3" t="n">
        <v>456</v>
      </c>
      <c r="E547" s="3" t="inlineStr">
        <is>
          <t>3 · DEPENDENT</t>
        </is>
      </c>
      <c r="F547" s="3" t="inlineStr">
        <is>
          <t>What each account was worth on one recorded day: its holdings, its cash and its typed balance added up — and, for an account the record holds nothing else for, the broker's own stated total.</t>
        </is>
      </c>
      <c r="G547" s="11" t="inlineStr">
        <is>
          <t>out = new map&lt;string, number&gt;()
held = new set&lt;string&gt;()
own = cash + (typed value ?? 0)
value = stated total as number   if !held.has(account id) and own = 0 and (stated total ?? 0) &gt; 0
own   otherwise
the answer = out</t>
        </is>
      </c>
      <c r="H547" s="3" t="inlineStr">
        <is>
          <t>Out is new map&lt;string, number&gt;(). Held is new set&lt;string&gt;(). Own is cash plus (typed value ?? 0). Value is stated total as number — when !held.has(account id) and own = 0 and (stated total ?? 0) &gt; 0; own — otherwise. The answer is out.</t>
        </is>
      </c>
      <c r="I547" s="3" t="inlineStr">
        <is>
          <t>PARTLY READ — some of the code is still showing through; needs a hand pass</t>
        </is>
      </c>
      <c r="J547" s="3" t="inlineStr">
        <is>
          <t>1. day: SnapshotDay
2. wanted: (accountId: string) =&gt; boolean</t>
        </is>
      </c>
      <c r="K547" s="3" t="inlineStr">
        <is>
          <t>Map&lt;string, number&gt;</t>
        </is>
      </c>
      <c r="L547" s="3" t="inlineStr">
        <is>
          <t>—</t>
        </is>
      </c>
      <c r="M547" s="3" t="inlineStr">
        <is>
          <t>1. If typed value is missing it uses 0.
2. If stated total is missing it uses 0.</t>
        </is>
      </c>
      <c r="N547" s="3" t="inlineStr">
        <is>
          <t>Yes</t>
        </is>
      </c>
      <c r="O547" s="3" t="inlineStr">
        <is>
          <t>1. MK-ST-F-027 accountId
2. MK-ST-F-056 has</t>
        </is>
      </c>
      <c r="P547" s="3" t="n">
        <v>2</v>
      </c>
      <c r="Q547" s="3" t="inlineStr">
        <is>
          <t>1. MK-ST-F-027 accountId
2. MK-ST-F-056 has</t>
        </is>
      </c>
      <c r="R547" s="3" t="inlineStr">
        <is>
          <t>1. MK-ST-F-027 accountId → MK-ST-F-083 accountValuesOn
2. MK-ST-F-056 has → MK-ST-F-083 accountValuesOn</t>
        </is>
      </c>
      <c r="S547" s="3" t="inlineStr">
        <is>
          <t>—</t>
        </is>
      </c>
      <c r="T547" s="3" t="inlineStr">
        <is>
          <t>—</t>
        </is>
      </c>
      <c r="U547" s="3" t="inlineStr">
        <is>
          <t>ACTIVE</t>
        </is>
      </c>
      <c r="V547" s="3" t="inlineStr">
        <is>
          <t>2026-10-04</t>
        </is>
      </c>
      <c r="W547" s="3" t="n"/>
      <c r="X547" s="3" t="n"/>
      <c r="Y547" s="3" t="inlineStr">
        <is>
          <t>NOTHING OPEN</t>
        </is>
      </c>
    </row>
    <row r="548" ht="60" customHeight="1">
      <c r="A548" s="3" t="inlineStr">
        <is>
          <t>MK-ST-F-084</t>
        </is>
      </c>
      <c r="B548" s="3" t="inlineStr">
        <is>
          <t>fillBetweenObservations</t>
        </is>
      </c>
      <c r="C548" s="3" t="inlineStr">
        <is>
          <t>Calculation Module code/engines/rebuild-history.ts</t>
        </is>
      </c>
      <c r="D548" s="3" t="n">
        <v>542</v>
      </c>
      <c r="E548" s="3" t="inlineStr">
        <is>
          <t>3 · DEPENDENT</t>
        </is>
      </c>
      <c r="F548" s="3" t="inlineStr">
        <is>
          <t>A hand-entered account's value on the rebuilt days between two days it was observed on, when it held exactly the same things on both.</t>
        </is>
      </c>
      <c r="G548" s="11" t="inlineStr">
        <is>
          <t>out = [...(days ?? [])].sort((x, y) =&gt; date.locale compare(date))
observed = out where origin = 'observed'
ids = a list with no repeats of observed.flat map((d) =&gt; (holdings ?? []).map((h) =&gt; account id))
a = observed[k], b = observed[k + 1]
ha = holdings where account id = id, hb = holdings where account id = id
ra = accounts.find((r) =&gt; account id = id), rb = accounts.find((r) =&gt; account id = id)
the answer = out</t>
        </is>
      </c>
      <c r="H548" s="3" t="inlineStr">
        <is>
          <t>Out is [...(days ?? [])].sort((x, y) =&gt; date.locale compare(date)). Observed is out where origin = 'observed'. Ids is a list with no repeats of observed.flat map((d) =&gt; (holdings ?? []).map((h) =&gt; account id)). A is observed[k], b = observed[k plus 1]. Ha is holdings where account id = id, hb = holdings where account id = id. Ra is accounts.find((r) =&gt; account id = id), rb = accounts.find((r) =&gt; account id = id). The answer is out.</t>
        </is>
      </c>
      <c r="I548" s="3" t="inlineStr">
        <is>
          <t>PARTLY READ — some of the code is still showing through; needs a hand pass</t>
        </is>
      </c>
      <c r="J548" s="3" t="inlineStr">
        <is>
          <t>1. days: SnapshotDay[]
2. priceOn: (securityKey: string, day: string) =&gt; number | null</t>
        </is>
      </c>
      <c r="K548" s="3" t="inlineStr">
        <is>
          <t>SnapshotDay[]</t>
        </is>
      </c>
      <c r="L548" s="3" t="inlineStr">
        <is>
          <t>—</t>
        </is>
      </c>
      <c r="M548" s="3" t="inlineStr">
        <is>
          <t>None found in this function — anything it assumes comes from the functions it depends on.</t>
        </is>
      </c>
      <c r="N548" s="3" t="inlineStr">
        <is>
          <t>Yes</t>
        </is>
      </c>
      <c r="O548" s="3" t="inlineStr">
        <is>
          <t>1. MK-ST-F-027 accountId
2. MK-CF-F-132 map</t>
        </is>
      </c>
      <c r="P548" s="3" t="n">
        <v>2</v>
      </c>
      <c r="Q548" s="3" t="inlineStr">
        <is>
          <t>1. MK-ST-F-027 accountId
2. MK-CF-F-132 map</t>
        </is>
      </c>
      <c r="R548" s="3" t="inlineStr">
        <is>
          <t>1. MK-ST-F-027 accountId → MK-ST-F-084 fillBetweenObservations
2. MK-CF-F-132 map → MK-ST-F-084 fillBetweenObservations</t>
        </is>
      </c>
      <c r="S548" s="3" t="inlineStr">
        <is>
          <t>—</t>
        </is>
      </c>
      <c r="T548" s="3" t="inlineStr">
        <is>
          <t>—</t>
        </is>
      </c>
      <c r="U548" s="3" t="inlineStr">
        <is>
          <t>ACTIVE</t>
        </is>
      </c>
      <c r="V548" s="3" t="inlineStr">
        <is>
          <t>2026-10-04</t>
        </is>
      </c>
      <c r="W548" s="3" t="n"/>
      <c r="X548" s="3" t="n"/>
      <c r="Y548" s="3" t="inlineStr">
        <is>
          <t>NOTHING OPEN</t>
        </is>
      </c>
    </row>
    <row r="549" ht="60" customHeight="1">
      <c r="A549" s="3" t="inlineStr">
        <is>
          <t>MK-XS-F-001</t>
        </is>
      </c>
      <c r="B549" s="3" t="inlineStr">
        <is>
          <t>planCompleteness</t>
        </is>
      </c>
      <c r="C549" s="3" t="inlineStr">
        <is>
          <t>src/domain/completeness/index.ts</t>
        </is>
      </c>
      <c r="D549" s="3" t="n">
        <v>40</v>
      </c>
      <c r="E549" s="3" t="inlineStr">
        <is>
          <t>2 · DISPLAYED</t>
        </is>
      </c>
      <c r="F549" s="3" t="inlineStr">
        <is>
          <t>NOT DETERMINED — the code carries no note saying what this is for, and it has no row in the old inventory. Needs reading.</t>
        </is>
      </c>
      <c r="G549" s="11" t="inlineStr">
        <is>
          <t>done count = checks where donecount of 
total = count of checks
the answer:
checks = checks
done count = done count
total = total
pct = round((done count ÷ total) × 100)</t>
        </is>
      </c>
      <c r="H549" s="3" t="inlineStr">
        <is>
          <t>Done count is checks where donecount of. Total: how many checks there are. The answer is checks = checks; done count = done count; total = total; pct = (done count divided by total, to a whole number times 100).</t>
        </is>
      </c>
      <c r="I549" s="3" t="inlineStr">
        <is>
          <t>READ FROM THE CODE — rendered from the expressions the function runs</t>
        </is>
      </c>
      <c r="J549" s="3" t="inlineStr">
        <is>
          <t>i: CompletenessInput</t>
        </is>
      </c>
      <c r="K549" s="3" t="inlineStr">
        <is>
          <t>NOT DECLARED — the code does not say what it gives back</t>
        </is>
      </c>
      <c r="L549" s="3" t="inlineStr">
        <is>
          <t>NOT FOUND — a screen calls it, but the words printed beside its answer could not be traced automatically. Needs reading.</t>
        </is>
      </c>
      <c r="M549" s="3" t="inlineStr">
        <is>
          <t>· Rounds the answer to a whole number.</t>
        </is>
      </c>
      <c r="N549" s="3" t="inlineStr">
        <is>
          <t>Yes</t>
        </is>
      </c>
      <c r="O549" s="3" t="inlineStr">
        <is>
          <t>—</t>
        </is>
      </c>
      <c r="P549" s="3" t="n">
        <v>0</v>
      </c>
      <c r="Q549" s="3" t="inlineStr">
        <is>
          <t>None — no dependent function stands behind it</t>
        </is>
      </c>
      <c r="R549" s="3" t="inlineStr">
        <is>
          <t>No dependent function — it reads its inputs and answers</t>
        </is>
      </c>
      <c r="S549" s="3" t="inlineStr">
        <is>
          <t>—</t>
        </is>
      </c>
      <c r="T549" s="3" t="inlineStr">
        <is>
          <t>—</t>
        </is>
      </c>
      <c r="U549" s="3" t="inlineStr">
        <is>
          <t>ACTIVE</t>
        </is>
      </c>
      <c r="V549" s="3" t="inlineStr">
        <is>
          <t>2026-08-27</t>
        </is>
      </c>
      <c r="W549" s="3" t="n"/>
      <c r="X549" s="3" t="n"/>
      <c r="Y549" s="3" t="inlineStr">
        <is>
          <t>NOTHING OPEN</t>
        </is>
      </c>
    </row>
    <row r="550" ht="60" customHeight="1">
      <c r="A550" s="3" t="inlineStr">
        <is>
          <t>MK-XS-F-002</t>
        </is>
      </c>
      <c r="B550" s="3" t="inlineStr">
        <is>
          <t>dataGaps</t>
        </is>
      </c>
      <c r="C550" s="3" t="inlineStr">
        <is>
          <t>src/domain/gaps/index.ts</t>
        </is>
      </c>
      <c r="D550" s="3" t="n">
        <v>151</v>
      </c>
      <c r="E550" s="3" t="inlineStr">
        <is>
          <t>2 · DISPLAYED</t>
        </is>
      </c>
      <c r="F550" s="3" t="inlineStr">
        <is>
          <t>Every incomplete promise across the given accounts.</t>
        </is>
      </c>
      <c r="G550"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the answer = gaps</t>
        </is>
      </c>
      <c r="H550"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The answer is gaps.</t>
        </is>
      </c>
      <c r="I550" s="3" t="inlineStr">
        <is>
          <t>PARTLY READ — some of the code is still showing through; needs a hand pass</t>
        </is>
      </c>
      <c r="J550" s="3" t="inlineStr">
        <is>
          <t>Nothing is handed to it</t>
        </is>
      </c>
      <c r="K550" s="3" t="inlineStr">
        <is>
          <t>NOT DECLARED — the code does not say what it gives back</t>
        </is>
      </c>
      <c r="L550" s="3" t="inlineStr">
        <is>
          <t>NOT FOUND — a screen calls it, but the words printed beside its answer could not be traced automatically. Needs reading.</t>
        </is>
      </c>
      <c r="M550" s="3" t="inlineStr">
        <is>
          <t>1. If shares is missing it uses 0.
2. Treats a year as 365 days.
3. Uses today's date from the device clock, so the answer changes by itself overnight.</t>
        </is>
      </c>
      <c r="N550" s="3" t="inlineStr">
        <is>
          <t>Yes</t>
        </is>
      </c>
      <c r="O550" s="3" t="inlineStr">
        <is>
          <t>1. MK-XS-F-170 daysSince
2. MK-NW-F-046 historyCoverage
3. MK-CF-F-204 line
4. MK-XS-F-120 nameOf
5. MK-XS-F-119 namesFor
6. MK-XS-F-118 prettyDate</t>
        </is>
      </c>
      <c r="P550" s="3" t="n">
        <v>116</v>
      </c>
      <c r="Q550" s="3" t="inlineStr">
        <is>
          <t>1. MK-XS-F-170 daysSince
2. MK-NW-F-046 historyCoverage
3. MK-CF-F-204 line
4. MK-XS-F-120 nameOf
5. MK-XS-F-119 namesFor
6. MK-XS-F-118 prettyDate
7. MK-CF-F-203 MONTH
8. MK-CF-F-132 map
9. MK-NW-F-067 plural
10. MK-NW-F-068 prettyDay
11. MK-XS-F-180 declareFigures
12. MK-NW-F-026 accountDisplayNames
13. MK-CF-O-010 theMonth
14. MK-NW-F-109 holdingClassOf
15. MK-NW-F-025 accountDisplayName
16. MK-ST-F-056 has
17. MK-XS-F-122 n
18. MK-CF-F-155 cash
19. MK-CF-O-002 expenses
20. MK-CF-O-003 thisMonth
21. MK-NW-F-008 incomeBearingClassOf
22. MK-NW-F-024 accountLastFour
23. MK-ST-F-039 on
24. MK-NW-F-012 taxTreatmentOf
25. MK-NW-F-023 wrapperWord
26. MK-CF-F-151 actualSpending
27. MK-CF-F-150 debtPaymentsCountedAsExpenses
28. MK-CF-F-153 radar
29. MK-CF-F-149 recurringDebtPayments
30. MK-CF-F-005 actualMonthFlow
31. MK-CF-F-156 plannedMonthFlow
32. MK-ST-F-010 nameEvidence
33. MK-CF-F-148 inMonth
34. MK-ST-F-052 toNum
35. MK-CF-F-191 ym
36. MK-CF-F-022 paymentShape
37. MK-CF-F-152 isRadarItem
38. MK-CF-F-023 requiredPayment
39. MK-NW-F-078 ONE
40. MK-CF-F-157 debtPaymentsByDebt
41. MK-CF-F-192 inflowLabel
42. MK-XS-F-027 takeHomeMonthly
43. MK-XS-F-147 call
44. MK-CF-F-021 defaultPaymentType
45. MK-NW-F-077 ALL
46. MK-NW-F-059 currentYield
47. MK-ST-F-049 formatMoney
48. MK-ST-F-053 money
49. MK-NW-O-001 theBonds
50. MK-CF-F-193 inflowSourceWord
51. MK-CF-F-092 incomeMonthlyGrid
52. MK-CF-F-011 savingsByMonth
53. MK-ST-F-027 accountId
54. MK-XS-F-064 currentIdToken
55. MK-XS-F-112 relayUrl
56. MK-NW-F-112 yearlyInterest
57. MK-ST-F-048 currencySymbol
58. MK-NW-F-057 annualCoupon
59. MK-NW-F-056 bondInfo
60. MK-NW-F-064 bondRateSensitivity
61. MK-NW-F-061 bondSummary
62. MK-NW-F-055 isBond
63. MK-ST-F-065 isoLocalDate
64. MK-NW-F-072 rowOf
65. MK-CF-F-069 benefitActiveMonths
66. MK-CF-F-072 currentRetirementIncomeMonthly
67. MK-CF-F-173 earnerWages
68. MK-CF-F-065 equityVestWeights
69. MK-CF-F-071 extraIncome
70. MK-CF-F-206 householdK401ByMonth
71. MK-CF-F-087 monthlyTaxRates
72. MK-CF-F-073 otherIncomeMonth
73. MK-CF-F-181 rateInForce
74. MK-CF-F-068 rentalNetAnnual
75. MK-CF-F-066 rsuAnnual
76. MK-CF-F-060 salaryGrossByMonth
77. MK-CF-F-077 scholarshipByCalendarMonth
78. MK-CF-F-088 taxableByCalendarMonth
79. MK-CF-F-177 wageGrossByMonth
80. MK-PL-F-012 waterfall
81. MK-CF-F-008 spendByMonth
82. MK-ST-F-047 activeCurrency
83. MK-NW-F-060 approxYTM
84. MK-NW-F-069 priceAtYield
85. MK-NW-F-011 assetClassOf
86. MK-NW-F-070 accruedInterestCaveat
87. MK-NW-F-058 yearsToMaturity
88. MK-CF-F-075 retirementIncomeMonthly
89. MK-CF-F-172 hasWage
90. MK-CF-F-062 equityRowValue
91. MK-CF-F-070 benefitAnnual
92. MK-CF-F-176 sumMonthsOverEarners
93. MK-CF-F-090 effectiveRate
94. MK-CF-F-180 enteredLandsAnnual
95. MK-CF-F-085 filingStatusOf
96. MK-CF-F-089 over65CountOf
97. MK-CF-F-082 salaryAnnual
98. MK-CF-F-086 stateRateOf
99. MK-CF-F-101 taxOwedFor
100. MK-CF-F-084 taxableAnnual
101. MK-CF-F-067 rentalList
102. MK-CF-F-063 rowVestYear
103. MK-CF-F-130 enteredMonthlyRaw
104. MK-CF-F-166 hasMonthlySalaryTable
105. MK-ST-F-036 reconcile
106. MK-CF-F-167 salaryCalendarYear
107. MK-CF-F-120 pctBaseMonthly
108. MK-CF-F-004 spendBuckets
109. MK-NW-F-119 estimatedAccrued
110. MK-CF-F-100 taxableIncomeFor
111. MK-CF-F-074 tipsAnnual
112. MK-CF-F-165 salaryMonths
113. MK-CF-F-003 categoryMonthly
114. MK-CF-F-099 deductionFor
115. MK-CF-F-081 salaryActiveMonths
116. MK-CF-F-187 seniorDeductionFor</t>
        </is>
      </c>
      <c r="R550" s="3" t="inlineStr">
        <is>
          <t>1. MK-XS-F-170 daysSince → MK-XS-F-002 dataGaps
2. MONTH (already above — a loop) → MK-CF-O-010 theMonth → MK-CF-F-203 MONTH → MK-NW-F-046 historyCoverage → MK-XS-F-002 dataGaps
3. MK-XS-F-122 n → MK-CF-F-155 cash → MK-CF-O-010 theMonth → MK-CF-F-203 MONTH → MK-NW-F-046 historyCoverage → MK-XS-F-002 dataGaps
4. MK-CF-F-151 actualSpending → MK-CF-O-002 expenses → MK-CF-O-010 theMonth → MK-CF-F-203 MONTH → MK-NW-F-046 historyCoverage → MK-XS-F-002 dataGaps
5. MK-CF-F-150 debtPaymentsCountedAsExpenses → MK-CF-O-002 expenses → MK-CF-O-010 theMonth → MK-CF-F-203 MONTH → MK-NW-F-046 historyCoverage → MK-XS-F-002 dataGaps
6. MK-CF-F-153 radar → MK-CF-O-002 expenses → MK-CF-O-010 theMonth → MK-CF-F-203 MONTH → MK-NW-F-046 historyCoverage → MK-XS-F-002 dataGaps
7. MK-CF-F-149 recurringDebtPayments → MK-CF-O-002 expenses → MK-CF-O-010 theMonth → MK-CF-F-203 MONTH → MK-NW-F-046 historyCoverage → MK-XS-F-002 dataGaps
8. MK-CF-F-005 actualMonthFlow → MK-CF-O-003 thisMonth → MK-CF-O-010 theMonth → MK-CF-F-203 MONTH → MK-NW-F-046 historyCoverage → MK-XS-F-002 dataGaps
9. … and 5 more paths</t>
        </is>
      </c>
      <c r="S550" s="3" t="inlineStr">
        <is>
          <t>—</t>
        </is>
      </c>
      <c r="T550" s="3" t="inlineStr">
        <is>
          <t>WHAT_IS_MISSING</t>
        </is>
      </c>
      <c r="U550" s="3" t="inlineStr">
        <is>
          <t>ACTIVE</t>
        </is>
      </c>
      <c r="V550" s="3" t="inlineStr">
        <is>
          <t>2026-08-27</t>
        </is>
      </c>
      <c r="W550" s="3" t="n"/>
      <c r="X550" s="3" t="n"/>
      <c r="Y550" s="3" t="inlineStr">
        <is>
          <t>NOTHING OPEN</t>
        </is>
      </c>
    </row>
    <row r="551" ht="60" customHeight="1">
      <c r="A551" s="3" t="inlineStr">
        <is>
          <t>MK-XS-F-003</t>
        </is>
      </c>
      <c r="B551" s="3" t="inlineStr">
        <is>
          <t>gapsHeadline</t>
        </is>
      </c>
      <c r="C551" s="3" t="inlineStr">
        <is>
          <t>src/domain/gaps/index.ts</t>
        </is>
      </c>
      <c r="D551" s="3" t="n">
        <v>277</v>
      </c>
      <c r="E551" s="3" t="inlineStr">
        <is>
          <t>2 · DISPLAYED (presentation only)</t>
        </is>
      </c>
      <c r="F551" s="3" t="inlineStr">
        <is>
          <t>The banner sentence — plural-correct, and absent (null) when nothing is missing.</t>
        </is>
      </c>
      <c r="G551" s="11" t="inlineStr">
        <is>
          <t>nothing   when count of gaps is missing
'1 number needs more information'   if gaps.length = 1
`${gaps.length} numbers need more information`   otherwise</t>
        </is>
      </c>
      <c r="H551" s="3" t="inlineStr">
        <is>
          <t>When how many gaps is missing there are, it answers no answer. '1 number needs more information' — when gaps.length = 1; `${gaps.length} numbers need more information` — otherwise.</t>
        </is>
      </c>
      <c r="I551" s="3" t="inlineStr">
        <is>
          <t>PARTLY READ — some of the code is still showing through; needs a hand pass</t>
        </is>
      </c>
      <c r="J551" s="3" t="inlineStr">
        <is>
          <t>gaps: DataGap[]</t>
        </is>
      </c>
      <c r="K551" s="3" t="inlineStr">
        <is>
          <t>string | null</t>
        </is>
      </c>
      <c r="L551" s="3" t="inlineStr">
        <is>
          <t>NOT FOUND — a screen calls it, but the words printed beside its answer could not be traced automatically. Needs reading.</t>
        </is>
      </c>
      <c r="M551" s="3" t="inlineStr">
        <is>
          <t>None found in this function — anything it assumes comes from the functions it depends on.</t>
        </is>
      </c>
      <c r="N551" s="3" t="inlineStr">
        <is>
          <t>Yes</t>
        </is>
      </c>
      <c r="O551" s="3" t="inlineStr">
        <is>
          <t>—</t>
        </is>
      </c>
      <c r="P551" s="3" t="n">
        <v>0</v>
      </c>
      <c r="Q551" s="3" t="inlineStr">
        <is>
          <t>None — no dependent function stands behind it</t>
        </is>
      </c>
      <c r="R551" s="3" t="inlineStr">
        <is>
          <t>No dependent function — it reads its inputs and answers</t>
        </is>
      </c>
      <c r="S551" s="3" t="inlineStr">
        <is>
          <t>—</t>
        </is>
      </c>
      <c r="T551" s="3" t="inlineStr">
        <is>
          <t>—</t>
        </is>
      </c>
      <c r="U551" s="3" t="inlineStr">
        <is>
          <t>ACTIVE</t>
        </is>
      </c>
      <c r="V551" s="3" t="inlineStr">
        <is>
          <t>2026-08-27</t>
        </is>
      </c>
      <c r="W551" s="3" t="n"/>
      <c r="X551" s="3" t="n"/>
      <c r="Y551" s="3" t="inlineStr">
        <is>
          <t>NOTHING OPEN</t>
        </is>
      </c>
    </row>
    <row r="552" ht="60" customHeight="1">
      <c r="A552" s="3" t="inlineStr">
        <is>
          <t>MK-XS-F-004</t>
        </is>
      </c>
      <c r="B552" s="3" t="inlineStr">
        <is>
          <t>buildDatedGrid</t>
        </is>
      </c>
      <c r="C552" s="3" t="inlineStr">
        <is>
          <t>src/domain/grid/index.ts</t>
        </is>
      </c>
      <c r="D552" s="3" t="n">
        <v>114</v>
      </c>
      <c r="E552" s="3" t="inlineStr">
        <is>
          <t>2 · DISPLAYED</t>
        </is>
      </c>
      <c r="F552" s="3" t="inlineStr">
        <is>
          <t>Build the dated 12-month grid.</t>
        </is>
      </c>
      <c r="G552"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52"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52" s="3" t="inlineStr">
        <is>
          <t>PARTLY READ — the body has a loop the extractor cannot render; the steps shown are the ones before it. Needs a hand pass (G23).</t>
        </is>
      </c>
      <c r="J552" s="3" t="inlineStr">
        <is>
          <t>1. op: OnboardingProfile | null
2. opts: GridOptions = {}</t>
        </is>
      </c>
      <c r="K552" s="3" t="inlineStr">
        <is>
          <t>DatedGrid</t>
        </is>
      </c>
      <c r="L552" s="3" t="inlineStr">
        <is>
          <t>NOT FOUND — a screen calls it, but the words printed beside its answer could not be traced automatically. Needs reading.</t>
        </is>
      </c>
      <c r="M552"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52" s="3" t="inlineStr">
        <is>
          <t>Yes</t>
        </is>
      </c>
      <c r="O552"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52" s="3" t="n">
        <v>105</v>
      </c>
      <c r="Q552"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MK-ST-F-039 on
31. MK-CF-F-021 defaultPaymentType
32. MK-CF-F-067 rentalList
33. MK-CF-F-176 sumMonthsOverEarners
34. MK-CF-F-177 wageGrossByMonth
35. MK-CF-F-120 pctBaseMonthly
36. MK-CF-F-004 spendBuckets
37. MK-CF-F-063 rowVestYear
38. MK-CF-F-148 inMonth
39. MK-CF-F-191 ym
40. MK-CF-F-152 isRadarItem
41. MK-CF-O-010 theMonth
42. MK-ST-F-048 currencySymbol
43. MK-CF-F-181 rateInForce
44. MK-CF-F-173 earnerWages
45. MK-CF-F-130 enteredMonthlyRaw
46. MK-CF-F-166 hasMonthlySalaryTable
47. MK-ST-F-036 reconcile
48. MK-CF-F-167 salaryCalendarYear
49. MK-CF-F-092 incomeMonthlyGrid
50. MK-CF-F-003 categoryMonthly
51. MK-CF-F-155 cash
52. MK-CF-O-003 thisMonth
53. MK-ST-F-047 activeCurrency
54. MK-CF-F-180 enteredLandsAnnual
55. MK-CF-F-085 filingStatusOf
56. MK-CF-F-206 householdK401ByMonth
57. MK-CF-F-089 over65CountOf
58. MK-CF-F-082 salaryAnnual
59. MK-CF-F-086 stateRateOf
60. MK-CF-F-101 taxOwedFor
61. MK-CF-F-084 taxableAnnual
62. MK-CF-F-172 hasWage
63. MK-CF-F-165 salaryMonths
64. MK-CF-F-065 equityVestWeights
65. MK-CF-F-071 extraIncome
66. MK-CF-F-077 scholarshipByCalendarMonth
67. MK-CF-F-088 taxableByCalendarMonth
68. MK-PL-F-012 waterfall
69. MK-XS-F-027 takeHomeMonthly
70. MK-CF-F-005 actualMonthFlow
71. MK-CF-F-156 plannedMonthFlow
72. MK-CF-F-100 taxableIncomeFor
73. MK-CF-F-074 tipsAnnual
74. MK-CF-F-070 benefitAnnual
75. MK-CF-F-011 savingsByMonth
76. MK-NW-F-078 ONE
77. MK-CF-F-157 debtPaymentsByDebt
78. MK-CF-F-192 inflowLabel
79. MK-CF-F-099 deductionFor
80. MK-CF-F-081 salaryActiveMonths
81. MK-NW-F-077 ALL
82. MK-NW-F-059 currentYield
83. MK-NW-O-001 theBonds
84. MK-CF-F-193 inflowSourceWord
85. MK-CF-F-187 seniorDeductionFor
86. MK-NW-F-112 yearlyInterest
87. MK-ST-F-027 accountId
88. MK-NW-F-057 annualCoupon
89. MK-NW-F-056 bondInfo
90. MK-NW-F-064 bondRateSensitivity
91. MK-NW-F-061 bondSummary
92. MK-NW-F-055 isBond
93. MK-ST-F-065 isoLocalDate
94. MK-NW-F-072 rowOf
95. MK-NW-F-060 approxYTM
96. MK-NW-F-069 priceAtYield
97. MK-NW-F-011 assetClassOf
98. MK-NW-F-070 accruedInterestCaveat
99. MK-NW-F-058 yearsToMaturity
100. MK-NW-F-119 estimatedAccrued
101. MK-NW-F-008 incomeBearingClassOf
102. MK-ST-F-010 nameEvidence
103. MK-XS-F-147 call
104. MK-XS-F-064 currentIdToken
105. MK-XS-F-112 relayUrl</t>
        </is>
      </c>
      <c r="R552"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52" s="3" t="inlineStr">
        <is>
          <t>—</t>
        </is>
      </c>
      <c r="T552" s="3" t="inlineStr">
        <is>
          <t>—</t>
        </is>
      </c>
      <c r="U552" s="3" t="inlineStr">
        <is>
          <t>ACTIVE</t>
        </is>
      </c>
      <c r="V552" s="3" t="inlineStr">
        <is>
          <t>2026-09-08</t>
        </is>
      </c>
      <c r="W552" s="3" t="n"/>
      <c r="X552" s="3" t="n"/>
      <c r="Y552" s="3" t="inlineStr">
        <is>
          <t>NOTHING OPEN</t>
        </is>
      </c>
    </row>
    <row r="553" ht="60" customHeight="1">
      <c r="A553" s="3" t="inlineStr">
        <is>
          <t>MK-XS-F-005</t>
        </is>
      </c>
      <c r="B553" s="3" t="inlineStr">
        <is>
          <t>trendPoints</t>
        </is>
      </c>
      <c r="C553" s="3" t="inlineStr">
        <is>
          <t>src/domain/history.ts</t>
        </is>
      </c>
      <c r="D553" s="3" t="n">
        <v>64</v>
      </c>
      <c r="E553" s="3" t="inlineStr">
        <is>
          <t>2 · DISPLAYED</t>
        </is>
      </c>
      <c r="F553" s="3" t="inlineStr">
        <is>
          <t>Chart series = monthly snapshots + daily points, chronological ('YYYY-MM' sorts before its days).</t>
        </is>
      </c>
      <c r="G553" s="11" t="inlineStr">
        <is>
          <t>pts = for each of read history(monthly): key = month
nw = net worth
the answer = pts.sort((a, b) =&gt; key.locale compare(key))</t>
        </is>
      </c>
      <c r="H553" s="3" t="inlineStr">
        <is>
          <t>Pts is for each of read history(monthly): key = month; nw = net worth. The answer is pts.sort((a, b) =&gt; key.locale compare(key)).</t>
        </is>
      </c>
      <c r="I553" s="3" t="inlineStr">
        <is>
          <t>PARTLY READ — some of the code is still showing through; needs a hand pass</t>
        </is>
      </c>
      <c r="J553" s="3" t="inlineStr">
        <is>
          <t>Nothing is handed to it</t>
        </is>
      </c>
      <c r="K553" s="3" t="inlineStr">
        <is>
          <t>NOT DECLARED — the code does not say what it gives back</t>
        </is>
      </c>
      <c r="L553" s="3" t="inlineStr">
        <is>
          <t>NOT FOUND — a screen calls it, but the words printed beside its answer could not be traced automatically. Needs reading.</t>
        </is>
      </c>
      <c r="M553" s="3" t="inlineStr">
        <is>
          <t>None found in this function — anything it assumes comes from the functions it depends on.</t>
        </is>
      </c>
      <c r="N553" s="3" t="inlineStr">
        <is>
          <t>Yes</t>
        </is>
      </c>
      <c r="O553" s="3" t="inlineStr">
        <is>
          <t>1. MK-CF-F-132 map
2. MK-XS-F-009 readHistory</t>
        </is>
      </c>
      <c r="P553" s="3" t="n">
        <v>7</v>
      </c>
      <c r="Q553" s="3" t="inlineStr">
        <is>
          <t>1. MK-CF-F-132 map
2. MK-XS-F-009 readHistory
3. MK-XS-F-008 normalizeSnapshot
4. MK-ST-F-030 record
5. MK-CF-F-191 ym
6. MK-XS-F-121 isYm
7. MK-XS-F-122 n</t>
        </is>
      </c>
      <c r="R553"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MK-ST-F-030 record → MK-XS-F-009 readHistory → MK-XS-F-005 trendPoints
7. MK-CF-F-191 ym → MK-XS-F-009 readHistory → MK-XS-F-005 trendPoints</t>
        </is>
      </c>
      <c r="S553" s="3" t="inlineStr">
        <is>
          <t>—</t>
        </is>
      </c>
      <c r="T553" s="3" t="inlineStr">
        <is>
          <t>TREND_SERIES</t>
        </is>
      </c>
      <c r="U553" s="3" t="inlineStr">
        <is>
          <t>ACTIVE</t>
        </is>
      </c>
      <c r="V553" s="3" t="inlineStr">
        <is>
          <t>2026-08-27</t>
        </is>
      </c>
      <c r="W553" s="3" t="n"/>
      <c r="X553" s="3" t="n"/>
      <c r="Y553" s="3" t="inlineStr">
        <is>
          <t>NOTHING OPEN</t>
        </is>
      </c>
    </row>
    <row r="554" ht="60" customHeight="1">
      <c r="A554" s="3" t="inlineStr">
        <is>
          <t>MK-XS-F-006</t>
        </is>
      </c>
      <c r="B554" s="3" t="inlineStr">
        <is>
          <t>pruneDaily</t>
        </is>
      </c>
      <c r="C554" s="3" t="inlineStr">
        <is>
          <t>src/domain/history.ts</t>
        </is>
      </c>
      <c r="D554" s="3" t="n">
        <v>106</v>
      </c>
      <c r="E554" s="3" t="inlineStr">
        <is>
          <t>3 · DEPENDENT</t>
        </is>
      </c>
      <c r="F554" s="3" t="inlineStr">
        <is>
          <t>Prune helper for the store writer: newest DAILY_KEEP days survive.</t>
        </is>
      </c>
      <c r="G554" s="11" t="inlineStr">
        <is>
          <t>keys = the names in daily, in order
daily   when keys.length ≤ DAILY_KEEP
keep = a list with no repeats of keys.slice(-DAILY_KEEP)
the answer = object.from entries(object.entries(daily).filter(([k]) =&gt; keep.has(k)))</t>
        </is>
      </c>
      <c r="H554" s="3" t="inlineStr">
        <is>
          <t>Keys: the names in daily, in order. When keys.length is at most DAILY_KEEP, it answers daily. Keep is a list with no repeats of keys.slice(-DAILY_KEEP). The answer is object.from entries(object.entries(daily).filter(([k]) =&gt; keep.has(k))).</t>
        </is>
      </c>
      <c r="I554" s="3" t="inlineStr">
        <is>
          <t>PARTLY READ — some of the code is still showing through; needs a hand pass</t>
        </is>
      </c>
      <c r="J554" s="3" t="inlineStr">
        <is>
          <t>daily: Record&lt;string, number&gt;</t>
        </is>
      </c>
      <c r="K554" s="3" t="inlineStr">
        <is>
          <t>Record&lt;string, number&gt;</t>
        </is>
      </c>
      <c r="L554" s="3" t="inlineStr">
        <is>
          <t>—</t>
        </is>
      </c>
      <c r="M554" s="3" t="inlineStr">
        <is>
          <t>None found in this function — anything it assumes comes from the functions it depends on.</t>
        </is>
      </c>
      <c r="N554" s="3" t="inlineStr">
        <is>
          <t>Yes</t>
        </is>
      </c>
      <c r="O554" s="3" t="inlineStr">
        <is>
          <t>MK-ST-F-056 has</t>
        </is>
      </c>
      <c r="P554" s="3" t="n">
        <v>1</v>
      </c>
      <c r="Q554" s="3" t="inlineStr">
        <is>
          <t>MK-ST-F-056 has</t>
        </is>
      </c>
      <c r="R554" s="3" t="inlineStr">
        <is>
          <t>MK-ST-F-056 has → MK-XS-F-006 pruneDaily</t>
        </is>
      </c>
      <c r="S554" s="3" t="inlineStr">
        <is>
          <t>—</t>
        </is>
      </c>
      <c r="T554" s="3" t="inlineStr">
        <is>
          <t>—</t>
        </is>
      </c>
      <c r="U554" s="3" t="inlineStr">
        <is>
          <t>ACTIVE</t>
        </is>
      </c>
      <c r="V554" s="3" t="inlineStr">
        <is>
          <t>2026-09-12</t>
        </is>
      </c>
      <c r="W554" s="3" t="n"/>
      <c r="X554" s="3" t="n"/>
      <c r="Y554" s="3" t="inlineStr">
        <is>
          <t>NOTHING OPEN</t>
        </is>
      </c>
    </row>
    <row r="555" ht="60" customHeight="1">
      <c r="A555" s="3" t="inlineStr">
        <is>
          <t>MK-XS-F-007</t>
        </is>
      </c>
      <c r="B555" s="3" t="inlineStr">
        <is>
          <t>makeMonthlySnapshot</t>
        </is>
      </c>
      <c r="C555" s="3" t="inlineStr">
        <is>
          <t>src/domain/history.ts</t>
        </is>
      </c>
      <c r="D555" s="3" t="n">
        <v>194</v>
      </c>
      <c r="E555" s="3" t="inlineStr">
        <is>
          <t>2 · DISPLAYED</t>
        </is>
      </c>
      <c r="F555" s="3" t="inlineStr">
        <is>
          <t>The ONE writer — stamps the version and keeps the arithmetic identity by construction.</t>
        </is>
      </c>
      <c r="G555" s="11" t="inlineStr">
        <is>
          <t>net worth = gross assets − gross debt
v = the snapshot version</t>
        </is>
      </c>
      <c r="H555" s="3" t="inlineStr">
        <is>
          <t>Builds a month-end snapshot: net worth is assets minus debts, computed here and never stored as a third figure that could disagree with its own halves.</t>
        </is>
      </c>
      <c r="I555" s="3" t="inlineStr">
        <is>
          <t>READ BY HAND 2026-08-26 — checked line by line against the code</t>
        </is>
      </c>
      <c r="J555" s="3" t="inlineStr">
        <is>
          <t>i: Omit&lt;MonthlySnapshot, 'v' | 'net_worth'&gt; &amp; { net_worth?: number }</t>
        </is>
      </c>
      <c r="K555" s="3" t="inlineStr">
        <is>
          <t>MonthlySnapshot</t>
        </is>
      </c>
      <c r="L555" s="3" t="inlineStr">
        <is>
          <t>NOT FOUND — a screen calls it, but the words printed beside its answer could not be traced automatically. Needs reading.</t>
        </is>
      </c>
      <c r="M555" s="3" t="inlineStr">
        <is>
          <t>None found in this function — anything it assumes comes from the functions it depends on.</t>
        </is>
      </c>
      <c r="N555" s="3" t="inlineStr">
        <is>
          <t>Yes</t>
        </is>
      </c>
      <c r="O555" s="3" t="inlineStr">
        <is>
          <t>MK-XS-F-122 n</t>
        </is>
      </c>
      <c r="P555" s="3" t="n">
        <v>1</v>
      </c>
      <c r="Q555" s="3" t="inlineStr">
        <is>
          <t>MK-XS-F-122 n</t>
        </is>
      </c>
      <c r="R555" s="3" t="inlineStr">
        <is>
          <t>MK-XS-F-122 n → MK-XS-F-007 makeMonthlySnapshot</t>
        </is>
      </c>
      <c r="S555" s="3" t="inlineStr">
        <is>
          <t>—</t>
        </is>
      </c>
      <c r="T555" s="3" t="inlineStr">
        <is>
          <t>—</t>
        </is>
      </c>
      <c r="U555" s="3" t="inlineStr">
        <is>
          <t>ACTIVE</t>
        </is>
      </c>
      <c r="V555" s="3" t="inlineStr">
        <is>
          <t>2026-09-12</t>
        </is>
      </c>
      <c r="W555" s="3" t="n"/>
      <c r="X555" s="3" t="n"/>
      <c r="Y555" s="3" t="inlineStr">
        <is>
          <t>NOTHING OPEN</t>
        </is>
      </c>
    </row>
    <row r="556" ht="60" customHeight="1">
      <c r="A556" s="3" t="inlineStr">
        <is>
          <t>MK-XS-F-008</t>
        </is>
      </c>
      <c r="B556" s="3" t="inlineStr">
        <is>
          <t>normalizeSnapshot</t>
        </is>
      </c>
      <c r="C556" s="3" t="inlineStr">
        <is>
          <t>src/domain/history.ts</t>
        </is>
      </c>
      <c r="D556" s="3" t="n">
        <v>234</v>
      </c>
      <c r="E556" s="3" t="inlineStr">
        <is>
          <t>3 · DEPENDENT</t>
        </is>
      </c>
      <c r="F556" s="3" t="inlineStr">
        <is>
          <t>Normalize ONE stored entry: v1 passes validated; a legacy blob (no `v`) maps best-effort; anything without a real month + net worth is dropped (null), never charted.</t>
        </is>
      </c>
      <c r="G556"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56"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56" s="3" t="inlineStr">
        <is>
          <t>PARTLY READ — some of the code is still showing through; needs a hand pass</t>
        </is>
      </c>
      <c r="J556" s="3" t="inlineStr">
        <is>
          <t>1. ym: string
2. raw: unknown</t>
        </is>
      </c>
      <c r="K556" s="3" t="inlineStr">
        <is>
          <t>MonthlySnapshot | null</t>
        </is>
      </c>
      <c r="L556" s="3" t="inlineStr">
        <is>
          <t>—</t>
        </is>
      </c>
      <c r="M556" s="3" t="inlineStr">
        <is>
          <t>None found in this function — anything it assumes comes from the functions it depends on.</t>
        </is>
      </c>
      <c r="N556" s="3" t="inlineStr">
        <is>
          <t>Yes</t>
        </is>
      </c>
      <c r="O556" s="3" t="inlineStr">
        <is>
          <t>1. MK-XS-F-121 isYm
2. MK-XS-F-122 n
3. MK-CF-F-191 ym</t>
        </is>
      </c>
      <c r="P556" s="3" t="n">
        <v>3</v>
      </c>
      <c r="Q556" s="3" t="inlineStr">
        <is>
          <t>1. MK-XS-F-121 isYm
2. MK-XS-F-122 n
3. MK-CF-F-191 ym</t>
        </is>
      </c>
      <c r="R556" s="3" t="inlineStr">
        <is>
          <t>1. MK-XS-F-121 isYm → MK-XS-F-008 normalizeSnapshot
2. MK-XS-F-122 n → MK-XS-F-008 normalizeSnapshot
3. MK-CF-F-191 ym → MK-XS-F-008 normalizeSnapshot</t>
        </is>
      </c>
      <c r="S556" s="3" t="inlineStr">
        <is>
          <t>—</t>
        </is>
      </c>
      <c r="T556" s="3" t="inlineStr">
        <is>
          <t>SNAPSHOT_READ_ONE</t>
        </is>
      </c>
      <c r="U556" s="3" t="inlineStr">
        <is>
          <t>ACTIVE</t>
        </is>
      </c>
      <c r="V556" s="3" t="inlineStr">
        <is>
          <t>2026-09-09</t>
        </is>
      </c>
      <c r="W556" s="3" t="n"/>
      <c r="X556" s="3" t="n"/>
      <c r="Y556" s="3" t="inlineStr">
        <is>
          <t>NOTHING OPEN</t>
        </is>
      </c>
    </row>
    <row r="557" ht="60" customHeight="1">
      <c r="A557" s="3" t="inlineStr">
        <is>
          <t>MK-XS-F-009</t>
        </is>
      </c>
      <c r="B557" s="3" t="inlineStr">
        <is>
          <t>readHistory</t>
        </is>
      </c>
      <c r="C557" s="3" t="inlineStr">
        <is>
          <t>src/domain/history.ts</t>
        </is>
      </c>
      <c r="D557" s="3" t="n">
        <v>285</v>
      </c>
      <c r="E557" s="3" t="inlineStr">
        <is>
          <t>2 · DISPLAYED</t>
        </is>
      </c>
      <c r="F557" s="3" t="inlineStr">
        <is>
          <t>The ONE reader every history surface uses: normalized, garbage-free, sorted by month.</t>
        </is>
      </c>
      <c r="G557" s="11" t="inlineStr">
        <is>
          <t>for each stored month: normalize snapshot(month, value); drop the unreadable ones; sort by month, oldest first</t>
        </is>
      </c>
      <c r="H557" s="3" t="inlineStr">
        <is>
          <t>Reads the stored monthly snapshots, drops any that cannot be read, and sorts them oldest first. No arithmetic beyond the ordering.</t>
        </is>
      </c>
      <c r="I557" s="3" t="inlineStr">
        <is>
          <t>READ BY HAND 2026-08-26 — checked line by line against the code</t>
        </is>
      </c>
      <c r="J557" s="3" t="inlineStr">
        <is>
          <t>raw: Record&lt;string, unknown&gt; | null | undefined</t>
        </is>
      </c>
      <c r="K557" s="3" t="inlineStr">
        <is>
          <t>MonthlySnapshot[]</t>
        </is>
      </c>
      <c r="L557" s="3" t="inlineStr">
        <is>
          <t>NOT FOUND — a screen calls it, but the words printed beside its answer could not be traced automatically. Needs reading.</t>
        </is>
      </c>
      <c r="M557" s="3" t="inlineStr">
        <is>
          <t>None found in this function — anything it assumes comes from the functions it depends on.</t>
        </is>
      </c>
      <c r="N557" s="3" t="inlineStr">
        <is>
          <t>Yes</t>
        </is>
      </c>
      <c r="O557" s="3" t="inlineStr">
        <is>
          <t>1. MK-CF-F-132 map
2. MK-XS-F-008 normalizeSnapshot
3. MK-ST-F-030 record
4. MK-CF-F-191 ym</t>
        </is>
      </c>
      <c r="P557" s="3" t="n">
        <v>6</v>
      </c>
      <c r="Q557" s="3" t="inlineStr">
        <is>
          <t>1. MK-CF-F-132 map
2. MK-XS-F-008 normalizeSnapshot
3. MK-ST-F-030 record
4. MK-CF-F-191 ym
5. MK-XS-F-121 isYm
6. MK-XS-F-122 n</t>
        </is>
      </c>
      <c r="R557" s="3" t="inlineStr">
        <is>
          <t>1. MK-CF-F-132 map → MK-XS-F-009 readHistory
2. MK-XS-F-121 isYm → MK-XS-F-008 normalizeSnapshot → MK-XS-F-009 readHistory
3. MK-XS-F-122 n → MK-XS-F-008 normalizeSnapshot → MK-XS-F-009 readHistory
4. MK-CF-F-191 ym → MK-XS-F-008 normalizeSnapshot → MK-XS-F-009 readHistory
5. MK-ST-F-030 record → MK-XS-F-009 readHistory
6. MK-CF-F-191 ym → MK-XS-F-009 readHistory</t>
        </is>
      </c>
      <c r="S557" s="3" t="inlineStr">
        <is>
          <t>—</t>
        </is>
      </c>
      <c r="T557" s="3" t="inlineStr">
        <is>
          <t>SNAPSHOT_READ_ALL</t>
        </is>
      </c>
      <c r="U557" s="3" t="inlineStr">
        <is>
          <t>ACTIVE</t>
        </is>
      </c>
      <c r="V557" s="3" t="inlineStr">
        <is>
          <t>2026-09-12</t>
        </is>
      </c>
      <c r="W557" s="3" t="n"/>
      <c r="X557" s="3" t="n"/>
      <c r="Y557" s="3" t="inlineStr">
        <is>
          <t>NOTHING OPEN</t>
        </is>
      </c>
    </row>
    <row r="558" ht="60" customHeight="1">
      <c r="A558" s="3" t="inlineStr">
        <is>
          <t>MK-XS-F-011</t>
        </is>
      </c>
      <c r="B558" s="3" t="inlineStr">
        <is>
          <t>buildChangeWalk</t>
        </is>
      </c>
      <c r="C558" s="3" t="inlineStr">
        <is>
          <t>src/domain/history.ts</t>
        </is>
      </c>
      <c r="D558" s="3" t="n">
        <v>342</v>
      </c>
      <c r="E558" s="3" t="inlineStr">
        <is>
          <t>2 · DISPLAYED</t>
        </is>
      </c>
      <c r="F558" s="3" t="inlineStr">
        <is>
          <t>My net worth changed since last time — what actually caused it?</t>
        </is>
      </c>
      <c r="G558"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58"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58" s="3" t="inlineStr">
        <is>
          <t>PARTLY READ — some of the code is still showing through; needs a hand pass</t>
        </is>
      </c>
      <c r="J558" s="3" t="inlineStr">
        <is>
          <t>Nothing is handed to it</t>
        </is>
      </c>
      <c r="K558" s="3" t="inlineStr">
        <is>
          <t>NOT DECLARED — the code does not say what it gives back</t>
        </is>
      </c>
      <c r="L558" s="3" t="inlineStr">
        <is>
          <t>NOT FOUND — a screen calls it, but the words printed beside its answer could not be traced automatically. Needs reading.</t>
        </is>
      </c>
      <c r="M558" s="3" t="inlineStr">
        <is>
          <t>1. If contributions is missing it uses 0.
2. If withdrawals is missing it uses 0.
3. If dividends is missing it uses 0.
4. If interest is missing it uses 0.
5. If debt principal is missing it uses 0.</t>
        </is>
      </c>
      <c r="N558" s="3" t="inlineStr">
        <is>
          <t>Yes</t>
        </is>
      </c>
      <c r="O558" s="3" t="inlineStr">
        <is>
          <t>—</t>
        </is>
      </c>
      <c r="P558" s="3" t="n">
        <v>0</v>
      </c>
      <c r="Q558" s="3" t="inlineStr">
        <is>
          <t>None — no dependent function stands behind it</t>
        </is>
      </c>
      <c r="R558" s="3" t="inlineStr">
        <is>
          <t>No dependent function — it reads its inputs and answers</t>
        </is>
      </c>
      <c r="S558" s="3" t="inlineStr">
        <is>
          <t>—</t>
        </is>
      </c>
      <c r="T558" s="3" t="inlineStr">
        <is>
          <t>NW_CHANGE_WALK</t>
        </is>
      </c>
      <c r="U558" s="3" t="inlineStr">
        <is>
          <t>ACTIVE</t>
        </is>
      </c>
      <c r="V558" s="3" t="inlineStr">
        <is>
          <t>2026-09-09</t>
        </is>
      </c>
      <c r="W558" s="3" t="n"/>
      <c r="X558" s="3" t="n"/>
      <c r="Y558" s="3" t="inlineStr">
        <is>
          <t>NOTHING OPEN</t>
        </is>
      </c>
    </row>
    <row r="559" ht="60" customHeight="1">
      <c r="A559" s="3" t="inlineStr">
        <is>
          <t>MK-XS-F-012</t>
        </is>
      </c>
      <c r="B559" s="3" t="inlineStr">
        <is>
          <t>decodeCsvBase64</t>
        </is>
      </c>
      <c r="C559" s="3" t="inlineStr">
        <is>
          <t>src/domain/import/holdingsImport.ts</t>
        </is>
      </c>
      <c r="D559" s="3" t="n">
        <v>149</v>
      </c>
      <c r="E559" s="3" t="inlineStr">
        <is>
          <t>2 · DISPLAYED</t>
        </is>
      </c>
      <c r="F559" s="3" t="inlineStr">
        <is>
          <t>What is the text of the file that was picked?</t>
        </is>
      </c>
      <c r="G559"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59"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59" s="3" t="inlineStr">
        <is>
          <t>PARTLY READ — the body has a loop the extractor cannot render; the steps shown are the ones before it. Needs a hand pass (G23).</t>
        </is>
      </c>
      <c r="J559" s="3" t="inlineStr">
        <is>
          <t>b64: string</t>
        </is>
      </c>
      <c r="K559" s="3" t="inlineStr">
        <is>
          <t>string</t>
        </is>
      </c>
      <c r="L559" s="3" t="inlineStr">
        <is>
          <t>NOT FOUND — a screen calls it, but the words printed beside its answer could not be traced automatically. Needs reading.</t>
        </is>
      </c>
      <c r="M559" s="3" t="inlineStr">
        <is>
          <t>1. Uses a built-in start of 0.
2. Uses a built-in nul of 0.
3. Caps length at 400.</t>
        </is>
      </c>
      <c r="N559" s="3" t="inlineStr">
        <is>
          <t>Yes</t>
        </is>
      </c>
      <c r="O559" s="3" t="inlineStr">
        <is>
          <t>1. MK-XS-F-123 base64ToBytes
2. MK-XS-F-125 decodeUtf16
3. MK-XS-F-124 decodeUtf8</t>
        </is>
      </c>
      <c r="P559" s="3" t="n">
        <v>3</v>
      </c>
      <c r="Q559" s="3" t="inlineStr">
        <is>
          <t>1. MK-XS-F-123 base64ToBytes
2. MK-XS-F-125 decodeUtf16
3. MK-XS-F-124 decodeUtf8</t>
        </is>
      </c>
      <c r="R559" s="3" t="inlineStr">
        <is>
          <t>1. MK-XS-F-123 base64ToBytes → MK-XS-F-012 decodeCsvBase64
2. MK-XS-F-125 decodeUtf16 → MK-XS-F-012 decodeCsvBase64
3. MK-XS-F-124 decodeUtf8 → MK-XS-F-012 decodeCsvBase64</t>
        </is>
      </c>
      <c r="S559" s="3" t="inlineStr">
        <is>
          <t>—</t>
        </is>
      </c>
      <c r="T559" s="3" t="inlineStr">
        <is>
          <t>FILE_DECODE</t>
        </is>
      </c>
      <c r="U559" s="3" t="inlineStr">
        <is>
          <t>ACTIVE</t>
        </is>
      </c>
      <c r="V559" s="3" t="inlineStr">
        <is>
          <t>2026-09-08</t>
        </is>
      </c>
      <c r="W559" s="3" t="n"/>
      <c r="X559" s="3" t="n"/>
      <c r="Y559" s="3" t="inlineStr">
        <is>
          <t>NOTHING OPEN</t>
        </is>
      </c>
    </row>
    <row r="560" ht="60" customHeight="1">
      <c r="A560" s="3" t="inlineStr">
        <is>
          <t>MK-XS-F-013</t>
        </is>
      </c>
      <c r="B560" s="3" t="inlineStr">
        <is>
          <t>parseCsv</t>
        </is>
      </c>
      <c r="C560" s="3" t="inlineStr">
        <is>
          <t>src/domain/import/holdingsImport.ts</t>
        </is>
      </c>
      <c r="D560" s="3" t="n">
        <v>186</v>
      </c>
      <c r="E560" s="3" t="inlineStr">
        <is>
          <t>3 · DEPENDENT</t>
        </is>
      </c>
      <c r="F560" s="3" t="inlineStr">
        <is>
          <t>Minimal RFC-4180-ish CSV parser: handles quoted fields, embedded commas, "" escapes, CR/LF, BOM.</t>
        </is>
      </c>
      <c r="G560" s="11" t="inlineStr">
        <is>
          <t>rows = []
row = []
field = ''
in quotes = false
s = (text.char code at(0) = 0xFEFF ? text.slice(1) : text).replace( ÷ \r\n ÷ g, "\n").replace( ÷ \r ÷ g, "\n")
c = s[i]
the answer = rows where some((cell) =&gt; cell.trim() ! = '')</t>
        </is>
      </c>
      <c r="H560" s="3" t="inlineStr">
        <is>
          <t>Rows is []. Row is []. Field is ''. In quotes is false. S is (text.char code at(0) = 0xFEFF ? text.slice(1) : text).replace( divided by \r\n divided by g, "\n").replace( divided by \r divided by g, "\n"). C is s[i]. The answer is rows where some((cell) =&gt; cell.trim() ! = '').</t>
        </is>
      </c>
      <c r="I560" s="3" t="inlineStr">
        <is>
          <t>PARTLY READ — some of the code is still showing through; needs a hand pass</t>
        </is>
      </c>
      <c r="J560" s="3" t="inlineStr">
        <is>
          <t>text: string</t>
        </is>
      </c>
      <c r="K560" s="3" t="inlineStr">
        <is>
          <t>string[][]</t>
        </is>
      </c>
      <c r="L560" s="3" t="inlineStr">
        <is>
          <t>—</t>
        </is>
      </c>
      <c r="M560" s="3" t="inlineStr">
        <is>
          <t>None found in this function — anything it assumes comes from the functions it depends on.</t>
        </is>
      </c>
      <c r="N560" s="3" t="inlineStr">
        <is>
          <t>Yes</t>
        </is>
      </c>
      <c r="O560" s="3" t="inlineStr">
        <is>
          <t>—</t>
        </is>
      </c>
      <c r="P560" s="3" t="n">
        <v>0</v>
      </c>
      <c r="Q560" s="3" t="inlineStr">
        <is>
          <t>None — no dependent function stands behind it</t>
        </is>
      </c>
      <c r="R560" s="3" t="inlineStr">
        <is>
          <t>No dependent function — it reads its inputs and answers</t>
        </is>
      </c>
      <c r="S560" s="3" t="inlineStr">
        <is>
          <t>—</t>
        </is>
      </c>
      <c r="T560" s="3" t="inlineStr">
        <is>
          <t>FILE_PARSE</t>
        </is>
      </c>
      <c r="U560" s="3" t="inlineStr">
        <is>
          <t>ACTIVE</t>
        </is>
      </c>
      <c r="V560" s="3" t="inlineStr">
        <is>
          <t>2026-08-27</t>
        </is>
      </c>
      <c r="W560" s="3" t="n"/>
      <c r="X560" s="3" t="n"/>
      <c r="Y560" s="3" t="inlineStr">
        <is>
          <t>NOTHING OPEN</t>
        </is>
      </c>
    </row>
    <row r="561" ht="60" customHeight="1">
      <c r="A561" s="3" t="inlineStr">
        <is>
          <t>MK-XS-F-014</t>
        </is>
      </c>
      <c r="B561" s="3" t="inlineStr">
        <is>
          <t>classifyHolding</t>
        </is>
      </c>
      <c r="C561" s="3" t="inlineStr">
        <is>
          <t>Calculation Module code/engines/classify.ts</t>
        </is>
      </c>
      <c r="D561" s="3" t="n">
        <v>156</v>
      </c>
      <c r="E561" s="3" t="inlineStr">
        <is>
          <t>3 · DEPENDENT (feeds an action only)</t>
        </is>
      </c>
      <c r="F561" s="3" t="inlineStr">
        <is>
          <t>For a line in a FILE you upload: which class is it?</t>
        </is>
      </c>
      <c r="G561"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61"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61" s="3" t="inlineStr">
        <is>
          <t>PARTLY READ — some of the code is still showing through; needs a hand pass</t>
        </is>
      </c>
      <c r="J561" s="3" t="inlineStr">
        <is>
          <t>input: ClassifyInput</t>
        </is>
      </c>
      <c r="K561" s="3" t="inlineStr">
        <is>
          <t>Classified</t>
        </is>
      </c>
      <c r="L561" s="3" t="inlineStr">
        <is>
          <t>—</t>
        </is>
      </c>
      <c r="M561" s="3" t="inlineStr">
        <is>
          <t>None found in this function — anything it assumes comes from the functions it depends on.</t>
        </is>
      </c>
      <c r="N561" s="3" t="inlineStr">
        <is>
          <t>No</t>
        </is>
      </c>
      <c r="O561" s="3" t="inlineStr">
        <is>
          <t>1. MK-XS-F-147 call
2. MK-ST-F-056 has
3. MK-ST-F-001 looksFixedIncome</t>
        </is>
      </c>
      <c r="P561" s="3" t="n">
        <v>6</v>
      </c>
      <c r="Q561" s="3" t="inlineStr">
        <is>
          <t>1. MK-XS-F-147 call
2. MK-ST-F-056 has
3. MK-ST-F-001 looksFixedIncome
4. MK-ST-F-027 accountId
5. MK-XS-F-064 currentIdToken
6. MK-XS-F-112 relayUrl</t>
        </is>
      </c>
      <c r="R561"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61" s="3" t="inlineStr">
        <is>
          <t>—</t>
        </is>
      </c>
      <c r="T561" s="3" t="inlineStr">
        <is>
          <t>CLASS_FROM_FILE</t>
        </is>
      </c>
      <c r="U561" s="3" t="inlineStr">
        <is>
          <t>ACTIVE</t>
        </is>
      </c>
      <c r="V561" s="3" t="inlineStr">
        <is>
          <t>2026-08-27</t>
        </is>
      </c>
      <c r="W561" s="3" t="n"/>
      <c r="X561" s="3" t="n"/>
      <c r="Y561" s="3" t="inlineStr">
        <is>
          <t>NOTHING OPEN</t>
        </is>
      </c>
    </row>
    <row r="562" ht="60" customHeight="1">
      <c r="A562" s="3" t="inlineStr">
        <is>
          <t>MK-XS-F-015</t>
        </is>
      </c>
      <c r="B562" s="3" t="inlineStr">
        <is>
          <t>importHoldings</t>
        </is>
      </c>
      <c r="C562" s="3" t="inlineStr">
        <is>
          <t>src/domain/import/holdingsImport.ts</t>
        </is>
      </c>
      <c r="D562" s="3" t="n">
        <v>426</v>
      </c>
      <c r="E562" s="3" t="inlineStr">
        <is>
          <t>2 · DISPLAYED</t>
        </is>
      </c>
      <c r="F562" s="3" t="inlineStr">
        <is>
          <t>What holdings are in this file?</t>
        </is>
      </c>
      <c r="G562"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62"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62" s="3" t="inlineStr">
        <is>
          <t>PARTLY READ — some of the code is still showing through; needs a hand pass</t>
        </is>
      </c>
      <c r="J562" s="3" t="inlineStr">
        <is>
          <t>text: string</t>
        </is>
      </c>
      <c r="K562" s="3" t="inlineStr">
        <is>
          <t>ImportResult</t>
        </is>
      </c>
      <c r="L562" s="3" t="inlineStr">
        <is>
          <t>NOT FOUND — a screen calls it, but the words printed beside its answer could not be traced automatically. Needs reading.</t>
        </is>
      </c>
      <c r="M562" s="3" t="inlineStr">
        <is>
          <t>· Uses a built-in skipped of 0.</t>
        </is>
      </c>
      <c r="N562" s="3" t="inlineStr">
        <is>
          <t>Yes</t>
        </is>
      </c>
      <c r="O562" s="3" t="inlineStr">
        <is>
          <t>1. MK-XS-F-172 assetClassForSymbol
2. MK-XS-F-128 cleanTicker
3. MK-XS-F-126 findCol
4. MK-XS-F-129 findHeaderRow
5. MK-CF-F-132 map
6. MK-XS-F-171 numOrNaN
7. MK-XS-F-013 parseCsv
8. MK-XS-F-127 toIsoDate</t>
        </is>
      </c>
      <c r="P562" s="3" t="n">
        <v>16</v>
      </c>
      <c r="Q562" s="3" t="inlineStr">
        <is>
          <t>1. MK-XS-F-172 assetClassForSymbol
2. MK-XS-F-128 cleanTicker
3. MK-XS-F-126 findCol
4. MK-XS-F-129 findHeaderRow
5. MK-CF-F-132 map
6. MK-XS-F-171 numOrNaN
7. MK-XS-F-013 parseCsv
8. MK-XS-F-127 toIsoDate
9. MK-ST-F-011 classifyHoldingClass
10. MK-XS-F-122 n
11. MK-ST-F-010 nameEvidence
12. MK-XS-F-147 call
13. MK-ST-F-056 has
14. MK-ST-F-027 accountId
15. MK-XS-F-064 currentIdToken
16. MK-XS-F-112 relayUrl</t>
        </is>
      </c>
      <c r="R562" s="3" t="inlineStr">
        <is>
          <t>1. MK-ST-F-027 accountId → MK-XS-F-147 call → MK-ST-F-010 nameEvidence → MK-ST-F-011 classifyHoldingClass → MK-XS-F-172 assetClassForSymbol → MK-XS-F-015 importHoldings
2. MK-XS-F-064 currentIdToken → MK-XS-F-147 call → MK-ST-F-010 nameEvidence → MK-ST-F-011 classifyHoldingClass → MK-XS-F-172 assetClassForSymbol → MK-XS-F-015 importHoldings
3. MK-XS-F-112 relayUrl → MK-XS-F-147 call → MK-ST-F-010 nameEvidence → MK-ST-F-011 classifyHoldingClass → MK-XS-F-172 assetClassForSymbol → MK-XS-F-015 importHoldings
4. MK-ST-F-056 has → MK-ST-F-010 nameEvidence → MK-ST-F-011 classifyHoldingClass → MK-XS-F-172 assetClassForSymbol → MK-XS-F-015 importHoldings
5. MK-CF-F-132 map → MK-ST-F-010 nameEvidence → MK-ST-F-011 classifyHoldingClass → MK-XS-F-172 assetClassForSymbol → MK-XS-F-015 importHoldings
6. MK-XS-F-128 cleanTicker → MK-XS-F-015 importHoldings
7. MK-XS-F-126 findCol → MK-XS-F-015 importHoldings
8. MK-CF-F-132 map → MK-XS-F-129 findHeaderRow → MK-XS-F-015 importHoldings
9. … and 4 more paths</t>
        </is>
      </c>
      <c r="S562" s="3" t="inlineStr">
        <is>
          <t>—</t>
        </is>
      </c>
      <c r="T562" s="3" t="inlineStr">
        <is>
          <t>FILE_IMPORT</t>
        </is>
      </c>
      <c r="U562" s="3" t="inlineStr">
        <is>
          <t>ACTIVE</t>
        </is>
      </c>
      <c r="V562" s="3" t="inlineStr">
        <is>
          <t>2026-08-27</t>
        </is>
      </c>
      <c r="W562" s="3" t="n"/>
      <c r="X562" s="3" t="n"/>
      <c r="Y562" s="3" t="inlineStr">
        <is>
          <t>NOTHING OPEN</t>
        </is>
      </c>
    </row>
    <row r="563" ht="45" customHeight="1">
      <c r="A563" s="3" t="inlineStr">
        <is>
          <t>MK-XS-F-016</t>
        </is>
      </c>
      <c r="B563" s="3" t="inlineStr">
        <is>
          <t>matchImportAccount</t>
        </is>
      </c>
      <c r="C563" s="3" t="inlineStr">
        <is>
          <t>src/domain/import/holdingsImport.ts</t>
        </is>
      </c>
      <c r="D563" s="3" t="n">
        <v>538</v>
      </c>
      <c r="E563" s="3" t="inlineStr">
        <is>
          <t>2 · DISPLAYED</t>
        </is>
      </c>
      <c r="F563" s="3" t="inlineStr">
        <is>
          <t>The existing account a fresh import from `institution` should offer to update (or null).</t>
        </is>
      </c>
      <c r="G563" s="11" t="inlineStr">
        <is>
          <t>target = norm inst(institution)
nothing   when target is missing
nothing   when count of candidates is missing</t>
        </is>
      </c>
      <c r="H563" s="3" t="inlineStr">
        <is>
          <t>Target is norm inst(institution). When target is missing, it answers no answer. When how many candidates is missing there are, it answers no answer.</t>
        </is>
      </c>
      <c r="I563" s="3" t="inlineStr">
        <is>
          <t>READ FROM THE CODE — rendered from the expressions the function runs</t>
        </is>
      </c>
      <c r="J563" s="3" t="inlineStr">
        <is>
          <t>1. accounts: AssetAccount[]
2. institution: string</t>
        </is>
      </c>
      <c r="K563" s="3" t="inlineStr">
        <is>
          <t>AssetAccount | null</t>
        </is>
      </c>
      <c r="L563" s="3" t="inlineStr">
        <is>
          <t>"Account name" — on the Import holdings screen, under "REVIEW YOUR HOLDINGS"</t>
        </is>
      </c>
      <c r="M563" s="3" t="inlineStr">
        <is>
          <t>· If balance is missing it counts as zero, so nothing recorded and a real zero look the same.</t>
        </is>
      </c>
      <c r="N563" s="3" t="inlineStr">
        <is>
          <t>Yes</t>
        </is>
      </c>
      <c r="O563" s="3" t="inlineStr">
        <is>
          <t>MK-XS-F-130 normInst</t>
        </is>
      </c>
      <c r="P563" s="3" t="n">
        <v>1</v>
      </c>
      <c r="Q563" s="3" t="inlineStr">
        <is>
          <t>MK-XS-F-130 normInst</t>
        </is>
      </c>
      <c r="R563" s="3" t="inlineStr">
        <is>
          <t>MK-XS-F-130 normInst → MK-XS-F-016 matchImportAccount</t>
        </is>
      </c>
      <c r="S563" s="3" t="inlineStr">
        <is>
          <t>—</t>
        </is>
      </c>
      <c r="T563" s="3" t="inlineStr">
        <is>
          <t>IMPORT_ACCOUNT_MATCH</t>
        </is>
      </c>
      <c r="U563" s="3" t="inlineStr">
        <is>
          <t>ACTIVE</t>
        </is>
      </c>
      <c r="V563" s="3" t="inlineStr">
        <is>
          <t>2026-08-27</t>
        </is>
      </c>
      <c r="W563" s="3" t="n"/>
      <c r="X563" s="3" t="n"/>
      <c r="Y563" s="3" t="inlineStr">
        <is>
          <t>NOTHING OPEN</t>
        </is>
      </c>
    </row>
    <row r="564" ht="60" customHeight="1">
      <c r="A564" s="3" t="inlineStr">
        <is>
          <t>MK-XS-F-017</t>
        </is>
      </c>
      <c r="B564" s="3" t="inlineStr">
        <is>
          <t>currentAge</t>
        </is>
      </c>
      <c r="C564" s="3" t="inlineStr">
        <is>
          <t>src/domain/profile/calc.ts</t>
        </is>
      </c>
      <c r="D564" s="3" t="n">
        <v>35</v>
      </c>
      <c r="E564" s="3" t="inlineStr">
        <is>
          <t>3 · DEPENDENT</t>
        </is>
      </c>
      <c r="F564" s="3" t="inlineStr">
        <is>
          <t>Age in whole years from birth month/year, as of `asOf` (defaults to now).</t>
        </is>
      </c>
      <c r="G564" s="11" t="inlineStr">
        <is>
          <t>nothing   when birth year is missing (or birth month is missing when missing or zero)
age = as of.get full year() − birth year
month idx = birth month − 1
the answer:
age   if age ≥ 0
nothing   otherwise</t>
        </is>
      </c>
      <c r="H564" s="3" t="inlineStr">
        <is>
          <t>When birth year is missing (or birth month is missing — when missing or zero), it answers no answer. Age is as of.get full year() minus birth year. Month idx is birth month minus 1. The answer is age — when age is at least 0; no answer — otherwise.</t>
        </is>
      </c>
      <c r="I564" s="3" t="inlineStr">
        <is>
          <t>PARTLY READ — some of the code is still showing through; needs a hand pass</t>
        </is>
      </c>
      <c r="J564" s="3" t="inlineStr">
        <is>
          <t>Nothing is handed to it</t>
        </is>
      </c>
      <c r="K564" s="3" t="inlineStr">
        <is>
          <t>NOT DECLARED — the code does not say what it gives back</t>
        </is>
      </c>
      <c r="L564" s="3" t="inlineStr">
        <is>
          <t>—</t>
        </is>
      </c>
      <c r="M564" s="3" t="inlineStr">
        <is>
          <t>· Uses today's date from the device clock, so the answer changes by itself overnight.</t>
        </is>
      </c>
      <c r="N564" s="3" t="inlineStr">
        <is>
          <t>Yes</t>
        </is>
      </c>
      <c r="O564" s="3" t="inlineStr">
        <is>
          <t>—</t>
        </is>
      </c>
      <c r="P564" s="3" t="n">
        <v>0</v>
      </c>
      <c r="Q564" s="3" t="inlineStr">
        <is>
          <t>None — no dependent function stands behind it</t>
        </is>
      </c>
      <c r="R564" s="3" t="inlineStr">
        <is>
          <t>No dependent function — it reads its inputs and answers</t>
        </is>
      </c>
      <c r="S564" s="3" t="inlineStr">
        <is>
          <t>—</t>
        </is>
      </c>
      <c r="T564" s="3" t="inlineStr">
        <is>
          <t>—</t>
        </is>
      </c>
      <c r="U564" s="3" t="inlineStr">
        <is>
          <t>ACTIVE</t>
        </is>
      </c>
      <c r="V564" s="3" t="inlineStr">
        <is>
          <t>2026-08-27</t>
        </is>
      </c>
      <c r="W564" s="3" t="n"/>
      <c r="X564" s="3" t="n"/>
      <c r="Y564" s="6" t="inlineStr">
        <is>
          <t>TESTED, NOT VERIFIED (G9)</t>
        </is>
      </c>
    </row>
    <row r="565" ht="60" customHeight="1">
      <c r="A565" s="3" t="inlineStr">
        <is>
          <t>MK-XS-F-018</t>
        </is>
      </c>
      <c r="B565" s="3" t="inlineStr">
        <is>
          <t>yearsToRetirement</t>
        </is>
      </c>
      <c r="C565" s="3" t="inlineStr">
        <is>
          <t>src/domain/profile/calc.ts</t>
        </is>
      </c>
      <c r="D565" s="3" t="n">
        <v>108</v>
      </c>
      <c r="E565" s="3" t="inlineStr">
        <is>
          <t>3 · DEPENDENT</t>
        </is>
      </c>
      <c r="F565" s="3" t="inlineStr">
        <is>
          <t>Years until the target retirement age (never negative).</t>
        </is>
      </c>
      <c r="G565" s="11" t="inlineStr">
        <is>
          <t>nothing   when age = nothing (or target retirement age is missing when missing or zero)
max(0, target retirement age − age)</t>
        </is>
      </c>
      <c r="H565" s="3" t="inlineStr">
        <is>
          <t>When age is missing (or target retirement age is missing — when missing or zero), it answers no answer. target retirement age minus age, never below zero.</t>
        </is>
      </c>
      <c r="I565" s="3" t="inlineStr">
        <is>
          <t>READ FROM THE CODE — rendered from the expressions the function runs</t>
        </is>
      </c>
      <c r="J565" s="3" t="inlineStr">
        <is>
          <t>1. age: number | null
2. targetRetirementAge: number | null</t>
        </is>
      </c>
      <c r="K565" s="3" t="inlineStr">
        <is>
          <t>number | null</t>
        </is>
      </c>
      <c r="L565" s="3" t="inlineStr">
        <is>
          <t>—</t>
        </is>
      </c>
      <c r="M565" s="3" t="inlineStr">
        <is>
          <t>None found in this function — anything it assumes comes from the functions it depends on.</t>
        </is>
      </c>
      <c r="N565" s="3" t="inlineStr">
        <is>
          <t>Yes</t>
        </is>
      </c>
      <c r="O565" s="3" t="inlineStr">
        <is>
          <t>—</t>
        </is>
      </c>
      <c r="P565" s="3" t="n">
        <v>0</v>
      </c>
      <c r="Q565" s="3" t="inlineStr">
        <is>
          <t>None — no dependent function stands behind it</t>
        </is>
      </c>
      <c r="R565" s="3" t="inlineStr">
        <is>
          <t>No dependent function — it reads its inputs and answers</t>
        </is>
      </c>
      <c r="S565" s="3" t="inlineStr">
        <is>
          <t>—</t>
        </is>
      </c>
      <c r="T565" s="3" t="inlineStr">
        <is>
          <t>—</t>
        </is>
      </c>
      <c r="U565" s="3" t="inlineStr">
        <is>
          <t>ACTIVE</t>
        </is>
      </c>
      <c r="V565" s="3" t="inlineStr">
        <is>
          <t>2026-08-27</t>
        </is>
      </c>
      <c r="W565" s="3" t="n"/>
      <c r="X565" s="3" t="n"/>
      <c r="Y565" s="3" t="inlineStr">
        <is>
          <t>NOTHING OPEN</t>
        </is>
      </c>
    </row>
    <row r="566" ht="60" customHeight="1">
      <c r="A566" s="3" t="inlineStr">
        <is>
          <t>MK-XS-F-019</t>
        </is>
      </c>
      <c r="B566" s="3" t="inlineStr">
        <is>
          <t>retirementHorizonYears</t>
        </is>
      </c>
      <c r="C566" s="3" t="inlineStr">
        <is>
          <t>src/domain/profile/calc.ts</t>
        </is>
      </c>
      <c r="D566" s="3" t="n">
        <v>138</v>
      </c>
      <c r="E566" s="3" t="inlineStr">
        <is>
          <t>3 · DEPENDENT</t>
        </is>
      </c>
      <c r="F566" s="3" t="inlineStr">
        <is>
          <t>Years the money must last: retirement → plan-to age (default horizon if unset).</t>
        </is>
      </c>
      <c r="G566" s="11" t="inlineStr">
        <is>
          <t>nothing   when target retirement age is missing
horizon = (plan to age ?? DEFAULT_PLAN_TO_AGE) − target retirement age
the answer:
horizon   if horizon &gt; 0
nothing   otherwise</t>
        </is>
      </c>
      <c r="H566" s="3" t="inlineStr">
        <is>
          <t>When target retirement age is missing, it answers no answer. Horizon is (plan to age ?? DEFAULT_PLAN_TO_AGE) minus target retirement age. The answer is horizon — when horizon &gt; 0; no answer — otherwise.</t>
        </is>
      </c>
      <c r="I566" s="3" t="inlineStr">
        <is>
          <t>PARTLY READ — some of the code is still showing through; needs a hand pass</t>
        </is>
      </c>
      <c r="J566" s="3" t="inlineStr">
        <is>
          <t>1. targetRetirementAge: number | null
2. planToAge: number | null</t>
        </is>
      </c>
      <c r="K566" s="3" t="inlineStr">
        <is>
          <t>number | null</t>
        </is>
      </c>
      <c r="L566" s="3" t="inlineStr">
        <is>
          <t>—</t>
        </is>
      </c>
      <c r="M566" s="3" t="inlineStr">
        <is>
          <t>None found in this function — anything it assumes comes from the functions it depends on.</t>
        </is>
      </c>
      <c r="N566" s="3" t="inlineStr">
        <is>
          <t>Yes</t>
        </is>
      </c>
      <c r="O566" s="3" t="inlineStr">
        <is>
          <t>—</t>
        </is>
      </c>
      <c r="P566" s="3" t="n">
        <v>0</v>
      </c>
      <c r="Q566" s="3" t="inlineStr">
        <is>
          <t>None — no dependent function stands behind it</t>
        </is>
      </c>
      <c r="R566" s="3" t="inlineStr">
        <is>
          <t>No dependent function — it reads its inputs and answers</t>
        </is>
      </c>
      <c r="S566" s="3" t="inlineStr">
        <is>
          <t>—</t>
        </is>
      </c>
      <c r="T566" s="3" t="inlineStr">
        <is>
          <t>—</t>
        </is>
      </c>
      <c r="U566" s="3" t="inlineStr">
        <is>
          <t>ACTIVE</t>
        </is>
      </c>
      <c r="V566" s="3" t="inlineStr">
        <is>
          <t>2026-08-27</t>
        </is>
      </c>
      <c r="W566" s="3" t="n"/>
      <c r="X566" s="3" t="n"/>
      <c r="Y566" s="3" t="inlineStr">
        <is>
          <t>NOTHING OPEN</t>
        </is>
      </c>
    </row>
    <row r="567" ht="60" customHeight="1">
      <c r="A567" s="3" t="inlineStr">
        <is>
          <t>MK-XS-F-020</t>
        </is>
      </c>
      <c r="B567" s="3" t="inlineStr">
        <is>
          <t>toReadModel</t>
        </is>
      </c>
      <c r="C567" s="3" t="inlineStr">
        <is>
          <t>src/domain/profile/calc.ts</t>
        </is>
      </c>
      <c r="D567" s="3" t="n">
        <v>168</v>
      </c>
      <c r="E567" s="3" t="inlineStr">
        <is>
          <t>3 · DEPENDENT</t>
        </is>
      </c>
      <c r="F567" s="3" t="inlineStr">
        <is>
          <t>Build the public read-model (profile + derived planning values).</t>
        </is>
      </c>
      <c r="G567" s="11" t="inlineStr">
        <is>
          <t>age = current age(birth year, birth month, as of)</t>
        </is>
      </c>
      <c r="H567" s="3" t="inlineStr">
        <is>
          <t>Age is current age(birth year, birth month, as of).</t>
        </is>
      </c>
      <c r="I567" s="3" t="inlineStr">
        <is>
          <t>READ FROM THE CODE — rendered from the expressions the function runs</t>
        </is>
      </c>
      <c r="J567" s="3" t="inlineStr">
        <is>
          <t>1. p: Profile
2. asOf: Date = new Date()</t>
        </is>
      </c>
      <c r="K567" s="3" t="inlineStr">
        <is>
          <t>ProfileReadModel</t>
        </is>
      </c>
      <c r="L567" s="3" t="inlineStr">
        <is>
          <t>—</t>
        </is>
      </c>
      <c r="M567" s="3" t="inlineStr">
        <is>
          <t>· Uses today's date from the device clock, so the answer changes by itself overnight.</t>
        </is>
      </c>
      <c r="N567" s="3" t="inlineStr">
        <is>
          <t>Yes</t>
        </is>
      </c>
      <c r="O567" s="3" t="inlineStr">
        <is>
          <t>1. MK-XS-F-017 currentAge
2. MK-XS-F-019 retirementHorizonYears
3. MK-XS-F-018 yearsToRetirement</t>
        </is>
      </c>
      <c r="P567" s="3" t="n">
        <v>3</v>
      </c>
      <c r="Q567" s="3" t="inlineStr">
        <is>
          <t>1. MK-XS-F-017 currentAge
2. MK-XS-F-019 retirementHorizonYears
3. MK-XS-F-018 yearsToRetirement</t>
        </is>
      </c>
      <c r="R567" s="3" t="inlineStr">
        <is>
          <t>1. MK-XS-F-017 currentAge → MK-XS-F-020 toReadModel
2. MK-XS-F-019 retirementHorizonYears → MK-XS-F-020 toReadModel
3. MK-XS-F-018 yearsToRetirement → MK-XS-F-020 toReadModel</t>
        </is>
      </c>
      <c r="S567" s="3" t="inlineStr">
        <is>
          <t>—</t>
        </is>
      </c>
      <c r="T567" s="3" t="inlineStr">
        <is>
          <t>—</t>
        </is>
      </c>
      <c r="U567" s="3" t="inlineStr">
        <is>
          <t>ACTIVE</t>
        </is>
      </c>
      <c r="V567" s="3" t="inlineStr">
        <is>
          <t>2026-08-27</t>
        </is>
      </c>
      <c r="W567" s="3" t="n"/>
      <c r="X567" s="3" t="n"/>
      <c r="Y567" s="3" t="inlineStr">
        <is>
          <t>NOTHING OPEN</t>
        </is>
      </c>
    </row>
    <row r="568" ht="60" customHeight="1">
      <c r="A568" s="3" t="inlineStr">
        <is>
          <t>MK-XS-F-021</t>
        </is>
      </c>
      <c r="B568" s="3" t="inlineStr">
        <is>
          <t>loadProfile</t>
        </is>
      </c>
      <c r="C568" s="3" t="inlineStr">
        <is>
          <t>src/domain/profile/index.ts</t>
        </is>
      </c>
      <c r="D568" s="3" t="n">
        <v>35</v>
      </c>
      <c r="E568" s="3" t="inlineStr">
        <is>
          <t>3 · DEPENDENT (feeds an action only)</t>
        </is>
      </c>
      <c r="F568" s="3" t="inlineStr">
        <is>
          <t>NOT DETERMINED — the code carries no note saying what this is for, and it has no row in the old inventory. Needs reading.</t>
        </is>
      </c>
      <c r="G568" s="11" t="inlineStr">
        <is>
          <t>get user doc&lt;profile&gt;(COLLECTION, uid)</t>
        </is>
      </c>
      <c r="H568" s="3" t="inlineStr">
        <is>
          <t>get user doc&lt;profile&gt;(COLLECTION, uid).</t>
        </is>
      </c>
      <c r="I568" s="3" t="inlineStr">
        <is>
          <t>READ FROM THE CODE — rendered from the expressions the function runs</t>
        </is>
      </c>
      <c r="J568" s="3" t="inlineStr">
        <is>
          <t>uid: UserId</t>
        </is>
      </c>
      <c r="K568" s="3" t="inlineStr">
        <is>
          <t>Promise&lt;Profile | null&gt;</t>
        </is>
      </c>
      <c r="L568" s="3" t="inlineStr">
        <is>
          <t>—</t>
        </is>
      </c>
      <c r="M568" s="3" t="inlineStr">
        <is>
          <t>None found in this function — anything it assumes comes from the functions it depends on.</t>
        </is>
      </c>
      <c r="N568" s="3" t="inlineStr">
        <is>
          <t>No</t>
        </is>
      </c>
      <c r="O568" s="3" t="inlineStr">
        <is>
          <t>MK-XS-F-175 uid</t>
        </is>
      </c>
      <c r="P568" s="3" t="n">
        <v>83</v>
      </c>
      <c r="Q568"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568"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568" s="3" t="inlineStr">
        <is>
          <t>—</t>
        </is>
      </c>
      <c r="T568" s="3" t="inlineStr">
        <is>
          <t>—</t>
        </is>
      </c>
      <c r="U568" s="3" t="inlineStr">
        <is>
          <t>ACTIVE</t>
        </is>
      </c>
      <c r="V568" s="3" t="inlineStr">
        <is>
          <t>2026-08-27</t>
        </is>
      </c>
      <c r="W568" s="3" t="n"/>
      <c r="X568" s="3" t="n"/>
      <c r="Y568" s="3" t="inlineStr">
        <is>
          <t>NOTHING OPEN</t>
        </is>
      </c>
    </row>
    <row r="569" ht="60" customHeight="1">
      <c r="A569" s="3" t="inlineStr">
        <is>
          <t>MK-XS-F-022</t>
        </is>
      </c>
      <c r="B569" s="3" t="inlineStr">
        <is>
          <t>saveProfile</t>
        </is>
      </c>
      <c r="C569" s="3" t="inlineStr">
        <is>
          <t>src/domain/profile/index.ts</t>
        </is>
      </c>
      <c r="D569" s="3" t="n">
        <v>54</v>
      </c>
      <c r="E569" s="3" t="inlineStr">
        <is>
          <t>1 · ACTION</t>
        </is>
      </c>
      <c r="F569" s="3" t="inlineStr">
        <is>
          <t>NOT DETERMINED — the code carries no note saying what this is for, and it has no row in the old inventory. Needs reading.</t>
        </is>
      </c>
      <c r="G569" s="11" t="inlineStr">
        <is>
          <t>It records or announces something and returns no figure — no arithmetic of its own.</t>
        </is>
      </c>
      <c r="H569" s="3" t="inlineStr">
        <is>
          <t>It records or announces something and returns no figure — no arithmetic of its own.</t>
        </is>
      </c>
      <c r="I569" s="3" t="inlineStr">
        <is>
          <t>NO ARITHMETIC — there is no formula to state</t>
        </is>
      </c>
      <c r="J569" s="3" t="inlineStr">
        <is>
          <t>profile: Profile</t>
        </is>
      </c>
      <c r="K569" s="3" t="inlineStr">
        <is>
          <t>Promise&lt;void&gt;</t>
        </is>
      </c>
      <c r="L569" s="3" t="inlineStr">
        <is>
          <t>—</t>
        </is>
      </c>
      <c r="M569" s="3" t="inlineStr">
        <is>
          <t>None found in this function — anything it assumes comes from the functions it depends on.</t>
        </is>
      </c>
      <c r="N569" s="3" t="inlineStr">
        <is>
          <t>Yes</t>
        </is>
      </c>
      <c r="O569" s="3" t="inlineStr">
        <is>
          <t>1. MK-ST-F-040 emit
2. MK-ST-F-042 setUserDoc</t>
        </is>
      </c>
      <c r="P569" s="3" t="n">
        <v>85</v>
      </c>
      <c r="Q569"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569"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569" s="3" t="inlineStr">
        <is>
          <t>—</t>
        </is>
      </c>
      <c r="T569" s="3" t="inlineStr">
        <is>
          <t>—</t>
        </is>
      </c>
      <c r="U569" s="3" t="inlineStr">
        <is>
          <t>ACTIVE</t>
        </is>
      </c>
      <c r="V569" s="3" t="inlineStr">
        <is>
          <t>2026-08-27</t>
        </is>
      </c>
      <c r="W569" s="3" t="n"/>
      <c r="X569" s="3" t="n"/>
      <c r="Y569" s="3" t="inlineStr">
        <is>
          <t>NOTHING OPEN</t>
        </is>
      </c>
    </row>
    <row r="570" ht="60" customHeight="1">
      <c r="A570" s="3" t="inlineStr">
        <is>
          <t>MK-XS-F-023</t>
        </is>
      </c>
      <c r="B570" s="3" t="inlineStr">
        <is>
          <t>getProfileReadModel</t>
        </is>
      </c>
      <c r="C570" s="3" t="inlineStr">
        <is>
          <t>src/domain/profile/index.ts</t>
        </is>
      </c>
      <c r="D570" s="3" t="n">
        <v>78</v>
      </c>
      <c r="E570" s="3" t="inlineStr">
        <is>
          <t>3 · DEPENDENT (feeds an action only)</t>
        </is>
      </c>
      <c r="F570" s="3" t="inlineStr">
        <is>
          <t>Profile + derived planning values (current age, years to retirement, horizon).</t>
        </is>
      </c>
      <c r="G570" s="11" t="inlineStr">
        <is>
          <t>p = await load profile(uid)
the answer:
to read model(p)   if p
nothing   otherwise</t>
        </is>
      </c>
      <c r="H570" s="3" t="inlineStr">
        <is>
          <t>P is await load profile(uid). The answer is to read model(p) — when p; no answer — otherwise.</t>
        </is>
      </c>
      <c r="I570" s="3" t="inlineStr">
        <is>
          <t>READ FROM THE CODE — rendered from the expressions the function runs</t>
        </is>
      </c>
      <c r="J570" s="3" t="inlineStr">
        <is>
          <t>uid: UserId</t>
        </is>
      </c>
      <c r="K570" s="3" t="inlineStr">
        <is>
          <t>Promise&lt;ProfileReadModel | null&gt;</t>
        </is>
      </c>
      <c r="L570" s="3" t="inlineStr">
        <is>
          <t>—</t>
        </is>
      </c>
      <c r="M570" s="3" t="inlineStr">
        <is>
          <t>None found in this function — anything it assumes comes from the functions it depends on.</t>
        </is>
      </c>
      <c r="N570" s="3" t="inlineStr">
        <is>
          <t>No</t>
        </is>
      </c>
      <c r="O570" s="3" t="inlineStr">
        <is>
          <t>1. MK-XS-F-021 loadProfile
2. MK-XS-F-020 toReadModel
3. MK-XS-F-175 uid</t>
        </is>
      </c>
      <c r="P570" s="3" t="n">
        <v>88</v>
      </c>
      <c r="Q570"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MK-CF-F-100 taxableIncomeFor
80. MK-ST-F-034 firstDate
81. MK-NW-F-011 assetClassOf
82. MK-XS-F-147 call
83. MK-CF-F-075 retirementIncomeMonthly
84. MK-ST-F-047 activeCurrency
85. MK-CF-F-099 deductionFor
86. MK-XS-F-064 currentIdToken
87. MK-XS-F-112 relayUrl
88. MK-CF-F-187 seniorDeductionFor</t>
        </is>
      </c>
      <c r="R570"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570" s="3" t="inlineStr">
        <is>
          <t>—</t>
        </is>
      </c>
      <c r="T570" s="3" t="inlineStr">
        <is>
          <t>—</t>
        </is>
      </c>
      <c r="U570" s="3" t="inlineStr">
        <is>
          <t>ACTIVE</t>
        </is>
      </c>
      <c r="V570" s="3" t="inlineStr">
        <is>
          <t>2026-08-27</t>
        </is>
      </c>
      <c r="W570" s="3" t="n"/>
      <c r="X570" s="3" t="n"/>
      <c r="Y570" s="3" t="inlineStr">
        <is>
          <t>NOTHING OPEN</t>
        </is>
      </c>
    </row>
    <row r="571" ht="60" customHeight="1">
      <c r="A571" s="3" t="inlineStr">
        <is>
          <t>MK-XS-F-024</t>
        </is>
      </c>
      <c r="B571" s="3" t="inlineStr">
        <is>
          <t>resolveLens</t>
        </is>
      </c>
      <c r="C571" s="3" t="inlineStr">
        <is>
          <t>src/domain/profile/lens.ts</t>
        </is>
      </c>
      <c r="D571" s="3" t="n">
        <v>48</v>
      </c>
      <c r="E571" s="3" t="inlineStr">
        <is>
          <t>2 · DISPLAYED</t>
        </is>
      </c>
      <c r="F571" s="3" t="inlineStr">
        <is>
          <t>The person's explicit choice (first-run stage question / Settings → Your setup) wins.</t>
        </is>
      </c>
      <c r="G571" s="11" t="inlineStr">
        <is>
          <t>override   when override = 'working' (or override = 'retired' when missing or zero)
status = op.status
'retired'   when status = 'retired'
'retired'   when status = 'partial' and current retirement income monthly(op ?? {}) &gt; 0
the answer = 'working'</t>
        </is>
      </c>
      <c r="H571"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571" s="3" t="inlineStr">
        <is>
          <t>PARTLY READ — some of the code is still showing through; needs a hand pass</t>
        </is>
      </c>
      <c r="J571" s="3" t="inlineStr">
        <is>
          <t>1. op: Record&lt;string, any&gt; | null | undefined
2. override?: Lens | null</t>
        </is>
      </c>
      <c r="K571" s="3" t="inlineStr">
        <is>
          <t>Lens</t>
        </is>
      </c>
      <c r="L571" s="3" t="inlineStr">
        <is>
          <t>1. "Draw from savings" — on the Cash flow screen, under "YOUR FUTURE PAYCHECK"
2. "WILL MY MONEY LAST?" — on the Home screen, under "WILL MY MONEY LAST?"
3. "YOUR FIVE TABS — same order as the bar below" — on a card used on more than one screen (TopBar)</t>
        </is>
      </c>
      <c r="M571" s="3" t="inlineStr">
        <is>
          <t>None found in this function — anything it assumes comes from the functions it depends on.</t>
        </is>
      </c>
      <c r="N571" s="3" t="inlineStr">
        <is>
          <t>Yes</t>
        </is>
      </c>
      <c r="O571" s="3" t="inlineStr">
        <is>
          <t>MK-CF-F-072 currentRetirementIncomeMonthly</t>
        </is>
      </c>
      <c r="P571" s="3" t="n">
        <v>4</v>
      </c>
      <c r="Q571" s="3" t="inlineStr">
        <is>
          <t>1. MK-CF-F-072 currentRetirementIncomeMonthly
2. MK-CF-F-075 retirementIncomeMonthly
3. MK-ST-F-052 toNum
4. MK-XS-F-122 n</t>
        </is>
      </c>
      <c r="R571" s="3" t="inlineStr">
        <is>
          <t>MK-XS-F-122 n → MK-ST-F-052 toNum → MK-CF-F-075 retirementIncomeMonthly → MK-CF-F-072 currentRetirementIncomeMonthly → MK-XS-F-024 resolveLens</t>
        </is>
      </c>
      <c r="S571" s="3" t="inlineStr">
        <is>
          <t>—</t>
        </is>
      </c>
      <c r="T571" s="3" t="inlineStr">
        <is>
          <t>WHICH_VIEW</t>
        </is>
      </c>
      <c r="U571" s="3" t="inlineStr">
        <is>
          <t>ACTIVE</t>
        </is>
      </c>
      <c r="V571" s="3" t="inlineStr">
        <is>
          <t>2026-08-27</t>
        </is>
      </c>
      <c r="W571" s="3" t="n"/>
      <c r="X571" s="3" t="n"/>
      <c r="Y571" s="3" t="inlineStr">
        <is>
          <t>NOTHING OPEN</t>
        </is>
      </c>
    </row>
    <row r="572" ht="45" customHeight="1">
      <c r="A572" s="3" t="inlineStr">
        <is>
          <t>MK-XS-F-025</t>
        </is>
      </c>
      <c r="B572" s="3" t="inlineStr">
        <is>
          <t>tabOrder</t>
        </is>
      </c>
      <c r="C572" s="3" t="inlineStr">
        <is>
          <t>src/domain/profile/lens.ts</t>
        </is>
      </c>
      <c r="D572" s="3" t="n">
        <v>79</v>
      </c>
      <c r="E572" s="3" t="inlineStr">
        <is>
          <t>2 · DISPLAYED</t>
        </is>
      </c>
      <c r="F572" s="3" t="inlineStr">
        <is>
          <t>Bottom-bar order per lens (design pin: "Tab order is set once from stage; identical across sessions").</t>
        </is>
      </c>
      <c r="G572" s="11" t="inlineStr">
        <is>
          <t>retired → home, cashflow, analytics, plan, invest
otherwise → home, analytics, invest, cashflow, plan</t>
        </is>
      </c>
      <c r="H572" s="3" t="inlineStr">
        <is>
          <t>The order of the tabs for the person's lens — cash flow comes second for someone retired. No arithmetic.</t>
        </is>
      </c>
      <c r="I572" s="3" t="inlineStr">
        <is>
          <t>READ BY HAND 2026-08-26 — checked line by line against the code</t>
        </is>
      </c>
      <c r="J572" s="3" t="inlineStr">
        <is>
          <t>lens: Lens</t>
        </is>
      </c>
      <c r="K572" s="3" t="inlineStr">
        <is>
          <t>FccTab[]</t>
        </is>
      </c>
      <c r="L572" s="3" t="inlineStr">
        <is>
          <t>"YOUR FIVE TABS — same order as the bar below" — on a card used on more than one screen (TopBar)</t>
        </is>
      </c>
      <c r="M572" s="3" t="inlineStr">
        <is>
          <t>None found in this function — anything it assumes comes from the functions it depends on.</t>
        </is>
      </c>
      <c r="N572" s="3" t="inlineStr">
        <is>
          <t>Yes</t>
        </is>
      </c>
      <c r="O572" s="3" t="inlineStr">
        <is>
          <t>—</t>
        </is>
      </c>
      <c r="P572" s="3" t="n">
        <v>0</v>
      </c>
      <c r="Q572" s="3" t="inlineStr">
        <is>
          <t>None — no dependent function stands behind it</t>
        </is>
      </c>
      <c r="R572" s="3" t="inlineStr">
        <is>
          <t>No dependent function — it reads its inputs and answers</t>
        </is>
      </c>
      <c r="S572" s="3" t="inlineStr">
        <is>
          <t>—</t>
        </is>
      </c>
      <c r="T572" s="3" t="inlineStr">
        <is>
          <t>—</t>
        </is>
      </c>
      <c r="U572" s="3" t="inlineStr">
        <is>
          <t>ACTIVE</t>
        </is>
      </c>
      <c r="V572" s="3" t="inlineStr">
        <is>
          <t>2026-09-12</t>
        </is>
      </c>
      <c r="W572" s="3" t="n"/>
      <c r="X572" s="3" t="n"/>
      <c r="Y572" s="3" t="inlineStr">
        <is>
          <t>NOTHING OPEN</t>
        </is>
      </c>
    </row>
    <row r="573" ht="60" customHeight="1">
      <c r="A573" s="3" t="inlineStr">
        <is>
          <t>MK-XS-F-026</t>
        </is>
      </c>
      <c r="B573" s="3" t="inlineStr">
        <is>
          <t>profileFromOnboarding</t>
        </is>
      </c>
      <c r="C573" s="3" t="inlineStr">
        <is>
          <t>src/domain/profile/onboarding.ts</t>
        </is>
      </c>
      <c r="D573" s="3" t="n">
        <v>55</v>
      </c>
      <c r="E573" s="3" t="inlineStr">
        <is>
          <t>2 · DISPLAYED</t>
        </is>
      </c>
      <c r="F573" s="3" t="inlineStr">
        <is>
          <t>`op` is the consolidated onboardingProfile: { status, name, ...answers }.</t>
        </is>
      </c>
      <c r="G573" s="11" t="inlineStr">
        <is>
          <t>a = op (or none when missing)</t>
        </is>
      </c>
      <c r="H573" s="3" t="inlineStr">
        <is>
          <t>A is op (or none — when missing).</t>
        </is>
      </c>
      <c r="I573" s="3" t="inlineStr">
        <is>
          <t>READ FROM THE CODE — rendered from the expressions the function runs</t>
        </is>
      </c>
      <c r="J573" s="3" t="inlineStr">
        <is>
          <t>1. uid: UserId
2. op: Record&lt;string, any&gt; | null</t>
        </is>
      </c>
      <c r="K573" s="3" t="inlineStr">
        <is>
          <t>Profile</t>
        </is>
      </c>
      <c r="L573" s="3" t="inlineStr">
        <is>
          <t>NOT FOUND — a screen calls it, but the words printed beside its answer could not be traced automatically. Needs reading.</t>
        </is>
      </c>
      <c r="M573" s="3" t="inlineStr">
        <is>
          <t>None found in this function — anything it assumes comes from the functions it depends on.</t>
        </is>
      </c>
      <c r="N573" s="3" t="inlineStr">
        <is>
          <t>Yes</t>
        </is>
      </c>
      <c r="O573" s="3" t="inlineStr">
        <is>
          <t>1. MK-XS-F-131 toInt
2. MK-XS-F-175 uid</t>
        </is>
      </c>
      <c r="P573" s="3" t="n">
        <v>84</v>
      </c>
      <c r="Q573" s="3" t="inlineStr">
        <is>
          <t>1. MK-XS-F-131 toInt
2. MK-XS-F-175 uid
3. MK-XS-F-122 n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573"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573" s="3" t="inlineStr">
        <is>
          <t>—</t>
        </is>
      </c>
      <c r="T573" s="3" t="inlineStr">
        <is>
          <t>—</t>
        </is>
      </c>
      <c r="U573" s="3" t="inlineStr">
        <is>
          <t>ACTIVE</t>
        </is>
      </c>
      <c r="V573" s="3" t="inlineStr">
        <is>
          <t>2026-08-27</t>
        </is>
      </c>
      <c r="W573" s="3" t="n"/>
      <c r="X573" s="3" t="n"/>
      <c r="Y573" s="3" t="inlineStr">
        <is>
          <t>NOTHING OPEN</t>
        </is>
      </c>
    </row>
    <row r="574" ht="60" customHeight="1">
      <c r="A574" s="3" t="inlineStr">
        <is>
          <t>MK-XS-F-027</t>
        </is>
      </c>
      <c r="B574" s="3" t="inlineStr">
        <is>
          <t>takeHomeMonthly</t>
        </is>
      </c>
      <c r="C574" s="3" t="inlineStr">
        <is>
          <t>src/domain/savings/index.ts</t>
        </is>
      </c>
      <c r="D574" s="3" t="n">
        <v>42</v>
      </c>
      <c r="E574" s="3" t="inlineStr">
        <is>
          <t>2 · DISPLAYED</t>
        </is>
      </c>
      <c r="F574" s="3" t="inlineStr">
        <is>
          <t>True take-home per month: after tax AND after the 401(k) deduction (the cash that hits your account).</t>
        </is>
      </c>
      <c r="G574" s="11" t="inlineStr">
        <is>
          <t>grid = income monthly grid(op, 'available')
the answer = Σ over grid of (amount)÷ 12</t>
        </is>
      </c>
      <c r="H574" s="3" t="inlineStr">
        <is>
          <t>Grid is income monthly grid(op, 'available'). The answer: the amount added up across grid÷ 12.</t>
        </is>
      </c>
      <c r="I574" s="3" t="inlineStr">
        <is>
          <t>READ FROM THE CODE — rendered from the expressions the function runs</t>
        </is>
      </c>
      <c r="J574" s="3" t="inlineStr">
        <is>
          <t>op: OnboardingProfile | null</t>
        </is>
      </c>
      <c r="K574" s="3" t="inlineStr">
        <is>
          <t>number</t>
        </is>
      </c>
      <c r="L574" s="3" t="inlineStr">
        <is>
          <t>"Income (take-home)" — on the budget screen</t>
        </is>
      </c>
      <c r="M574" s="3" t="inlineStr">
        <is>
          <t>None found in this function — anything it assumes comes from the functions it depends on.</t>
        </is>
      </c>
      <c r="N574" s="3" t="inlineStr">
        <is>
          <t>Yes</t>
        </is>
      </c>
      <c r="O574" s="3" t="inlineStr">
        <is>
          <t>1. MK-CF-F-092 incomeMonthlyGrid
2. MK-CF-F-011 savingsByMonth</t>
        </is>
      </c>
      <c r="P574" s="3" t="n">
        <v>101</v>
      </c>
      <c r="Q574" s="3" t="inlineStr">
        <is>
          <t>1. MK-CF-F-092 incomeMonthlyGrid
2. MK-CF-F-011 savingsByMonth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MK-CF-F-008 spendByMonth
23. MK-CF-F-075 retirementIncomeMonthly
24. MK-CF-F-172 hasWage
25. MK-CF-F-062 equityRowValue
26. MK-CF-F-070 benefitAnnual
27. MK-ST-F-039 on
28. MK-CF-F-176 sumMonthsOverEarners
29. MK-CF-F-203 MONTH
30. MK-CF-F-090 effectiveRate
31. MK-CF-F-180 enteredLandsAnnual
32. MK-CF-F-085 filingStatusOf
33. MK-CF-F-089 over65CountOf
34. MK-CF-F-082 salaryAnnual
35. MK-CF-F-086 stateRateOf
36. MK-CF-F-101 taxOwedFor
37. MK-CF-F-084 taxableAnnual
38. MK-CF-O-002 expenses
39. MK-CF-F-067 rentalList
40. MK-CF-F-063 rowVestYear
41. MK-XS-F-122 n
42. MK-CF-F-130 enteredMonthlyRaw
43. MK-CF-F-166 hasMonthlySalaryTable
44. MK-ST-F-036 reconcile
45. MK-CF-F-167 salaryCalendarYear
46. MK-CF-F-120 pctBaseMonthly
47. MK-CF-F-004 spendBuckets
48. MK-CF-O-010 theMonth
49. MK-CF-F-100 taxableIncomeFor
50. MK-CF-F-074 tipsAnnual
51. MK-CF-F-151 actualSpending
52. MK-CF-F-150 debtPaymentsCountedAsExpenses
53. MK-CF-F-153 radar
54. MK-CF-F-149 recurringDebtPayments
55. MK-CF-F-165 salaryMonths
56. MK-CF-F-003 categoryMonthly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MK-NW-F-112 yearlyInterest
81. MK-ST-F-048 currencySymbol
82. MK-ST-F-027 accountId
83. MK-NW-F-057 annualCoupon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MK-NW-F-058 yearsToMaturity
96. MK-NW-F-119 estimatedAccrued
97. MK-NW-F-008 incomeBearingClassOf
98. MK-ST-F-010 nameEvidence
99. MK-XS-F-147 call
100. MK-XS-F-064 currentIdToken
101. MK-XS-F-112 relayUrl</t>
        </is>
      </c>
      <c r="R574" s="3" t="inlineStr">
        <is>
          <t>1. MK-CF-F-069 benefitActiveMonths → MK-CF-F-092 incomeMonthlyGrid → MK-XS-F-027 takeHomeMonthly
2. MK-XS-F-122 n → MK-ST-F-052 toNum → MK-CF-F-075 retirementIncomeMonthly → MK-CF-F-072 currentRetirementIncomeMonthly → MK-CF-F-092 incomeMonthlyGrid → MK-XS-F-027 takeHomeMonthly
3. MK-ST-F-056 has → MK-CF-F-172 hasWage → MK-CF-F-173 earnerWages → MK-CF-F-092 incomeMonthlyGrid → MK-XS-F-027 takeHomeMonthly
4. MK-XS-F-122 n → MK-ST-F-052 toNum → MK-CF-F-062 equityRowValue → MK-CF-F-065 equityVestWeights → MK-CF-F-092 incomeMonthlyGrid → MK-XS-F-027 takeHomeMonthly
5. MK-CF-F-132 map → MK-CF-F-065 equityVestWeights → MK-CF-F-092 incomeMonthlyGrid → MK-XS-F-027 takeHomeMonthly
6. MK-CF-F-069 benefitActiveMonths → MK-CF-F-070 benefitAnnual → MK-CF-F-071 extraIncome → MK-CF-F-092 incomeMonthlyGrid → MK-XS-F-027 takeHomeMonthly
7. MK-XS-F-122 n → MK-ST-F-052 toNum → MK-CF-F-070 benefitAnnual → MK-CF-F-071 extraIncome → MK-CF-F-092 incomeMonthlyGrid → MK-XS-F-027 takeHomeMonthly
8. MK-ST-F-039 on → MK-CF-F-071 extraIncome → MK-CF-F-092 incomeMonthlyGrid → MK-XS-F-027 takeHomeMonthly
9. … and 5 more paths</t>
        </is>
      </c>
      <c r="S574" s="3" t="inlineStr">
        <is>
          <t>—</t>
        </is>
      </c>
      <c r="T574" s="3" t="inlineStr">
        <is>
          <t>—</t>
        </is>
      </c>
      <c r="U574" s="3" t="inlineStr">
        <is>
          <t>ACTIVE</t>
        </is>
      </c>
      <c r="V574" s="3" t="inlineStr">
        <is>
          <t>2026-09-09</t>
        </is>
      </c>
      <c r="W574" s="3" t="n"/>
      <c r="X574" s="3" t="n"/>
      <c r="Y574" s="3" t="inlineStr">
        <is>
          <t>NOTHING OPEN</t>
        </is>
      </c>
    </row>
    <row r="575" ht="60" customHeight="1">
      <c r="A575" s="3" t="inlineStr">
        <is>
          <t>MK-XS-F-028</t>
        </is>
      </c>
      <c r="B575" s="3" t="inlineStr">
        <is>
          <t>surplusByMonth</t>
        </is>
      </c>
      <c r="C575" s="3" t="inlineStr">
        <is>
          <t>src/domain/savings/index.ts</t>
        </is>
      </c>
      <c r="D575" s="3" t="n">
        <v>71</v>
      </c>
      <c r="E575" s="3" t="inlineStr">
        <is>
          <t>2 · DISPLAYED</t>
        </is>
      </c>
      <c r="F575" s="3" t="inlineStr">
        <is>
          <t>Planned SURPLUS, month by month, AFTER debt (the canonical word, per the 2026-06-23 decision).</t>
        </is>
      </c>
      <c r="G575" s="11" t="inlineStr">
        <is>
          <t>debt = actual debt payment(debts)
the answer:
for each of savings by month(op): label = label
amount = amount − debt</t>
        </is>
      </c>
      <c r="H575" s="3" t="inlineStr">
        <is>
          <t>Debt is actual debt payment(debts). The answer is for each of savings by month(op): label = label; amount = amount minus debt.</t>
        </is>
      </c>
      <c r="I575" s="3" t="inlineStr">
        <is>
          <t>READ FROM THE CODE — rendered from the expressions the function runs</t>
        </is>
      </c>
      <c r="J575" s="3" t="inlineStr">
        <is>
          <t>1. op: OnboardingProfile | null
2. debts: Debt[] = []</t>
        </is>
      </c>
      <c r="K575" s="3" t="inlineStr">
        <is>
          <t>NOT DECLARED — the code does not say what it gives back</t>
        </is>
      </c>
      <c r="L575" s="3" t="inlineStr">
        <is>
          <t>"Plan" — on the Goals screen</t>
        </is>
      </c>
      <c r="M575" s="3" t="inlineStr">
        <is>
          <t>None found in this function — anything it assumes comes from the functions it depends on.</t>
        </is>
      </c>
      <c r="N575" s="3" t="inlineStr">
        <is>
          <t>Yes</t>
        </is>
      </c>
      <c r="O575" s="3" t="inlineStr">
        <is>
          <t>1. MK-CF-F-026 actualDebtPayment
2. MK-CF-F-132 map
3. MK-ST-F-036 reconcile
4. MK-CF-F-011 savingsByMonth</t>
        </is>
      </c>
      <c r="P575" s="3" t="n">
        <v>126</v>
      </c>
      <c r="Q575"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MK-CF-F-173 earnerWages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MK-CF-F-177 wageGrossByMonth
27. MK-PL-F-012 waterfall
28. MK-CF-F-120 pctBaseMonthly
29. MK-CF-F-004 spendBuckets
30. MK-CF-F-207 SOURCE
31. MK-CF-O-004 incomeSummary
32. MK-CF-F-022 paymentShape
33. MK-CF-F-075 retirementIncomeMonthly
34. MK-CF-F-172 hasWage
35. MK-CF-F-062 equityRowValue
36. MK-CF-F-070 benefitAnnual
37. MK-ST-F-039 on
38. MK-CF-F-176 sumMonthsOverEarners
39. MK-CF-F-203 MONTH
40. MK-CF-F-090 effectiveRate
41. MK-CF-F-180 enteredLandsAnnual
42. MK-CF-F-085 filingStatusOf
43. MK-CF-F-089 over65CountOf
44. MK-CF-F-082 salaryAnnual
45. MK-CF-F-086 stateRateOf
46. MK-CF-F-101 taxOwedFor
47. MK-CF-F-084 taxableAnnual
48. MK-CF-O-002 expenses
49. MK-CF-F-067 rentalList
50. MK-CF-F-063 rowVestYear
51. MK-XS-F-122 n
52. MK-CF-F-130 enteredMonthlyRaw
53. MK-CF-F-166 hasMonthlySalaryTable
54. MK-CF-F-167 salaryCalendarYear
55. MK-CF-F-003 categoryMonthly
56. MK-CF-O-016 incomeSources
57. MK-CF-O-001 basePay
58. MK-CF-F-179 entryFromWage
59. MK-CF-F-192 inflowLabel
60. MK-CF-F-103 marginalBracketFor
61. MK-CF-F-021 defaultPaymentType
62. MK-CF-O-010 theMonth
63. MK-CF-F-100 taxableIncomeFor
64. MK-CF-F-074 tipsAnnual
65. MK-CF-F-151 actualSpending
66. MK-CF-F-150 debtPaymentsCountedAsExpenses
67. MK-CF-F-153 radar
68. MK-CF-F-149 recurringDebtPayments
69. MK-CF-F-165 salaryMonths
70. MK-XS-F-027 takeHomeMonthly
71. MK-ST-F-035 covers
72. MK-CF-F-171 earnerPay
73. MK-CF-F-204 line
74. MK-ST-F-053 money
75. MK-HM-F-006 money0
76. MK-CF-F-198 payrollTaxWithheld
77. MK-CF-F-193 inflowSourceWord
78. MK-CF-F-155 cash
79. MK-CF-O-003 thisMonth
80. MK-CF-F-099 deductionFor
81. MK-CF-F-081 salaryActiveMonths
82. MK-CF-F-148 inMonth
83. MK-CF-F-191 ym
84. MK-CF-F-152 isRadarItem
85. MK-ST-F-034 firstDate
86. MK-CF-F-143 annualisedGross
87. MK-CF-F-145 deductionsFromPay
88. MK-CF-F-128 grossByMonth
89. MK-CF-F-146 payFiguresAgree
90. MK-CF-F-144 takeHomeAsEntered
91. MK-XS-F-180 declareFigures
92. MK-ST-F-049 formatMoney
93. MK-HM-F-005 pctTxt
94. MK-CF-F-005 actualMonthFlow
95. MK-CF-F-156 plannedMonthFlow
96. MK-CF-F-187 seniorDeductionFor
97. MK-CF-F-142 monthsOf
98. MK-CF-F-141 perMonth
99. MK-ST-F-048 currencySymbol
100. MK-NW-F-078 ONE
101. MK-CF-F-157 debtPaymentsByDebt
102. MK-CF-F-140 periodsAYear
103. MK-ST-F-047 activeCurrency
104. MK-NW-F-077 ALL
105. MK-NW-F-059 currentYield
106. MK-NW-O-001 theBonds
107. MK-NW-F-112 yearlyInterest
108. MK-ST-F-027 accountId
109. MK-NW-F-057 annualCoupon
110. MK-NW-F-056 bondInfo
111. MK-NW-F-064 bondRateSensitivity
112. MK-NW-F-061 bondSummary
113. MK-NW-F-055 isBond
114. MK-ST-F-065 isoLocalDate
115. MK-NW-F-072 rowOf
116. MK-NW-F-060 approxYTM
117. MK-NW-F-069 priceAtYield
118. MK-NW-F-011 assetClassOf
119. MK-NW-F-070 accruedInterestCaveat
120. MK-NW-F-058 yearsToMaturity
121. MK-NW-F-119 estimatedAccrued
122. MK-NW-F-008 incomeBearingClassOf
123. MK-ST-F-010 nameEvidence
124. MK-XS-F-147 call
125. MK-XS-F-064 currentIdToken
126. MK-XS-F-112 relayUrl</t>
        </is>
      </c>
      <c r="R575" s="3" t="inlineStr">
        <is>
          <t>1. MK-CF-O-016 incomeSources → MK-CF-F-207 SOURCE → MK-CF-F-201 INCOME → MK-CF-F-024 totalDebtMonthly → MK-CF-F-026 actualDebtPayment → MK-XS-F-028 surplusByMonth
2. MK-CF-F-203 MONTH → MK-CF-O-004 incomeSummary → MK-CF-F-201 INCOME → MK-CF-F-024 totalDebtMonthly → MK-CF-F-026 actualDebtPayment → MK-XS-F-028 surplusByMonth
3. MK-CF-O-001 basePay → MK-CF-O-004 incomeSummary → MK-CF-F-201 INCOME → MK-CF-F-024 totalDebtMonthly → MK-CF-F-026 actualDebtPayment → MK-XS-F-028 surplusByMonth
4. MK-CF-F-069 benefitActiveMonths → MK-CF-O-004 incomeSummary → MK-CF-F-201 INCOME → MK-CF-F-024 totalDebtMonthly → MK-CF-F-026 actualDebtPayment → MK-XS-F-028 surplusByMonth
5. MK-CF-F-072 currentRetirementIncomeMonthly → MK-CF-O-004 incomeSummary → MK-CF-F-201 INCOME → MK-CF-F-024 totalDebtMonthly → MK-CF-F-026 actualDebtPayment → MK-XS-F-028 surplusByMonth
6. MK-CF-F-173 earnerWages → MK-CF-O-004 incomeSummary → MK-CF-F-201 INCOME → MK-CF-F-024 totalDebtMonthly → MK-CF-F-026 actualDebtPayment → MK-XS-F-028 surplusByMonth
7. MK-CF-F-179 entryFromWage → MK-CF-O-004 incomeSummary → MK-CF-F-201 INCOME → MK-CF-F-024 totalDebtMonthly → MK-CF-F-026 actualDebtPayment → MK-XS-F-028 surplusByMonth
8. MK-CF-F-071 extraIncome → MK-CF-O-004 incomeSummary → MK-CF-F-201 INCOME → MK-CF-F-024 totalDebtMonthly → MK-CF-F-026 actualDebtPayment → MK-XS-F-028 surplusByMonth
9. … and 5 more paths</t>
        </is>
      </c>
      <c r="S575" s="3" t="inlineStr">
        <is>
          <t>—</t>
        </is>
      </c>
      <c r="T575" s="3" t="inlineStr">
        <is>
          <t>—</t>
        </is>
      </c>
      <c r="U575" s="3" t="inlineStr">
        <is>
          <t>ACTIVE</t>
        </is>
      </c>
      <c r="V575" s="3" t="inlineStr">
        <is>
          <t>2026-09-09</t>
        </is>
      </c>
      <c r="W575" s="3" t="n"/>
      <c r="X575" s="3" t="n"/>
      <c r="Y575" s="3" t="inlineStr">
        <is>
          <t>NOTHING OPEN</t>
        </is>
      </c>
    </row>
    <row r="576" ht="60" customHeight="1">
      <c r="A576" s="3" t="inlineStr">
        <is>
          <t>MK-XS-F-029</t>
        </is>
      </c>
      <c r="B576" s="3" t="inlineStr">
        <is>
          <t>monthlySavings</t>
        </is>
      </c>
      <c r="C576" s="3" t="inlineStr">
        <is>
          <t>src/domain/savings/index.ts</t>
        </is>
      </c>
      <c r="D576" s="3" t="n">
        <v>95</v>
      </c>
      <c r="E576" s="3" t="inlineStr">
        <is>
          <t>2 · DISPLAYED</t>
        </is>
      </c>
      <c r="F576" s="3" t="inlineStr">
        <is>
          <t>Monthly savings (the FLOW) — Build-47 walk row 7: DERIVED as the 12-month average of surplusByMonth, so the flat figure and the by-month figures can never drift apart (they used to be two parallel formulas that merely CLAIMED to reconcile).</t>
        </is>
      </c>
      <c r="G576" s="11" t="inlineStr">
        <is>
          <t>months = surplus by month(op, debts)
the answer = Σ over months of (amount)÷ 12</t>
        </is>
      </c>
      <c r="H576" s="3" t="inlineStr">
        <is>
          <t>Months is surplus by month(op, debts). The answer: the amount added up across months÷ 12.</t>
        </is>
      </c>
      <c r="I576" s="3" t="inlineStr">
        <is>
          <t>READ FROM THE CODE — rendered from the expressions the function runs</t>
        </is>
      </c>
      <c r="J576" s="3" t="inlineStr">
        <is>
          <t>1. op: OnboardingProfile | null
2. debts: Debt[] = []</t>
        </is>
      </c>
      <c r="K576" s="3" t="inlineStr">
        <is>
          <t>number</t>
        </is>
      </c>
      <c r="L576" s="3" t="inlineStr">
        <is>
          <t>"Free to put to work each month" — on the Goals together screen, under "CAN YOU DO IT ALL?"</t>
        </is>
      </c>
      <c r="M576" s="3" t="inlineStr">
        <is>
          <t>None found in this function — anything it assumes comes from the functions it depends on.</t>
        </is>
      </c>
      <c r="N576" s="3" t="inlineStr">
        <is>
          <t>Yes</t>
        </is>
      </c>
      <c r="O576" s="3" t="inlineStr">
        <is>
          <t>MK-XS-F-028 surplusByMonth</t>
        </is>
      </c>
      <c r="P576" s="3" t="n">
        <v>127</v>
      </c>
      <c r="Q576"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MK-ST-F-052 toNum
27. MK-CF-F-177 wageGrossByMonth
28. MK-PL-F-012 waterfall
29. MK-CF-F-120 pctBaseMonthly
30. MK-CF-F-004 spendBuckets
31. MK-CF-F-207 SOURCE
32. MK-CF-O-004 incomeSummary
33. MK-CF-F-022 paymentShape
34. MK-CF-F-075 retirementIncomeMonthly
35. MK-CF-F-172 hasWage
36. MK-CF-F-062 equityRowValue
37. MK-CF-F-070 benefitAnnual
38. MK-ST-F-039 on
39. MK-CF-F-176 sumMonthsOverEarners
40. MK-CF-F-203 MONTH
41. MK-CF-F-090 effectiveRate
42. MK-CF-F-180 enteredLandsAnnual
43. MK-CF-F-085 filingStatusOf
44. MK-CF-F-089 over65CountOf
45. MK-CF-F-082 salaryAnnual
46. MK-CF-F-086 stateRateOf
47. MK-CF-F-101 taxOwedFor
48. MK-CF-F-084 taxableAnnual
49. MK-CF-O-002 expenses
50. MK-CF-F-067 rentalList
51. MK-CF-F-063 rowVestYear
52. MK-XS-F-122 n
53. MK-CF-F-130 enteredMonthlyRaw
54. MK-CF-F-166 hasMonthlySalaryTable
55. MK-CF-F-167 salaryCalendarYear
56. MK-CF-F-003 categoryMonthly
57. MK-CF-O-016 incomeSources
58. MK-CF-O-001 basePay
59. MK-CF-F-179 entryFromWage
60. MK-CF-F-192 inflowLabel
61. MK-CF-F-103 marginalBracketFor
62. MK-CF-F-021 defaultPaymentType
63. MK-CF-O-010 theMonth
64. MK-CF-F-100 taxableIncomeFor
65. MK-CF-F-074 tipsAnnual
66. MK-CF-F-151 actualSpending
67. MK-CF-F-150 debtPaymentsCountedAsExpenses
68. MK-CF-F-153 radar
69. MK-CF-F-149 recurringDebtPayments
70. MK-CF-F-165 salaryMonths
71. MK-XS-F-027 takeHomeMonthly
72. MK-ST-F-035 covers
73. MK-CF-F-171 earnerPay
74. MK-CF-F-204 line
75. MK-ST-F-053 money
76. MK-HM-F-006 money0
77. MK-CF-F-198 payrollTaxWithheld
78. MK-CF-F-193 inflowSourceWord
79. MK-CF-F-155 cash
80. MK-CF-O-003 thisMonth
81. MK-CF-F-099 deductionFor
82. MK-CF-F-081 salaryActiveMonths
83. MK-CF-F-148 inMonth
84. MK-CF-F-191 ym
85. MK-CF-F-152 isRadarItem
86. MK-ST-F-034 firstDate
87. MK-CF-F-143 annualisedGross
88. MK-CF-F-145 deductionsFromPay
89. MK-CF-F-128 grossByMonth
90. MK-CF-F-146 payFiguresAgree
91. MK-CF-F-144 takeHomeAsEntered
92. MK-XS-F-180 declareFigures
93. MK-ST-F-049 formatMoney
94. MK-HM-F-005 pctTxt
95. MK-CF-F-005 actualMonthFlow
96. MK-CF-F-156 plannedMonthFlow
97. MK-CF-F-187 seniorDeductionFor
98. MK-CF-F-142 monthsOf
99. MK-CF-F-141 perMonth
100. MK-ST-F-048 currencySymbol
101. MK-NW-F-078 ONE
102. MK-CF-F-157 debtPaymentsByDebt
103. MK-CF-F-140 periodsAYear
104. MK-ST-F-047 activeCurrency
105. MK-NW-F-077 ALL
106. MK-NW-F-059 currentYield
107. MK-NW-O-001 theBonds
108. MK-NW-F-112 yearlyInterest
109. MK-ST-F-027 accountId
110. MK-NW-F-057 annualCoupon
111. MK-NW-F-056 bondInfo
112. MK-NW-F-064 bondRateSensitivity
113. MK-NW-F-061 bondSummary
114. MK-NW-F-055 isBond
115. MK-ST-F-065 isoLocalDate
116. MK-NW-F-072 rowOf
117. MK-NW-F-060 approxYTM
118. MK-NW-F-069 priceAtYield
119. MK-NW-F-011 assetClassOf
120. MK-NW-F-070 accruedInterestCaveat
121. MK-NW-F-058 yearsToMaturity
122. MK-NW-F-119 estimatedAccrued
123. MK-NW-F-008 incomeBearingClassOf
124. MK-ST-F-010 nameEvidence
125. MK-XS-F-147 call
126. MK-XS-F-064 currentIdToken
127. MK-XS-F-112 relayUrl</t>
        </is>
      </c>
      <c r="R576" s="3" t="inlineStr">
        <is>
          <t>1. MK-CF-F-207 SOURCE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MK-CF-F-172 hasWage → MK-CF-F-173 earnerWages → MK-CF-F-092 incomeMonthlyGrid → MK-CF-F-011 savingsByMonth → MK-XS-F-028 surplusByMonth → MK-XS-F-029 monthlySavings
9. … and 4 more paths</t>
        </is>
      </c>
      <c r="S576" s="3" t="inlineStr">
        <is>
          <t>—</t>
        </is>
      </c>
      <c r="T576" s="3" t="inlineStr">
        <is>
          <t>—</t>
        </is>
      </c>
      <c r="U576" s="3" t="inlineStr">
        <is>
          <t>ACTIVE</t>
        </is>
      </c>
      <c r="V576" s="3" t="inlineStr">
        <is>
          <t>2026-09-09</t>
        </is>
      </c>
      <c r="W576" s="3" t="n"/>
      <c r="X576" s="3" t="n"/>
      <c r="Y576" s="3" t="inlineStr">
        <is>
          <t>NOTHING OPEN</t>
        </is>
      </c>
    </row>
    <row r="577" ht="60" customHeight="1">
      <c r="A577" s="3" t="inlineStr">
        <is>
          <t>MK-XS-F-030</t>
        </is>
      </c>
      <c r="B577" s="3" t="inlineStr">
        <is>
          <t>effectiveAnnualContribution</t>
        </is>
      </c>
      <c r="C577" s="3" t="inlineStr">
        <is>
          <t>src/domain/snapshot.ts</t>
        </is>
      </c>
      <c r="D577" s="3" t="n">
        <v>65</v>
      </c>
      <c r="E577" s="3" t="inlineStr">
        <is>
          <t>3 · DEPENDENT</t>
        </is>
      </c>
      <c r="F577" s="3" t="inlineStr">
        <is>
          <t>NEGATIVE CASH FLOW DRAINS WEALTH — committed contributions don't create money.</t>
        </is>
      </c>
      <c r="G577" s="11" t="inlineStr">
        <is>
          <t>a = op (or none when missing)
stated annual = (monthly contributions from onboarding(op) ?? 0)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577" s="3" t="inlineStr">
        <is>
          <t>A is op (or none — when missing). Stated annual is (monthly contributions from onboarding(op) ?? 0)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577" s="3" t="inlineStr">
        <is>
          <t>PARTLY READ — some of the code is still showing through; needs a hand pass</t>
        </is>
      </c>
      <c r="J577" s="3" t="inlineStr">
        <is>
          <t>op: Record&lt;string, any&gt; | null</t>
        </is>
      </c>
      <c r="K577" s="3" t="inlineStr">
        <is>
          <t>number</t>
        </is>
      </c>
      <c r="L577" s="3" t="inlineStr">
        <is>
          <t>—</t>
        </is>
      </c>
      <c r="M577" s="3" t="inlineStr">
        <is>
          <t>· Turns a monthly figure into a year by multiplying by twelve.</t>
        </is>
      </c>
      <c r="N577" s="3" t="inlineStr">
        <is>
          <t>Yes</t>
        </is>
      </c>
      <c r="O577" s="3" t="inlineStr">
        <is>
          <t>1. MK-NW-F-041 monthlyContributionsFromOnboarding
2. MK-CF-F-011 savingsByMonth
3. MK-ST-F-052 toNum</t>
        </is>
      </c>
      <c r="P577" s="3" t="n">
        <v>108</v>
      </c>
      <c r="Q577" s="3" t="inlineStr">
        <is>
          <t>1. MK-NW-F-041 monthlyContributionsFromOnboarding
2. MK-CF-F-011 savingsByMonth
3. MK-ST-F-052 toNum
4. MK-CF-F-197 ageAttainedInYear
5. MK-CF-F-053 annual401kLimit
6. MK-CF-F-078 employerMatchMonthly
7. MK-ST-F-053 money
8. MK-CF-F-092 incomeMonthlyGrid
9. MK-CF-F-132 map
10. MK-CF-F-008 spendByMonth
11. MK-XS-F-122 n
12. MK-CF-F-175 sumOverEarners
13. MK-CF-F-178 wageMatchMonthly
14. MK-ST-F-049 formatMoney
15. MK-CF-F-069 benefitActiveMonths
16. MK-CF-F-072 currentRetirementIncomeMonthly
17. MK-CF-F-173 earnerWages
18. MK-CF-F-065 equityVestWeights
19. MK-CF-F-071 extraIncome
20. MK-ST-F-056 has
21. MK-CF-F-206 householdK401ByMonth
22. MK-CF-F-087 monthlyTaxRates
23. MK-CF-F-073 otherIncomeMonth
24. MK-CF-F-181 rateInForce
25. MK-CF-F-068 rentalNetAnnual
26. MK-CF-F-066 rsuAnnual
27. MK-CF-F-060 salaryGrossByMonth
28. MK-CF-F-077 scholarshipByCalendarMonth
29. MK-CF-F-088 taxableByCalendarMonth
30. MK-CF-F-177 wageGrossByMonth
31. MK-PL-F-012 waterfall
32. MK-CF-F-120 pctBaseMonthly
33. MK-CF-F-004 spendBuckets
34. MK-ST-F-048 currencySymbol
35. MK-ST-F-039 on
36. MK-CF-F-075 retirementIncomeMonthly
37. MK-CF-F-172 hasWage
38. MK-CF-F-062 equityRowValue
39. MK-CF-F-070 benefitAnnual
40. MK-CF-F-176 sumMonthsOverEarners
41. MK-CF-F-203 MONTH
42. MK-CF-F-090 effectiveRate
43. MK-CF-F-180 enteredLandsAnnual
44. MK-CF-F-085 filingStatusOf
45. MK-CF-F-089 over65CountOf
46. MK-CF-F-082 salaryAnnual
47. MK-CF-F-086 stateRateOf
48. MK-CF-F-101 taxOwedFor
49. MK-CF-F-084 taxableAnnual
50. MK-CF-O-002 expenses
51. MK-CF-F-067 rentalList
52. MK-CF-F-063 rowVestYear
53. MK-CF-F-130 enteredMonthlyRaw
54. MK-CF-F-166 hasMonthlySalaryTable
55. MK-ST-F-036 reconcile
56. MK-CF-F-167 salaryCalendarYear
57. MK-CF-F-003 categoryMonthly
58. MK-ST-F-047 activeCurrency
59. MK-CF-O-010 theMonth
60. MK-CF-F-100 taxableIncomeFor
61. MK-CF-F-074 tipsAnnual
62. MK-CF-F-151 actualSpending
63. MK-CF-F-150 debtPaymentsCountedAsExpenses
64. MK-CF-F-153 radar
65. MK-CF-F-149 recurringDebtPayments
66. MK-CF-F-165 salaryMonths
67. MK-XS-F-027 takeHomeMonthly
68. MK-CF-F-155 cash
69. MK-CF-O-003 thisMonth
70. MK-CF-F-099 deductionFor
71. MK-CF-F-081 salaryActiveMonths
72. MK-CF-F-148 inMonth
73. MK-CF-F-191 ym
74. MK-CF-F-022 paymentShape
75. MK-CF-F-152 isRadarItem
76. MK-CF-F-023 requiredPayment
77. MK-CF-F-005 actualMonthFlow
78. MK-CF-F-156 plannedMonthFlow
79. MK-CF-F-187 seniorDeductionFor
80. MK-CF-F-021 defaultPaymentType
81. MK-NW-F-078 ONE
82. MK-CF-F-157 debtPaymentsByDebt
83. MK-CF-F-192 inflowLabel
84. MK-NW-F-077 ALL
85. MK-NW-F-059 currentYield
86. MK-XS-F-180 declareFigures
87. MK-NW-O-001 theBonds
88. MK-CF-F-193 inflowSourceWord
89. MK-NW-F-112 yearlyInterest
90. MK-ST-F-027 accountId
91. MK-NW-F-057 annualCoupon
92. MK-NW-F-056 bondInfo
93. MK-NW-F-064 bondRateSensitivity
94. MK-NW-F-061 bondSummary
95. MK-NW-F-055 isBond
96. MK-ST-F-065 isoLocalDate
97. MK-NW-F-072 rowOf
98. MK-NW-F-060 approxYTM
99. MK-NW-F-069 priceAtYield
100. MK-NW-F-011 assetClassOf
101. MK-NW-F-070 accruedInterestCaveat
102. MK-NW-F-058 yearsToMaturity
103. MK-NW-F-119 estimatedAccrued
104. MK-NW-F-008 incomeBearingClassOf
105. MK-ST-F-010 nameEvidence
106. MK-XS-F-147 call
107. MK-XS-F-064 currentIdToken
108. MK-XS-F-112 relayUrl</t>
        </is>
      </c>
      <c r="R577" s="3" t="inlineStr">
        <is>
          <t>1. MK-CF-F-197 ageAttainedInYear → MK-NW-F-041 monthlyContributionsFromOnboarding → MK-XS-F-030 effectiveAnnualContribution
2. MK-CF-F-053 annual401kLimit → MK-NW-F-041 monthlyContributionsFromOnboarding → MK-XS-F-030 effectiveAnnualContribution
3. MK-CF-F-172 hasWage → MK-CF-F-173 earnerWages → MK-CF-F-175 sumOverEarners → MK-CF-F-078 employerMatchMonthly → MK-NW-F-041 monthlyContributionsFromOnboarding → MK-XS-F-030 effectiveAnnualContribution
4. MK-XS-F-122 n → MK-ST-F-052 toNum → MK-CF-F-178 wageMatchMonthly → MK-CF-F-078 employerMatchMonthly → MK-NW-F-041 monthlyContributionsFromOnboarding → MK-XS-F-030 effectiveAnnualContribution
5. MK-ST-F-047 activeCurrency → MK-ST-F-048 currencySymbol → MK-ST-F-049 formatMoney → MK-ST-F-053 money → MK-NW-F-041 monthlyContributionsFromOnboarding → MK-XS-F-030 effectiveAnnualContribution
6. MK-XS-F-122 n → MK-ST-F-049 formatMoney → MK-ST-F-053 money → MK-NW-F-041 monthlyContributionsFromOnboarding → MK-XS-F-030 effectiveAnnualContribution
7. MK-ST-F-039 on → MK-ST-F-049 formatMoney → MK-ST-F-053 money → MK-NW-F-041 monthlyContributionsFromOnboarding → MK-XS-F-030 effectiveAnnualContribution
8. MK-XS-F-122 n → MK-ST-F-053 money → MK-NW-F-041 monthlyContributionsFromOnboarding → MK-XS-F-030 effectiveAnnualContribution
9. … and 5 more paths</t>
        </is>
      </c>
      <c r="S577" s="3" t="inlineStr">
        <is>
          <t>—</t>
        </is>
      </c>
      <c r="T577" s="3" t="inlineStr">
        <is>
          <t>—</t>
        </is>
      </c>
      <c r="U577" s="3" t="inlineStr">
        <is>
          <t>ACTIVE</t>
        </is>
      </c>
      <c r="V577" s="3" t="inlineStr">
        <is>
          <t>2026-10-07</t>
        </is>
      </c>
      <c r="W577" s="3" t="n"/>
      <c r="X577" s="3" t="n"/>
      <c r="Y577" s="3" t="inlineStr">
        <is>
          <t>NOTHING OPEN</t>
        </is>
      </c>
    </row>
    <row r="578" ht="60" customHeight="1">
      <c r="A578" s="3" t="inlineStr">
        <is>
          <t>MK-XS-F-031</t>
        </is>
      </c>
      <c r="B578" s="3" t="inlineStr">
        <is>
          <t>buildSnapshot</t>
        </is>
      </c>
      <c r="C578" s="3" t="inlineStr">
        <is>
          <t>src/domain/snapshot.ts</t>
        </is>
      </c>
      <c r="D578" s="3" t="n">
        <v>124</v>
      </c>
      <c r="E578" s="3" t="inlineStr">
        <is>
          <t>2 · DISPLAYED</t>
        </is>
      </c>
      <c r="F578" s="3" t="inlineStr">
        <is>
          <t>Build a snapshot from EXPLICIT net-worth rows.</t>
        </is>
      </c>
      <c r="G578"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578"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578" s="3" t="inlineStr">
        <is>
          <t>READ FROM THE CODE — rendered from the expressions the function runs</t>
        </is>
      </c>
      <c r="J578" s="3" t="inlineStr">
        <is>
          <t>Nothing is handed to it</t>
        </is>
      </c>
      <c r="K578" s="3" t="inlineStr">
        <is>
          <t>NOT DECLARED — the code does not say what it gives back</t>
        </is>
      </c>
      <c r="L578" s="3" t="inlineStr">
        <is>
          <t>NOT FOUND — a screen calls it, but the words printed beside its answer could not be traced automatically. Needs reading.</t>
        </is>
      </c>
      <c r="M578" s="3" t="inlineStr">
        <is>
          <t>1. If current age is missing it uses 35.
2. If target retirement age is missing it uses 65.
3. If plan to age is missing it uses 90.</t>
        </is>
      </c>
      <c r="N578" s="3" t="inlineStr">
        <is>
          <t>Yes</t>
        </is>
      </c>
      <c r="O578"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578" s="3" t="n">
        <v>236</v>
      </c>
      <c r="Q578"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MK-NW-F-110 primaryHomeIdOf
27. MK-CF-F-002 plannedMonthlySpend
28. MK-CF-F-004 spendBuckets
29. MK-CF-F-026 actualDebtPayment
30. MK-CF-F-204 line
31. MK-CF-F-025 minimumDebtService
32. MK-PL-F-012 waterfall
33. MK-CF-F-048 effectiveTaxRate
34. MK-CF-F-046 employerMatchAnnual
35. MK-CF-F-045 grossAnnualBaseline
36. MK-CF-F-161 monthlyGrossOfSource
37. MK-CF-F-098 progressiveMonthlyTax
38. MK-CF-F-129 round4
39. MK-PL-F-050 simulate
40. MK-XS-F-122 n
41. MK-NW-F-041 monthlyContributionsFromOnboarding
42. MK-CF-F-011 savingsByMonth
43. MK-ST-F-043 newEntityId
44. MK-CF-F-070 benefitAnnual
45. MK-CF-F-072 currentRetirementIncomeMonthly
46. MK-CF-F-078 employerMatchMonthly
47. MK-CF-F-065 equityVestWeights
48. MK-CF-O-002 expenses
49. MK-CF-F-067 rentalList
50. MK-CF-F-066 rsuAnnual
51. MK-CF-F-082 salaryAnnual
52. MK-CF-F-074 tipsAnnual
53. MK-XS-F-131 toInt
54. MK-PL-F-047 colFactor
55. MK-PL-F-001 taxBucketSplit
56. MK-XS-F-017 currentAge
57. MK-XS-F-019 retirementHorizonYears
58. MK-XS-F-018 yearsToRetirement
59. MK-ST-F-027 accountId
60. MK-CF-F-111 applyTransaction
61. MK-NW-F-040 assetsFromOnboarding
62. MK-PF-F-013 benchmarkTicker
63. MK-ST-F-028 buildDayFromAccounts
64. MK-PF-F-034 closeOnOrBefore
65. MK-CF-F-186 convertTakeHomeMode
66. MK-ST-F-079 dailyWindowStart
67. MK-CF-F-038 debtsFromOnboarding
68. MK-XS-F-083 fetchPriceSeries
69. MK-ST-F-084 fillBetweenObservations
70. MK-ST-F-056 has
71. MK-CF-F-116 inverseOf
72. MK-ST-F-065 isoLocalDate
73. MK-CF-F-112 makeTransaction
74. MK-XS-F-006 pruneDaily
75. MK-ST-F-073 rebuildDays
76. MK-NW-F-054 reclassifyAccounts
77. MK-XS-F-174 recomputeBalances
78. MK-CF-F-115 restoreUndo
79. MK-CF-F-109 reviewTransactions
80. MK-ST-F-044 setMoneyFormat
81. MK-CF-F-114 undoSnapshot
82. MK-CF-F-191 ym
83. MK-NW-F-007 assetKind
84. MK-NW-F-030 earmarkDefault
85. MK-NW-F-117 propertyUseMap
86. MK-CF-F-092 incomeMonthlyGrid
87. MK-XS-F-027 takeHomeMonthly
88. MK-CF-F-003 categoryMonthly
89. MK-CF-F-024 totalDebtMonthly
90. MK-CF-F-203 MONTH
91. MK-XS-F-180 declareFigures
92. MK-CF-F-022 paymentShape
93. MK-CF-F-102 effectiveRateOnGrossFor
94. MK-CF-F-044 annualNet
95. MK-CF-F-127 isRental
96. MK-CF-F-101 taxOwedFor
97. MK-CF-F-100 taxableIncomeFor
98. MK-PL-F-074 median
99. MK-PL-F-072 mulberry32
100. MK-PL-F-073 normal
101. MK-PL-F-075 pctOfSorted
102. MK-ST-F-025 rmdStartAgeFromAge
103. MK-CF-F-197 ageAttainedInYear
104. MK-CF-F-053 annual401kLimit
105. MK-ST-F-053 money
106. MK-CF-F-008 spendByMonth
107. MK-CF-F-069 benefitActiveMonths
108. MK-CF-F-075 retirementIncomeMonthly
109. MK-CF-F-175 sumOverEarners
110. MK-CF-F-178 wageMatchMonthly
111. MK-CF-F-062 equityRowValue
112. MK-CF-F-151 actualSpending
113. MK-CF-F-150 debtPaymentsCountedAsExpenses
114. MK-CF-F-153 radar
115. MK-CF-F-149 recurringDebtPayments
116. MK-CF-F-063 rowVestYear
117. MK-CF-F-060 salaryGrossByMonth
118. MK-CF-F-081 salaryActiveMonths
119. MK-CF-F-138 addLot
120. MK-CF-F-136 bumpCash
121. MK-CF-F-137 findPos
122. MK-CF-F-139 removeShares
123. MK-PF-F-001 totalShares
124. MK-CF-F-085 filingStatusOf
125. MK-CF-F-097 grossFromNet
126. MK-CF-F-185 needsTakeHomeConversion
127. MK-CF-F-089 over65CountOf
128. MK-CF-F-037 inferDebtType
129. MK-ST-F-069 amountOf
130. MK-CF-F-133 cashOf
131. MK-ST-F-066 isDayKey
132. MK-ST-F-070 isOpening
133. MK-ST-F-039 on
134. MK-ST-F-071 rebuildableFrom
135. MK-ST-F-068 stepDay
136. MK-ST-F-072 undo
137. MK-NW-F-053 correctClassOf
138. MK-NW-F-008 incomeBearingClassOf
139. MK-PF-F-002 costBasis
140. MK-PF-F-009 latestClose
141. MK-PF-F-004 marketValue
142. MK-ST-F-030 record
143. MK-XS-F-024 resolveLens
144. MK-ST-F-055 round2
145. MK-CF-F-162 daysApart
146. MK-CF-F-108 isMoneyOut
147. MK-CF-F-131 normPayee
148. MK-CF-F-113 affectedAccountIds
149. MK-NW-F-011 assetClassOf
150. MK-NW-F-115 liveRent
151. MK-NW-F-116 rentedIdsOf
152. MK-CF-F-173 earnerWages
153. MK-CF-F-071 extraIncome
154. MK-CF-F-206 householdK401ByMonth
155. MK-CF-F-087 monthlyTaxRates
156. MK-CF-F-073 otherIncomeMonth
157. MK-CF-F-181 rateInForce
158. MK-CF-F-068 rentalNetAnnual
159. MK-CF-F-077 scholarshipByCalendarMonth
160. MK-CF-F-088 taxableByCalendarMonth
161. MK-CF-F-177 wageGrossByMonth
162. MK-CF-F-120 pctBaseMonthly
163. MK-CF-F-201 INCOME
164. MK-CF-F-023 requiredPayment
165. MK-CF-O-010 theMonth
166. MK-CF-F-021 defaultPaymentType
167. MK-CF-F-099 deductionFor
168. MK-ST-F-024 rmdStartAge
169. MK-ST-F-049 formatMoney
170. MK-CF-F-148 inMonth
171. MK-CF-F-152 isRadarItem
172. MK-CF-F-176 sumMonthsOverEarners
173. MK-CF-F-134 usesSleeve
174. MK-ST-F-067 utcOfDay
175. MK-ST-F-035 covers
176. MK-NW-F-009 maturityClass
177. MK-ST-F-010 nameEvidence
178. MK-PF-F-031 contractMultiplier
179. MK-NW-F-114 rentAmount
180. MK-CF-F-172 hasWage
181. MK-CF-F-090 effectiveRate
182. MK-CF-F-180 enteredLandsAnnual
183. MK-CF-F-086 stateRateOf
184. MK-CF-F-084 taxableAnnual
185. MK-CF-F-130 enteredMonthlyRaw
186. MK-CF-F-166 hasMonthlySalaryTable
187. MK-ST-F-036 reconcile
188. MK-CF-F-167 salaryCalendarYear
189. MK-CF-F-207 SOURCE
190. MK-CF-O-004 incomeSummary
191. MK-CF-O-003 thisMonth
192. MK-CF-F-187 seniorDeductionFor
193. MK-ST-F-048 currencySymbol
194. MK-ST-F-034 firstDate
195. MK-XS-F-147 call
196. MK-CF-F-165 salaryMonths
197. MK-CF-O-016 incomeSources
198. MK-CF-O-001 basePay
199. MK-CF-F-179 entryFromWage
200. MK-CF-F-192 inflowLabel
201. MK-CF-F-103 marginalBracketFor
202. MK-CF-F-005 actualMonthFlow
203. MK-CF-F-156 plannedMonthFlow
204. MK-ST-F-047 activeCurrency
205. MK-XS-F-064 currentIdToken
206. MK-XS-F-112 relayUrl
207. MK-CF-F-171 earnerPay
208. MK-HM-F-006 money0
209. MK-CF-F-198 payrollTaxWithheld
210. MK-CF-F-193 inflowSourceWord
211. MK-NW-F-078 ONE
212. MK-CF-F-157 debtPaymentsByDebt
213. MK-CF-F-143 annualisedGross
214. MK-CF-F-145 deductionsFromPay
215. MK-CF-F-128 grossByMonth
216. MK-CF-F-146 payFiguresAgree
217. MK-CF-F-144 takeHomeAsEntered
218. MK-HM-F-005 pctTxt
219. MK-NW-F-077 ALL
220. MK-NW-F-059 currentYield
221. MK-NW-O-001 theBonds
222. MK-CF-F-142 monthsOf
223. MK-CF-F-141 perMonth
224. MK-NW-F-112 yearlyInterest
225. MK-NW-F-057 annualCoupon
226. MK-NW-F-056 bondInfo
227. MK-NW-F-064 bondRateSensitivity
228. MK-NW-F-061 bondSummary
229. MK-NW-F-055 isBond
230. MK-NW-F-072 rowOf
231. MK-CF-F-140 periodsAYear
232. MK-NW-F-060 approxYTM
233. MK-NW-F-069 priceAtYield
234. MK-NW-F-070 accruedInterestCaveat
235. MK-NW-F-058 yearsToMaturity
236. MK-NW-F-119 estimatedAccrued</t>
        </is>
      </c>
      <c r="R578" s="3" t="inlineStr">
        <is>
          <t>1. MK-NW-F-008 incomeBearingClassOf → MK-NW-F-011 assetClassOf → MK-NW-F-007 assetKind → MK-NW-F-034 benchmarkReturn → MK-NW-F-037 blendedReturn → MK-XS-F-031 buildSnapshot
2. MK-XS-F-122 n → MK-CF-F-155 cash → MK-NW-F-007 assetKind → MK-NW-F-034 benchmarkReturn → MK-NW-F-037 blendedReturn → MK-XS-F-031 buildSnapshot
3. MK-NW-F-008 incomeBearingClassOf → MK-NW-F-011 assetClassOf → MK-NW-F-030 earmarkDefault → MK-NW-F-032 earmarkedAmount → MK-NW-F-037 blendedReturn → MK-XS-F-031 buildSnapshot
4. MK-NW-F-031 primaryCarIdOf → MK-NW-F-037 blendedReturn → MK-XS-F-031 buildSnapshot
5. MK-NW-F-008 incomeBearingClassOf → MK-NW-F-011 assetClassOf → MK-NW-F-030 earmarkDefault → MK-NW-F-110 primaryHomeIdOf → MK-NW-F-037 blendedReturn → MK-XS-F-031 buildSnapshot
6. MK-NW-F-008 incomeBearingClassOf → MK-NW-F-011 assetClassOf → MK-NW-F-117 propertyUseMap → MK-NW-F-110 primaryHomeIdOf → MK-NW-F-037 blendedReturn → MK-XS-F-031 buildSnapshot
7. MK-ST-F-056 has → MK-NW-F-117 propertyUseMap → MK-NW-F-110 primaryHomeIdOf → MK-NW-F-037 blendedReturn → MK-XS-F-031 buildSnapshot
8. MK-CF-O-002 expenses → MK-NW-F-115 liveRent → MK-NW-F-117 propertyUseMap → MK-NW-F-110 primaryHomeIdOf → MK-NW-F-037 blendedReturn → MK-XS-F-031 buildSnapshot
9. … and 5 more paths</t>
        </is>
      </c>
      <c r="S578" s="3" t="inlineStr">
        <is>
          <t>—</t>
        </is>
      </c>
      <c r="T578" s="3" t="inlineStr">
        <is>
          <t>—</t>
        </is>
      </c>
      <c r="U578" s="3" t="inlineStr">
        <is>
          <t>ACTIVE</t>
        </is>
      </c>
      <c r="V578" s="3" t="inlineStr">
        <is>
          <t>2026-08-27</t>
        </is>
      </c>
      <c r="W578" s="3" t="n"/>
      <c r="X578" s="3" t="n"/>
      <c r="Y578" s="3" t="inlineStr">
        <is>
          <t>NOTHING OPEN</t>
        </is>
      </c>
    </row>
    <row r="579" ht="60" customHeight="1">
      <c r="A579" s="3" t="inlineStr">
        <is>
          <t>MK-XS-F-032</t>
        </is>
      </c>
      <c r="B579" s="3" t="inlineStr">
        <is>
          <t>snapshotFromOnboarding</t>
        </is>
      </c>
      <c r="C579" s="3" t="inlineStr">
        <is>
          <t>src/domain/snapshot.ts</t>
        </is>
      </c>
      <c r="D579" s="3" t="n">
        <v>198</v>
      </c>
      <c r="E579" s="3" t="inlineStr">
        <is>
          <t>3 · DEPENDENT (feeds an action only)</t>
        </is>
      </c>
      <c r="F579" s="3" t="inlineStr">
        <is>
          <t>Snapshot from onboarding answers alone — for headless/test callers (and any surface that runs before Net Worth is set up).</t>
        </is>
      </c>
      <c r="G579" s="11" t="inlineStr">
        <is>
          <t>build snapshot(uid, op, econ, assets from onboarding(uid, op).accounts, debts from onboarding(uid, op).debts)</t>
        </is>
      </c>
      <c r="H579" s="3" t="inlineStr">
        <is>
          <t>build snapshot(uid, op, econ, assets from onboarding(uid, op).accounts, debts from onboarding(uid, op).debts).</t>
        </is>
      </c>
      <c r="I579" s="3" t="inlineStr">
        <is>
          <t>PARTLY READ — some of the code is still showing through; needs a hand pass</t>
        </is>
      </c>
      <c r="J579" s="3" t="inlineStr">
        <is>
          <t>1. uid: UserId
2. op: Record&lt;string, any&gt; | null
3. econ: EconomicData</t>
        </is>
      </c>
      <c r="K579" s="3" t="inlineStr">
        <is>
          <t>FinancialSnapshot</t>
        </is>
      </c>
      <c r="L579" s="3" t="inlineStr">
        <is>
          <t>—</t>
        </is>
      </c>
      <c r="M579" s="3" t="inlineStr">
        <is>
          <t>None found in this function — anything it assumes comes from the functions it depends on.</t>
        </is>
      </c>
      <c r="N579" s="3" t="inlineStr">
        <is>
          <t>No</t>
        </is>
      </c>
      <c r="O579" s="3" t="inlineStr">
        <is>
          <t>1. MK-NW-F-040 assetsFromOnboarding
2. MK-XS-F-031 buildSnapshot
3. MK-CF-F-038 debtsFromOnboarding
4. MK-XS-F-175 uid</t>
        </is>
      </c>
      <c r="P579" s="3" t="n">
        <v>237</v>
      </c>
      <c r="Q579"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MK-ST-F-079 dailyWindowStart
35. MK-XS-F-083 fetchPriceSeries
36. MK-ST-F-084 fillBetweenObservations
37. MK-ST-F-056 has
38. MK-CF-F-116 inverseOf
39. MK-ST-F-065 isoLocalDate
40. MK-CF-F-112 makeTransaction
41. MK-XS-F-122 n
42. MK-XS-F-006 pruneDaily
43. MK-ST-F-073 rebuildDays
44. MK-NW-F-054 reclassifyAccounts
45. MK-XS-F-174 recomputeBalances
46. MK-CF-F-115 restoreUndo
47. MK-CF-F-109 reviewTransactions
48. MK-ST-F-044 setMoneyFormat
49. MK-CF-F-114 undoSnapshot
50. MK-CF-F-191 ym
51. MK-NW-F-034 benchmarkReturn
52. MK-NW-F-032 earmarkedAmount
53. MK-NW-F-031 primaryCarIdOf
54. MK-NW-F-110 primaryHomeIdOf
55. MK-CF-F-002 plannedMonthlySpend
56. MK-CF-F-004 spendBuckets
57. MK-CF-F-026 actualDebtPayment
58. MK-CF-F-204 line
59. MK-CF-F-025 minimumDebtService
60. MK-PL-F-012 waterfall
61. MK-CF-F-048 effectiveTaxRate
62. MK-CF-F-046 employerMatchAnnual
63. MK-CF-F-045 grossAnnualBaseline
64. MK-CF-F-161 monthlyGrossOfSource
65. MK-CF-F-098 progressiveMonthlyTax
66. MK-CF-F-129 round4
67. MK-PL-F-050 simulate
68. MK-NW-F-041 monthlyContributionsFromOnboarding
69. MK-CF-F-011 savingsByMonth
70. MK-CF-F-070 benefitAnnual
71. MK-CF-F-072 currentRetirementIncomeMonthly
72. MK-CF-F-078 employerMatchMonthly
73. MK-CF-F-065 equityVestWeights
74. MK-CF-O-002 expenses
75. MK-CF-F-067 rentalList
76. MK-CF-F-066 rsuAnnual
77. MK-CF-F-082 salaryAnnual
78. MK-CF-F-074 tipsAnnual
79. MK-XS-F-131 toInt
80. MK-PL-F-047 colFactor
81. MK-PL-F-001 taxBucketSplit
82. MK-XS-F-017 currentAge
83. MK-XS-F-019 retirementHorizonYears
84. MK-XS-F-018 yearsToRetirement
85. MK-CF-F-138 addLot
86. MK-CF-F-136 bumpCash
87. MK-CF-F-137 findPos
88. MK-CF-F-139 removeShares
89. MK-PF-F-001 totalShares
90. MK-ST-F-053 money
91. MK-CF-F-085 filingStatusOf
92. MK-CF-F-097 grossFromNet
93. MK-CF-F-185 needsTakeHomeConversion
94. MK-CF-F-089 over65CountOf
95. MK-ST-F-069 amountOf
96. MK-CF-F-133 cashOf
97. MK-ST-F-066 isDayKey
98. MK-ST-F-070 isOpening
99. MK-ST-F-039 on
100. MK-ST-F-071 rebuildableFrom
101. MK-ST-F-068 stepDay
102. MK-ST-F-072 undo
103. MK-NW-F-053 correctClassOf
104. MK-NW-F-008 incomeBearingClassOf
105. MK-PF-F-002 costBasis
106. MK-PF-F-009 latestClose
107. MK-PF-F-004 marketValue
108. MK-ST-F-030 record
109. MK-XS-F-024 resolveLens
110. MK-ST-F-055 round2
111. MK-CF-F-162 daysApart
112. MK-CF-F-108 isMoneyOut
113. MK-PL-F-074 median
114. MK-CF-F-131 normPayee
115. MK-CF-F-113 affectedAccountIds
116. MK-NW-F-007 assetKind
117. MK-NW-F-030 earmarkDefault
118. MK-NW-F-117 propertyUseMap
119. MK-CF-F-092 incomeMonthlyGrid
120. MK-XS-F-027 takeHomeMonthly
121. MK-CF-F-003 categoryMonthly
122. MK-CF-F-024 totalDebtMonthly
123. MK-CF-F-203 MONTH
124. MK-XS-F-180 declareFigures
125. MK-CF-F-022 paymentShape
126. MK-CF-F-102 effectiveRateOnGrossFor
127. MK-CF-F-044 annualNet
128. MK-CF-F-127 isRental
129. MK-CF-F-101 taxOwedFor
130. MK-CF-F-100 taxableIncomeFor
131. MK-PL-F-072 mulberry32
132. MK-PL-F-073 normal
133. MK-PL-F-075 pctOfSorted
134. MK-ST-F-025 rmdStartAgeFromAge
135. MK-CF-F-197 ageAttainedInYear
136. MK-CF-F-053 annual401kLimit
137. MK-CF-F-008 spendByMonth
138. MK-CF-F-069 benefitActiveMonths
139. MK-CF-F-075 retirementIncomeMonthly
140. MK-CF-F-175 sumOverEarners
141. MK-CF-F-178 wageMatchMonthly
142. MK-CF-F-062 equityRowValue
143. MK-CF-F-151 actualSpending
144. MK-CF-F-150 debtPaymentsCountedAsExpenses
145. MK-CF-F-153 radar
146. MK-CF-F-149 recurringDebtPayments
147. MK-CF-F-063 rowVestYear
148. MK-CF-F-060 salaryGrossByMonth
149. MK-CF-F-081 salaryActiveMonths
150. MK-CF-F-134 usesSleeve
151. MK-ST-F-049 formatMoney
152. MK-ST-F-067 utcOfDay
153. MK-ST-F-035 covers
154. MK-NW-F-009 maturityClass
155. MK-ST-F-010 nameEvidence
156. MK-PF-F-031 contractMultiplier
157. MK-NW-F-011 assetClassOf
158. MK-NW-F-115 liveRent
159. MK-NW-F-116 rentedIdsOf
160. MK-CF-F-173 earnerWages
161. MK-CF-F-071 extraIncome
162. MK-CF-F-206 householdK401ByMonth
163. MK-CF-F-087 monthlyTaxRates
164. MK-CF-F-073 otherIncomeMonth
165. MK-CF-F-181 rateInForce
166. MK-CF-F-068 rentalNetAnnual
167. MK-CF-F-077 scholarshipByCalendarMonth
168. MK-CF-F-088 taxableByCalendarMonth
169. MK-CF-F-177 wageGrossByMonth
170. MK-CF-F-120 pctBaseMonthly
171. MK-CF-F-201 INCOME
172. MK-CF-F-023 requiredPayment
173. MK-CF-O-010 theMonth
174. MK-CF-F-021 defaultPaymentType
175. MK-CF-F-099 deductionFor
176. MK-ST-F-024 rmdStartAge
177. MK-CF-F-148 inMonth
178. MK-CF-F-152 isRadarItem
179. MK-CF-F-176 sumMonthsOverEarners
180. MK-ST-F-048 currencySymbol
181. MK-ST-F-034 firstDate
182. MK-XS-F-147 call
183. MK-NW-F-114 rentAmount
184. MK-CF-F-172 hasWage
185. MK-CF-F-090 effectiveRate
186. MK-CF-F-180 enteredLandsAnnual
187. MK-CF-F-086 stateRateOf
188. MK-CF-F-084 taxableAnnual
189. MK-CF-F-130 enteredMonthlyRaw
190. MK-CF-F-166 hasMonthlySalaryTable
191. MK-ST-F-036 reconcile
192. MK-CF-F-167 salaryCalendarYear
193. MK-CF-F-207 SOURCE
194. MK-CF-O-004 incomeSummary
195. MK-CF-O-003 thisMonth
196. MK-CF-F-187 seniorDeductionFor
197. MK-ST-F-047 activeCurrency
198. MK-XS-F-064 currentIdToken
199. MK-XS-F-112 relayUrl
200. MK-CF-F-165 salaryMonths
201. MK-CF-O-016 incomeSources
202. MK-CF-O-001 basePay
203. MK-CF-F-179 entryFromWage
204. MK-CF-F-192 inflowLabel
205. MK-CF-F-103 marginalBracketFor
206. MK-CF-F-005 actualMonthFlow
207. MK-CF-F-156 plannedMonthFlow
208. MK-CF-F-171 earnerPay
209. MK-HM-F-006 money0
210. MK-CF-F-198 payrollTaxWithheld
211. MK-CF-F-193 inflowSourceWord
212. MK-NW-F-078 ONE
213. MK-CF-F-157 debtPaymentsByDebt
214. MK-CF-F-143 annualisedGross
215. MK-CF-F-145 deductionsFromPay
216. MK-CF-F-128 grossByMonth
217. MK-CF-F-146 payFiguresAgree
218. MK-CF-F-144 takeHomeAsEntered
219. MK-HM-F-005 pctTxt
220. MK-NW-F-077 ALL
221. MK-NW-F-059 currentYield
222. MK-NW-O-001 theBonds
223. MK-CF-F-142 monthsOf
224. MK-CF-F-141 perMonth
225. MK-NW-F-112 yearlyInterest
226. MK-NW-F-057 annualCoupon
227. MK-NW-F-056 bondInfo
228. MK-NW-F-064 bondRateSensitivity
229. MK-NW-F-061 bondSummary
230. MK-NW-F-055 isBond
231. MK-NW-F-072 rowOf
232. MK-CF-F-140 periodsAYear
233. MK-NW-F-060 approxYTM
234. MK-NW-F-069 priceAtYield
235. MK-NW-F-070 accruedInterestCaveat
236. MK-NW-F-058 yearsToMaturity
237. MK-NW-F-119 estimatedAccrued</t>
        </is>
      </c>
      <c r="R579"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579" s="3" t="inlineStr">
        <is>
          <t>—</t>
        </is>
      </c>
      <c r="T579" s="3" t="inlineStr">
        <is>
          <t>—</t>
        </is>
      </c>
      <c r="U579" s="3" t="inlineStr">
        <is>
          <t>ACTIVE</t>
        </is>
      </c>
      <c r="V579" s="3" t="inlineStr">
        <is>
          <t>2026-08-27</t>
        </is>
      </c>
      <c r="W579" s="3" t="n"/>
      <c r="X579" s="3" t="n"/>
      <c r="Y579" s="3" t="inlineStr">
        <is>
          <t>NOTHING OPEN</t>
        </is>
      </c>
    </row>
    <row r="580" ht="60" customHeight="1">
      <c r="A580" s="3" t="inlineStr">
        <is>
          <t>MK-XS-F-033</t>
        </is>
      </c>
      <c r="B580" s="3" t="inlineStr">
        <is>
          <t>resolveNetWorthRows</t>
        </is>
      </c>
      <c r="C580" s="3" t="inlineStr">
        <is>
          <t>src/domain/snapshot.ts</t>
        </is>
      </c>
      <c r="D580" s="3" t="n">
        <v>226</v>
      </c>
      <c r="E580" s="3" t="inlineStr">
        <is>
          <t>2 · DISPLAYED</t>
        </is>
      </c>
      <c r="F580" s="3" t="inlineStr">
        <is>
          <t>The single rule for which net-worth rows a live UI surface should use, so Home + TopBar + the Net Worth screen never disagree (B-49).</t>
        </is>
      </c>
      <c r="G580" s="11" t="inlineStr">
        <is>
          <t>use live = nw seeded (or live accounts.length &gt; 0 (or live liabilities.length &gt; 0 when missing or zero) when missing or zero)</t>
        </is>
      </c>
      <c r="H580" s="3" t="inlineStr">
        <is>
          <t>Use live is nw seeded (or live accounts.length &gt; 0 (or live liabilities.length &gt; 0 — when missing or zero) — when missing or zero).</t>
        </is>
      </c>
      <c r="I580" s="3" t="inlineStr">
        <is>
          <t>READ FROM THE CODE — rendered from the expressions the function runs</t>
        </is>
      </c>
      <c r="J580" s="3" t="inlineStr">
        <is>
          <t>Nothing is handed to it</t>
        </is>
      </c>
      <c r="K580" s="3" t="inlineStr">
        <is>
          <t>NOT DECLARED — the code does not say what it gives back</t>
        </is>
      </c>
      <c r="L580" s="3" t="inlineStr">
        <is>
          <t>NOT FOUND — a screen calls it, but the words printed beside its answer could not be traced automatically. Needs reading.</t>
        </is>
      </c>
      <c r="M580" s="3" t="inlineStr">
        <is>
          <t>None found in this function — anything it assumes comes from the functions it depends on.</t>
        </is>
      </c>
      <c r="N580" s="3" t="inlineStr">
        <is>
          <t>Yes</t>
        </is>
      </c>
      <c r="O580" s="3" t="inlineStr">
        <is>
          <t>1. MK-NW-F-040 assetsFromOnboarding
2. MK-CF-F-038 debtsFromOnboarding
3. MK-XS-F-175 uid</t>
        </is>
      </c>
      <c r="P580" s="3" t="n">
        <v>83</v>
      </c>
      <c r="Q580"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MK-XS-F-122 n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MK-ST-F-053 money
38. MK-CF-F-085 filingStatusOf
39. MK-CF-F-097 grossFromNet
40. MK-CF-F-185 needsTakeHomeConversion
41. MK-CF-F-089 over65CountOf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580"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580" s="3" t="inlineStr">
        <is>
          <t>—</t>
        </is>
      </c>
      <c r="T580" s="3" t="inlineStr">
        <is>
          <t>NET_WORTH_ROWS</t>
        </is>
      </c>
      <c r="U580" s="3" t="inlineStr">
        <is>
          <t>ACTIVE</t>
        </is>
      </c>
      <c r="V580" s="3" t="inlineStr">
        <is>
          <t>2026-08-27</t>
        </is>
      </c>
      <c r="W580" s="3" t="n"/>
      <c r="X580" s="3" t="n"/>
      <c r="Y580" s="3" t="inlineStr">
        <is>
          <t>NOTHING OPEN</t>
        </is>
      </c>
    </row>
    <row r="581" ht="45" customHeight="1">
      <c r="A581" s="3" t="inlineStr">
        <is>
          <t>MK-XS-F-034</t>
        </is>
      </c>
      <c r="B581" s="3" t="inlineStr">
        <is>
          <t>isLockAvailable</t>
        </is>
      </c>
      <c r="C581" s="3" t="inlineStr">
        <is>
          <t>src/services/appLock.ts</t>
        </is>
      </c>
      <c r="D581" s="3" t="n">
        <v>54</v>
      </c>
      <c r="E581" s="3" t="inlineStr">
        <is>
          <t>2 · DISPLAYED</t>
        </is>
      </c>
      <c r="F581" s="3" t="inlineStr">
        <is>
          <t>True only when the device has biometric hardware AND the user has enrolled a biometric/passcode.</t>
        </is>
      </c>
      <c r="G581" s="11" t="inlineStr">
        <is>
          <t>m = load()
false   when has hardware async is missing
the answer = !!has hw and !!enrolled</t>
        </is>
      </c>
      <c r="H581" s="3" t="inlineStr">
        <is>
          <t>M is load(). When has hardware async is missing, it answers false. The answer is !!has hw and !!enrolled.</t>
        </is>
      </c>
      <c r="I581" s="3" t="inlineStr">
        <is>
          <t>READ FROM THE CODE — rendered from the expressions the function runs</t>
        </is>
      </c>
      <c r="J581" s="3" t="inlineStr">
        <is>
          <t>Nothing is handed to it</t>
        </is>
      </c>
      <c r="K581" s="3" t="inlineStr">
        <is>
          <t>Promise&lt;boolean&gt;</t>
        </is>
      </c>
      <c r="L581" s="3" t="inlineStr">
        <is>
          <t>NOT FOUND — a screen calls it, but the words printed beside its answer could not be traced automatically. Needs reading.</t>
        </is>
      </c>
      <c r="M581" s="3" t="inlineStr">
        <is>
          <t>None found in this function — anything it assumes comes from the functions it depends on.</t>
        </is>
      </c>
      <c r="N581" s="3" t="inlineStr">
        <is>
          <t>Yes</t>
        </is>
      </c>
      <c r="O581" s="3" t="inlineStr">
        <is>
          <t>MK-XS-F-132 load</t>
        </is>
      </c>
      <c r="P581" s="3" t="n">
        <v>1</v>
      </c>
      <c r="Q581" s="3" t="inlineStr">
        <is>
          <t>MK-XS-F-132 load</t>
        </is>
      </c>
      <c r="R581" s="3" t="inlineStr">
        <is>
          <t>MK-XS-F-132 load → MK-XS-F-034 isLockAvailable</t>
        </is>
      </c>
      <c r="S581" s="3" t="inlineStr">
        <is>
          <t>—</t>
        </is>
      </c>
      <c r="T581" s="3" t="inlineStr">
        <is>
          <t>—</t>
        </is>
      </c>
      <c r="U581" s="3" t="inlineStr">
        <is>
          <t>ACTIVE</t>
        </is>
      </c>
      <c r="V581" s="3" t="inlineStr">
        <is>
          <t>2026-08-27</t>
        </is>
      </c>
      <c r="W581" s="3" t="n"/>
      <c r="X581" s="3" t="n"/>
      <c r="Y581" s="3" t="inlineStr">
        <is>
          <t>NOTHING OPEN</t>
        </is>
      </c>
    </row>
    <row r="582" ht="60" customHeight="1">
      <c r="A582" s="3" t="inlineStr">
        <is>
          <t>MK-XS-F-035</t>
        </is>
      </c>
      <c r="B582" s="3" t="inlineStr">
        <is>
          <t>authenticate</t>
        </is>
      </c>
      <c r="C582" s="3" t="inlineStr">
        <is>
          <t>src/services/appLock.ts</t>
        </is>
      </c>
      <c r="D582" s="3" t="n">
        <v>87</v>
      </c>
      <c r="E582" s="3" t="inlineStr">
        <is>
          <t>2 · DISPLAYED</t>
        </is>
      </c>
      <c r="F582" s="3" t="inlineStr">
        <is>
          <t>Prompt for Face ID / Touch ID / device passcode.</t>
        </is>
      </c>
      <c r="G582" s="11" t="inlineStr">
        <is>
          <t>m = load()
false   when authenticate async is missing
res = await authenticate async({ prompt message: reason, disable device fallback: false })
the answer = !!res.success</t>
        </is>
      </c>
      <c r="H582" s="3" t="inlineStr">
        <is>
          <t>M is load(). When authenticate async is missing, it answers false. Res is await authenticate async({ prompt message: reason, disable device fallback: false }). The answer is !!res.success.</t>
        </is>
      </c>
      <c r="I582" s="3" t="inlineStr">
        <is>
          <t>READ FROM THE CODE — rendered from the expressions the function runs</t>
        </is>
      </c>
      <c r="J582" s="3" t="inlineStr">
        <is>
          <t>reason = 'Unlock MoneyKeel'</t>
        </is>
      </c>
      <c r="K582" s="3" t="inlineStr">
        <is>
          <t>Promise&lt;boolean&gt;</t>
        </is>
      </c>
      <c r="L582" s="3" t="inlineStr">
        <is>
          <t>NOT FOUND — a screen calls it, but the words printed beside its answer could not be traced automatically. Needs reading.</t>
        </is>
      </c>
      <c r="M582" s="3" t="inlineStr">
        <is>
          <t>None found in this function — anything it assumes comes from the functions it depends on.</t>
        </is>
      </c>
      <c r="N582" s="3" t="inlineStr">
        <is>
          <t>Yes</t>
        </is>
      </c>
      <c r="O582" s="3" t="inlineStr">
        <is>
          <t>MK-XS-F-132 load</t>
        </is>
      </c>
      <c r="P582" s="3" t="n">
        <v>1</v>
      </c>
      <c r="Q582" s="3" t="inlineStr">
        <is>
          <t>MK-XS-F-132 load</t>
        </is>
      </c>
      <c r="R582" s="3" t="inlineStr">
        <is>
          <t>MK-XS-F-132 load → MK-XS-F-035 authenticate</t>
        </is>
      </c>
      <c r="S582" s="3" t="inlineStr">
        <is>
          <t>—</t>
        </is>
      </c>
      <c r="T582" s="3" t="inlineStr">
        <is>
          <t>—</t>
        </is>
      </c>
      <c r="U582" s="3" t="inlineStr">
        <is>
          <t>ACTIVE</t>
        </is>
      </c>
      <c r="V582" s="3" t="inlineStr">
        <is>
          <t>2026-08-27</t>
        </is>
      </c>
      <c r="W582" s="3" t="n"/>
      <c r="X582" s="3" t="n"/>
      <c r="Y582" s="3" t="inlineStr">
        <is>
          <t>NOTHING OPEN</t>
        </is>
      </c>
    </row>
    <row r="583" ht="60" customHeight="1">
      <c r="A583" s="3" t="inlineStr">
        <is>
          <t>MK-XS-F-036</t>
        </is>
      </c>
      <c r="B583" s="3" t="inlineStr">
        <is>
          <t>initCrashReporting</t>
        </is>
      </c>
      <c r="C583" s="3" t="inlineStr">
        <is>
          <t>src/services/crashReporter.ts</t>
        </is>
      </c>
      <c r="D583" s="3" t="n">
        <v>57</v>
      </c>
      <c r="E583" s="3" t="inlineStr">
        <is>
          <t>1 · ACTION</t>
        </is>
      </c>
      <c r="F583" s="3" t="inlineStr">
        <is>
          <t>Initialise crash reporting once, at app start.</t>
        </is>
      </c>
      <c r="G583" s="11" t="inlineStr">
        <is>
          <t>dsn = (constants.expo config.extra as any).SENTRY_DSN (or process.env.SENTRY_DSN (or '' when missing or zero) when missing or zero)
s = load sentry()</t>
        </is>
      </c>
      <c r="H583" s="3" t="inlineStr">
        <is>
          <t>Dsn is (constants.expo config.extra as any).SENTRY_DSN (or process.env.SENTRY_DSN (or '' — when missing or zero) — when missing or zero). S is load sentry().</t>
        </is>
      </c>
      <c r="I583" s="3" t="inlineStr">
        <is>
          <t>PARTLY READ — some of the code is still showing through; needs a hand pass</t>
        </is>
      </c>
      <c r="J583" s="3" t="inlineStr">
        <is>
          <t>Nothing is handed to it</t>
        </is>
      </c>
      <c r="K583" s="3" t="inlineStr">
        <is>
          <t>void</t>
        </is>
      </c>
      <c r="L583" s="3" t="inlineStr">
        <is>
          <t>—</t>
        </is>
      </c>
      <c r="M583" s="3" t="inlineStr">
        <is>
          <t>None found in this function — anything it assumes comes from the functions it depends on.</t>
        </is>
      </c>
      <c r="N583" s="3" t="inlineStr">
        <is>
          <t>Yes</t>
        </is>
      </c>
      <c r="O583" s="3" t="inlineStr">
        <is>
          <t>1. MK-XS-F-037 captureException
2. MK-XS-F-134 installGlobalHandler
3. MK-XS-F-133 loadSentry</t>
        </is>
      </c>
      <c r="P583" s="3" t="n">
        <v>3</v>
      </c>
      <c r="Q583" s="3" t="inlineStr">
        <is>
          <t>1. MK-XS-F-037 captureException
2. MK-XS-F-134 installGlobalHandler
3. MK-XS-F-133 loadSentry</t>
        </is>
      </c>
      <c r="R583" s="3" t="inlineStr">
        <is>
          <t>1. MK-XS-F-037 captureException → MK-XS-F-036 initCrashReporting
2. MK-XS-F-037 captureException → MK-XS-F-134 installGlobalHandler → MK-XS-F-036 initCrashReporting
3. MK-XS-F-133 loadSentry → MK-XS-F-036 initCrashReporting</t>
        </is>
      </c>
      <c r="S583" s="3" t="inlineStr">
        <is>
          <t>—</t>
        </is>
      </c>
      <c r="T583" s="3" t="inlineStr">
        <is>
          <t>—</t>
        </is>
      </c>
      <c r="U583" s="3" t="inlineStr">
        <is>
          <t>ACTIVE</t>
        </is>
      </c>
      <c r="V583" s="3" t="inlineStr">
        <is>
          <t>2026-08-27</t>
        </is>
      </c>
      <c r="W583" s="3" t="n"/>
      <c r="X583" s="3" t="n"/>
      <c r="Y583" s="3" t="inlineStr">
        <is>
          <t>NOTHING OPEN</t>
        </is>
      </c>
    </row>
    <row r="584" ht="30" customHeight="1">
      <c r="A584" s="3" t="inlineStr">
        <is>
          <t>MK-XS-F-037</t>
        </is>
      </c>
      <c r="B584" s="3" t="inlineStr">
        <is>
          <t>captureException</t>
        </is>
      </c>
      <c r="C584" s="3" t="inlineStr">
        <is>
          <t>src/services/crashReporter.ts</t>
        </is>
      </c>
      <c r="D584" s="3" t="n">
        <v>126</v>
      </c>
      <c r="E584" s="3" t="inlineStr">
        <is>
          <t>1 · ACTION</t>
        </is>
      </c>
      <c r="F584" s="3" t="inlineStr">
        <is>
          <t>Report a caught error.</t>
        </is>
      </c>
      <c r="G584" s="11" t="inlineStr">
        <is>
          <t>It records or announces something and returns no figure — no arithmetic of its own.</t>
        </is>
      </c>
      <c r="H584" s="3" t="inlineStr">
        <is>
          <t>It records or announces something and returns no figure — no arithmetic of its own.</t>
        </is>
      </c>
      <c r="I584" s="3" t="inlineStr">
        <is>
          <t>NO ARITHMETIC — there is no formula to state</t>
        </is>
      </c>
      <c r="J584" s="3" t="inlineStr">
        <is>
          <t>1. error: unknown
2. extra?: Extra</t>
        </is>
      </c>
      <c r="K584" s="3" t="inlineStr">
        <is>
          <t>void</t>
        </is>
      </c>
      <c r="L584" s="3" t="inlineStr">
        <is>
          <t>—</t>
        </is>
      </c>
      <c r="M584" s="3" t="inlineStr">
        <is>
          <t>None found in this function — anything it assumes comes from the functions it depends on.</t>
        </is>
      </c>
      <c r="N584" s="3" t="inlineStr">
        <is>
          <t>Yes</t>
        </is>
      </c>
      <c r="O584" s="3" t="inlineStr">
        <is>
          <t>—</t>
        </is>
      </c>
      <c r="P584" s="3" t="n">
        <v>0</v>
      </c>
      <c r="Q584" s="3" t="inlineStr">
        <is>
          <t>None — no dependent function stands behind it</t>
        </is>
      </c>
      <c r="R584" s="3" t="inlineStr">
        <is>
          <t>No dependent function — it reads its inputs and answers</t>
        </is>
      </c>
      <c r="S584" s="3" t="inlineStr">
        <is>
          <t>—</t>
        </is>
      </c>
      <c r="T584" s="3" t="inlineStr">
        <is>
          <t>—</t>
        </is>
      </c>
      <c r="U584" s="3" t="inlineStr">
        <is>
          <t>ACTIVE</t>
        </is>
      </c>
      <c r="V584" s="3" t="inlineStr">
        <is>
          <t>2026-08-27</t>
        </is>
      </c>
      <c r="W584" s="3" t="n"/>
      <c r="X584" s="3" t="n"/>
      <c r="Y584" s="3" t="inlineStr">
        <is>
          <t>NOTHING OPEN</t>
        </is>
      </c>
    </row>
    <row r="585" ht="30" customHeight="1">
      <c r="A585" s="3" t="inlineStr">
        <is>
          <t>MK-XS-F-038</t>
        </is>
      </c>
      <c r="B585" s="3" t="inlineStr">
        <is>
          <t>setUserScope</t>
        </is>
      </c>
      <c r="C585" s="3" t="inlineStr">
        <is>
          <t>src/services/crashReporter.ts</t>
        </is>
      </c>
      <c r="D585" s="3" t="n">
        <v>154</v>
      </c>
      <c r="E585" s="3" t="inlineStr">
        <is>
          <t>1 · ACTION</t>
        </is>
      </c>
      <c r="F585" s="3" t="inlineStr">
        <is>
          <t>Tag the current user on reports (call after login; pass null on logout).</t>
        </is>
      </c>
      <c r="G585" s="11" t="inlineStr">
        <is>
          <t>It records or announces something and returns no figure — no arithmetic of its own.</t>
        </is>
      </c>
      <c r="H585" s="3" t="inlineStr">
        <is>
          <t>It records or announces something and returns no figure — no arithmetic of its own.</t>
        </is>
      </c>
      <c r="I585" s="3" t="inlineStr">
        <is>
          <t>NO ARITHMETIC — there is no formula to state</t>
        </is>
      </c>
      <c r="J585" s="3" t="inlineStr">
        <is>
          <t>uid: string | null</t>
        </is>
      </c>
      <c r="K585" s="3" t="inlineStr">
        <is>
          <t>void</t>
        </is>
      </c>
      <c r="L585" s="3" t="inlineStr">
        <is>
          <t>—</t>
        </is>
      </c>
      <c r="M585" s="3" t="inlineStr">
        <is>
          <t>None found in this function — anything it assumes comes from the functions it depends on.</t>
        </is>
      </c>
      <c r="N585" s="3" t="inlineStr">
        <is>
          <t>Yes</t>
        </is>
      </c>
      <c r="O585" s="3" t="inlineStr">
        <is>
          <t>—</t>
        </is>
      </c>
      <c r="P585" s="3" t="n">
        <v>0</v>
      </c>
      <c r="Q585" s="3" t="inlineStr">
        <is>
          <t>None — no dependent function stands behind it</t>
        </is>
      </c>
      <c r="R585" s="3" t="inlineStr">
        <is>
          <t>No dependent function — it reads its inputs and answers</t>
        </is>
      </c>
      <c r="S585" s="3" t="inlineStr">
        <is>
          <t>—</t>
        </is>
      </c>
      <c r="T585" s="3" t="inlineStr">
        <is>
          <t>—</t>
        </is>
      </c>
      <c r="U585" s="3" t="inlineStr">
        <is>
          <t>ACTIVE</t>
        </is>
      </c>
      <c r="V585" s="3" t="inlineStr">
        <is>
          <t>2026-08-27</t>
        </is>
      </c>
      <c r="W585" s="3" t="n"/>
      <c r="X585" s="3" t="n"/>
      <c r="Y585" s="3" t="inlineStr">
        <is>
          <t>NOTHING OPEN</t>
        </is>
      </c>
    </row>
    <row r="586" ht="45" customHeight="1">
      <c r="A586" s="3" t="inlineStr">
        <is>
          <t>MK-XS-F-039</t>
        </is>
      </c>
      <c r="B586" s="3" t="inlineStr">
        <is>
          <t>crashReportingEnabled</t>
        </is>
      </c>
      <c r="C586" s="3" t="inlineStr">
        <is>
          <t>src/services/crashReporter.ts</t>
        </is>
      </c>
      <c r="D586" s="3" t="n">
        <v>180</v>
      </c>
      <c r="E586" s="3" t="inlineStr">
        <is>
          <t>3 · DEPENDENT (feeds an action only)</t>
        </is>
      </c>
      <c r="F586" s="3" t="inlineStr">
        <is>
          <t>Whether reports are actually shipping to Sentry (DSN + SDK present).</t>
        </is>
      </c>
      <c r="G586" s="11" t="inlineStr">
        <is>
          <t>enabled</t>
        </is>
      </c>
      <c r="H586" s="3" t="inlineStr">
        <is>
          <t>enabled.</t>
        </is>
      </c>
      <c r="I586" s="3" t="inlineStr">
        <is>
          <t>READ FROM THE CODE — rendered from the expressions the function runs</t>
        </is>
      </c>
      <c r="J586" s="3" t="inlineStr">
        <is>
          <t>Nothing is handed to it</t>
        </is>
      </c>
      <c r="K586" s="3" t="inlineStr">
        <is>
          <t>boolean</t>
        </is>
      </c>
      <c r="L586" s="3" t="inlineStr">
        <is>
          <t>—</t>
        </is>
      </c>
      <c r="M586" s="3" t="inlineStr">
        <is>
          <t>None found in this function — anything it assumes comes from the functions it depends on.</t>
        </is>
      </c>
      <c r="N586" s="3" t="inlineStr">
        <is>
          <t>No</t>
        </is>
      </c>
      <c r="O586" s="3" t="inlineStr">
        <is>
          <t>—</t>
        </is>
      </c>
      <c r="P586" s="3" t="n">
        <v>0</v>
      </c>
      <c r="Q586" s="3" t="inlineStr">
        <is>
          <t>None — no dependent function stands behind it</t>
        </is>
      </c>
      <c r="R586" s="3" t="inlineStr">
        <is>
          <t>No dependent function — it reads its inputs and answers</t>
        </is>
      </c>
      <c r="S586" s="3" t="inlineStr">
        <is>
          <t>—</t>
        </is>
      </c>
      <c r="T586" s="3" t="inlineStr">
        <is>
          <t>—</t>
        </is>
      </c>
      <c r="U586" s="3" t="inlineStr">
        <is>
          <t>ACTIVE</t>
        </is>
      </c>
      <c r="V586" s="3" t="inlineStr">
        <is>
          <t>2026-08-27</t>
        </is>
      </c>
      <c r="W586" s="3" t="n"/>
      <c r="X586" s="3" t="n"/>
      <c r="Y586" s="3" t="inlineStr">
        <is>
          <t>NOTHING OPEN</t>
        </is>
      </c>
    </row>
    <row r="587" ht="60" customHeight="1">
      <c r="A587" s="3" t="inlineStr">
        <is>
          <t>MK-XS-F-040</t>
        </is>
      </c>
      <c r="B587" s="3" t="inlineStr">
        <is>
          <t>sendTestReport</t>
        </is>
      </c>
      <c r="C587" s="3" t="inlineStr">
        <is>
          <t>src/services/crashReporter.ts</t>
        </is>
      </c>
      <c r="D587" s="3" t="n">
        <v>202</v>
      </c>
      <c r="E587" s="3" t="inlineStr">
        <is>
          <t>2 · DISPLAYED</t>
        </is>
      </c>
      <c r="F587" s="3" t="inlineStr">
        <is>
          <t>B-L2 verification: send a harmless test event so you can confirm wiring in the Sentry dashboard (works on the production/TestFlight build).</t>
        </is>
      </c>
      <c r="G587" s="11" t="inlineStr">
        <is>
          <t>enabled</t>
        </is>
      </c>
      <c r="H587" s="3" t="inlineStr">
        <is>
          <t>enabled.</t>
        </is>
      </c>
      <c r="I587" s="3" t="inlineStr">
        <is>
          <t>READ FROM THE CODE — rendered from the expressions the function runs</t>
        </is>
      </c>
      <c r="J587" s="3" t="inlineStr">
        <is>
          <t>Nothing is handed to it</t>
        </is>
      </c>
      <c r="K587" s="3" t="inlineStr">
        <is>
          <t>boolean</t>
        </is>
      </c>
      <c r="L587" s="3" t="inlineStr">
        <is>
          <t>"Hide balances" — on the Settings screen, under "Security"</t>
        </is>
      </c>
      <c r="M587" s="3" t="inlineStr">
        <is>
          <t>None found in this function — anything it assumes comes from the functions it depends on.</t>
        </is>
      </c>
      <c r="N587" s="3" t="inlineStr">
        <is>
          <t>Yes</t>
        </is>
      </c>
      <c r="O587" s="3" t="inlineStr">
        <is>
          <t>MK-XS-F-037 captureException</t>
        </is>
      </c>
      <c r="P587" s="3" t="n">
        <v>1</v>
      </c>
      <c r="Q587" s="3" t="inlineStr">
        <is>
          <t>MK-XS-F-037 captureException</t>
        </is>
      </c>
      <c r="R587" s="3" t="inlineStr">
        <is>
          <t>MK-XS-F-037 captureException → MK-XS-F-040 sendTestReport</t>
        </is>
      </c>
      <c r="S587" s="3" t="inlineStr">
        <is>
          <t>—</t>
        </is>
      </c>
      <c r="T587" s="3" t="inlineStr">
        <is>
          <t>—</t>
        </is>
      </c>
      <c r="U587" s="3" t="inlineStr">
        <is>
          <t>ACTIVE</t>
        </is>
      </c>
      <c r="V587" s="3" t="inlineStr">
        <is>
          <t>2026-08-27</t>
        </is>
      </c>
      <c r="W587" s="3" t="n"/>
      <c r="X587" s="3" t="n"/>
      <c r="Y587" s="3" t="inlineStr">
        <is>
          <t>NOTHING OPEN</t>
        </is>
      </c>
    </row>
    <row r="588" ht="45" customHeight="1">
      <c r="A588" s="3" t="inlineStr">
        <is>
          <t>MK-XS-F-041</t>
        </is>
      </c>
      <c r="B588" s="3" t="inlineStr">
        <is>
          <t>cacheDataKey</t>
        </is>
      </c>
      <c r="C588" s="3" t="inlineStr">
        <is>
          <t>src/services/dataCrypto.ts</t>
        </is>
      </c>
      <c r="D588" s="3" t="n">
        <v>122</v>
      </c>
      <c r="E588" s="3" t="inlineStr">
        <is>
          <t>1 · ACTION</t>
        </is>
      </c>
      <c r="F588" s="3" t="inlineStr">
        <is>
          <t>── DEK lifecycle (the cached, unwrapped key the sync layer uses) ───── Cache the unwrapped DEK (memory + keychain).</t>
        </is>
      </c>
      <c r="G588" s="11" t="inlineStr">
        <is>
          <t>keeps the data-encryption key in memory and in the device's secure store</t>
        </is>
      </c>
      <c r="H588" s="3" t="inlineStr">
        <is>
          <t>Stores the data-encryption key in memory and in the secure keychain. Not a calculation.</t>
        </is>
      </c>
      <c r="I588" s="3" t="inlineStr">
        <is>
          <t>READ BY HAND 2026-08-26 — checked line by line against the code</t>
        </is>
      </c>
      <c r="J588" s="3" t="inlineStr">
        <is>
          <t>dek: string</t>
        </is>
      </c>
      <c r="K588" s="3" t="inlineStr">
        <is>
          <t>Promise&lt;void&gt;</t>
        </is>
      </c>
      <c r="L588" s="3" t="inlineStr">
        <is>
          <t>—</t>
        </is>
      </c>
      <c r="M588" s="3" t="inlineStr">
        <is>
          <t>None found in this function — anything it assumes comes from the functions it depends on.</t>
        </is>
      </c>
      <c r="N588" s="3" t="inlineStr">
        <is>
          <t>Yes</t>
        </is>
      </c>
      <c r="O588" s="3" t="inlineStr">
        <is>
          <t>MK-XS-F-136 secureSet</t>
        </is>
      </c>
      <c r="P588" s="3" t="n">
        <v>1</v>
      </c>
      <c r="Q588" s="3" t="inlineStr">
        <is>
          <t>MK-XS-F-136 secureSet</t>
        </is>
      </c>
      <c r="R588" s="3" t="inlineStr">
        <is>
          <t>MK-XS-F-136 secureSet → MK-XS-F-041 cacheDataKey</t>
        </is>
      </c>
      <c r="S588" s="3" t="inlineStr">
        <is>
          <t>—</t>
        </is>
      </c>
      <c r="T588" s="3" t="inlineStr">
        <is>
          <t>—</t>
        </is>
      </c>
      <c r="U588" s="3" t="inlineStr">
        <is>
          <t>ACTIVE</t>
        </is>
      </c>
      <c r="V588" s="3" t="inlineStr">
        <is>
          <t>2026-09-12</t>
        </is>
      </c>
      <c r="W588" s="3" t="n"/>
      <c r="X588" s="3" t="n"/>
      <c r="Y588" s="3" t="inlineStr">
        <is>
          <t>NOTHING OPEN</t>
        </is>
      </c>
    </row>
    <row r="589" ht="45" customHeight="1">
      <c r="A589" s="3" t="inlineStr">
        <is>
          <t>MK-XS-F-042</t>
        </is>
      </c>
      <c r="B589" s="3" t="inlineStr">
        <is>
          <t>getDataKey</t>
        </is>
      </c>
      <c r="C589" s="3" t="inlineStr">
        <is>
          <t>src/services/dataCrypto.ts</t>
        </is>
      </c>
      <c r="D589" s="3" t="n">
        <v>150</v>
      </c>
      <c r="E589" s="3" t="inlineStr">
        <is>
          <t>3 · DEPENDENT</t>
        </is>
      </c>
      <c r="F589" s="3" t="inlineStr">
        <is>
          <t>The cached DEK (memory → keychain), or null if it hasn't been unwrapped on this install yet.</t>
        </is>
      </c>
      <c r="G589" s="11" t="inlineStr">
        <is>
          <t>cached key   when cached key
cached key</t>
        </is>
      </c>
      <c r="H589" s="3" t="inlineStr">
        <is>
          <t>When cached key, it answers cached key. cached key.</t>
        </is>
      </c>
      <c r="I589" s="3" t="inlineStr">
        <is>
          <t>READ FROM THE CODE — rendered from the expressions the function runs</t>
        </is>
      </c>
      <c r="J589" s="3" t="inlineStr">
        <is>
          <t>Nothing is handed to it</t>
        </is>
      </c>
      <c r="K589" s="3" t="inlineStr">
        <is>
          <t>Promise&lt;string | null&gt;</t>
        </is>
      </c>
      <c r="L589" s="3" t="inlineStr">
        <is>
          <t>—</t>
        </is>
      </c>
      <c r="M589" s="3" t="inlineStr">
        <is>
          <t>None found in this function — anything it assumes comes from the functions it depends on.</t>
        </is>
      </c>
      <c r="N589" s="3" t="inlineStr">
        <is>
          <t>Yes</t>
        </is>
      </c>
      <c r="O589" s="3" t="inlineStr">
        <is>
          <t>MK-XS-F-135 secureGet</t>
        </is>
      </c>
      <c r="P589" s="3" t="n">
        <v>1</v>
      </c>
      <c r="Q589" s="3" t="inlineStr">
        <is>
          <t>MK-XS-F-135 secureGet</t>
        </is>
      </c>
      <c r="R589" s="3" t="inlineStr">
        <is>
          <t>MK-XS-F-135 secureGet → MK-XS-F-042 getDataKey</t>
        </is>
      </c>
      <c r="S589" s="3" t="inlineStr">
        <is>
          <t>—</t>
        </is>
      </c>
      <c r="T589" s="3" t="inlineStr">
        <is>
          <t>—</t>
        </is>
      </c>
      <c r="U589" s="3" t="inlineStr">
        <is>
          <t>ACTIVE</t>
        </is>
      </c>
      <c r="V589" s="3" t="inlineStr">
        <is>
          <t>2026-08-27</t>
        </is>
      </c>
      <c r="W589" s="3" t="n"/>
      <c r="X589" s="3" t="n"/>
      <c r="Y589" s="3" t="inlineStr">
        <is>
          <t>NOTHING OPEN</t>
        </is>
      </c>
    </row>
    <row r="590" ht="45" customHeight="1">
      <c r="A590" s="3" t="inlineStr">
        <is>
          <t>MK-XS-F-043</t>
        </is>
      </c>
      <c r="B590" s="3" t="inlineStr">
        <is>
          <t>clearDataKey</t>
        </is>
      </c>
      <c r="C590" s="3" t="inlineStr">
        <is>
          <t>src/services/dataCrypto.ts</t>
        </is>
      </c>
      <c r="D590" s="3" t="n">
        <v>174</v>
      </c>
      <c r="E590" s="3" t="inlineStr">
        <is>
          <t>1 · ACTION</t>
        </is>
      </c>
      <c r="F590" s="3" t="inlineStr">
        <is>
          <t>Forget the DEK (on logout / account deletion).</t>
        </is>
      </c>
      <c r="G590" s="11" t="inlineStr">
        <is>
          <t>forgets the data-encryption key in memory and in the secure store</t>
        </is>
      </c>
      <c r="H590" s="3" t="inlineStr">
        <is>
          <t>Removes the data-encryption key from memory and the secure keychain — done at sign-out. Not a calculation.</t>
        </is>
      </c>
      <c r="I590" s="3" t="inlineStr">
        <is>
          <t>READ BY HAND 2026-08-26 — checked line by line against the code</t>
        </is>
      </c>
      <c r="J590" s="3" t="inlineStr">
        <is>
          <t>Nothing is handed to it</t>
        </is>
      </c>
      <c r="K590" s="3" t="inlineStr">
        <is>
          <t>Promise&lt;void&gt;</t>
        </is>
      </c>
      <c r="L590" s="3" t="inlineStr">
        <is>
          <t>—</t>
        </is>
      </c>
      <c r="M590" s="3" t="inlineStr">
        <is>
          <t>None found in this function — anything it assumes comes from the functions it depends on.</t>
        </is>
      </c>
      <c r="N590" s="3" t="inlineStr">
        <is>
          <t>Yes</t>
        </is>
      </c>
      <c r="O590" s="3" t="inlineStr">
        <is>
          <t>MK-XS-F-137 secureDelete</t>
        </is>
      </c>
      <c r="P590" s="3" t="n">
        <v>1</v>
      </c>
      <c r="Q590" s="3" t="inlineStr">
        <is>
          <t>MK-XS-F-137 secureDelete</t>
        </is>
      </c>
      <c r="R590" s="3" t="inlineStr">
        <is>
          <t>MK-XS-F-137 secureDelete → MK-XS-F-043 clearDataKey</t>
        </is>
      </c>
      <c r="S590" s="3" t="inlineStr">
        <is>
          <t>—</t>
        </is>
      </c>
      <c r="T590" s="3" t="inlineStr">
        <is>
          <t>—</t>
        </is>
      </c>
      <c r="U590" s="3" t="inlineStr">
        <is>
          <t>ACTIVE</t>
        </is>
      </c>
      <c r="V590" s="3" t="inlineStr">
        <is>
          <t>2026-09-12</t>
        </is>
      </c>
      <c r="W590" s="3" t="n"/>
      <c r="X590" s="3" t="n"/>
      <c r="Y590" s="3" t="inlineStr">
        <is>
          <t>NOTHING OPEN</t>
        </is>
      </c>
    </row>
    <row r="591" ht="45" customHeight="1">
      <c r="A591" s="3" t="inlineStr">
        <is>
          <t>MK-XS-F-044</t>
        </is>
      </c>
      <c r="B591" s="3" t="inlineStr">
        <is>
          <t>generateDataKey</t>
        </is>
      </c>
      <c r="C591" s="3" t="inlineStr">
        <is>
          <t>src/services/dataCrypto.ts</t>
        </is>
      </c>
      <c r="D591" s="3" t="n">
        <v>199</v>
      </c>
      <c r="E591" s="3" t="inlineStr">
        <is>
          <t>3 · DEPENDENT</t>
        </is>
      </c>
      <c r="F591" s="3" t="inlineStr">
        <is>
          <t>── Key generation ─────────────────────────────────────────────────── A fresh random 256-bit data key (hex).</t>
        </is>
      </c>
      <c r="G591" s="11" t="inlineStr">
        <is>
          <t>crypto js.lib.word array.random(32).to string(crypto js.enc.hex)</t>
        </is>
      </c>
      <c r="H591" s="3" t="inlineStr">
        <is>
          <t>crypto js.lib.word array.random(32).to string(crypto js.enc.hex).</t>
        </is>
      </c>
      <c r="I591" s="3" t="inlineStr">
        <is>
          <t>PARTLY READ — some of the code is still showing through; needs a hand pass</t>
        </is>
      </c>
      <c r="J591" s="3" t="inlineStr">
        <is>
          <t>Nothing is handed to it</t>
        </is>
      </c>
      <c r="K591" s="3" t="inlineStr">
        <is>
          <t>string</t>
        </is>
      </c>
      <c r="L591" s="3" t="inlineStr">
        <is>
          <t>—</t>
        </is>
      </c>
      <c r="M591" s="3" t="inlineStr">
        <is>
          <t>None found in this function — anything it assumes comes from the functions it depends on.</t>
        </is>
      </c>
      <c r="N591" s="3" t="inlineStr">
        <is>
          <t>Yes</t>
        </is>
      </c>
      <c r="O591" s="3" t="inlineStr">
        <is>
          <t>—</t>
        </is>
      </c>
      <c r="P591" s="3" t="n">
        <v>0</v>
      </c>
      <c r="Q591" s="3" t="inlineStr">
        <is>
          <t>None — no dependent function stands behind it</t>
        </is>
      </c>
      <c r="R591" s="3" t="inlineStr">
        <is>
          <t>No dependent function — it reads its inputs and answers</t>
        </is>
      </c>
      <c r="S591" s="3" t="inlineStr">
        <is>
          <t>—</t>
        </is>
      </c>
      <c r="T591" s="3" t="inlineStr">
        <is>
          <t>—</t>
        </is>
      </c>
      <c r="U591" s="3" t="inlineStr">
        <is>
          <t>ACTIVE</t>
        </is>
      </c>
      <c r="V591" s="3" t="inlineStr">
        <is>
          <t>2026-08-27</t>
        </is>
      </c>
      <c r="W591" s="3" t="n"/>
      <c r="X591" s="3" t="n"/>
      <c r="Y591" s="3" t="inlineStr">
        <is>
          <t>NOTHING OPEN</t>
        </is>
      </c>
    </row>
    <row r="592" ht="60" customHeight="1">
      <c r="A592" s="3" t="inlineStr">
        <is>
          <t>MK-XS-F-045</t>
        </is>
      </c>
      <c r="B592" s="3" t="inlineStr">
        <is>
          <t>generateRecoveryCode</t>
        </is>
      </c>
      <c r="C592" s="3" t="inlineStr">
        <is>
          <t>src/services/dataCrypto.ts</t>
        </is>
      </c>
      <c r="D592" s="3" t="n">
        <v>227</v>
      </c>
      <c r="E592" s="3" t="inlineStr">
        <is>
          <t>3 · DEPENDENT</t>
        </is>
      </c>
      <c r="F592" s="3" t="inlineStr">
        <is>
          <t>A human-friendly recovery code, e.g.</t>
        </is>
      </c>
      <c r="G592" s="11" t="inlineStr">
        <is>
          <t>bytes = crypto js.lib.word array.random(20)
words = bytes.words
out = ''
byte = (words[i &gt;&gt;&gt; 2] &gt;&gt;&gt; (24 − (i % 4) × 8)) &amp; 0xff
the answer = (out.match( ÷ .{1,4} ÷ g) as string[]).join('-')</t>
        </is>
      </c>
      <c r="H592" s="3" t="inlineStr">
        <is>
          <t>Bytes is crypto js.lib.word array.random(20). Words is bytes.words. Out is ''. Byte is (words[i &gt;&gt;&gt; 2] &gt;&gt;&gt; (24 minus (i % 4) times 8)) &amp; 0xff. The answer is (out.match( divided by .{1,4} divided by g) as string[]).join('-').</t>
        </is>
      </c>
      <c r="I592" s="3" t="inlineStr">
        <is>
          <t>PARTLY READ — some of the code is still showing through; needs a hand pass</t>
        </is>
      </c>
      <c r="J592" s="3" t="inlineStr">
        <is>
          <t>Nothing is handed to it</t>
        </is>
      </c>
      <c r="K592" s="3" t="inlineStr">
        <is>
          <t>string</t>
        </is>
      </c>
      <c r="L592" s="3" t="inlineStr">
        <is>
          <t>—</t>
        </is>
      </c>
      <c r="M592" s="3" t="inlineStr">
        <is>
          <t>None found in this function — anything it assumes comes from the functions it depends on.</t>
        </is>
      </c>
      <c r="N592" s="3" t="inlineStr">
        <is>
          <t>Yes</t>
        </is>
      </c>
      <c r="O592" s="3" t="inlineStr">
        <is>
          <t>—</t>
        </is>
      </c>
      <c r="P592" s="3" t="n">
        <v>0</v>
      </c>
      <c r="Q592" s="3" t="inlineStr">
        <is>
          <t>None — no dependent function stands behind it</t>
        </is>
      </c>
      <c r="R592" s="3" t="inlineStr">
        <is>
          <t>No dependent function — it reads its inputs and answers</t>
        </is>
      </c>
      <c r="S592" s="3" t="inlineStr">
        <is>
          <t>—</t>
        </is>
      </c>
      <c r="T592" s="3" t="inlineStr">
        <is>
          <t>—</t>
        </is>
      </c>
      <c r="U592" s="3" t="inlineStr">
        <is>
          <t>ACTIVE</t>
        </is>
      </c>
      <c r="V592" s="3" t="inlineStr">
        <is>
          <t>2026-08-27</t>
        </is>
      </c>
      <c r="W592" s="3" t="n"/>
      <c r="X592" s="3" t="n"/>
      <c r="Y592" s="3" t="inlineStr">
        <is>
          <t>NOTHING OPEN</t>
        </is>
      </c>
    </row>
    <row r="593" ht="60" customHeight="1">
      <c r="A593" s="3" t="inlineStr">
        <is>
          <t>MK-XS-F-046</t>
        </is>
      </c>
      <c r="B593" s="3" t="inlineStr">
        <is>
          <t>makeEnvelope</t>
        </is>
      </c>
      <c r="C593" s="3" t="inlineStr">
        <is>
          <t>src/services/dataCrypto.ts</t>
        </is>
      </c>
      <c r="D593" s="3" t="n">
        <v>310</v>
      </c>
      <c r="E593" s="3" t="inlineStr">
        <is>
          <t>3 · DEPENDENT</t>
        </is>
      </c>
      <c r="F593" s="3" t="inlineStr">
        <is>
          <t>Build the stored envelope: the DEK locked by both the password and the recovery code.</t>
        </is>
      </c>
      <c r="G593" s="11" t="inlineStr">
        <is>
          <t>p = wrap with secret(dek, uid, password)
r = wrap with secret(dek, uid, recovery code)</t>
        </is>
      </c>
      <c r="H593" s="3" t="inlineStr">
        <is>
          <t>p = wrap with secret(dek, uid, password); r = wrap with secret(dek, uid, recovery code).</t>
        </is>
      </c>
      <c r="I593" s="3" t="inlineStr">
        <is>
          <t>READ FROM THE CODE — rendered from the expressions the function runs</t>
        </is>
      </c>
      <c r="J593" s="3" t="inlineStr">
        <is>
          <t>1. dek: string
2. uid: string
3. password: string
4. recoveryCode: string</t>
        </is>
      </c>
      <c r="K593" s="3" t="inlineStr">
        <is>
          <t>KeyEnvelope</t>
        </is>
      </c>
      <c r="L593" s="3" t="inlineStr">
        <is>
          <t>—</t>
        </is>
      </c>
      <c r="M593" s="3" t="inlineStr">
        <is>
          <t>None found in this function — anything it assumes comes from the functions it depends on.</t>
        </is>
      </c>
      <c r="N593" s="3" t="inlineStr">
        <is>
          <t>Yes</t>
        </is>
      </c>
      <c r="O593" s="3" t="inlineStr">
        <is>
          <t>1. MK-XS-F-175 uid
2. MK-XS-F-139 wrapWithSecret</t>
        </is>
      </c>
      <c r="P593" s="3" t="n">
        <v>86</v>
      </c>
      <c r="Q593"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93"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593" s="3" t="inlineStr">
        <is>
          <t>—</t>
        </is>
      </c>
      <c r="T593" s="3" t="inlineStr">
        <is>
          <t>—</t>
        </is>
      </c>
      <c r="U593" s="3" t="inlineStr">
        <is>
          <t>ACTIVE</t>
        </is>
      </c>
      <c r="V593" s="3" t="inlineStr">
        <is>
          <t>2026-08-27</t>
        </is>
      </c>
      <c r="W593" s="3" t="n"/>
      <c r="X593" s="3" t="n"/>
      <c r="Y593" s="3" t="inlineStr">
        <is>
          <t>NOTHING OPEN</t>
        </is>
      </c>
    </row>
    <row r="594" ht="60" customHeight="1">
      <c r="A594" s="3" t="inlineStr">
        <is>
          <t>MK-XS-F-047</t>
        </is>
      </c>
      <c r="B594" s="3" t="inlineStr">
        <is>
          <t>unwrapWithPassword</t>
        </is>
      </c>
      <c r="C594" s="3" t="inlineStr">
        <is>
          <t>src/services/dataCrypto.ts</t>
        </is>
      </c>
      <c r="D594" s="3" t="n">
        <v>333</v>
      </c>
      <c r="E594" s="3" t="inlineStr">
        <is>
          <t>3 · DEPENDENT</t>
        </is>
      </c>
      <c r="F594" s="3" t="inlineStr">
        <is>
          <t>Unlock the DEK with the password (null if the password is wrong / was reset).</t>
        </is>
      </c>
      <c r="G594" s="11" t="inlineStr">
        <is>
          <t>decrypt with key(env.p, derive key from secret(password, uid))   if env.p
nothing   otherwise</t>
        </is>
      </c>
      <c r="H594" s="3" t="inlineStr">
        <is>
          <t>decrypt with key(env.p, derive key from secret(password, uid)) — when env.p; no answer — otherwise.</t>
        </is>
      </c>
      <c r="I594" s="3" t="inlineStr">
        <is>
          <t>READ FROM THE CODE — rendered from the expressions the function runs</t>
        </is>
      </c>
      <c r="J594" s="3" t="inlineStr">
        <is>
          <t>1. env: KeyEnvelope
2. uid: string
3. password: string</t>
        </is>
      </c>
      <c r="K594" s="3" t="inlineStr">
        <is>
          <t>string | null</t>
        </is>
      </c>
      <c r="L594" s="3" t="inlineStr">
        <is>
          <t>—</t>
        </is>
      </c>
      <c r="M594" s="3" t="inlineStr">
        <is>
          <t>None found in this function — anything it assumes comes from the functions it depends on.</t>
        </is>
      </c>
      <c r="N594" s="3" t="inlineStr">
        <is>
          <t>Yes</t>
        </is>
      </c>
      <c r="O594" s="3" t="inlineStr">
        <is>
          <t>1. MK-XS-F-053 decryptWithKey
2. MK-XS-F-138 deriveKeyFromSecret
3. MK-XS-F-175 uid</t>
        </is>
      </c>
      <c r="P594" s="3" t="n">
        <v>86</v>
      </c>
      <c r="Q594"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94"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594" s="3" t="inlineStr">
        <is>
          <t>—</t>
        </is>
      </c>
      <c r="T594" s="3" t="inlineStr">
        <is>
          <t>—</t>
        </is>
      </c>
      <c r="U594" s="3" t="inlineStr">
        <is>
          <t>ACTIVE</t>
        </is>
      </c>
      <c r="V594" s="3" t="inlineStr">
        <is>
          <t>2026-08-27</t>
        </is>
      </c>
      <c r="W594" s="3" t="n"/>
      <c r="X594" s="3" t="n"/>
      <c r="Y594" s="3" t="inlineStr">
        <is>
          <t>NOTHING OPEN</t>
        </is>
      </c>
    </row>
    <row r="595" ht="60" customHeight="1">
      <c r="A595" s="3" t="inlineStr">
        <is>
          <t>MK-XS-F-048</t>
        </is>
      </c>
      <c r="B595" s="3" t="inlineStr">
        <is>
          <t>unwrapWithRecovery</t>
        </is>
      </c>
      <c r="C595" s="3" t="inlineStr">
        <is>
          <t>src/services/dataCrypto.ts</t>
        </is>
      </c>
      <c r="D595" s="3" t="n">
        <v>356</v>
      </c>
      <c r="E595" s="3" t="inlineStr">
        <is>
          <t>3 · DEPENDENT</t>
        </is>
      </c>
      <c r="F595" s="3" t="inlineStr">
        <is>
          <t>Unlock the DEK with the recovery code (null if the code is wrong).</t>
        </is>
      </c>
      <c r="G595" s="11" t="inlineStr">
        <is>
          <t>decrypt with key(env.r, derive key from secret(recovery code, uid))   if env.r
nothing   otherwise</t>
        </is>
      </c>
      <c r="H595" s="3" t="inlineStr">
        <is>
          <t>decrypt with key(env.r, derive key from secret(recovery code, uid)) — when env.r; no answer — otherwise.</t>
        </is>
      </c>
      <c r="I595" s="3" t="inlineStr">
        <is>
          <t>READ FROM THE CODE — rendered from the expressions the function runs</t>
        </is>
      </c>
      <c r="J595" s="3" t="inlineStr">
        <is>
          <t>1. env: KeyEnvelope
2. uid: string
3. recoveryCode: string</t>
        </is>
      </c>
      <c r="K595" s="3" t="inlineStr">
        <is>
          <t>string | null</t>
        </is>
      </c>
      <c r="L595" s="3" t="inlineStr">
        <is>
          <t>—</t>
        </is>
      </c>
      <c r="M595" s="3" t="inlineStr">
        <is>
          <t>None found in this function — anything it assumes comes from the functions it depends on.</t>
        </is>
      </c>
      <c r="N595" s="3" t="inlineStr">
        <is>
          <t>Yes</t>
        </is>
      </c>
      <c r="O595" s="3" t="inlineStr">
        <is>
          <t>1. MK-XS-F-053 decryptWithKey
2. MK-XS-F-138 deriveKeyFromSecret
3. MK-XS-F-175 uid</t>
        </is>
      </c>
      <c r="P595" s="3" t="n">
        <v>86</v>
      </c>
      <c r="Q595"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95"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595" s="3" t="inlineStr">
        <is>
          <t>—</t>
        </is>
      </c>
      <c r="T595" s="3" t="inlineStr">
        <is>
          <t>—</t>
        </is>
      </c>
      <c r="U595" s="3" t="inlineStr">
        <is>
          <t>ACTIVE</t>
        </is>
      </c>
      <c r="V595" s="3" t="inlineStr">
        <is>
          <t>2026-08-27</t>
        </is>
      </c>
      <c r="W595" s="3" t="n"/>
      <c r="X595" s="3" t="n"/>
      <c r="Y595" s="3" t="inlineStr">
        <is>
          <t>NOTHING OPEN</t>
        </is>
      </c>
    </row>
    <row r="596" ht="60" customHeight="1">
      <c r="A596" s="3" t="inlineStr">
        <is>
          <t>MK-XS-F-049</t>
        </is>
      </c>
      <c r="B596" s="3" t="inlineStr">
        <is>
          <t>rewrapPassword</t>
        </is>
      </c>
      <c r="C596" s="3" t="inlineStr">
        <is>
          <t>src/services/dataCrypto.ts</t>
        </is>
      </c>
      <c r="D596" s="3" t="n">
        <v>379</v>
      </c>
      <c r="E596" s="3" t="inlineStr">
        <is>
          <t>3 · DEPENDENT</t>
        </is>
      </c>
      <c r="F596" s="3" t="inlineStr">
        <is>
          <t>Re-lock an existing envelope's password copy under a new password (after a recovery-code restore).</t>
        </is>
      </c>
      <c r="G596" s="11" t="inlineStr">
        <is>
          <t>...env = ...env
p = wrap with secret(dek, uid, new password)</t>
        </is>
      </c>
      <c r="H596" s="3" t="inlineStr">
        <is>
          <t>...env = ...env; p = wrap with secret(dek, uid, new password).</t>
        </is>
      </c>
      <c r="I596" s="3" t="inlineStr">
        <is>
          <t>PARTLY READ — some of the code is still showing through; needs a hand pass</t>
        </is>
      </c>
      <c r="J596" s="3" t="inlineStr">
        <is>
          <t>1. env: KeyEnvelope
2. dek: string
3. uid: string
4. newPassword: string</t>
        </is>
      </c>
      <c r="K596" s="3" t="inlineStr">
        <is>
          <t>KeyEnvelope</t>
        </is>
      </c>
      <c r="L596" s="3" t="inlineStr">
        <is>
          <t>—</t>
        </is>
      </c>
      <c r="M596" s="3" t="inlineStr">
        <is>
          <t>None found in this function — anything it assumes comes from the functions it depends on.</t>
        </is>
      </c>
      <c r="N596" s="3" t="inlineStr">
        <is>
          <t>Yes</t>
        </is>
      </c>
      <c r="O596" s="3" t="inlineStr">
        <is>
          <t>1. MK-XS-F-175 uid
2. MK-XS-F-139 wrapWithSecret</t>
        </is>
      </c>
      <c r="P596" s="3" t="n">
        <v>86</v>
      </c>
      <c r="Q596"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96"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596" s="3" t="inlineStr">
        <is>
          <t>—</t>
        </is>
      </c>
      <c r="T596" s="3" t="inlineStr">
        <is>
          <t>—</t>
        </is>
      </c>
      <c r="U596" s="3" t="inlineStr">
        <is>
          <t>ACTIVE</t>
        </is>
      </c>
      <c r="V596" s="3" t="inlineStr">
        <is>
          <t>2026-08-27</t>
        </is>
      </c>
      <c r="W596" s="3" t="n"/>
      <c r="X596" s="3" t="n"/>
      <c r="Y596" s="3" t="inlineStr">
        <is>
          <t>NOTHING OPEN</t>
        </is>
      </c>
    </row>
    <row r="597" ht="60" customHeight="1">
      <c r="A597" s="3" t="inlineStr">
        <is>
          <t>MK-XS-F-050</t>
        </is>
      </c>
      <c r="B597" s="3" t="inlineStr">
        <is>
          <t>rewrapRecovery</t>
        </is>
      </c>
      <c r="C597" s="3" t="inlineStr">
        <is>
          <t>src/services/dataCrypto.ts</t>
        </is>
      </c>
      <c r="D597" s="3" t="n">
        <v>402</v>
      </c>
      <c r="E597" s="3" t="inlineStr">
        <is>
          <t>3 · DEPENDENT</t>
        </is>
      </c>
      <c r="F597" s="3" t="inlineStr">
        <is>
          <t>Replace an envelope's recovery copy with a new recovery code (rotate the code).</t>
        </is>
      </c>
      <c r="G597" s="11" t="inlineStr">
        <is>
          <t>...env = ...env
r = wrap with secret(dek, uid, recovery code)</t>
        </is>
      </c>
      <c r="H597" s="3" t="inlineStr">
        <is>
          <t>...env = ...env; r = wrap with secret(dek, uid, recovery code).</t>
        </is>
      </c>
      <c r="I597" s="3" t="inlineStr">
        <is>
          <t>READ FROM THE CODE — rendered from the expressions the function runs</t>
        </is>
      </c>
      <c r="J597" s="3" t="inlineStr">
        <is>
          <t>1. env: KeyEnvelope
2. dek: string
3. uid: string
4. recoveryCode: string</t>
        </is>
      </c>
      <c r="K597" s="3" t="inlineStr">
        <is>
          <t>KeyEnvelope</t>
        </is>
      </c>
      <c r="L597" s="3" t="inlineStr">
        <is>
          <t>—</t>
        </is>
      </c>
      <c r="M597" s="3" t="inlineStr">
        <is>
          <t>None found in this function — anything it assumes comes from the functions it depends on.</t>
        </is>
      </c>
      <c r="N597" s="3" t="inlineStr">
        <is>
          <t>Yes</t>
        </is>
      </c>
      <c r="O597" s="3" t="inlineStr">
        <is>
          <t>1. MK-XS-F-175 uid
2. MK-XS-F-139 wrapWithSecret</t>
        </is>
      </c>
      <c r="P597" s="3" t="n">
        <v>86</v>
      </c>
      <c r="Q597"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97"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597" s="3" t="inlineStr">
        <is>
          <t>—</t>
        </is>
      </c>
      <c r="T597" s="3" t="inlineStr">
        <is>
          <t>—</t>
        </is>
      </c>
      <c r="U597" s="3" t="inlineStr">
        <is>
          <t>ACTIVE</t>
        </is>
      </c>
      <c r="V597" s="3" t="inlineStr">
        <is>
          <t>2026-08-27</t>
        </is>
      </c>
      <c r="W597" s="3" t="n"/>
      <c r="X597" s="3" t="n"/>
      <c r="Y597" s="3" t="inlineStr">
        <is>
          <t>NOTHING OPEN</t>
        </is>
      </c>
    </row>
    <row r="598" ht="45" customHeight="1">
      <c r="A598" s="3" t="inlineStr">
        <is>
          <t>MK-XS-F-051</t>
        </is>
      </c>
      <c r="B598" s="3" t="inlineStr">
        <is>
          <t>isEncrypted</t>
        </is>
      </c>
      <c r="C598" s="3" t="inlineStr">
        <is>
          <t>src/services/dataCrypto.ts</t>
        </is>
      </c>
      <c r="D598" s="3" t="n">
        <v>429</v>
      </c>
      <c r="E598" s="3" t="inlineStr">
        <is>
          <t>3 · DEPENDENT</t>
        </is>
      </c>
      <c r="F598" s="3" t="inlineStr">
        <is>
          <t>── Low-level AES helpers (also used to wrap the DEK) ─────────────────</t>
        </is>
      </c>
      <c r="G598" s="11" t="inlineStr">
        <is>
          <t>typeof v = 'string' and (v as string).starts with(PREFIX)</t>
        </is>
      </c>
      <c r="H598" s="3" t="inlineStr">
        <is>
          <t>typeof v = 'string' and (v as string).starts with(PREFIX).</t>
        </is>
      </c>
      <c r="I598" s="3" t="inlineStr">
        <is>
          <t>PARTLY READ — some of the code is still showing through; needs a hand pass</t>
        </is>
      </c>
      <c r="J598" s="3" t="inlineStr">
        <is>
          <t>v: unknown</t>
        </is>
      </c>
      <c r="K598" s="3" t="inlineStr">
        <is>
          <t>boolean</t>
        </is>
      </c>
      <c r="L598" s="3" t="inlineStr">
        <is>
          <t>—</t>
        </is>
      </c>
      <c r="M598" s="3" t="inlineStr">
        <is>
          <t>None found in this function — anything it assumes comes from the functions it depends on.</t>
        </is>
      </c>
      <c r="N598" s="3" t="inlineStr">
        <is>
          <t>Yes</t>
        </is>
      </c>
      <c r="O598" s="3" t="inlineStr">
        <is>
          <t>—</t>
        </is>
      </c>
      <c r="P598" s="3" t="n">
        <v>0</v>
      </c>
      <c r="Q598" s="3" t="inlineStr">
        <is>
          <t>None — no dependent function stands behind it</t>
        </is>
      </c>
      <c r="R598" s="3" t="inlineStr">
        <is>
          <t>No dependent function — it reads its inputs and answers</t>
        </is>
      </c>
      <c r="S598" s="3" t="inlineStr">
        <is>
          <t>—</t>
        </is>
      </c>
      <c r="T598" s="3" t="inlineStr">
        <is>
          <t>—</t>
        </is>
      </c>
      <c r="U598" s="3" t="inlineStr">
        <is>
          <t>ACTIVE</t>
        </is>
      </c>
      <c r="V598" s="3" t="inlineStr">
        <is>
          <t>2026-08-27</t>
        </is>
      </c>
      <c r="W598" s="3" t="n"/>
      <c r="X598" s="3" t="n"/>
      <c r="Y598" s="3" t="inlineStr">
        <is>
          <t>NOTHING OPEN</t>
        </is>
      </c>
    </row>
    <row r="599" ht="60" customHeight="1">
      <c r="A599" s="3" t="inlineStr">
        <is>
          <t>MK-XS-F-052</t>
        </is>
      </c>
      <c r="B599" s="3" t="inlineStr">
        <is>
          <t>encryptWithKey</t>
        </is>
      </c>
      <c r="C599" s="3" t="inlineStr">
        <is>
          <t>src/services/dataCrypto.ts</t>
        </is>
      </c>
      <c r="D599" s="3" t="n">
        <v>454</v>
      </c>
      <c r="E599" s="3" t="inlineStr">
        <is>
          <t>3 · DEPENDENT</t>
        </is>
      </c>
      <c r="F599" s="3" t="inlineStr">
        <is>
          <t>NOT DETERMINED — the code carries no note saying what this is for, and it has no row in the old inventory. Needs reading.</t>
        </is>
      </c>
      <c r="G599" s="11" t="inlineStr">
        <is>
          <t>PREFIX + crypto js.AES.encrypt(JSON.stringify(obj), key hex).to string()</t>
        </is>
      </c>
      <c r="H599" s="3" t="inlineStr">
        <is>
          <t>PREFIX plus crypto js.AES.encrypt(JSON.stringify(obj), key hex).to string().</t>
        </is>
      </c>
      <c r="I599" s="3" t="inlineStr">
        <is>
          <t>PARTLY READ — some of the code is still showing through; needs a hand pass</t>
        </is>
      </c>
      <c r="J599" s="3" t="inlineStr">
        <is>
          <t>1. obj: unknown
2. keyHex: string</t>
        </is>
      </c>
      <c r="K599" s="3" t="inlineStr">
        <is>
          <t>string</t>
        </is>
      </c>
      <c r="L599" s="3" t="inlineStr">
        <is>
          <t>—</t>
        </is>
      </c>
      <c r="M599" s="3" t="inlineStr">
        <is>
          <t>None found in this function — anything it assumes comes from the functions it depends on.</t>
        </is>
      </c>
      <c r="N599" s="3" t="inlineStr">
        <is>
          <t>Yes</t>
        </is>
      </c>
      <c r="O599" s="3" t="inlineStr">
        <is>
          <t>—</t>
        </is>
      </c>
      <c r="P599" s="3" t="n">
        <v>0</v>
      </c>
      <c r="Q599" s="3" t="inlineStr">
        <is>
          <t>None — no dependent function stands behind it</t>
        </is>
      </c>
      <c r="R599" s="3" t="inlineStr">
        <is>
          <t>No dependent function — it reads its inputs and answers</t>
        </is>
      </c>
      <c r="S599" s="3" t="inlineStr">
        <is>
          <t>—</t>
        </is>
      </c>
      <c r="T599" s="3" t="inlineStr">
        <is>
          <t>—</t>
        </is>
      </c>
      <c r="U599" s="3" t="inlineStr">
        <is>
          <t>ACTIVE</t>
        </is>
      </c>
      <c r="V599" s="3" t="inlineStr">
        <is>
          <t>2026-08-27</t>
        </is>
      </c>
      <c r="W599" s="3" t="n"/>
      <c r="X599" s="3" t="n"/>
      <c r="Y599" s="3" t="inlineStr">
        <is>
          <t>NOTHING OPEN</t>
        </is>
      </c>
    </row>
    <row r="600" ht="60" customHeight="1">
      <c r="A600" s="3" t="inlineStr">
        <is>
          <t>MK-XS-F-053</t>
        </is>
      </c>
      <c r="B600" s="3" t="inlineStr">
        <is>
          <t>decryptWithKey</t>
        </is>
      </c>
      <c r="C600" s="3" t="inlineStr">
        <is>
          <t>src/services/dataCrypto.ts</t>
        </is>
      </c>
      <c r="D600" s="3" t="n">
        <v>485</v>
      </c>
      <c r="E600" s="3" t="inlineStr">
        <is>
          <t>3 · DEPENDENT</t>
        </is>
      </c>
      <c r="F600" s="3" t="inlineStr">
        <is>
          <t>Decrypt an 'enc:'-tagged blob.</t>
        </is>
      </c>
      <c r="G600" s="11" t="inlineStr">
        <is>
          <t>nothing   when !is encrypted(blob)
plain = crypto js.AES.decrypt(blob.slice(PREFIX.length), key hex).to string(crypto js.enc.utf8)
the answer:
JSON.parse(plain)   if plain
nothing   otherwise</t>
        </is>
      </c>
      <c r="H600" s="3" t="inlineStr">
        <is>
          <t>When !is encrypted(blob), it answers no answer. Plain is crypto js.AES.decrypt(blob.slice(PREFIX.length), key hex).to string(crypto js.enc.utf8). The answer is JSON.parse(plain) — when plain; no answer — otherwise.</t>
        </is>
      </c>
      <c r="I600" s="3" t="inlineStr">
        <is>
          <t>PARTLY READ — some of the code is still showing through; needs a hand pass</t>
        </is>
      </c>
      <c r="J600" s="3" t="inlineStr">
        <is>
          <t>1. blob: string
2. keyHex: string</t>
        </is>
      </c>
      <c r="K600" s="3" t="inlineStr">
        <is>
          <t>any | null</t>
        </is>
      </c>
      <c r="L600" s="3" t="inlineStr">
        <is>
          <t>—</t>
        </is>
      </c>
      <c r="M600" s="3" t="inlineStr">
        <is>
          <t>None found in this function — anything it assumes comes from the functions it depends on.</t>
        </is>
      </c>
      <c r="N600" s="3" t="inlineStr">
        <is>
          <t>Yes</t>
        </is>
      </c>
      <c r="O600" s="3" t="inlineStr">
        <is>
          <t>MK-XS-F-051 isEncrypted</t>
        </is>
      </c>
      <c r="P600" s="3" t="n">
        <v>1</v>
      </c>
      <c r="Q600" s="3" t="inlineStr">
        <is>
          <t>MK-XS-F-051 isEncrypted</t>
        </is>
      </c>
      <c r="R600" s="3" t="inlineStr">
        <is>
          <t>MK-XS-F-051 isEncrypted → MK-XS-F-053 decryptWithKey</t>
        </is>
      </c>
      <c r="S600" s="3" t="inlineStr">
        <is>
          <t>—</t>
        </is>
      </c>
      <c r="T600" s="3" t="inlineStr">
        <is>
          <t>—</t>
        </is>
      </c>
      <c r="U600" s="3" t="inlineStr">
        <is>
          <t>ACTIVE</t>
        </is>
      </c>
      <c r="V600" s="3" t="inlineStr">
        <is>
          <t>2026-08-27</t>
        </is>
      </c>
      <c r="W600" s="3" t="n"/>
      <c r="X600" s="3" t="n"/>
      <c r="Y600" s="3" t="inlineStr">
        <is>
          <t>NOTHING OPEN</t>
        </is>
      </c>
    </row>
    <row r="601" ht="60" customHeight="1">
      <c r="A601" s="3" t="inlineStr">
        <is>
          <t>MK-XS-F-054</t>
        </is>
      </c>
      <c r="B601" s="3" t="inlineStr">
        <is>
          <t>encryptForSync</t>
        </is>
      </c>
      <c r="C601" s="3" t="inlineStr">
        <is>
          <t>src/services/dataCrypto.ts</t>
        </is>
      </c>
      <c r="D601" s="3" t="n">
        <v>519</v>
      </c>
      <c r="E601" s="3" t="inlineStr">
        <is>
          <t>3 · DEPENDENT</t>
        </is>
      </c>
      <c r="F601" s="3" t="inlineStr">
        <is>
          <t>── The sync layer's interface (operates on the cached DEK) ─────────── Encrypt a payload with the cached DEK.</t>
        </is>
      </c>
      <c r="G601" s="11" t="inlineStr">
        <is>
          <t>key = await get data key()
the answer:
encrypt with key(obj, key)   if key
nothing   otherwise</t>
        </is>
      </c>
      <c r="H601" s="3" t="inlineStr">
        <is>
          <t>Key is await get data key(). The answer is encrypt with key(obj, key) — when key; no answer — otherwise.</t>
        </is>
      </c>
      <c r="I601" s="3" t="inlineStr">
        <is>
          <t>READ FROM THE CODE — rendered from the expressions the function runs</t>
        </is>
      </c>
      <c r="J601" s="3" t="inlineStr">
        <is>
          <t>obj: unknown</t>
        </is>
      </c>
      <c r="K601" s="3" t="inlineStr">
        <is>
          <t>Promise&lt;string | null&gt;</t>
        </is>
      </c>
      <c r="L601" s="3" t="inlineStr">
        <is>
          <t>—</t>
        </is>
      </c>
      <c r="M601" s="3" t="inlineStr">
        <is>
          <t>None found in this function — anything it assumes comes from the functions it depends on.</t>
        </is>
      </c>
      <c r="N601" s="3" t="inlineStr">
        <is>
          <t>Yes</t>
        </is>
      </c>
      <c r="O601" s="3" t="inlineStr">
        <is>
          <t>1. MK-XS-F-052 encryptWithKey
2. MK-XS-F-042 getDataKey</t>
        </is>
      </c>
      <c r="P601" s="3" t="n">
        <v>3</v>
      </c>
      <c r="Q601" s="3" t="inlineStr">
        <is>
          <t>1. MK-XS-F-052 encryptWithKey
2. MK-XS-F-042 getDataKey
3. MK-XS-F-135 secureGet</t>
        </is>
      </c>
      <c r="R601" s="3" t="inlineStr">
        <is>
          <t>1. MK-XS-F-052 encryptWithKey → MK-XS-F-054 encryptForSync
2. MK-XS-F-135 secureGet → MK-XS-F-042 getDataKey → MK-XS-F-054 encryptForSync</t>
        </is>
      </c>
      <c r="S601" s="3" t="inlineStr">
        <is>
          <t>—</t>
        </is>
      </c>
      <c r="T601" s="3" t="inlineStr">
        <is>
          <t>—</t>
        </is>
      </c>
      <c r="U601" s="3" t="inlineStr">
        <is>
          <t>ACTIVE</t>
        </is>
      </c>
      <c r="V601" s="3" t="inlineStr">
        <is>
          <t>2026-08-27</t>
        </is>
      </c>
      <c r="W601" s="3" t="n"/>
      <c r="X601" s="3" t="n"/>
      <c r="Y601" s="3" t="inlineStr">
        <is>
          <t>NOTHING OPEN</t>
        </is>
      </c>
    </row>
    <row r="602" ht="60" customHeight="1">
      <c r="A602" s="3" t="inlineStr">
        <is>
          <t>MK-XS-F-055</t>
        </is>
      </c>
      <c r="B602" s="3" t="inlineStr">
        <is>
          <t>decryptFromSync</t>
        </is>
      </c>
      <c r="C602" s="3" t="inlineStr">
        <is>
          <t>src/services/dataCrypto.ts</t>
        </is>
      </c>
      <c r="D602" s="3" t="n">
        <v>549</v>
      </c>
      <c r="E602" s="3" t="inlineStr">
        <is>
          <t>3 · DEPENDENT</t>
        </is>
      </c>
      <c r="F602" s="3" t="inlineStr">
        <is>
          <t>Decrypt a synced value: ciphertext → object; legacy plaintext object → returned as-is; null if it's ciphertext we can't decrypt (no key).</t>
        </is>
      </c>
      <c r="G602" s="11" t="inlineStr">
        <is>
          <t>nothing   when value = nothing
value   when !is encrypted(value)
key = await get data key()
the answer:
decrypt with key(value as string, key)   if key
nothing   otherwise</t>
        </is>
      </c>
      <c r="H602" s="3" t="inlineStr">
        <is>
          <t>When value is missing, it answers no answer. When !is encrypted(value), it answers value. Key is await get data key(). The answer is decrypt with key(value as string, key) — when key; no answer — otherwise.</t>
        </is>
      </c>
      <c r="I602" s="3" t="inlineStr">
        <is>
          <t>READ FROM THE CODE — rendered from the expressions the function runs</t>
        </is>
      </c>
      <c r="J602" s="3" t="inlineStr">
        <is>
          <t>value: unknown</t>
        </is>
      </c>
      <c r="K602" s="3" t="inlineStr">
        <is>
          <t>Promise&lt;any | null&gt;</t>
        </is>
      </c>
      <c r="L602" s="3" t="inlineStr">
        <is>
          <t>—</t>
        </is>
      </c>
      <c r="M602" s="3" t="inlineStr">
        <is>
          <t>None found in this function — anything it assumes comes from the functions it depends on.</t>
        </is>
      </c>
      <c r="N602" s="3" t="inlineStr">
        <is>
          <t>Yes</t>
        </is>
      </c>
      <c r="O602" s="3" t="inlineStr">
        <is>
          <t>1. MK-XS-F-053 decryptWithKey
2. MK-XS-F-042 getDataKey
3. MK-XS-F-051 isEncrypted</t>
        </is>
      </c>
      <c r="P602" s="3" t="n">
        <v>4</v>
      </c>
      <c r="Q602" s="3" t="inlineStr">
        <is>
          <t>1. MK-XS-F-053 decryptWithKey
2. MK-XS-F-042 getDataKey
3. MK-XS-F-051 isEncrypted
4. MK-XS-F-135 secureGet</t>
        </is>
      </c>
      <c r="R602" s="3" t="inlineStr">
        <is>
          <t>1. MK-XS-F-051 isEncrypted → MK-XS-F-053 decryptWithKey → MK-XS-F-055 decryptFromSync
2. MK-XS-F-135 secureGet → MK-XS-F-042 getDataKey → MK-XS-F-055 decryptFromSync
3. MK-XS-F-051 isEncrypted → MK-XS-F-055 decryptFromSync</t>
        </is>
      </c>
      <c r="S602" s="3" t="inlineStr">
        <is>
          <t>—</t>
        </is>
      </c>
      <c r="T602" s="3" t="inlineStr">
        <is>
          <t>—</t>
        </is>
      </c>
      <c r="U602" s="3" t="inlineStr">
        <is>
          <t>ACTIVE</t>
        </is>
      </c>
      <c r="V602" s="3" t="inlineStr">
        <is>
          <t>2026-08-27</t>
        </is>
      </c>
      <c r="W602" s="3" t="n"/>
      <c r="X602" s="3" t="n"/>
      <c r="Y602" s="3" t="inlineStr">
        <is>
          <t>NOTHING OPEN</t>
        </is>
      </c>
    </row>
    <row r="603" ht="60" customHeight="1">
      <c r="A603" s="3" t="inlineStr">
        <is>
          <t>MK-XS-F-056</t>
        </is>
      </c>
      <c r="B603" s="3" t="inlineStr">
        <is>
          <t>fetchEconomicData</t>
        </is>
      </c>
      <c r="C603" s="3" t="inlineStr">
        <is>
          <t>src/services/economicData.ts</t>
        </is>
      </c>
      <c r="D603" s="3" t="n">
        <v>69</v>
      </c>
      <c r="E603" s="3" t="inlineStr">
        <is>
          <t>3 · DEPENDENT (feeds an action only)</t>
        </is>
      </c>
      <c r="F603" s="3" t="inlineStr">
        <is>
          <t>What are inflation and the 10-year Treasury yield?</t>
        </is>
      </c>
      <c r="G603" s="11" t="inlineStr">
        <is>
          <t>inflation rate = the fetched figure, or the fallback when the fetch failed
treasury yield = the fetched figure, or the fallback when the fetch failed
fetched at = now; each fallback flagged</t>
        </is>
      </c>
      <c r="H603" s="3" t="inlineStr">
        <is>
          <t>Fetches the inflation rate and the ten-year Treasury yield; when either fetch fails its fallback is used and FLAGGED as a fallback, never passed off as live.</t>
        </is>
      </c>
      <c r="I603" s="3" t="inlineStr">
        <is>
          <t>READ BY HAND 2026-08-26 — checked line by line against the code</t>
        </is>
      </c>
      <c r="J603" s="3" t="inlineStr">
        <is>
          <t>Nothing is handed to it</t>
        </is>
      </c>
      <c r="K603" s="3" t="inlineStr">
        <is>
          <t>Promise&lt;EconomicData&gt;</t>
        </is>
      </c>
      <c r="L603" s="3" t="inlineStr">
        <is>
          <t>—</t>
        </is>
      </c>
      <c r="M603" s="3" t="inlineStr">
        <is>
          <t>· Uses today's date from the device clock, so the answer changes by itself overnight.</t>
        </is>
      </c>
      <c r="N603" s="3" t="inlineStr">
        <is>
          <t>No</t>
        </is>
      </c>
      <c r="O603" s="3" t="inlineStr">
        <is>
          <t>1. MK-XS-F-140 fetchInflation
2. MK-XS-F-141 fetchTreasuryYield</t>
        </is>
      </c>
      <c r="P603" s="3" t="n">
        <v>2</v>
      </c>
      <c r="Q603" s="3" t="inlineStr">
        <is>
          <t>1. MK-XS-F-140 fetchInflation
2. MK-XS-F-141 fetchTreasuryYield</t>
        </is>
      </c>
      <c r="R603" s="3" t="inlineStr">
        <is>
          <t>1. MK-XS-F-140 fetchInflation → MK-XS-F-056 fetchEconomicData
2. MK-XS-F-141 fetchTreasuryYield → MK-XS-F-056 fetchEconomicData</t>
        </is>
      </c>
      <c r="S603" s="3" t="inlineStr">
        <is>
          <t>—</t>
        </is>
      </c>
      <c r="T603" s="3" t="inlineStr">
        <is>
          <t>ECONOMIC_FIGURES</t>
        </is>
      </c>
      <c r="U603" s="3" t="inlineStr">
        <is>
          <t>ACTIVE</t>
        </is>
      </c>
      <c r="V603" s="3" t="inlineStr">
        <is>
          <t>2026-09-12</t>
        </is>
      </c>
      <c r="W603" s="3" t="n"/>
      <c r="X603" s="3" t="n"/>
      <c r="Y603" s="3" t="inlineStr">
        <is>
          <t>NOTHING OPEN</t>
        </is>
      </c>
    </row>
    <row r="604" ht="60" customHeight="1">
      <c r="A604" s="3" t="inlineStr">
        <is>
          <t>MK-XS-F-057</t>
        </is>
      </c>
      <c r="B604" s="3" t="inlineStr">
        <is>
          <t>analyzeExpenses</t>
        </is>
      </c>
      <c r="C604" s="3" t="inlineStr">
        <is>
          <t>src/services/economicData.ts</t>
        </is>
      </c>
      <c r="D604" s="3" t="n">
        <v>202</v>
      </c>
      <c r="E604" s="3" t="inlineStr">
        <is>
          <t>4 · BRINGS DATA IN</t>
        </is>
      </c>
      <c r="F604" s="3" t="inlineStr">
        <is>
          <t>What is worth saying about this expenses?</t>
        </is>
      </c>
      <c r="G604" s="11" t="inlineStr">
        <is>
          <t>data = await res.json()
the answer = data as expense analysis</t>
        </is>
      </c>
      <c r="H604" s="3" t="inlineStr">
        <is>
          <t>Data is await res.json(). The answer is data as expense analysis.</t>
        </is>
      </c>
      <c r="I604" s="3" t="inlineStr">
        <is>
          <t>PARTLY READ — some of the code is still showing through; needs a hand pass</t>
        </is>
      </c>
      <c r="J604" s="3" t="inlineStr">
        <is>
          <t>Nothing is handed to it</t>
        </is>
      </c>
      <c r="K604" s="3" t="inlineStr">
        <is>
          <t>NOT DECLARED — the code does not say what it gives back</t>
        </is>
      </c>
      <c r="L604" s="3" t="inlineStr">
        <is>
          <t>—</t>
        </is>
      </c>
      <c r="M604" s="3" t="inlineStr">
        <is>
          <t>None found in this function — anything it assumes comes from the functions it depends on.</t>
        </is>
      </c>
      <c r="N604" s="3" t="inlineStr">
        <is>
          <t>No</t>
        </is>
      </c>
      <c r="O604" s="3" t="inlineStr">
        <is>
          <t>MK-CF-O-002 expenses</t>
        </is>
      </c>
      <c r="P604" s="3" t="n">
        <v>15</v>
      </c>
      <c r="Q604"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04"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604" s="3" t="inlineStr">
        <is>
          <t>—</t>
        </is>
      </c>
      <c r="T604" s="3" t="inlineStr">
        <is>
          <t>EXPENSE_COMMENTARY</t>
        </is>
      </c>
      <c r="U604" s="3" t="inlineStr">
        <is>
          <t>ACTIVE</t>
        </is>
      </c>
      <c r="V604" s="3" t="inlineStr">
        <is>
          <t>2026-08-27</t>
        </is>
      </c>
      <c r="W604" s="3" t="n"/>
      <c r="X604" s="3" t="n"/>
      <c r="Y604" s="3" t="inlineStr">
        <is>
          <t>NOTHING OPEN</t>
        </is>
      </c>
    </row>
    <row r="605" ht="60" customHeight="1">
      <c r="A605" s="3" t="inlineStr">
        <is>
          <t>MK-XS-F-058</t>
        </is>
      </c>
      <c r="B605" s="3" t="inlineStr">
        <is>
          <t>parseReceipt</t>
        </is>
      </c>
      <c r="C605" s="3" t="inlineStr">
        <is>
          <t>src/services/receiptScan.ts</t>
        </is>
      </c>
      <c r="D605" s="3" t="n">
        <v>106</v>
      </c>
      <c r="E605" s="3" t="inlineStr">
        <is>
          <t>3 · DEPENDENT</t>
        </is>
      </c>
      <c r="F605" s="3" t="inlineStr">
        <is>
          <t>Heuristic parse of receipt text → total amount + merchant.</t>
        </is>
      </c>
      <c r="G605"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605"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605" s="3" t="inlineStr">
        <is>
          <t>PARTLY READ — some of the code is still showing through; needs a hand pass</t>
        </is>
      </c>
      <c r="J605" s="3" t="inlineStr">
        <is>
          <t>text: string</t>
        </is>
      </c>
      <c r="K605" s="3" t="inlineStr">
        <is>
          <t>NOT DECLARED — the code does not say what it gives back</t>
        </is>
      </c>
      <c r="L605" s="3" t="inlineStr">
        <is>
          <t>—</t>
        </is>
      </c>
      <c r="M605" s="3" t="inlineStr">
        <is>
          <t>None found in this function — anything it assumes comes from the functions it depends on.</t>
        </is>
      </c>
      <c r="N605" s="3" t="inlineStr">
        <is>
          <t>Yes</t>
        </is>
      </c>
      <c r="O605" s="3" t="inlineStr">
        <is>
          <t>1. MK-CF-F-204 line
2. MK-CF-F-132 map
3. MK-XS-F-093 stripNonMoney
4. MK-ST-F-052 toNum</t>
        </is>
      </c>
      <c r="P605" s="3" t="n">
        <v>104</v>
      </c>
      <c r="Q605" s="3" t="inlineStr">
        <is>
          <t>1. MK-CF-F-204 line
2. MK-CF-F-132 map
3. MK-XS-F-093 stripNonMoney
4. MK-ST-F-052 toNum
5. MK-CF-F-203 MONTH
6. MK-XS-F-180 declareFigures
7. MK-XS-F-122 n
8. MK-CF-O-010 theMonth
9. MK-CF-F-155 cash
10. MK-CF-O-002 expenses
11. MK-CF-O-003 thisMonth
12. MK-CF-F-151 actualSpending
13. MK-CF-F-150 debtPaymentsCountedAsExpenses
14. MK-CF-F-153 radar
15. MK-CF-F-149 recurringDebtPayments
16. MK-CF-F-005 actualMonthFlow
17. MK-CF-F-156 plannedMonthFlow
18. MK-CF-F-148 inMonth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MK-NW-F-112 yearlyInterest
38. MK-ST-F-048 currencySymbol
39. MK-ST-F-039 on
40. MK-ST-F-027 accountId
41. MK-NW-F-057 annualCoupon
42. MK-NW-F-056 bondInfo
43. MK-NW-F-064 bondRateSensitivity
44. MK-NW-F-061 bondSummary
45. MK-NW-F-055 isBond
46. MK-ST-F-065 isoLocalDate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MK-NW-F-011 assetClassOf
69. MK-NW-F-070 accruedInterestCaveat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MK-NW-F-119 estimatedAccrued
93. MK-NW-F-008 incomeBearingClassOf
94. MK-CF-F-100 taxableIncomeFor
95. MK-CF-F-074 tipsAnnual
96. MK-CF-F-165 salaryMonths
97. MK-CF-F-003 categoryMonthly
98. MK-ST-F-010 nameEvidence
99. MK-CF-F-099 deductionFor
100. MK-CF-F-081 salaryActiveMonths
101. MK-XS-F-147 call
102. MK-CF-F-187 seniorDeductionFor
103. MK-XS-F-064 currentIdToken
104. MK-XS-F-112 relayUrl</t>
        </is>
      </c>
      <c r="R605" s="3" t="inlineStr">
        <is>
          <t>1. MONTH (already above — a loop) → MK-CF-O-010 theMonth → MK-CF-F-203 MONTH → MK-CF-F-204 line → MK-XS-F-058 parseReceipt
2. MK-XS-F-122 n → MK-CF-F-155 cash → MK-CF-O-010 theMonth → MK-CF-F-203 MONTH → MK-CF-F-204 line → MK-XS-F-058 parseReceipt
3. MK-CF-F-151 actualSpending → MK-CF-O-002 expenses → MK-CF-O-010 theMonth → MK-CF-F-203 MONTH → MK-CF-F-204 line → MK-XS-F-058 parseReceipt
4. MK-CF-F-150 debtPaymentsCountedAsExpenses → MK-CF-O-002 expenses → MK-CF-O-010 theMonth → MK-CF-F-203 MONTH → MK-CF-F-204 line → MK-XS-F-058 parseReceipt
5. MK-CF-F-153 radar → MK-CF-O-002 expenses → MK-CF-O-010 theMonth → MK-CF-F-203 MONTH → MK-CF-F-204 line → MK-XS-F-058 parseReceipt
6. MK-CF-F-149 recurringDebtPayments → MK-CF-O-002 expenses → MK-CF-O-010 theMonth → MK-CF-F-203 MONTH → MK-CF-F-204 line → MK-XS-F-058 parseReceipt
7. MK-CF-F-005 actualMonthFlow → MK-CF-O-003 thisMonth → MK-CF-O-010 theMonth → MK-CF-F-203 MONTH → MK-CF-F-204 line → MK-XS-F-058 parseReceipt
8. MK-CF-F-156 plannedMonthFlow → MK-CF-O-003 thisMonth → MK-CF-O-010 theMonth → MK-CF-F-203 MONTH → MK-CF-F-204 line → MK-XS-F-058 parseReceipt
9. … and 4 more paths</t>
        </is>
      </c>
      <c r="S605" s="3" t="inlineStr">
        <is>
          <t>—</t>
        </is>
      </c>
      <c r="T605" s="3" t="inlineStr">
        <is>
          <t>READ_A_RECEIPT</t>
        </is>
      </c>
      <c r="U605" s="3" t="inlineStr">
        <is>
          <t>ACTIVE</t>
        </is>
      </c>
      <c r="V605" s="3" t="inlineStr">
        <is>
          <t>2026-08-27</t>
        </is>
      </c>
      <c r="W605" s="3" t="n"/>
      <c r="X605" s="3" t="n"/>
      <c r="Y605" s="3" t="inlineStr">
        <is>
          <t>NOTHING OPEN</t>
        </is>
      </c>
    </row>
    <row r="606" ht="60" customHeight="1">
      <c r="A606" s="3" t="inlineStr">
        <is>
          <t>MK-XS-F-059</t>
        </is>
      </c>
      <c r="B606" s="3" t="inlineStr">
        <is>
          <t>readFileString</t>
        </is>
      </c>
      <c r="C606" s="3" t="inlineStr">
        <is>
          <t>src/services/fileRead.ts</t>
        </is>
      </c>
      <c r="D606" s="3" t="n">
        <v>22</v>
      </c>
      <c r="E606" s="3" t="inlineStr">
        <is>
          <t>4 · BRINGS DATA IN</t>
        </is>
      </c>
      <c r="F606" s="3" t="inlineStr">
        <is>
          <t>NOT DETERMINED — the code carries no note saying what this is for, and it has no row in the old inventory. Needs reading.</t>
        </is>
      </c>
      <c r="G606" s="11" t="inlineStr">
        <is>
          <t>read as string async(uri, { encoding: encoding = 'base64' ? encoding type.base64 : encoding type.UTF8 })</t>
        </is>
      </c>
      <c r="H606" s="3" t="inlineStr">
        <is>
          <t>read as string async(uri, { encoding: encoding = 'base64' ? encoding type.base64 : encoding type.UTF8 }).</t>
        </is>
      </c>
      <c r="I606" s="3" t="inlineStr">
        <is>
          <t>READ FROM THE CODE — rendered from the expressions the function runs</t>
        </is>
      </c>
      <c r="J606" s="3" t="inlineStr">
        <is>
          <t>1. uri: string
2. encoding: 'utf8' | 'base64' = 'utf8'</t>
        </is>
      </c>
      <c r="K606" s="3" t="inlineStr">
        <is>
          <t>Promise&lt;string&gt;</t>
        </is>
      </c>
      <c r="L606" s="3" t="inlineStr">
        <is>
          <t>—</t>
        </is>
      </c>
      <c r="M606" s="3" t="inlineStr">
        <is>
          <t>None found in this function — anything it assumes comes from the functions it depends on.</t>
        </is>
      </c>
      <c r="N606" s="3" t="inlineStr">
        <is>
          <t>Yes</t>
        </is>
      </c>
      <c r="O606" s="3" t="inlineStr">
        <is>
          <t>—</t>
        </is>
      </c>
      <c r="P606" s="3" t="n">
        <v>0</v>
      </c>
      <c r="Q606" s="3" t="inlineStr">
        <is>
          <t>None — no dependent function stands behind it</t>
        </is>
      </c>
      <c r="R606" s="3" t="inlineStr">
        <is>
          <t>No dependent function — it reads its inputs and answers</t>
        </is>
      </c>
      <c r="S606" s="3" t="inlineStr">
        <is>
          <t>—</t>
        </is>
      </c>
      <c r="T606" s="3" t="inlineStr">
        <is>
          <t>—</t>
        </is>
      </c>
      <c r="U606" s="3" t="inlineStr">
        <is>
          <t>ACTIVE</t>
        </is>
      </c>
      <c r="V606" s="3" t="inlineStr">
        <is>
          <t>2026-08-27</t>
        </is>
      </c>
      <c r="W606" s="3" t="n"/>
      <c r="X606" s="3" t="n"/>
      <c r="Y606" s="3" t="inlineStr">
        <is>
          <t>NOTHING OPEN</t>
        </is>
      </c>
    </row>
    <row r="607" ht="60" customHeight="1">
      <c r="A607" s="3" t="inlineStr">
        <is>
          <t>MK-XS-F-060</t>
        </is>
      </c>
      <c r="B607" s="3" t="inlineStr">
        <is>
          <t>registerUser</t>
        </is>
      </c>
      <c r="C607" s="3" t="inlineStr">
        <is>
          <t>src/services/firebase.ts</t>
        </is>
      </c>
      <c r="D607" s="3" t="n">
        <v>88</v>
      </c>
      <c r="E607" s="3" t="inlineStr">
        <is>
          <t>2 · DISPLAYED</t>
        </is>
      </c>
      <c r="F607" s="3" t="inlineStr">
        <is>
          <t>Returns the new user AND a one-time recovery code the caller MUST show the user to save.</t>
        </is>
      </c>
      <c r="G607" s="11" t="inlineStr">
        <is>
          <t>cred = await create user with email and password(auth, email, password)
dek = generate data key()
recovery code = generate recovery code()
key envelope = make envelope(dek, cred.user.uid, password, recovery code)
the answer:
user = cred.user
recovery code = recovery code</t>
        </is>
      </c>
      <c r="H607"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607" s="3" t="inlineStr">
        <is>
          <t>READ FROM THE CODE — rendered from the expressions the function runs</t>
        </is>
      </c>
      <c r="J607" s="3" t="inlineStr">
        <is>
          <t>1. email: string
2. password: string
3. name: string
4. onCodeReady?: (code: string) =&gt; void</t>
        </is>
      </c>
      <c r="K607" s="3" t="inlineStr">
        <is>
          <t>NOT DECLARED — the code does not say what it gives back</t>
        </is>
      </c>
      <c r="L607" s="3" t="inlineStr">
        <is>
          <t>NOT FOUND — a screen calls it, but the words printed beside its answer could not be traced automatically. Needs reading.</t>
        </is>
      </c>
      <c r="M607" s="3" t="inlineStr">
        <is>
          <t>None found in this function — anything it assumes comes from the functions it depends on.</t>
        </is>
      </c>
      <c r="N607" s="3" t="inlineStr">
        <is>
          <t>Yes</t>
        </is>
      </c>
      <c r="O607" s="3" t="inlineStr">
        <is>
          <t>1. MK-XS-F-041 cacheDataKey
2. MK-XS-F-044 generateDataKey
3. MK-XS-F-045 generateRecoveryCode
4. MK-XS-F-046 makeEnvelope
5. MK-XS-F-175 uid</t>
        </is>
      </c>
      <c r="P607" s="3" t="n">
        <v>91</v>
      </c>
      <c r="Q607"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MK-NW-F-008 incomeBearingClassOf
60. MK-PF-F-002 costBasis
61. MK-PF-F-009 latestClose
62. MK-PF-F-004 marketValue
63. MK-ST-F-030 record
64. MK-XS-F-024 resolveLens
65. MK-ST-F-055 round2
66. MK-CF-F-162 daysApart
67. MK-CF-F-108 isMoneyOut
68. MK-PL-F-074 median
69. MK-CF-F-131 normPayee
70. MK-CF-F-113 affectedAccountIds
71. MK-CF-F-134 usesSleeve
72. MK-ST-F-049 formatMoney
73. MK-CF-F-101 taxOwedFor
74. MK-ST-F-067 utcOfDay
75. MK-CF-F-155 cash
76. MK-ST-F-035 covers
77. MK-NW-F-009 maturityClass
78. MK-ST-F-010 nameEvidence
79. MK-PF-F-031 contractMultiplier
80. MK-CF-F-072 currentRetirementIncomeMonthly
81. MK-ST-F-048 currencySymbol
82. MK-CF-F-100 taxableIncomeFor
83. MK-ST-F-034 firstDate
84. MK-NW-F-011 assetClassOf
85. MK-XS-F-147 call
86. MK-CF-F-075 retirementIncomeMonthly
87. MK-ST-F-047 activeCurrency
88. MK-CF-F-099 deductionFor
89. MK-XS-F-064 currentIdToken
90. MK-XS-F-112 relayUrl
91. MK-CF-F-187 seniorDeductionFor</t>
        </is>
      </c>
      <c r="R607"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607" s="3" t="inlineStr">
        <is>
          <t>—</t>
        </is>
      </c>
      <c r="T607" s="3" t="inlineStr">
        <is>
          <t>—</t>
        </is>
      </c>
      <c r="U607" s="3" t="inlineStr">
        <is>
          <t>ACTIVE</t>
        </is>
      </c>
      <c r="V607" s="3" t="inlineStr">
        <is>
          <t>2026-08-27</t>
        </is>
      </c>
      <c r="W607" s="3" t="n"/>
      <c r="X607" s="3" t="n"/>
      <c r="Y607" s="3" t="inlineStr">
        <is>
          <t>NOTHING OPEN</t>
        </is>
      </c>
    </row>
    <row r="608" ht="30" customHeight="1">
      <c r="A608" s="3" t="inlineStr">
        <is>
          <t>MK-XS-F-061</t>
        </is>
      </c>
      <c r="B608" s="3" t="inlineStr">
        <is>
          <t>resendVerification</t>
        </is>
      </c>
      <c r="C608" s="3" t="inlineStr">
        <is>
          <t>src/services/firebase.ts</t>
        </is>
      </c>
      <c r="D608" s="3" t="n">
        <v>130</v>
      </c>
      <c r="E608" s="3" t="inlineStr">
        <is>
          <t>1 · ACTION</t>
        </is>
      </c>
      <c r="F608" s="3" t="inlineStr">
        <is>
          <t>Resend the verification email to the signed-in user.</t>
        </is>
      </c>
      <c r="G608" s="11" t="inlineStr">
        <is>
          <t>sends the verification e-mail again to the signed-in person</t>
        </is>
      </c>
      <c r="H608" s="3" t="inlineStr">
        <is>
          <t>Resends the e-mail-verification message. Not a calculation.</t>
        </is>
      </c>
      <c r="I608" s="3" t="inlineStr">
        <is>
          <t>READ BY HAND 2026-08-26 — checked line by line against the code</t>
        </is>
      </c>
      <c r="J608" s="3" t="inlineStr">
        <is>
          <t>Nothing is handed to it</t>
        </is>
      </c>
      <c r="K608" s="3" t="inlineStr">
        <is>
          <t>NOT DECLARED — the code does not say what it gives back</t>
        </is>
      </c>
      <c r="L608" s="3" t="inlineStr">
        <is>
          <t>—</t>
        </is>
      </c>
      <c r="M608" s="3" t="inlineStr">
        <is>
          <t>None found in this function — anything it assumes comes from the functions it depends on.</t>
        </is>
      </c>
      <c r="N608" s="3" t="inlineStr">
        <is>
          <t>Yes</t>
        </is>
      </c>
      <c r="O608" s="3" t="inlineStr">
        <is>
          <t>—</t>
        </is>
      </c>
      <c r="P608" s="3" t="n">
        <v>0</v>
      </c>
      <c r="Q608" s="3" t="inlineStr">
        <is>
          <t>None — no dependent function stands behind it</t>
        </is>
      </c>
      <c r="R608" s="3" t="inlineStr">
        <is>
          <t>No dependent function — it reads its inputs and answers</t>
        </is>
      </c>
      <c r="S608" s="3" t="inlineStr">
        <is>
          <t>—</t>
        </is>
      </c>
      <c r="T608" s="3" t="inlineStr">
        <is>
          <t>—</t>
        </is>
      </c>
      <c r="U608" s="3" t="inlineStr">
        <is>
          <t>ACTIVE</t>
        </is>
      </c>
      <c r="V608" s="3" t="inlineStr">
        <is>
          <t>2026-09-12</t>
        </is>
      </c>
      <c r="W608" s="3" t="n"/>
      <c r="X608" s="3" t="n"/>
      <c r="Y608" s="3" t="inlineStr">
        <is>
          <t>NOTHING OPEN</t>
        </is>
      </c>
    </row>
    <row r="609" ht="60" customHeight="1">
      <c r="A609" s="3" t="inlineStr">
        <is>
          <t>MK-XS-F-062</t>
        </is>
      </c>
      <c r="B609" s="3" t="inlineStr">
        <is>
          <t>refreshEmailVerified</t>
        </is>
      </c>
      <c r="C609" s="3" t="inlineStr">
        <is>
          <t>src/services/firebase.ts</t>
        </is>
      </c>
      <c r="D609" s="3" t="n">
        <v>150</v>
      </c>
      <c r="E609" s="3" t="inlineStr">
        <is>
          <t>2 · DISPLAYED</t>
        </is>
      </c>
      <c r="F609" s="3" t="inlineStr">
        <is>
          <t>Re-check verification status from the server (call after the user clicks the email link).</t>
        </is>
      </c>
      <c r="G609" s="11" t="inlineStr">
        <is>
          <t>false   when auth.current user is missing
!!auth.current user.email verified</t>
        </is>
      </c>
      <c r="H609" s="3" t="inlineStr">
        <is>
          <t>When auth.current user is missing, it answers false. !!auth.current user.email verified.</t>
        </is>
      </c>
      <c r="I609" s="3" t="inlineStr">
        <is>
          <t>READ FROM THE CODE — rendered from the expressions the function runs</t>
        </is>
      </c>
      <c r="J609" s="3" t="inlineStr">
        <is>
          <t>Nothing is handed to it</t>
        </is>
      </c>
      <c r="K609" s="3" t="inlineStr">
        <is>
          <t>Promise&lt;boolean&gt;</t>
        </is>
      </c>
      <c r="L609"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609" s="3" t="inlineStr">
        <is>
          <t>None found in this function — anything it assumes comes from the functions it depends on.</t>
        </is>
      </c>
      <c r="N609" s="3" t="inlineStr">
        <is>
          <t>Yes</t>
        </is>
      </c>
      <c r="O609" s="3" t="inlineStr">
        <is>
          <t>—</t>
        </is>
      </c>
      <c r="P609" s="3" t="n">
        <v>0</v>
      </c>
      <c r="Q609" s="3" t="inlineStr">
        <is>
          <t>None — no dependent function stands behind it</t>
        </is>
      </c>
      <c r="R609" s="3" t="inlineStr">
        <is>
          <t>No dependent function — it reads its inputs and answers</t>
        </is>
      </c>
      <c r="S609" s="3" t="inlineStr">
        <is>
          <t>—</t>
        </is>
      </c>
      <c r="T609" s="3" t="inlineStr">
        <is>
          <t>—</t>
        </is>
      </c>
      <c r="U609" s="3" t="inlineStr">
        <is>
          <t>ACTIVE</t>
        </is>
      </c>
      <c r="V609" s="3" t="inlineStr">
        <is>
          <t>2026-08-27</t>
        </is>
      </c>
      <c r="W609" s="3" t="n"/>
      <c r="X609" s="3" t="n"/>
      <c r="Y609" s="3" t="inlineStr">
        <is>
          <t>NOTHING OPEN</t>
        </is>
      </c>
    </row>
    <row r="610" ht="60" customHeight="1">
      <c r="A610" s="3" t="inlineStr">
        <is>
          <t>MK-XS-F-063</t>
        </is>
      </c>
      <c r="B610" s="3" t="inlineStr">
        <is>
          <t>isEmailVerified</t>
        </is>
      </c>
      <c r="C610" s="3" t="inlineStr">
        <is>
          <t>src/services/firebase.ts</t>
        </is>
      </c>
      <c r="D610" s="3" t="n">
        <v>170</v>
      </c>
      <c r="E610" s="3" t="inlineStr">
        <is>
          <t>2 · DISPLAYED</t>
        </is>
      </c>
      <c r="F610" s="3" t="inlineStr">
        <is>
          <t>NOT DETERMINED — the code carries no note saying what this is for, and it has no row in the old inventory. Needs reading.</t>
        </is>
      </c>
      <c r="G610" s="11" t="inlineStr">
        <is>
          <t>!!auth.current user.email verified</t>
        </is>
      </c>
      <c r="H610" s="3" t="inlineStr">
        <is>
          <t>!!auth.current user.email verified.</t>
        </is>
      </c>
      <c r="I610" s="3" t="inlineStr">
        <is>
          <t>READ FROM THE CODE — rendered from the expressions the function runs</t>
        </is>
      </c>
      <c r="J610" s="3" t="inlineStr">
        <is>
          <t>Nothing is handed to it</t>
        </is>
      </c>
      <c r="K610" s="3" t="inlineStr">
        <is>
          <t>boolean</t>
        </is>
      </c>
      <c r="L610" s="3" t="inlineStr">
        <is>
          <t>NOT FOUND — a screen calls it, but the words printed beside its answer could not be traced automatically. Needs reading.</t>
        </is>
      </c>
      <c r="M610" s="3" t="inlineStr">
        <is>
          <t>None found in this function — anything it assumes comes from the functions it depends on.</t>
        </is>
      </c>
      <c r="N610" s="3" t="inlineStr">
        <is>
          <t>Yes</t>
        </is>
      </c>
      <c r="O610" s="3" t="inlineStr">
        <is>
          <t>—</t>
        </is>
      </c>
      <c r="P610" s="3" t="n">
        <v>0</v>
      </c>
      <c r="Q610" s="3" t="inlineStr">
        <is>
          <t>None — no dependent function stands behind it</t>
        </is>
      </c>
      <c r="R610" s="3" t="inlineStr">
        <is>
          <t>No dependent function — it reads its inputs and answers</t>
        </is>
      </c>
      <c r="S610" s="3" t="inlineStr">
        <is>
          <t>—</t>
        </is>
      </c>
      <c r="T610" s="3" t="inlineStr">
        <is>
          <t>—</t>
        </is>
      </c>
      <c r="U610" s="3" t="inlineStr">
        <is>
          <t>ACTIVE</t>
        </is>
      </c>
      <c r="V610" s="3" t="inlineStr">
        <is>
          <t>2026-08-27</t>
        </is>
      </c>
      <c r="W610" s="3" t="n"/>
      <c r="X610" s="3" t="n"/>
      <c r="Y610" s="3" t="inlineStr">
        <is>
          <t>NOTHING OPEN</t>
        </is>
      </c>
    </row>
    <row r="611" ht="60" customHeight="1">
      <c r="A611" s="3" t="inlineStr">
        <is>
          <t>MK-XS-F-064</t>
        </is>
      </c>
      <c r="B611" s="3" t="inlineStr">
        <is>
          <t>currentIdToken</t>
        </is>
      </c>
      <c r="C611" s="3" t="inlineStr">
        <is>
          <t>src/services/firebase.ts</t>
        </is>
      </c>
      <c r="D611" s="3" t="n">
        <v>204</v>
      </c>
      <c r="E611" s="3" t="inlineStr">
        <is>
          <t>3 · DEPENDENT (feeds an action only)</t>
        </is>
      </c>
      <c r="F611" s="3" t="inlineStr">
        <is>
          <t>The email of the account currently signed in to Firebase — the authoritative identity that account-level actions (delete, reauth) operate on.</t>
        </is>
      </c>
      <c r="G611" s="11" t="inlineStr">
        <is>
          <t>the answer = the signed-in person's identity token, or nothing</t>
        </is>
      </c>
      <c r="H611" s="3" t="inlineStr">
        <is>
          <t>The signed-in person's identity token for the relay, or nothing when nobody is signed in. Not a calculation.</t>
        </is>
      </c>
      <c r="I611" s="3" t="inlineStr">
        <is>
          <t>READ BY HAND 2026-08-26 — checked line by line against the code</t>
        </is>
      </c>
      <c r="J611" s="3" t="inlineStr">
        <is>
          <t>Nothing is handed to it</t>
        </is>
      </c>
      <c r="K611" s="3" t="inlineStr">
        <is>
          <t>Promise&lt;string | null&gt;</t>
        </is>
      </c>
      <c r="L611" s="3" t="inlineStr">
        <is>
          <t>—</t>
        </is>
      </c>
      <c r="M611" s="3" t="inlineStr">
        <is>
          <t>None found in this function — anything it assumes comes from the functions it depends on.</t>
        </is>
      </c>
      <c r="N611" s="3" t="inlineStr">
        <is>
          <t>No</t>
        </is>
      </c>
      <c r="O611" s="3" t="inlineStr">
        <is>
          <t>—</t>
        </is>
      </c>
      <c r="P611" s="3" t="n">
        <v>0</v>
      </c>
      <c r="Q611" s="3" t="inlineStr">
        <is>
          <t>None — no dependent function stands behind it</t>
        </is>
      </c>
      <c r="R611" s="3" t="inlineStr">
        <is>
          <t>No dependent function — it reads its inputs and answers</t>
        </is>
      </c>
      <c r="S611" s="3" t="inlineStr">
        <is>
          <t>—</t>
        </is>
      </c>
      <c r="T611" s="3" t="inlineStr">
        <is>
          <t>—</t>
        </is>
      </c>
      <c r="U611" s="3" t="inlineStr">
        <is>
          <t>ACTIVE</t>
        </is>
      </c>
      <c r="V611" s="3" t="inlineStr">
        <is>
          <t>2026-09-12</t>
        </is>
      </c>
      <c r="W611" s="3" t="n"/>
      <c r="X611" s="3" t="n"/>
      <c r="Y611" s="3" t="inlineStr">
        <is>
          <t>NOTHING OPEN</t>
        </is>
      </c>
    </row>
    <row r="612" ht="60" customHeight="1">
      <c r="A612" s="3" t="inlineStr">
        <is>
          <t>MK-XS-F-065</t>
        </is>
      </c>
      <c r="B612" s="3" t="inlineStr">
        <is>
          <t>currentUserEmail</t>
        </is>
      </c>
      <c r="C612" s="3" t="inlineStr">
        <is>
          <t>src/services/firebase.ts</t>
        </is>
      </c>
      <c r="D612" s="3" t="n">
        <v>223</v>
      </c>
      <c r="E612" s="3" t="inlineStr">
        <is>
          <t>2 · DISPLAYED</t>
        </is>
      </c>
      <c r="F612" s="3" t="inlineStr">
        <is>
          <t>NOT DETERMINED — the code carries no note saying what this is for, and it has no row in the old inventory. Needs reading.</t>
        </is>
      </c>
      <c r="G612" s="11" t="inlineStr">
        <is>
          <t>auth.current user.email (or nothing when missing)</t>
        </is>
      </c>
      <c r="H612" s="3" t="inlineStr">
        <is>
          <t>auth.current user.email (or no answer — when missing).</t>
        </is>
      </c>
      <c r="I612" s="3" t="inlineStr">
        <is>
          <t>PARTLY READ — some of the code is still showing through; needs a hand pass</t>
        </is>
      </c>
      <c r="J612" s="3" t="inlineStr">
        <is>
          <t>Nothing is handed to it</t>
        </is>
      </c>
      <c r="K612" s="3" t="inlineStr">
        <is>
          <t>string | null</t>
        </is>
      </c>
      <c r="L612" s="3" t="inlineStr">
        <is>
          <t>"Confirm account deletion" — on the Settings screen, under "Account"</t>
        </is>
      </c>
      <c r="M612" s="3" t="inlineStr">
        <is>
          <t>None found in this function — anything it assumes comes from the functions it depends on.</t>
        </is>
      </c>
      <c r="N612" s="3" t="inlineStr">
        <is>
          <t>Yes</t>
        </is>
      </c>
      <c r="O612" s="3" t="inlineStr">
        <is>
          <t>—</t>
        </is>
      </c>
      <c r="P612" s="3" t="n">
        <v>0</v>
      </c>
      <c r="Q612" s="3" t="inlineStr">
        <is>
          <t>None — no dependent function stands behind it</t>
        </is>
      </c>
      <c r="R612" s="3" t="inlineStr">
        <is>
          <t>No dependent function — it reads its inputs and answers</t>
        </is>
      </c>
      <c r="S612" s="3" t="inlineStr">
        <is>
          <t>—</t>
        </is>
      </c>
      <c r="T612" s="3" t="inlineStr">
        <is>
          <t>—</t>
        </is>
      </c>
      <c r="U612" s="3" t="inlineStr">
        <is>
          <t>ACTIVE</t>
        </is>
      </c>
      <c r="V612" s="3" t="inlineStr">
        <is>
          <t>2026-08-27</t>
        </is>
      </c>
      <c r="W612" s="3" t="n"/>
      <c r="X612" s="3" t="n"/>
      <c r="Y612" s="3" t="inlineStr">
        <is>
          <t>NOTHING OPEN</t>
        </is>
      </c>
    </row>
    <row r="613" ht="60" customHeight="1">
      <c r="A613" s="3" t="inlineStr">
        <is>
          <t>MK-XS-F-066</t>
        </is>
      </c>
      <c r="B613" s="3" t="inlineStr">
        <is>
          <t>loginUser</t>
        </is>
      </c>
      <c r="C613" s="3" t="inlineStr">
        <is>
          <t>src/services/firebase.ts</t>
        </is>
      </c>
      <c r="D613" s="3" t="n">
        <v>255</v>
      </c>
      <c r="E613" s="3" t="inlineStr">
        <is>
          <t>4 · BRINGS DATA IN</t>
        </is>
      </c>
      <c r="F613" s="3" t="inlineStr">
        <is>
          <t>Returns the user plus the unlock status: • needsRecovery=true → the password can't open the data (it was reset); prompt for the recovery code.</t>
        </is>
      </c>
      <c r="G613"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613"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613" s="3" t="inlineStr">
        <is>
          <t>PARTLY READ — some of the code is still showing through; needs a hand pass</t>
        </is>
      </c>
      <c r="J613" s="3" t="inlineStr">
        <is>
          <t>1. email: string
2. password: string
3. onCodeReady?: (code: string) =&gt; void</t>
        </is>
      </c>
      <c r="K613" s="3" t="inlineStr">
        <is>
          <t>Promise&lt;</t>
        </is>
      </c>
      <c r="L613" s="3" t="inlineStr">
        <is>
          <t>—</t>
        </is>
      </c>
      <c r="M613" s="3" t="inlineStr">
        <is>
          <t>None found in this function — anything it assumes comes from the functions it depends on.</t>
        </is>
      </c>
      <c r="N613" s="3" t="inlineStr">
        <is>
          <t>Yes</t>
        </is>
      </c>
      <c r="O613" s="3" t="inlineStr">
        <is>
          <t>1. MK-XS-F-041 cacheDataKey
2. MK-XS-F-044 generateDataKey
3. MK-XS-F-045 generateRecoveryCode
4. MK-XS-F-046 makeEnvelope
5. MK-XS-F-060 registerUser
6. MK-XS-F-175 uid
7. MK-XS-F-047 unwrapWithPassword</t>
        </is>
      </c>
      <c r="P613" s="3" t="n">
        <v>95</v>
      </c>
      <c r="Q613"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MK-ST-F-084 fillBetweenObservations
21. MK-PL-F-013 goalsFromOnboarding
22. MK-ST-F-056 has
23. MK-CF-F-116 inverseOf
24. MK-ST-F-065 isoLocalDate
25. MK-CF-F-112 makeTransaction
26. MK-CF-F-132 map
27. MK-XS-F-122 n
28. MK-ST-F-043 newEntityId
29. MK-XS-F-006 pruneDaily
30. MK-ST-F-073 rebuildDays
31. MK-NW-F-054 reclassifyAccounts
32. MK-XS-F-174 recomputeBalances
33. MK-CF-F-115 restoreUndo
34. MK-CF-F-109 reviewTransactions
35. MK-ST-F-044 setMoneyFormat
36. MK-CF-F-114 undoSnapshot
37. MK-CF-F-191 ym
38. MK-XS-F-053 decryptWithKey
39. MK-XS-F-138 deriveKeyFromSecret
40. MK-XS-F-052 encryptWithKey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MK-ST-F-039 on
58. MK-ST-F-071 rebuildableFrom
59. MK-ST-F-068 stepDay
60. MK-ST-F-072 undo
61. MK-NW-F-053 correctClassOf
62. MK-NW-F-008 incomeBearingClassOf
63. MK-PF-F-002 costBasis
64. MK-PF-F-009 latestClose
65. MK-PF-F-004 marketValue
66. MK-ST-F-030 record
67. MK-XS-F-024 resolveLens
68. MK-ST-F-055 round2
69. MK-CF-F-162 daysApart
70. MK-CF-F-108 isMoneyOut
71. MK-PL-F-074 median
72. MK-CF-F-131 normPayee
73. MK-CF-F-113 affectedAccountIds
74. MK-XS-F-051 isEncrypted
75. MK-CF-F-134 usesSleeve
76. MK-ST-F-049 formatMoney
77. MK-CF-F-101 taxOwedFor
78. MK-ST-F-067 utcOfDay
79. MK-CF-F-155 cash
80. MK-ST-F-035 covers
81. MK-NW-F-009 maturityClass
82. MK-ST-F-010 nameEvidence
83. MK-PF-F-031 contractMultiplier
84. MK-CF-F-072 currentRetirementIncomeMonthly
85. MK-ST-F-048 currencySymbol
86. MK-CF-F-100 taxableIncomeFor
87. MK-ST-F-034 firstDate
88. MK-NW-F-011 assetClassOf
89. MK-XS-F-147 call
90. MK-CF-F-075 retirementIncomeMonthly
91. MK-ST-F-047 activeCurrency
92. MK-CF-F-099 deductionFor
93. MK-XS-F-064 currentIdToken
94. MK-XS-F-112 relayUrl
95. MK-CF-F-187 seniorDeductionFor</t>
        </is>
      </c>
      <c r="R613"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613" s="3" t="inlineStr">
        <is>
          <t>—</t>
        </is>
      </c>
      <c r="T613" s="3" t="inlineStr">
        <is>
          <t>—</t>
        </is>
      </c>
      <c r="U613" s="3" t="inlineStr">
        <is>
          <t>ACTIVE</t>
        </is>
      </c>
      <c r="V613" s="3" t="inlineStr">
        <is>
          <t>2026-08-27</t>
        </is>
      </c>
      <c r="W613" s="3" t="n"/>
      <c r="X613" s="3" t="n"/>
      <c r="Y613" s="3" t="inlineStr">
        <is>
          <t>NOTHING OPEN</t>
        </is>
      </c>
    </row>
    <row r="614" ht="60" customHeight="1">
      <c r="A614" s="3" t="inlineStr">
        <is>
          <t>MK-XS-F-067</t>
        </is>
      </c>
      <c r="B614" s="3" t="inlineStr">
        <is>
          <t>restoreWithRecoveryCode</t>
        </is>
      </c>
      <c r="C614" s="3" t="inlineStr">
        <is>
          <t>src/services/firebase.ts</t>
        </is>
      </c>
      <c r="D614" s="3" t="n">
        <v>303</v>
      </c>
      <c r="E614" s="3" t="inlineStr">
        <is>
          <t>4 · BRINGS DATA IN</t>
        </is>
      </c>
      <c r="F614" s="3" t="inlineStr">
        <is>
          <t>After a password reset, restore data access with the recovery code, then re-lock the data under the NEW password.</t>
        </is>
      </c>
      <c r="G614" s="11" t="inlineStr">
        <is>
          <t>u = auth.current user
snap = await get doc(doc(db, 'users', uid))
env = (snap.data() as any).key envelope   if snap.exists()
undefined   otherwise
dek = unwrap with recovery(env, uid, recovery code)</t>
        </is>
      </c>
      <c r="H614" s="3" t="inlineStr">
        <is>
          <t>U is auth.current user. Snap is await get doc(doc(db, 'users', uid)). Env is (snap.data() as any).key envelope — when snap.exists(); undefined — otherwise. Dek is unwrap with recovery(env, uid, recovery code).</t>
        </is>
      </c>
      <c r="I614" s="3" t="inlineStr">
        <is>
          <t>PARTLY READ — some of the code is still showing through; needs a hand pass</t>
        </is>
      </c>
      <c r="J614" s="3" t="inlineStr">
        <is>
          <t>1. recoveryCode: string
2. newPassword: string</t>
        </is>
      </c>
      <c r="K614" s="3" t="inlineStr">
        <is>
          <t>Promise&lt;void&gt;</t>
        </is>
      </c>
      <c r="L614" s="3" t="inlineStr">
        <is>
          <t>—</t>
        </is>
      </c>
      <c r="M614" s="3" t="inlineStr">
        <is>
          <t>None found in this function — anything it assumes comes from the functions it depends on.</t>
        </is>
      </c>
      <c r="N614" s="3" t="inlineStr">
        <is>
          <t>Yes</t>
        </is>
      </c>
      <c r="O614" s="3" t="inlineStr">
        <is>
          <t>1. MK-XS-F-041 cacheDataKey
2. MK-XS-F-049 rewrapPassword
3. MK-XS-F-175 uid
4. MK-XS-F-048 unwrapWithRecovery</t>
        </is>
      </c>
      <c r="P614" s="3" t="n">
        <v>92</v>
      </c>
      <c r="Q614"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MK-XS-F-053 decryptWithKey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MK-NW-F-008 incomeBearingClassOf
60. MK-PF-F-002 costBasis
61. MK-PF-F-009 latestClose
62. MK-PF-F-004 marketValue
63. MK-ST-F-030 record
64. MK-XS-F-024 resolveLens
65. MK-ST-F-055 round2
66. MK-CF-F-162 daysApart
67. MK-CF-F-108 isMoneyOut
68. MK-PL-F-074 median
69. MK-CF-F-131 normPayee
70. MK-CF-F-113 affectedAccountIds
71. MK-XS-F-051 isEncrypted
72. MK-CF-F-134 usesSleeve
73. MK-ST-F-049 formatMoney
74. MK-CF-F-101 taxOwedFor
75. MK-ST-F-067 utcOfDay
76. MK-CF-F-155 cash
77. MK-ST-F-035 covers
78. MK-NW-F-009 maturityClass
79. MK-ST-F-010 nameEvidence
80. MK-PF-F-031 contractMultiplier
81. MK-CF-F-072 currentRetirementIncomeMonthly
82. MK-ST-F-048 currencySymbol
83. MK-CF-F-100 taxableIncomeFor
84. MK-ST-F-034 firstDate
85. MK-NW-F-011 assetClassOf
86. MK-XS-F-147 call
87. MK-CF-F-075 retirementIncomeMonthly
88. MK-ST-F-047 activeCurrency
89. MK-CF-F-099 deductionFor
90. MK-XS-F-064 currentIdToken
91. MK-XS-F-112 relayUrl
92. MK-CF-F-187 seniorDeductionFor</t>
        </is>
      </c>
      <c r="R614"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614" s="3" t="inlineStr">
        <is>
          <t>—</t>
        </is>
      </c>
      <c r="T614" s="3" t="inlineStr">
        <is>
          <t>—</t>
        </is>
      </c>
      <c r="U614" s="3" t="inlineStr">
        <is>
          <t>ACTIVE</t>
        </is>
      </c>
      <c r="V614" s="3" t="inlineStr">
        <is>
          <t>2026-08-27</t>
        </is>
      </c>
      <c r="W614" s="3" t="n"/>
      <c r="X614" s="3" t="n"/>
      <c r="Y614" s="3" t="inlineStr">
        <is>
          <t>NOTHING OPEN</t>
        </is>
      </c>
    </row>
    <row r="615" ht="60" customHeight="1">
      <c r="A615" s="3" t="inlineStr">
        <is>
          <t>MK-XS-F-068</t>
        </is>
      </c>
      <c r="B615" s="3" t="inlineStr">
        <is>
          <t>regenerateRecoveryCode</t>
        </is>
      </c>
      <c r="C615" s="3" t="inlineStr">
        <is>
          <t>src/services/firebase.ts</t>
        </is>
      </c>
      <c r="D615" s="3" t="n">
        <v>338</v>
      </c>
      <c r="E615" s="3" t="inlineStr">
        <is>
          <t>4 · BRINGS DATA IN</t>
        </is>
      </c>
      <c r="F615" s="3" t="inlineStr">
        <is>
          <t>Issue a NEW recovery code for the signed-in user (the old one stops working).</t>
        </is>
      </c>
      <c r="G615" s="11" t="inlineStr">
        <is>
          <t>u = auth.current user
dek = await get data key()
snap = await get doc(doc(db, 'users', uid))
env = snap.exists() and (snap.data() as any).key envelope (or p = ''
r = '' when missing or zero)
recovery code = generate recovery code()
the answer = recovery code</t>
        </is>
      </c>
      <c r="H615" s="3" t="inlineStr">
        <is>
          <t>U is auth.current user. Dek is await get data key(). Snap is await get doc(doc(db, 'users', uid)). Env is snap.exists() and (snap.data() as any).key envelope (or p = ''; r = '' — when missing or zero). Recovery code is generate recovery code(). The answer is recovery code.</t>
        </is>
      </c>
      <c r="I615" s="3" t="inlineStr">
        <is>
          <t>PARTLY READ — some of the code is still showing through; needs a hand pass</t>
        </is>
      </c>
      <c r="J615" s="3" t="inlineStr">
        <is>
          <t>Nothing is handed to it</t>
        </is>
      </c>
      <c r="K615" s="3" t="inlineStr">
        <is>
          <t>Promise&lt;string&gt;</t>
        </is>
      </c>
      <c r="L615" s="3" t="inlineStr">
        <is>
          <t>—</t>
        </is>
      </c>
      <c r="M615" s="3" t="inlineStr">
        <is>
          <t>None found in this function — anything it assumes comes from the functions it depends on.</t>
        </is>
      </c>
      <c r="N615" s="3" t="inlineStr">
        <is>
          <t>Yes</t>
        </is>
      </c>
      <c r="O615" s="3" t="inlineStr">
        <is>
          <t>1. MK-XS-F-045 generateRecoveryCode
2. MK-XS-F-042 getDataKey
3. MK-XS-F-050 rewrapRecovery
4. MK-XS-F-175 uid</t>
        </is>
      </c>
      <c r="P615" s="3" t="n">
        <v>90</v>
      </c>
      <c r="Q615"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MK-XS-F-138 deriveKeyFromSecret
36. MK-XS-F-052 encryptWithKey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MK-ST-F-039 on
54. MK-ST-F-071 rebuildableFrom
55. MK-ST-F-068 stepDay
56. MK-ST-F-072 undo
57. MK-NW-F-053 correctClassOf
58. MK-NW-F-008 incomeBearingClassOf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MK-NW-F-009 maturityClass
77. MK-ST-F-010 nameEvidence
78. MK-PF-F-031 contractMultiplier
79. MK-CF-F-072 currentRetirementIncomeMonthly
80. MK-ST-F-048 currencySymbol
81. MK-CF-F-100 taxableIncomeFor
82. MK-ST-F-034 firstDate
83. MK-NW-F-011 assetClassOf
84. MK-XS-F-147 call
85. MK-CF-F-075 retirementIncomeMonthly
86. MK-ST-F-047 activeCurrency
87. MK-CF-F-099 deductionFor
88. MK-XS-F-064 currentIdToken
89. MK-XS-F-112 relayUrl
90. MK-CF-F-187 seniorDeductionFor</t>
        </is>
      </c>
      <c r="R615"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615" s="3" t="inlineStr">
        <is>
          <t>—</t>
        </is>
      </c>
      <c r="T615" s="3" t="inlineStr">
        <is>
          <t>—</t>
        </is>
      </c>
      <c r="U615" s="3" t="inlineStr">
        <is>
          <t>ACTIVE</t>
        </is>
      </c>
      <c r="V615" s="3" t="inlineStr">
        <is>
          <t>2026-08-27</t>
        </is>
      </c>
      <c r="W615" s="3" t="n"/>
      <c r="X615" s="3" t="n"/>
      <c r="Y615" s="3" t="inlineStr">
        <is>
          <t>NOTHING OPEN</t>
        </is>
      </c>
    </row>
    <row r="616" ht="60" customHeight="1">
      <c r="A616" s="3" t="inlineStr">
        <is>
          <t>MK-XS-F-069</t>
        </is>
      </c>
      <c r="B616" s="3" t="inlineStr">
        <is>
          <t>logoutUser</t>
        </is>
      </c>
      <c r="C616" s="3" t="inlineStr">
        <is>
          <t>src/services/firebase.ts</t>
        </is>
      </c>
      <c r="D616" s="3" t="n">
        <v>365</v>
      </c>
      <c r="E616" s="3" t="inlineStr">
        <is>
          <t>1 · ACTION</t>
        </is>
      </c>
      <c r="F616" s="3" t="inlineStr">
        <is>
          <t>NOT DETERMINED — the code carries no note saying what this is for, and it has no row in the old inventory. Needs reading.</t>
        </is>
      </c>
      <c r="G616" s="11" t="inlineStr">
        <is>
          <t>clears the data key, then signs out</t>
        </is>
      </c>
      <c r="H616" s="3" t="inlineStr">
        <is>
          <t>Forgets the decryption key and signs the person out. Not a calculation.</t>
        </is>
      </c>
      <c r="I616" s="3" t="inlineStr">
        <is>
          <t>READ BY HAND 2026-08-26 — checked line by line against the code</t>
        </is>
      </c>
      <c r="J616" s="3" t="inlineStr">
        <is>
          <t>Nothing is handed to it</t>
        </is>
      </c>
      <c r="K616" s="3" t="inlineStr">
        <is>
          <t>NOT DECLARED — the code does not say what it gives back</t>
        </is>
      </c>
      <c r="L616" s="3" t="inlineStr">
        <is>
          <t>—</t>
        </is>
      </c>
      <c r="M616" s="3" t="inlineStr">
        <is>
          <t>None found in this function — anything it assumes comes from the functions it depends on.</t>
        </is>
      </c>
      <c r="N616" s="3" t="inlineStr">
        <is>
          <t>Yes</t>
        </is>
      </c>
      <c r="O616" s="3" t="inlineStr">
        <is>
          <t>MK-XS-F-043 clearDataKey</t>
        </is>
      </c>
      <c r="P616" s="3" t="n">
        <v>2</v>
      </c>
      <c r="Q616" s="3" t="inlineStr">
        <is>
          <t>1. MK-XS-F-043 clearDataKey
2. MK-XS-F-137 secureDelete</t>
        </is>
      </c>
      <c r="R616" s="3" t="inlineStr">
        <is>
          <t>MK-XS-F-137 secureDelete → MK-XS-F-043 clearDataKey → MK-XS-F-069 logoutUser</t>
        </is>
      </c>
      <c r="S616" s="3" t="inlineStr">
        <is>
          <t>—</t>
        </is>
      </c>
      <c r="T616" s="3" t="inlineStr">
        <is>
          <t>—</t>
        </is>
      </c>
      <c r="U616" s="3" t="inlineStr">
        <is>
          <t>ACTIVE</t>
        </is>
      </c>
      <c r="V616" s="3" t="inlineStr">
        <is>
          <t>2026-09-12</t>
        </is>
      </c>
      <c r="W616" s="3" t="n"/>
      <c r="X616" s="3" t="n"/>
      <c r="Y616" s="3" t="inlineStr">
        <is>
          <t>NOTHING OPEN</t>
        </is>
      </c>
    </row>
    <row r="617" ht="60" customHeight="1">
      <c r="A617" s="3" t="inlineStr">
        <is>
          <t>MK-XS-F-070</t>
        </is>
      </c>
      <c r="B617" s="3" t="inlineStr">
        <is>
          <t>resetPassword</t>
        </is>
      </c>
      <c r="C617" s="3" t="inlineStr">
        <is>
          <t>src/services/firebase.ts</t>
        </is>
      </c>
      <c r="D617" s="3" t="n">
        <v>385</v>
      </c>
      <c r="E617" s="3" t="inlineStr">
        <is>
          <t>1 · ACTION</t>
        </is>
      </c>
      <c r="F617" s="3" t="inlineStr">
        <is>
          <t>NOT DETERMINED — the code carries no note saying what this is for, and it has no row in the old inventory. Needs reading.</t>
        </is>
      </c>
      <c r="G617" s="11" t="inlineStr">
        <is>
          <t>sends a password-reset e-mail to the address</t>
        </is>
      </c>
      <c r="H617" s="3" t="inlineStr">
        <is>
          <t>Sends the password-reset e-mail. Not a calculation.</t>
        </is>
      </c>
      <c r="I617" s="3" t="inlineStr">
        <is>
          <t>READ BY HAND 2026-08-26 — checked line by line against the code</t>
        </is>
      </c>
      <c r="J617" s="3" t="inlineStr">
        <is>
          <t>email: string</t>
        </is>
      </c>
      <c r="K617" s="3" t="inlineStr">
        <is>
          <t>NOT DECLARED — the code does not say what it gives back</t>
        </is>
      </c>
      <c r="L617" s="3" t="inlineStr">
        <is>
          <t>—</t>
        </is>
      </c>
      <c r="M617" s="3" t="inlineStr">
        <is>
          <t>None found in this function — anything it assumes comes from the functions it depends on.</t>
        </is>
      </c>
      <c r="N617" s="3" t="inlineStr">
        <is>
          <t>Yes</t>
        </is>
      </c>
      <c r="O617" s="3" t="inlineStr">
        <is>
          <t>—</t>
        </is>
      </c>
      <c r="P617" s="3" t="n">
        <v>0</v>
      </c>
      <c r="Q617" s="3" t="inlineStr">
        <is>
          <t>None — no dependent function stands behind it</t>
        </is>
      </c>
      <c r="R617" s="3" t="inlineStr">
        <is>
          <t>No dependent function — it reads its inputs and answers</t>
        </is>
      </c>
      <c r="S617" s="3" t="inlineStr">
        <is>
          <t>—</t>
        </is>
      </c>
      <c r="T617" s="3" t="inlineStr">
        <is>
          <t>—</t>
        </is>
      </c>
      <c r="U617" s="3" t="inlineStr">
        <is>
          <t>ACTIVE</t>
        </is>
      </c>
      <c r="V617" s="3" t="inlineStr">
        <is>
          <t>2026-09-12</t>
        </is>
      </c>
      <c r="W617" s="3" t="n"/>
      <c r="X617" s="3" t="n"/>
      <c r="Y617" s="3" t="inlineStr">
        <is>
          <t>NOTHING OPEN</t>
        </is>
      </c>
    </row>
    <row r="618" ht="60" customHeight="1">
      <c r="A618" s="3" t="inlineStr">
        <is>
          <t>MK-XS-F-071</t>
        </is>
      </c>
      <c r="B618" s="3" t="inlineStr">
        <is>
          <t>onAuthChange</t>
        </is>
      </c>
      <c r="C618" s="3" t="inlineStr">
        <is>
          <t>src/services/firebase.ts</t>
        </is>
      </c>
      <c r="D618" s="3" t="n">
        <v>404</v>
      </c>
      <c r="E618" s="3" t="inlineStr">
        <is>
          <t>2 · DISPLAYED</t>
        </is>
      </c>
      <c r="F618" s="3" t="inlineStr">
        <is>
          <t>NOT DETERMINED — the code carries no note saying what this is for, and it has no row in the old inventory. Needs reading.</t>
        </is>
      </c>
      <c r="G618" s="11" t="inlineStr">
        <is>
          <t>on auth state changed(auth, callback)</t>
        </is>
      </c>
      <c r="H618" s="3" t="inlineStr">
        <is>
          <t>on auth state changed(auth, callback).</t>
        </is>
      </c>
      <c r="I618" s="3" t="inlineStr">
        <is>
          <t>READ FROM THE CODE — rendered from the expressions the function runs</t>
        </is>
      </c>
      <c r="J618" s="3" t="inlineStr">
        <is>
          <t>callback: (user: any) =&gt; void</t>
        </is>
      </c>
      <c r="K618" s="3" t="inlineStr">
        <is>
          <t>NOT DECLARED — the code does not say what it gives back</t>
        </is>
      </c>
      <c r="L618" s="3" t="inlineStr">
        <is>
          <t>NOT FOUND — a screen calls it, but the words printed beside its answer could not be traced automatically. Needs reading.</t>
        </is>
      </c>
      <c r="M618" s="3" t="inlineStr">
        <is>
          <t>None found in this function — anything it assumes comes from the functions it depends on.</t>
        </is>
      </c>
      <c r="N618" s="3" t="inlineStr">
        <is>
          <t>Yes</t>
        </is>
      </c>
      <c r="O618" s="3" t="inlineStr">
        <is>
          <t>—</t>
        </is>
      </c>
      <c r="P618" s="3" t="n">
        <v>0</v>
      </c>
      <c r="Q618" s="3" t="inlineStr">
        <is>
          <t>None — no dependent function stands behind it</t>
        </is>
      </c>
      <c r="R618" s="3" t="inlineStr">
        <is>
          <t>No dependent function — it reads its inputs and answers</t>
        </is>
      </c>
      <c r="S618" s="3" t="inlineStr">
        <is>
          <t>—</t>
        </is>
      </c>
      <c r="T618" s="3" t="inlineStr">
        <is>
          <t>—</t>
        </is>
      </c>
      <c r="U618" s="3" t="inlineStr">
        <is>
          <t>ACTIVE</t>
        </is>
      </c>
      <c r="V618" s="3" t="inlineStr">
        <is>
          <t>2026-08-27</t>
        </is>
      </c>
      <c r="W618" s="3" t="n"/>
      <c r="X618" s="3" t="n"/>
      <c r="Y618" s="3" t="inlineStr">
        <is>
          <t>NOTHING OPEN</t>
        </is>
      </c>
    </row>
    <row r="619" ht="60" customHeight="1">
      <c r="A619" s="3" t="inlineStr">
        <is>
          <t>MK-XS-F-072</t>
        </is>
      </c>
      <c r="B619" s="3" t="inlineStr">
        <is>
          <t>deleteAccount</t>
        </is>
      </c>
      <c r="C619" s="3" t="inlineStr">
        <is>
          <t>src/services/firebase.ts</t>
        </is>
      </c>
      <c r="D619" s="3" t="n">
        <v>429</v>
      </c>
      <c r="E619" s="3" t="inlineStr">
        <is>
          <t>1 · ACTION</t>
        </is>
      </c>
      <c r="F619" s="3" t="inlineStr">
        <is>
          <t>Permanently delete the signed-in user's account (App Store Guideline 5.1.1(v)).</t>
        </is>
      </c>
      <c r="G619" s="11" t="inlineStr">
        <is>
          <t>u = auth.current user
cred = email auth provider.credential(email, password)
root = await load user root(uid)</t>
        </is>
      </c>
      <c r="H619" s="3" t="inlineStr">
        <is>
          <t>U is auth.current user. Cred is email auth provider.credential(email, password). Root is await load user root(uid).</t>
        </is>
      </c>
      <c r="I619" s="3" t="inlineStr">
        <is>
          <t>PARTLY READ — some of the code is still showing through; needs a hand pass</t>
        </is>
      </c>
      <c r="J619" s="3" t="inlineStr">
        <is>
          <t>password: string</t>
        </is>
      </c>
      <c r="K619" s="3" t="inlineStr">
        <is>
          <t>Promise&lt;void&gt;</t>
        </is>
      </c>
      <c r="L619" s="3" t="inlineStr">
        <is>
          <t>—</t>
        </is>
      </c>
      <c r="M619" s="3" t="inlineStr">
        <is>
          <t>None found in this function — anything it assumes comes from the functions it depends on.</t>
        </is>
      </c>
      <c r="N619" s="3" t="inlineStr">
        <is>
          <t>Yes</t>
        </is>
      </c>
      <c r="O619" s="3" t="inlineStr">
        <is>
          <t>1. MK-XS-F-035 authenticate
2. MK-XS-F-043 clearDataKey
3. MK-XS-F-079 loadUserRoot
4. MK-XS-F-175 uid</t>
        </is>
      </c>
      <c r="P619" s="3" t="n">
        <v>93</v>
      </c>
      <c r="Q619"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MK-XS-F-053 decryptWithKey
37. MK-XS-F-042 getDataKey
38. MK-XS-F-051 isEncrypted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MK-ST-F-039 on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MK-PL-F-074 median
70. MK-CF-F-131 normPayee
71. MK-CF-F-113 affectedAccountIds
72. MK-XS-F-135 secureGet
73. MK-CF-F-134 usesSleeve
74. MK-ST-F-049 formatMoney
75. MK-CF-F-101 taxOwedFor
76. MK-ST-F-067 utcOfDay
77. MK-CF-F-155 cash
78. MK-ST-F-035 covers
79. MK-NW-F-009 maturityClass
80. MK-ST-F-010 nameEvidence
81. MK-PF-F-031 contractMultiplier
82. MK-CF-F-072 currentRetirementIncomeMonthly
83. MK-ST-F-048 currencySymbol
84. MK-CF-F-100 taxableIncomeFor
85. MK-ST-F-034 firstDate
86. MK-NW-F-011 assetClassOf
87. MK-XS-F-147 call
88. MK-CF-F-075 retirementIncomeMonthly
89. MK-ST-F-047 activeCurrency
90. MK-CF-F-099 deductionFor
91. MK-XS-F-064 currentIdToken
92. MK-XS-F-112 relayUrl
93. MK-CF-F-187 seniorDeductionFor</t>
        </is>
      </c>
      <c r="R619"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619" s="3" t="inlineStr">
        <is>
          <t>—</t>
        </is>
      </c>
      <c r="T619" s="3" t="inlineStr">
        <is>
          <t>—</t>
        </is>
      </c>
      <c r="U619" s="3" t="inlineStr">
        <is>
          <t>ACTIVE</t>
        </is>
      </c>
      <c r="V619" s="3" t="inlineStr">
        <is>
          <t>2026-08-27</t>
        </is>
      </c>
      <c r="W619" s="3" t="n"/>
      <c r="X619" s="3" t="n"/>
      <c r="Y619" s="3" t="inlineStr">
        <is>
          <t>NOTHING OPEN</t>
        </is>
      </c>
    </row>
    <row r="620" ht="60" customHeight="1">
      <c r="A620" s="3" t="inlineStr">
        <is>
          <t>MK-XS-F-073</t>
        </is>
      </c>
      <c r="B620" s="3" t="inlineStr">
        <is>
          <t>saveUserData</t>
        </is>
      </c>
      <c r="C620" s="3" t="inlineStr">
        <is>
          <t>src/services/firebase.ts</t>
        </is>
      </c>
      <c r="D620" s="3" t="n">
        <v>471</v>
      </c>
      <c r="E620" s="3" t="inlineStr">
        <is>
          <t>1 · ACTION</t>
        </is>
      </c>
      <c r="F620" s="3" t="inlineStr">
        <is>
          <t>Sync fields stored ENCRYPTED under users/{uid}.appStateEnc (zero-knowledge — see dataCrypto.ts).</t>
        </is>
      </c>
      <c r="G620" s="11" t="inlineStr">
        <is>
          <t>clean = JSON.parse(JSON.stringify(data ?? {}))
enc = await encrypt for sync(clean)</t>
        </is>
      </c>
      <c r="H620" s="3" t="inlineStr">
        <is>
          <t>Clean is JSON.parse(JSON.stringify(data ?? {})). Enc is await encrypt for sync(clean).</t>
        </is>
      </c>
      <c r="I620" s="3" t="inlineStr">
        <is>
          <t>PARTLY READ — some of the code is still showing through; needs a hand pass</t>
        </is>
      </c>
      <c r="J620" s="3" t="inlineStr">
        <is>
          <t>1. uid: string
2. data: object</t>
        </is>
      </c>
      <c r="K620" s="3" t="inlineStr">
        <is>
          <t>NOT DECLARED — the code does not say what it gives back</t>
        </is>
      </c>
      <c r="L620" s="3" t="inlineStr">
        <is>
          <t>—</t>
        </is>
      </c>
      <c r="M620" s="3" t="inlineStr">
        <is>
          <t>None found in this function — anything it assumes comes from the functions it depends on.</t>
        </is>
      </c>
      <c r="N620" s="3" t="inlineStr">
        <is>
          <t>Yes</t>
        </is>
      </c>
      <c r="O620" s="3" t="inlineStr">
        <is>
          <t>1. MK-XS-F-054 encryptForSync
2. MK-XS-F-175 uid</t>
        </is>
      </c>
      <c r="P620" s="3" t="n">
        <v>87</v>
      </c>
      <c r="Q620"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MK-XS-F-135 secureGet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MK-ST-F-039 on
51. MK-ST-F-071 rebuildableFrom
52. MK-ST-F-068 stepDay
53. MK-ST-F-072 undo
54. MK-NW-F-053 correctClassOf
55. MK-NW-F-008 incomeBearingClassOf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MK-NW-F-009 maturityClass
74. MK-ST-F-010 nameEvidence
75. MK-PF-F-031 contractMultiplier
76. MK-CF-F-072 currentRetirementIncomeMonthly
77. MK-ST-F-048 currencySymbol
78. MK-CF-F-100 taxableIncomeFor
79. MK-ST-F-034 firstDate
80. MK-NW-F-011 assetClassOf
81. MK-XS-F-147 call
82. MK-CF-F-075 retirementIncomeMonthly
83. MK-ST-F-047 activeCurrency
84. MK-CF-F-099 deductionFor
85. MK-XS-F-064 currentIdToken
86. MK-XS-F-112 relayUrl
87. MK-CF-F-187 seniorDeductionFor</t>
        </is>
      </c>
      <c r="R620"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620" s="3" t="inlineStr">
        <is>
          <t>—</t>
        </is>
      </c>
      <c r="T620" s="3" t="inlineStr">
        <is>
          <t>—</t>
        </is>
      </c>
      <c r="U620" s="3" t="inlineStr">
        <is>
          <t>ACTIVE</t>
        </is>
      </c>
      <c r="V620" s="3" t="inlineStr">
        <is>
          <t>2026-08-27</t>
        </is>
      </c>
      <c r="W620" s="3" t="n"/>
      <c r="X620" s="3" t="n"/>
      <c r="Y620" s="3" t="inlineStr">
        <is>
          <t>NOTHING OPEN</t>
        </is>
      </c>
    </row>
    <row r="621" ht="60" customHeight="1">
      <c r="A621" s="3" t="inlineStr">
        <is>
          <t>MK-XS-F-074</t>
        </is>
      </c>
      <c r="B621" s="3" t="inlineStr">
        <is>
          <t>loadUserData</t>
        </is>
      </c>
      <c r="C621" s="3" t="inlineStr">
        <is>
          <t>src/services/firebase.ts</t>
        </is>
      </c>
      <c r="D621" s="3" t="n">
        <v>501</v>
      </c>
      <c r="E621" s="3" t="inlineStr">
        <is>
          <t>4 · BRINGS DATA IN</t>
        </is>
      </c>
      <c r="F621" s="3" t="inlineStr">
        <is>
          <t>NOT DETERMINED — the code carries no note saying what this is for, and it has no row in the old inventory. Needs reading.</t>
        </is>
      </c>
      <c r="G621" s="11" t="inlineStr">
        <is>
          <t>snap = await get doc(doc(db, 'users', uid))
nothing   when !snap.exists()
d = snap.data()
await decrypt from sync(app state enc)   when app state enc ≠ nothing
the answer = app state (or nothing when missing)</t>
        </is>
      </c>
      <c r="H621" s="3" t="inlineStr">
        <is>
          <t>Snap is await get doc(doc(db, 'users', uid)). When !snap.exists(), it answers no answer. D is snap.data(). When app state enc is not no answer, it answers await decrypt from sync(app state enc). The answer is app state (or no answer — when missing).</t>
        </is>
      </c>
      <c r="I621" s="3" t="inlineStr">
        <is>
          <t>PARTLY READ — some of the code is still showing through; needs a hand pass</t>
        </is>
      </c>
      <c r="J621" s="3" t="inlineStr">
        <is>
          <t>uid: string</t>
        </is>
      </c>
      <c r="K621" s="3" t="inlineStr">
        <is>
          <t>Promise&lt;Record&lt;string, any&gt; | null&gt;</t>
        </is>
      </c>
      <c r="L621" s="3" t="inlineStr">
        <is>
          <t>"Restore your data" — on the auth screen</t>
        </is>
      </c>
      <c r="M621" s="3" t="inlineStr">
        <is>
          <t>None found in this function — anything it assumes comes from the functions it depends on.</t>
        </is>
      </c>
      <c r="N621" s="3" t="inlineStr">
        <is>
          <t>Yes</t>
        </is>
      </c>
      <c r="O621" s="3" t="inlineStr">
        <is>
          <t>1. MK-XS-F-055 decryptFromSync
2. MK-XS-F-175 uid</t>
        </is>
      </c>
      <c r="P621" s="3" t="n">
        <v>88</v>
      </c>
      <c r="Q621"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MK-CF-F-100 taxableIncomeFor
80. MK-ST-F-034 firstDate
81. MK-NW-F-011 assetClassOf
82. MK-XS-F-147 call
83. MK-CF-F-075 retirementIncomeMonthly
84. MK-ST-F-047 activeCurrency
85. MK-CF-F-099 deductionFor
86. MK-XS-F-064 currentIdToken
87. MK-XS-F-112 relayUrl
88. MK-CF-F-187 seniorDeductionFor</t>
        </is>
      </c>
      <c r="R621"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621" s="3" t="inlineStr">
        <is>
          <t>—</t>
        </is>
      </c>
      <c r="T621" s="3" t="inlineStr">
        <is>
          <t>—</t>
        </is>
      </c>
      <c r="U621" s="3" t="inlineStr">
        <is>
          <t>ACTIVE</t>
        </is>
      </c>
      <c r="V621" s="3" t="inlineStr">
        <is>
          <t>2026-08-27</t>
        </is>
      </c>
      <c r="W621" s="3" t="n"/>
      <c r="X621" s="3" t="n"/>
      <c r="Y621" s="3" t="inlineStr">
        <is>
          <t>NOTHING OPEN</t>
        </is>
      </c>
    </row>
    <row r="622" ht="45" customHeight="1">
      <c r="A622" s="3" t="inlineStr">
        <is>
          <t>MK-XS-F-075</t>
        </is>
      </c>
      <c r="B622" s="3" t="inlineStr">
        <is>
          <t>createInvite</t>
        </is>
      </c>
      <c r="C622" s="3" t="inlineStr">
        <is>
          <t>src/services/firebase.ts</t>
        </is>
      </c>
      <c r="D622" s="3" t="n">
        <v>557</v>
      </c>
      <c r="E622" s="3" t="inlineStr">
        <is>
          <t>2 · DISPLAYED (presentation only)</t>
        </is>
      </c>
      <c r="F622" s="3" t="inlineStr">
        <is>
          <t>Create an invite code pointing at this household's shared data doc.</t>
        </is>
      </c>
      <c r="G622" s="11" t="inlineStr">
        <is>
          <t>code = make invite code()
the answer = code</t>
        </is>
      </c>
      <c r="H622" s="3" t="inlineStr">
        <is>
          <t>Code is make invite code(). The answer is code.</t>
        </is>
      </c>
      <c r="I622" s="3" t="inlineStr">
        <is>
          <t>READ FROM THE CODE — rendered from the expressions the function runs</t>
        </is>
      </c>
      <c r="J622" s="3" t="inlineStr">
        <is>
          <t>1. householdId: string
2. inviterName: string | null</t>
        </is>
      </c>
      <c r="K622" s="3" t="inlineStr">
        <is>
          <t>Promise&lt;string&gt;</t>
        </is>
      </c>
      <c r="L622" s="3" t="inlineStr">
        <is>
          <t>"Vesting schedule" — on the setup questions, which appear on more than one screen</t>
        </is>
      </c>
      <c r="M622" s="3" t="inlineStr">
        <is>
          <t>None found in this function — anything it assumes comes from the functions it depends on.</t>
        </is>
      </c>
      <c r="N622" s="3" t="inlineStr">
        <is>
          <t>Yes</t>
        </is>
      </c>
      <c r="O622" s="3" t="inlineStr">
        <is>
          <t>MK-XS-F-142 makeInviteCode</t>
        </is>
      </c>
      <c r="P622" s="3" t="n">
        <v>1</v>
      </c>
      <c r="Q622" s="3" t="inlineStr">
        <is>
          <t>MK-XS-F-142 makeInviteCode</t>
        </is>
      </c>
      <c r="R622" s="3" t="inlineStr">
        <is>
          <t>MK-XS-F-142 makeInviteCode → MK-XS-F-075 createInvite</t>
        </is>
      </c>
      <c r="S622" s="3" t="inlineStr">
        <is>
          <t>—</t>
        </is>
      </c>
      <c r="T622" s="3" t="inlineStr">
        <is>
          <t>—</t>
        </is>
      </c>
      <c r="U622" s="3" t="inlineStr">
        <is>
          <t>ACTIVE</t>
        </is>
      </c>
      <c r="V622" s="3" t="inlineStr">
        <is>
          <t>2026-08-27</t>
        </is>
      </c>
      <c r="W622" s="3" t="n"/>
      <c r="X622" s="3" t="n"/>
      <c r="Y622" s="3" t="inlineStr">
        <is>
          <t>NOTHING OPEN</t>
        </is>
      </c>
    </row>
    <row r="623" ht="60" customHeight="1">
      <c r="A623" s="3" t="inlineStr">
        <is>
          <t>MK-XS-F-076</t>
        </is>
      </c>
      <c r="B623" s="3" t="inlineStr">
        <is>
          <t>lookupInvite</t>
        </is>
      </c>
      <c r="C623" s="3" t="inlineStr">
        <is>
          <t>src/services/firebase.ts</t>
        </is>
      </c>
      <c r="D623" s="3" t="n">
        <v>588</v>
      </c>
      <c r="E623" s="3" t="inlineStr">
        <is>
          <t>4 · BRINGS DATA IN</t>
        </is>
      </c>
      <c r="F623" s="3" t="inlineStr">
        <is>
          <t>NOT DETERMINED — the code carries no note saying what this is for, and it has no row in the old inventory. Needs reading.</t>
        </is>
      </c>
      <c r="G623" s="11" t="inlineStr">
        <is>
          <t>snap = await get doc(doc(db, 'invites', code.trim().to upper case()))
nothing   when !snap.exists()
d = snap.data() as any
the answer:
household id = household id
inviter name = inviter name (or nothing when missing)   if household id
nothing   otherwise</t>
        </is>
      </c>
      <c r="H623" s="3" t="inlineStr">
        <is>
          <t>Snap is await get doc(doc(db, 'invites', code.trim().to upper case())). When !snap.exists(), it answers no answer. D is snap.data() as any. The answer is household id = household id; inviter name = inviter name (or no answer when missing) — when household id; no answer — otherwise.</t>
        </is>
      </c>
      <c r="I623" s="3" t="inlineStr">
        <is>
          <t>PARTLY READ — some of the code is still showing through; needs a hand pass</t>
        </is>
      </c>
      <c r="J623" s="3" t="inlineStr">
        <is>
          <t>code: string</t>
        </is>
      </c>
      <c r="K623" s="3" t="inlineStr">
        <is>
          <t>Promise&lt;</t>
        </is>
      </c>
      <c r="L623" s="3" t="inlineStr">
        <is>
          <t>—</t>
        </is>
      </c>
      <c r="M623" s="3" t="inlineStr">
        <is>
          <t>None found in this function — anything it assumes comes from the functions it depends on.</t>
        </is>
      </c>
      <c r="N623" s="3" t="inlineStr">
        <is>
          <t>Yes</t>
        </is>
      </c>
      <c r="O623" s="3" t="inlineStr">
        <is>
          <t>—</t>
        </is>
      </c>
      <c r="P623" s="3" t="n">
        <v>0</v>
      </c>
      <c r="Q623" s="3" t="inlineStr">
        <is>
          <t>None — no dependent function stands behind it</t>
        </is>
      </c>
      <c r="R623" s="3" t="inlineStr">
        <is>
          <t>No dependent function — it reads its inputs and answers</t>
        </is>
      </c>
      <c r="S623" s="3" t="inlineStr">
        <is>
          <t>—</t>
        </is>
      </c>
      <c r="T623" s="3" t="inlineStr">
        <is>
          <t>—</t>
        </is>
      </c>
      <c r="U623" s="3" t="inlineStr">
        <is>
          <t>ACTIVE</t>
        </is>
      </c>
      <c r="V623" s="3" t="inlineStr">
        <is>
          <t>2026-08-27</t>
        </is>
      </c>
      <c r="W623" s="3" t="n"/>
      <c r="X623" s="3" t="n"/>
      <c r="Y623" s="3" t="inlineStr">
        <is>
          <t>NOTHING OPEN</t>
        </is>
      </c>
    </row>
    <row r="624" ht="60" customHeight="1">
      <c r="A624" s="3" t="inlineStr">
        <is>
          <t>MK-XS-F-077</t>
        </is>
      </c>
      <c r="B624" s="3" t="inlineStr">
        <is>
          <t>setUserHousehold</t>
        </is>
      </c>
      <c r="C624" s="3" t="inlineStr">
        <is>
          <t>src/services/firebase.ts</t>
        </is>
      </c>
      <c r="D624" s="3" t="n">
        <v>611</v>
      </c>
      <c r="E624" s="3" t="inlineStr">
        <is>
          <t>1 · ACTION</t>
        </is>
      </c>
      <c r="F624" s="3" t="inlineStr">
        <is>
          <t>Record household membership on the member's own user doc (survives reinstall/new device).</t>
        </is>
      </c>
      <c r="G624" s="11" t="inlineStr">
        <is>
          <t>It reaches outside the app for data and hands back what came back — no arithmetic of its own.</t>
        </is>
      </c>
      <c r="H624" s="3" t="inlineStr">
        <is>
          <t>It reaches outside the app for data and hands back what came back — no arithmetic of its own.</t>
        </is>
      </c>
      <c r="I624" s="3" t="inlineStr">
        <is>
          <t>NO ARITHMETIC — there is no formula to state</t>
        </is>
      </c>
      <c r="J624" s="3" t="inlineStr">
        <is>
          <t>1. uid: string
2. householdId: string</t>
        </is>
      </c>
      <c r="K624" s="3" t="inlineStr">
        <is>
          <t>Promise&lt;void&gt;</t>
        </is>
      </c>
      <c r="L624" s="3" t="inlineStr">
        <is>
          <t>—</t>
        </is>
      </c>
      <c r="M624" s="3" t="inlineStr">
        <is>
          <t>None found in this function — anything it assumes comes from the functions it depends on.</t>
        </is>
      </c>
      <c r="N624" s="3" t="inlineStr">
        <is>
          <t>Yes</t>
        </is>
      </c>
      <c r="O624" s="3" t="inlineStr">
        <is>
          <t>1. MK-XS-F-074 loadUserData
2. MK-XS-F-175 uid</t>
        </is>
      </c>
      <c r="P624" s="3" t="n">
        <v>89</v>
      </c>
      <c r="Q624"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MK-XS-F-053 decryptWithKey
33. MK-XS-F-042 getDataKey
34. MK-XS-F-051 isEncrypted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MK-XS-F-135 secureGet
69. MK-CF-F-134 usesSleeve
70. MK-ST-F-049 formatMoney
71. MK-CF-F-101 taxOwedFor
72. MK-ST-F-067 utcOfDay
73. MK-CF-F-155 cash
74. MK-ST-F-035 covers
75. MK-NW-F-009 maturityClass
76. MK-ST-F-010 nameEvidence
77. MK-PF-F-031 contractMultiplier
78. MK-CF-F-072 currentRetirementIncomeMonthly
79. MK-ST-F-048 currencySymbol
80. MK-CF-F-100 taxableIncomeFor
81. MK-ST-F-034 firstDate
82. MK-NW-F-011 assetClassOf
83. MK-XS-F-147 call
84. MK-CF-F-075 retirementIncomeMonthly
85. MK-ST-F-047 activeCurrency
86. MK-CF-F-099 deductionFor
87. MK-XS-F-064 currentIdToken
88. MK-XS-F-112 relayUrl
89. MK-CF-F-187 seniorDeductionFor</t>
        </is>
      </c>
      <c r="R624"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624" s="3" t="inlineStr">
        <is>
          <t>—</t>
        </is>
      </c>
      <c r="T624" s="3" t="inlineStr">
        <is>
          <t>—</t>
        </is>
      </c>
      <c r="U624" s="3" t="inlineStr">
        <is>
          <t>ACTIVE</t>
        </is>
      </c>
      <c r="V624" s="3" t="inlineStr">
        <is>
          <t>2026-08-27</t>
        </is>
      </c>
      <c r="W624" s="3" t="n"/>
      <c r="X624" s="3" t="n"/>
      <c r="Y624" s="3" t="inlineStr">
        <is>
          <t>NOTHING OPEN</t>
        </is>
      </c>
    </row>
    <row r="625" ht="60" customHeight="1">
      <c r="A625" s="3" t="inlineStr">
        <is>
          <t>MK-XS-F-078</t>
        </is>
      </c>
      <c r="B625" s="3" t="inlineStr">
        <is>
          <t>joinHouseholdMembership</t>
        </is>
      </c>
      <c r="C625" s="3" t="inlineStr">
        <is>
          <t>src/services/firebase.ts</t>
        </is>
      </c>
      <c r="D625" s="3" t="n">
        <v>636</v>
      </c>
      <c r="E625" s="3" t="inlineStr">
        <is>
          <t>1 · ACTION</t>
        </is>
      </c>
      <c r="F625" s="3" t="inlineStr">
        <is>
          <t>Claim membership in {householdId} by writing the member doc the security rules gate access on.</t>
        </is>
      </c>
      <c r="G625" s="11" t="inlineStr">
        <is>
          <t>It reaches outside the app for data and hands back what came back — no arithmetic of its own.</t>
        </is>
      </c>
      <c r="H625" s="3" t="inlineStr">
        <is>
          <t>It reaches outside the app for data and hands back what came back — no arithmetic of its own.</t>
        </is>
      </c>
      <c r="I625" s="3" t="inlineStr">
        <is>
          <t>NO ARITHMETIC — there is no formula to state</t>
        </is>
      </c>
      <c r="J625" s="3" t="inlineStr">
        <is>
          <t>1. uid: string
2. householdId: string
3. code: string</t>
        </is>
      </c>
      <c r="K625" s="3" t="inlineStr">
        <is>
          <t>Promise&lt;void&gt;</t>
        </is>
      </c>
      <c r="L625" s="3" t="inlineStr">
        <is>
          <t>—</t>
        </is>
      </c>
      <c r="M625" s="3" t="inlineStr">
        <is>
          <t>None found in this function — anything it assumes comes from the functions it depends on.</t>
        </is>
      </c>
      <c r="N625" s="3" t="inlineStr">
        <is>
          <t>Yes</t>
        </is>
      </c>
      <c r="O625" s="3" t="inlineStr">
        <is>
          <t>MK-XS-F-175 uid</t>
        </is>
      </c>
      <c r="P625" s="3" t="n">
        <v>83</v>
      </c>
      <c r="Q625"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625"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625" s="3" t="inlineStr">
        <is>
          <t>—</t>
        </is>
      </c>
      <c r="T625" s="3" t="inlineStr">
        <is>
          <t>—</t>
        </is>
      </c>
      <c r="U625" s="3" t="inlineStr">
        <is>
          <t>ACTIVE</t>
        </is>
      </c>
      <c r="V625" s="3" t="inlineStr">
        <is>
          <t>2026-08-27</t>
        </is>
      </c>
      <c r="W625" s="3" t="n"/>
      <c r="X625" s="3" t="n"/>
      <c r="Y625" s="3" t="inlineStr">
        <is>
          <t>NOTHING OPEN</t>
        </is>
      </c>
    </row>
    <row r="626" ht="60" customHeight="1">
      <c r="A626" s="3" t="inlineStr">
        <is>
          <t>MK-XS-F-079</t>
        </is>
      </c>
      <c r="B626" s="3" t="inlineStr">
        <is>
          <t>loadUserRoot</t>
        </is>
      </c>
      <c r="C626" s="3" t="inlineStr">
        <is>
          <t>src/services/firebase.ts</t>
        </is>
      </c>
      <c r="D626" s="3" t="n">
        <v>670</v>
      </c>
      <c r="E626" s="3" t="inlineStr">
        <is>
          <t>4 · BRINGS DATA IN</t>
        </is>
      </c>
      <c r="F626" s="3" t="inlineStr">
        <is>
          <t>The member's own top-level doc fields (householdId + decrypted appState) in one read.</t>
        </is>
      </c>
      <c r="G626"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626"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626" s="3" t="inlineStr">
        <is>
          <t>PARTLY READ — some of the code is still showing through; needs a hand pass</t>
        </is>
      </c>
      <c r="J626" s="3" t="inlineStr">
        <is>
          <t>uid: string</t>
        </is>
      </c>
      <c r="K626" s="3" t="inlineStr">
        <is>
          <t>Promise&lt;</t>
        </is>
      </c>
      <c r="L626" s="3" t="inlineStr">
        <is>
          <t>—</t>
        </is>
      </c>
      <c r="M626" s="3" t="inlineStr">
        <is>
          <t>None found in this function — anything it assumes comes from the functions it depends on.</t>
        </is>
      </c>
      <c r="N626" s="3" t="inlineStr">
        <is>
          <t>Yes</t>
        </is>
      </c>
      <c r="O626" s="3" t="inlineStr">
        <is>
          <t>1. MK-XS-F-055 decryptFromSync
2. MK-XS-F-175 uid</t>
        </is>
      </c>
      <c r="P626" s="3" t="n">
        <v>88</v>
      </c>
      <c r="Q626"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MK-CF-F-100 taxableIncomeFor
80. MK-ST-F-034 firstDate
81. MK-NW-F-011 assetClassOf
82. MK-XS-F-147 call
83. MK-CF-F-075 retirementIncomeMonthly
84. MK-ST-F-047 activeCurrency
85. MK-CF-F-099 deductionFor
86. MK-XS-F-064 currentIdToken
87. MK-XS-F-112 relayUrl
88. MK-CF-F-187 seniorDeductionFor</t>
        </is>
      </c>
      <c r="R626"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626" s="3" t="inlineStr">
        <is>
          <t>—</t>
        </is>
      </c>
      <c r="T626" s="3" t="inlineStr">
        <is>
          <t>—</t>
        </is>
      </c>
      <c r="U626" s="3" t="inlineStr">
        <is>
          <t>ACTIVE</t>
        </is>
      </c>
      <c r="V626" s="3" t="inlineStr">
        <is>
          <t>2026-08-27</t>
        </is>
      </c>
      <c r="W626" s="3" t="n"/>
      <c r="X626" s="3" t="n"/>
      <c r="Y626" s="3" t="inlineStr">
        <is>
          <t>NOTHING OPEN</t>
        </is>
      </c>
    </row>
    <row r="627" ht="60" customHeight="1">
      <c r="A627" s="3" t="inlineStr">
        <is>
          <t>MK-XS-F-080</t>
        </is>
      </c>
      <c r="B627" s="3" t="inlineStr">
        <is>
          <t>submitFeedback</t>
        </is>
      </c>
      <c r="C627" s="3" t="inlineStr">
        <is>
          <t>src/services/firebase.ts</t>
        </is>
      </c>
      <c r="D627" s="3" t="n">
        <v>693</v>
      </c>
      <c r="E627" s="3" t="inlineStr">
        <is>
          <t>1 · ACTION</t>
        </is>
      </c>
      <c r="F627" s="3" t="inlineStr">
        <is>
          <t>NOT DETERMINED — the code carries no note saying what this is for, and it has no row in the old inventory. Needs reading.</t>
        </is>
      </c>
      <c r="G627" s="11" t="inlineStr">
        <is>
          <t>It reaches outside the app for data and hands back what came back — no arithmetic of its own.</t>
        </is>
      </c>
      <c r="H627" s="3" t="inlineStr">
        <is>
          <t>It reaches outside the app for data and hands back what came back — no arithmetic of its own.</t>
        </is>
      </c>
      <c r="I627" s="3" t="inlineStr">
        <is>
          <t>NO ARITHMETIC — there is no formula to state</t>
        </is>
      </c>
      <c r="J627" s="3" t="inlineStr">
        <is>
          <t>Nothing is handed to it</t>
        </is>
      </c>
      <c r="K627" s="3" t="inlineStr">
        <is>
          <t>NOT DECLARED — the code does not say what it gives back</t>
        </is>
      </c>
      <c r="L627" s="3" t="inlineStr">
        <is>
          <t>—</t>
        </is>
      </c>
      <c r="M627" s="3" t="inlineStr">
        <is>
          <t>None found in this function — anything it assumes comes from the functions it depends on.</t>
        </is>
      </c>
      <c r="N627" s="3" t="inlineStr">
        <is>
          <t>Yes</t>
        </is>
      </c>
      <c r="O627" s="3" t="inlineStr">
        <is>
          <t>—</t>
        </is>
      </c>
      <c r="P627" s="3" t="n">
        <v>0</v>
      </c>
      <c r="Q627" s="3" t="inlineStr">
        <is>
          <t>None — no dependent function stands behind it</t>
        </is>
      </c>
      <c r="R627" s="3" t="inlineStr">
        <is>
          <t>No dependent function — it reads its inputs and answers</t>
        </is>
      </c>
      <c r="S627" s="3" t="inlineStr">
        <is>
          <t>—</t>
        </is>
      </c>
      <c r="T627" s="3" t="inlineStr">
        <is>
          <t>—</t>
        </is>
      </c>
      <c r="U627" s="3" t="inlineStr">
        <is>
          <t>ACTIVE</t>
        </is>
      </c>
      <c r="V627" s="3" t="inlineStr">
        <is>
          <t>2026-08-27</t>
        </is>
      </c>
      <c r="W627" s="3" t="n"/>
      <c r="X627" s="3" t="n"/>
      <c r="Y627" s="3" t="inlineStr">
        <is>
          <t>NOTHING OPEN</t>
        </is>
      </c>
    </row>
    <row r="628" ht="45" customHeight="1">
      <c r="A628" s="3" t="inlineStr">
        <is>
          <t>MK-XS-F-081</t>
        </is>
      </c>
      <c r="B628" s="3" t="inlineStr">
        <is>
          <t>isPlausibleTicker</t>
        </is>
      </c>
      <c r="C628" s="3" t="inlineStr">
        <is>
          <t>src/services/marketData.ts</t>
        </is>
      </c>
      <c r="D628" s="3" t="n">
        <v>96</v>
      </c>
      <c r="E628" s="3" t="inlineStr">
        <is>
          <t>2 · DISPLAYED</t>
        </is>
      </c>
      <c r="F628" s="3" t="inlineStr">
        <is>
          <t>Is a ticker plausibly valid before we spend a network call?</t>
        </is>
      </c>
      <c r="G628" s="11" t="inlineStr">
        <is>
          <t>÷ ^[A − za − z]{1,6}([.\-][A − za − z]{1,4})?$ ÷ .test((ticker ?? '').trim())</t>
        </is>
      </c>
      <c r="H628" s="3" t="inlineStr">
        <is>
          <t>÷ ^[A minus za minus z]{1,6}([.\-][A minus za minus z]{1,4})?$ divided by .test((ticker ?? '').trim()).</t>
        </is>
      </c>
      <c r="I628" s="3" t="inlineStr">
        <is>
          <t>PARTLY READ — some of the code is still showing through; needs a hand pass</t>
        </is>
      </c>
      <c r="J628" s="3" t="inlineStr">
        <is>
          <t>ticker: string</t>
        </is>
      </c>
      <c r="K628" s="3" t="inlineStr">
        <is>
          <t>boolean</t>
        </is>
      </c>
      <c r="L628" s="3" t="inlineStr">
        <is>
          <t>NOT FOUND — a screen calls it, but the words printed beside its answer could not be traced automatically. Needs reading.</t>
        </is>
      </c>
      <c r="M628" s="3" t="inlineStr">
        <is>
          <t>None found in this function — anything it assumes comes from the functions it depends on.</t>
        </is>
      </c>
      <c r="N628" s="3" t="inlineStr">
        <is>
          <t>Yes</t>
        </is>
      </c>
      <c r="O628" s="3" t="inlineStr">
        <is>
          <t>—</t>
        </is>
      </c>
      <c r="P628" s="3" t="n">
        <v>0</v>
      </c>
      <c r="Q628" s="3" t="inlineStr">
        <is>
          <t>None — no dependent function stands behind it</t>
        </is>
      </c>
      <c r="R628" s="3" t="inlineStr">
        <is>
          <t>No dependent function — it reads its inputs and answers</t>
        </is>
      </c>
      <c r="S628" s="3" t="inlineStr">
        <is>
          <t>—</t>
        </is>
      </c>
      <c r="T628" s="3" t="inlineStr">
        <is>
          <t>TICKER_PLAUSIBLE</t>
        </is>
      </c>
      <c r="U628" s="3" t="inlineStr">
        <is>
          <t>ACTIVE</t>
        </is>
      </c>
      <c r="V628" s="3" t="inlineStr">
        <is>
          <t>2026-08-27</t>
        </is>
      </c>
      <c r="W628" s="3" t="n"/>
      <c r="X628" s="3" t="n"/>
      <c r="Y628" s="3" t="inlineStr">
        <is>
          <t>NOTHING OPEN</t>
        </is>
      </c>
    </row>
    <row r="629" ht="60" customHeight="1">
      <c r="A629" s="3" t="inlineStr">
        <is>
          <t>MK-XS-F-082</t>
        </is>
      </c>
      <c r="B629" s="3" t="inlineStr">
        <is>
          <t>priceFreshness</t>
        </is>
      </c>
      <c r="C629" s="3" t="inlineStr">
        <is>
          <t>src/services/marketData.ts</t>
        </is>
      </c>
      <c r="D629" s="3" t="n">
        <v>120</v>
      </c>
      <c r="E629" s="3" t="inlineStr">
        <is>
          <t>2 · DISPLAYED</t>
        </is>
      </c>
      <c r="F629" s="3" t="inlineStr">
        <is>
          <t>Human freshness of the price cache + whether it's stale enough to warn (markets move daily, so anything older than ~4 days — a long weekend/holiday — is worth a "may be out of date" note).</t>
        </is>
      </c>
      <c r="G629" s="11" t="inlineStr">
        <is>
          <t>age   = now − the moment prices were last fetched
stale = age ≥ 4 days,  or nothing was ever fetched,  or the moment cannot be read</t>
        </is>
      </c>
      <c r="H629"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629" s="3" t="inlineStr">
        <is>
          <t>READ BY HAND 2026-08-26 — checked line by line against the code</t>
        </is>
      </c>
      <c r="J629" s="3" t="inlineStr">
        <is>
          <t>1. fetchedAt: string | null | undefined
2. now: number</t>
        </is>
      </c>
      <c r="K629" s="3" t="inlineStr">
        <is>
          <t>PriceFreshness</t>
        </is>
      </c>
      <c r="L629" s="3" t="inlineStr">
        <is>
          <t>"Performance" — on the Performance screen</t>
        </is>
      </c>
      <c r="M629" s="3" t="inlineStr">
        <is>
          <t>None found in this function — anything it assumes comes from the functions it depends on.</t>
        </is>
      </c>
      <c r="N629" s="3" t="inlineStr">
        <is>
          <t>Yes</t>
        </is>
      </c>
      <c r="O629" s="3" t="inlineStr">
        <is>
          <t>1. MK-ST-F-075 agoLabel
2. MK-ST-F-077 isStale</t>
        </is>
      </c>
      <c r="P629" s="3" t="n">
        <v>3</v>
      </c>
      <c r="Q629" s="3" t="inlineStr">
        <is>
          <t>1. MK-ST-F-075 agoLabel
2. MK-ST-F-077 isStale
3. MK-XS-F-170 daysSince</t>
        </is>
      </c>
      <c r="R629" s="3" t="inlineStr">
        <is>
          <t>1. MK-XS-F-170 daysSince → MK-ST-F-075 agoLabel → MK-XS-F-082 priceFreshness
2. MK-XS-F-170 daysSince → MK-ST-F-077 isStale → MK-XS-F-082 priceFreshness</t>
        </is>
      </c>
      <c r="S629" s="3" t="inlineStr">
        <is>
          <t>MK-HM-M-001</t>
        </is>
      </c>
      <c r="T629" s="3" t="inlineStr">
        <is>
          <t>PRICE_FRESHNESS</t>
        </is>
      </c>
      <c r="U629" s="3" t="inlineStr">
        <is>
          <t>ACTIVE</t>
        </is>
      </c>
      <c r="V629" s="3" t="inlineStr">
        <is>
          <t>2026-08-27</t>
        </is>
      </c>
      <c r="W629" s="3" t="n"/>
      <c r="X629" s="3" t="n"/>
      <c r="Y629" s="3" t="inlineStr">
        <is>
          <t>NOTHING OPEN</t>
        </is>
      </c>
    </row>
    <row r="630" ht="60" customHeight="1">
      <c r="A630" s="3" t="inlineStr">
        <is>
          <t>MK-XS-F-083</t>
        </is>
      </c>
      <c r="B630" s="3" t="inlineStr">
        <is>
          <t>fetchPriceSeries</t>
        </is>
      </c>
      <c r="C630" s="3" t="inlineStr">
        <is>
          <t>src/services/marketData.ts</t>
        </is>
      </c>
      <c r="D630" s="3" t="n">
        <v>160</v>
      </c>
      <c r="E630" s="3" t="inlineStr">
        <is>
          <t>3 · DEPENDENT</t>
        </is>
      </c>
      <c r="F630" s="3" t="inlineStr">
        <is>
          <t>Fetch many tickers in parallel; returns only the ones that resolved.</t>
        </is>
      </c>
      <c r="G630" s="11" t="inlineStr">
        <is>
          <t>unique = array.from(new set(tickers.map((t) =&gt; trim().to upper case()).filter(boolean)))
results = await promise.all settled(unique.map((t) =&gt; provider.fetch series(t, range)))
out = {}
r = results[i]
the answer = out</t>
        </is>
      </c>
      <c r="H630" s="3" t="inlineStr">
        <is>
          <t>Unique is array.from(new set(tickers.map((t) =&gt; trim().to upper case()).filter(boolean))). Results is await promise.all settled(unique.map((t) =&gt; provider.fetch series(t, range))). Out is {}. R is results[i]. The answer is out.</t>
        </is>
      </c>
      <c r="I630" s="3" t="inlineStr">
        <is>
          <t>PARTLY READ — some of the code is still showing through; needs a hand pass</t>
        </is>
      </c>
      <c r="J630" s="3" t="inlineStr">
        <is>
          <t>Nothing is handed to it</t>
        </is>
      </c>
      <c r="K630" s="3" t="inlineStr">
        <is>
          <t>NOT DECLARED — the code does not say what it gives back</t>
        </is>
      </c>
      <c r="L630" s="3" t="inlineStr">
        <is>
          <t>—</t>
        </is>
      </c>
      <c r="M630" s="3" t="inlineStr">
        <is>
          <t>None found in this function — anything it assumes comes from the functions it depends on.</t>
        </is>
      </c>
      <c r="N630" s="3" t="inlineStr">
        <is>
          <t>Yes</t>
        </is>
      </c>
      <c r="O630" s="3" t="inlineStr">
        <is>
          <t>MK-CF-F-132 map</t>
        </is>
      </c>
      <c r="P630" s="3" t="n">
        <v>1</v>
      </c>
      <c r="Q630" s="3" t="inlineStr">
        <is>
          <t>MK-CF-F-132 map</t>
        </is>
      </c>
      <c r="R630" s="3" t="inlineStr">
        <is>
          <t>MK-CF-F-132 map → MK-XS-F-083 fetchPriceSeries</t>
        </is>
      </c>
      <c r="S630" s="3" t="inlineStr">
        <is>
          <t>—</t>
        </is>
      </c>
      <c r="T630" s="3" t="inlineStr">
        <is>
          <t>FETCH_PRICES</t>
        </is>
      </c>
      <c r="U630" s="3" t="inlineStr">
        <is>
          <t>ACTIVE</t>
        </is>
      </c>
      <c r="V630" s="3" t="inlineStr">
        <is>
          <t>2026-09-12</t>
        </is>
      </c>
      <c r="W630" s="3" t="n"/>
      <c r="X630" s="3" t="n"/>
      <c r="Y630" s="3" t="inlineStr">
        <is>
          <t>NOTHING OPEN</t>
        </is>
      </c>
    </row>
    <row r="631" ht="60" customHeight="1">
      <c r="A631" s="3" t="inlineStr">
        <is>
          <t>MK-XS-F-084</t>
        </is>
      </c>
      <c r="B631" s="3" t="inlineStr">
        <is>
          <t>requestNotificationPermission</t>
        </is>
      </c>
      <c r="C631" s="3" t="inlineStr">
        <is>
          <t>src/services/notifications.ts</t>
        </is>
      </c>
      <c r="D631" s="3" t="n">
        <v>34</v>
      </c>
      <c r="E631" s="3" t="inlineStr">
        <is>
          <t>2 · DISPLAYED</t>
        </is>
      </c>
      <c r="F631" s="3" t="inlineStr">
        <is>
          <t>NOT DETERMINED — the code carries no note saying what this is for, and it has no row in the old inventory. Needs reading.</t>
        </is>
      </c>
      <c r="G631" s="11" t="inlineStr">
        <is>
          <t>false   when device.is device is missing
true   when existing = 'granted'
status = 'granted'</t>
        </is>
      </c>
      <c r="H631" s="3" t="inlineStr">
        <is>
          <t>When device.is device is missing, it answers false. When existing = 'granted', it answers true. status = 'granted'.</t>
        </is>
      </c>
      <c r="I631" s="3" t="inlineStr">
        <is>
          <t>READ FROM THE CODE — rendered from the expressions the function runs</t>
        </is>
      </c>
      <c r="J631" s="3" t="inlineStr">
        <is>
          <t>Nothing is handed to it</t>
        </is>
      </c>
      <c r="K631" s="3" t="inlineStr">
        <is>
          <t>Promise&lt;boolean&gt;</t>
        </is>
      </c>
      <c r="L631" s="3" t="inlineStr">
        <is>
          <t>NOT FOUND — a screen calls it, but the words printed beside its answer could not be traced automatically. Needs reading.</t>
        </is>
      </c>
      <c r="M631" s="3" t="inlineStr">
        <is>
          <t>None found in this function — anything it assumes comes from the functions it depends on.</t>
        </is>
      </c>
      <c r="N631" s="3" t="inlineStr">
        <is>
          <t>Yes</t>
        </is>
      </c>
      <c r="O631" s="3" t="inlineStr">
        <is>
          <t>—</t>
        </is>
      </c>
      <c r="P631" s="3" t="n">
        <v>0</v>
      </c>
      <c r="Q631" s="3" t="inlineStr">
        <is>
          <t>None — no dependent function stands behind it</t>
        </is>
      </c>
      <c r="R631" s="3" t="inlineStr">
        <is>
          <t>No dependent function — it reads its inputs and answers</t>
        </is>
      </c>
      <c r="S631" s="3" t="inlineStr">
        <is>
          <t>—</t>
        </is>
      </c>
      <c r="T631" s="3" t="inlineStr">
        <is>
          <t>—</t>
        </is>
      </c>
      <c r="U631" s="3" t="inlineStr">
        <is>
          <t>ACTIVE</t>
        </is>
      </c>
      <c r="V631" s="3" t="inlineStr">
        <is>
          <t>2026-08-27</t>
        </is>
      </c>
      <c r="W631" s="3" t="n"/>
      <c r="X631" s="3" t="n"/>
      <c r="Y631" s="3" t="inlineStr">
        <is>
          <t>NOTHING OPEN</t>
        </is>
      </c>
    </row>
    <row r="632" ht="30" customHeight="1">
      <c r="A632" s="3" t="inlineStr">
        <is>
          <t>MK-XS-F-085</t>
        </is>
      </c>
      <c r="B632" s="3" t="inlineStr">
        <is>
          <t>scheduleStreakReminder</t>
        </is>
      </c>
      <c r="C632" s="3" t="inlineStr">
        <is>
          <t>src/services/notifications.ts</t>
        </is>
      </c>
      <c r="D632" s="3" t="n">
        <v>60</v>
      </c>
      <c r="E632" s="3" t="inlineStr">
        <is>
          <t>1 · ACTION</t>
        </is>
      </c>
      <c r="F632" s="3" t="inlineStr">
        <is>
          <t>── Schedule daily streak reminder ─────────────────────────────────</t>
        </is>
      </c>
      <c r="G632" s="11" t="inlineStr">
        <is>
          <t>cancels the existing reminder, then schedules a daily one at 20:00</t>
        </is>
      </c>
      <c r="H632" s="3" t="inlineStr">
        <is>
          <t>Schedules the daily 8 pm streak reminder, replacing any existing one. Not a calculation.</t>
        </is>
      </c>
      <c r="I632" s="3" t="inlineStr">
        <is>
          <t>READ BY HAND 2026-08-26 — checked line by line against the code</t>
        </is>
      </c>
      <c r="J632" s="3" t="inlineStr">
        <is>
          <t>Nothing is handed to it</t>
        </is>
      </c>
      <c r="K632" s="3" t="inlineStr">
        <is>
          <t>NOT DECLARED — the code does not say what it gives back</t>
        </is>
      </c>
      <c r="L632" s="3" t="inlineStr">
        <is>
          <t>—</t>
        </is>
      </c>
      <c r="M632" s="3" t="inlineStr">
        <is>
          <t>None found in this function — anything it assumes comes from the functions it depends on.</t>
        </is>
      </c>
      <c r="N632" s="3" t="inlineStr">
        <is>
          <t>No</t>
        </is>
      </c>
      <c r="O632" s="3" t="inlineStr">
        <is>
          <t>—</t>
        </is>
      </c>
      <c r="P632" s="3" t="n">
        <v>0</v>
      </c>
      <c r="Q632" s="3" t="inlineStr">
        <is>
          <t>None — no dependent function stands behind it</t>
        </is>
      </c>
      <c r="R632" s="3" t="inlineStr">
        <is>
          <t>No dependent function — it reads its inputs and answers</t>
        </is>
      </c>
      <c r="S632" s="3" t="inlineStr">
        <is>
          <t>—</t>
        </is>
      </c>
      <c r="T632" s="3" t="inlineStr">
        <is>
          <t>—</t>
        </is>
      </c>
      <c r="U632" s="3" t="inlineStr">
        <is>
          <t>ACTIVE</t>
        </is>
      </c>
      <c r="V632" s="3" t="inlineStr">
        <is>
          <t>2026-09-12</t>
        </is>
      </c>
      <c r="W632" s="3" t="n"/>
      <c r="X632" s="3" t="n"/>
      <c r="Y632" s="3" t="inlineStr">
        <is>
          <t>NOTHING OPEN</t>
        </is>
      </c>
    </row>
    <row r="633" ht="30" customHeight="1">
      <c r="A633" s="3" t="inlineStr">
        <is>
          <t>MK-XS-F-086</t>
        </is>
      </c>
      <c r="B633" s="3" t="inlineStr">
        <is>
          <t>cancelStreakReminder</t>
        </is>
      </c>
      <c r="C633" s="3" t="inlineStr">
        <is>
          <t>src/services/notifications.ts</t>
        </is>
      </c>
      <c r="D633" s="3" t="n">
        <v>94</v>
      </c>
      <c r="E633" s="3" t="inlineStr">
        <is>
          <t>1 · ACTION</t>
        </is>
      </c>
      <c r="F633" s="3" t="inlineStr">
        <is>
          <t>── Cancel streak reminder (e.g.</t>
        </is>
      </c>
      <c r="G633" s="11" t="inlineStr">
        <is>
          <t>cancels the daily reminder</t>
        </is>
      </c>
      <c r="H633" s="3" t="inlineStr">
        <is>
          <t>Cancels the daily streak reminder. Not a calculation.</t>
        </is>
      </c>
      <c r="I633" s="3" t="inlineStr">
        <is>
          <t>READ BY HAND 2026-08-26 — checked line by line against the code</t>
        </is>
      </c>
      <c r="J633" s="3" t="inlineStr">
        <is>
          <t>Nothing is handed to it</t>
        </is>
      </c>
      <c r="K633" s="3" t="inlineStr">
        <is>
          <t>NOT DECLARED — the code does not say what it gives back</t>
        </is>
      </c>
      <c r="L633" s="3" t="inlineStr">
        <is>
          <t>—</t>
        </is>
      </c>
      <c r="M633" s="3" t="inlineStr">
        <is>
          <t>None found in this function — anything it assumes comes from the functions it depends on.</t>
        </is>
      </c>
      <c r="N633" s="3" t="inlineStr">
        <is>
          <t>No</t>
        </is>
      </c>
      <c r="O633" s="3" t="inlineStr">
        <is>
          <t>—</t>
        </is>
      </c>
      <c r="P633" s="3" t="n">
        <v>0</v>
      </c>
      <c r="Q633" s="3" t="inlineStr">
        <is>
          <t>None — no dependent function stands behind it</t>
        </is>
      </c>
      <c r="R633" s="3" t="inlineStr">
        <is>
          <t>No dependent function — it reads its inputs and answers</t>
        </is>
      </c>
      <c r="S633" s="3" t="inlineStr">
        <is>
          <t>—</t>
        </is>
      </c>
      <c r="T633" s="3" t="inlineStr">
        <is>
          <t>—</t>
        </is>
      </c>
      <c r="U633" s="3" t="inlineStr">
        <is>
          <t>ACTIVE</t>
        </is>
      </c>
      <c r="V633" s="3" t="inlineStr">
        <is>
          <t>2026-09-12</t>
        </is>
      </c>
      <c r="W633" s="3" t="n"/>
      <c r="X633" s="3" t="n"/>
      <c r="Y633" s="3" t="inlineStr">
        <is>
          <t>NOTHING OPEN</t>
        </is>
      </c>
    </row>
    <row r="634" ht="60" customHeight="1">
      <c r="A634" s="3" t="inlineStr">
        <is>
          <t>MK-XS-F-087</t>
        </is>
      </c>
      <c r="B634" s="3" t="inlineStr">
        <is>
          <t>scheduleRmdReminder</t>
        </is>
      </c>
      <c r="C634" s="3" t="inlineStr">
        <is>
          <t>src/services/notifications.ts</t>
        </is>
      </c>
      <c r="D634" s="3" t="n">
        <v>121</v>
      </c>
      <c r="E634" s="3" t="inlineStr">
        <is>
          <t>2 · DISPLAYED</t>
        </is>
      </c>
      <c r="F634" s="3" t="inlineStr">
        <is>
          <t>── Required-withdrawal reminders (FCC Plan r48/r51 — logistics only, no timing advice) ── November 1 nudge ahead of the Dec 31 deadline (this year or a future start year).</t>
        </is>
      </c>
      <c r="G634" s="11" t="inlineStr">
        <is>
          <t>id = `rmd − reminder-${year}`
fire at = the date year, 10, 1, 10, 0, 0
false   when fire at.get time() ≤ date.now()
the answer = true</t>
        </is>
      </c>
      <c r="H634" s="3" t="inlineStr">
        <is>
          <t>Id is `rmd minus reminder-${year}`. Fire at: the date year, 10, 1, 10, 0, 0. When fire at.get time() is at most date.now(), it answers false. The answer is true.</t>
        </is>
      </c>
      <c r="I634" s="3" t="inlineStr">
        <is>
          <t>PARTLY READ — some of the code is still showing through; needs a hand pass</t>
        </is>
      </c>
      <c r="J634" s="3" t="inlineStr">
        <is>
          <t>year: number</t>
        </is>
      </c>
      <c r="K634" s="3" t="inlineStr">
        <is>
          <t>NOT DECLARED — the code does not say what it gives back</t>
        </is>
      </c>
      <c r="L634" s="3" t="inlineStr">
        <is>
          <t>NOT FOUND — a screen calls it, but the words printed beside its answer could not be traced automatically. Needs reading.</t>
        </is>
      </c>
      <c r="M634" s="3" t="inlineStr">
        <is>
          <t>· Uses today's date from the device clock, so the answer changes by itself overnight.</t>
        </is>
      </c>
      <c r="N634" s="3" t="inlineStr">
        <is>
          <t>Yes</t>
        </is>
      </c>
      <c r="O634" s="3" t="inlineStr">
        <is>
          <t>—</t>
        </is>
      </c>
      <c r="P634" s="3" t="n">
        <v>0</v>
      </c>
      <c r="Q634" s="3" t="inlineStr">
        <is>
          <t>None — no dependent function stands behind it</t>
        </is>
      </c>
      <c r="R634" s="3" t="inlineStr">
        <is>
          <t>No dependent function — it reads its inputs and answers</t>
        </is>
      </c>
      <c r="S634" s="3" t="inlineStr">
        <is>
          <t>—</t>
        </is>
      </c>
      <c r="T634" s="3" t="inlineStr">
        <is>
          <t>—</t>
        </is>
      </c>
      <c r="U634" s="3" t="inlineStr">
        <is>
          <t>ACTIVE</t>
        </is>
      </c>
      <c r="V634" s="3" t="inlineStr">
        <is>
          <t>2026-08-27</t>
        </is>
      </c>
      <c r="W634" s="3" t="n"/>
      <c r="X634" s="3" t="n"/>
      <c r="Y634" s="3" t="inlineStr">
        <is>
          <t>NOTHING OPEN</t>
        </is>
      </c>
    </row>
    <row r="635" ht="45" customHeight="1">
      <c r="A635" s="3" t="inlineStr">
        <is>
          <t>MK-XS-F-088</t>
        </is>
      </c>
      <c r="B635" s="3" t="inlineStr">
        <is>
          <t>sendBudgetAlert</t>
        </is>
      </c>
      <c r="C635" s="3" t="inlineStr">
        <is>
          <t>src/services/notifications.ts</t>
        </is>
      </c>
      <c r="D635" s="3" t="n">
        <v>158</v>
      </c>
      <c r="E635" s="3" t="inlineStr">
        <is>
          <t>1 · ACTION</t>
        </is>
      </c>
      <c r="F635" s="3" t="inlineStr">
        <is>
          <t>── Budget alert (fire immediately) ────────────────────────────────</t>
        </is>
      </c>
      <c r="G635" s="11" t="inlineStr">
        <is>
          <t>sends one alert now: '&lt;category&gt; budget at &lt;round(pct)&gt;%'</t>
        </is>
      </c>
      <c r="H635" s="3" t="inlineStr">
        <is>
          <t>Sends an immediate alert naming the category and how much of its budget is used, to the whole percent. Display only.</t>
        </is>
      </c>
      <c r="I635" s="3" t="inlineStr">
        <is>
          <t>READ BY HAND 2026-08-26 — checked line by line against the code</t>
        </is>
      </c>
      <c r="J635" s="3" t="inlineStr">
        <is>
          <t>1. category: string
2. pct: number</t>
        </is>
      </c>
      <c r="K635" s="3" t="inlineStr">
        <is>
          <t>NOT DECLARED — the code does not say what it gives back</t>
        </is>
      </c>
      <c r="L635" s="3" t="inlineStr">
        <is>
          <t>—</t>
        </is>
      </c>
      <c r="M635" s="3" t="inlineStr">
        <is>
          <t>· Rounds the answer to a whole number.</t>
        </is>
      </c>
      <c r="N635" s="3" t="inlineStr">
        <is>
          <t>No</t>
        </is>
      </c>
      <c r="O635" s="3" t="inlineStr">
        <is>
          <t>—</t>
        </is>
      </c>
      <c r="P635" s="3" t="n">
        <v>0</v>
      </c>
      <c r="Q635" s="3" t="inlineStr">
        <is>
          <t>None — no dependent function stands behind it</t>
        </is>
      </c>
      <c r="R635" s="3" t="inlineStr">
        <is>
          <t>No dependent function — it reads its inputs and answers</t>
        </is>
      </c>
      <c r="S635" s="3" t="inlineStr">
        <is>
          <t>—</t>
        </is>
      </c>
      <c r="T635" s="3" t="inlineStr">
        <is>
          <t>—</t>
        </is>
      </c>
      <c r="U635" s="3" t="inlineStr">
        <is>
          <t>ACTIVE</t>
        </is>
      </c>
      <c r="V635" s="3" t="inlineStr">
        <is>
          <t>2026-09-12</t>
        </is>
      </c>
      <c r="W635" s="3" t="n"/>
      <c r="X635" s="3" t="n"/>
      <c r="Y635" s="3" t="inlineStr">
        <is>
          <t>NOTHING OPEN</t>
        </is>
      </c>
    </row>
    <row r="636" ht="30" customHeight="1">
      <c r="A636" s="3" t="inlineStr">
        <is>
          <t>MK-XS-F-089</t>
        </is>
      </c>
      <c r="B636" s="3" t="inlineStr">
        <is>
          <t>scheduleWeeklySummary</t>
        </is>
      </c>
      <c r="C636" s="3" t="inlineStr">
        <is>
          <t>src/services/notifications.ts</t>
        </is>
      </c>
      <c r="D636" s="3" t="n">
        <v>186</v>
      </c>
      <c r="E636" s="3" t="inlineStr">
        <is>
          <t>1 · ACTION</t>
        </is>
      </c>
      <c r="F636" s="3" t="inlineStr">
        <is>
          <t>── Weekly summary notification ────────────────────────────────────</t>
        </is>
      </c>
      <c r="G636" s="11" t="inlineStr">
        <is>
          <t>cancels the existing summary, then schedules a weekly one on Monday at 09:00</t>
        </is>
      </c>
      <c r="H636" s="3" t="inlineStr">
        <is>
          <t>Schedules the Monday 9 am weekly summary, replacing any existing one. Not a calculation.</t>
        </is>
      </c>
      <c r="I636" s="3" t="inlineStr">
        <is>
          <t>READ BY HAND 2026-08-26 — checked line by line against the code</t>
        </is>
      </c>
      <c r="J636" s="3" t="inlineStr">
        <is>
          <t>Nothing is handed to it</t>
        </is>
      </c>
      <c r="K636" s="3" t="inlineStr">
        <is>
          <t>NOT DECLARED — the code does not say what it gives back</t>
        </is>
      </c>
      <c r="L636" s="3" t="inlineStr">
        <is>
          <t>—</t>
        </is>
      </c>
      <c r="M636" s="3" t="inlineStr">
        <is>
          <t>None found in this function — anything it assumes comes from the functions it depends on.</t>
        </is>
      </c>
      <c r="N636" s="3" t="inlineStr">
        <is>
          <t>No</t>
        </is>
      </c>
      <c r="O636" s="3" t="inlineStr">
        <is>
          <t>—</t>
        </is>
      </c>
      <c r="P636" s="3" t="n">
        <v>0</v>
      </c>
      <c r="Q636" s="3" t="inlineStr">
        <is>
          <t>None — no dependent function stands behind it</t>
        </is>
      </c>
      <c r="R636" s="3" t="inlineStr">
        <is>
          <t>No dependent function — it reads its inputs and answers</t>
        </is>
      </c>
      <c r="S636" s="3" t="inlineStr">
        <is>
          <t>—</t>
        </is>
      </c>
      <c r="T636" s="3" t="inlineStr">
        <is>
          <t>—</t>
        </is>
      </c>
      <c r="U636" s="3" t="inlineStr">
        <is>
          <t>ACTIVE</t>
        </is>
      </c>
      <c r="V636" s="3" t="inlineStr">
        <is>
          <t>2026-09-12</t>
        </is>
      </c>
      <c r="W636" s="3" t="n"/>
      <c r="X636" s="3" t="n"/>
      <c r="Y636" s="3" t="inlineStr">
        <is>
          <t>NOTHING OPEN</t>
        </is>
      </c>
    </row>
    <row r="637" ht="45" customHeight="1">
      <c r="A637" s="3" t="inlineStr">
        <is>
          <t>MK-XS-F-090</t>
        </is>
      </c>
      <c r="B637" s="3" t="inlineStr">
        <is>
          <t>addNotificationResponseListener</t>
        </is>
      </c>
      <c r="C637" s="3" t="inlineStr">
        <is>
          <t>src/services/notifications.ts</t>
        </is>
      </c>
      <c r="D637" s="3" t="n">
        <v>221</v>
      </c>
      <c r="E637" s="3" t="inlineStr">
        <is>
          <t>3 · DEPENDENT (feeds an action only)</t>
        </is>
      </c>
      <c r="F637" s="3" t="inlineStr">
        <is>
          <t>── Listen for notification taps ───────────────────────────────────</t>
        </is>
      </c>
      <c r="G637" s="11" t="inlineStr">
        <is>
          <t>screen = response.notification.request.content.data.screen as string</t>
        </is>
      </c>
      <c r="H637" s="3" t="inlineStr">
        <is>
          <t>Screen is response.notification.request.content.data.screen as string.</t>
        </is>
      </c>
      <c r="I637" s="3" t="inlineStr">
        <is>
          <t>READ FROM THE CODE — rendered from the expressions the function runs</t>
        </is>
      </c>
      <c r="J637" s="3" t="inlineStr">
        <is>
          <t>Nothing is handed to it</t>
        </is>
      </c>
      <c r="K637" s="3" t="inlineStr">
        <is>
          <t>NOT DECLARED — the code does not say what it gives back</t>
        </is>
      </c>
      <c r="L637" s="3" t="inlineStr">
        <is>
          <t>—</t>
        </is>
      </c>
      <c r="M637" s="3" t="inlineStr">
        <is>
          <t>None found in this function — anything it assumes comes from the functions it depends on.</t>
        </is>
      </c>
      <c r="N637" s="3" t="inlineStr">
        <is>
          <t>No</t>
        </is>
      </c>
      <c r="O637" s="3" t="inlineStr">
        <is>
          <t>—</t>
        </is>
      </c>
      <c r="P637" s="3" t="n">
        <v>0</v>
      </c>
      <c r="Q637" s="3" t="inlineStr">
        <is>
          <t>None — no dependent function stands behind it</t>
        </is>
      </c>
      <c r="R637" s="3" t="inlineStr">
        <is>
          <t>No dependent function — it reads its inputs and answers</t>
        </is>
      </c>
      <c r="S637" s="3" t="inlineStr">
        <is>
          <t>—</t>
        </is>
      </c>
      <c r="T637" s="3" t="inlineStr">
        <is>
          <t>—</t>
        </is>
      </c>
      <c r="U637" s="3" t="inlineStr">
        <is>
          <t>ACTIVE</t>
        </is>
      </c>
      <c r="V637" s="3" t="inlineStr">
        <is>
          <t>2026-08-27</t>
        </is>
      </c>
      <c r="W637" s="3" t="n"/>
      <c r="X637" s="3" t="n"/>
      <c r="Y637" s="3" t="inlineStr">
        <is>
          <t>NOTHING OPEN</t>
        </is>
      </c>
    </row>
    <row r="638" ht="60" customHeight="1">
      <c r="A638" s="3" t="inlineStr">
        <is>
          <t>MK-XS-F-091</t>
        </is>
      </c>
      <c r="B638" s="3" t="inlineStr">
        <is>
          <t>scheduleSsWindowReminder</t>
        </is>
      </c>
      <c r="C638" s="3" t="inlineStr">
        <is>
          <t>src/services/notifications.ts</t>
        </is>
      </c>
      <c r="D638" s="3" t="n">
        <v>253</v>
      </c>
      <c r="E638" s="3" t="inlineStr">
        <is>
          <t>2 · DISPLAYED</t>
        </is>
      </c>
      <c r="F638" s="3" t="inlineStr">
        <is>
          <t>── Social Security claim-window reminder (design r18, built pre-48 per founder decision) ── Fires the month the claim window opens (their 62nd-birthday month), 10:00 on the 1st.</t>
        </is>
      </c>
      <c r="G638" s="11" t="inlineStr">
        <is>
          <t>id = 'ss − window − reminder'
fire at = the date opens year, opens month1 − 1, 1, 10, 0, 0
false   when fire at.get time() ≤ date.now()
the answer = true</t>
        </is>
      </c>
      <c r="H638" s="3" t="inlineStr">
        <is>
          <t>Id is 'ss minus window minus reminder'. Fire at: the date opens year, opens month1 minus 1, 1, 10, 0, 0. When fire at.get time() is at most date.now(), it answers false. The answer is true.</t>
        </is>
      </c>
      <c r="I638" s="3" t="inlineStr">
        <is>
          <t>PARTLY READ — some of the code is still showing through; needs a hand pass</t>
        </is>
      </c>
      <c r="J638" s="3" t="inlineStr">
        <is>
          <t>1. opensYear: number
2. opensMonth1: number</t>
        </is>
      </c>
      <c r="K638" s="3" t="inlineStr">
        <is>
          <t>NOT DECLARED — the code does not say what it gives back</t>
        </is>
      </c>
      <c r="L638" s="3" t="inlineStr">
        <is>
          <t>NOT FOUND — a screen calls it, but the words printed beside its answer could not be traced automatically. Needs reading.</t>
        </is>
      </c>
      <c r="M638" s="3" t="inlineStr">
        <is>
          <t>· Uses today's date from the device clock, so the answer changes by itself overnight.</t>
        </is>
      </c>
      <c r="N638" s="3" t="inlineStr">
        <is>
          <t>Yes</t>
        </is>
      </c>
      <c r="O638" s="3" t="inlineStr">
        <is>
          <t>—</t>
        </is>
      </c>
      <c r="P638" s="3" t="n">
        <v>0</v>
      </c>
      <c r="Q638" s="3" t="inlineStr">
        <is>
          <t>None — no dependent function stands behind it</t>
        </is>
      </c>
      <c r="R638" s="3" t="inlineStr">
        <is>
          <t>No dependent function — it reads its inputs and answers</t>
        </is>
      </c>
      <c r="S638" s="3" t="inlineStr">
        <is>
          <t>—</t>
        </is>
      </c>
      <c r="T638" s="3" t="inlineStr">
        <is>
          <t>—</t>
        </is>
      </c>
      <c r="U638" s="3" t="inlineStr">
        <is>
          <t>ACTIVE</t>
        </is>
      </c>
      <c r="V638" s="3" t="inlineStr">
        <is>
          <t>2026-08-27</t>
        </is>
      </c>
      <c r="W638" s="3" t="n"/>
      <c r="X638" s="3" t="n"/>
      <c r="Y638" s="3" t="inlineStr">
        <is>
          <t>NOTHING OPEN</t>
        </is>
      </c>
    </row>
    <row r="639" ht="60" customHeight="1">
      <c r="A639" s="3" t="inlineStr">
        <is>
          <t>MK-XS-F-092</t>
        </is>
      </c>
      <c r="B639" s="3" t="inlineStr">
        <is>
          <t>parseReceiptWithOCR</t>
        </is>
      </c>
      <c r="C639" s="3" t="inlineStr">
        <is>
          <t>src/services/receiptOCR.ts</t>
        </is>
      </c>
      <c r="D639" s="3" t="n">
        <v>40</v>
      </c>
      <c r="E639" s="3" t="inlineStr">
        <is>
          <t>4 · BRINGS DATA IN</t>
        </is>
      </c>
      <c r="F639" s="3" t="inlineStr">
        <is>
          <t>Sends a receipt image to Google Cloud Vision API for OCR, then parses the raw text to extract store, total, date, category.</t>
        </is>
      </c>
      <c r="G639" s="11" t="inlineStr">
        <is>
          <t>the answer = nothing
json = await response.json()
raw text = json.responses.[0].full text annotation.text (or '' when missing or zero)
nothing   when raw text is missing</t>
        </is>
      </c>
      <c r="H639" s="3" t="inlineStr">
        <is>
          <t>The answer is no answer. Json is await response.json(). Raw text is json.responses.[0].full text annotation.text (or '' — when missing or zero). When raw text is missing, it answers no answer.</t>
        </is>
      </c>
      <c r="I639" s="3" t="inlineStr">
        <is>
          <t>PARTLY READ — some of the code is still showing through; needs a hand pass</t>
        </is>
      </c>
      <c r="J639" s="3" t="inlineStr">
        <is>
          <t>imageUri: string</t>
        </is>
      </c>
      <c r="K639" s="3" t="inlineStr">
        <is>
          <t>Promise&lt;ParsedReceipt | null&gt;</t>
        </is>
      </c>
      <c r="L639" s="3" t="inlineStr">
        <is>
          <t>—</t>
        </is>
      </c>
      <c r="M639" s="3" t="inlineStr">
        <is>
          <t>None found in this function — anything it assumes comes from the functions it depends on.</t>
        </is>
      </c>
      <c r="N639" s="3" t="inlineStr">
        <is>
          <t>No</t>
        </is>
      </c>
      <c r="O639" s="3" t="inlineStr">
        <is>
          <t>MK-XS-F-094 parseReceiptText</t>
        </is>
      </c>
      <c r="P639" s="3" t="n">
        <v>107</v>
      </c>
      <c r="Q639" s="3" t="inlineStr">
        <is>
          <t>1. MK-XS-F-094 parseReceiptText
2. MK-XS-F-144 guessCategory
3. MK-CF-F-204 line
4. MK-CF-F-132 map
5. MK-XS-F-058 parseReceipt
6. MK-XS-F-093 stripNonMoney
7. MK-CF-F-203 MONTH
8. MK-XS-F-180 declareFigures
9. MK-ST-F-052 toNum
10. MK-CF-O-010 theMonth
11. MK-XS-F-122 n
12. MK-CF-F-155 cash
13. MK-CF-O-002 expenses
14. MK-CF-O-003 thisMonth
15. MK-CF-F-151 actualSpending
16. MK-CF-F-150 debtPaymentsCountedAsExpenses
17. MK-CF-F-153 radar
18. MK-CF-F-149 recurringDebtPayments
19. MK-CF-F-005 actualMonthFlow
20. MK-CF-F-156 plannedMonthFlow
21. MK-CF-F-148 inMonth
22. MK-CF-F-191 ym
23. MK-ST-F-056 has
24. MK-CF-F-022 paymentShape
25. MK-CF-F-152 isRadarItem
26. MK-CF-F-023 requiredPayment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MK-ST-F-039 on
43. MK-ST-F-027 accountId
44. MK-NW-F-057 annualCoupon
45. MK-NW-F-056 bondInfo
46. MK-NW-F-064 bondRateSensitivity
47. MK-NW-F-061 bondSummary
48. MK-NW-F-055 isBond
49. MK-ST-F-065 isoLocalDate
50. MK-NW-F-072 rowOf
51. MK-CF-F-069 benefitActiveMonths
52. MK-CF-F-072 currentRetirementIncomeMonthly
53. MK-CF-F-173 earnerWages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MK-CF-F-177 wageGrossByMonth
66. MK-PL-F-012 waterfall
67. MK-CF-F-008 spendByMonth
68. MK-ST-F-047 activeCurrency
69. MK-NW-F-060 approxYTM
70. MK-NW-F-069 priceAtYield
71. MK-NW-F-011 assetClassOf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MK-NW-F-119 estimatedAccrued
96. MK-NW-F-008 incomeBearingClassOf
97. MK-CF-F-100 taxableIncomeFor
98. MK-CF-F-074 tipsAnnual
99. MK-CF-F-165 salaryMonths
100. MK-CF-F-003 categoryMonthly
101. MK-ST-F-010 nameEvidence
102. MK-CF-F-099 deductionFor
103. MK-CF-F-081 salaryActiveMonths
104. MK-XS-F-147 call
105. MK-CF-F-187 seniorDeductionFor
106. MK-XS-F-064 currentIdToken
107. MK-XS-F-112 relayUrl</t>
        </is>
      </c>
      <c r="R639" s="3" t="inlineStr">
        <is>
          <t>1. MK-XS-F-144 guessCategory → MK-XS-F-094 parseReceiptText → MK-XS-F-092 parseReceiptWithOCR
2. MONTH (already above — a loop) → MK-CF-O-010 theMonth → MK-CF-F-203 MONTH → MK-CF-F-204 line → MK-XS-F-094 parseReceiptText → MK-XS-F-092 parseReceiptWithOCR
3. MK-CF-F-155 cash → MK-CF-O-010 theMonth → MK-CF-F-203 MONTH → MK-CF-F-204 line → MK-XS-F-094 parseReceiptText → MK-XS-F-092 parseReceiptWithOCR
4. MK-CF-O-002 expenses → MK-CF-O-010 theMonth → MK-CF-F-203 MONTH → MK-CF-F-204 line → MK-XS-F-094 parseReceiptText → MK-XS-F-092 parseReceiptWithOCR
5. MK-CF-O-003 thisMonth → MK-CF-O-010 theMonth → MK-CF-F-203 MONTH → MK-CF-F-204 line → MK-XS-F-094 parseReceiptText → MK-XS-F-092 parseReceiptWithOCR
6. MK-XS-F-180 declareFigures → MK-CF-F-204 line → MK-XS-F-094 parseReceiptText → MK-XS-F-092 parseReceiptWithOCR
7. MK-CF-F-132 map → MK-XS-F-094 parseReceiptText → MK-XS-F-092 parseReceiptWithOCR
8. MK-CF-O-010 theMonth → MK-CF-F-203 MONTH → MK-CF-F-204 line → MK-XS-F-058 parseReceipt → MK-XS-F-094 parseReceiptText → MK-XS-F-092 parseReceiptWithOCR
9. … and 4 more paths</t>
        </is>
      </c>
      <c r="S639" s="3" t="inlineStr">
        <is>
          <t>—</t>
        </is>
      </c>
      <c r="T639" s="3" t="inlineStr">
        <is>
          <t>—</t>
        </is>
      </c>
      <c r="U639" s="3" t="inlineStr">
        <is>
          <t>ACTIVE</t>
        </is>
      </c>
      <c r="V639" s="3" t="inlineStr">
        <is>
          <t>2026-08-27</t>
        </is>
      </c>
      <c r="W639" s="3" t="n"/>
      <c r="X639" s="3" t="n"/>
      <c r="Y639" s="3" t="inlineStr">
        <is>
          <t>NOTHING OPEN</t>
        </is>
      </c>
    </row>
    <row r="640" ht="45" customHeight="1">
      <c r="A640" s="3" t="inlineStr">
        <is>
          <t>MK-XS-F-093</t>
        </is>
      </c>
      <c r="B640" s="3" t="inlineStr">
        <is>
          <t>stripNonMoney</t>
        </is>
      </c>
      <c r="C640" s="3" t="inlineStr">
        <is>
          <t>src/services/receiptOCR.ts</t>
        </is>
      </c>
      <c r="D640" s="3" t="n">
        <v>109</v>
      </c>
      <c r="E640" s="3" t="inlineStr">
        <is>
          <t>3 · DEPENDENT</t>
        </is>
      </c>
      <c r="F640" s="3" t="inlineStr">
        <is>
          <t>A DATE IS NOT MONEY.</t>
        </is>
      </c>
      <c r="G640" s="11" t="inlineStr">
        <is>
          <t>the answer = the line with dates (30.04.24, 04/30/24, 2024-04-30) and times (08:30, 7:54:10) blanked out</t>
        </is>
      </c>
      <c r="H640" s="3" t="inlineStr">
        <is>
          <t>Blanks the dates and times on a receipt line so only the money figures remain for reading. No arithmetic.</t>
        </is>
      </c>
      <c r="I640" s="3" t="inlineStr">
        <is>
          <t>READ BY HAND 2026-08-26 — checked line by line against the code</t>
        </is>
      </c>
      <c r="J640" s="3" t="inlineStr">
        <is>
          <t>line: string</t>
        </is>
      </c>
      <c r="K640" s="3" t="inlineStr">
        <is>
          <t>string</t>
        </is>
      </c>
      <c r="L640" s="3" t="inlineStr">
        <is>
          <t>—</t>
        </is>
      </c>
      <c r="M640" s="3" t="inlineStr">
        <is>
          <t>None found in this function — anything it assumes comes from the functions it depends on.</t>
        </is>
      </c>
      <c r="N640" s="3" t="inlineStr">
        <is>
          <t>Yes</t>
        </is>
      </c>
      <c r="O640" s="3" t="inlineStr">
        <is>
          <t>—</t>
        </is>
      </c>
      <c r="P640" s="3" t="n">
        <v>0</v>
      </c>
      <c r="Q640" s="3" t="inlineStr">
        <is>
          <t>None — no dependent function stands behind it</t>
        </is>
      </c>
      <c r="R640" s="3" t="inlineStr">
        <is>
          <t>No dependent function — it reads its inputs and answers</t>
        </is>
      </c>
      <c r="S640" s="3" t="inlineStr">
        <is>
          <t>—</t>
        </is>
      </c>
      <c r="T640" s="3" t="inlineStr">
        <is>
          <t>—</t>
        </is>
      </c>
      <c r="U640" s="3" t="inlineStr">
        <is>
          <t>ACTIVE</t>
        </is>
      </c>
      <c r="V640" s="3" t="inlineStr">
        <is>
          <t>2026-09-12</t>
        </is>
      </c>
      <c r="W640" s="3" t="n"/>
      <c r="X640" s="3" t="n"/>
      <c r="Y640" s="3" t="inlineStr">
        <is>
          <t>NOTHING OPEN</t>
        </is>
      </c>
    </row>
    <row r="641" ht="60" customHeight="1">
      <c r="A641" s="3" t="inlineStr">
        <is>
          <t>MK-XS-F-094</t>
        </is>
      </c>
      <c r="B641" s="3" t="inlineStr">
        <is>
          <t>parseReceiptText</t>
        </is>
      </c>
      <c r="C641" s="3" t="inlineStr">
        <is>
          <t>src/services/receiptOCR.ts</t>
        </is>
      </c>
      <c r="D641" s="3" t="n">
        <v>155</v>
      </c>
      <c r="E641" s="3" t="inlineStr">
        <is>
          <t>3 · DEPENDENT (feeds an action only)</t>
        </is>
      </c>
      <c r="F641" s="3" t="inlineStr">
        <is>
          <t>NOT DETERMINED — the code carries no note saying what this is for, and it has no row in the old inventory. Needs reading.</t>
        </is>
      </c>
      <c r="G641"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41"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41" s="3" t="inlineStr">
        <is>
          <t>PARTLY READ — some of the code is still showing through; needs a hand pass</t>
        </is>
      </c>
      <c r="J641" s="3" t="inlineStr">
        <is>
          <t>text: string</t>
        </is>
      </c>
      <c r="K641" s="3" t="inlineStr">
        <is>
          <t>ParsedReceipt</t>
        </is>
      </c>
      <c r="L641" s="3" t="inlineStr">
        <is>
          <t>—</t>
        </is>
      </c>
      <c r="M641" s="3" t="inlineStr">
        <is>
          <t>1. Uses a built-in strong t of 0.
2. Uses a built-in weak t of 0.
3. Uses a built-in subtotal of 0.
4. Uses a built-in largest safe of 0.
5. Uses today's date from the device clock, so the answer changes by itself overnight.</t>
        </is>
      </c>
      <c r="N641" s="3" t="inlineStr">
        <is>
          <t>No</t>
        </is>
      </c>
      <c r="O641" s="3" t="inlineStr">
        <is>
          <t>1. MK-XS-F-144 guessCategory
2. MK-CF-F-204 line
3. MK-CF-F-132 map
4. MK-XS-F-058 parseReceipt
5. MK-XS-F-093 stripNonMoney</t>
        </is>
      </c>
      <c r="P641" s="3" t="n">
        <v>106</v>
      </c>
      <c r="Q641" s="3" t="inlineStr">
        <is>
          <t>1. MK-XS-F-144 guessCategory
2. MK-CF-F-204 line
3. MK-CF-F-132 map
4. MK-XS-F-058 parseReceipt
5. MK-XS-F-093 stripNonMoney
6. MK-CF-F-203 MONTH
7. MK-XS-F-180 declareFigures
8. MK-ST-F-052 toNum
9. MK-CF-O-010 theMonth
10. MK-XS-F-122 n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MK-NW-F-112 yearlyInterest
40. MK-ST-F-048 currencySymbol
41. MK-ST-F-039 on
42. MK-ST-F-027 accountId
43. MK-NW-F-057 annualCoupon
44. MK-NW-F-056 bondInfo
45. MK-NW-F-064 bondRateSensitivity
46. MK-NW-F-061 bondSummary
47. MK-NW-F-055 isBond
48. MK-ST-F-065 isoLocalDate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MK-NW-F-011 assetClassOf
71. MK-NW-F-070 accruedInterestCaveat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MK-NW-F-119 estimatedAccrued
95. MK-NW-F-008 incomeBearingClassOf
96. MK-CF-F-100 taxableIncomeFor
97. MK-CF-F-074 tipsAnnual
98. MK-CF-F-165 salaryMonths
99. MK-CF-F-003 categoryMonthly
100. MK-ST-F-010 nameEvidence
101. MK-CF-F-099 deductionFor
102. MK-CF-F-081 salaryActiveMonths
103. MK-XS-F-147 call
104. MK-CF-F-187 seniorDeductionFor
105. MK-XS-F-064 currentIdToken
106. MK-XS-F-112 relayUrl</t>
        </is>
      </c>
      <c r="R641" s="3" t="inlineStr">
        <is>
          <t>1. MK-XS-F-144 guessCategory → MK-XS-F-094 parseReceiptText
2. MONTH (already above — a loop) → MK-CF-O-010 theMonth → MK-CF-F-203 MONTH → MK-CF-F-204 line → MK-XS-F-094 parseReceiptText
3. MK-XS-F-122 n → MK-CF-F-155 cash → MK-CF-O-010 theMonth → MK-CF-F-203 MONTH → MK-CF-F-204 line → MK-XS-F-094 parseReceiptText
4. MK-CF-F-151 actualSpending → MK-CF-O-002 expenses → MK-CF-O-010 theMonth → MK-CF-F-203 MONTH → MK-CF-F-204 line → MK-XS-F-094 parseReceiptText
5. MK-CF-F-150 debtPaymentsCountedAsExpenses → MK-CF-O-002 expenses → MK-CF-O-010 theMonth → MK-CF-F-203 MONTH → MK-CF-F-204 line → MK-XS-F-094 parseReceiptText
6. MK-CF-F-153 radar → MK-CF-O-002 expenses → MK-CF-O-010 theMonth → MK-CF-F-203 MONTH → MK-CF-F-204 line → MK-XS-F-094 parseReceiptText
7. MK-CF-F-149 recurringDebtPayments → MK-CF-O-002 expenses → MK-CF-O-010 theMonth → MK-CF-F-203 MONTH → MK-CF-F-204 line → MK-XS-F-094 parseReceiptText
8. MK-CF-F-005 actualMonthFlow → MK-CF-O-003 thisMonth → MK-CF-O-010 theMonth → MK-CF-F-203 MONTH → MK-CF-F-204 line → MK-XS-F-094 parseReceiptText
9. … and 5 more paths</t>
        </is>
      </c>
      <c r="S641" s="3" t="inlineStr">
        <is>
          <t>—</t>
        </is>
      </c>
      <c r="T641" s="3" t="inlineStr">
        <is>
          <t>—</t>
        </is>
      </c>
      <c r="U641" s="3" t="inlineStr">
        <is>
          <t>ACTIVE</t>
        </is>
      </c>
      <c r="V641" s="3" t="inlineStr">
        <is>
          <t>2026-08-27</t>
        </is>
      </c>
      <c r="W641" s="3" t="n"/>
      <c r="X641" s="3" t="n"/>
      <c r="Y641" s="3" t="inlineStr">
        <is>
          <t>NOTHING OPEN</t>
        </is>
      </c>
    </row>
    <row r="642" ht="60" customHeight="1">
      <c r="A642" s="3" t="inlineStr">
        <is>
          <t>MK-XS-F-095</t>
        </is>
      </c>
      <c r="B642" s="3" t="inlineStr">
        <is>
          <t>ocrAvailable</t>
        </is>
      </c>
      <c r="C642" s="3" t="inlineStr">
        <is>
          <t>src/services/receiptScan.ts</t>
        </is>
      </c>
      <c r="D642" s="3" t="n">
        <v>27</v>
      </c>
      <c r="E642" s="3" t="inlineStr">
        <is>
          <t>2 · DISPLAYED</t>
        </is>
      </c>
      <c r="F642" s="3" t="inlineStr">
        <is>
          <t>NOT DETERMINED — the code carries no note saying what this is for, and it has no row in the old inventory. Needs reading.</t>
        </is>
      </c>
      <c r="G642" s="11" t="inlineStr">
        <is>
          <t>the answer = true when the text-recognition module is present and usable</t>
        </is>
      </c>
      <c r="H642" s="3" t="inlineStr">
        <is>
          <t>Whether receipt scanning is available on this device. Not a calculation.</t>
        </is>
      </c>
      <c r="I642" s="3" t="inlineStr">
        <is>
          <t>READ BY HAND 2026-08-26 — checked line by line against the code</t>
        </is>
      </c>
      <c r="J642" s="3" t="inlineStr">
        <is>
          <t>Nothing is handed to it</t>
        </is>
      </c>
      <c r="K642" s="3" t="inlineStr">
        <is>
          <t>boolean</t>
        </is>
      </c>
      <c r="L642" s="3" t="inlineStr">
        <is>
          <t>NOT FOUND — a screen calls it, but the words printed beside its answer could not be traced automatically. Needs reading.</t>
        </is>
      </c>
      <c r="M642" s="3" t="inlineStr">
        <is>
          <t>None found in this function — anything it assumes comes from the functions it depends on.</t>
        </is>
      </c>
      <c r="N642" s="3" t="inlineStr">
        <is>
          <t>Yes</t>
        </is>
      </c>
      <c r="O642" s="3" t="inlineStr">
        <is>
          <t>—</t>
        </is>
      </c>
      <c r="P642" s="3" t="n">
        <v>0</v>
      </c>
      <c r="Q642" s="3" t="inlineStr">
        <is>
          <t>None — no dependent function stands behind it</t>
        </is>
      </c>
      <c r="R642" s="3" t="inlineStr">
        <is>
          <t>No dependent function — it reads its inputs and answers</t>
        </is>
      </c>
      <c r="S642" s="3" t="inlineStr">
        <is>
          <t>—</t>
        </is>
      </c>
      <c r="T642" s="3" t="inlineStr">
        <is>
          <t>—</t>
        </is>
      </c>
      <c r="U642" s="3" t="inlineStr">
        <is>
          <t>ACTIVE</t>
        </is>
      </c>
      <c r="V642" s="3" t="inlineStr">
        <is>
          <t>2026-09-12</t>
        </is>
      </c>
      <c r="W642" s="3" t="n"/>
      <c r="X642" s="3" t="n"/>
      <c r="Y642" s="3" t="inlineStr">
        <is>
          <t>NOTHING OPEN</t>
        </is>
      </c>
    </row>
    <row r="643" ht="60" customHeight="1">
      <c r="A643" s="3" t="inlineStr">
        <is>
          <t>MK-XS-F-096</t>
        </is>
      </c>
      <c r="B643" s="3" t="inlineStr">
        <is>
          <t>pickReceipt</t>
        </is>
      </c>
      <c r="C643" s="3" t="inlineStr">
        <is>
          <t>src/services/receiptScan.ts</t>
        </is>
      </c>
      <c r="D643" s="3" t="n">
        <v>55</v>
      </c>
      <c r="E643" s="3" t="inlineStr">
        <is>
          <t>2 · DISPLAYED</t>
        </is>
      </c>
      <c r="F643" s="3" t="inlineStr">
        <is>
          <t>Capture (camera) or pick (library) a receipt image; returns its uri or null if cancelled/denied.</t>
        </is>
      </c>
      <c r="G643"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43"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43" s="3" t="inlineStr">
        <is>
          <t>PARTLY READ — some of the code is still showing through; needs a hand pass</t>
        </is>
      </c>
      <c r="J643" s="3" t="inlineStr">
        <is>
          <t>source: 'camera' | 'library'</t>
        </is>
      </c>
      <c r="K643" s="3" t="inlineStr">
        <is>
          <t>Promise&lt;string | null&gt;</t>
        </is>
      </c>
      <c r="L643" s="3" t="inlineStr">
        <is>
          <t>NOT FOUND — a screen calls it, but the words printed beside its answer could not be traced automatically. Needs reading.</t>
        </is>
      </c>
      <c r="M643" s="3" t="inlineStr">
        <is>
          <t>None found in this function — anything it assumes comes from the functions it depends on.</t>
        </is>
      </c>
      <c r="N643" s="3" t="inlineStr">
        <is>
          <t>Yes</t>
        </is>
      </c>
      <c r="O643" s="3" t="inlineStr">
        <is>
          <t>MK-CF-F-204 line</t>
        </is>
      </c>
      <c r="P643" s="3" t="n">
        <v>103</v>
      </c>
      <c r="Q643" s="3" t="inlineStr">
        <is>
          <t>1. MK-CF-F-204 line
2. MK-CF-F-203 MONTH
3. MK-XS-F-180 declareFigures
4. MK-CF-O-010 theMonth
5. MK-CF-F-155 cash
6. MK-CF-O-002 expenses
7. MK-CF-O-003 thisMonth
8. MK-XS-F-122 n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MK-NW-F-112 yearlyInterest
37. MK-ST-F-048 currencySymbol
38. MK-ST-F-039 on
39. MK-ST-F-027 accountId
40. MK-NW-F-057 annualCoupon
41. MK-NW-F-056 bondInfo
42. MK-NW-F-064 bondRateSensitivity
43. MK-NW-F-061 bondSummary
44. MK-NW-F-055 isBond
45. MK-ST-F-065 isoLocalDate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MK-NW-F-011 assetClassOf
68. MK-NW-F-070 accruedInterestCaveat
69. MK-NW-F-058 yearsToMaturity
70. MK-CF-F-075 retirementIncomeMonthly
71. MK-CF-F-172 hasWage
72. MK-CF-F-062 equityRowValue
73. MK-CF-F-070 benefitAnnual
74. MK-CF-F-176 sumMonthsOverEarners
75. MK-CF-F-090 effectiveRate
76. MK-CF-F-180 enteredLandsAnnual
77. MK-CF-F-085 filingStatusOf
78. MK-CF-F-089 over65CountOf
79. MK-CF-F-082 salaryAnnual
80. MK-CF-F-086 stateRateOf
81. MK-CF-F-101 taxOwedFor
82. MK-CF-F-084 taxableAnnual
83. MK-CF-F-067 rentalList
84. MK-CF-F-063 rowVestYear
85. MK-CF-F-130 enteredMonthlyRaw
86. MK-CF-F-166 hasMonthlySalaryTable
87. MK-ST-F-036 reconcile
88. MK-CF-F-167 salaryCalendarYear
89. MK-CF-F-120 pctBaseMonthly
90. MK-CF-F-004 spendBuckets
91. MK-NW-F-119 estimatedAccrued
92. MK-NW-F-008 incomeBearingClassOf
93. MK-CF-F-100 taxableIncomeFor
94. MK-CF-F-074 tipsAnnual
95. MK-CF-F-165 salaryMonths
96. MK-CF-F-003 categoryMonthly
97. MK-ST-F-010 nameEvidence
98. MK-CF-F-099 deductionFor
99. MK-CF-F-081 salaryActiveMonths
100. MK-XS-F-147 call
101. MK-CF-F-187 seniorDeductionFor
102. MK-XS-F-064 currentIdToken
103. MK-XS-F-112 relayUrl</t>
        </is>
      </c>
      <c r="R643" s="3" t="inlineStr">
        <is>
          <t>1. MONTH (already above — a loop) → MK-CF-O-010 theMonth → MK-CF-F-203 MONTH → MK-CF-F-204 line → MK-XS-F-096 pickReceipt
2. MK-XS-F-122 n → MK-CF-F-155 cash → MK-CF-O-010 theMonth → MK-CF-F-203 MONTH → MK-CF-F-204 line → MK-XS-F-096 pickReceipt
3. MK-CF-F-151 actualSpending → MK-CF-O-002 expenses → MK-CF-O-010 theMonth → MK-CF-F-203 MONTH → MK-CF-F-204 line → MK-XS-F-096 pickReceipt
4. MK-CF-F-150 debtPaymentsCountedAsExpenses → MK-CF-O-002 expenses → MK-CF-O-010 theMonth → MK-CF-F-203 MONTH → MK-CF-F-204 line → MK-XS-F-096 pickReceipt
5. MK-CF-F-153 radar → MK-CF-O-002 expenses → MK-CF-O-010 theMonth → MK-CF-F-203 MONTH → MK-CF-F-204 line → MK-XS-F-096 pickReceipt
6. MK-CF-F-149 recurringDebtPayments → MK-CF-O-002 expenses → MK-CF-O-010 theMonth → MK-CF-F-203 MONTH → MK-CF-F-204 line → MK-XS-F-096 pickReceipt
7. MK-CF-F-005 actualMonthFlow → MK-CF-O-003 thisMonth → MK-CF-O-010 theMonth → MK-CF-F-203 MONTH → MK-CF-F-204 line → MK-XS-F-096 pickReceipt
8. MK-CF-F-156 plannedMonthFlow → MK-CF-O-003 thisMonth → MK-CF-O-010 theMonth → MK-CF-F-203 MONTH → MK-CF-F-204 line → MK-XS-F-096 pickReceipt
9. … and 1 more paths</t>
        </is>
      </c>
      <c r="S643" s="3" t="inlineStr">
        <is>
          <t>—</t>
        </is>
      </c>
      <c r="T643" s="3" t="inlineStr">
        <is>
          <t>—</t>
        </is>
      </c>
      <c r="U643" s="3" t="inlineStr">
        <is>
          <t>ACTIVE</t>
        </is>
      </c>
      <c r="V643" s="3" t="inlineStr">
        <is>
          <t>2026-08-27</t>
        </is>
      </c>
      <c r="W643" s="3" t="n"/>
      <c r="X643" s="3" t="n"/>
      <c r="Y643" s="3" t="inlineStr">
        <is>
          <t>NOTHING OPEN</t>
        </is>
      </c>
    </row>
    <row r="644" ht="60" customHeight="1">
      <c r="A644" s="3" t="inlineStr">
        <is>
          <t>MK-XS-F-097</t>
        </is>
      </c>
      <c r="B644" s="3" t="inlineStr">
        <is>
          <t>ocrReceipt</t>
        </is>
      </c>
      <c r="C644" s="3" t="inlineStr">
        <is>
          <t>src/services/receiptScan.ts</t>
        </is>
      </c>
      <c r="D644" s="3" t="n">
        <v>172</v>
      </c>
      <c r="E644" s="3" t="inlineStr">
        <is>
          <t>2 · DISPLAYED (presentation only)</t>
        </is>
      </c>
      <c r="F644" s="3" t="inlineStr">
        <is>
          <t>NOT DETERMINED — the code carries no note saying what this is for, and it has no row in the old inventory. Needs reading.</t>
        </is>
      </c>
      <c r="G644" s="11" t="inlineStr">
        <is>
          <t>raw = ''   when !ocr available()
res = await mlkit.recognize(uri)
text = res.text (or '' when missing)
the answer:
...parse receipt(text) = ...parse receipt(text)
raw = text</t>
        </is>
      </c>
      <c r="H644" s="3" t="inlineStr">
        <is>
          <t>When !ocr available(), it answers raw = ''. Res is await mlkit.recognize(uri). Text is res.text (or '' — when missing). The answer is ...parse receipt(text) = ...parse receipt(text); raw = text.</t>
        </is>
      </c>
      <c r="I644" s="3" t="inlineStr">
        <is>
          <t>PARTLY READ — some of the code is still showing through; needs a hand pass</t>
        </is>
      </c>
      <c r="J644" s="3" t="inlineStr">
        <is>
          <t>uri: string</t>
        </is>
      </c>
      <c r="K644" s="3" t="inlineStr">
        <is>
          <t>Promise&lt;</t>
        </is>
      </c>
      <c r="L644" s="3" t="inlineStr">
        <is>
          <t>NOT FOUND — a screen calls it, but the words printed beside its answer could not be traced automatically. Needs reading.</t>
        </is>
      </c>
      <c r="M644" s="3" t="inlineStr">
        <is>
          <t>None found in this function — anything it assumes comes from the functions it depends on.</t>
        </is>
      </c>
      <c r="N644" s="3" t="inlineStr">
        <is>
          <t>Yes</t>
        </is>
      </c>
      <c r="O644" s="3" t="inlineStr">
        <is>
          <t>1. MK-XS-F-095 ocrAvailable
2. MK-XS-F-058 parseReceipt</t>
        </is>
      </c>
      <c r="P644" s="3" t="n">
        <v>106</v>
      </c>
      <c r="Q644" s="3" t="inlineStr">
        <is>
          <t>1. MK-XS-F-095 ocrAvailable
2. MK-XS-F-058 parseReceipt
3. MK-CF-F-204 line
4. MK-CF-F-132 map
5. MK-XS-F-093 stripNonMoney
6. MK-ST-F-052 toNum
7. MK-CF-F-203 MONTH
8. MK-XS-F-180 declareFigures
9. MK-XS-F-122 n
10. MK-CF-O-010 theMonth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MK-NW-F-112 yearlyInterest
40. MK-ST-F-048 currencySymbol
41. MK-ST-F-039 on
42. MK-ST-F-027 accountId
43. MK-NW-F-057 annualCoupon
44. MK-NW-F-056 bondInfo
45. MK-NW-F-064 bondRateSensitivity
46. MK-NW-F-061 bondSummary
47. MK-NW-F-055 isBond
48. MK-ST-F-065 isoLocalDate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MK-NW-F-011 assetClassOf
71. MK-NW-F-070 accruedInterestCaveat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MK-NW-F-119 estimatedAccrued
95. MK-NW-F-008 incomeBearingClassOf
96. MK-CF-F-100 taxableIncomeFor
97. MK-CF-F-074 tipsAnnual
98. MK-CF-F-165 salaryMonths
99. MK-CF-F-003 categoryMonthly
100. MK-ST-F-010 nameEvidence
101. MK-CF-F-099 deductionFor
102. MK-CF-F-081 salaryActiveMonths
103. MK-XS-F-147 call
104. MK-CF-F-187 seniorDeductionFor
105. MK-XS-F-064 currentIdToken
106. MK-XS-F-112 relayUrl</t>
        </is>
      </c>
      <c r="R644" s="3" t="inlineStr">
        <is>
          <t>1. MK-XS-F-095 ocrAvailable → MK-XS-F-097 ocrReceipt
2. MONTH (already above — a loop) → MK-CF-O-010 theMonth → MK-CF-F-203 MONTH → MK-CF-F-204 line → MK-XS-F-058 parseReceipt → MK-XS-F-097 ocrReceipt
3. MK-CF-F-155 cash → MK-CF-O-010 theMonth → MK-CF-F-203 MONTH → MK-CF-F-204 line → MK-XS-F-058 parseReceipt → MK-XS-F-097 ocrReceipt
4. MK-CF-O-002 expenses → MK-CF-O-010 theMonth → MK-CF-F-203 MONTH → MK-CF-F-204 line → MK-XS-F-058 parseReceipt → MK-XS-F-097 ocrReceipt
5. MK-CF-O-003 thisMonth → MK-CF-O-010 theMonth → MK-CF-F-203 MONTH → MK-CF-F-204 line → MK-XS-F-058 parseReceipt → MK-XS-F-097 ocrReceipt
6. MK-XS-F-180 declareFigures → MK-CF-F-204 line → MK-XS-F-058 parseReceipt → MK-XS-F-097 ocrReceipt
7. MK-CF-F-132 map → MK-XS-F-058 parseReceipt → MK-XS-F-097 ocrReceipt
8. MK-XS-F-093 stripNonMoney → MK-XS-F-058 parseReceipt → MK-XS-F-097 ocrReceipt
9. … and 1 more paths</t>
        </is>
      </c>
      <c r="S644" s="3" t="inlineStr">
        <is>
          <t>—</t>
        </is>
      </c>
      <c r="T644" s="3" t="inlineStr">
        <is>
          <t>—</t>
        </is>
      </c>
      <c r="U644" s="3" t="inlineStr">
        <is>
          <t>ACTIVE</t>
        </is>
      </c>
      <c r="V644" s="3" t="inlineStr">
        <is>
          <t>2026-08-27</t>
        </is>
      </c>
      <c r="W644" s="3" t="n"/>
      <c r="X644" s="3" t="n"/>
      <c r="Y644" s="3" t="inlineStr">
        <is>
          <t>NOTHING OPEN</t>
        </is>
      </c>
    </row>
    <row r="645" ht="60" customHeight="1">
      <c r="A645" s="3" t="inlineStr">
        <is>
          <t>MK-XS-F-098</t>
        </is>
      </c>
      <c r="B645" s="3" t="inlineStr">
        <is>
          <t>setSyncProviderForTesting</t>
        </is>
      </c>
      <c r="C645" s="3" t="inlineStr">
        <is>
          <t>src/services/sync/index.ts</t>
        </is>
      </c>
      <c r="D645" s="3" t="n">
        <v>68</v>
      </c>
      <c r="E645" s="3" t="inlineStr">
        <is>
          <t>1 · ACTION</t>
        </is>
      </c>
      <c r="F645" s="3" t="inlineStr">
        <is>
          <t>NOT DETERMINED — the code carries no note saying what this is for, and it has no row in the old inventory. Needs reading.</t>
        </is>
      </c>
      <c r="G645" s="11" t="inlineStr">
        <is>
          <t>It records or announces something and returns no figure — no arithmetic of its own.</t>
        </is>
      </c>
      <c r="H645" s="3" t="inlineStr">
        <is>
          <t>It records or announces something and returns no figure — no arithmetic of its own.</t>
        </is>
      </c>
      <c r="I645" s="3" t="inlineStr">
        <is>
          <t>NO ARITHMETIC — there is no formula to state</t>
        </is>
      </c>
      <c r="J645" s="3" t="inlineStr">
        <is>
          <t>p: SyncProvider | null</t>
        </is>
      </c>
      <c r="K645" s="3" t="inlineStr">
        <is>
          <t>NOT DECLARED — the code does not say what it gives back</t>
        </is>
      </c>
      <c r="L645" s="3" t="inlineStr">
        <is>
          <t>—</t>
        </is>
      </c>
      <c r="M645" s="3" t="inlineStr">
        <is>
          <t>None found in this function — anything it assumes comes from the functions it depends on.</t>
        </is>
      </c>
      <c r="N645" s="3" t="inlineStr">
        <is>
          <t>No</t>
        </is>
      </c>
      <c r="O645" s="3" t="inlineStr">
        <is>
          <t>—</t>
        </is>
      </c>
      <c r="P645" s="3" t="n">
        <v>0</v>
      </c>
      <c r="Q645" s="3" t="inlineStr">
        <is>
          <t>None — no dependent function stands behind it</t>
        </is>
      </c>
      <c r="R645" s="3" t="inlineStr">
        <is>
          <t>No dependent function — it reads its inputs and answers</t>
        </is>
      </c>
      <c r="S645" s="3" t="inlineStr">
        <is>
          <t>—</t>
        </is>
      </c>
      <c r="T645" s="3" t="inlineStr">
        <is>
          <t>—</t>
        </is>
      </c>
      <c r="U645" s="3" t="inlineStr">
        <is>
          <t>ACTIVE</t>
        </is>
      </c>
      <c r="V645" s="3" t="inlineStr">
        <is>
          <t>2026-08-27</t>
        </is>
      </c>
      <c r="W645" s="3" t="n"/>
      <c r="X645" s="3" t="n"/>
      <c r="Y645" s="3" t="inlineStr">
        <is>
          <t>NOTHING OPEN</t>
        </is>
      </c>
    </row>
    <row r="646" ht="60" customHeight="1">
      <c r="A646" s="3" t="inlineStr">
        <is>
          <t>MK-XS-F-099</t>
        </is>
      </c>
      <c r="B646" s="3" t="inlineStr">
        <is>
          <t>activeSyncProvider</t>
        </is>
      </c>
      <c r="C646" s="3" t="inlineStr">
        <is>
          <t>src/services/sync/index.ts</t>
        </is>
      </c>
      <c r="D646" s="3" t="n">
        <v>89</v>
      </c>
      <c r="E646" s="3" t="inlineStr">
        <is>
          <t>2 · DISPLAYED</t>
        </is>
      </c>
      <c r="F646" s="3" t="inlineStr">
        <is>
          <t>The one lookup the UI uses.</t>
        </is>
      </c>
      <c r="G646" s="11" t="inlineStr">
        <is>
          <t>override provider   when override provider ! = undefined
new sandbox sync provider()   if typeof __DEV__ ! = 'undefined' and __DEV__
nothing   otherwise</t>
        </is>
      </c>
      <c r="H646" s="3" t="inlineStr">
        <is>
          <t>When override provider ! = undefined, it answers override provider. new sandbox sync provider() — when typeof __DEV__ ! = 'undefined' and __DEV__; no answer — otherwise.</t>
        </is>
      </c>
      <c r="I646" s="3" t="inlineStr">
        <is>
          <t>PARTLY READ — some of the code is still showing through; needs a hand pass</t>
        </is>
      </c>
      <c r="J646" s="3" t="inlineStr">
        <is>
          <t>Nothing is handed to it</t>
        </is>
      </c>
      <c r="K646" s="3" t="inlineStr">
        <is>
          <t>SyncProvider | null</t>
        </is>
      </c>
      <c r="L646" s="3" t="inlineStr">
        <is>
          <t>NOT FOUND — a screen calls it, but the words printed beside its answer could not be traced automatically. Needs reading.</t>
        </is>
      </c>
      <c r="M646" s="3" t="inlineStr">
        <is>
          <t>None found in this function — anything it assumes comes from the functions it depends on.</t>
        </is>
      </c>
      <c r="N646" s="3" t="inlineStr">
        <is>
          <t>Yes</t>
        </is>
      </c>
      <c r="O646" s="3" t="inlineStr">
        <is>
          <t>—</t>
        </is>
      </c>
      <c r="P646" s="3" t="n">
        <v>0</v>
      </c>
      <c r="Q646" s="3" t="inlineStr">
        <is>
          <t>None — no dependent function stands behind it</t>
        </is>
      </c>
      <c r="R646" s="3" t="inlineStr">
        <is>
          <t>No dependent function — it reads its inputs and answers</t>
        </is>
      </c>
      <c r="S646" s="3" t="inlineStr">
        <is>
          <t>—</t>
        </is>
      </c>
      <c r="T646" s="3" t="inlineStr">
        <is>
          <t>—</t>
        </is>
      </c>
      <c r="U646" s="3" t="inlineStr">
        <is>
          <t>ACTIVE</t>
        </is>
      </c>
      <c r="V646" s="3" t="inlineStr">
        <is>
          <t>2026-08-27</t>
        </is>
      </c>
      <c r="W646" s="3" t="n"/>
      <c r="X646" s="3" t="n"/>
      <c r="Y646" s="3" t="inlineStr">
        <is>
          <t>NOTHING OPEN</t>
        </is>
      </c>
    </row>
    <row r="647" ht="60" customHeight="1">
      <c r="A647" s="3" t="inlineStr">
        <is>
          <t>MK-XS-F-100</t>
        </is>
      </c>
      <c r="B647" s="3" t="inlineStr">
        <is>
          <t>connectionFreshness</t>
        </is>
      </c>
      <c r="C647" s="3" t="inlineStr">
        <is>
          <t>src/services/sync/index.ts</t>
        </is>
      </c>
      <c r="D647" s="3" t="n">
        <v>124</v>
      </c>
      <c r="E647" s="3" t="inlineStr">
        <is>
          <t>2 · DISPLAYED</t>
        </is>
      </c>
      <c r="F647" s="3" t="inlineStr">
        <is>
          <t>How old a connected account's last successful sync is.</t>
        </is>
      </c>
      <c r="G647" s="11" t="inlineStr">
        <is>
          <t>days = days since(last synced, now)
label = age label(last synced, now)
nothing   when days = nothing (or label = nothing when missing or zero)
the answer:
label = label
stale = is stale(last synced, now)
days old = days</t>
        </is>
      </c>
      <c r="H647" s="3" t="inlineStr">
        <is>
          <t>Days is days since(last synced, now). Label is age label(last synced, now). When days is missing (or label is missing — when missing or zero), it answers no answer. The answer is label = label; stale = is stale(last synced, now); days old = days.</t>
        </is>
      </c>
      <c r="I647" s="3" t="inlineStr">
        <is>
          <t>READ FROM THE CODE — rendered from the expressions the function runs</t>
        </is>
      </c>
      <c r="J647" s="3" t="inlineStr">
        <is>
          <t>1. lastSynced: string | null | undefined
2. now: number = Date.now()</t>
        </is>
      </c>
      <c r="K647" s="3" t="inlineStr">
        <is>
          <t>ConnectionFreshness | null</t>
        </is>
      </c>
      <c r="L647" s="3" t="inlineStr">
        <is>
          <t>NOT FOUND — a screen calls it, but the words printed beside its answer could not be traced automatically. Needs reading.</t>
        </is>
      </c>
      <c r="M647" s="3" t="inlineStr">
        <is>
          <t>· Uses today's date from the device clock, so the answer changes by itself overnight.</t>
        </is>
      </c>
      <c r="N647" s="3" t="inlineStr">
        <is>
          <t>Yes</t>
        </is>
      </c>
      <c r="O647" s="3" t="inlineStr">
        <is>
          <t>1. MK-ST-F-076 ageLabel
2. MK-XS-F-170 daysSince
3. MK-ST-F-077 isStale</t>
        </is>
      </c>
      <c r="P647" s="3" t="n">
        <v>3</v>
      </c>
      <c r="Q647" s="3" t="inlineStr">
        <is>
          <t>1. MK-ST-F-076 ageLabel
2. MK-XS-F-170 daysSince
3. MK-ST-F-077 isStale</t>
        </is>
      </c>
      <c r="R647" s="3" t="inlineStr">
        <is>
          <t>1. MK-XS-F-170 daysSince → MK-ST-F-076 ageLabel → MK-XS-F-100 connectionFreshness
2. MK-XS-F-170 daysSince → MK-XS-F-100 connectionFreshness
3. MK-XS-F-170 daysSince → MK-ST-F-077 isStale → MK-XS-F-100 connectionFreshness</t>
        </is>
      </c>
      <c r="S647" s="3" t="inlineStr">
        <is>
          <t>—</t>
        </is>
      </c>
      <c r="T647" s="3" t="inlineStr">
        <is>
          <t>—</t>
        </is>
      </c>
      <c r="U647" s="3" t="inlineStr">
        <is>
          <t>ACTIVE</t>
        </is>
      </c>
      <c r="V647" s="3" t="inlineStr">
        <is>
          <t>2026-10-01</t>
        </is>
      </c>
      <c r="W647" s="3" t="n"/>
      <c r="X647" s="3" t="n"/>
      <c r="Y647" s="3" t="inlineStr">
        <is>
          <t>NOTHING OPEN</t>
        </is>
      </c>
    </row>
    <row r="648" ht="45" customHeight="1">
      <c r="A648" s="3" t="inlineStr">
        <is>
          <t>MK-XS-F-101</t>
        </is>
      </c>
      <c r="B648" s="3" t="inlineStr">
        <is>
          <t>stAssetId</t>
        </is>
      </c>
      <c r="C648" s="3" t="inlineStr">
        <is>
          <t>src/services/sync/ingest.ts</t>
        </is>
      </c>
      <c r="D648" s="3" t="n">
        <v>57</v>
      </c>
      <c r="E648" s="3" t="inlineStr">
        <is>
          <t>1 · ACTION</t>
        </is>
      </c>
      <c r="F648" s="3" t="inlineStr">
        <is>
          <t>What do we call this connected account internally?</t>
        </is>
      </c>
      <c r="G648" s="11" t="inlineStr">
        <is>
          <t>the answer = 'st-' + the SnapTrade account identifier</t>
        </is>
      </c>
      <c r="H648" s="3" t="inlineStr">
        <is>
          <t>The app's identifier for a connected account: the institution's identifier with an 'st-' prefix. No arithmetic.</t>
        </is>
      </c>
      <c r="I648" s="3" t="inlineStr">
        <is>
          <t>READ BY HAND 2026-08-26 — checked line by line against the code</t>
        </is>
      </c>
      <c r="J648" s="3" t="inlineStr">
        <is>
          <t>snapTradeAccountId: string</t>
        </is>
      </c>
      <c r="K648" s="3" t="inlineStr">
        <is>
          <t>NOT DECLARED — the code does not say what it gives back</t>
        </is>
      </c>
      <c r="L648" s="3" t="inlineStr">
        <is>
          <t>—</t>
        </is>
      </c>
      <c r="M648" s="3" t="inlineStr">
        <is>
          <t>None found in this function — anything it assumes comes from the functions it depends on.</t>
        </is>
      </c>
      <c r="N648" s="3" t="inlineStr">
        <is>
          <t>Yes</t>
        </is>
      </c>
      <c r="O648" s="3" t="inlineStr">
        <is>
          <t>—</t>
        </is>
      </c>
      <c r="P648" s="3" t="n">
        <v>0</v>
      </c>
      <c r="Q648" s="3" t="inlineStr">
        <is>
          <t>None — no dependent function stands behind it</t>
        </is>
      </c>
      <c r="R648" s="3" t="inlineStr">
        <is>
          <t>No dependent function — it reads its inputs and answers</t>
        </is>
      </c>
      <c r="S648" s="3" t="inlineStr">
        <is>
          <t>—</t>
        </is>
      </c>
      <c r="T648" s="3" t="inlineStr">
        <is>
          <t>ACCOUNT_IDENTITY</t>
        </is>
      </c>
      <c r="U648" s="3" t="inlineStr">
        <is>
          <t>ACTIVE</t>
        </is>
      </c>
      <c r="V648" s="3" t="inlineStr">
        <is>
          <t>2026-09-12</t>
        </is>
      </c>
      <c r="W648" s="3" t="n"/>
      <c r="X648" s="3" t="n"/>
      <c r="Y648" s="3" t="inlineStr">
        <is>
          <t>NOTHING OPEN</t>
        </is>
      </c>
    </row>
    <row r="649" ht="60" customHeight="1">
      <c r="A649" s="3" t="inlineStr">
        <is>
          <t>MK-XS-F-102</t>
        </is>
      </c>
      <c r="B649" s="3" t="inlineStr">
        <is>
          <t>ingestSync</t>
        </is>
      </c>
      <c r="C649" s="3" t="inlineStr">
        <is>
          <t>src/services/sync/ingest.ts</t>
        </is>
      </c>
      <c r="D649" s="3" t="n">
        <v>140</v>
      </c>
      <c r="E649" s="3" t="inlineStr">
        <is>
          <t>3 · DEPENDENT (feeds an action only)</t>
        </is>
      </c>
      <c r="F649" s="3" t="inlineStr">
        <is>
          <t>A broker just sent us data — what changes?</t>
        </is>
      </c>
      <c r="G649" s="11" t="inlineStr">
        <is>
          <t>accounts = [...existing accounts]
seen keys = { ...existing seen keys }
new transactions = []
needs wrapper confirm = []
direction of = []
st = account
guess = map account type(st.raw type, st.account category)
tail = string(st.number).slice(-4)   if st.number
''   otherwise
mask = `••${tail}`   if ÷ ^\d{4}$ ÷ .test(tail)
undefined   otherwise
inst = st.institution name.trim().to lower case()
asset id = prior.asset id (or st asset id(st.id) when missing)
… the first steps only — the rest of the body needs reading by hand.</t>
        </is>
      </c>
      <c r="H649" s="3" t="inlineStr">
        <is>
          <t>Accounts is [...existing accounts]. Seen keys is { ...existing seen keys }. New transactions is []. Needs wrapper confirm is []. Direction of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Only the first steps are shown; the rest of the body needs reading by hand.</t>
        </is>
      </c>
      <c r="I649" s="3" t="inlineStr">
        <is>
          <t>PARTLY READ — some of the code is still showing through; needs a hand pass</t>
        </is>
      </c>
      <c r="J649" s="3" t="inlineStr">
        <is>
          <t>Nothing is handed to it</t>
        </is>
      </c>
      <c r="K649" s="3" t="inlineStr">
        <is>
          <t>NOT DECLARED — the code does not say what it gives back</t>
        </is>
      </c>
      <c r="L649" s="3" t="inlineStr">
        <is>
          <t>—</t>
        </is>
      </c>
      <c r="M649"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49" s="3" t="inlineStr">
        <is>
          <t>No</t>
        </is>
      </c>
      <c r="O649"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MK-XS-F-184 theirCost
14. MK-ST-F-012 toLedgerRow
15. MK-ST-F-021 toNumber</t>
        </is>
      </c>
      <c r="P649" s="3" t="n">
        <v>39</v>
      </c>
      <c r="Q649"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MK-XS-F-184 theirCost
14. MK-ST-F-012 toLedgerRow
15. MK-ST-F-021 toNumber
16. MK-NW-F-025 accountDisplayName
17. MK-ST-F-056 has
18. MK-XS-F-122 n
19. MK-ST-F-027 accountId
20. MK-ST-F-014 importKey
21. MK-ST-F-010 nameEvidence
22. MK-ST-F-007 classifyEvent
23. MK-XS-F-146 prettyExpiry
24. MK-XS-F-145 flatSymbol
25. MK-ST-F-060 verdict
26. MK-ST-F-053 money
27. MK-ST-F-058 numberOrUndefined
28. MK-ST-F-018 readMoney
29. MK-ST-F-019 signed
30. MK-NW-F-024 accountLastFour
31. MK-ST-F-039 on
32. MK-NW-F-012 taxTreatmentOf
33. MK-NW-F-023 wrapperWord
34. MK-XS-F-147 call
35. MK-ST-F-049 formatMoney
36. MK-XS-F-064 currentIdToken
37. MK-XS-F-112 relayUrl
38. MK-ST-F-048 currencySymbol
39. MK-ST-F-047 activeCurrency</t>
        </is>
      </c>
      <c r="R649" s="3" t="inlineStr">
        <is>
          <t>1. accountDisplayNames (already above — a loop) → MK-NW-F-025 accountDisplayName → MK-NW-F-026 accountDisplayNames → MK-XS-F-102 ingestSync
2. MK-NW-F-024 accountLastFour → MK-NW-F-025 accountDisplayName → MK-NW-F-026 accountDisplayNames → MK-XS-F-102 ingestSync
3. MK-ST-F-039 on → MK-NW-F-025 accountDisplayName → MK-NW-F-026 accountDisplayNames → MK-XS-F-102 ingestSync
4. MK-NW-F-012 taxTreatmentOf → MK-NW-F-025 accountDisplayName → MK-NW-F-026 accountDisplayNames → MK-XS-F-102 ingestSync
5. MK-NW-F-023 wrapperWord → MK-NW-F-025 accountDisplayName → MK-NW-F-026 accountDisplayNames → MK-XS-F-102 ingestSync
6. MK-ST-F-056 has → MK-NW-F-026 accountDisplayNames → MK-XS-F-102 ingestSync
7. MK-CF-F-132 map → MK-NW-F-026 accountDisplayNames → MK-XS-F-102 ingestSync
8. MK-XS-F-122 n → MK-NW-F-026 accountDisplayNames → MK-XS-F-102 ingestSync
9. … and 5 more paths</t>
        </is>
      </c>
      <c r="S649" s="3" t="inlineStr">
        <is>
          <t>—</t>
        </is>
      </c>
      <c r="T649" s="3" t="inlineStr">
        <is>
          <t>SYNC_ONE_ACCOUNT</t>
        </is>
      </c>
      <c r="U649" s="3" t="inlineStr">
        <is>
          <t>ACTIVE</t>
        </is>
      </c>
      <c r="V649" s="3" t="inlineStr">
        <is>
          <t>2026-10-05</t>
        </is>
      </c>
      <c r="W649" s="3" t="n"/>
      <c r="X649" s="3" t="n"/>
      <c r="Y649" s="3" t="inlineStr">
        <is>
          <t>NOTHING OPEN</t>
        </is>
      </c>
    </row>
    <row r="650" ht="60" customHeight="1">
      <c r="A650" s="3" t="inlineStr">
        <is>
          <t>MK-XS-F-103</t>
        </is>
      </c>
      <c r="B650" s="3" t="inlineStr">
        <is>
          <t>confirmWrapper</t>
        </is>
      </c>
      <c r="C650" s="3" t="inlineStr">
        <is>
          <t>src/services/sync/ingest.ts</t>
        </is>
      </c>
      <c r="D650" s="3" t="n">
        <v>384</v>
      </c>
      <c r="E650" s="3" t="inlineStr">
        <is>
          <t>3 · DEPENDENT (feeds an action only)</t>
        </is>
      </c>
      <c r="F650" s="3" t="inlineStr">
        <is>
          <t>Mark an account's wrapper as USER-CONFIRMED — future syncs never override it.</t>
        </is>
      </c>
      <c r="G650" s="11" t="inlineStr">
        <is>
          <t>for each of accounts: ...each = ...each
kind = kind
tax bucket = tax bucket
wrapper confirmed = true   if asset id = asset id
each   otherwise</t>
        </is>
      </c>
      <c r="H650" s="3" t="inlineStr">
        <is>
          <t>for each of accounts: ...each = ...each; kind = kind; tax bucket = tax bucket; wrapper confirmed = true — when asset id = asset id; each — otherwise.</t>
        </is>
      </c>
      <c r="I650" s="3" t="inlineStr">
        <is>
          <t>READ FROM THE CODE — rendered from the expressions the function runs</t>
        </is>
      </c>
      <c r="J650" s="3" t="inlineStr">
        <is>
          <t>1. accounts: AssetAccount[]
2. assetId: string
3. kind: string
4. taxBucket: AssetAccount['tax_bucket']</t>
        </is>
      </c>
      <c r="K650" s="3" t="inlineStr">
        <is>
          <t>AssetAccount[]</t>
        </is>
      </c>
      <c r="L650" s="3" t="inlineStr">
        <is>
          <t>—</t>
        </is>
      </c>
      <c r="M650" s="3" t="inlineStr">
        <is>
          <t>None found in this function — anything it assumes comes from the functions it depends on.</t>
        </is>
      </c>
      <c r="N650" s="3" t="inlineStr">
        <is>
          <t>No</t>
        </is>
      </c>
      <c r="O650" s="3" t="inlineStr">
        <is>
          <t>MK-CF-F-132 map</t>
        </is>
      </c>
      <c r="P650" s="3" t="n">
        <v>1</v>
      </c>
      <c r="Q650" s="3" t="inlineStr">
        <is>
          <t>MK-CF-F-132 map</t>
        </is>
      </c>
      <c r="R650" s="3" t="inlineStr">
        <is>
          <t>MK-CF-F-132 map → MK-XS-F-103 confirmWrapper</t>
        </is>
      </c>
      <c r="S650" s="3" t="inlineStr">
        <is>
          <t>—</t>
        </is>
      </c>
      <c r="T650" s="3" t="inlineStr">
        <is>
          <t>CONFIRM_TAX_TYPE</t>
        </is>
      </c>
      <c r="U650" s="3" t="inlineStr">
        <is>
          <t>ACTIVE</t>
        </is>
      </c>
      <c r="V650" s="3" t="inlineStr">
        <is>
          <t>2026-08-27</t>
        </is>
      </c>
      <c r="W650" s="3" t="n"/>
      <c r="X650" s="3" t="n"/>
      <c r="Y650" s="3" t="inlineStr">
        <is>
          <t>NOTHING OPEN</t>
        </is>
      </c>
    </row>
    <row r="651" ht="60" customHeight="1">
      <c r="A651" s="3" t="inlineStr">
        <is>
          <t>MK-XS-F-104</t>
        </is>
      </c>
      <c r="B651" s="3" t="inlineStr">
        <is>
          <t>mapAccountType</t>
        </is>
      </c>
      <c r="C651" s="3" t="inlineStr">
        <is>
          <t>src/services/sync/snaptrade.ts</t>
        </is>
      </c>
      <c r="D651" s="3" t="n">
        <v>124</v>
      </c>
      <c r="E651" s="3" t="inlineStr">
        <is>
          <t>3 · DEPENDENT (feeds an action only)</t>
        </is>
      </c>
      <c r="F651" s="3" t="inlineStr">
        <is>
          <t>What kind of account is this, and how is it taxed?</t>
        </is>
      </c>
      <c r="G651"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'TAXABLE'
confident = false   when has('savings')
kind = 'college_529'
tax bucket = 'TAXABLE'
confident = true   when has('529', 'education')
the answer:
kind = 'brokerage'
tax bucket = 'TAXABLE'
confident = true
… the first steps only — the rest of the body needs reading by hand.</t>
        </is>
      </c>
      <c r="H651"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'TAXABLE'; confident = false. When has('529', 'education'), it answers kind = 'college_529'; tax bucket = 'TAXABLE'; confident = true. The answer is kind = 'brokerage'; tax bucket = 'TAXABLE'; confident = true. Only the first steps are shown; the rest of the body needs reading by hand.</t>
        </is>
      </c>
      <c r="I651" s="3" t="inlineStr">
        <is>
          <t>PARTLY READ — some of the code is still showing through; needs a hand pass</t>
        </is>
      </c>
      <c r="J651" s="3" t="inlineStr">
        <is>
          <t>1. rawType: string | null | undefined
2. category?: string | null</t>
        </is>
      </c>
      <c r="K651" s="3" t="inlineStr">
        <is>
          <t>WrapperGuess</t>
        </is>
      </c>
      <c r="L651" s="3" t="inlineStr">
        <is>
          <t>—</t>
        </is>
      </c>
      <c r="M651" s="3" t="inlineStr">
        <is>
          <t>None found in this function — anything it assumes comes from the functions it depends on.</t>
        </is>
      </c>
      <c r="N651" s="3" t="inlineStr">
        <is>
          <t>No</t>
        </is>
      </c>
      <c r="O651" s="3" t="inlineStr">
        <is>
          <t>MK-ST-F-056 has</t>
        </is>
      </c>
      <c r="P651" s="3" t="n">
        <v>1</v>
      </c>
      <c r="Q651" s="3" t="inlineStr">
        <is>
          <t>MK-ST-F-056 has</t>
        </is>
      </c>
      <c r="R651" s="3" t="inlineStr">
        <is>
          <t>MK-ST-F-056 has → MK-XS-F-104 mapAccountType</t>
        </is>
      </c>
      <c r="S651" s="3" t="inlineStr">
        <is>
          <t>—</t>
        </is>
      </c>
      <c r="T651" s="3" t="inlineStr">
        <is>
          <t>ACCOUNT_TAX_TYPE_GUESS</t>
        </is>
      </c>
      <c r="U651" s="3" t="inlineStr">
        <is>
          <t>ACTIVE</t>
        </is>
      </c>
      <c r="V651" s="3" t="inlineStr">
        <is>
          <t>2026-08-27</t>
        </is>
      </c>
      <c r="W651" s="3" t="n"/>
      <c r="X651" s="3" t="n"/>
      <c r="Y651" s="3" t="inlineStr">
        <is>
          <t>NOTHING OPEN</t>
        </is>
      </c>
    </row>
    <row r="652" ht="60" customHeight="1">
      <c r="A652" s="3" t="inlineStr">
        <is>
          <t>MK-XS-F-105</t>
        </is>
      </c>
      <c r="B652" s="3" t="inlineStr">
        <is>
          <t>mapPosition</t>
        </is>
      </c>
      <c r="C652" s="3" t="inlineStr">
        <is>
          <t>src/services/sync/snaptrade.ts</t>
        </is>
      </c>
      <c r="D652" s="3" t="n">
        <v>220</v>
      </c>
      <c r="E652" s="3" t="inlineStr">
        <is>
          <t>3 · DEPENDENT (feeds an action only)</t>
        </is>
      </c>
      <c r="F652" s="3" t="inlineStr">
        <is>
          <t>B7 (founder brief 2026-08-20): classification lives in the ONE function — name first, broker tag as fallback only.</t>
        </is>
      </c>
      <c r="G652" s="11" t="inlineStr">
        <is>
          <t>sym = flat symbol(p)
shares = units (or 0 when missing)
nothing   when sym is missing (or shares = 0 when missing or zero)
code = (sym.type.code ?? '').to lower case()
tick = (sym.raw symbol or sym.symbol or '').to upper case()</t>
        </is>
      </c>
      <c r="H652" s="3" t="inlineStr">
        <is>
          <t>Sym is flat symbol(p). Shares is units (or 0 — when missing). When sym is missing (or shares = 0 — when missing or zero), it answers no answer. Code is (sym.type.code ?? '').to lower case(). Tick is (sym.raw symbol or sym.symbol or '').to upper case().</t>
        </is>
      </c>
      <c r="I652" s="3" t="inlineStr">
        <is>
          <t>PARTLY READ — some of the code is still showing through; needs a hand pass</t>
        </is>
      </c>
      <c r="J652" s="3" t="inlineStr">
        <is>
          <t>p: StPosition</t>
        </is>
      </c>
      <c r="K652" s="3" t="inlineStr">
        <is>
          <t>MappedPosition | null</t>
        </is>
      </c>
      <c r="L652" s="3" t="inlineStr">
        <is>
          <t>—</t>
        </is>
      </c>
      <c r="M652" s="3" t="inlineStr">
        <is>
          <t>1. If units is missing it uses 0.
2. If quantity is missing it uses 0.</t>
        </is>
      </c>
      <c r="N652" s="3" t="inlineStr">
        <is>
          <t>No</t>
        </is>
      </c>
      <c r="O652" s="3" t="inlineStr">
        <is>
          <t>1. MK-ST-F-011 classifyHoldingClass
2. MK-XS-F-145 flatSymbol
3. MK-CF-F-132 map</t>
        </is>
      </c>
      <c r="P652" s="3" t="n">
        <v>9</v>
      </c>
      <c r="Q652" s="3" t="inlineStr">
        <is>
          <t>1. MK-ST-F-011 classifyHoldingClass
2. MK-XS-F-145 flatSymbol
3. MK-CF-F-132 map
4. MK-ST-F-010 nameEvidence
5. MK-XS-F-147 call
6. MK-ST-F-056 has
7. MK-ST-F-027 accountId
8. MK-XS-F-064 currentIdToken
9. MK-XS-F-112 relayUrl</t>
        </is>
      </c>
      <c r="R652" s="3" t="inlineStr">
        <is>
          <t>1. MK-ST-F-027 accountId → MK-XS-F-147 call → MK-ST-F-010 nameEvidence → MK-ST-F-011 classifyHoldingClass → MK-XS-F-105 mapPosition
2. MK-XS-F-064 currentIdToken → MK-XS-F-147 call → MK-ST-F-010 nameEvidence → MK-ST-F-011 classifyHoldingClass → MK-XS-F-105 mapPosition
3. MK-XS-F-112 relayUrl → MK-XS-F-147 call → MK-ST-F-010 nameEvidence → MK-ST-F-011 classifyHoldingClass → MK-XS-F-105 mapPosition
4. MK-ST-F-056 has → MK-ST-F-010 nameEvidence → MK-ST-F-011 classifyHoldingClass → MK-XS-F-105 mapPosition
5. MK-CF-F-132 map → MK-ST-F-010 nameEvidence → MK-ST-F-011 classifyHoldingClass → MK-XS-F-105 mapPosition
6. MK-XS-F-145 flatSymbol → MK-XS-F-105 mapPosition
7. MK-CF-F-132 map → MK-XS-F-105 mapPosition</t>
        </is>
      </c>
      <c r="S652" s="3" t="inlineStr">
        <is>
          <t>—</t>
        </is>
      </c>
      <c r="T652" s="3" t="inlineStr">
        <is>
          <t>CLASS_FROM_BROKER</t>
        </is>
      </c>
      <c r="U652" s="3" t="inlineStr">
        <is>
          <t>ACTIVE</t>
        </is>
      </c>
      <c r="V652" s="3" t="inlineStr">
        <is>
          <t>2026-08-27</t>
        </is>
      </c>
      <c r="W652" s="3" t="n"/>
      <c r="X652" s="3" t="n"/>
      <c r="Y652" s="3" t="inlineStr">
        <is>
          <t>NOTHING OPEN</t>
        </is>
      </c>
    </row>
    <row r="653" ht="60" customHeight="1">
      <c r="A653" s="3" t="inlineStr">
        <is>
          <t>MK-XS-F-106</t>
        </is>
      </c>
      <c r="B653" s="3" t="inlineStr">
        <is>
          <t>mapOptionHolding</t>
        </is>
      </c>
      <c r="C653" s="3" t="inlineStr">
        <is>
          <t>src/services/sync/snaptrade.ts</t>
        </is>
      </c>
      <c r="D653" s="3" t="n">
        <v>310</v>
      </c>
      <c r="E653" s="3" t="inlineStr">
        <is>
          <t>3 · DEPENDENT (feeds an action only)</t>
        </is>
      </c>
      <c r="F653" s="3" t="inlineStr">
        <is>
          <t>What is this option position worth, and what do we call it?</t>
        </is>
      </c>
      <c r="G653" s="11" t="inlineStr">
        <is>
          <t>os = symbol.option symbol
contracts = units (or 0 when missing)
nothing   when os is missing (or contracts = 0 when missing or zero)
under = (os.underlying symbol.raw symbol or os.underlying symbol.symbol or os.ticker or '?').to upper case()
kind word = 'put'   if os.option type = 'PUT'
'call'   otherwise
strike = `$${os.strike price}`   if os.strike price ≠ nothing
''   otherwise</t>
        </is>
      </c>
      <c r="H653" s="3" t="inlineStr">
        <is>
          <t>Os is symbol.option symbol. Contracts is units (or 0 — when missing). When os is missing (or contracts = 0 — when missing or zero), it answers no answer. Under is (os.underlying symbol.raw symbol or os.underlying symbol.symbol or os.ticker or '?').to upper case(). Kind word is 'put' — when os.option type = 'PUT'; 'call' — otherwise. Strike is `$${os.strike price}` — when os.strike price is not no answer; '' — otherwise.</t>
        </is>
      </c>
      <c r="I653" s="3" t="inlineStr">
        <is>
          <t>PARTLY READ — some of the code is still showing through; needs a hand pass</t>
        </is>
      </c>
      <c r="J653" s="3" t="inlineStr">
        <is>
          <t>1. o: StOptionHolding
2. multiplier = 100</t>
        </is>
      </c>
      <c r="K653" s="3" t="inlineStr">
        <is>
          <t>MappedOption | null</t>
        </is>
      </c>
      <c r="L653" s="3" t="inlineStr">
        <is>
          <t>—</t>
        </is>
      </c>
      <c r="M653" s="3" t="inlineStr">
        <is>
          <t>1. If units is missing it uses 0.
2. If price is missing it uses 0.
3. Rounds the answer to two decimals (cents).</t>
        </is>
      </c>
      <c r="N653" s="3" t="inlineStr">
        <is>
          <t>No</t>
        </is>
      </c>
      <c r="O653" s="3" t="inlineStr">
        <is>
          <t>1. MK-ST-F-007 classifyEvent
2. MK-XS-F-146 prettyExpiry</t>
        </is>
      </c>
      <c r="P653" s="3" t="n">
        <v>3</v>
      </c>
      <c r="Q653" s="3" t="inlineStr">
        <is>
          <t>1. MK-ST-F-007 classifyEvent
2. MK-XS-F-146 prettyExpiry
3. MK-CF-F-132 map</t>
        </is>
      </c>
      <c r="R653" s="3" t="inlineStr">
        <is>
          <t>1. MK-ST-F-007 classifyEvent → MK-XS-F-106 mapOptionHolding
2. MK-CF-F-132 map → MK-XS-F-146 prettyExpiry → MK-XS-F-106 mapOptionHolding</t>
        </is>
      </c>
      <c r="S653" s="3" t="inlineStr">
        <is>
          <t>—</t>
        </is>
      </c>
      <c r="T653" s="3" t="inlineStr">
        <is>
          <t>OPTION_HOLDING</t>
        </is>
      </c>
      <c r="U653" s="3" t="inlineStr">
        <is>
          <t>ACTIVE</t>
        </is>
      </c>
      <c r="V653" s="3" t="inlineStr">
        <is>
          <t>2026-08-27</t>
        </is>
      </c>
      <c r="W653" s="3" t="n"/>
      <c r="X653" s="3" t="n"/>
      <c r="Y653" s="3" t="inlineStr">
        <is>
          <t>NOTHING OPEN</t>
        </is>
      </c>
    </row>
    <row r="654" ht="60" customHeight="1">
      <c r="A654" s="3" t="inlineStr">
        <is>
          <t>MK-XS-F-107</t>
        </is>
      </c>
      <c r="B654" s="3" t="inlineStr">
        <is>
          <t>mapActivityType</t>
        </is>
      </c>
      <c r="C654" s="3" t="inlineStr">
        <is>
          <t>src/services/sync/snaptrade.ts</t>
        </is>
      </c>
      <c r="D654" s="3" t="n">
        <v>372</v>
      </c>
      <c r="E654" s="3" t="inlineStr">
        <is>
          <t>3 · DEPENDENT (feeds an action only)</t>
        </is>
      </c>
      <c r="F654" s="3" t="inlineStr">
        <is>
          <t>A line arrived from the broker. Is this money you paid IN, money you took OUT, or something that happened inside the account?</t>
        </is>
      </c>
      <c r="G654"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54"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54" s="3" t="inlineStr">
        <is>
          <t>PARTLY READ — some of the code is still showing through; needs a hand pass</t>
        </is>
      </c>
      <c r="J654" s="3" t="inlineStr">
        <is>
          <t>a: StActivity</t>
        </is>
      </c>
      <c r="K654" s="3" t="inlineStr">
        <is>
          <t>MappedActivity</t>
        </is>
      </c>
      <c r="L654" s="3" t="inlineStr">
        <is>
          <t>—</t>
        </is>
      </c>
      <c r="M654" s="3" t="inlineStr">
        <is>
          <t>· If amount is missing it uses 0.</t>
        </is>
      </c>
      <c r="N654" s="3" t="inlineStr">
        <is>
          <t>No</t>
        </is>
      </c>
      <c r="O654" s="3" t="inlineStr">
        <is>
          <t>MK-CF-F-155 cash</t>
        </is>
      </c>
      <c r="P654" s="3" t="n">
        <v>2</v>
      </c>
      <c r="Q654" s="3" t="inlineStr">
        <is>
          <t>1. MK-CF-F-155 cash
2. MK-XS-F-122 n</t>
        </is>
      </c>
      <c r="R654" s="3" t="inlineStr">
        <is>
          <t>MK-XS-F-122 n → MK-CF-F-155 cash → MK-XS-F-107 mapActivityType</t>
        </is>
      </c>
      <c r="S654" s="3" t="inlineStr">
        <is>
          <t>—</t>
        </is>
      </c>
      <c r="T654" s="3" t="inlineStr">
        <is>
          <t>TRANSLATE_BROKER_WORD</t>
        </is>
      </c>
      <c r="U654" s="3" t="inlineStr">
        <is>
          <t>ACTIVE</t>
        </is>
      </c>
      <c r="V654" s="3" t="inlineStr">
        <is>
          <t>2026-08-27</t>
        </is>
      </c>
      <c r="W654" s="3" t="n"/>
      <c r="X654" s="3" t="n"/>
      <c r="Y654" s="3" t="inlineStr">
        <is>
          <t>NOTHING OPEN</t>
        </is>
      </c>
    </row>
    <row r="655" ht="60" customHeight="1">
      <c r="A655" s="3" t="inlineStr">
        <is>
          <t>MK-XS-F-108</t>
        </is>
      </c>
      <c r="B655" s="3" t="inlineStr">
        <is>
          <t>activityKey</t>
        </is>
      </c>
      <c r="C655" s="3" t="inlineStr">
        <is>
          <t>src/services/sync/snaptrade.ts</t>
        </is>
      </c>
      <c r="D655" s="3" t="n">
        <v>453</v>
      </c>
      <c r="E655" s="3" t="inlineStr">
        <is>
          <t>3 · DEPENDENT (feeds an action only)</t>
        </is>
      </c>
      <c r="F655" s="3" t="inlineStr">
        <is>
          <t>── duplicate-proofing ───────────────────────────────────────────────────────────────────────── SnapTrade activity ids can change when they reprocess history, so identity = the composite of everything that makes the row THAT row.</t>
        </is>
      </c>
      <c r="G655" s="11" t="inlineStr">
        <is>
          <t>the answer = import key(account, trade date or settlement date, type, amount, units, security, reference, description)</t>
        </is>
      </c>
      <c r="H655" s="3" t="inlineStr">
        <is>
          <t>The stable identity of one imported activity row, built by MK-ST-F-014 importKey from the account, the date, the type, the amount, the units, the security, the reference and the description.</t>
        </is>
      </c>
      <c r="I655" s="3" t="inlineStr">
        <is>
          <t>READ BY HAND 2026-08-26 — checked line by line against the code</t>
        </is>
      </c>
      <c r="J655" s="3" t="inlineStr">
        <is>
          <t>1. accountId: string
2. a: StActivity</t>
        </is>
      </c>
      <c r="K655" s="3" t="inlineStr">
        <is>
          <t>string</t>
        </is>
      </c>
      <c r="L655" s="3" t="inlineStr">
        <is>
          <t>—</t>
        </is>
      </c>
      <c r="M655" s="3" t="inlineStr">
        <is>
          <t>None found in this function — anything it assumes comes from the functions it depends on.</t>
        </is>
      </c>
      <c r="N655" s="3" t="inlineStr">
        <is>
          <t>No</t>
        </is>
      </c>
      <c r="O655" s="3" t="inlineStr">
        <is>
          <t>1. MK-ST-F-027 accountId
2. MK-ST-F-014 importKey</t>
        </is>
      </c>
      <c r="P655" s="3" t="n">
        <v>2</v>
      </c>
      <c r="Q655" s="3" t="inlineStr">
        <is>
          <t>1. MK-ST-F-027 accountId
2. MK-ST-F-014 importKey</t>
        </is>
      </c>
      <c r="R655" s="3" t="inlineStr">
        <is>
          <t>1. MK-ST-F-027 accountId → MK-XS-F-108 activityKey
2. MK-ST-F-014 importKey → MK-XS-F-108 activityKey</t>
        </is>
      </c>
      <c r="S655" s="3" t="inlineStr">
        <is>
          <t>—</t>
        </is>
      </c>
      <c r="T655" s="3" t="inlineStr">
        <is>
          <t>ACTIVITY_IDENTITY</t>
        </is>
      </c>
      <c r="U655" s="3" t="inlineStr">
        <is>
          <t>ACTIVE</t>
        </is>
      </c>
      <c r="V655" s="3" t="inlineStr">
        <is>
          <t>2026-09-12</t>
        </is>
      </c>
      <c r="W655" s="3" t="n"/>
      <c r="X655" s="3" t="n"/>
      <c r="Y655" s="3" t="inlineStr">
        <is>
          <t>NOTHING OPEN</t>
        </is>
      </c>
    </row>
    <row r="656" ht="60" customHeight="1">
      <c r="A656" s="3" t="inlineStr">
        <is>
          <t>MK-XS-F-109</t>
        </is>
      </c>
      <c r="B656" s="3" t="inlineStr">
        <is>
          <t>dedupeActivities</t>
        </is>
      </c>
      <c r="C656" s="3" t="inlineStr">
        <is>
          <t>src/services/sync/snaptrade.ts</t>
        </is>
      </c>
      <c r="D656" s="3" t="n">
        <v>482</v>
      </c>
      <c r="E656" s="3" t="inlineStr">
        <is>
          <t>3 · DEPENDENT (feeds an action only)</t>
        </is>
      </c>
      <c r="F656" s="3" t="inlineStr">
        <is>
          <t>Which of these activities are new since the last sync?</t>
        </is>
      </c>
      <c r="G656" s="11" t="inlineStr">
        <is>
          <t>fresh = []
k = activity key(account id, a)
the answer = fresh</t>
        </is>
      </c>
      <c r="H656" s="3" t="inlineStr">
        <is>
          <t>Fresh is []. K is activity key(account id, a). The answer is fresh.</t>
        </is>
      </c>
      <c r="I656" s="3" t="inlineStr">
        <is>
          <t>READ FROM THE CODE — rendered from the expressions the function runs</t>
        </is>
      </c>
      <c r="J656" s="3" t="inlineStr">
        <is>
          <t>1. accountId: string
2. incoming: StActivity[]
3. seenKeys: Set&lt;string&gt;</t>
        </is>
      </c>
      <c r="K656" s="3" t="inlineStr">
        <is>
          <t>StActivity[]</t>
        </is>
      </c>
      <c r="L656" s="3" t="inlineStr">
        <is>
          <t>—</t>
        </is>
      </c>
      <c r="M656" s="3" t="inlineStr">
        <is>
          <t>None found in this function — anything it assumes comes from the functions it depends on.</t>
        </is>
      </c>
      <c r="N656" s="3" t="inlineStr">
        <is>
          <t>No</t>
        </is>
      </c>
      <c r="O656" s="3" t="inlineStr">
        <is>
          <t>1. MK-ST-F-027 accountId
2. MK-XS-F-108 activityKey
3. MK-ST-F-056 has</t>
        </is>
      </c>
      <c r="P656" s="3" t="n">
        <v>4</v>
      </c>
      <c r="Q656" s="3" t="inlineStr">
        <is>
          <t>1. MK-ST-F-027 accountId
2. MK-XS-F-108 activityKey
3. MK-ST-F-056 has
4. MK-ST-F-014 importKey</t>
        </is>
      </c>
      <c r="R656" s="3" t="inlineStr">
        <is>
          <t>1. MK-ST-F-027 accountId → MK-XS-F-109 dedupeActivities
2. MK-ST-F-027 accountId → MK-XS-F-108 activityKey → MK-XS-F-109 dedupeActivities
3. MK-ST-F-014 importKey → MK-XS-F-108 activityKey → MK-XS-F-109 dedupeActivities
4. MK-ST-F-056 has → MK-XS-F-109 dedupeActivities</t>
        </is>
      </c>
      <c r="S656" s="3" t="inlineStr">
        <is>
          <t>—</t>
        </is>
      </c>
      <c r="T656" s="3" t="inlineStr">
        <is>
          <t>ALREADY_SEEN_CHECK</t>
        </is>
      </c>
      <c r="U656" s="3" t="inlineStr">
        <is>
          <t>ACTIVE</t>
        </is>
      </c>
      <c r="V656" s="3" t="inlineStr">
        <is>
          <t>2026-08-27</t>
        </is>
      </c>
      <c r="W656" s="3" t="n"/>
      <c r="X656" s="3" t="n"/>
      <c r="Y656" s="3" t="inlineStr">
        <is>
          <t>NOTHING OPEN</t>
        </is>
      </c>
    </row>
    <row r="657" ht="60" customHeight="1">
      <c r="A657" s="3" t="inlineStr">
        <is>
          <t>MK-XS-F-110</t>
        </is>
      </c>
      <c r="B657" s="3" t="inlineStr">
        <is>
          <t>netCashSleeve</t>
        </is>
      </c>
      <c r="C657" s="3" t="inlineStr">
        <is>
          <t>src/services/sync/snaptrade.ts</t>
        </is>
      </c>
      <c r="D657" s="3" t="n">
        <v>523</v>
      </c>
      <c r="E657" s="3" t="inlineStr">
        <is>
          <t>3 · DEPENDENT (feeds an action only)</t>
        </is>
      </c>
      <c r="F657" s="3" t="inlineStr">
        <is>
          <t>── the cash sleeve, deduped ─────────────────────────────────────────────────────────────────── SnapTrade counts money-market (cash_equivalent) positions INSIDE balances.cash too.</t>
        </is>
      </c>
      <c r="G657" s="11" t="inlineStr">
        <is>
          <t>net = round((balances cash ?? 0) − mmf, 2 dp)
the answer:
0   if net &lt; 0 and net &gt; -1
net   otherwise</t>
        </is>
      </c>
      <c r="H657" s="3" t="inlineStr">
        <is>
          <t>Net is (balances cash ?? 0) minus mmf, to the cent. The answer is 0 — when net &lt; 0 and net &gt; -1; net — otherwise.</t>
        </is>
      </c>
      <c r="I657" s="3" t="inlineStr">
        <is>
          <t>PARTLY READ — some of the code is still showing through; needs a hand pass</t>
        </is>
      </c>
      <c r="J657" s="3" t="inlineStr">
        <is>
          <t>1. balancesCash: number | null | undefined
2. positions: MappedPosition[]</t>
        </is>
      </c>
      <c r="K657" s="3" t="inlineStr">
        <is>
          <t>number</t>
        </is>
      </c>
      <c r="L657" s="3" t="inlineStr">
        <is>
          <t>—</t>
        </is>
      </c>
      <c r="M657" s="3" t="inlineStr">
        <is>
          <t>1. If price is missing it uses 0.
2. If balances cash is missing it uses 0.
3. Rounds the answer to two decimals (cents).</t>
        </is>
      </c>
      <c r="N657" s="3" t="inlineStr">
        <is>
          <t>No</t>
        </is>
      </c>
      <c r="O657" s="3" t="inlineStr">
        <is>
          <t>—</t>
        </is>
      </c>
      <c r="P657" s="3" t="n">
        <v>0</v>
      </c>
      <c r="Q657" s="3" t="inlineStr">
        <is>
          <t>None — no dependent function stands behind it</t>
        </is>
      </c>
      <c r="R657" s="3" t="inlineStr">
        <is>
          <t>No dependent function — it reads its inputs and answers</t>
        </is>
      </c>
      <c r="S657" s="3" t="inlineStr">
        <is>
          <t>—</t>
        </is>
      </c>
      <c r="T657" s="3" t="inlineStr">
        <is>
          <t>UNINVESTED_CASH</t>
        </is>
      </c>
      <c r="U657" s="3" t="inlineStr">
        <is>
          <t>ACTIVE</t>
        </is>
      </c>
      <c r="V657" s="3" t="inlineStr">
        <is>
          <t>2026-08-27</t>
        </is>
      </c>
      <c r="W657" s="3" t="n"/>
      <c r="X657" s="3" t="n"/>
      <c r="Y657" s="3" t="inlineStr">
        <is>
          <t>NOTHING OPEN</t>
        </is>
      </c>
    </row>
    <row r="658" ht="60" customHeight="1">
      <c r="A658" s="3" t="inlineStr">
        <is>
          <t>MK-XS-F-111</t>
        </is>
      </c>
      <c r="B658" s="3" t="inlineStr">
        <is>
          <t>mergeHistoryFrom</t>
        </is>
      </c>
      <c r="C658" s="3" t="inlineStr">
        <is>
          <t>src/services/sync/snaptrade.ts</t>
        </is>
      </c>
      <c r="D658" s="3" t="n">
        <v>559</v>
      </c>
      <c r="E658" s="3" t="inlineStr">
        <is>
          <t>3 · DEPENDENT (feeds an action only)</t>
        </is>
      </c>
      <c r="F658" s="3" t="inlineStr">
        <is>
          <t>FOUNDER RULE 2026-08-04: record how far back the broker's OWN activity feed reaches, so a "past year" income figure can label itself honestly.</t>
        </is>
      </c>
      <c r="G658" s="11" t="inlineStr">
        <is>
          <t>earliest now = the first of dates
existing   when earliest now is missing
earliest now   when existing is missing
the answer:
earliest now   if earliest now &lt; existing
existing   otherwise</t>
        </is>
      </c>
      <c r="H658" s="3" t="inlineStr">
        <is>
          <t>Earliest now: the first of dates. When earliest now is missing, it answers existing. When existing is missing, it answers earliest now. The answer is earliest now — when earliest now &lt; existing; existing — otherwise.</t>
        </is>
      </c>
      <c r="I658" s="3" t="inlineStr">
        <is>
          <t>READ FROM THE CODE — rendered from the expressions the function runs</t>
        </is>
      </c>
      <c r="J658" s="3" t="inlineStr">
        <is>
          <t>1. existing: string | undefined
2. activityDates: (string | null | undefined)[]</t>
        </is>
      </c>
      <c r="K658" s="3" t="inlineStr">
        <is>
          <t>string | undefined</t>
        </is>
      </c>
      <c r="L658" s="3" t="inlineStr">
        <is>
          <t>—</t>
        </is>
      </c>
      <c r="M658" s="3" t="inlineStr">
        <is>
          <t>None found in this function — anything it assumes comes from the functions it depends on.</t>
        </is>
      </c>
      <c r="N658" s="3" t="inlineStr">
        <is>
          <t>No</t>
        </is>
      </c>
      <c r="O658" s="3" t="inlineStr">
        <is>
          <t>MK-CF-F-132 map</t>
        </is>
      </c>
      <c r="P658" s="3" t="n">
        <v>1</v>
      </c>
      <c r="Q658" s="3" t="inlineStr">
        <is>
          <t>MK-CF-F-132 map</t>
        </is>
      </c>
      <c r="R658" s="3" t="inlineStr">
        <is>
          <t>MK-CF-F-132 map → MK-XS-F-111 mergeHistoryFrom</t>
        </is>
      </c>
      <c r="S658" s="3" t="inlineStr">
        <is>
          <t>—</t>
        </is>
      </c>
      <c r="T658" s="3" t="inlineStr">
        <is>
          <t>HISTORY_DEPTH</t>
        </is>
      </c>
      <c r="U658" s="3" t="inlineStr">
        <is>
          <t>ACTIVE</t>
        </is>
      </c>
      <c r="V658" s="3" t="inlineStr">
        <is>
          <t>2026-08-27</t>
        </is>
      </c>
      <c r="W658" s="3" t="n"/>
      <c r="X658" s="3" t="n"/>
      <c r="Y658" s="3" t="inlineStr">
        <is>
          <t>NOTHING OPEN</t>
        </is>
      </c>
    </row>
    <row r="659" ht="60" customHeight="1">
      <c r="A659" s="3" t="inlineStr">
        <is>
          <t>MK-XS-F-112</t>
        </is>
      </c>
      <c r="B659" s="3" t="inlineStr">
        <is>
          <t>relayUrl</t>
        </is>
      </c>
      <c r="C659" s="3" t="inlineStr">
        <is>
          <t>src/services/sync/snaptradeClient.ts</t>
        </is>
      </c>
      <c r="D659" s="3" t="n">
        <v>35</v>
      </c>
      <c r="E659" s="3" t="inlineStr">
        <is>
          <t>3 · DEPENDENT</t>
        </is>
      </c>
      <c r="F659" s="3" t="inlineStr">
        <is>
          <t>NOT DETERMINED — the code carries no note saying what this is for, and it has no row in the old inventory. Needs reading.</t>
        </is>
      </c>
      <c r="G659" s="11" t="inlineStr">
        <is>
          <t>the answer = the relay address from the app config, else from the environment, else nothing</t>
        </is>
      </c>
      <c r="H659" s="3" t="inlineStr">
        <is>
          <t>Where the connection relay lives, read from the app configuration. Not a calculation.</t>
        </is>
      </c>
      <c r="I659" s="3" t="inlineStr">
        <is>
          <t>READ BY HAND 2026-08-26 — checked line by line against the code</t>
        </is>
      </c>
      <c r="J659" s="3" t="inlineStr">
        <is>
          <t>Nothing is handed to it</t>
        </is>
      </c>
      <c r="K659" s="3" t="inlineStr">
        <is>
          <t>string | null</t>
        </is>
      </c>
      <c r="L659" s="3" t="inlineStr">
        <is>
          <t>—</t>
        </is>
      </c>
      <c r="M659" s="3" t="inlineStr">
        <is>
          <t>None found in this function — anything it assumes comes from the functions it depends on.</t>
        </is>
      </c>
      <c r="N659" s="3" t="inlineStr">
        <is>
          <t>Yes</t>
        </is>
      </c>
      <c r="O659" s="3" t="inlineStr">
        <is>
          <t>—</t>
        </is>
      </c>
      <c r="P659" s="3" t="n">
        <v>0</v>
      </c>
      <c r="Q659" s="3" t="inlineStr">
        <is>
          <t>None — no dependent function stands behind it</t>
        </is>
      </c>
      <c r="R659" s="3" t="inlineStr">
        <is>
          <t>No dependent function — it reads its inputs and answers</t>
        </is>
      </c>
      <c r="S659" s="3" t="inlineStr">
        <is>
          <t>—</t>
        </is>
      </c>
      <c r="T659" s="3" t="inlineStr">
        <is>
          <t>—</t>
        </is>
      </c>
      <c r="U659" s="3" t="inlineStr">
        <is>
          <t>ACTIVE</t>
        </is>
      </c>
      <c r="V659" s="3" t="inlineStr">
        <is>
          <t>2026-09-12</t>
        </is>
      </c>
      <c r="W659" s="3" t="n"/>
      <c r="X659" s="3" t="n"/>
      <c r="Y659" s="3" t="inlineStr">
        <is>
          <t>NOTHING OPEN</t>
        </is>
      </c>
    </row>
    <row r="660" ht="60" customHeight="1">
      <c r="A660" s="3" t="inlineStr">
        <is>
          <t>MK-XS-F-113</t>
        </is>
      </c>
      <c r="B660" s="3" t="inlineStr">
        <is>
          <t>snaptradeConfigured</t>
        </is>
      </c>
      <c r="C660" s="3" t="inlineStr">
        <is>
          <t>src/services/sync/snaptradeClient.ts</t>
        </is>
      </c>
      <c r="D660" s="3" t="n">
        <v>60</v>
      </c>
      <c r="E660" s="3" t="inlineStr">
        <is>
          <t>1 · ACTION</t>
        </is>
      </c>
      <c r="F660" s="3" t="inlineStr">
        <is>
          <t>NOT DETERMINED — the code carries no note saying what this is for, and it has no row in the old inventory. Needs reading.</t>
        </is>
      </c>
      <c r="G660" s="11" t="inlineStr">
        <is>
          <t>!!relay url()</t>
        </is>
      </c>
      <c r="H660" s="3" t="inlineStr">
        <is>
          <t>!!relay url()</t>
        </is>
      </c>
      <c r="I660" s="3" t="inlineStr">
        <is>
          <t>READ FROM THE CODE — rendered from the expressions the function runs</t>
        </is>
      </c>
      <c r="J660" s="3" t="inlineStr">
        <is>
          <t>Nothing is handed to it</t>
        </is>
      </c>
      <c r="K660" s="3" t="inlineStr">
        <is>
          <t>NOT DECLARED — the code does not say what it gives back</t>
        </is>
      </c>
      <c r="L660" s="3" t="inlineStr">
        <is>
          <t>—</t>
        </is>
      </c>
      <c r="M660" s="3" t="inlineStr">
        <is>
          <t>None found in this function — anything it assumes comes from the functions it depends on.</t>
        </is>
      </c>
      <c r="N660" s="3" t="inlineStr">
        <is>
          <t>Yes</t>
        </is>
      </c>
      <c r="O660" s="3" t="inlineStr">
        <is>
          <t>MK-XS-F-112 relayUrl</t>
        </is>
      </c>
      <c r="P660" s="3" t="n">
        <v>1</v>
      </c>
      <c r="Q660" s="3" t="inlineStr">
        <is>
          <t>MK-XS-F-112 relayUrl</t>
        </is>
      </c>
      <c r="R660" s="3" t="inlineStr">
        <is>
          <t>MK-XS-F-112 relayUrl → MK-XS-F-113 snaptradeConfigured</t>
        </is>
      </c>
      <c r="S660" s="3" t="inlineStr">
        <is>
          <t>—</t>
        </is>
      </c>
      <c r="T660" s="3" t="inlineStr">
        <is>
          <t>—</t>
        </is>
      </c>
      <c r="U660" s="3" t="inlineStr">
        <is>
          <t>ACTIVE</t>
        </is>
      </c>
      <c r="V660" s="3" t="inlineStr">
        <is>
          <t>2026-08-27</t>
        </is>
      </c>
      <c r="W660" s="3" t="n"/>
      <c r="X660" s="3" t="n"/>
      <c r="Y660" s="3" t="inlineStr">
        <is>
          <t>NOTHING OPEN</t>
        </is>
      </c>
    </row>
    <row r="661" ht="60" customHeight="1">
      <c r="A661" s="3" t="inlineStr">
        <is>
          <t>MK-XS-F-114</t>
        </is>
      </c>
      <c r="B661" s="3" t="inlineStr">
        <is>
          <t>usdCash</t>
        </is>
      </c>
      <c r="C661" s="3" t="inlineStr">
        <is>
          <t>src/services/sync/snaptradeClient.ts</t>
        </is>
      </c>
      <c r="D661" s="3" t="n">
        <v>148</v>
      </c>
      <c r="E661" s="3" t="inlineStr">
        <is>
          <t>3 · DEPENDENT</t>
        </is>
      </c>
      <c r="F661" s="3" t="inlineStr">
        <is>
          <t>USD cash across the balances list (v1 is USD-only; other currencies are ignored, not guessed).</t>
        </is>
      </c>
      <c r="G661" s="11" t="inlineStr">
        <is>
          <t>the answer = Σ over balances in USD (or with no currency) of (cash, or 0)</t>
        </is>
      </c>
      <c r="H661" s="3" t="inlineStr">
        <is>
          <t>Adds up the cash balances a connected account reports in US dollars (a balance with no currency code counts as dollars). Other currencies are left out.</t>
        </is>
      </c>
      <c r="I661" s="3" t="inlineStr">
        <is>
          <t>READ BY HAND 2026-08-26 — checked line by line against the code</t>
        </is>
      </c>
      <c r="J661" s="3" t="inlineStr">
        <is>
          <t>balances: HoldingsPayload['balances'] | null | undefined</t>
        </is>
      </c>
      <c r="K661" s="3" t="inlineStr">
        <is>
          <t>number</t>
        </is>
      </c>
      <c r="L661" s="3" t="inlineStr">
        <is>
          <t>—</t>
        </is>
      </c>
      <c r="M661" s="3" t="inlineStr">
        <is>
          <t>· If cash is missing it uses 0.</t>
        </is>
      </c>
      <c r="N661" s="3" t="inlineStr">
        <is>
          <t>Yes</t>
        </is>
      </c>
      <c r="O661" s="3" t="inlineStr">
        <is>
          <t>—</t>
        </is>
      </c>
      <c r="P661" s="3" t="n">
        <v>0</v>
      </c>
      <c r="Q661" s="3" t="inlineStr">
        <is>
          <t>None — no dependent function stands behind it</t>
        </is>
      </c>
      <c r="R661" s="3" t="inlineStr">
        <is>
          <t>No dependent function — it reads its inputs and answers</t>
        </is>
      </c>
      <c r="S661" s="3" t="inlineStr">
        <is>
          <t>—</t>
        </is>
      </c>
      <c r="T661" s="3" t="inlineStr">
        <is>
          <t>—</t>
        </is>
      </c>
      <c r="U661" s="3" t="inlineStr">
        <is>
          <t>ACTIVE</t>
        </is>
      </c>
      <c r="V661" s="3" t="inlineStr">
        <is>
          <t>2026-09-12</t>
        </is>
      </c>
      <c r="W661" s="3" t="n"/>
      <c r="X661" s="3" t="n"/>
      <c r="Y661" s="3" t="inlineStr">
        <is>
          <t>NOTHING OPEN</t>
        </is>
      </c>
    </row>
    <row r="662" ht="60" customHeight="1">
      <c r="A662" s="3" t="inlineStr">
        <is>
          <t>MK-XS-F-115</t>
        </is>
      </c>
      <c r="B662" s="3" t="inlineStr">
        <is>
          <t>shouldDailySync</t>
        </is>
      </c>
      <c r="C662" s="3" t="inlineStr">
        <is>
          <t>src/services/sync/snaptradeSync.ts</t>
        </is>
      </c>
      <c r="D662" s="3" t="n">
        <v>38</v>
      </c>
      <c r="E662" s="3" t="inlineStr">
        <is>
          <t>3 · DEPENDENT</t>
        </is>
      </c>
      <c r="F662" s="3" t="inlineStr">
        <is>
          <t>NOT DETERMINED — the code carries no note saying what this is for, and it has no row in the old inventory. Needs reading.</t>
        </is>
      </c>
      <c r="G662" s="11" t="inlineStr">
        <is>
          <t>true   when last sync at is missing
t = date.parse(last sync at)
the answer = number.is na n(t) (or now − t &gt; 20 × 3600000 when missing or zero)</t>
        </is>
      </c>
      <c r="H662" s="3" t="inlineStr">
        <is>
          <t>When last sync at is missing, it answers true. T is date.parse(last sync at). The answer is number.is na n(t) (or now minus t &gt; 20 times 3600000 — when missing or zero).</t>
        </is>
      </c>
      <c r="I662" s="3" t="inlineStr">
        <is>
          <t>PARTLY READ — some of the code is still showing through; needs a hand pass</t>
        </is>
      </c>
      <c r="J662" s="3" t="inlineStr">
        <is>
          <t>1. lastSyncAt: string | null | undefined
2. now: number = Date.now()</t>
        </is>
      </c>
      <c r="K662" s="3" t="inlineStr">
        <is>
          <t>boolean</t>
        </is>
      </c>
      <c r="L662" s="3" t="inlineStr">
        <is>
          <t>—</t>
        </is>
      </c>
      <c r="M662" s="3" t="inlineStr">
        <is>
          <t>· Uses today's date from the device clock, so the answer changes by itself overnight.</t>
        </is>
      </c>
      <c r="N662" s="3" t="inlineStr">
        <is>
          <t>Yes</t>
        </is>
      </c>
      <c r="O662" s="3" t="inlineStr">
        <is>
          <t>—</t>
        </is>
      </c>
      <c r="P662" s="3" t="n">
        <v>0</v>
      </c>
      <c r="Q662" s="3" t="inlineStr">
        <is>
          <t>None — no dependent function stands behind it</t>
        </is>
      </c>
      <c r="R662" s="3" t="inlineStr">
        <is>
          <t>No dependent function — it reads its inputs and answers</t>
        </is>
      </c>
      <c r="S662" s="3" t="inlineStr">
        <is>
          <t>—</t>
        </is>
      </c>
      <c r="T662" s="3" t="inlineStr">
        <is>
          <t>—</t>
        </is>
      </c>
      <c r="U662" s="3" t="inlineStr">
        <is>
          <t>ACTIVE</t>
        </is>
      </c>
      <c r="V662" s="3" t="inlineStr">
        <is>
          <t>2026-08-27</t>
        </is>
      </c>
      <c r="W662" s="3" t="n"/>
      <c r="X662" s="3" t="n"/>
      <c r="Y662" s="3" t="inlineStr">
        <is>
          <t>NOTHING OPEN</t>
        </is>
      </c>
    </row>
    <row r="663" ht="60" customHeight="1">
      <c r="A663" s="3" t="inlineStr">
        <is>
          <t>MK-XS-F-116</t>
        </is>
      </c>
      <c r="B663" s="3" t="inlineStr">
        <is>
          <t>runSnapTradeSync</t>
        </is>
      </c>
      <c r="C663" s="3" t="inlineStr">
        <is>
          <t>src/services/sync/snaptradeSync.ts</t>
        </is>
      </c>
      <c r="D663" s="3" t="n">
        <v>144</v>
      </c>
      <c r="E663" s="3" t="inlineStr">
        <is>
          <t>2 · DISPLAYED</t>
        </is>
      </c>
      <c r="F663" s="3" t="inlineStr">
        <is>
          <t>Full sync. Returns the number of accounts synced (0 = nothing connected).</t>
        </is>
      </c>
      <c r="G663"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63"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63" s="3" t="inlineStr">
        <is>
          <t>PARTLY READ — some of the code is still showing through; needs a hand pass</t>
        </is>
      </c>
      <c r="J663" s="3" t="inlineStr">
        <is>
          <t>1. opts: { force?: boolean } = {}
2. reads the app's stored data</t>
        </is>
      </c>
      <c r="K663" s="3" t="inlineStr">
        <is>
          <t>Promise&lt;number&gt;</t>
        </is>
      </c>
      <c r="L663" s="3" t="inlineStr">
        <is>
          <t>NOT FOUND — a screen calls it, but the words printed beside its answer could not be traced automatically. Needs reading.</t>
        </is>
      </c>
      <c r="M663" s="3" t="inlineStr">
        <is>
          <t>· Uses today's date from the device clock, so the answer changes by itself overnight.</t>
        </is>
      </c>
      <c r="N663" s="3" t="inlineStr">
        <is>
          <t>Yes</t>
        </is>
      </c>
      <c r="O663" s="3" t="inlineStr">
        <is>
          <t>1. MK-XS-F-149 allActivities
2. MK-CF-F-132 map
3. MK-XS-F-115 shouldDailySync
4. MK-XS-F-113 snaptradeConfigured
5. MK-XS-F-101 stAssetId
6. MK-XS-F-114 usdCash</t>
        </is>
      </c>
      <c r="P663" s="3" t="n">
        <v>9</v>
      </c>
      <c r="Q663" s="3" t="inlineStr">
        <is>
          <t>1. MK-XS-F-149 allActivities
2. MK-CF-F-132 map
3. MK-XS-F-115 shouldDailySync
4. MK-XS-F-113 snaptradeConfigured
5. MK-XS-F-101 stAssetId
6. MK-XS-F-114 usdCash
7. MK-ST-F-027 accountId
8. MK-XS-F-148 unwrapActivities
9. MK-XS-F-112 relayUrl</t>
        </is>
      </c>
      <c r="R663"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63" s="3" t="inlineStr">
        <is>
          <t>—</t>
        </is>
      </c>
      <c r="T663" s="3" t="inlineStr">
        <is>
          <t>—</t>
        </is>
      </c>
      <c r="U663" s="3" t="inlineStr">
        <is>
          <t>ACTIVE</t>
        </is>
      </c>
      <c r="V663" s="3" t="inlineStr">
        <is>
          <t>2026-08-27</t>
        </is>
      </c>
      <c r="W663" s="3" t="n"/>
      <c r="X663" s="3" t="n"/>
      <c r="Y663" s="3" t="inlineStr">
        <is>
          <t>NOTHING OPEN</t>
        </is>
      </c>
    </row>
    <row r="664" ht="60" customHeight="1">
      <c r="A664" s="3" t="inlineStr">
        <is>
          <t>MK-XS-F-118</t>
        </is>
      </c>
      <c r="B664" s="3" t="inlineStr">
        <is>
          <t>prettyDate</t>
        </is>
      </c>
      <c r="C664" s="3" t="inlineStr">
        <is>
          <t>src/domain/gaps/index.ts</t>
        </is>
      </c>
      <c r="D664" s="3" t="n">
        <v>58</v>
      </c>
      <c r="E664" s="3" t="inlineStr">
        <is>
          <t>3 · DEPENDENT</t>
        </is>
      </c>
      <c r="F664" s="3" t="inlineStr">
        <is>
          <t>daysSince now comes from the ONE freshness rule in src/domain/_shared/freshness.ts (DEC-0301).</t>
        </is>
      </c>
      <c r="G664" s="11" t="inlineStr">
        <is>
          <t>d = the date `${iso}-15T12:00:00`   if iso.length = 7
`${iso}T12:00:00`   otherwise
the answer:
iso   if is na n(get time())
to locale date string('en − US', { month: 'short', day: 'numeric' })   otherwise</t>
        </is>
      </c>
      <c r="H664" s="3" t="inlineStr">
        <is>
          <t>D: the date `${iso}-15T12:00:00` — when iso.length = 7; `${iso}T12:00:00` — otherwise. The answer is iso — when is na n(get time()); to locale date string('en minus US', { month: 'short', day: 'numeric' }) — otherwise.</t>
        </is>
      </c>
      <c r="I664" s="3" t="inlineStr">
        <is>
          <t>PARTLY READ — some of the code is still showing through; needs a hand pass</t>
        </is>
      </c>
      <c r="J664" s="3" t="inlineStr">
        <is>
          <t>iso: string</t>
        </is>
      </c>
      <c r="K664" s="3" t="inlineStr">
        <is>
          <t>NOT DECLARED — the code does not say what it gives back</t>
        </is>
      </c>
      <c r="L664" s="3" t="inlineStr">
        <is>
          <t>—</t>
        </is>
      </c>
      <c r="M664" s="3" t="inlineStr">
        <is>
          <t>None found in this function — anything it assumes comes from the functions it depends on.</t>
        </is>
      </c>
      <c r="N664" s="3" t="inlineStr">
        <is>
          <t>Yes</t>
        </is>
      </c>
      <c r="O664" s="3" t="inlineStr">
        <is>
          <t>—</t>
        </is>
      </c>
      <c r="P664" s="3" t="n">
        <v>0</v>
      </c>
      <c r="Q664" s="3" t="inlineStr">
        <is>
          <t>None — no dependent function stands behind it</t>
        </is>
      </c>
      <c r="R664" s="3" t="inlineStr">
        <is>
          <t>No dependent function — it reads its inputs and answers</t>
        </is>
      </c>
      <c r="S664" s="3" t="inlineStr">
        <is>
          <t>—</t>
        </is>
      </c>
      <c r="T664" s="3" t="inlineStr">
        <is>
          <t>—</t>
        </is>
      </c>
      <c r="U664" s="3" t="inlineStr">
        <is>
          <t>ACTIVE</t>
        </is>
      </c>
      <c r="V664" s="3" t="inlineStr">
        <is>
          <t>2026-08-27</t>
        </is>
      </c>
      <c r="W664" s="3" t="n"/>
      <c r="X664" s="3" t="n"/>
      <c r="Y664" s="3" t="inlineStr">
        <is>
          <t>NOTHING OPEN</t>
        </is>
      </c>
    </row>
    <row r="665" ht="60" customHeight="1">
      <c r="A665" s="3" t="inlineStr">
        <is>
          <t>MK-XS-F-119</t>
        </is>
      </c>
      <c r="B665" s="3" t="inlineStr">
        <is>
          <t>namesFor</t>
        </is>
      </c>
      <c r="C665" s="3" t="inlineStr">
        <is>
          <t>src/domain/gaps/index.ts</t>
        </is>
      </c>
      <c r="D665" s="3" t="n">
        <v>84</v>
      </c>
      <c r="E665" s="3" t="inlineStr">
        <is>
          <t>1 · ACTION</t>
        </is>
      </c>
      <c r="F665" s="3" t="inlineStr">
        <is>
          <t>Founder finding 2026-08-11: this named an account by its INSTITUTION alone, so two Vanguard accounts produced two identical banner lines ("Vanguard last updated Aug 3" twice) with no way to tell which was which.</t>
        </is>
      </c>
      <c r="G665" s="11" t="inlineStr">
        <is>
          <t>account display names(accounts)</t>
        </is>
      </c>
      <c r="H665" s="3" t="inlineStr">
        <is>
          <t>account display names(accounts)</t>
        </is>
      </c>
      <c r="I665" s="3" t="inlineStr">
        <is>
          <t>READ FROM THE CODE — rendered from the expressions the function runs</t>
        </is>
      </c>
      <c r="J665" s="3" t="inlineStr">
        <is>
          <t>accounts: AssetAccount[]</t>
        </is>
      </c>
      <c r="K665" s="3" t="inlineStr">
        <is>
          <t>NOT DECLARED — the code does not say what it gives back</t>
        </is>
      </c>
      <c r="L665" s="3" t="inlineStr">
        <is>
          <t>—</t>
        </is>
      </c>
      <c r="M665" s="3" t="inlineStr">
        <is>
          <t>None found in this function — anything it assumes comes from the functions it depends on.</t>
        </is>
      </c>
      <c r="N665" s="3" t="inlineStr">
        <is>
          <t>Yes</t>
        </is>
      </c>
      <c r="O665" s="3" t="inlineStr">
        <is>
          <t>MK-NW-F-026 accountDisplayNames</t>
        </is>
      </c>
      <c r="P665" s="3" t="n">
        <v>9</v>
      </c>
      <c r="Q665" s="3" t="inlineStr">
        <is>
          <t>1. MK-NW-F-026 accountDisplayNames
2. MK-NW-F-025 accountDisplayName
3. MK-ST-F-056 has
4. MK-CF-F-132 map
5. MK-XS-F-122 n
6. MK-NW-F-024 accountLastFour
7. MK-ST-F-039 on
8. MK-NW-F-012 taxTreatmentOf
9. MK-NW-F-023 wrapperWord</t>
        </is>
      </c>
      <c r="R665" s="3" t="inlineStr">
        <is>
          <t>1. accountDisplayNames (already above — a loop) → MK-NW-F-025 accountDisplayName → MK-NW-F-026 accountDisplayNames → MK-XS-F-119 namesFor
2. MK-NW-F-024 accountLastFour → MK-NW-F-025 accountDisplayName → MK-NW-F-026 accountDisplayNames → MK-XS-F-119 namesFor
3. MK-ST-F-039 on → MK-NW-F-025 accountDisplayName → MK-NW-F-026 accountDisplayNames → MK-XS-F-119 namesFor
4. MK-NW-F-012 taxTreatmentOf → MK-NW-F-025 accountDisplayName → MK-NW-F-026 accountDisplayNames → MK-XS-F-119 namesFor
5. MK-NW-F-023 wrapperWord → MK-NW-F-025 accountDisplayName → MK-NW-F-026 accountDisplayNames → MK-XS-F-119 namesFor
6. MK-ST-F-056 has → MK-NW-F-026 accountDisplayNames → MK-XS-F-119 namesFor
7. MK-CF-F-132 map → MK-NW-F-026 accountDisplayNames → MK-XS-F-119 namesFor
8. MK-XS-F-122 n → MK-NW-F-026 accountDisplayNames → MK-XS-F-119 namesFor</t>
        </is>
      </c>
      <c r="S665" s="3" t="inlineStr">
        <is>
          <t>—</t>
        </is>
      </c>
      <c r="T665" s="3" t="inlineStr">
        <is>
          <t>—</t>
        </is>
      </c>
      <c r="U665" s="3" t="inlineStr">
        <is>
          <t>ACTIVE</t>
        </is>
      </c>
      <c r="V665" s="3" t="inlineStr">
        <is>
          <t>2026-08-27</t>
        </is>
      </c>
      <c r="W665" s="3" t="n"/>
      <c r="X665" s="3" t="n"/>
      <c r="Y665" s="3" t="inlineStr">
        <is>
          <t>NOTHING OPEN</t>
        </is>
      </c>
    </row>
    <row r="666" ht="60" customHeight="1">
      <c r="A666" s="3" t="inlineStr">
        <is>
          <t>MK-XS-F-120</t>
        </is>
      </c>
      <c r="B666" s="3" t="inlineStr">
        <is>
          <t>nameOf</t>
        </is>
      </c>
      <c r="C666" s="3" t="inlineStr">
        <is>
          <t>src/domain/gaps/index.ts</t>
        </is>
      </c>
      <c r="D666" s="3" t="n">
        <v>105</v>
      </c>
      <c r="E666" s="3" t="inlineStr">
        <is>
          <t>1 · ACTION</t>
        </is>
      </c>
      <c r="F666" s="3" t="inlineStr">
        <is>
          <t>NOT DETERMINED — the code carries no note saying what this is for, and it has no row in the old inventory. Needs reading.</t>
        </is>
      </c>
      <c r="G666" s="11" t="inlineStr">
        <is>
          <t>the answer = the person's name for the account, else the institution, else the label, else 'this account'</t>
        </is>
      </c>
      <c r="H666" s="3" t="inlineStr">
        <is>
          <t>What to call an account in a sentence — the person's own name for it, then the institution, then the label. No arithmetic.</t>
        </is>
      </c>
      <c r="I666" s="3" t="inlineStr">
        <is>
          <t>READ BY HAND 2026-08-26 — checked line by line against the code</t>
        </is>
      </c>
      <c r="J666" s="3" t="inlineStr">
        <is>
          <t>1. a: AssetAccount
2. names: Map&lt;string, string&gt;</t>
        </is>
      </c>
      <c r="K666" s="3" t="inlineStr">
        <is>
          <t>NOT DECLARED — the code does not say what it gives back</t>
        </is>
      </c>
      <c r="L666" s="3" t="inlineStr">
        <is>
          <t>—</t>
        </is>
      </c>
      <c r="M666" s="3" t="inlineStr">
        <is>
          <t>None found in this function — anything it assumes comes from the functions it depends on.</t>
        </is>
      </c>
      <c r="N666" s="3" t="inlineStr">
        <is>
          <t>Yes</t>
        </is>
      </c>
      <c r="O666" s="3" t="inlineStr">
        <is>
          <t>—</t>
        </is>
      </c>
      <c r="P666" s="3" t="n">
        <v>0</v>
      </c>
      <c r="Q666" s="3" t="inlineStr">
        <is>
          <t>None — no dependent function stands behind it</t>
        </is>
      </c>
      <c r="R666" s="3" t="inlineStr">
        <is>
          <t>No dependent function — it reads its inputs and answers</t>
        </is>
      </c>
      <c r="S666" s="3" t="inlineStr">
        <is>
          <t>—</t>
        </is>
      </c>
      <c r="T666" s="3" t="inlineStr">
        <is>
          <t>—</t>
        </is>
      </c>
      <c r="U666" s="3" t="inlineStr">
        <is>
          <t>ACTIVE</t>
        </is>
      </c>
      <c r="V666" s="3" t="inlineStr">
        <is>
          <t>2026-09-12</t>
        </is>
      </c>
      <c r="W666" s="3" t="n"/>
      <c r="X666" s="3" t="n"/>
      <c r="Y666" s="3" t="inlineStr">
        <is>
          <t>NOTHING OPEN</t>
        </is>
      </c>
    </row>
    <row r="667" ht="60" customHeight="1">
      <c r="A667" s="3" t="inlineStr">
        <is>
          <t>MK-XS-F-121</t>
        </is>
      </c>
      <c r="B667" s="3" t="inlineStr">
        <is>
          <t>isYm</t>
        </is>
      </c>
      <c r="C667" s="3" t="inlineStr">
        <is>
          <t>src/domain/history.ts</t>
        </is>
      </c>
      <c r="D667" s="3" t="n">
        <v>134</v>
      </c>
      <c r="E667" s="3" t="inlineStr">
        <is>
          <t>1 · ACTION</t>
        </is>
      </c>
      <c r="F667" s="3" t="inlineStr">
        <is>
          <t>NOT DETERMINED — the code carries no note saying what this is for, and it has no row in the old inventory. Needs reading.</t>
        </is>
      </c>
      <c r="G667" s="11" t="inlineStr">
        <is>
          <t>the answer = true when the text is exactly 'YYYY-MM'</t>
        </is>
      </c>
      <c r="H667" s="3" t="inlineStr">
        <is>
          <t>Whether a text is a month key of the form 'YYYY-MM'. No arithmetic.</t>
        </is>
      </c>
      <c r="I667" s="3" t="inlineStr">
        <is>
          <t>READ BY HAND 2026-08-26 — checked line by line against the code</t>
        </is>
      </c>
      <c r="J667" s="3" t="inlineStr">
        <is>
          <t>s: unknown</t>
        </is>
      </c>
      <c r="K667" s="3" t="inlineStr">
        <is>
          <t>s is string</t>
        </is>
      </c>
      <c r="L667" s="3" t="inlineStr">
        <is>
          <t>—</t>
        </is>
      </c>
      <c r="M667" s="3" t="inlineStr">
        <is>
          <t>None found in this function — anything it assumes comes from the functions it depends on.</t>
        </is>
      </c>
      <c r="N667" s="3" t="inlineStr">
        <is>
          <t>Yes</t>
        </is>
      </c>
      <c r="O667" s="3" t="inlineStr">
        <is>
          <t>—</t>
        </is>
      </c>
      <c r="P667" s="3" t="n">
        <v>0</v>
      </c>
      <c r="Q667" s="3" t="inlineStr">
        <is>
          <t>None — no dependent function stands behind it</t>
        </is>
      </c>
      <c r="R667" s="3" t="inlineStr">
        <is>
          <t>No dependent function — it reads its inputs and answers</t>
        </is>
      </c>
      <c r="S667" s="3" t="inlineStr">
        <is>
          <t>—</t>
        </is>
      </c>
      <c r="T667" s="3" t="inlineStr">
        <is>
          <t>—</t>
        </is>
      </c>
      <c r="U667" s="3" t="inlineStr">
        <is>
          <t>ACTIVE</t>
        </is>
      </c>
      <c r="V667" s="3" t="inlineStr">
        <is>
          <t>2026-09-12</t>
        </is>
      </c>
      <c r="W667" s="3" t="n"/>
      <c r="X667" s="3" t="n"/>
      <c r="Y667" s="3" t="inlineStr">
        <is>
          <t>NOTHING OPEN</t>
        </is>
      </c>
    </row>
    <row r="668" ht="60" customHeight="1">
      <c r="A668" s="3" t="inlineStr">
        <is>
          <t>MK-XS-F-122</t>
        </is>
      </c>
      <c r="B668" s="3" t="inlineStr">
        <is>
          <t>n</t>
        </is>
      </c>
      <c r="C668" s="3" t="inlineStr">
        <is>
          <t>src/domain/history.ts</t>
        </is>
      </c>
      <c r="D668" s="3" t="n">
        <v>175</v>
      </c>
      <c r="E668" s="3" t="inlineStr">
        <is>
          <t>1 · ACTION</t>
        </is>
      </c>
      <c r="F668" s="3" t="inlineStr">
        <is>
          <t>NOT DETERMINED — the code carries no note saying what this is for, and it has no row in the old inventory. Needs reading.</t>
        </is>
      </c>
      <c r="G668" s="11" t="inlineStr">
        <is>
          <t>v   if typeof v = 'number' and number.is finite(v)
fallback   otherwise</t>
        </is>
      </c>
      <c r="H668" s="3" t="inlineStr">
        <is>
          <t>v — when typeof v = 'number' and number.is finite(v); fallback — otherwise</t>
        </is>
      </c>
      <c r="I668" s="3" t="inlineStr">
        <is>
          <t>PARTLY READ — some of the code is still showing through; needs a hand pass</t>
        </is>
      </c>
      <c r="J668" s="3" t="inlineStr">
        <is>
          <t>1. v: unknown
2. fallback = 0</t>
        </is>
      </c>
      <c r="K668" s="3" t="inlineStr">
        <is>
          <t>number</t>
        </is>
      </c>
      <c r="L668" s="3" t="inlineStr">
        <is>
          <t>—</t>
        </is>
      </c>
      <c r="M668" s="3" t="inlineStr">
        <is>
          <t>None found in this function — anything it assumes comes from the functions it depends on.</t>
        </is>
      </c>
      <c r="N668" s="3" t="inlineStr">
        <is>
          <t>Yes</t>
        </is>
      </c>
      <c r="O668" s="3" t="inlineStr">
        <is>
          <t>—</t>
        </is>
      </c>
      <c r="P668" s="3" t="n">
        <v>0</v>
      </c>
      <c r="Q668" s="3" t="inlineStr">
        <is>
          <t>None — no dependent function stands behind it</t>
        </is>
      </c>
      <c r="R668" s="3" t="inlineStr">
        <is>
          <t>No dependent function — it reads its inputs and answers</t>
        </is>
      </c>
      <c r="S668" s="3" t="inlineStr">
        <is>
          <t>—</t>
        </is>
      </c>
      <c r="T668" s="3" t="inlineStr">
        <is>
          <t>—</t>
        </is>
      </c>
      <c r="U668" s="3" t="inlineStr">
        <is>
          <t>ACTIVE</t>
        </is>
      </c>
      <c r="V668" s="3" t="inlineStr">
        <is>
          <t>2026-08-27</t>
        </is>
      </c>
      <c r="W668" s="3" t="n"/>
      <c r="X668" s="3" t="n"/>
      <c r="Y668" s="3" t="inlineStr">
        <is>
          <t>NOTHING OPEN</t>
        </is>
      </c>
    </row>
    <row r="669" ht="60" customHeight="1">
      <c r="A669" s="3" t="inlineStr">
        <is>
          <t>MK-XS-F-123</t>
        </is>
      </c>
      <c r="B669" s="3" t="inlineStr">
        <is>
          <t>base64ToBytes</t>
        </is>
      </c>
      <c r="C669" s="3" t="inlineStr">
        <is>
          <t>src/domain/import/holdingsImport.ts</t>
        </is>
      </c>
      <c r="D669" s="3" t="n">
        <v>56</v>
      </c>
      <c r="E669" s="3" t="inlineStr">
        <is>
          <t>3 · DEPENDENT</t>
        </is>
      </c>
      <c r="F669" s="3" t="inlineStr">
        <is>
          <t>NOT DETERMINED — the code carries no note saying what this is for, and it has no row in the old inventory. Needs reading.</t>
        </is>
      </c>
      <c r="G669" s="11" t="inlineStr">
        <is>
          <t>c = b64.replace( ÷ [^A − za − z0 − 9+ ÷ ] ÷ g, '')
out = []
e1 = B64.index of(c[i]), e2 = B64.index of(c[i + 1]), e3 = B64.index of(c[i + 2]), e4 = B64.index of(c[i + 3])
n = (e1 &lt;&lt; 18) | (e2 &lt;&lt; 12) | ((e3 &amp; 63) &lt;&lt; 6) | (e4 &amp; 63)
the answer = out</t>
        </is>
      </c>
      <c r="H669"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669" s="3" t="inlineStr">
        <is>
          <t>PARTLY READ — some of the code is still showing through; needs a hand pass</t>
        </is>
      </c>
      <c r="J669" s="3" t="inlineStr">
        <is>
          <t>b64: string</t>
        </is>
      </c>
      <c r="K669" s="3" t="inlineStr">
        <is>
          <t>number[]</t>
        </is>
      </c>
      <c r="L669" s="3" t="inlineStr">
        <is>
          <t>—</t>
        </is>
      </c>
      <c r="M669" s="3" t="inlineStr">
        <is>
          <t>None found in this function — anything it assumes comes from the functions it depends on.</t>
        </is>
      </c>
      <c r="N669" s="3" t="inlineStr">
        <is>
          <t>Yes</t>
        </is>
      </c>
      <c r="O669" s="3" t="inlineStr">
        <is>
          <t>—</t>
        </is>
      </c>
      <c r="P669" s="3" t="n">
        <v>0</v>
      </c>
      <c r="Q669" s="3" t="inlineStr">
        <is>
          <t>None — no dependent function stands behind it</t>
        </is>
      </c>
      <c r="R669" s="3" t="inlineStr">
        <is>
          <t>No dependent function — it reads its inputs and answers</t>
        </is>
      </c>
      <c r="S669" s="3" t="inlineStr">
        <is>
          <t>—</t>
        </is>
      </c>
      <c r="T669" s="3" t="inlineStr">
        <is>
          <t>—</t>
        </is>
      </c>
      <c r="U669" s="3" t="inlineStr">
        <is>
          <t>ACTIVE</t>
        </is>
      </c>
      <c r="V669" s="3" t="inlineStr">
        <is>
          <t>2026-08-27</t>
        </is>
      </c>
      <c r="W669" s="3" t="n"/>
      <c r="X669" s="3" t="n"/>
      <c r="Y669" s="3" t="inlineStr">
        <is>
          <t>NOTHING OPEN</t>
        </is>
      </c>
    </row>
    <row r="670" ht="60" customHeight="1">
      <c r="A670" s="3" t="inlineStr">
        <is>
          <t>MK-XS-F-124</t>
        </is>
      </c>
      <c r="B670" s="3" t="inlineStr">
        <is>
          <t>decodeUtf8</t>
        </is>
      </c>
      <c r="C670" s="3" t="inlineStr">
        <is>
          <t>src/domain/import/holdingsImport.ts</t>
        </is>
      </c>
      <c r="D670" s="3" t="n">
        <v>88</v>
      </c>
      <c r="E670" s="3" t="inlineStr">
        <is>
          <t>3 · DEPENDENT</t>
        </is>
      </c>
      <c r="F670" s="3" t="inlineStr">
        <is>
          <t>NOT DETERMINED — the code carries no note saying what this is for, and it has no row in the old inventory. Needs reading.</t>
        </is>
      </c>
      <c r="G670" s="11" t="inlineStr">
        <is>
          <t>s = ''
c = b[i++]
the answer = s</t>
        </is>
      </c>
      <c r="H670" s="3" t="inlineStr">
        <is>
          <t>S is ''. C is b[i++]. The answer is s.</t>
        </is>
      </c>
      <c r="I670" s="3" t="inlineStr">
        <is>
          <t>READ FROM THE CODE — rendered from the expressions the function runs</t>
        </is>
      </c>
      <c r="J670" s="3" t="inlineStr">
        <is>
          <t>1. b: number[]
2. start = 0</t>
        </is>
      </c>
      <c r="K670" s="3" t="inlineStr">
        <is>
          <t>string</t>
        </is>
      </c>
      <c r="L670" s="3" t="inlineStr">
        <is>
          <t>—</t>
        </is>
      </c>
      <c r="M670" s="3" t="inlineStr">
        <is>
          <t>None found in this function — anything it assumes comes from the functions it depends on.</t>
        </is>
      </c>
      <c r="N670" s="3" t="inlineStr">
        <is>
          <t>Yes</t>
        </is>
      </c>
      <c r="O670" s="3" t="inlineStr">
        <is>
          <t>—</t>
        </is>
      </c>
      <c r="P670" s="3" t="n">
        <v>0</v>
      </c>
      <c r="Q670" s="3" t="inlineStr">
        <is>
          <t>None — no dependent function stands behind it</t>
        </is>
      </c>
      <c r="R670" s="3" t="inlineStr">
        <is>
          <t>No dependent function — it reads its inputs and answers</t>
        </is>
      </c>
      <c r="S670" s="3" t="inlineStr">
        <is>
          <t>—</t>
        </is>
      </c>
      <c r="T670" s="3" t="inlineStr">
        <is>
          <t>—</t>
        </is>
      </c>
      <c r="U670" s="3" t="inlineStr">
        <is>
          <t>ACTIVE</t>
        </is>
      </c>
      <c r="V670" s="3" t="inlineStr">
        <is>
          <t>2026-08-27</t>
        </is>
      </c>
      <c r="W670" s="3" t="n"/>
      <c r="X670" s="3" t="n"/>
      <c r="Y670" s="3" t="inlineStr">
        <is>
          <t>NOTHING OPEN</t>
        </is>
      </c>
    </row>
    <row r="671" ht="60" customHeight="1">
      <c r="A671" s="3" t="inlineStr">
        <is>
          <t>MK-XS-F-125</t>
        </is>
      </c>
      <c r="B671" s="3" t="inlineStr">
        <is>
          <t>decodeUtf16</t>
        </is>
      </c>
      <c r="C671" s="3" t="inlineStr">
        <is>
          <t>src/domain/import/holdingsImport.ts</t>
        </is>
      </c>
      <c r="D671" s="3" t="n">
        <v>118</v>
      </c>
      <c r="E671" s="3" t="inlineStr">
        <is>
          <t>3 · DEPENDENT</t>
        </is>
      </c>
      <c r="F671" s="3" t="inlineStr">
        <is>
          <t>NOT DETERMINED — the code carries no note saying what this is for, and it has no row in the old inventory. Needs reading.</t>
        </is>
      </c>
      <c r="G671" s="11" t="inlineStr">
        <is>
          <t>s = ''
[LOOP — the answer is found inside a loop the extractor cannot render; the steps above are the ones before it. Read by hand.]</t>
        </is>
      </c>
      <c r="H671" s="3" t="inlineStr">
        <is>
          <t>S is ''. The answer is s. The answer is found inside a loop that cannot be rendered here; read the code by hand.</t>
        </is>
      </c>
      <c r="I671" s="3" t="inlineStr">
        <is>
          <t>PARTLY READ — the body has a loop the extractor cannot render; the steps shown are the ones before it. Needs a hand pass (G23).</t>
        </is>
      </c>
      <c r="J671" s="3" t="inlineStr">
        <is>
          <t>1. b: number[]
2. start: number
3. le: boolean</t>
        </is>
      </c>
      <c r="K671" s="3" t="inlineStr">
        <is>
          <t>string</t>
        </is>
      </c>
      <c r="L671" s="3" t="inlineStr">
        <is>
          <t>—</t>
        </is>
      </c>
      <c r="M671" s="3" t="inlineStr">
        <is>
          <t>None found in this function — anything it assumes comes from the functions it depends on.</t>
        </is>
      </c>
      <c r="N671" s="3" t="inlineStr">
        <is>
          <t>Yes</t>
        </is>
      </c>
      <c r="O671" s="3" t="inlineStr">
        <is>
          <t>—</t>
        </is>
      </c>
      <c r="P671" s="3" t="n">
        <v>0</v>
      </c>
      <c r="Q671" s="3" t="inlineStr">
        <is>
          <t>None — no dependent function stands behind it</t>
        </is>
      </c>
      <c r="R671" s="3" t="inlineStr">
        <is>
          <t>No dependent function — it reads its inputs and answers</t>
        </is>
      </c>
      <c r="S671" s="3" t="inlineStr">
        <is>
          <t>—</t>
        </is>
      </c>
      <c r="T671" s="3" t="inlineStr">
        <is>
          <t>—</t>
        </is>
      </c>
      <c r="U671" s="3" t="inlineStr">
        <is>
          <t>ACTIVE</t>
        </is>
      </c>
      <c r="V671" s="3" t="inlineStr">
        <is>
          <t>2026-09-08</t>
        </is>
      </c>
      <c r="W671" s="3" t="n"/>
      <c r="X671" s="3" t="n"/>
      <c r="Y671" s="3" t="inlineStr">
        <is>
          <t>NOTHING OPEN</t>
        </is>
      </c>
    </row>
    <row r="672" ht="60" customHeight="1">
      <c r="A672" s="3" t="inlineStr">
        <is>
          <t>MK-XS-F-126</t>
        </is>
      </c>
      <c r="B672" s="3" t="inlineStr">
        <is>
          <t>findCol</t>
        </is>
      </c>
      <c r="C672" s="3" t="inlineStr">
        <is>
          <t>src/domain/import/holdingsImport.ts</t>
        </is>
      </c>
      <c r="D672" s="3" t="n">
        <v>258</v>
      </c>
      <c r="E672" s="3" t="inlineStr">
        <is>
          <t>3 · DEPENDENT</t>
        </is>
      </c>
      <c r="F672" s="3" t="inlineStr">
        <is>
          <t>NOT DETERMINED — the code carries no note saying what this is for, and it has no row in the old inventory. Needs reading.</t>
        </is>
      </c>
      <c r="G672" s="11" t="inlineStr">
        <is>
          <t>i = headers.find index((h) =&gt; re.test(h))
i   when i ≥ 0
[LOOP — the answer is found inside a loop the extractor cannot render; the steps above are the ones before it. Read by hand.]</t>
        </is>
      </c>
      <c r="H672" s="3" t="inlineStr">
        <is>
          <t>I is headers.find index((h) =&gt; re.test(h)). When i is at least 0, it answers i. The answer is -1. The answer is found inside a loop that cannot be rendered here; read the code by hand.</t>
        </is>
      </c>
      <c r="I672" s="3" t="inlineStr">
        <is>
          <t>PARTLY READ — the body has a loop the extractor cannot render; the steps shown are the ones before it. Needs a hand pass (G23).</t>
        </is>
      </c>
      <c r="J672" s="3" t="inlineStr">
        <is>
          <t>1. headers: string[]
2. patterns: RegExp[]</t>
        </is>
      </c>
      <c r="K672" s="3" t="inlineStr">
        <is>
          <t>number</t>
        </is>
      </c>
      <c r="L672" s="3" t="inlineStr">
        <is>
          <t>—</t>
        </is>
      </c>
      <c r="M672" s="3" t="inlineStr">
        <is>
          <t>None found in this function — anything it assumes comes from the functions it depends on.</t>
        </is>
      </c>
      <c r="N672" s="3" t="inlineStr">
        <is>
          <t>Yes</t>
        </is>
      </c>
      <c r="O672" s="3" t="inlineStr">
        <is>
          <t>—</t>
        </is>
      </c>
      <c r="P672" s="3" t="n">
        <v>0</v>
      </c>
      <c r="Q672" s="3" t="inlineStr">
        <is>
          <t>None — no dependent function stands behind it</t>
        </is>
      </c>
      <c r="R672" s="3" t="inlineStr">
        <is>
          <t>No dependent function — it reads its inputs and answers</t>
        </is>
      </c>
      <c r="S672" s="3" t="inlineStr">
        <is>
          <t>—</t>
        </is>
      </c>
      <c r="T672" s="3" t="inlineStr">
        <is>
          <t>—</t>
        </is>
      </c>
      <c r="U672" s="3" t="inlineStr">
        <is>
          <t>ACTIVE</t>
        </is>
      </c>
      <c r="V672" s="3" t="inlineStr">
        <is>
          <t>2026-09-08</t>
        </is>
      </c>
      <c r="W672" s="3" t="n"/>
      <c r="X672" s="3" t="n"/>
      <c r="Y672" s="3" t="inlineStr">
        <is>
          <t>NOTHING OPEN</t>
        </is>
      </c>
    </row>
    <row r="673" ht="60" customHeight="1">
      <c r="A673" s="3" t="inlineStr">
        <is>
          <t>MK-XS-F-127</t>
        </is>
      </c>
      <c r="B673" s="3" t="inlineStr">
        <is>
          <t>toIsoDate</t>
        </is>
      </c>
      <c r="C673" s="3" t="inlineStr">
        <is>
          <t>src/domain/import/holdingsImport.ts</t>
        </is>
      </c>
      <c r="D673" s="3" t="n">
        <v>290</v>
      </c>
      <c r="E673" s="3" t="inlineStr">
        <is>
          <t>3 · DEPENDENT</t>
        </is>
      </c>
      <c r="F673" s="3" t="inlineStr">
        <is>
          <t>Normalise a date cell to 'YYYY-MM-DD', or undefined if it isn't a usable date.</t>
        </is>
      </c>
      <c r="G673" s="11" t="inlineStr">
        <is>
          <t>t = (v ?? '').trim()
undefined   when t is missing
m = match( ÷ ^(\d{4})[- ÷ ](\d{1,2})[- ÷ ](\d{1,2})$ ÷ )
`${m[1]}-${m[2].pad start(2, '0')}-${m[3].pad start(2, '0')}`   when m
`${m[3]}-${m[1].pad start(2, '0')}-${m[2].pad start(2, '0')}`   when m
the answer = undefined</t>
        </is>
      </c>
      <c r="H673" s="3" t="inlineStr">
        <is>
          <t>T is (v ?? '').trim(). When t is missing, it answers undefined. M is match( divided by ^(\d{4})[- divided by ](\d{1,2})[- divided by ](\d{1,2})$ divided by ). When m, it answers `${m[1]}-${m[2].pad start(2, '0')}-${m[3].pad start(2, '0')}`. When m, it answers `${m[3]}-${m[1].pad start(2, '0')}-${m[2].pad start(2, '0')}`. The answer is undefined.</t>
        </is>
      </c>
      <c r="I673" s="3" t="inlineStr">
        <is>
          <t>PARTLY READ — some of the code is still showing through; needs a hand pass</t>
        </is>
      </c>
      <c r="J673" s="3" t="inlineStr">
        <is>
          <t>v: string</t>
        </is>
      </c>
      <c r="K673" s="3" t="inlineStr">
        <is>
          <t>string | undefined</t>
        </is>
      </c>
      <c r="L673" s="3" t="inlineStr">
        <is>
          <t>—</t>
        </is>
      </c>
      <c r="M673" s="3" t="inlineStr">
        <is>
          <t>None found in this function — anything it assumes comes from the functions it depends on.</t>
        </is>
      </c>
      <c r="N673" s="3" t="inlineStr">
        <is>
          <t>Yes</t>
        </is>
      </c>
      <c r="O673" s="3" t="inlineStr">
        <is>
          <t>—</t>
        </is>
      </c>
      <c r="P673" s="3" t="n">
        <v>0</v>
      </c>
      <c r="Q673" s="3" t="inlineStr">
        <is>
          <t>None — no dependent function stands behind it</t>
        </is>
      </c>
      <c r="R673" s="3" t="inlineStr">
        <is>
          <t>No dependent function — it reads its inputs and answers</t>
        </is>
      </c>
      <c r="S673" s="3" t="inlineStr">
        <is>
          <t>—</t>
        </is>
      </c>
      <c r="T673" s="3" t="inlineStr">
        <is>
          <t>—</t>
        </is>
      </c>
      <c r="U673" s="3" t="inlineStr">
        <is>
          <t>ACTIVE</t>
        </is>
      </c>
      <c r="V673" s="3" t="inlineStr">
        <is>
          <t>2026-08-27</t>
        </is>
      </c>
      <c r="W673" s="3" t="n"/>
      <c r="X673" s="3" t="n"/>
      <c r="Y673" s="3" t="inlineStr">
        <is>
          <t>NOTHING OPEN</t>
        </is>
      </c>
    </row>
    <row r="674" ht="60" customHeight="1">
      <c r="A674" s="3" t="inlineStr">
        <is>
          <t>MK-XS-F-128</t>
        </is>
      </c>
      <c r="B674" s="3" t="inlineStr">
        <is>
          <t>cleanTicker</t>
        </is>
      </c>
      <c r="C674" s="3" t="inlineStr">
        <is>
          <t>src/domain/import/holdingsImport.ts</t>
        </is>
      </c>
      <c r="D674" s="3" t="n">
        <v>323</v>
      </c>
      <c r="E674" s="3" t="inlineStr">
        <is>
          <t>3 · DEPENDENT</t>
        </is>
      </c>
      <c r="F674" s="3" t="inlineStr">
        <is>
          <t>A plausible tradeable ticker: 1–10 chars, letters/digits/.-, at least one letter, no spaces.</t>
        </is>
      </c>
      <c r="G674"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674"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674" s="3" t="inlineStr">
        <is>
          <t>PARTLY READ — some of the code is still showing through; needs a hand pass</t>
        </is>
      </c>
      <c r="J674" s="3" t="inlineStr">
        <is>
          <t>v: string</t>
        </is>
      </c>
      <c r="K674" s="3" t="inlineStr">
        <is>
          <t>string | null</t>
        </is>
      </c>
      <c r="L674" s="3" t="inlineStr">
        <is>
          <t>—</t>
        </is>
      </c>
      <c r="M674" s="3" t="inlineStr">
        <is>
          <t>None found in this function — anything it assumes comes from the functions it depends on.</t>
        </is>
      </c>
      <c r="N674" s="3" t="inlineStr">
        <is>
          <t>Yes</t>
        </is>
      </c>
      <c r="O674" s="3" t="inlineStr">
        <is>
          <t>—</t>
        </is>
      </c>
      <c r="P674" s="3" t="n">
        <v>0</v>
      </c>
      <c r="Q674" s="3" t="inlineStr">
        <is>
          <t>None — no dependent function stands behind it</t>
        </is>
      </c>
      <c r="R674" s="3" t="inlineStr">
        <is>
          <t>No dependent function — it reads its inputs and answers</t>
        </is>
      </c>
      <c r="S674" s="3" t="inlineStr">
        <is>
          <t>—</t>
        </is>
      </c>
      <c r="T674" s="3" t="inlineStr">
        <is>
          <t>—</t>
        </is>
      </c>
      <c r="U674" s="3" t="inlineStr">
        <is>
          <t>ACTIVE</t>
        </is>
      </c>
      <c r="V674" s="3" t="inlineStr">
        <is>
          <t>2026-08-27</t>
        </is>
      </c>
      <c r="W674" s="3" t="n"/>
      <c r="X674" s="3" t="n"/>
      <c r="Y674" s="3" t="inlineStr">
        <is>
          <t>NOTHING OPEN</t>
        </is>
      </c>
    </row>
    <row r="675" ht="60" customHeight="1">
      <c r="A675" s="3" t="inlineStr">
        <is>
          <t>MK-XS-F-129</t>
        </is>
      </c>
      <c r="B675" s="3" t="inlineStr">
        <is>
          <t>findHeaderRow</t>
        </is>
      </c>
      <c r="C675" s="3" t="inlineStr">
        <is>
          <t>src/domain/import/holdingsImport.ts</t>
        </is>
      </c>
      <c r="D675" s="3" t="n">
        <v>381</v>
      </c>
      <c r="E675" s="3" t="inlineStr">
        <is>
          <t>3 · DEPENDENT</t>
        </is>
      </c>
      <c r="F675" s="3" t="inlineStr">
        <is>
          <t>Find the real positions header — the first row that has BOTH a symbol/ticker AND a quantity/shares column (skips brokerage preambles like "Account Summary" and filter headers).</t>
        </is>
      </c>
      <c r="G675"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675"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675" s="3" t="inlineStr">
        <is>
          <t>PARTLY READ — the body has a loop the extractor cannot render; the steps shown are the ones before it. Needs a hand pass (G23).</t>
        </is>
      </c>
      <c r="J675" s="3" t="inlineStr">
        <is>
          <t>rows: string[][]</t>
        </is>
      </c>
      <c r="K675" s="3" t="inlineStr">
        <is>
          <t>number</t>
        </is>
      </c>
      <c r="L675" s="3" t="inlineStr">
        <is>
          <t>—</t>
        </is>
      </c>
      <c r="M675" s="3" t="inlineStr">
        <is>
          <t>None found in this function — anything it assumes comes from the functions it depends on.</t>
        </is>
      </c>
      <c r="N675" s="3" t="inlineStr">
        <is>
          <t>Yes</t>
        </is>
      </c>
      <c r="O675" s="3" t="inlineStr">
        <is>
          <t>MK-CF-F-132 map</t>
        </is>
      </c>
      <c r="P675" s="3" t="n">
        <v>1</v>
      </c>
      <c r="Q675" s="3" t="inlineStr">
        <is>
          <t>MK-CF-F-132 map</t>
        </is>
      </c>
      <c r="R675" s="3" t="inlineStr">
        <is>
          <t>MK-CF-F-132 map → MK-XS-F-129 findHeaderRow</t>
        </is>
      </c>
      <c r="S675" s="3" t="inlineStr">
        <is>
          <t>—</t>
        </is>
      </c>
      <c r="T675" s="3" t="inlineStr">
        <is>
          <t>—</t>
        </is>
      </c>
      <c r="U675" s="3" t="inlineStr">
        <is>
          <t>ACTIVE</t>
        </is>
      </c>
      <c r="V675" s="3" t="inlineStr">
        <is>
          <t>2026-09-08</t>
        </is>
      </c>
      <c r="W675" s="3" t="n"/>
      <c r="X675" s="3" t="n"/>
      <c r="Y675" s="3" t="inlineStr">
        <is>
          <t>NOTHING OPEN</t>
        </is>
      </c>
    </row>
    <row r="676" ht="60" customHeight="1">
      <c r="A676" s="3" t="inlineStr">
        <is>
          <t>MK-XS-F-130</t>
        </is>
      </c>
      <c r="B676" s="3" t="inlineStr">
        <is>
          <t>normInst</t>
        </is>
      </c>
      <c r="C676" s="3" t="inlineStr">
        <is>
          <t>src/domain/import/holdingsImport.ts</t>
        </is>
      </c>
      <c r="D676" s="3" t="n">
        <v>512</v>
      </c>
      <c r="E676" s="3" t="inlineStr">
        <is>
          <t>1 · ACTION</t>
        </is>
      </c>
      <c r="F676" s="3" t="inlineStr">
        <is>
          <t>NOT DETERMINED — the code carries no note saying what this is for, and it has no row in the old inventory. Needs reading.</t>
        </is>
      </c>
      <c r="G676" s="11" t="inlineStr">
        <is>
          <t>(s ?? '').trim().to lower case().replace( ÷ [^a − z0 − 9] ÷ g, '')</t>
        </is>
      </c>
      <c r="H676" s="3" t="inlineStr">
        <is>
          <t>(s ?? '').trim().to lower case().replace( divided by [^a minus z0 minus 9] divided by g, '')</t>
        </is>
      </c>
      <c r="I676" s="3" t="inlineStr">
        <is>
          <t>PARTLY READ — some of the code is still showing through; needs a hand pass</t>
        </is>
      </c>
      <c r="J676" s="3" t="inlineStr">
        <is>
          <t>s?: string</t>
        </is>
      </c>
      <c r="K676" s="3" t="inlineStr">
        <is>
          <t>NOT DECLARED — the code does not say what it gives back</t>
        </is>
      </c>
      <c r="L676" s="3" t="inlineStr">
        <is>
          <t>—</t>
        </is>
      </c>
      <c r="M676" s="3" t="inlineStr">
        <is>
          <t>None found in this function — anything it assumes comes from the functions it depends on.</t>
        </is>
      </c>
      <c r="N676" s="3" t="inlineStr">
        <is>
          <t>Yes</t>
        </is>
      </c>
      <c r="O676" s="3" t="inlineStr">
        <is>
          <t>—</t>
        </is>
      </c>
      <c r="P676" s="3" t="n">
        <v>0</v>
      </c>
      <c r="Q676" s="3" t="inlineStr">
        <is>
          <t>None — no dependent function stands behind it</t>
        </is>
      </c>
      <c r="R676" s="3" t="inlineStr">
        <is>
          <t>No dependent function — it reads its inputs and answers</t>
        </is>
      </c>
      <c r="S676" s="3" t="inlineStr">
        <is>
          <t>—</t>
        </is>
      </c>
      <c r="T676" s="3" t="inlineStr">
        <is>
          <t>—</t>
        </is>
      </c>
      <c r="U676" s="3" t="inlineStr">
        <is>
          <t>ACTIVE</t>
        </is>
      </c>
      <c r="V676" s="3" t="inlineStr">
        <is>
          <t>2026-08-27</t>
        </is>
      </c>
      <c r="W676" s="3" t="n"/>
      <c r="X676" s="3" t="n"/>
      <c r="Y676" s="3" t="inlineStr">
        <is>
          <t>NOTHING OPEN</t>
        </is>
      </c>
    </row>
    <row r="677" ht="60" customHeight="1">
      <c r="A677" s="3" t="inlineStr">
        <is>
          <t>MK-XS-F-131</t>
        </is>
      </c>
      <c r="B677" s="3" t="inlineStr">
        <is>
          <t>toInt</t>
        </is>
      </c>
      <c r="C677" s="3" t="inlineStr">
        <is>
          <t>src/domain/profile/onboarding.ts</t>
        </is>
      </c>
      <c r="D677" s="3" t="n">
        <v>28</v>
      </c>
      <c r="E677" s="3" t="inlineStr">
        <is>
          <t>3 · DEPENDENT</t>
        </is>
      </c>
      <c r="F677" s="3" t="inlineStr">
        <is>
          <t>NOT DETERMINED — the code carries no note saying what this is for, and it has no row in the old inventory. Needs reading.</t>
        </is>
      </c>
      <c r="G677" s="11" t="inlineStr">
        <is>
          <t>n = parse int(string(v ?? '').replace( ÷ [^0 − 9] ÷ g, ''), 10)
the answer:
n   if number.is finite(n)
nothing   otherwise</t>
        </is>
      </c>
      <c r="H677" s="3" t="inlineStr">
        <is>
          <t>N is parse int(string(v ?? '').replace( divided by [^0 minus 9] divided by g, ''), 10). The answer is n — when number.is finite(n); no answer — otherwise.</t>
        </is>
      </c>
      <c r="I677" s="3" t="inlineStr">
        <is>
          <t>PARTLY READ — some of the code is still showing through; needs a hand pass</t>
        </is>
      </c>
      <c r="J677" s="3" t="inlineStr">
        <is>
          <t>v: any</t>
        </is>
      </c>
      <c r="K677" s="3" t="inlineStr">
        <is>
          <t>number | null</t>
        </is>
      </c>
      <c r="L677" s="3" t="inlineStr">
        <is>
          <t>—</t>
        </is>
      </c>
      <c r="M677" s="3" t="inlineStr">
        <is>
          <t>None found in this function — anything it assumes comes from the functions it depends on.</t>
        </is>
      </c>
      <c r="N677" s="3" t="inlineStr">
        <is>
          <t>Yes</t>
        </is>
      </c>
      <c r="O677" s="3" t="inlineStr">
        <is>
          <t>MK-XS-F-122 n</t>
        </is>
      </c>
      <c r="P677" s="3" t="n">
        <v>1</v>
      </c>
      <c r="Q677" s="3" t="inlineStr">
        <is>
          <t>MK-XS-F-122 n</t>
        </is>
      </c>
      <c r="R677" s="3" t="inlineStr">
        <is>
          <t>MK-XS-F-122 n → MK-XS-F-131 toInt</t>
        </is>
      </c>
      <c r="S677" s="3" t="inlineStr">
        <is>
          <t>—</t>
        </is>
      </c>
      <c r="T677" s="3" t="inlineStr">
        <is>
          <t>—</t>
        </is>
      </c>
      <c r="U677" s="3" t="inlineStr">
        <is>
          <t>ACTIVE</t>
        </is>
      </c>
      <c r="V677" s="3" t="inlineStr">
        <is>
          <t>2026-08-27</t>
        </is>
      </c>
      <c r="W677" s="3" t="n"/>
      <c r="X677" s="3" t="n"/>
      <c r="Y677" s="3" t="inlineStr">
        <is>
          <t>NOTHING OPEN</t>
        </is>
      </c>
    </row>
    <row r="678" ht="60" customHeight="1">
      <c r="A678" s="3" t="inlineStr">
        <is>
          <t>MK-XS-F-132</t>
        </is>
      </c>
      <c r="B678" s="3" t="inlineStr">
        <is>
          <t>load</t>
        </is>
      </c>
      <c r="C678" s="3" t="inlineStr">
        <is>
          <t>src/services/appLock.ts</t>
        </is>
      </c>
      <c r="D678" s="3" t="n">
        <v>25</v>
      </c>
      <c r="E678" s="3" t="inlineStr">
        <is>
          <t>3 · DEPENDENT</t>
        </is>
      </c>
      <c r="F678" s="3" t="inlineStr">
        <is>
          <t>NOT DETERMINED — the code carries no note saying what this is for, and it has no row in the old inventory. Needs reading.</t>
        </is>
      </c>
      <c r="G678" s="11" t="inlineStr">
        <is>
          <t>LA   when LA
LA</t>
        </is>
      </c>
      <c r="H678" s="3" t="inlineStr">
        <is>
          <t>When LA, it answers LA. LA.</t>
        </is>
      </c>
      <c r="I678" s="3" t="inlineStr">
        <is>
          <t>READ FROM THE CODE — rendered from the expressions the function runs</t>
        </is>
      </c>
      <c r="J678" s="3" t="inlineStr">
        <is>
          <t>Nothing is handed to it</t>
        </is>
      </c>
      <c r="K678" s="3" t="inlineStr">
        <is>
          <t>any</t>
        </is>
      </c>
      <c r="L678" s="3" t="inlineStr">
        <is>
          <t>—</t>
        </is>
      </c>
      <c r="M678" s="3" t="inlineStr">
        <is>
          <t>None found in this function — anything it assumes comes from the functions it depends on.</t>
        </is>
      </c>
      <c r="N678" s="3" t="inlineStr">
        <is>
          <t>Yes</t>
        </is>
      </c>
      <c r="O678" s="3" t="inlineStr">
        <is>
          <t>—</t>
        </is>
      </c>
      <c r="P678" s="3" t="n">
        <v>0</v>
      </c>
      <c r="Q678" s="3" t="inlineStr">
        <is>
          <t>None — no dependent function stands behind it</t>
        </is>
      </c>
      <c r="R678" s="3" t="inlineStr">
        <is>
          <t>No dependent function — it reads its inputs and answers</t>
        </is>
      </c>
      <c r="S678" s="3" t="inlineStr">
        <is>
          <t>—</t>
        </is>
      </c>
      <c r="T678" s="3" t="inlineStr">
        <is>
          <t>—</t>
        </is>
      </c>
      <c r="U678" s="3" t="inlineStr">
        <is>
          <t>ACTIVE</t>
        </is>
      </c>
      <c r="V678" s="3" t="inlineStr">
        <is>
          <t>2026-08-27</t>
        </is>
      </c>
      <c r="W678" s="3" t="n"/>
      <c r="X678" s="3" t="n"/>
      <c r="Y678" s="3" t="inlineStr">
        <is>
          <t>NOTHING OPEN</t>
        </is>
      </c>
    </row>
    <row r="679" ht="60" customHeight="1">
      <c r="A679" s="3" t="inlineStr">
        <is>
          <t>MK-XS-F-133</t>
        </is>
      </c>
      <c r="B679" s="3" t="inlineStr">
        <is>
          <t>loadSentry</t>
        </is>
      </c>
      <c r="C679" s="3" t="inlineStr">
        <is>
          <t>src/services/crashReporter.ts</t>
        </is>
      </c>
      <c r="D679" s="3" t="n">
        <v>33</v>
      </c>
      <c r="E679" s="3" t="inlineStr">
        <is>
          <t>3 · DEPENDENT</t>
        </is>
      </c>
      <c r="F679" s="3" t="inlineStr">
        <is>
          <t>NOT DETERMINED — the code carries no note saying what this is for, and it has no row in the old inventory. Needs reading.</t>
        </is>
      </c>
      <c r="G679" s="11" t="inlineStr">
        <is>
          <t>the answer = the crash-reporting module, or nothing when it is absent</t>
        </is>
      </c>
      <c r="H679" s="3" t="inlineStr">
        <is>
          <t>Loads the crash reporter if it is installed. Not a calculation.</t>
        </is>
      </c>
      <c r="I679" s="3" t="inlineStr">
        <is>
          <t>READ BY HAND 2026-08-26 — checked line by line against the code</t>
        </is>
      </c>
      <c r="J679" s="3" t="inlineStr">
        <is>
          <t>Nothing is handed to it</t>
        </is>
      </c>
      <c r="K679" s="3" t="inlineStr">
        <is>
          <t>any</t>
        </is>
      </c>
      <c r="L679" s="3" t="inlineStr">
        <is>
          <t>—</t>
        </is>
      </c>
      <c r="M679" s="3" t="inlineStr">
        <is>
          <t>None found in this function — anything it assumes comes from the functions it depends on.</t>
        </is>
      </c>
      <c r="N679" s="3" t="inlineStr">
        <is>
          <t>Yes</t>
        </is>
      </c>
      <c r="O679" s="3" t="inlineStr">
        <is>
          <t>—</t>
        </is>
      </c>
      <c r="P679" s="3" t="n">
        <v>0</v>
      </c>
      <c r="Q679" s="3" t="inlineStr">
        <is>
          <t>None — no dependent function stands behind it</t>
        </is>
      </c>
      <c r="R679" s="3" t="inlineStr">
        <is>
          <t>No dependent function — it reads its inputs and answers</t>
        </is>
      </c>
      <c r="S679" s="3" t="inlineStr">
        <is>
          <t>—</t>
        </is>
      </c>
      <c r="T679" s="3" t="inlineStr">
        <is>
          <t>—</t>
        </is>
      </c>
      <c r="U679" s="3" t="inlineStr">
        <is>
          <t>ACTIVE</t>
        </is>
      </c>
      <c r="V679" s="3" t="inlineStr">
        <is>
          <t>2026-09-12</t>
        </is>
      </c>
      <c r="W679" s="3" t="n"/>
      <c r="X679" s="3" t="n"/>
      <c r="Y679" s="3" t="inlineStr">
        <is>
          <t>NOTHING OPEN</t>
        </is>
      </c>
    </row>
    <row r="680" ht="60" customHeight="1">
      <c r="A680" s="3" t="inlineStr">
        <is>
          <t>MK-XS-F-134</t>
        </is>
      </c>
      <c r="B680" s="3" t="inlineStr">
        <is>
          <t>installGlobalHandler</t>
        </is>
      </c>
      <c r="C680" s="3" t="inlineStr">
        <is>
          <t>src/services/crashReporter.ts</t>
        </is>
      </c>
      <c r="D680" s="3" t="n">
        <v>94</v>
      </c>
      <c r="E680" s="3" t="inlineStr">
        <is>
          <t>1 · ACTION</t>
        </is>
      </c>
      <c r="F680" s="3" t="inlineStr">
        <is>
          <t>NOT DETERMINED — the code carries no note saying what this is for, and it has no row in the old inventory. Needs reading.</t>
        </is>
      </c>
      <c r="G680" s="11" t="inlineStr">
        <is>
          <t>g = global this as any
prev = error utils.get global handler.()</t>
        </is>
      </c>
      <c r="H680" s="3" t="inlineStr">
        <is>
          <t>G is global this as any. Prev is error utils.get global handler.().</t>
        </is>
      </c>
      <c r="I680" s="3" t="inlineStr">
        <is>
          <t>READ FROM THE CODE — rendered from the expressions the function runs</t>
        </is>
      </c>
      <c r="J680" s="3" t="inlineStr">
        <is>
          <t>Nothing is handed to it</t>
        </is>
      </c>
      <c r="K680" s="3" t="inlineStr">
        <is>
          <t>void</t>
        </is>
      </c>
      <c r="L680" s="3" t="inlineStr">
        <is>
          <t>—</t>
        </is>
      </c>
      <c r="M680" s="3" t="inlineStr">
        <is>
          <t>None found in this function — anything it assumes comes from the functions it depends on.</t>
        </is>
      </c>
      <c r="N680" s="3" t="inlineStr">
        <is>
          <t>Yes</t>
        </is>
      </c>
      <c r="O680" s="3" t="inlineStr">
        <is>
          <t>MK-XS-F-037 captureException</t>
        </is>
      </c>
      <c r="P680" s="3" t="n">
        <v>1</v>
      </c>
      <c r="Q680" s="3" t="inlineStr">
        <is>
          <t>MK-XS-F-037 captureException</t>
        </is>
      </c>
      <c r="R680" s="3" t="inlineStr">
        <is>
          <t>MK-XS-F-037 captureException → MK-XS-F-134 installGlobalHandler</t>
        </is>
      </c>
      <c r="S680" s="3" t="inlineStr">
        <is>
          <t>—</t>
        </is>
      </c>
      <c r="T680" s="3" t="inlineStr">
        <is>
          <t>—</t>
        </is>
      </c>
      <c r="U680" s="3" t="inlineStr">
        <is>
          <t>ACTIVE</t>
        </is>
      </c>
      <c r="V680" s="3" t="inlineStr">
        <is>
          <t>2026-08-27</t>
        </is>
      </c>
      <c r="W680" s="3" t="n"/>
      <c r="X680" s="3" t="n"/>
      <c r="Y680" s="3" t="inlineStr">
        <is>
          <t>NOTHING OPEN</t>
        </is>
      </c>
    </row>
    <row r="681" ht="60" customHeight="1">
      <c r="A681" s="3" t="inlineStr">
        <is>
          <t>MK-XS-F-135</t>
        </is>
      </c>
      <c r="B681" s="3" t="inlineStr">
        <is>
          <t>secureGet</t>
        </is>
      </c>
      <c r="C681" s="3" t="inlineStr">
        <is>
          <t>src/services/dataCrypto.ts</t>
        </is>
      </c>
      <c r="D681" s="3" t="n">
        <v>48</v>
      </c>
      <c r="E681" s="3" t="inlineStr">
        <is>
          <t>4 · BRINGS DATA IN</t>
        </is>
      </c>
      <c r="F681" s="3" t="inlineStr">
        <is>
          <t>NOT DETERMINED — the code carries no note saying what this is for, and it has no row in the old inventory. Needs reading.</t>
        </is>
      </c>
      <c r="G681" s="11" t="inlineStr">
        <is>
          <t>It reaches outside the app for data and hands back what came back — no arithmetic of its own.</t>
        </is>
      </c>
      <c r="H681" s="3" t="inlineStr">
        <is>
          <t>It reaches outside the app for data and hands back what came back — no arithmetic of its own.</t>
        </is>
      </c>
      <c r="I681" s="3" t="inlineStr">
        <is>
          <t>NO ARITHMETIC — there is no formula to state</t>
        </is>
      </c>
      <c r="J681" s="3" t="inlineStr">
        <is>
          <t>name: string</t>
        </is>
      </c>
      <c r="K681" s="3" t="inlineStr">
        <is>
          <t>Promise&lt;string | null&gt;</t>
        </is>
      </c>
      <c r="L681" s="3" t="inlineStr">
        <is>
          <t>—</t>
        </is>
      </c>
      <c r="M681" s="3" t="inlineStr">
        <is>
          <t>None found in this function — anything it assumes comes from the functions it depends on.</t>
        </is>
      </c>
      <c r="N681" s="3" t="inlineStr">
        <is>
          <t>Yes</t>
        </is>
      </c>
      <c r="O681" s="3" t="inlineStr">
        <is>
          <t>—</t>
        </is>
      </c>
      <c r="P681" s="3" t="n">
        <v>0</v>
      </c>
      <c r="Q681" s="3" t="inlineStr">
        <is>
          <t>None — no dependent function stands behind it</t>
        </is>
      </c>
      <c r="R681" s="3" t="inlineStr">
        <is>
          <t>No dependent function — it reads its inputs and answers</t>
        </is>
      </c>
      <c r="S681" s="3" t="inlineStr">
        <is>
          <t>—</t>
        </is>
      </c>
      <c r="T681" s="3" t="inlineStr">
        <is>
          <t>—</t>
        </is>
      </c>
      <c r="U681" s="3" t="inlineStr">
        <is>
          <t>ACTIVE</t>
        </is>
      </c>
      <c r="V681" s="3" t="inlineStr">
        <is>
          <t>2026-08-27</t>
        </is>
      </c>
      <c r="W681" s="3" t="n"/>
      <c r="X681" s="3" t="n"/>
      <c r="Y681" s="3" t="inlineStr">
        <is>
          <t>NOTHING OPEN</t>
        </is>
      </c>
    </row>
    <row r="682" ht="60" customHeight="1">
      <c r="A682" s="3" t="inlineStr">
        <is>
          <t>MK-XS-F-136</t>
        </is>
      </c>
      <c r="B682" s="3" t="inlineStr">
        <is>
          <t>secureSet</t>
        </is>
      </c>
      <c r="C682" s="3" t="inlineStr">
        <is>
          <t>src/services/dataCrypto.ts</t>
        </is>
      </c>
      <c r="D682" s="3" t="n">
        <v>72</v>
      </c>
      <c r="E682" s="3" t="inlineStr">
        <is>
          <t>1 · ACTION</t>
        </is>
      </c>
      <c r="F682" s="3" t="inlineStr">
        <is>
          <t>NOT DETERMINED — the code carries no note saying what this is for, and it has no row in the old inventory. Needs reading.</t>
        </is>
      </c>
      <c r="G682" s="11" t="inlineStr">
        <is>
          <t>It reaches outside the app for data and hands back what came back — no arithmetic of its own.</t>
        </is>
      </c>
      <c r="H682" s="3" t="inlineStr">
        <is>
          <t>It reaches outside the app for data and hands back what came back — no arithmetic of its own.</t>
        </is>
      </c>
      <c r="I682" s="3" t="inlineStr">
        <is>
          <t>NO ARITHMETIC — there is no formula to state</t>
        </is>
      </c>
      <c r="J682" s="3" t="inlineStr">
        <is>
          <t>1. name: string
2. value: string</t>
        </is>
      </c>
      <c r="K682" s="3" t="inlineStr">
        <is>
          <t>Promise&lt;void&gt;</t>
        </is>
      </c>
      <c r="L682" s="3" t="inlineStr">
        <is>
          <t>—</t>
        </is>
      </c>
      <c r="M682" s="3" t="inlineStr">
        <is>
          <t>None found in this function — anything it assumes comes from the functions it depends on.</t>
        </is>
      </c>
      <c r="N682" s="3" t="inlineStr">
        <is>
          <t>Yes</t>
        </is>
      </c>
      <c r="O682" s="3" t="inlineStr">
        <is>
          <t>—</t>
        </is>
      </c>
      <c r="P682" s="3" t="n">
        <v>0</v>
      </c>
      <c r="Q682" s="3" t="inlineStr">
        <is>
          <t>None — no dependent function stands behind it</t>
        </is>
      </c>
      <c r="R682" s="3" t="inlineStr">
        <is>
          <t>No dependent function — it reads its inputs and answers</t>
        </is>
      </c>
      <c r="S682" s="3" t="inlineStr">
        <is>
          <t>—</t>
        </is>
      </c>
      <c r="T682" s="3" t="inlineStr">
        <is>
          <t>—</t>
        </is>
      </c>
      <c r="U682" s="3" t="inlineStr">
        <is>
          <t>ACTIVE</t>
        </is>
      </c>
      <c r="V682" s="3" t="inlineStr">
        <is>
          <t>2026-08-27</t>
        </is>
      </c>
      <c r="W682" s="3" t="n"/>
      <c r="X682" s="3" t="n"/>
      <c r="Y682" s="3" t="inlineStr">
        <is>
          <t>NOTHING OPEN</t>
        </is>
      </c>
    </row>
    <row r="683" ht="60" customHeight="1">
      <c r="A683" s="3" t="inlineStr">
        <is>
          <t>MK-XS-F-137</t>
        </is>
      </c>
      <c r="B683" s="3" t="inlineStr">
        <is>
          <t>secureDelete</t>
        </is>
      </c>
      <c r="C683" s="3" t="inlineStr">
        <is>
          <t>src/services/dataCrypto.ts</t>
        </is>
      </c>
      <c r="D683" s="3" t="n">
        <v>95</v>
      </c>
      <c r="E683" s="3" t="inlineStr">
        <is>
          <t>1 · ACTION</t>
        </is>
      </c>
      <c r="F683" s="3" t="inlineStr">
        <is>
          <t>NOT DETERMINED — the code carries no note saying what this is for, and it has no row in the old inventory. Needs reading.</t>
        </is>
      </c>
      <c r="G683" s="11" t="inlineStr">
        <is>
          <t>It reaches outside the app for data and hands back what came back — no arithmetic of its own.</t>
        </is>
      </c>
      <c r="H683" s="3" t="inlineStr">
        <is>
          <t>It reaches outside the app for data and hands back what came back — no arithmetic of its own.</t>
        </is>
      </c>
      <c r="I683" s="3" t="inlineStr">
        <is>
          <t>NO ARITHMETIC — there is no formula to state</t>
        </is>
      </c>
      <c r="J683" s="3" t="inlineStr">
        <is>
          <t>name: string</t>
        </is>
      </c>
      <c r="K683" s="3" t="inlineStr">
        <is>
          <t>Promise&lt;void&gt;</t>
        </is>
      </c>
      <c r="L683" s="3" t="inlineStr">
        <is>
          <t>—</t>
        </is>
      </c>
      <c r="M683" s="3" t="inlineStr">
        <is>
          <t>None found in this function — anything it assumes comes from the functions it depends on.</t>
        </is>
      </c>
      <c r="N683" s="3" t="inlineStr">
        <is>
          <t>Yes</t>
        </is>
      </c>
      <c r="O683" s="3" t="inlineStr">
        <is>
          <t>—</t>
        </is>
      </c>
      <c r="P683" s="3" t="n">
        <v>0</v>
      </c>
      <c r="Q683" s="3" t="inlineStr">
        <is>
          <t>None — no dependent function stands behind it</t>
        </is>
      </c>
      <c r="R683" s="3" t="inlineStr">
        <is>
          <t>No dependent function — it reads its inputs and answers</t>
        </is>
      </c>
      <c r="S683" s="3" t="inlineStr">
        <is>
          <t>—</t>
        </is>
      </c>
      <c r="T683" s="3" t="inlineStr">
        <is>
          <t>—</t>
        </is>
      </c>
      <c r="U683" s="3" t="inlineStr">
        <is>
          <t>ACTIVE</t>
        </is>
      </c>
      <c r="V683" s="3" t="inlineStr">
        <is>
          <t>2026-08-27</t>
        </is>
      </c>
      <c r="W683" s="3" t="n"/>
      <c r="X683" s="3" t="n"/>
      <c r="Y683" s="3" t="inlineStr">
        <is>
          <t>NOTHING OPEN</t>
        </is>
      </c>
    </row>
    <row r="684" ht="60" customHeight="1">
      <c r="A684" s="3" t="inlineStr">
        <is>
          <t>MK-XS-F-138</t>
        </is>
      </c>
      <c r="B684" s="3" t="inlineStr">
        <is>
          <t>deriveKeyFromSecret</t>
        </is>
      </c>
      <c r="C684" s="3" t="inlineStr">
        <is>
          <t>src/services/dataCrypto.ts</t>
        </is>
      </c>
      <c r="D684" s="3" t="n">
        <v>262</v>
      </c>
      <c r="E684" s="3" t="inlineStr">
        <is>
          <t>3 · DEPENDENT</t>
        </is>
      </c>
      <c r="F684" s="3" t="inlineStr">
        <is>
          <t>── Wrapping (lock/unlock the DEK with a password or recovery code) ───</t>
        </is>
      </c>
      <c r="G684" s="11" t="inlineStr">
        <is>
          <t>crypto js.PBKDF2(secret.trim(), uid, { key size: 256 ÷ 32, iterations: PBKDF2_ITERS }).to string(crypto js.enc.hex)</t>
        </is>
      </c>
      <c r="H684" s="3" t="inlineStr">
        <is>
          <t>crypto js.PBKDF2(secret.trim(), uid, { key size: 256 divided by 32, iterations: PBKDF2_ITERS }).to string(crypto js.enc.hex).</t>
        </is>
      </c>
      <c r="I684" s="3" t="inlineStr">
        <is>
          <t>PARTLY READ — some of the code is still showing through; needs a hand pass</t>
        </is>
      </c>
      <c r="J684" s="3" t="inlineStr">
        <is>
          <t>1. secret: string
2. uid: string</t>
        </is>
      </c>
      <c r="K684" s="3" t="inlineStr">
        <is>
          <t>string</t>
        </is>
      </c>
      <c r="L684" s="3" t="inlineStr">
        <is>
          <t>—</t>
        </is>
      </c>
      <c r="M684" s="3" t="inlineStr">
        <is>
          <t>None found in this function — anything it assumes comes from the functions it depends on.</t>
        </is>
      </c>
      <c r="N684" s="3" t="inlineStr">
        <is>
          <t>Yes</t>
        </is>
      </c>
      <c r="O684" s="3" t="inlineStr">
        <is>
          <t>MK-XS-F-175 uid</t>
        </is>
      </c>
      <c r="P684" s="3" t="n">
        <v>83</v>
      </c>
      <c r="Q684"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684"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684" s="3" t="inlineStr">
        <is>
          <t>—</t>
        </is>
      </c>
      <c r="T684" s="3" t="inlineStr">
        <is>
          <t>—</t>
        </is>
      </c>
      <c r="U684" s="3" t="inlineStr">
        <is>
          <t>ACTIVE</t>
        </is>
      </c>
      <c r="V684" s="3" t="inlineStr">
        <is>
          <t>2026-08-27</t>
        </is>
      </c>
      <c r="W684" s="3" t="n"/>
      <c r="X684" s="3" t="n"/>
      <c r="Y684" s="3" t="inlineStr">
        <is>
          <t>NOTHING OPEN</t>
        </is>
      </c>
    </row>
    <row r="685" ht="60" customHeight="1">
      <c r="A685" s="3" t="inlineStr">
        <is>
          <t>MK-XS-F-139</t>
        </is>
      </c>
      <c r="B685" s="3" t="inlineStr">
        <is>
          <t>wrapWithSecret</t>
        </is>
      </c>
      <c r="C685" s="3" t="inlineStr">
        <is>
          <t>src/services/dataCrypto.ts</t>
        </is>
      </c>
      <c r="D685" s="3" t="n">
        <v>287</v>
      </c>
      <c r="E685" s="3" t="inlineStr">
        <is>
          <t>3 · DEPENDENT</t>
        </is>
      </c>
      <c r="F685" s="3" t="inlineStr">
        <is>
          <t>NOT DETERMINED — the code carries no note saying what this is for, and it has no row in the old inventory. Needs reading.</t>
        </is>
      </c>
      <c r="G685" s="11" t="inlineStr">
        <is>
          <t>encrypt with key(dek, derive key from secret(secret, uid))</t>
        </is>
      </c>
      <c r="H685" s="3" t="inlineStr">
        <is>
          <t>encrypt with key(dek, derive key from secret(secret, uid)).</t>
        </is>
      </c>
      <c r="I685" s="3" t="inlineStr">
        <is>
          <t>READ FROM THE CODE — rendered from the expressions the function runs</t>
        </is>
      </c>
      <c r="J685" s="3" t="inlineStr">
        <is>
          <t>1. dek: string
2. uid: string
3. secret: string</t>
        </is>
      </c>
      <c r="K685" s="3" t="inlineStr">
        <is>
          <t>string</t>
        </is>
      </c>
      <c r="L685" s="3" t="inlineStr">
        <is>
          <t>—</t>
        </is>
      </c>
      <c r="M685" s="3" t="inlineStr">
        <is>
          <t>None found in this function — anything it assumes comes from the functions it depends on.</t>
        </is>
      </c>
      <c r="N685" s="3" t="inlineStr">
        <is>
          <t>Yes</t>
        </is>
      </c>
      <c r="O685" s="3" t="inlineStr">
        <is>
          <t>1. MK-XS-F-138 deriveKeyFromSecret
2. MK-XS-F-052 encryptWithKey
3. MK-XS-F-175 uid</t>
        </is>
      </c>
      <c r="P685" s="3" t="n">
        <v>85</v>
      </c>
      <c r="Q685"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685"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685" s="3" t="inlineStr">
        <is>
          <t>—</t>
        </is>
      </c>
      <c r="T685" s="3" t="inlineStr">
        <is>
          <t>—</t>
        </is>
      </c>
      <c r="U685" s="3" t="inlineStr">
        <is>
          <t>ACTIVE</t>
        </is>
      </c>
      <c r="V685" s="3" t="inlineStr">
        <is>
          <t>2026-08-27</t>
        </is>
      </c>
      <c r="W685" s="3" t="n"/>
      <c r="X685" s="3" t="n"/>
      <c r="Y685" s="3" t="inlineStr">
        <is>
          <t>NOTHING OPEN</t>
        </is>
      </c>
    </row>
    <row r="686" ht="60" customHeight="1">
      <c r="A686" s="3" t="inlineStr">
        <is>
          <t>MK-XS-F-140</t>
        </is>
      </c>
      <c r="B686" s="3" t="inlineStr">
        <is>
          <t>fetchInflation</t>
        </is>
      </c>
      <c r="C686" s="3" t="inlineStr">
        <is>
          <t>src/services/economicData.ts</t>
        </is>
      </c>
      <c r="D686" s="3" t="n">
        <v>111</v>
      </c>
      <c r="E686" s="3" t="inlineStr">
        <is>
          <t>4 · BRINGS DATA IN</t>
        </is>
      </c>
      <c r="F686" s="3" t="inlineStr">
        <is>
          <t>NOT DETERMINED — the code carries no note saying what this is for, and it has no row in the old inventory. Needs reading.</t>
        </is>
      </c>
      <c r="G686" s="11" t="inlineStr">
        <is>
          <t>res = await fetch(BLS_API + BLS_CPI_SERIES)
json = await res.json()
series = json.results.series.[0].data
latest = parse float(series[0].value)
year ago = parse float(series[12].value)
rate = ((latest − year ago) ÷ year ago) × 100
the answer = round(rate, 2 dp)</t>
        </is>
      </c>
      <c r="H686"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686" s="3" t="inlineStr">
        <is>
          <t>PARTLY READ — some of the code is still showing through; needs a hand pass</t>
        </is>
      </c>
      <c r="J686" s="3" t="inlineStr">
        <is>
          <t>Nothing is handed to it</t>
        </is>
      </c>
      <c r="K686" s="3" t="inlineStr">
        <is>
          <t>Promise&lt;number&gt;</t>
        </is>
      </c>
      <c r="L686" s="3" t="inlineStr">
        <is>
          <t>—</t>
        </is>
      </c>
      <c r="M686" s="3" t="inlineStr">
        <is>
          <t>· Rounds the answer to two decimals (cents).</t>
        </is>
      </c>
      <c r="N686" s="3" t="inlineStr">
        <is>
          <t>No</t>
        </is>
      </c>
      <c r="O686" s="3" t="inlineStr">
        <is>
          <t>—</t>
        </is>
      </c>
      <c r="P686" s="3" t="n">
        <v>0</v>
      </c>
      <c r="Q686" s="3" t="inlineStr">
        <is>
          <t>None — no dependent function stands behind it</t>
        </is>
      </c>
      <c r="R686" s="3" t="inlineStr">
        <is>
          <t>No dependent function — it reads its inputs and answers</t>
        </is>
      </c>
      <c r="S686" s="3" t="inlineStr">
        <is>
          <t>—</t>
        </is>
      </c>
      <c r="T686" s="3" t="inlineStr">
        <is>
          <t>—</t>
        </is>
      </c>
      <c r="U686" s="3" t="inlineStr">
        <is>
          <t>ACTIVE</t>
        </is>
      </c>
      <c r="V686" s="3" t="inlineStr">
        <is>
          <t>2026-08-27</t>
        </is>
      </c>
      <c r="W686" s="3" t="n"/>
      <c r="X686" s="3" t="n"/>
      <c r="Y686" s="3" t="inlineStr">
        <is>
          <t>NOTHING OPEN</t>
        </is>
      </c>
    </row>
    <row r="687" ht="60" customHeight="1">
      <c r="A687" s="3" t="inlineStr">
        <is>
          <t>MK-XS-F-141</t>
        </is>
      </c>
      <c r="B687" s="3" t="inlineStr">
        <is>
          <t>fetchTreasuryYield</t>
        </is>
      </c>
      <c r="C687" s="3" t="inlineStr">
        <is>
          <t>src/services/economicData.ts</t>
        </is>
      </c>
      <c r="D687" s="3" t="n">
        <v>153</v>
      </c>
      <c r="E687" s="3" t="inlineStr">
        <is>
          <t>4 · BRINGS DATA IN</t>
        </is>
      </c>
      <c r="F687" s="3" t="inlineStr">
        <is>
          <t>NOT DETERMINED — the code carries no note saying what this is for, and it has no row in the old inventory. Needs reading.</t>
        </is>
      </c>
      <c r="G687" s="11" t="inlineStr">
        <is>
          <t>res = await fetch(TREASURY_API)
csv = await res.text()
rows = csv.trim().split('\n').slice(1)
value = rows[i].split(',')[1].trim()
rate = parse float(value)
[LOOP — the answer is found inside a loop the extractor cannot render; the steps above are the ones before it. Read by hand.]</t>
        </is>
      </c>
      <c r="H687" s="3" t="inlineStr">
        <is>
          <t>Res is await fetch(TREASURY_API). Csv is await res.text(). Rows is csv.trim().split('\n').slice(1). Value is rows[i].split(',')[1].trim(). Rate is parse float(value). The answer is rate, to the cent. The answer is found inside a loop that cannot be rendered here; read the code by hand.</t>
        </is>
      </c>
      <c r="I687" s="3" t="inlineStr">
        <is>
          <t>PARTLY READ — the body has a loop the extractor cannot render; the steps shown are the ones before it. Needs a hand pass (G23).</t>
        </is>
      </c>
      <c r="J687" s="3" t="inlineStr">
        <is>
          <t>Nothing is handed to it</t>
        </is>
      </c>
      <c r="K687" s="3" t="inlineStr">
        <is>
          <t>Promise&lt;number&gt;</t>
        </is>
      </c>
      <c r="L687" s="3" t="inlineStr">
        <is>
          <t>—</t>
        </is>
      </c>
      <c r="M687" s="3" t="inlineStr">
        <is>
          <t>· Rounds the answer to two decimals (cents).</t>
        </is>
      </c>
      <c r="N687" s="3" t="inlineStr">
        <is>
          <t>No</t>
        </is>
      </c>
      <c r="O687" s="3" t="inlineStr">
        <is>
          <t>—</t>
        </is>
      </c>
      <c r="P687" s="3" t="n">
        <v>0</v>
      </c>
      <c r="Q687" s="3" t="inlineStr">
        <is>
          <t>None — no dependent function stands behind it</t>
        </is>
      </c>
      <c r="R687" s="3" t="inlineStr">
        <is>
          <t>No dependent function — it reads its inputs and answers</t>
        </is>
      </c>
      <c r="S687" s="3" t="inlineStr">
        <is>
          <t>—</t>
        </is>
      </c>
      <c r="T687" s="3" t="inlineStr">
        <is>
          <t>—</t>
        </is>
      </c>
      <c r="U687" s="3" t="inlineStr">
        <is>
          <t>ACTIVE</t>
        </is>
      </c>
      <c r="V687" s="3" t="inlineStr">
        <is>
          <t>2026-09-08</t>
        </is>
      </c>
      <c r="W687" s="3" t="n"/>
      <c r="X687" s="3" t="n"/>
      <c r="Y687" s="3" t="inlineStr">
        <is>
          <t>NOTHING OPEN</t>
        </is>
      </c>
    </row>
    <row r="688" ht="60" customHeight="1">
      <c r="A688" s="3" t="inlineStr">
        <is>
          <t>MK-XS-F-142</t>
        </is>
      </c>
      <c r="B688" s="3" t="inlineStr">
        <is>
          <t>makeInviteCode</t>
        </is>
      </c>
      <c r="C688" s="3" t="inlineStr">
        <is>
          <t>src/services/firebase.ts</t>
        </is>
      </c>
      <c r="D688" s="3" t="n">
        <v>535</v>
      </c>
      <c r="E688" s="3" t="inlineStr">
        <is>
          <t>3 · DEPENDENT</t>
        </is>
      </c>
      <c r="F688" s="3" t="inlineStr">
        <is>
          <t>── Household / spouse invites ───────────────────────────────────── Spouses share ONE data document: all reads/writes go to users/{householdId} where householdId = the inviter's uid.</t>
        </is>
      </c>
      <c r="G688" s="11" t="inlineStr">
        <is>
          <t>alphabet = 'ABCDEFGHJKMNPQRSTUVWXYZ23456789'
the answer = array.from({ length: 6 }, () =&gt; ALPHABET[math.floor(math.random() × ALPHABET.length)]).join('')</t>
        </is>
      </c>
      <c r="H688" s="3" t="inlineStr">
        <is>
          <t>Alphabet is 'ABCDEFGHJKMNPQRSTUVWXYZ23456789'. The answer is array.from({ length: 6 }, () =&gt; ALPHABET[math.floor(math.random() times ALPHABET.length)]).join('').</t>
        </is>
      </c>
      <c r="I688" s="3" t="inlineStr">
        <is>
          <t>PARTLY READ — some of the code is still showing through; needs a hand pass</t>
        </is>
      </c>
      <c r="J688" s="3" t="inlineStr">
        <is>
          <t>Nothing is handed to it</t>
        </is>
      </c>
      <c r="K688" s="3" t="inlineStr">
        <is>
          <t>string</t>
        </is>
      </c>
      <c r="L688" s="3" t="inlineStr">
        <is>
          <t>—</t>
        </is>
      </c>
      <c r="M688" s="3" t="inlineStr">
        <is>
          <t>None found in this function — anything it assumes comes from the functions it depends on.</t>
        </is>
      </c>
      <c r="N688" s="3" t="inlineStr">
        <is>
          <t>Yes</t>
        </is>
      </c>
      <c r="O688" s="3" t="inlineStr">
        <is>
          <t>—</t>
        </is>
      </c>
      <c r="P688" s="3" t="n">
        <v>0</v>
      </c>
      <c r="Q688" s="3" t="inlineStr">
        <is>
          <t>None — no dependent function stands behind it</t>
        </is>
      </c>
      <c r="R688" s="3" t="inlineStr">
        <is>
          <t>No dependent function — it reads its inputs and answers</t>
        </is>
      </c>
      <c r="S688" s="3" t="inlineStr">
        <is>
          <t>—</t>
        </is>
      </c>
      <c r="T688" s="3" t="inlineStr">
        <is>
          <t>—</t>
        </is>
      </c>
      <c r="U688" s="3" t="inlineStr">
        <is>
          <t>ACTIVE</t>
        </is>
      </c>
      <c r="V688" s="3" t="inlineStr">
        <is>
          <t>2026-08-27</t>
        </is>
      </c>
      <c r="W688" s="3" t="n"/>
      <c r="X688" s="3" t="n"/>
      <c r="Y688" s="3" t="inlineStr">
        <is>
          <t>NOTHING OPEN</t>
        </is>
      </c>
    </row>
    <row r="689" ht="60" customHeight="1">
      <c r="A689" s="3" t="inlineStr">
        <is>
          <t>MK-XS-F-143</t>
        </is>
      </c>
      <c r="B689" s="3" t="inlineStr">
        <is>
          <t>yahooSymbol</t>
        </is>
      </c>
      <c r="C689" s="3" t="inlineStr">
        <is>
          <t>src/services/marketData.ts</t>
        </is>
      </c>
      <c r="D689" s="3" t="n">
        <v>41</v>
      </c>
      <c r="E689" s="3" t="inlineStr">
        <is>
          <t>4 · BRINGS DATA IN</t>
        </is>
      </c>
      <c r="F689" s="3" t="inlineStr">
        <is>
          <t>Map a plain ticker to the provider's symbol convention (crypto needs the -USD pair on Yahoo).</t>
        </is>
      </c>
      <c r="G689"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689"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689" s="3" t="inlineStr">
        <is>
          <t>PARTLY READ — some of the code is still showing through; needs a hand pass</t>
        </is>
      </c>
      <c r="J689" s="3" t="inlineStr">
        <is>
          <t>ticker: string</t>
        </is>
      </c>
      <c r="K689" s="3" t="inlineStr">
        <is>
          <t>string</t>
        </is>
      </c>
      <c r="L689" s="3" t="inlineStr">
        <is>
          <t>—</t>
        </is>
      </c>
      <c r="M689" s="3" t="inlineStr">
        <is>
          <t>None found in this function — anything it assumes comes from the functions it depends on.</t>
        </is>
      </c>
      <c r="N689" s="3" t="inlineStr">
        <is>
          <t>No</t>
        </is>
      </c>
      <c r="O689" s="3" t="inlineStr">
        <is>
          <t>—</t>
        </is>
      </c>
      <c r="P689" s="3" t="n">
        <v>0</v>
      </c>
      <c r="Q689" s="3" t="inlineStr">
        <is>
          <t>None — no dependent function stands behind it</t>
        </is>
      </c>
      <c r="R689" s="3" t="inlineStr">
        <is>
          <t>No dependent function — it reads its inputs and answers</t>
        </is>
      </c>
      <c r="S689" s="3" t="inlineStr">
        <is>
          <t>—</t>
        </is>
      </c>
      <c r="T689" s="3" t="inlineStr">
        <is>
          <t>—</t>
        </is>
      </c>
      <c r="U689" s="3" t="inlineStr">
        <is>
          <t>ACTIVE</t>
        </is>
      </c>
      <c r="V689" s="3" t="inlineStr">
        <is>
          <t>2026-08-27</t>
        </is>
      </c>
      <c r="W689" s="3" t="inlineStr">
        <is>
          <t>[from MK-NW-M-029, Formula (mathematical)] Is the formula embedded directly in the code and not as a separate function? Live price was to be sourced from Yahoo or similar engine.</t>
        </is>
      </c>
      <c r="X689" s="6" t="inlineStr">
        <is>
          <t>This is the feed: Yahoo Finance daily closes, free, no key. 'Current price' on the holding screen = the last close of this series, picked on the screen (no named function). Answer in full on MK-NW-M-029.</t>
        </is>
      </c>
      <c r="Y689" s="6" t="inlineStr">
        <is>
          <t>WAITING ON YOU — answer to read</t>
        </is>
      </c>
    </row>
    <row r="690" ht="60" customHeight="1">
      <c r="A690" s="3" t="inlineStr">
        <is>
          <t>MK-XS-F-144</t>
        </is>
      </c>
      <c r="B690" s="3" t="inlineStr">
        <is>
          <t>guessCategory</t>
        </is>
      </c>
      <c r="C690" s="3" t="inlineStr">
        <is>
          <t>src/services/receiptOCR.ts</t>
        </is>
      </c>
      <c r="D690" s="3" t="n">
        <v>287</v>
      </c>
      <c r="E690" s="3" t="inlineStr">
        <is>
          <t>3 · DEPENDENT (feeds an action only)</t>
        </is>
      </c>
      <c r="F690" s="3" t="inlineStr">
        <is>
          <t>NOT DETERMINED — the code carries no note saying what this is for, and it has no row in the old inventory. Needs reading.</t>
        </is>
      </c>
      <c r="G690"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690"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690" s="3" t="inlineStr">
        <is>
          <t>PARTLY READ — some of the code is still showing through; needs a hand pass</t>
        </is>
      </c>
      <c r="J690" s="3" t="inlineStr">
        <is>
          <t>1. store: string
2. text: string</t>
        </is>
      </c>
      <c r="K690" s="3" t="inlineStr">
        <is>
          <t>string</t>
        </is>
      </c>
      <c r="L690" s="3" t="inlineStr">
        <is>
          <t>—</t>
        </is>
      </c>
      <c r="M690" s="3" t="inlineStr">
        <is>
          <t>None found in this function — anything it assumes comes from the functions it depends on.</t>
        </is>
      </c>
      <c r="N690" s="3" t="inlineStr">
        <is>
          <t>No</t>
        </is>
      </c>
      <c r="O690" s="3" t="inlineStr">
        <is>
          <t>—</t>
        </is>
      </c>
      <c r="P690" s="3" t="n">
        <v>0</v>
      </c>
      <c r="Q690" s="3" t="inlineStr">
        <is>
          <t>None — no dependent function stands behind it</t>
        </is>
      </c>
      <c r="R690" s="3" t="inlineStr">
        <is>
          <t>No dependent function — it reads its inputs and answers</t>
        </is>
      </c>
      <c r="S690" s="3" t="inlineStr">
        <is>
          <t>—</t>
        </is>
      </c>
      <c r="T690" s="3" t="inlineStr">
        <is>
          <t>—</t>
        </is>
      </c>
      <c r="U690" s="3" t="inlineStr">
        <is>
          <t>ACTIVE</t>
        </is>
      </c>
      <c r="V690" s="3" t="inlineStr">
        <is>
          <t>2026-08-27</t>
        </is>
      </c>
      <c r="W690" s="3" t="n"/>
      <c r="X690" s="3" t="n"/>
      <c r="Y690" s="3" t="inlineStr">
        <is>
          <t>NOTHING OPEN</t>
        </is>
      </c>
    </row>
    <row r="691" ht="60" customHeight="1">
      <c r="A691" s="3" t="inlineStr">
        <is>
          <t>MK-XS-F-145</t>
        </is>
      </c>
      <c r="B691" s="3" t="inlineStr">
        <is>
          <t>flatSymbol</t>
        </is>
      </c>
      <c r="C691" s="3" t="inlineStr">
        <is>
          <t>src/services/sync/snaptrade.ts</t>
        </is>
      </c>
      <c r="D691" s="3" t="n">
        <v>170</v>
      </c>
      <c r="E691" s="3" t="inlineStr">
        <is>
          <t>3 · DEPENDENT (feeds an action only)</t>
        </is>
      </c>
      <c r="F691" s="3" t="inlineStr">
        <is>
          <t>── positions → our holdings ───────────────────────────────────────────────────────────────────</t>
        </is>
      </c>
      <c r="G691" s="11" t="inlineStr">
        <is>
          <t>s = symbol
nothing   when s is missing
the answer:
symbol   if symbol and typeof symbol = 'object'
s   otherwise</t>
        </is>
      </c>
      <c r="H691" s="3" t="inlineStr">
        <is>
          <t>S is symbol. When s is missing, it answers no answer. The answer is symbol — when symbol and typeof symbol = 'object'; s — otherwise.</t>
        </is>
      </c>
      <c r="I691" s="3" t="inlineStr">
        <is>
          <t>PARTLY READ — some of the code is still showing through; needs a hand pass</t>
        </is>
      </c>
      <c r="J691" s="3" t="inlineStr">
        <is>
          <t>p: StPosition</t>
        </is>
      </c>
      <c r="K691" s="3" t="inlineStr">
        <is>
          <t>StSymbol | null</t>
        </is>
      </c>
      <c r="L691" s="3" t="inlineStr">
        <is>
          <t>—</t>
        </is>
      </c>
      <c r="M691" s="3" t="inlineStr">
        <is>
          <t>None found in this function — anything it assumes comes from the functions it depends on.</t>
        </is>
      </c>
      <c r="N691" s="3" t="inlineStr">
        <is>
          <t>No</t>
        </is>
      </c>
      <c r="O691" s="3" t="inlineStr">
        <is>
          <t>—</t>
        </is>
      </c>
      <c r="P691" s="3" t="n">
        <v>0</v>
      </c>
      <c r="Q691" s="3" t="inlineStr">
        <is>
          <t>None — no dependent function stands behind it</t>
        </is>
      </c>
      <c r="R691" s="3" t="inlineStr">
        <is>
          <t>No dependent function — it reads its inputs and answers</t>
        </is>
      </c>
      <c r="S691" s="3" t="inlineStr">
        <is>
          <t>—</t>
        </is>
      </c>
      <c r="T691" s="3" t="inlineStr">
        <is>
          <t>—</t>
        </is>
      </c>
      <c r="U691" s="3" t="inlineStr">
        <is>
          <t>ACTIVE</t>
        </is>
      </c>
      <c r="V691" s="3" t="inlineStr">
        <is>
          <t>2026-08-27</t>
        </is>
      </c>
      <c r="W691" s="3" t="n"/>
      <c r="X691" s="3" t="n"/>
      <c r="Y691" s="3" t="inlineStr">
        <is>
          <t>NOTHING OPEN</t>
        </is>
      </c>
    </row>
    <row r="692" ht="60" customHeight="1">
      <c r="A692" s="3" t="inlineStr">
        <is>
          <t>MK-XS-F-146</t>
        </is>
      </c>
      <c r="B692" s="3" t="inlineStr">
        <is>
          <t>prettyExpiry</t>
        </is>
      </c>
      <c r="C692" s="3" t="inlineStr">
        <is>
          <t>src/services/sync/snaptrade.ts</t>
        </is>
      </c>
      <c r="D692" s="3" t="n">
        <v>272</v>
      </c>
      <c r="E692" s="3" t="inlineStr">
        <is>
          <t>3 · DEPENDENT (feeds an action only)</t>
        </is>
      </c>
      <c r="F692" s="3" t="inlineStr">
        <is>
          <t>NOT DETERMINED — the code carries no note saying what this is for, and it has no row in the old inventory. Needs reading.</t>
        </is>
      </c>
      <c r="G692" s="11" t="inlineStr">
        <is>
          <t>`${MONTHS[m − 1]} ${d} ${y}`   if y and m and d
'unknown expiry'   otherwise</t>
        </is>
      </c>
      <c r="H692" s="3" t="inlineStr">
        <is>
          <t>`${MONTHS[m minus 1]} ${d} ${y}` — when y and m and d; 'unknown expiry' — otherwise.</t>
        </is>
      </c>
      <c r="I692" s="3" t="inlineStr">
        <is>
          <t>PARTLY READ — some of the code is still showing through; needs a hand pass</t>
        </is>
      </c>
      <c r="J692" s="3" t="inlineStr">
        <is>
          <t>iso: string | null | undefined</t>
        </is>
      </c>
      <c r="K692" s="3" t="inlineStr">
        <is>
          <t>NOT DECLARED — the code does not say what it gives back</t>
        </is>
      </c>
      <c r="L692" s="3" t="inlineStr">
        <is>
          <t>—</t>
        </is>
      </c>
      <c r="M692" s="3" t="inlineStr">
        <is>
          <t>None found in this function — anything it assumes comes from the functions it depends on.</t>
        </is>
      </c>
      <c r="N692" s="3" t="inlineStr">
        <is>
          <t>No</t>
        </is>
      </c>
      <c r="O692" s="3" t="inlineStr">
        <is>
          <t>MK-CF-F-132 map</t>
        </is>
      </c>
      <c r="P692" s="3" t="n">
        <v>1</v>
      </c>
      <c r="Q692" s="3" t="inlineStr">
        <is>
          <t>MK-CF-F-132 map</t>
        </is>
      </c>
      <c r="R692" s="3" t="inlineStr">
        <is>
          <t>MK-CF-F-132 map → MK-XS-F-146 prettyExpiry</t>
        </is>
      </c>
      <c r="S692" s="3" t="inlineStr">
        <is>
          <t>—</t>
        </is>
      </c>
      <c r="T692" s="3" t="inlineStr">
        <is>
          <t>—</t>
        </is>
      </c>
      <c r="U692" s="3" t="inlineStr">
        <is>
          <t>ACTIVE</t>
        </is>
      </c>
      <c r="V692" s="3" t="inlineStr">
        <is>
          <t>2026-08-27</t>
        </is>
      </c>
      <c r="W692" s="3" t="n"/>
      <c r="X692" s="3" t="n"/>
      <c r="Y692" s="3" t="inlineStr">
        <is>
          <t>NOTHING OPEN</t>
        </is>
      </c>
    </row>
    <row r="693" ht="60" customHeight="1">
      <c r="A693" s="3" t="inlineStr">
        <is>
          <t>MK-XS-F-147</t>
        </is>
      </c>
      <c r="B693" s="3" t="inlineStr">
        <is>
          <t>call</t>
        </is>
      </c>
      <c r="C693" s="3" t="inlineStr">
        <is>
          <t>src/services/sync/snaptradeClient.ts</t>
        </is>
      </c>
      <c r="D693" s="3" t="n">
        <v>93</v>
      </c>
      <c r="E693" s="3" t="inlineStr">
        <is>
          <t>4 · BRINGS DATA IN</t>
        </is>
      </c>
      <c r="F693" s="3" t="inlineStr">
        <is>
          <t>NOT DETERMINED — the code carries no note saying what this is for, and it has no row in the old inventory. Needs reading.</t>
        </is>
      </c>
      <c r="G693" s="11" t="inlineStr">
        <is>
          <t>url = relay url()
token = await current id token()
data = await res.json().catch(() =&gt; nothing)
the answer = data as T</t>
        </is>
      </c>
      <c r="H693" s="3" t="inlineStr">
        <is>
          <t>Url is relay url(). Token is await current id token(). Data is await res.json().catch(() =&gt; no answer). The answer is data as T.</t>
        </is>
      </c>
      <c r="I693" s="3" t="inlineStr">
        <is>
          <t>PARTLY READ — some of the code is still showing through; needs a hand pass</t>
        </is>
      </c>
      <c r="J693" s="3" t="inlineStr">
        <is>
          <t>1. action: string
2. params: Record&lt;string, unknown&gt; = {}</t>
        </is>
      </c>
      <c r="K693" s="3" t="inlineStr">
        <is>
          <t>Promise&lt;T&gt;</t>
        </is>
      </c>
      <c r="L693" s="3" t="inlineStr">
        <is>
          <t>—</t>
        </is>
      </c>
      <c r="M693" s="3" t="inlineStr">
        <is>
          <t>None found in this function — anything it assumes comes from the functions it depends on.</t>
        </is>
      </c>
      <c r="N693" s="3" t="inlineStr">
        <is>
          <t>No</t>
        </is>
      </c>
      <c r="O693" s="3" t="inlineStr">
        <is>
          <t>1. MK-ST-F-027 accountId
2. MK-XS-F-064 currentIdToken
3. MK-XS-F-112 relayUrl</t>
        </is>
      </c>
      <c r="P693" s="3" t="n">
        <v>3</v>
      </c>
      <c r="Q693" s="3" t="inlineStr">
        <is>
          <t>1. MK-ST-F-027 accountId
2. MK-XS-F-064 currentIdToken
3. MK-XS-F-112 relayUrl</t>
        </is>
      </c>
      <c r="R693" s="3" t="inlineStr">
        <is>
          <t>1. MK-ST-F-027 accountId → MK-XS-F-147 call
2. MK-XS-F-064 currentIdToken → MK-XS-F-147 call
3. MK-XS-F-112 relayUrl → MK-XS-F-147 call</t>
        </is>
      </c>
      <c r="S693" s="3" t="inlineStr">
        <is>
          <t>—</t>
        </is>
      </c>
      <c r="T693" s="3" t="inlineStr">
        <is>
          <t>—</t>
        </is>
      </c>
      <c r="U693" s="3" t="inlineStr">
        <is>
          <t>ACTIVE</t>
        </is>
      </c>
      <c r="V693" s="3" t="inlineStr">
        <is>
          <t>2026-08-27</t>
        </is>
      </c>
      <c r="W693" s="3" t="n"/>
      <c r="X693" s="3" t="n"/>
      <c r="Y693" s="3" t="inlineStr">
        <is>
          <t>NOTHING OPEN</t>
        </is>
      </c>
    </row>
    <row r="694" ht="60" customHeight="1">
      <c r="A694" s="3" t="inlineStr">
        <is>
          <t>MK-XS-F-148</t>
        </is>
      </c>
      <c r="B694" s="3" t="inlineStr">
        <is>
          <t>unwrapActivities</t>
        </is>
      </c>
      <c r="C694" s="3" t="inlineStr">
        <is>
          <t>src/services/sync/snaptradeSync.ts</t>
        </is>
      </c>
      <c r="D694" s="3" t="n">
        <v>73</v>
      </c>
      <c r="E694" s="3" t="inlineStr">
        <is>
          <t>3 · DEPENDENT</t>
        </is>
      </c>
      <c r="F694" s="3" t="inlineStr">
        <is>
          <t>SnapTrade wraps this endpoint in a pagination envelope {data, pagination:{total}} — LIVE-VERIFIED 2026-07-19 against a real E*TRADE connection (their docs' examples show a bare array; production does not).</t>
        </is>
      </c>
      <c r="G694"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694"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694" s="3" t="inlineStr">
        <is>
          <t>PARTLY READ — some of the code is still showing through; needs a hand pass</t>
        </is>
      </c>
      <c r="J694" s="3" t="inlineStr">
        <is>
          <t>raw: unknown</t>
        </is>
      </c>
      <c r="K694" s="3" t="inlineStr">
        <is>
          <t>NOT DECLARED — the code does not say what it gives back</t>
        </is>
      </c>
      <c r="L694" s="3" t="inlineStr">
        <is>
          <t>—</t>
        </is>
      </c>
      <c r="M694" s="3" t="inlineStr">
        <is>
          <t>None found in this function — anything it assumes comes from the functions it depends on.</t>
        </is>
      </c>
      <c r="N694" s="3" t="inlineStr">
        <is>
          <t>Yes</t>
        </is>
      </c>
      <c r="O694" s="3" t="inlineStr">
        <is>
          <t>—</t>
        </is>
      </c>
      <c r="P694" s="3" t="n">
        <v>0</v>
      </c>
      <c r="Q694" s="3" t="inlineStr">
        <is>
          <t>None — no dependent function stands behind it</t>
        </is>
      </c>
      <c r="R694" s="3" t="inlineStr">
        <is>
          <t>No dependent function — it reads its inputs and answers</t>
        </is>
      </c>
      <c r="S694" s="3" t="inlineStr">
        <is>
          <t>—</t>
        </is>
      </c>
      <c r="T694" s="3" t="inlineStr">
        <is>
          <t>—</t>
        </is>
      </c>
      <c r="U694" s="3" t="inlineStr">
        <is>
          <t>ACTIVE</t>
        </is>
      </c>
      <c r="V694" s="3" t="inlineStr">
        <is>
          <t>2026-08-27</t>
        </is>
      </c>
      <c r="W694" s="3" t="n"/>
      <c r="X694" s="3" t="n"/>
      <c r="Y694" s="3" t="inlineStr">
        <is>
          <t>NOTHING OPEN</t>
        </is>
      </c>
    </row>
    <row r="695" ht="60" customHeight="1">
      <c r="A695" s="3" t="inlineStr">
        <is>
          <t>MK-XS-F-149</t>
        </is>
      </c>
      <c r="B695" s="3" t="inlineStr">
        <is>
          <t>allActivities</t>
        </is>
      </c>
      <c r="C695" s="3" t="inlineStr">
        <is>
          <t>src/services/sync/snaptradeSync.ts</t>
        </is>
      </c>
      <c r="D695" s="3" t="n">
        <v>102</v>
      </c>
      <c r="E695" s="3" t="inlineStr">
        <is>
          <t>3 · DEPENDENT</t>
        </is>
      </c>
      <c r="F695" s="3" t="inlineStr">
        <is>
          <t>NOT DETERMINED — the code carries no note saying what this is for, and it has no row in the old inventory. Needs reading.</t>
        </is>
      </c>
      <c r="G695" s="11" t="inlineStr">
        <is>
          <t>out = []
the answer = out</t>
        </is>
      </c>
      <c r="H695" s="3" t="inlineStr">
        <is>
          <t>Out is []. The answer is out.</t>
        </is>
      </c>
      <c r="I695" s="3" t="inlineStr">
        <is>
          <t>READ FROM THE CODE — rendered from the expressions the function runs</t>
        </is>
      </c>
      <c r="J695" s="3" t="inlineStr">
        <is>
          <t>1. accountId: string
2. startDate?: string</t>
        </is>
      </c>
      <c r="K695" s="3" t="inlineStr">
        <is>
          <t>Promise&lt;StActivity[]&gt;</t>
        </is>
      </c>
      <c r="L695" s="3" t="inlineStr">
        <is>
          <t>—</t>
        </is>
      </c>
      <c r="M695" s="3" t="inlineStr">
        <is>
          <t>· Uses a built-in page of 0.</t>
        </is>
      </c>
      <c r="N695" s="3" t="inlineStr">
        <is>
          <t>Yes</t>
        </is>
      </c>
      <c r="O695" s="3" t="inlineStr">
        <is>
          <t>1. MK-ST-F-027 accountId
2. MK-XS-F-148 unwrapActivities</t>
        </is>
      </c>
      <c r="P695" s="3" t="n">
        <v>2</v>
      </c>
      <c r="Q695" s="3" t="inlineStr">
        <is>
          <t>1. MK-ST-F-027 accountId
2. MK-XS-F-148 unwrapActivities</t>
        </is>
      </c>
      <c r="R695" s="3" t="inlineStr">
        <is>
          <t>1. MK-ST-F-027 accountId → MK-XS-F-149 allActivities
2. MK-XS-F-148 unwrapActivities → MK-XS-F-149 allActivities</t>
        </is>
      </c>
      <c r="S695" s="3" t="inlineStr">
        <is>
          <t>—</t>
        </is>
      </c>
      <c r="T695" s="3" t="inlineStr">
        <is>
          <t>—</t>
        </is>
      </c>
      <c r="U695" s="3" t="inlineStr">
        <is>
          <t>ACTIVE</t>
        </is>
      </c>
      <c r="V695" s="3" t="inlineStr">
        <is>
          <t>2026-08-27</t>
        </is>
      </c>
      <c r="W695" s="3" t="n"/>
      <c r="X695" s="3" t="n"/>
      <c r="Y695" s="3" t="inlineStr">
        <is>
          <t>NOTHING OPEN</t>
        </is>
      </c>
    </row>
    <row r="696" ht="60" customHeight="1">
      <c r="A696" s="3" t="inlineStr">
        <is>
          <t>MK-XS-F-170</t>
        </is>
      </c>
      <c r="B696" s="3" t="inlineStr">
        <is>
          <t>daysSince</t>
        </is>
      </c>
      <c r="C696" s="3" t="inlineStr">
        <is>
          <t>src/domain/_shared/freshness.ts</t>
        </is>
      </c>
      <c r="D696" s="3" t="n">
        <v>50</v>
      </c>
      <c r="E696" s="3" t="inlineStr">
        <is>
          <t>3 · DEPENDENT</t>
        </is>
      </c>
      <c r="F696" s="3" t="inlineStr">
        <is>
          <t>Whole days between a recorded moment and now, or null when the moment cannot be read.</t>
        </is>
      </c>
      <c r="G696" s="11" t="inlineStr">
        <is>
          <t>nothing   when when = nothing (or when = '' when missing or zero)
ms = now − (typeof when = 'number' ? when : date.parse(string(when)))
nothing   when !number.is finite(ms) (or ms &lt; 0 when missing or zero)
the answer = round down(ms ÷ 86400000)</t>
        </is>
      </c>
      <c r="H696" s="3" t="inlineStr">
        <is>
          <t>When when is missing (or — when = '' — when missing or zero), it answers no answer. Ms is now minus (typeof — when = 'number' ? — when : date.parse(string(when))). When !number.is finite(ms) (or ms &lt; 0 — when missing or zero), it answers no answer. The answer is ms divided by 86400000, rounded down.</t>
        </is>
      </c>
      <c r="I696" s="3" t="inlineStr">
        <is>
          <t>PARTLY READ — some of the code is still showing through; needs a hand pass</t>
        </is>
      </c>
      <c r="J696" s="3" t="inlineStr">
        <is>
          <t>1. when: string | number | null | undefined
2. now: number</t>
        </is>
      </c>
      <c r="K696" s="3" t="inlineStr">
        <is>
          <t>number | null</t>
        </is>
      </c>
      <c r="L696" s="3" t="inlineStr">
        <is>
          <t>—</t>
        </is>
      </c>
      <c r="M696" s="3" t="inlineStr">
        <is>
          <t>None found in this function — anything it assumes comes from the functions it depends on.</t>
        </is>
      </c>
      <c r="N696" s="3" t="inlineStr">
        <is>
          <t>Yes</t>
        </is>
      </c>
      <c r="O696" s="3" t="inlineStr">
        <is>
          <t>—</t>
        </is>
      </c>
      <c r="P696" s="3" t="n">
        <v>0</v>
      </c>
      <c r="Q696" s="3" t="inlineStr">
        <is>
          <t>None — no dependent function stands behind it</t>
        </is>
      </c>
      <c r="R696" s="3" t="inlineStr">
        <is>
          <t>No dependent function — it reads its inputs and answers</t>
        </is>
      </c>
      <c r="S696" s="3" t="inlineStr">
        <is>
          <t>—</t>
        </is>
      </c>
      <c r="T696" s="3" t="inlineStr">
        <is>
          <t>—</t>
        </is>
      </c>
      <c r="U696" s="3" t="inlineStr">
        <is>
          <t>ACTIVE</t>
        </is>
      </c>
      <c r="V696" s="3" t="inlineStr">
        <is>
          <t>2026-10-01</t>
        </is>
      </c>
      <c r="W696" s="3" t="n"/>
      <c r="X696" s="3" t="n"/>
      <c r="Y696" s="3" t="inlineStr">
        <is>
          <t>NOTHING OPEN</t>
        </is>
      </c>
    </row>
    <row r="697" ht="60" customHeight="1">
      <c r="A697" s="3" t="inlineStr">
        <is>
          <t>MK-XS-F-171</t>
        </is>
      </c>
      <c r="B697" s="3" t="inlineStr">
        <is>
          <t>numOrNaN</t>
        </is>
      </c>
      <c r="C697" s="3" t="inlineStr">
        <is>
          <t>src/domain/import/holdingsImport.ts</t>
        </is>
      </c>
      <c r="D697" s="3" t="n">
        <v>233</v>
      </c>
      <c r="E697" s="3" t="inlineStr">
        <is>
          <t>3 · DEPENDENT</t>
        </is>
      </c>
      <c r="F697" s="3" t="inlineStr">
        <is>
          <t>NOT DETERMINED — the code carries no note saying what this is for, and it has no row in the old inventory. Needs reading.</t>
        </is>
      </c>
      <c r="G697" s="11" t="inlineStr">
        <is>
          <t>n = parse float(string(v ?? '').replace( ÷ [$,%\s] ÷ g, '').replace( ÷ [()] ÷ g, ''))
the answer:
n   if number.is finite(n)
na n   otherwise</t>
        </is>
      </c>
      <c r="H697" s="3" t="inlineStr">
        <is>
          <t>N is parse float(string(v ?? '').replace( divided by [$,%\s] divided by g, '').replace( divided by [()] divided by g, '')). The answer is n — when number.is finite(n); na n — otherwise.</t>
        </is>
      </c>
      <c r="I697" s="3" t="inlineStr">
        <is>
          <t>PARTLY READ — some of the code is still showing through; needs a hand pass</t>
        </is>
      </c>
      <c r="J697" s="3" t="inlineStr">
        <is>
          <t>v: string</t>
        </is>
      </c>
      <c r="K697" s="3" t="inlineStr">
        <is>
          <t>number</t>
        </is>
      </c>
      <c r="L697" s="3" t="inlineStr">
        <is>
          <t>—</t>
        </is>
      </c>
      <c r="M697" s="3" t="inlineStr">
        <is>
          <t>None found in this function — anything it assumes comes from the functions it depends on.</t>
        </is>
      </c>
      <c r="N697" s="3" t="inlineStr">
        <is>
          <t>Yes</t>
        </is>
      </c>
      <c r="O697" s="3" t="inlineStr">
        <is>
          <t>MK-XS-F-122 n</t>
        </is>
      </c>
      <c r="P697" s="3" t="n">
        <v>1</v>
      </c>
      <c r="Q697" s="3" t="inlineStr">
        <is>
          <t>MK-XS-F-122 n</t>
        </is>
      </c>
      <c r="R697" s="3" t="inlineStr">
        <is>
          <t>MK-XS-F-122 n → MK-XS-F-171 numOrNaN</t>
        </is>
      </c>
      <c r="S697" s="3" t="inlineStr">
        <is>
          <t>—</t>
        </is>
      </c>
      <c r="T697" s="3" t="inlineStr">
        <is>
          <t>—</t>
        </is>
      </c>
      <c r="U697" s="3" t="inlineStr">
        <is>
          <t>ACTIVE</t>
        </is>
      </c>
      <c r="V697" s="3" t="inlineStr">
        <is>
          <t>2026-08-27</t>
        </is>
      </c>
      <c r="W697" s="3" t="n"/>
      <c r="X697" s="3" t="n"/>
      <c r="Y697" s="3" t="inlineStr">
        <is>
          <t>NOTHING OPEN</t>
        </is>
      </c>
    </row>
    <row r="698" ht="60" customHeight="1">
      <c r="A698" s="3" t="inlineStr">
        <is>
          <t>MK-XS-F-172</t>
        </is>
      </c>
      <c r="B698" s="3" t="inlineStr">
        <is>
          <t>assetClassForSymbol</t>
        </is>
      </c>
      <c r="C698" s="3" t="inlineStr">
        <is>
          <t>src/domain/import/holdingsImport.ts</t>
        </is>
      </c>
      <c r="D698" s="3" t="n">
        <v>352</v>
      </c>
      <c r="E698" s="3" t="inlineStr">
        <is>
          <t>3 · DEPENDENT</t>
        </is>
      </c>
      <c r="F698" s="3" t="inlineStr">
        <is>
          <t>B7 (founder brief 2026-08-20): classification lives in the ONE function — this road only adapts.</t>
        </is>
      </c>
      <c r="G698" s="11" t="inlineStr">
        <is>
          <t>classify holding class({ ticker: symbol, name, has security identity: true }).cls</t>
        </is>
      </c>
      <c r="H698" s="3" t="inlineStr">
        <is>
          <t>classify holding class({ ticker: symbol, name, has security identity: true }).cls.</t>
        </is>
      </c>
      <c r="I698" s="3" t="inlineStr">
        <is>
          <t>PARTLY READ — some of the code is still showing through; needs a hand pass</t>
        </is>
      </c>
      <c r="J698" s="3" t="inlineStr">
        <is>
          <t>1. symbol: string
2. name = ''</t>
        </is>
      </c>
      <c r="K698" s="3" t="inlineStr">
        <is>
          <t>AssetClass</t>
        </is>
      </c>
      <c r="L698" s="3" t="inlineStr">
        <is>
          <t>—</t>
        </is>
      </c>
      <c r="M698" s="3" t="inlineStr">
        <is>
          <t>None found in this function — anything it assumes comes from the functions it depends on.</t>
        </is>
      </c>
      <c r="N698" s="3" t="inlineStr">
        <is>
          <t>Yes</t>
        </is>
      </c>
      <c r="O698" s="3" t="inlineStr">
        <is>
          <t>MK-ST-F-011 classifyHoldingClass</t>
        </is>
      </c>
      <c r="P698" s="3" t="n">
        <v>8</v>
      </c>
      <c r="Q698" s="3" t="inlineStr">
        <is>
          <t>1. MK-ST-F-011 classifyHoldingClass
2. MK-ST-F-010 nameEvidence
3. MK-XS-F-147 call
4. MK-ST-F-056 has
5. MK-CF-F-132 map
6. MK-ST-F-027 accountId
7. MK-XS-F-064 currentIdToken
8. MK-XS-F-112 relayUrl</t>
        </is>
      </c>
      <c r="R698" s="3" t="inlineStr">
        <is>
          <t>1. MK-ST-F-027 accountId → MK-XS-F-147 call → MK-ST-F-010 nameEvidence → MK-ST-F-011 classifyHoldingClass → MK-XS-F-172 assetClassForSymbol
2. MK-XS-F-064 currentIdToken → MK-XS-F-147 call → MK-ST-F-010 nameEvidence → MK-ST-F-011 classifyHoldingClass → MK-XS-F-172 assetClassForSymbol
3. MK-XS-F-112 relayUrl → MK-XS-F-147 call → MK-ST-F-010 nameEvidence → MK-ST-F-011 classifyHoldingClass → MK-XS-F-172 assetClassForSymbol
4. MK-ST-F-056 has → MK-ST-F-010 nameEvidence → MK-ST-F-011 classifyHoldingClass → MK-XS-F-172 assetClassForSymbol
5. MK-CF-F-132 map → MK-ST-F-010 nameEvidence → MK-ST-F-011 classifyHoldingClass → MK-XS-F-172 assetClassForSymbol</t>
        </is>
      </c>
      <c r="S698" s="3" t="inlineStr">
        <is>
          <t>—</t>
        </is>
      </c>
      <c r="T698" s="3" t="inlineStr">
        <is>
          <t>—</t>
        </is>
      </c>
      <c r="U698" s="3" t="inlineStr">
        <is>
          <t>ACTIVE</t>
        </is>
      </c>
      <c r="V698" s="3" t="inlineStr">
        <is>
          <t>2026-08-27</t>
        </is>
      </c>
      <c r="W698" s="3" t="n"/>
      <c r="X698" s="3" t="n"/>
      <c r="Y698" s="3" t="inlineStr">
        <is>
          <t>NOTHING OPEN</t>
        </is>
      </c>
    </row>
    <row r="699" ht="60" customHeight="1">
      <c r="A699" s="3" t="inlineStr">
        <is>
          <t>MK-XS-F-173</t>
        </is>
      </c>
      <c r="B699" s="3" t="inlineStr">
        <is>
          <t>getOrCreateKey</t>
        </is>
      </c>
      <c r="C699" s="3" t="inlineStr">
        <is>
          <t>src/store/secureStorage.ts</t>
        </is>
      </c>
      <c r="D699" s="3" t="n">
        <v>47</v>
      </c>
      <c r="E699" s="3" t="inlineStr">
        <is>
          <t>4 · BRINGS DATA IN</t>
        </is>
      </c>
      <c r="F699" s="3" t="inlineStr">
        <is>
          <t>NOT DETERMINED — the code carries no note saying what this is for, and it has no row in the old inventory. Needs reading.</t>
        </is>
      </c>
      <c r="G699"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699"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699" s="3" t="inlineStr">
        <is>
          <t>PARTLY READ — some of the code is still showing through; needs a hand pass</t>
        </is>
      </c>
      <c r="J699" s="3" t="inlineStr">
        <is>
          <t>Nothing is handed to it</t>
        </is>
      </c>
      <c r="K699" s="3" t="inlineStr">
        <is>
          <t>Promise&lt;string&gt;</t>
        </is>
      </c>
      <c r="L699" s="3" t="inlineStr">
        <is>
          <t>—</t>
        </is>
      </c>
      <c r="M699" s="3" t="inlineStr">
        <is>
          <t>None found in this function — anything it assumes comes from the functions it depends on.</t>
        </is>
      </c>
      <c r="N699" s="3" t="inlineStr">
        <is>
          <t>No</t>
        </is>
      </c>
      <c r="O699" s="3" t="inlineStr">
        <is>
          <t>1. MK-XS-F-135 secureGet
2. MK-XS-F-136 secureSet</t>
        </is>
      </c>
      <c r="P699" s="3" t="n">
        <v>2</v>
      </c>
      <c r="Q699" s="3" t="inlineStr">
        <is>
          <t>1. MK-XS-F-135 secureGet
2. MK-XS-F-136 secureSet</t>
        </is>
      </c>
      <c r="R699" s="3" t="inlineStr">
        <is>
          <t>1. MK-XS-F-135 secureGet → MK-XS-F-173 getOrCreateKey
2. MK-XS-F-136 secureSet → MK-XS-F-173 getOrCreateKey</t>
        </is>
      </c>
      <c r="S699" s="3" t="inlineStr">
        <is>
          <t>—</t>
        </is>
      </c>
      <c r="T699" s="3" t="inlineStr">
        <is>
          <t>—</t>
        </is>
      </c>
      <c r="U699" s="3" t="inlineStr">
        <is>
          <t>ACTIVE</t>
        </is>
      </c>
      <c r="V699" s="3" t="inlineStr">
        <is>
          <t>2026-09-12</t>
        </is>
      </c>
      <c r="W699" s="3" t="n"/>
      <c r="X699" s="3" t="n"/>
      <c r="Y699" s="3" t="inlineStr">
        <is>
          <t>NOTHING OPEN</t>
        </is>
      </c>
    </row>
    <row r="700" ht="60" customHeight="1">
      <c r="A700" s="3" t="inlineStr">
        <is>
          <t>MK-XS-F-174</t>
        </is>
      </c>
      <c r="B700" s="3" t="inlineStr">
        <is>
          <t>recomputeBalances</t>
        </is>
      </c>
      <c r="C700" s="3" t="inlineStr">
        <is>
          <t>src/store/useStore.ts</t>
        </is>
      </c>
      <c r="D700" s="3" t="n">
        <v>62</v>
      </c>
      <c r="E700" s="3" t="inlineStr">
        <is>
          <t>3 · DEPENDENT</t>
        </is>
      </c>
      <c r="F700" s="3" t="inlineStr">
        <is>
          <t>Recompute the cached `balance` of every ledger-managed account = cash sleeve + Σ(position × live price).</t>
        </is>
      </c>
      <c r="G700" s="11" t="inlineStr">
        <is>
          <t>a   when source = 'connected'
ledger managed = derive balance = true (or cash balance ≠ nothing when missing or zero)
a   when ledger managed is missing
positions = for each of positions (or none when missing): const px = latest close(cache[ticker.trim().to upper case()]); return { ...each, value now: px == null ? cost basis(each) : market value(each, px) }; = const px = latest close(cache[ticker.trim().to upper case()]); return { ...each, value now: px == null ? cost basis(each) : market value(each, px) };
mv = Σ over positions of (value now)
the answer:
...a = ...a
positions = positions
balance = round((cash balance or 0) + mv, 2 dp)</t>
        </is>
      </c>
      <c r="H700" s="3" t="inlineStr">
        <is>
          <t>When source = 'connected', it answers a. Ledger managed is derive balance = true (or cash balance is not no answer — when missing or zero). When ledger managed is missing, it answers a. Positions is for each of positions (or none — when missing): const px = latest close(cache[ticker.trim().to upper case()]); return { ...each, value now: px == null ? cost basis(each) : market value(each, px) }; = const px = latest close(cache[ticker.trim().to upper case()]); return { ...each, value now: px == null ? cost basis(each) : market value(each, px) };. Mv: the value now added up across positions. The answer is ...a = ...a; positions = positions; balance = (cash balance or 0) plus mv, to the cent.</t>
        </is>
      </c>
      <c r="I700" s="3" t="inlineStr">
        <is>
          <t>PARTLY READ — some of the code is still showing through; needs a hand pass</t>
        </is>
      </c>
      <c r="J700" s="3" t="inlineStr">
        <is>
          <t>1. accs: AssetAccount[]
2. cache: Record&lt;string, PriceSeries&gt;</t>
        </is>
      </c>
      <c r="K700" s="3" t="inlineStr">
        <is>
          <t>AssetAccount[]</t>
        </is>
      </c>
      <c r="L700" s="3" t="inlineStr">
        <is>
          <t>—</t>
        </is>
      </c>
      <c r="M700" s="3" t="inlineStr">
        <is>
          <t>· If cash balance is missing it counts as zero, so nothing recorded and a real zero look the same.</t>
        </is>
      </c>
      <c r="N700" s="3" t="inlineStr">
        <is>
          <t>Yes</t>
        </is>
      </c>
      <c r="O700"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t>
        </is>
      </c>
      <c r="P700" s="3" t="n">
        <v>82</v>
      </c>
      <c r="Q700"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
13. MK-PF-F-031 contractMultiplier
14. MK-CF-F-037 inferDebtType
15. MK-ST-F-043 newEntityId
16. MK-ST-F-052 toNum
17. MK-XS-F-175 uid
18. MK-PF-F-001 totalShares
19. MK-ST-F-069 amountOf
20. MK-CF-F-133 cashOf
21. MK-ST-F-056 has
22. MK-ST-F-066 isDayKey
23. MK-ST-F-070 isOpening
24. MK-ST-F-039 on
25. MK-ST-F-071 rebuildableFrom
26. MK-ST-F-068 stepDay
27. MK-ST-F-072 undo
28. MK-CF-F-072 currentRetirementIncomeMonthly
29. MK-ST-F-053 money
30. MK-XS-F-122 n
31. MK-ST-F-027 accountId
32. MK-CF-F-111 applyTransaction
33. MK-NW-F-040 assetsFromOnboarding
34. MK-PF-F-013 benchmarkTicker
35. MK-PF-F-034 closeOnOrBefore
36. MK-CF-F-186 convertTakeHomeMode
37. MK-XS-F-083 fetchPriceSeries
38. MK-ST-F-084 fillBetweenObservations
39. MK-PL-F-013 goalsFromOnboarding
40. MK-CF-F-116 inverseOf
41. MK-ST-F-065 isoLocalDate
42. MK-CF-F-112 makeTransaction
43. MK-XS-F-006 pruneDaily
44. MK-NW-F-054 reclassifyAccounts
45. MK-CF-F-115 restoreUndo
46. MK-CF-F-109 reviewTransactions
47. MK-CF-F-114 undoSnapshot
48. MK-CF-F-191 ym
49. MK-ST-F-067 utcOfDay
50. MK-CF-F-155 cash
51. MK-ST-F-035 covers
52. MK-CF-F-075 retirementIncomeMonthly
53. MK-ST-F-049 formatMoney
54. MK-CF-F-138 addLot
55. MK-CF-F-136 bumpCash
56. MK-CF-F-137 findPos
57. MK-CF-F-139 removeShares
58. MK-CF-F-085 filingStatusOf
59. MK-CF-F-097 grossFromNet
60. MK-CF-F-185 needsTakeHomeConversion
61. MK-CF-F-089 over65CountOf
62. MK-NW-F-053 correctClassOf
63. MK-NW-F-008 incomeBearingClassOf
64. MK-CF-F-162 daysApart
65. MK-CF-F-108 isMoneyOut
66. MK-PL-F-074 median
67. MK-CF-F-131 normPayee
68. MK-CF-F-113 affectedAccountIds
69. MK-ST-F-034 firstDate
70. MK-ST-F-048 currencySymbol
71. MK-CF-F-134 usesSleeve
72. MK-CF-F-101 taxOwedFor
73. MK-NW-F-009 maturityClass
74. MK-ST-F-010 nameEvidence
75. MK-ST-F-047 activeCurrency
76. MK-CF-F-100 taxableIncomeFor
77. MK-NW-F-011 assetClassOf
78. MK-XS-F-147 call
79. MK-CF-F-099 deductionFor
80. MK-XS-F-064 currentIdToken
81. MK-XS-F-112 relayUrl
82. MK-CF-F-187 seniorDeductionFor</t>
        </is>
      </c>
      <c r="R700" s="3" t="inlineStr">
        <is>
          <t>1. MK-ST-F-028 buildDayFromAccounts → MK-XS-F-174 recomputeBalances
2. MK-PF-F-031 contractMultiplier → MK-PF-F-002 costBasis → MK-XS-F-174 recomputeBalances
3. MK-ST-F-079 dailyWindowStart → MK-XS-F-174 recomputeBalances
4. MK-CF-F-037 inferDebtType → MK-CF-F-038 debtsFromOnboarding → MK-XS-F-174 recomputeBalances
5. MK-ST-F-043 newEntityId → MK-CF-F-038 debtsFromOnboarding → MK-XS-F-174 recomputeBalances
6. MK-XS-F-122 n → MK-ST-F-052 toNum → MK-CF-F-038 debtsFromOnboarding → MK-XS-F-174 recomputeBalances
7. MK-ST-F-027 accountId → MK-XS-F-175 uid → MK-CF-F-038 debtsFromOnboarding → MK-XS-F-174 recomputeBalances
8. MK-CF-F-137 findPos → MK-CF-F-138 addLot → MK-CF-F-111 applyTransaction → MK-XS-F-175 uid → MK-CF-F-038 debtsFromOnboarding → MK-XS-F-174 recomputeBalances
9. … and 5 more paths</t>
        </is>
      </c>
      <c r="S700" s="3" t="inlineStr">
        <is>
          <t>—</t>
        </is>
      </c>
      <c r="T700" s="3" t="inlineStr">
        <is>
          <t>—</t>
        </is>
      </c>
      <c r="U700" s="3" t="inlineStr">
        <is>
          <t>ACTIVE</t>
        </is>
      </c>
      <c r="V700" s="3" t="inlineStr">
        <is>
          <t>2026-10-07</t>
        </is>
      </c>
      <c r="W700" s="3" t="n"/>
      <c r="X700" s="3" t="n"/>
      <c r="Y700" s="3" t="inlineStr">
        <is>
          <t>NOTHING OPEN</t>
        </is>
      </c>
    </row>
    <row r="701" ht="60" customHeight="1">
      <c r="A701" s="3" t="inlineStr">
        <is>
          <t>MK-XS-F-175</t>
        </is>
      </c>
      <c r="B701" s="3" t="inlineStr">
        <is>
          <t>uid</t>
        </is>
      </c>
      <c r="C701" s="3" t="inlineStr">
        <is>
          <t>src/store/useStore.ts</t>
        </is>
      </c>
      <c r="D701" s="3" t="n">
        <v>592</v>
      </c>
      <c r="E701" s="3" t="inlineStr">
        <is>
          <t>2 · DISPLAYED</t>
        </is>
      </c>
      <c r="F701" s="3" t="inlineStr">
        <is>
          <t>NOT DETERMINED — the code carries no note saying what this is for, and it has no row in the old inventory. Needs reading.</t>
        </is>
      </c>
      <c r="G701" s="11" t="inlineStr">
        <is>
          <t>math.random().to string(36).slice(2, 10) + date.now().to string(36)
t   when type ! = 'TRANSFER_IN_KIND' (or direction when missing or zero)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[LOOP — the answer is found inside a loop the extractor cannot render; the steps above are the ones before it. Read by hand.]
… the first steps only — the rest of the body needs reading by hand.</t>
        </is>
      </c>
      <c r="H701" s="3" t="inlineStr">
        <is>
          <t>math.random().to string(36).slice(2, 10) plus date.now().to string(36). When type ! = 'TRANSFER_IN_KIND' (or direction — when missing or zero), it answers t.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The answer is found inside a loop that cannot be rendered here; read the code by hand. Only the first steps are shown; the rest of the body needs reading by hand.</t>
        </is>
      </c>
      <c r="I701" s="3" t="inlineStr">
        <is>
          <t>PARTLY READ — the body has a loop the extractor cannot render; the steps shown are the ones before it. Needs a hand pass (G23).</t>
        </is>
      </c>
      <c r="J701" s="3" t="inlineStr">
        <is>
          <t>1. Nothing is handed to it
2. reads the app's stored data</t>
        </is>
      </c>
      <c r="K701" s="3" t="inlineStr">
        <is>
          <t>NOT DECLARED — the code does not say what it gives back</t>
        </is>
      </c>
      <c r="L701" s="3" t="inlineStr">
        <is>
          <t>NOT FOUND — a screen calls it, but the words printed beside its answer could not be traced automatically. Needs reading.</t>
        </is>
      </c>
      <c r="M701"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701" s="3" t="inlineStr">
        <is>
          <t>Yes</t>
        </is>
      </c>
      <c r="O701"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t>
        </is>
      </c>
      <c r="P701" s="3" t="n">
        <v>82</v>
      </c>
      <c r="Q701"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MK-NW-F-011 assetClassOf
76. MK-XS-F-147 call
77. MK-CF-F-075 retirementIncomeMonthly
78. MK-ST-F-047 activeCurrency
79. MK-CF-F-099 deductionFor
80. MK-XS-F-064 currentIdToken
81. MK-XS-F-112 relayUrl
82. MK-CF-F-187 seniorDeductionFor</t>
        </is>
      </c>
      <c r="R701"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701" s="3" t="inlineStr">
        <is>
          <t>—</t>
        </is>
      </c>
      <c r="T701" s="3" t="inlineStr">
        <is>
          <t>—</t>
        </is>
      </c>
      <c r="U701" s="3" t="inlineStr">
        <is>
          <t>ACTIVE</t>
        </is>
      </c>
      <c r="V701" s="3" t="inlineStr">
        <is>
          <t>2026-10-05</t>
        </is>
      </c>
      <c r="W701" s="3" t="n"/>
      <c r="X701" s="3" t="n"/>
      <c r="Y701" s="3" t="inlineStr">
        <is>
          <t>NOTHING OPEN</t>
        </is>
      </c>
    </row>
    <row r="702" ht="60" customHeight="1">
      <c r="A702" s="3" t="inlineStr">
        <is>
          <t>MK-XS-F-176</t>
        </is>
      </c>
      <c r="B702" s="3" t="inlineStr">
        <is>
          <t>useMonthlyStats</t>
        </is>
      </c>
      <c r="C702" s="3" t="inlineStr">
        <is>
          <t>src/store/useStore.ts</t>
        </is>
      </c>
      <c r="D702" s="3" t="n">
        <v>1319</v>
      </c>
      <c r="E702" s="3" t="inlineStr">
        <is>
          <t>2 · DISPLAYED</t>
        </is>
      </c>
      <c r="F702" s="3" t="inlineStr">
        <is>
          <t>── Selectors ──────────────────────────────────────────────────────────</t>
        </is>
      </c>
      <c r="G702"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702"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702" s="3" t="inlineStr">
        <is>
          <t>PARTLY READ — some of the code is still showing through; needs a hand pass</t>
        </is>
      </c>
      <c r="J702" s="3" t="inlineStr">
        <is>
          <t>1. Nothing is handed to it
2. reads the app's stored data</t>
        </is>
      </c>
      <c r="K702" s="3" t="inlineStr">
        <is>
          <t>NOT DECLARED — the code does not say what it gives back</t>
        </is>
      </c>
      <c r="L702" s="3" t="inlineStr">
        <is>
          <t>NOT FOUND — a screen calls it, but the words printed beside its answer could not be traced automatically. Needs reading.</t>
        </is>
      </c>
      <c r="M702" s="3" t="inlineStr">
        <is>
          <t>· Uses today's date from the device clock, so the answer changes by itself overnight.</t>
        </is>
      </c>
      <c r="N702" s="3" t="inlineStr">
        <is>
          <t>Yes</t>
        </is>
      </c>
      <c r="O702" s="3" t="inlineStr">
        <is>
          <t>MK-CF-O-002 expenses</t>
        </is>
      </c>
      <c r="P702" s="3" t="n">
        <v>15</v>
      </c>
      <c r="Q702"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702"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702" s="3" t="inlineStr">
        <is>
          <t>—</t>
        </is>
      </c>
      <c r="T702" s="3" t="inlineStr">
        <is>
          <t>—</t>
        </is>
      </c>
      <c r="U702" s="3" t="inlineStr">
        <is>
          <t>ACTIVE</t>
        </is>
      </c>
      <c r="V702" s="3" t="inlineStr">
        <is>
          <t>2026-09-12</t>
        </is>
      </c>
      <c r="W702" s="3" t="n"/>
      <c r="X702" s="3" t="n"/>
      <c r="Y702" s="3" t="inlineStr">
        <is>
          <t>NOTHING OPEN</t>
        </is>
      </c>
    </row>
    <row r="703" ht="60" customHeight="1">
      <c r="A703" s="3" t="inlineStr">
        <is>
          <t>MK-XS-F-177</t>
        </is>
      </c>
      <c r="B703" s="3" t="inlineStr">
        <is>
          <t>useCategorySpend</t>
        </is>
      </c>
      <c r="C703" s="3" t="inlineStr">
        <is>
          <t>src/store/useStore.ts</t>
        </is>
      </c>
      <c r="D703" s="3" t="n">
        <v>1376</v>
      </c>
      <c r="E703" s="3" t="inlineStr">
        <is>
          <t>2 · DISPLAYED</t>
        </is>
      </c>
      <c r="F703" s="3" t="inlineStr">
        <is>
          <t>NOT DETERMINED — the code carries no note saying what this is for, and it has no row in the old inventory. Needs reading.</t>
        </is>
      </c>
      <c r="G703" s="11" t="inlineStr">
        <is>
          <t>now = new date()
d = the date date
to date string() = now.to date string()   when budget frequency = 'daily'
d ≥ new date(now.get time() − 7 × 86400000)   when budget frequency = 'weekly'
the answer = get full year() = now.get full year() and get month() = now.get month()
map = {}</t>
        </is>
      </c>
      <c r="H703"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703" s="3" t="inlineStr">
        <is>
          <t>PARTLY READ — some of the code is still showing through; needs a hand pass</t>
        </is>
      </c>
      <c r="J703" s="3" t="inlineStr">
        <is>
          <t>1. Nothing is handed to it
2. reads the app's stored data</t>
        </is>
      </c>
      <c r="K703" s="3" t="inlineStr">
        <is>
          <t>NOT DECLARED — the code does not say what it gives back</t>
        </is>
      </c>
      <c r="L703" s="3" t="inlineStr">
        <is>
          <t>NOT FOUND — a screen calls it, but the words printed beside its answer could not be traced automatically. Needs reading.</t>
        </is>
      </c>
      <c r="M703" s="3" t="inlineStr">
        <is>
          <t>1. If category] is missing it counts as zero, so nothing recorded and a real zero look the same.
2. Uses today's date from the device clock, so the answer changes by itself overnight.</t>
        </is>
      </c>
      <c r="N703" s="3" t="inlineStr">
        <is>
          <t>Yes</t>
        </is>
      </c>
      <c r="O703" s="3" t="inlineStr">
        <is>
          <t>1. MK-CF-O-002 expenses
2. MK-CF-F-132 map</t>
        </is>
      </c>
      <c r="P703" s="3" t="n">
        <v>15</v>
      </c>
      <c r="Q703"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703"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703" s="3" t="inlineStr">
        <is>
          <t>—</t>
        </is>
      </c>
      <c r="T703" s="3" t="inlineStr">
        <is>
          <t>—</t>
        </is>
      </c>
      <c r="U703" s="3" t="inlineStr">
        <is>
          <t>ACTIVE</t>
        </is>
      </c>
      <c r="V703" s="3" t="inlineStr">
        <is>
          <t>2026-09-12</t>
        </is>
      </c>
      <c r="W703" s="3" t="n"/>
      <c r="X703" s="3" t="n"/>
      <c r="Y703" s="3" t="inlineStr">
        <is>
          <t>NOTHING OPEN</t>
        </is>
      </c>
    </row>
    <row r="704" ht="60" customHeight="1">
      <c r="A704" s="3" t="inlineStr">
        <is>
          <t>MK-XS-F-178</t>
        </is>
      </c>
      <c r="B704" s="3" t="inlineStr">
        <is>
          <t>useLevel</t>
        </is>
      </c>
      <c r="C704" s="3" t="inlineStr">
        <is>
          <t>src/store/useStore.ts</t>
        </is>
      </c>
      <c r="D704" s="3" t="n">
        <v>1409</v>
      </c>
      <c r="E704" s="3" t="inlineStr">
        <is>
          <t>2 · DISPLAYED</t>
        </is>
      </c>
      <c r="F704" s="3" t="inlineStr">
        <is>
          <t>NOT DETERMINED — the code carries no note saying what this is for, and it has no row in the old inventory. Needs reading.</t>
        </is>
      </c>
      <c r="G704" s="11" t="inlineStr">
        <is>
          <t>xp = use store((s) =&gt; xp)
current = levels[0], next = levels[1]
pct = min(((xp − current.min) ÷ (next.min − current.min)) × 100, 100)   if next.min &gt; current.min
100   otherwise
the answer = { ...current, next, xp, pct }</t>
        </is>
      </c>
      <c r="H704" s="3" t="inlineStr">
        <is>
          <t>Xp is use store((s) =&gt; xp). Current is levels[0], next = levels[1]. Pct: the smaller of ((xp minus current.min) divided by (next.min minus current.min)) times 100 and 100 — when next.min &gt; current.min; 100 — otherwise. The answer is { ...current, next, xp, pct }.</t>
        </is>
      </c>
      <c r="I704" s="3" t="inlineStr">
        <is>
          <t>PARTLY READ — some of the code is still showing through; needs a hand pass</t>
        </is>
      </c>
      <c r="J704" s="3" t="inlineStr">
        <is>
          <t>1. Nothing is handed to it
2. reads the app's stored data</t>
        </is>
      </c>
      <c r="K704" s="3" t="inlineStr">
        <is>
          <t>NOT DECLARED — the code does not say what it gives back</t>
        </is>
      </c>
      <c r="L704" s="3" t="inlineStr">
        <is>
          <t>NOT FOUND — a screen calls it, but the words printed beside its answer could not be traced automatically. Needs reading.</t>
        </is>
      </c>
      <c r="M704" s="3" t="inlineStr">
        <is>
          <t>None found in this function — anything it assumes comes from the functions it depends on.</t>
        </is>
      </c>
      <c r="N704" s="3" t="inlineStr">
        <is>
          <t>Yes</t>
        </is>
      </c>
      <c r="O704" s="3" t="inlineStr">
        <is>
          <t>—</t>
        </is>
      </c>
      <c r="P704" s="3" t="n">
        <v>0</v>
      </c>
      <c r="Q704" s="3" t="inlineStr">
        <is>
          <t>None — no dependent function stands behind it</t>
        </is>
      </c>
      <c r="R704" s="3" t="inlineStr">
        <is>
          <t>No dependent function — it reads its inputs and answers</t>
        </is>
      </c>
      <c r="S704" s="3" t="inlineStr">
        <is>
          <t>—</t>
        </is>
      </c>
      <c r="T704" s="3" t="inlineStr">
        <is>
          <t>—</t>
        </is>
      </c>
      <c r="U704" s="3" t="inlineStr">
        <is>
          <t>ACTIVE</t>
        </is>
      </c>
      <c r="V704" s="3" t="inlineStr">
        <is>
          <t>2026-09-12</t>
        </is>
      </c>
      <c r="W704" s="3" t="n"/>
      <c r="X704" s="3" t="n"/>
      <c r="Y704" s="3" t="inlineStr">
        <is>
          <t>NOTHING OPEN</t>
        </is>
      </c>
    </row>
    <row r="705" ht="60" customHeight="1">
      <c r="A705" s="3" t="inlineStr">
        <is>
          <t>MK-XS-F-179</t>
        </is>
      </c>
      <c r="B705" s="3" t="inlineStr">
        <is>
          <t>ageToday</t>
        </is>
      </c>
      <c r="C705" s="3" t="inlineStr">
        <is>
          <t>src/domain/profile/calc.ts</t>
        </is>
      </c>
      <c r="D705" s="3" t="n">
        <v>79</v>
      </c>
      <c r="E705" s="3" t="inlineStr">
        <is>
          <t>2 · DISPLAYED</t>
        </is>
      </c>
      <c r="F705"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705" s="11" t="inlineStr">
        <is>
          <t>y = number(birth year); if (!y or !number.is finite(y)) return nothing
m = birth month read as a number
current age(y, m, as of)   when m ≥ 1 and m ≤ 12
the answer = as of.get full year() − y</t>
        </is>
      </c>
      <c r="H705" s="3" t="inlineStr">
        <is>
          <t>Y is number(birth year); — when (!y or !number.is finite(y)) return no answer. M is birth month read as a number. When m is at least 1 and m is at most 12, it answers current age(y, m, as of). The answer is as of.get full year() minus y.</t>
        </is>
      </c>
      <c r="I705" s="3" t="inlineStr">
        <is>
          <t>PARTLY READ — some of the code is still showing through; needs a hand pass</t>
        </is>
      </c>
      <c r="J705" s="3" t="inlineStr">
        <is>
          <t>1. birthYear: number | null | undefined
2. birthMonth: number | null | undefined
3. asOf: Date = new Date()</t>
        </is>
      </c>
      <c r="K705" s="3" t="inlineStr">
        <is>
          <t>number | null</t>
        </is>
      </c>
      <c r="L705" s="3" t="inlineStr">
        <is>
          <t>NOT FOUND — a screen calls it, but the words printed beside its answer could not be traced automatically. Needs reading.</t>
        </is>
      </c>
      <c r="M705"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705" s="3" t="inlineStr">
        <is>
          <t>Yes</t>
        </is>
      </c>
      <c r="O705" s="3" t="inlineStr">
        <is>
          <t>MK-XS-F-017 currentAge</t>
        </is>
      </c>
      <c r="P705" s="3" t="n">
        <v>1</v>
      </c>
      <c r="Q705" s="3" t="inlineStr">
        <is>
          <t>MK-XS-F-017 currentAge</t>
        </is>
      </c>
      <c r="R705" s="3" t="inlineStr">
        <is>
          <t>MK-XS-F-017 currentAge → MK-XS-F-179 ageToday</t>
        </is>
      </c>
      <c r="S705" s="3" t="inlineStr">
        <is>
          <t>—</t>
        </is>
      </c>
      <c r="T705" s="3" t="inlineStr">
        <is>
          <t>—</t>
        </is>
      </c>
      <c r="U705" s="3" t="inlineStr">
        <is>
          <t>ACTIVE</t>
        </is>
      </c>
      <c r="V705" s="3" t="inlineStr">
        <is>
          <t>2026-09-12</t>
        </is>
      </c>
      <c r="W705" s="3" t="n"/>
      <c r="X705" s="3" t="n"/>
      <c r="Y705" s="3" t="inlineStr">
        <is>
          <t>NOTHING OPEN</t>
        </is>
      </c>
    </row>
    <row r="706" ht="60" customHeight="1">
      <c r="A706" s="3" t="inlineStr">
        <is>
          <t>MK-XS-F-180</t>
        </is>
      </c>
      <c r="B706" s="3" t="inlineStr">
        <is>
          <t>declareFigures</t>
        </is>
      </c>
      <c r="C706" s="3" t="inlineStr">
        <is>
          <t>MoneyKeel/functions/_figure-spec.ts</t>
        </is>
      </c>
      <c r="D706" s="3" t="n">
        <v>175</v>
      </c>
      <c r="E706" s="3" t="inlineStr">
        <is>
          <t>3 · DEPENDENT</t>
        </is>
      </c>
      <c r="F706" s="3" t="inlineStr">
        <is>
          <t>Declare the figures a door hands out.</t>
        </is>
      </c>
      <c r="G706" s="11" t="inlineStr">
        <is>
          <t>NOT READ YET — the body is not a shape this can render faithfully, so nothing is claimed rather than something being guessed. It needs reading by hand.</t>
        </is>
      </c>
      <c r="H706" s="3" t="inlineStr">
        <is>
          <t>NOT READ YET — the body is not a shape this can render faithfully, so nothing is claimed rather than something being guessed. It needs reading by hand.</t>
        </is>
      </c>
      <c r="I706" s="3" t="inlineStr">
        <is>
          <t>NOT READ — nothing is claimed rather than something guessed</t>
        </is>
      </c>
      <c r="J706" s="3" t="inlineStr">
        <is>
          <t>f: T</t>
        </is>
      </c>
      <c r="K706" s="3" t="inlineStr">
        <is>
          <t>T</t>
        </is>
      </c>
      <c r="L706" s="3" t="inlineStr">
        <is>
          <t>—</t>
        </is>
      </c>
      <c r="M706" s="3" t="inlineStr">
        <is>
          <t>None found in this function — anything it assumes comes from the functions it depends on.</t>
        </is>
      </c>
      <c r="N706" s="3" t="inlineStr">
        <is>
          <t>Yes</t>
        </is>
      </c>
      <c r="O706" s="3" t="inlineStr">
        <is>
          <t>—</t>
        </is>
      </c>
      <c r="P706" s="3" t="n">
        <v>0</v>
      </c>
      <c r="Q706" s="3" t="inlineStr">
        <is>
          <t>None — no dependent function stands behind it</t>
        </is>
      </c>
      <c r="R706" s="3" t="inlineStr">
        <is>
          <t>No dependent function — it reads its inputs and answers</t>
        </is>
      </c>
      <c r="S706" s="3" t="inlineStr">
        <is>
          <t>—</t>
        </is>
      </c>
      <c r="T706" s="3" t="inlineStr">
        <is>
          <t>—</t>
        </is>
      </c>
      <c r="U706" s="3" t="inlineStr">
        <is>
          <t>ACTIVE</t>
        </is>
      </c>
      <c r="V706" s="3" t="inlineStr">
        <is>
          <t>2026-09-14</t>
        </is>
      </c>
      <c r="W706" s="3" t="n"/>
      <c r="X706" s="3" t="n"/>
      <c r="Y706" s="3" t="inlineStr">
        <is>
          <t>NOTHING OPEN</t>
        </is>
      </c>
    </row>
    <row r="707" ht="60" customHeight="1">
      <c r="A707" s="3" t="inlineStr">
        <is>
          <t>MK-XS-F-181</t>
        </is>
      </c>
      <c r="B707" s="3" t="inlineStr">
        <is>
          <t>merge</t>
        </is>
      </c>
      <c r="C707" s="3" t="inlineStr">
        <is>
          <t>MoneyKeel/functions/figures.ts</t>
        </is>
      </c>
      <c r="D707" s="3" t="n">
        <v>69</v>
      </c>
      <c r="E707" s="3" t="inlineStr">
        <is>
          <t>3 · DEPENDENT (feeds an action only)</t>
        </is>
      </c>
      <c r="F707" s="3" t="inlineStr">
        <is>
          <t>NOT DETERMINED — the code carries no note saying what this is for, and it has no row in the old inventory. Needs reading.</t>
        </is>
      </c>
      <c r="G707" s="11" t="inlineStr">
        <is>
          <t>out = {}
from = {}
the answer = out</t>
        </is>
      </c>
      <c r="H707" s="3" t="inlineStr">
        <is>
          <t>Out is {}. From is {}. The answer is out.</t>
        </is>
      </c>
      <c r="I707" s="3" t="inlineStr">
        <is>
          <t>READ FROM THE CODE — rendered from the expressions the function runs</t>
        </is>
      </c>
      <c r="J707" s="3" t="inlineStr">
        <is>
          <t>Nothing is handed to it</t>
        </is>
      </c>
      <c r="K707" s="3" t="inlineStr">
        <is>
          <t>Record&lt;string, FigureSpec&gt;</t>
        </is>
      </c>
      <c r="L707" s="3" t="inlineStr">
        <is>
          <t>—</t>
        </is>
      </c>
      <c r="M707" s="3" t="inlineStr">
        <is>
          <t>None found in this function — anything it assumes comes from the functions it depends on.</t>
        </is>
      </c>
      <c r="N707" s="3" t="inlineStr">
        <is>
          <t>No</t>
        </is>
      </c>
      <c r="O707" s="3" t="inlineStr">
        <is>
          <t>MK-CF-F-132 map</t>
        </is>
      </c>
      <c r="P707" s="3" t="n">
        <v>1</v>
      </c>
      <c r="Q707" s="3" t="inlineStr">
        <is>
          <t>MK-CF-F-132 map</t>
        </is>
      </c>
      <c r="R707" s="3" t="inlineStr">
        <is>
          <t>MK-CF-F-132 map → MK-XS-F-181 merge</t>
        </is>
      </c>
      <c r="S707" s="3" t="inlineStr">
        <is>
          <t>—</t>
        </is>
      </c>
      <c r="T707" s="3" t="inlineStr">
        <is>
          <t>—</t>
        </is>
      </c>
      <c r="U707" s="3" t="inlineStr">
        <is>
          <t>ACTIVE</t>
        </is>
      </c>
      <c r="V707" s="3" t="inlineStr">
        <is>
          <t>2026-09-14</t>
        </is>
      </c>
      <c r="W707" s="3" t="n"/>
      <c r="X707" s="3" t="n"/>
      <c r="Y707" s="3" t="inlineStr">
        <is>
          <t>NOTHING OPEN</t>
        </is>
      </c>
    </row>
    <row r="708" ht="45" customHeight="1">
      <c r="A708" s="3" t="inlineStr">
        <is>
          <t>MK-XS-F-182</t>
        </is>
      </c>
      <c r="B708" s="3" t="inlineStr">
        <is>
          <t>figureSpec</t>
        </is>
      </c>
      <c r="C708" s="3" t="inlineStr">
        <is>
          <t>MoneyKeel/functions/figures.ts</t>
        </is>
      </c>
      <c r="D708" s="3" t="n">
        <v>103</v>
      </c>
      <c r="E708" s="3" t="inlineStr">
        <is>
          <t>2 · DISPLAYED</t>
        </is>
      </c>
      <c r="F708" s="3" t="inlineStr">
        <is>
          <t>The declaration behind an identifier, or a refusal that names the identifier — never a silent blank.</t>
        </is>
      </c>
      <c r="G708" s="11" t="inlineStr">
        <is>
          <t>spec = FIGURE_REGISTER[id]
the answer = spec</t>
        </is>
      </c>
      <c r="H708" s="3" t="inlineStr">
        <is>
          <t>Spec is FIGURE_REGISTER[id]. The answer is spec.</t>
        </is>
      </c>
      <c r="I708" s="3" t="inlineStr">
        <is>
          <t>READ FROM THE CODE — rendered from the expressions the function runs</t>
        </is>
      </c>
      <c r="J708" s="3" t="inlineStr">
        <is>
          <t>id: string</t>
        </is>
      </c>
      <c r="K708" s="3" t="inlineStr">
        <is>
          <t>FigureSpec</t>
        </is>
      </c>
      <c r="L708" s="3" t="inlineStr">
        <is>
          <t>NOT FOUND — a screen calls it, but the words printed beside its answer could not be traced automatically. Needs reading.</t>
        </is>
      </c>
      <c r="M708" s="3" t="inlineStr">
        <is>
          <t>None found in this function — anything it assumes comes from the functions it depends on.</t>
        </is>
      </c>
      <c r="N708" s="3" t="inlineStr">
        <is>
          <t>Yes</t>
        </is>
      </c>
      <c r="O708" s="3" t="inlineStr">
        <is>
          <t>—</t>
        </is>
      </c>
      <c r="P708" s="3" t="n">
        <v>0</v>
      </c>
      <c r="Q708" s="3" t="inlineStr">
        <is>
          <t>None — no dependent function stands behind it</t>
        </is>
      </c>
      <c r="R708" s="3" t="inlineStr">
        <is>
          <t>No dependent function — it reads its inputs and answers</t>
        </is>
      </c>
      <c r="S708" s="3" t="inlineStr">
        <is>
          <t>—</t>
        </is>
      </c>
      <c r="T708" s="3" t="inlineStr">
        <is>
          <t>—</t>
        </is>
      </c>
      <c r="U708" s="3" t="inlineStr">
        <is>
          <t>ACTIVE</t>
        </is>
      </c>
      <c r="V708" s="3" t="inlineStr">
        <is>
          <t>2026-09-14</t>
        </is>
      </c>
      <c r="W708" s="3" t="n"/>
      <c r="X708" s="3" t="n"/>
      <c r="Y708" s="3" t="inlineStr">
        <is>
          <t>NOTHING OPEN</t>
        </is>
      </c>
    </row>
    <row r="709" ht="60" customHeight="1">
      <c r="A709" s="3" t="inlineStr">
        <is>
          <t>MK-XS-F-183</t>
        </is>
      </c>
      <c r="B709" s="3" t="inlineStr">
        <is>
          <t>writeFigure</t>
        </is>
      </c>
      <c r="C709" s="3" t="inlineStr">
        <is>
          <t>MoneyKeel/functions/_figure-spec.ts</t>
        </is>
      </c>
      <c r="D709" s="3" t="n">
        <v>68</v>
      </c>
      <c r="E709" s="3" t="inlineStr">
        <is>
          <t>2 · DISPLAYED</t>
        </is>
      </c>
      <c r="F709" s="3" t="inlineStr">
        <is>
          <t>WRITE A FIGURE THE WAY THE SCREEN WRITES IT — one writer, two callers (2026-09-28).</t>
        </is>
      </c>
      <c r="G709" s="11" t="inlineStr">
        <is>
          <t>spec.refusal   when value = nothing (or !number.is finite(value) when missing or zero)
body + (opts.spoken ? ` a ${spec.per}` : ` ÷ ${spec.per}`)   when opts.with period and spec.per
body</t>
        </is>
      </c>
      <c r="H709" s="3" t="inlineStr">
        <is>
          <t>When value is missing (or !number.is finite(value) — when missing or zero), it answers spec.refusal. When opts.with period and spec.per, it answers body plus (opts.spoken ? ` a ${spec.per}` : ` divided by ${spec.per}`). body.</t>
        </is>
      </c>
      <c r="I709" s="3" t="inlineStr">
        <is>
          <t>PARTLY READ — some of the code is still showing through; needs a hand pass</t>
        </is>
      </c>
      <c r="J709" s="3" t="inlineStr">
        <is>
          <t>1. spec: FigureSpec
2. value: number | null
3. opts?: { spoken?: boolean; withPeriod?: boolean }</t>
        </is>
      </c>
      <c r="K709" s="3" t="inlineStr">
        <is>
          <t>string</t>
        </is>
      </c>
      <c r="L709" s="3" t="inlineStr">
        <is>
          <t>NOT FOUND — a screen calls it, but the words printed beside its answer could not be traced automatically. Needs reading.</t>
        </is>
      </c>
      <c r="M709" s="3" t="inlineStr">
        <is>
          <t>1. Rounds the answer to 1 decimal place.
2. Shows 2 decimal places.
3. Shows 1 decimal place.</t>
        </is>
      </c>
      <c r="N709" s="3" t="inlineStr">
        <is>
          <t>Yes</t>
        </is>
      </c>
      <c r="O709" s="3" t="inlineStr">
        <is>
          <t>1. MK-ST-F-049 formatMoney
2. MK-ST-F-050 formatMoneyCents
3. MK-ST-F-051 moneyCompact
4. MK-ST-F-039 on
5. MK-ST-F-060 verdict</t>
        </is>
      </c>
      <c r="P709" s="3" t="n">
        <v>8</v>
      </c>
      <c r="Q709" s="3" t="inlineStr">
        <is>
          <t>1. MK-ST-F-049 formatMoney
2. MK-ST-F-050 formatMoneyCents
3. MK-ST-F-051 moneyCompact
4. MK-ST-F-039 on
5. MK-ST-F-060 verdict
6. MK-ST-F-048 currencySymbol
7. MK-XS-F-122 n
8. MK-ST-F-047 activeCurrency</t>
        </is>
      </c>
      <c r="R709"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MK-ST-F-047 activeCurrency → MK-ST-F-048 currencySymbol → MK-ST-F-051 moneyCompact → MK-XS-F-183 writeFigure
7. MK-XS-F-122 n → MK-ST-F-051 moneyCompact → MK-XS-F-183 writeFigure
8. MK-ST-F-039 on → MK-XS-F-183 writeFigure
9. … and 1 more paths</t>
        </is>
      </c>
      <c r="S709" s="3" t="inlineStr">
        <is>
          <t>—</t>
        </is>
      </c>
      <c r="T709" s="3" t="inlineStr">
        <is>
          <t>—</t>
        </is>
      </c>
      <c r="U709" s="3" t="inlineStr">
        <is>
          <t>ACTIVE</t>
        </is>
      </c>
      <c r="V709" s="3" t="inlineStr">
        <is>
          <t>2026-09-28</t>
        </is>
      </c>
      <c r="W709" s="3" t="n"/>
      <c r="X709" s="3" t="n"/>
      <c r="Y709" s="3" t="inlineStr">
        <is>
          <t>NOTHING OPEN</t>
        </is>
      </c>
    </row>
    <row r="710" ht="60" customHeight="1">
      <c r="A710" s="3" t="inlineStr">
        <is>
          <t>MK-XS-F-184</t>
        </is>
      </c>
      <c r="B710" s="3" t="inlineStr">
        <is>
          <t>theirCost</t>
        </is>
      </c>
      <c r="C710" s="3" t="inlineStr">
        <is>
          <t>src/services/sync/ingest.ts</t>
        </is>
      </c>
      <c r="D710" s="3" t="n">
        <v>87</v>
      </c>
      <c r="E710" s="3" t="inlineStr">
        <is>
          <t>3 · DEPENDENT (feeds an action only)</t>
        </is>
      </c>
      <c r="F710" s="3" t="inlineStr">
        <is>
          <t>The cost of one share as the person set it — their purchases' cost averaged over their shares — or nothing when they set none.</t>
        </is>
      </c>
      <c r="G710" s="11" t="inlineStr">
        <is>
          <t>nothing   when prior.cost source ! = 'user'
lots = (prior.lots ?? []) as { shares?: number; cost per share?: number }[]
shares = Σ over lots of (shares (or 0 when missing or zero))
the answer = Σ over shares &gt; 0 ? lots of ((shares or 0) × (cost per share or 0))÷ shares : nothing</t>
        </is>
      </c>
      <c r="H710" s="3" t="inlineStr">
        <is>
          <t>When prior.cost source ! = 'user', it answers no answer. Lots is (prior.lots ?? []) as { shares?: number; cost per share?: number }[]. Shares: the shares (or 0 — when missing or zero) added up across lots. The answer: the (shares or 0 added up across shares &gt; 0 ? lots times (cost per share or 0))÷ shares : no answer.</t>
        </is>
      </c>
      <c r="I710" s="3" t="inlineStr">
        <is>
          <t>PARTLY READ — some of the code is still showing through; needs a hand pass</t>
        </is>
      </c>
      <c r="J710" s="3" t="inlineStr">
        <is>
          <t>prior: any</t>
        </is>
      </c>
      <c r="K710" s="3" t="inlineStr">
        <is>
          <t>number | null</t>
        </is>
      </c>
      <c r="L710" s="3" t="inlineStr">
        <is>
          <t>—</t>
        </is>
      </c>
      <c r="M710" s="3" t="inlineStr">
        <is>
          <t>1. If shares is missing it counts as zero, so nothing recorded and a real zero look the same.
2. If cost per share is missing it counts as zero, so nothing recorded and a real zero look the same.</t>
        </is>
      </c>
      <c r="N710" s="3" t="inlineStr">
        <is>
          <t>No</t>
        </is>
      </c>
      <c r="O710" s="3" t="inlineStr">
        <is>
          <t>—</t>
        </is>
      </c>
      <c r="P710" s="3" t="n">
        <v>0</v>
      </c>
      <c r="Q710" s="3" t="inlineStr">
        <is>
          <t>None — no dependent function stands behind it</t>
        </is>
      </c>
      <c r="R710" s="3" t="inlineStr">
        <is>
          <t>No dependent function — it reads its inputs and answers</t>
        </is>
      </c>
      <c r="S710" s="3" t="inlineStr">
        <is>
          <t>—</t>
        </is>
      </c>
      <c r="T710" s="3" t="inlineStr">
        <is>
          <t>—</t>
        </is>
      </c>
      <c r="U710" s="3" t="inlineStr">
        <is>
          <t>ACTIVE</t>
        </is>
      </c>
      <c r="V710" s="3" t="inlineStr">
        <is>
          <t>2026-10-05</t>
        </is>
      </c>
      <c r="W710" s="3" t="n"/>
      <c r="X710" s="3" t="n"/>
      <c r="Y710" s="3" t="inlineStr">
        <is>
          <t>NOTHING OPEN</t>
        </is>
      </c>
    </row>
  </sheetData>
  <autoFilter ref="A1:Y710"/>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113</v>
      </c>
      <c r="C3" s="3" t="n">
        <v>31</v>
      </c>
      <c r="D3" s="3" t="n">
        <v>0</v>
      </c>
      <c r="E3" s="3" t="n">
        <v>64</v>
      </c>
      <c r="F3" s="3" t="n">
        <v>21</v>
      </c>
    </row>
    <row r="4" ht="15" customHeight="1">
      <c r="A4" s="3" t="inlineStr">
        <is>
          <t>2 · DISPLAYED</t>
        </is>
      </c>
      <c r="B4" s="3" t="n">
        <v>261</v>
      </c>
      <c r="C4" s="3" t="n">
        <v>40</v>
      </c>
      <c r="D4" s="3" t="n">
        <v>4</v>
      </c>
      <c r="E4" s="3" t="n">
        <v>62</v>
      </c>
      <c r="F4" s="3" t="n">
        <v>34</v>
      </c>
    </row>
    <row r="5" ht="15" customHeight="1">
      <c r="A5" s="3" t="inlineStr">
        <is>
          <t>2 · DISPLAYED (presentation only)</t>
        </is>
      </c>
      <c r="B5" s="3" t="n">
        <v>3</v>
      </c>
      <c r="C5" s="3" t="n">
        <v>0</v>
      </c>
      <c r="D5" s="3" t="n">
        <v>0</v>
      </c>
      <c r="E5" s="3" t="n">
        <v>0</v>
      </c>
      <c r="F5" s="3" t="n">
        <v>0</v>
      </c>
    </row>
    <row r="6" ht="15" customHeight="1">
      <c r="A6" s="3" t="inlineStr">
        <is>
          <t>3 · DEPENDENT</t>
        </is>
      </c>
      <c r="B6" s="3" t="n">
        <v>228</v>
      </c>
      <c r="C6" s="3" t="n">
        <v>17</v>
      </c>
      <c r="D6" s="3" t="n">
        <v>0</v>
      </c>
      <c r="E6" s="3" t="n">
        <v>24</v>
      </c>
      <c r="F6" s="3" t="n">
        <v>8</v>
      </c>
    </row>
    <row r="7" ht="15" customHeight="1">
      <c r="A7" s="3" t="inlineStr">
        <is>
          <t>3 · DEPENDENT (feeds an action only)</t>
        </is>
      </c>
      <c r="B7" s="3" t="n">
        <v>87</v>
      </c>
      <c r="C7" s="3" t="n">
        <v>16</v>
      </c>
      <c r="D7" s="3" t="n">
        <v>0</v>
      </c>
      <c r="E7" s="3" t="n">
        <v>20</v>
      </c>
      <c r="F7" s="3" t="n">
        <v>10</v>
      </c>
    </row>
    <row r="8" ht="15" customHeight="1">
      <c r="A8" s="3" t="inlineStr">
        <is>
          <t>4 · BRINGS DATA IN</t>
        </is>
      </c>
      <c r="B8" s="3" t="n">
        <v>16</v>
      </c>
      <c r="C8" s="3" t="n">
        <v>5</v>
      </c>
      <c r="D8" s="3" t="n">
        <v>0</v>
      </c>
      <c r="E8" s="3" t="n">
        <v>1</v>
      </c>
      <c r="F8" s="3" t="n">
        <v>1</v>
      </c>
    </row>
    <row r="9" ht="15" customHeight="1">
      <c r="A9" s="4" t="inlineStr">
        <is>
          <t>TOTAL</t>
        </is>
      </c>
      <c r="B9" s="3" t="n">
        <v>708</v>
      </c>
      <c r="C9" s="3" t="n">
        <v>109</v>
      </c>
      <c r="D9" s="3" t="n">
        <v>4</v>
      </c>
      <c r="E9" s="3" t="n">
        <v>171</v>
      </c>
      <c r="F9" s="3" t="n">
        <v>74</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64</v>
      </c>
      <c r="C3" s="3" t="n">
        <v>1</v>
      </c>
      <c r="D3" s="3" t="n">
        <v>1</v>
      </c>
      <c r="E3" s="3" t="n">
        <v>62</v>
      </c>
      <c r="F3" s="3" t="n">
        <v>0</v>
      </c>
    </row>
    <row r="4" ht="15" customHeight="1">
      <c r="A4" s="3" t="inlineStr">
        <is>
          <t>Home</t>
        </is>
      </c>
      <c r="B4" s="3" t="n">
        <v>4</v>
      </c>
      <c r="C4" s="3" t="n">
        <v>0</v>
      </c>
      <c r="D4" s="3" t="n">
        <v>2</v>
      </c>
      <c r="E4" s="3" t="n">
        <v>0</v>
      </c>
      <c r="F4" s="3" t="n">
        <v>2</v>
      </c>
    </row>
    <row r="5" ht="15" customHeight="1">
      <c r="A5" s="3" t="inlineStr">
        <is>
          <t>Menu</t>
        </is>
      </c>
      <c r="B5" s="3" t="n">
        <v>28</v>
      </c>
      <c r="C5" s="3" t="n">
        <v>0</v>
      </c>
      <c r="D5" s="3" t="n">
        <v>8</v>
      </c>
      <c r="E5" s="3" t="n">
        <v>13</v>
      </c>
      <c r="F5" s="3" t="n">
        <v>7</v>
      </c>
    </row>
    <row r="6" ht="15" customHeight="1">
      <c r="A6" s="3" t="inlineStr">
        <is>
          <t>Networth</t>
        </is>
      </c>
      <c r="B6" s="3" t="n">
        <v>64</v>
      </c>
      <c r="C6" s="3" t="n">
        <v>0</v>
      </c>
      <c r="D6" s="3" t="n">
        <v>1</v>
      </c>
      <c r="E6" s="3" t="n">
        <v>60</v>
      </c>
      <c r="F6" s="3" t="n">
        <v>3</v>
      </c>
    </row>
    <row r="7" ht="15" customHeight="1">
      <c r="A7" s="3" t="inlineStr">
        <is>
          <t>Performance</t>
        </is>
      </c>
      <c r="B7" s="3" t="n">
        <v>19</v>
      </c>
      <c r="C7" s="3" t="n">
        <v>0</v>
      </c>
      <c r="D7" s="3" t="n">
        <v>5</v>
      </c>
      <c r="E7" s="3" t="n">
        <v>14</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223</v>
      </c>
      <c r="C10" s="3" t="n">
        <v>1</v>
      </c>
      <c r="D10" s="3" t="n">
        <v>25</v>
      </c>
      <c r="E10" s="3" t="n">
        <v>164</v>
      </c>
      <c r="F10" s="3" t="n">
        <v>33</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2026-10-09T21:03:12Z</dcterms:created>
  <dcterms:modified xsi:type="dcterms:W3CDTF">2026-10-09T21:04:00Z</dcterms:modified>
</cp:coreProperties>
</file>