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multiple_screens" sheetId="3" state="visible" r:id="rId3"/>
    <sheet name="home" sheetId="4" state="visible" r:id="rId4"/>
    <sheet name="networth" sheetId="5" state="visible" r:id="rId5"/>
    <sheet name="performance" sheetId="6" state="visible" r:id="rId6"/>
    <sheet name="plan" sheetId="7" state="visible" r:id="rId7"/>
    <sheet name="cashflow" sheetId="8" state="visible" r:id="rId8"/>
    <sheet name="menu" sheetId="9" state="visible" r:id="rId9"/>
    <sheet name="inputs" sheetId="10" state="visible" r:id="rId10"/>
    <sheet name="database" sheetId="11" state="visible" r:id="rId11"/>
    <sheet name="core_screens" sheetId="12" state="visible" r:id="rId12"/>
    <sheet name="reconciliation" sheetId="13" state="visible" r:id="rId13"/>
    <sheet name="engines" sheetId="14" state="visible" r:id="rId14"/>
    <sheet name="functions_from_code" sheetId="15" state="visible" r:id="rId1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1F3864"/>
    </font>
    <font>
      <b val="1"/>
      <color rgb="009C0006"/>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4"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2"/>
  <sheetViews>
    <sheetView workbookViewId="0">
      <pane ySplit="1" topLeftCell="A2" activePane="bottomLeft" state="frozen"/>
      <selection pane="bottomLeft" activeCell="A1" sqref="A1"/>
    </sheetView>
  </sheetViews>
  <sheetFormatPr baseColWidth="8" defaultRowHeight="15"/>
  <cols>
    <col width="46" customWidth="1" min="1" max="1"/>
    <col width="118" customWidth="1" min="2" max="2"/>
  </cols>
  <sheetData>
    <row r="1">
      <c r="A1" s="1" t="inlineStr">
        <is>
          <t>Item</t>
        </is>
      </c>
      <c r="B1" s="1" t="inlineStr">
        <is>
          <t>Detail</t>
        </is>
      </c>
    </row>
    <row r="2">
      <c r="A2" s="2" t="inlineStr">
        <is>
          <t>STANDING DECISION — how numbers are held and shown</t>
        </is>
      </c>
      <c r="B2" s="3" t="inlineStr">
        <is>
          <t>Every number is held as a float internally. Decimals are SHOWN only for prices of stocks, bonds and options, for interest and dividend rates, and for expenses; everything else displays whole dollars. Rounding happens once, at the edge, never in the middle. Founder, 2026-08-22.</t>
        </is>
      </c>
    </row>
    <row r="3">
      <c r="A3" s="2" t="inlineStr">
        <is>
          <t>Date file created</t>
        </is>
      </c>
      <c r="B3" s="3" t="inlineStr">
        <is>
          <t>2026-08-25</t>
        </is>
      </c>
    </row>
    <row r="4">
      <c r="A4" s="2" t="inlineStr">
        <is>
          <t>Date file last modified</t>
        </is>
      </c>
      <c r="B4" s="3" t="inlineStr">
        <is>
          <t>2026-08-25  (stamped by the build, not typed; unchanged when the file is only read)</t>
        </is>
      </c>
    </row>
    <row r="5">
      <c r="A5" s="2" t="inlineStr">
        <is>
          <t>Objective of this file</t>
        </is>
      </c>
      <c r="B5" s="3" t="inlineStr">
        <is>
          <t>One row for every figure a person reads on screen, tied to the metric behind it, the engine that produces it, and the identifier that joins them — so a wrong number can be traced from the label on screen to its engine and formula in a minute. Serves objectives 3 and 4.</t>
        </is>
      </c>
    </row>
    <row r="6">
      <c r="A6" s="2" t="inlineStr"/>
      <c r="B6" s="3" t="inlineStr"/>
    </row>
    <row r="7">
      <c r="A7" s="2" t="inlineStr">
        <is>
          <t>TAB — Specification</t>
        </is>
      </c>
      <c r="B7" s="3" t="inlineStr">
        <is>
          <t>Everything a row must carry before its calculation can be written in code, NUMBERED S01 upwards so a piece of work can be named by its number. The last column says where each one stands in this file today.</t>
        </is>
      </c>
    </row>
    <row r="8">
      <c r="A8" s="2" t="inlineStr">
        <is>
          <t>TAB — Reference</t>
        </is>
      </c>
      <c r="B8" s="3" t="inlineStr">
        <is>
          <t>This tab. What the file is, what each tab holds, what each column means, and what it must comply with.</t>
        </is>
      </c>
    </row>
    <row r="9">
      <c r="A9" s="2" t="inlineStr">
        <is>
          <t>TAB — multiple_screens</t>
        </is>
      </c>
      <c r="B9" s="3" t="inlineStr">
        <is>
          <t>Figures shown on more than one parent screen. A figure lives here ONCE, with every screen and every label it wears listed, so the same figure can never have two definitions.</t>
        </is>
      </c>
    </row>
    <row r="10">
      <c r="A10" s="2" t="inlineStr">
        <is>
          <t>TAB — home</t>
        </is>
      </c>
      <c r="B10" s="3" t="inlineStr">
        <is>
          <t>Figures shown only on Home and the screens reached from it.</t>
        </is>
      </c>
    </row>
    <row r="11">
      <c r="A11" s="2" t="inlineStr">
        <is>
          <t>TAB — networth</t>
        </is>
      </c>
      <c r="B11" s="3" t="inlineStr">
        <is>
          <t>Figures shown only on Net worth and the screens reached from it.</t>
        </is>
      </c>
    </row>
    <row r="12">
      <c r="A12" s="2" t="inlineStr">
        <is>
          <t>TAB — performance</t>
        </is>
      </c>
      <c r="B12" s="3" t="inlineStr">
        <is>
          <t>Figures shown only on Performance and the screens reached from it.</t>
        </is>
      </c>
    </row>
    <row r="13">
      <c r="A13" s="2" t="inlineStr">
        <is>
          <t>TAB — plan</t>
        </is>
      </c>
      <c r="B13" s="3" t="inlineStr">
        <is>
          <t>Figures shown only on Plan and the screens reached from it.</t>
        </is>
      </c>
    </row>
    <row r="14">
      <c r="A14" s="2" t="inlineStr">
        <is>
          <t>TAB — cashflow</t>
        </is>
      </c>
      <c r="B14" s="3" t="inlineStr">
        <is>
          <t>Figures shown only on Cash flow and the screens reached from it.</t>
        </is>
      </c>
    </row>
    <row r="15">
      <c r="A15" s="2" t="inlineStr">
        <is>
          <t>TAB — menu</t>
        </is>
      </c>
      <c r="B15" s="3" t="inlineStr">
        <is>
          <t>Screens reachable only from the menu, and the figures on them.</t>
        </is>
      </c>
    </row>
    <row r="16">
      <c r="A16" s="2" t="inlineStr">
        <is>
          <t>TAB — engines</t>
        </is>
      </c>
      <c r="B16" s="3" t="inlineStr">
        <is>
          <t>One row per engine identifier — the definitive list every dependency and every figure points at. Carries where the engine is implemented, what it answers, and which figures reach it.</t>
        </is>
      </c>
    </row>
    <row r="17">
      <c r="A17" s="2" t="inlineStr">
        <is>
          <t>TAB — functions_from_code</t>
        </is>
      </c>
      <c r="B17"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18">
      <c r="A18" s="2" t="inlineStr">
        <is>
          <t>TAB — reconciliation</t>
        </is>
      </c>
      <c r="B18" s="3" t="inlineStr">
        <is>
          <t>The input map checked in BOTH directions: what the inputs tab says uses each input, against what each engine actually names in its own input list. Where the two disagree the row says so. The section at the foot lists inputs an engine names that appear nowhere on the inputs tab.</t>
        </is>
      </c>
    </row>
    <row r="19">
      <c r="A19" s="2" t="inlineStr">
        <is>
          <t>TAB — core_screens</t>
        </is>
      </c>
      <c r="B19" s="3" t="inlineStr">
        <is>
          <t>Every screen in the app, its parent, my recommendation on whether it belongs to the 55-70 core, and a column for the founder to decide. Until this is decided, no row in the file can honestly claim to be in scope (S17).</t>
        </is>
      </c>
    </row>
    <row r="20">
      <c r="A20" s="2" t="inlineStr">
        <is>
          <t>TAB — database</t>
        </is>
      </c>
      <c r="B20" s="3" t="inlineStr">
        <is>
          <t>What the app saves in the cloud: where each thing is stored, what it holds, which figures depend on it, how often it is written and at what grain. Also names what is deliberately NOT saved.</t>
        </is>
      </c>
    </row>
    <row r="21">
      <c r="A21" s="2" t="inlineStr">
        <is>
          <t>TAB — inputs</t>
        </is>
      </c>
      <c r="B21" s="3" t="inlineStr">
        <is>
          <t>The raw values the engines need before any calculation happens.</t>
        </is>
      </c>
    </row>
    <row r="22">
      <c r="A22" s="2" t="inlineStr"/>
      <c r="B22" s="3" t="inlineStr"/>
    </row>
    <row r="23">
      <c r="A23" s="2" t="inlineStr">
        <is>
          <t>COLUMN — Metric ID</t>
        </is>
      </c>
      <c r="B23" s="3" t="inlineStr">
        <is>
          <t>The identifier of the figure, per moneykeel_naming_spec_unique-identifier_v01.md. Given once, never changed, never reused.</t>
        </is>
      </c>
    </row>
    <row r="24">
      <c r="A24" s="2" t="inlineStr">
        <is>
          <t>COLUMN — Parent Screen Name</t>
        </is>
      </c>
      <c r="B24" s="3" t="inlineStr">
        <is>
          <t>One of: Home, Networth, Performance, Cashflow, Plan, Menu. Menu means reachable only from the menu.</t>
        </is>
      </c>
    </row>
    <row r="25">
      <c r="A25" s="2" t="inlineStr">
        <is>
          <t>COLUMN — Secondary Screen Name</t>
        </is>
      </c>
      <c r="B25" s="3" t="inlineStr">
        <is>
          <t>The screen reached from the parent, or NA when the figure is on the parent screen itself.</t>
        </is>
      </c>
    </row>
    <row r="26">
      <c r="A26" s="2" t="inlineStr">
        <is>
          <t>COLUMN — Name on Screen</t>
        </is>
      </c>
      <c r="B26" s="3" t="inlineStr">
        <is>
          <t>The label copied exactly as it is worded on screen, including capitals. Where a figure wears different labels on different screens, all are listed.</t>
        </is>
      </c>
    </row>
    <row r="27">
      <c r="A27" s="2" t="inlineStr">
        <is>
          <t>COLUMN — Name of Underlying Metric</t>
        </is>
      </c>
      <c r="B27" s="3" t="inlineStr">
        <is>
          <t>The metric's name in the code.</t>
        </is>
      </c>
    </row>
    <row r="28">
      <c r="A28" s="2" t="inlineStr">
        <is>
          <t>COLUMN — Name of Underlying Engine</t>
        </is>
      </c>
      <c r="B28" s="3" t="inlineStr">
        <is>
          <t>The engine that produces the figure. NOT IN OLD MASTER means the engine exists in the code but has no row in the old master file.</t>
        </is>
      </c>
    </row>
    <row r="29">
      <c r="A29" s="2" t="inlineStr">
        <is>
          <t>COLUMN — Inputs it needs (S02)</t>
        </is>
      </c>
      <c r="B29" s="3" t="inlineStr">
        <is>
          <t>Every input the engine reads, named. Carried from the old master where it has a row there.</t>
        </is>
      </c>
    </row>
    <row r="30">
      <c r="A30" s="2" t="inlineStr">
        <is>
          <t>COLUMN — What comes out (S04)</t>
        </is>
      </c>
      <c r="B30" s="3" t="inlineStr">
        <is>
          <t>Dollars, a percentage, a date, a count; how it is held and how it is shown. Marked "derived by rule" where it was worked out from the label and formula rather than read from the engine — those need confirming.</t>
        </is>
      </c>
    </row>
    <row r="31">
      <c r="A31" s="2" t="inlineStr">
        <is>
          <t>COLUMN — What it says when it cannot be computed (S05)</t>
        </is>
      </c>
      <c r="B31" s="3" t="inlineStr">
        <is>
          <t>The refusal. Written where the engine has been read; NOT DETERMINED where it has not, rather than guessed.</t>
        </is>
      </c>
    </row>
    <row r="32">
      <c r="A32" s="2" t="inlineStr">
        <is>
          <t>COLUMN — Grain (S06)</t>
        </is>
      </c>
      <c r="B32" s="3" t="inlineStr">
        <is>
          <t>One figure per what: holding, account, debt, goal, category, month, or person.</t>
        </is>
      </c>
    </row>
    <row r="33">
      <c r="A33" s="2" t="inlineStr">
        <is>
          <t>COLUMN — Period (S07)</t>
        </is>
      </c>
      <c r="B33" s="3" t="inlineStr">
        <is>
          <t>As of when, and over what window.</t>
        </is>
      </c>
    </row>
    <row r="34">
      <c r="A34" s="2" t="inlineStr">
        <is>
          <t>COLUMN — Dependency (S11)</t>
        </is>
      </c>
      <c r="B34" s="3" t="inlineStr">
        <is>
          <t>The engines this one leans on, each named by ITS identifier and by the output it gives. Read from the code itself, never from a document. "None" means the engine reads raw inputs only.</t>
        </is>
      </c>
    </row>
    <row r="35">
      <c r="A35" s="2" t="inlineStr">
        <is>
          <t>COLUMN — Secondary calculations and decisions the engine makes</t>
        </is>
      </c>
      <c r="B35" s="3" t="inlineStr">
        <is>
          <t>The judgements an engine must make BEFORE its headline figure exists: what class an asset is, what to call it on screen, which units apply, whether a value is fresh. Each of these is a formula of its own and needs its own row.</t>
        </is>
      </c>
    </row>
    <row r="36">
      <c r="A36" s="2" t="inlineStr">
        <is>
          <t>COLUMN — Function ID</t>
        </is>
      </c>
      <c r="B36" s="3" t="inlineStr">
        <is>
          <t>Every function in the code carries one, MK-[family]-F-[number]. The family comes from the folder the code sits in.</t>
        </is>
      </c>
    </row>
    <row r="37">
      <c r="A37" s="2" t="inlineStr">
        <is>
          <t>COLUMN — Dependent functions</t>
        </is>
      </c>
      <c r="B37"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38">
      <c r="A38" s="2" t="inlineStr">
        <is>
          <t>COLUMN — The chain, ending in this function</t>
        </is>
      </c>
      <c r="B38" s="3" t="inlineStr">
        <is>
          <t>Read left to right. The function that shows the answer sits at the END, and everything feeding it comes before it. A loop is marked where a chain turns back on itself. Chains are cut at five levels and eight paths, and say so.</t>
        </is>
      </c>
    </row>
    <row r="39">
      <c r="A39" s="2" t="inlineStr">
        <is>
          <t>COLUMN — Same figure as (S16)</t>
        </is>
      </c>
      <c r="B39" s="3" t="inlineStr">
        <is>
          <t>Where the same figure appears under more than one identifier, the row names the surviving identifier and why. Nothing is deleted: identifiers are never reused, so a folded row stays visible and says what it became.</t>
        </is>
      </c>
    </row>
    <row r="40">
      <c r="A40" s="2" t="inlineStr">
        <is>
          <t>COLUMN — Questions for you (numbered)</t>
        </is>
      </c>
      <c r="B40" s="3" t="inlineStr">
        <is>
          <t>My open questions about that engine or figure, each with a number that never changes. A number is never reused or renumbered, so an answer can always be matched to its question.</t>
        </is>
      </c>
    </row>
    <row r="41">
      <c r="A41" s="2" t="inlineStr">
        <is>
          <t>COLUMN — YOUR ANSWER — use the same number</t>
        </is>
      </c>
      <c r="B41" s="3" t="inlineStr">
        <is>
          <t>Answer here, starting each answer with the question number. Nothing else in the file needs to line up.</t>
        </is>
      </c>
    </row>
    <row r="42">
      <c r="A42" s="2" t="inlineStr">
        <is>
          <t>COLUMN — Errors or findings to address</t>
        </is>
      </c>
      <c r="B42" s="3" t="inlineStr">
        <is>
          <t>What is known to be wrong or unproved about this figure, in plain English. Blank means nothing is on record yet — not that nothing is wrong.</t>
        </is>
      </c>
    </row>
    <row r="43">
      <c r="A43" s="2" t="inlineStr">
        <is>
          <t>COLUMN — Decisions made (S03)</t>
        </is>
      </c>
      <c r="B43"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44">
      <c r="A44" s="2" t="inlineStr">
        <is>
          <t>COLUMN — Formula (mathematical)</t>
        </is>
      </c>
      <c r="B44" s="3" t="inlineStr">
        <is>
          <t>The rule written as arithmetic, so it can be followed symbol by symbol and checked against the code.</t>
        </is>
      </c>
    </row>
    <row r="45">
      <c r="A45" s="2" t="inlineStr">
        <is>
          <t>COLUMN — Formula (in words)</t>
        </is>
      </c>
      <c r="B45" s="3" t="inlineStr">
        <is>
          <t>The same rule in plain English, followable by hand. Where the engine has a row in the old master this is its wording, carried over; where it does not, it is written here from reading the code.</t>
        </is>
      </c>
    </row>
    <row r="46">
      <c r="A46" s="2" t="inlineStr">
        <is>
          <t>COLUMN — Engine ID</t>
        </is>
      </c>
      <c r="B46" s="3" t="inlineStr">
        <is>
          <t>The identifier of that engine. Blank where the figure is worked out on the screen itself rather than by an engine — which is itself a finding.</t>
        </is>
      </c>
    </row>
    <row r="47">
      <c r="A47" s="2" t="inlineStr">
        <is>
          <t>COLUMN — Your name for it (72-metric file)</t>
        </is>
      </c>
      <c r="B47" s="3" t="inlineStr">
        <is>
          <t>The founder's own name for the same figure, from METRICS-DELIVERABLE-ANSWERED-2026-08-20.xlsx. This column is the bridge between his vocabulary and the code's.</t>
        </is>
      </c>
    </row>
    <row r="48">
      <c r="A48" s="2" t="inlineStr">
        <is>
          <t>COLUMN — Core screen?</t>
        </is>
      </c>
      <c r="B48" s="3" t="inlineStr">
        <is>
          <t>Whether the screen is part of the 55-70 core, the agreed first scope. Currently NOT DETERMINED on every row: the core list has never been written down, so no row can honestly claim to be in or out of it.</t>
        </is>
      </c>
    </row>
    <row r="49">
      <c r="A49" s="2" t="inlineStr">
        <is>
          <t>COLUMN — Row status</t>
        </is>
      </c>
      <c r="B49" s="3" t="inlineStr">
        <is>
          <t>VERIFIED with its date means a person read the screen and confirmed the chain. NOT STARTED means the screen has not been read yet. Nothing in between is claimed.</t>
        </is>
      </c>
    </row>
    <row r="50">
      <c r="A50" s="2" t="inlineStr"/>
      <c r="B50" s="3" t="inlineStr"/>
    </row>
    <row r="51">
      <c r="A51" s="2" t="inlineStr">
        <is>
          <t>COLUMN — Input ID</t>
        </is>
      </c>
      <c r="B51" s="3" t="inlineStr">
        <is>
          <t>The identifier of a raw input, per the same standard.</t>
        </is>
      </c>
    </row>
    <row r="52">
      <c r="A52" s="2" t="inlineStr">
        <is>
          <t>COLUMN — Variable name</t>
        </is>
      </c>
      <c r="B52" s="3" t="inlineStr">
        <is>
          <t>What the raw value is called.</t>
        </is>
      </c>
    </row>
    <row r="53">
      <c r="A53" s="2" t="inlineStr">
        <is>
          <t>COLUMN — Source</t>
        </is>
      </c>
      <c r="B53" s="3" t="inlineStr">
        <is>
          <t>Where the value comes from: the person typed it, an institution download, a connected provider, or another engine computed it.</t>
        </is>
      </c>
    </row>
    <row r="54">
      <c r="A54" s="2" t="inlineStr">
        <is>
          <t>COLUMN — Which metric uses it</t>
        </is>
      </c>
      <c r="B54" s="3" t="inlineStr">
        <is>
          <t>Every metric identifier that depends on this input.</t>
        </is>
      </c>
    </row>
    <row r="55">
      <c r="A55" s="2" t="inlineStr">
        <is>
          <t>COLUMN — Which engine uses it</t>
        </is>
      </c>
      <c r="B55" s="3" t="inlineStr">
        <is>
          <t>Every engine identifier that reads this input.</t>
        </is>
      </c>
    </row>
    <row r="56">
      <c r="A56" s="2" t="inlineStr"/>
      <c r="B56" s="3" t="inlineStr"/>
    </row>
    <row r="57">
      <c r="A57" s="2" t="inlineStr">
        <is>
          <t>Complies with — naming</t>
        </is>
      </c>
      <c r="B57" s="3" t="inlineStr">
        <is>
          <t>MoneyKeel/documents/standards/moneykeel_naming_spec_file-and-folder-naming_v01.md</t>
        </is>
      </c>
    </row>
    <row r="58">
      <c r="A58" s="2" t="inlineStr">
        <is>
          <t>Complies with — identifiers</t>
        </is>
      </c>
      <c r="B58" s="3" t="inlineStr">
        <is>
          <t>MoneyKeel/documents/standards/moneykeel_naming_spec_unique-identifier_v01.md</t>
        </is>
      </c>
    </row>
    <row r="59">
      <c r="A59" s="2" t="inlineStr">
        <is>
          <t>Complies with — objectives</t>
        </is>
      </c>
      <c r="B59" s="3" t="inlineStr">
        <is>
          <t>MoneyKeel/documents/standards/moneykeel_calc_spec_objectives-and-verification_v01.md</t>
        </is>
      </c>
    </row>
    <row r="60">
      <c r="A60" s="2" t="inlineStr"/>
      <c r="B60" s="3" t="inlineStr"/>
    </row>
    <row r="61">
      <c r="A61" s="2" t="inlineStr">
        <is>
          <t>COVERAGE — screens read so far</t>
        </is>
      </c>
      <c r="B61" s="3" t="inlineStr">
        <is>
          <t>49 of 49. Every screen in the app has been read: the five parent screens, every secondary screen and every menu screen. Twelve screens carry no calculated figure and say so.</t>
        </is>
      </c>
    </row>
    <row r="62">
      <c r="A62" s="2" t="inlineStr">
        <is>
          <t>COVERAGE — what that means</t>
        </is>
      </c>
      <c r="B62" s="3" t="inlineStr">
        <is>
          <t>Every screen in the app is listed on its tab. Only Home carries figures so far; the rest are marked NOT STARTED. A rising count is not completeness while screens remain unread.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No.</t>
        </is>
      </c>
      <c r="B1" s="1" t="inlineStr">
        <is>
          <t>What is needed</t>
        </is>
      </c>
      <c r="C1" s="1" t="inlineStr">
        <is>
          <t>Why it is needed</t>
        </is>
      </c>
      <c r="D1" s="1" t="inlineStr">
        <is>
          <t>Where it stands in this file today</t>
        </is>
      </c>
    </row>
    <row r="2">
      <c r="A2" t="inlineStr"/>
      <c r="B2" s="4" t="inlineStr">
        <is>
          <t>SECTION — WHAT THE NUMBER IS</t>
        </is>
      </c>
      <c r="C2" s="3" t="inlineStr"/>
      <c r="D2" s="3" t="inlineStr"/>
    </row>
    <row r="3">
      <c r="A3" t="inlineStr">
        <is>
          <t>S01</t>
        </is>
      </c>
      <c r="B3" s="3" t="inlineStr">
        <is>
          <t>The formula</t>
        </is>
      </c>
      <c r="C3" s="3" t="inlineStr">
        <is>
          <t>The actual rules, both as arithmetic and in plain English, followable by hand.</t>
        </is>
      </c>
      <c r="D3" s="3" t="inlineStr">
        <is>
          <t>COMPLETE — 163 of 163 carry both forms.</t>
        </is>
      </c>
    </row>
    <row r="4">
      <c r="A4" t="inlineStr">
        <is>
          <t>S02</t>
        </is>
      </c>
      <c r="B4" s="3" t="inlineStr">
        <is>
          <t>The inputs, one by one</t>
        </is>
      </c>
      <c r="C4" s="3" t="inlineStr">
        <is>
          <t>Every input named, with its INPUT IDENTIFIER beside it, its unit and where it comes from.</t>
        </is>
      </c>
      <c r="D4" s="3" t="inlineStr">
        <is>
          <t>PARTIAL — 59 rows name inputs carrying their identifiers; 72 rows name at least one input that appears nowhere on the inputs tab, and say so in the cell. The reconciliation tab checks both directions and is where the gap is counted.</t>
        </is>
      </c>
    </row>
    <row r="5">
      <c r="A5"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c r="A6" t="inlineStr">
        <is>
          <t>S04</t>
        </is>
      </c>
      <c r="B6" s="3" t="inlineStr">
        <is>
          <t>What comes out</t>
        </is>
      </c>
      <c r="C6" s="3" t="inlineStr">
        <is>
          <t>Dollars, a percentage, a date, a count; its unit and its rounding.</t>
        </is>
      </c>
      <c r="D6" s="3" t="inlineStr">
        <is>
          <t>COMPLETE — 163 of 163, derived by rule from the label and formula and marked as derived. Confirm rather than trust.</t>
        </is>
      </c>
    </row>
    <row r="7">
      <c r="A7" t="inlineStr">
        <is>
          <t>S05</t>
        </is>
      </c>
      <c r="B7" s="3" t="inlineStr">
        <is>
          <t>What it says when it cannot be computed</t>
        </is>
      </c>
      <c r="C7" s="3" t="inlineStr">
        <is>
          <t>The exact refusal — where wrong numbers get invented.</t>
        </is>
      </c>
      <c r="D7" s="3" t="inlineStr">
        <is>
          <t>PARTIAL — 126 of 163 written; 37 read NOT DETERMINED because that engine has not been read for its refusal yet.</t>
        </is>
      </c>
    </row>
    <row r="8">
      <c r="A8" t="inlineStr">
        <is>
          <t>S06</t>
        </is>
      </c>
      <c r="B8" s="3" t="inlineStr">
        <is>
          <t>The grain</t>
        </is>
      </c>
      <c r="C8" s="3" t="inlineStr">
        <is>
          <t>One figure per holding, account, debt, goal, category, month or person.</t>
        </is>
      </c>
      <c r="D8" s="3" t="inlineStr">
        <is>
          <t>COMPLETE — 163 of 163, derived by rule and marked as derived.</t>
        </is>
      </c>
    </row>
    <row r="9">
      <c r="A9" t="inlineStr">
        <is>
          <t>S07</t>
        </is>
      </c>
      <c r="B9" s="3" t="inlineStr">
        <is>
          <t>The period</t>
        </is>
      </c>
      <c r="C9" s="3" t="inlineStr">
        <is>
          <t>As of when, and over what window.</t>
        </is>
      </c>
      <c r="D9" s="3" t="inlineStr">
        <is>
          <t>COMPLETE — 163 of 163, derived by rule and marked as derived.</t>
        </is>
      </c>
    </row>
    <row r="10">
      <c r="A10" t="inlineStr"/>
      <c r="B10" s="4" t="inlineStr">
        <is>
          <t>SECTION — WHAT PROVES IT</t>
        </is>
      </c>
      <c r="C10" s="3" t="inlineStr"/>
      <c r="D10" s="3" t="inlineStr"/>
    </row>
    <row r="11">
      <c r="A11" t="inlineStr">
        <is>
          <t>S08</t>
        </is>
      </c>
      <c r="B11" s="3" t="inlineStr">
        <is>
          <t>Worked examples</t>
        </is>
      </c>
      <c r="C11" s="3" t="inlineStr">
        <is>
          <t>These inputs give this answer. Rung 2 re-runs them through the real engine on every build.</t>
        </is>
      </c>
      <c r="D11" s="3" t="inlineStr">
        <is>
          <t>NOT STARTED — waits on the founder's answers to the numbered questions, since an example needs the rule settled first.</t>
        </is>
      </c>
    </row>
    <row r="12">
      <c r="A12"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c r="A13" t="inlineStr">
        <is>
          <t>S10</t>
        </is>
      </c>
      <c r="B13" s="3" t="inlineStr">
        <is>
          <t>Verification level</t>
        </is>
      </c>
      <c r="C13" s="3" t="inlineStr">
        <is>
          <t>Which engines are marked for rung 4 and rung 5. Marked by the founder, recommended by me.</t>
        </is>
      </c>
      <c r="D13" s="3" t="inlineStr">
        <is>
          <t>NOT STARTED — the column does not exist yet.</t>
        </is>
      </c>
    </row>
    <row r="14">
      <c r="A14" t="inlineStr"/>
      <c r="B14" s="4" t="inlineStr">
        <is>
          <t>SECTION — WHAT CONNECTS IT</t>
        </is>
      </c>
      <c r="C14" s="3" t="inlineStr"/>
      <c r="D14" s="3" t="inlineStr"/>
    </row>
    <row r="15">
      <c r="A15" t="inlineStr">
        <is>
          <t>S11</t>
        </is>
      </c>
      <c r="B15" s="3" t="inlineStr">
        <is>
          <t>Which engines feed this engine</t>
        </is>
      </c>
      <c r="C15" s="3" t="inlineStr">
        <is>
          <t>Each dependency named by ITS engine identifier and by the output it gives, so a chain can be followed without knowing any engine by name.</t>
        </is>
      </c>
      <c r="D15" s="3" t="inlineStr">
        <is>
          <t>COMPLETE — read from the code itself, not from any document. 64 rows name a dependency by identifier; the rest read raw inputs only.</t>
        </is>
      </c>
    </row>
    <row r="16">
      <c r="A16" t="inlineStr">
        <is>
          <t>S12</t>
        </is>
      </c>
      <c r="B16" s="3" t="inlineStr">
        <is>
          <t>Where it is implemented</t>
        </is>
      </c>
      <c r="C16" s="3" t="inlineStr">
        <is>
          <t>The file and function that carry it, so file and code can be checked against each other on every build.</t>
        </is>
      </c>
      <c r="D16" s="3" t="inlineStr">
        <is>
          <t>PARTIAL — the engines tab carries the file and line for every engine identifier that has one on record; the rest read NOT DETERMINED, and the ones worked out on a screen say so.</t>
        </is>
      </c>
    </row>
    <row r="17">
      <c r="A17" t="inlineStr"/>
      <c r="B17" s="4" t="inlineStr">
        <is>
          <t>SECTION — GOVERNANCE</t>
        </is>
      </c>
      <c r="C17" s="3" t="inlineStr"/>
      <c r="D17" s="3" t="inlineStr"/>
    </row>
    <row r="18">
      <c r="A18" t="inlineStr">
        <is>
          <t>S13</t>
        </is>
      </c>
      <c r="B18" s="3" t="inlineStr">
        <is>
          <t>The founder's verdict</t>
        </is>
      </c>
      <c r="C18" s="3" t="inlineStr">
        <is>
          <t>A row counts as documented only when he has approved it.</t>
        </is>
      </c>
      <c r="D18" s="3" t="inlineStr">
        <is>
          <t>NOT STARTED — the column does not exist yet, so the coverage count means nothing until it does.</t>
        </is>
      </c>
    </row>
    <row r="19">
      <c r="A19" t="inlineStr">
        <is>
          <t>S14</t>
        </is>
      </c>
      <c r="B19" s="3" t="inlineStr">
        <is>
          <t>Lifecycle</t>
        </is>
      </c>
      <c r="C19" s="3" t="inlineStr">
        <is>
          <t>Live, cut, or superseded by another identifier.</t>
        </is>
      </c>
      <c r="D19" s="3" t="inlineStr">
        <is>
          <t>NOT STARTED.</t>
        </is>
      </c>
    </row>
    <row r="20">
      <c r="A20" t="inlineStr"/>
      <c r="B20" s="4" t="inlineStr">
        <is>
          <t>SECTION — NOT ON THE ORIGINAL LIST, STILL NEEDED</t>
        </is>
      </c>
      <c r="C20" s="3" t="inlineStr"/>
      <c r="D20" s="3" t="inlineStr"/>
    </row>
    <row r="21">
      <c r="A21" t="inlineStr">
        <is>
          <t>S15</t>
        </is>
      </c>
      <c r="B21" s="3" t="inlineStr">
        <is>
          <t>Your name for it, from the 72-metric file</t>
        </is>
      </c>
      <c r="C21" s="3" t="inlineStr">
        <is>
          <t>The bridge between the founder's vocabulary and the code's.</t>
        </is>
      </c>
      <c r="D21" s="3" t="inlineStr">
        <is>
          <t>NOT STARTED — 0 of 163 rows.</t>
        </is>
      </c>
    </row>
    <row r="22">
      <c r="A22" t="inlineStr">
        <is>
          <t>S18</t>
        </is>
      </c>
      <c r="B22" s="3" t="inlineStr">
        <is>
          <t>The reconciliation engine</t>
        </is>
      </c>
      <c r="C22" s="3" t="inlineStr">
        <is>
          <t>Both records kept independently and checked against each other as a build gate — an input an engine names that is on no row, an input declared that no engine names, an engine identifier that does not exist, an engine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engine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c r="A23" t="inlineStr">
        <is>
          <t>S19</t>
        </is>
      </c>
      <c r="B23" s="3" t="inlineStr">
        <is>
          <t>Duplicate calculations in the CODE</t>
        </is>
      </c>
      <c r="C23" s="3" t="inlineStr">
        <is>
          <t>S16 compared the figures on screens, so it could only see engines a figure names. Two functions in different files that compute the same thing, named by no figure, are invisible to it — alternativesSummary and alternativesTotal both total the same holdings. A second pass is needed over the code itself.</t>
        </is>
      </c>
      <c r="D23" s="3" t="inlineStr">
        <is>
          <t>NOT STARTED — found while answering a question about S16, not by S16.</t>
        </is>
      </c>
    </row>
    <row r="24">
      <c r="A24" t="inlineStr">
        <is>
          <t>S20</t>
        </is>
      </c>
      <c r="B24" s="3" t="inlineStr">
        <is>
          <t>Engine names that exist nowhere</t>
        </is>
      </c>
      <c r="C24" s="3" t="inlineStr">
        <is>
          <t>Twenty engine names in this file were assigned while reading a screen and have no engine row anywhere. Every one now says so on its row rather than looking documented.</t>
        </is>
      </c>
      <c r="D24" s="3" t="inlineStr">
        <is>
          <t>FLAGGED — the names are marked; each still needs a row of its own, or to be pointed at an engine that already exists.</t>
        </is>
      </c>
    </row>
    <row r="25">
      <c r="A25" t="inlineStr">
        <is>
          <t>S16</t>
        </is>
      </c>
      <c r="B25" s="3" t="inlineStr">
        <is>
          <t>The duplication pass</t>
        </is>
      </c>
      <c r="C25" s="3" t="inlineStr">
        <is>
          <t>Figures that are the same thing under two identifiers.</t>
        </is>
      </c>
      <c r="D25" s="3" t="inlineStr">
        <is>
          <t>COMPLETE — every group judged one at a time. 11 figures were being shown under 24 identifiers; the 13 folded rows now name the identifier that survives and why. 18 groups were checked and are NOT duplicates — one engine legitimately producing several figures — and say so, so the question is not asked twice. Two mis-assigned engines were found and recorded as findings.</t>
        </is>
      </c>
    </row>
    <row r="26">
      <c r="A26" t="inlineStr">
        <is>
          <t>S17</t>
        </is>
      </c>
      <c r="B26" s="3" t="inlineStr">
        <is>
          <t>Which screens are the 55-70 core</t>
        </is>
      </c>
      <c r="C26" s="3" t="inlineStr">
        <is>
          <t>The agreed first scope has never been written down.</t>
        </is>
      </c>
      <c r="D26" s="3" t="inlineStr">
        <is>
          <t>READY FOR THE FOUNDER — the core_screens tab lists all 49 screens with my recommendation (39 in, 5 out, 5 borderline) and a column for his decision.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MK-XS-M-001</t>
        </is>
      </c>
      <c r="B2" t="inlineStr">
        <is>
          <t>Home · Networth</t>
        </is>
      </c>
      <c r="C2" t="inlineStr">
        <is>
          <t>NA</t>
        </is>
      </c>
      <c r="D2" t="inlineStr">
        <is>
          <t>Net worth · YOUR NET WORTH</t>
        </is>
      </c>
      <c r="E2" t="inlineStr">
        <is>
          <t>nw.net_worth</t>
        </is>
      </c>
      <c r="F2" t="inlineStr">
        <is>
          <t>NET_WORTH</t>
        </is>
      </c>
      <c r="G2" t="inlineStr">
        <is>
          <t>MK-XS-E-001</t>
        </is>
      </c>
      <c r="H2" t="inlineStr">
        <is>
          <t>net worth = Σ(all asset balances) − Σ(all debt balances)</t>
        </is>
      </c>
      <c r="I2"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2" t="inlineStr">
        <is>
          <t>everything owned → grossAssets  [MK-XS-I-001] · everything owed → grossDebt  [MK-XS-I-014]</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c r="R2" t="inlineStr">
        <is>
          <t>[Founder] Assets minus debts, computed each time and never stored as a third number that could disagree with its own halves. A genuine negative is shown, never floored at zero.</t>
        </is>
      </c>
      <c r="S2" t="inlineStr">
        <is>
          <t>THE SURVIVING IDENTIFIER for this figure. Folded in: MK-NW-M-016. Net worth. "Net worth so far" during setup is the same figure as the headline, mid-way through entry.</t>
        </is>
      </c>
      <c r="T2" t="inlineStr"/>
      <c r="U2" t="inlineStr"/>
      <c r="V2" t="inlineStr"/>
      <c r="W2" t="inlineStr">
        <is>
          <t>NOT DETERMINED</t>
        </is>
      </c>
      <c r="X2" t="inlineStr">
        <is>
          <t>VERIFIED 2026-08-22</t>
        </is>
      </c>
    </row>
    <row r="3">
      <c r="A3" t="inlineStr">
        <is>
          <t>MK-XS-M-002</t>
        </is>
      </c>
      <c r="B3" t="inlineStr">
        <is>
          <t>Home · Plan · Cashflow</t>
        </is>
      </c>
      <c r="C3" t="inlineStr">
        <is>
          <t>NA</t>
        </is>
      </c>
      <c r="D3" t="inlineStr">
        <is>
          <t>Will my money last / Is my money lasting (odds)</t>
        </is>
      </c>
      <c r="E3" t="inlineStr">
        <is>
          <t>wil.chance</t>
        </is>
      </c>
      <c r="F3" t="inlineStr">
        <is>
          <t>WILL_IT_LAST_RESULT</t>
        </is>
      </c>
      <c r="G3" t="inlineStr">
        <is>
          <t>MK-XS-E-007</t>
        </is>
      </c>
      <c r="H3" t="inlineStr">
        <is>
          <t>run 1,000 futures; in each year: balance ← balance × (1 + random return) − (spending − guaranteed income);  odds = futures that never run out ÷ 1,000</t>
        </is>
      </c>
      <c r="I3"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 t="inlineStr">
        <is>
          <t>everything → WILL_IT_LAST_INPUTS  [NOT AN INPUT — another engine’s answer; see the dependency column] · is a range wanted → withBand  [NOT AN INPUT — a setting or a filter, not data anyone supplies]</t>
        </is>
      </c>
      <c r="K3" t="inlineStr">
        <is>
          <t>Percent · rounded to the nearest 5 · a real 100 or 0 shown literally  [derived by rule — confirm]</t>
        </is>
      </c>
      <c r="L3" t="inlineStr">
        <is>
          <t>No odds at all until the three facts are answered. A sample is shown in their place, labelled as a sample, never as the person's own number.</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 t="inlineStr"/>
      <c r="Q3" t="inlineStr">
        <is>
          <t>The odds shown on Home, Plan and Cash flow are rounded to the nearest 5, while the compare tables still show them exact. One figure, two precisions — founder's open question.</t>
        </is>
      </c>
      <c r="R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 t="inlineStr"/>
      <c r="T3" t="inlineStr">
        <is>
          <t>Q19 — The odds are rounded to the nearest 5 on screen but shown exact in the compare tables. Round everywhere, or show exact everywhere?</t>
        </is>
      </c>
      <c r="U3" t="inlineStr"/>
      <c r="V3" t="inlineStr"/>
      <c r="W3" t="inlineStr">
        <is>
          <t>NOT DETERMINED</t>
        </is>
      </c>
      <c r="X3" t="inlineStr">
        <is>
          <t>VERIFIED 2026-08-22</t>
        </is>
      </c>
    </row>
    <row r="4">
      <c r="A4" t="inlineStr">
        <is>
          <t>MK-XS-M-003</t>
        </is>
      </c>
      <c r="B4" t="inlineStr">
        <is>
          <t>Home · Performance · Networth</t>
        </is>
      </c>
      <c r="C4" t="inlineStr">
        <is>
          <t>NA</t>
        </is>
      </c>
      <c r="D4" t="inlineStr">
        <is>
          <t>YOUR INVESTMENTS · 📈 INVESTMENTS</t>
        </is>
      </c>
      <c r="E4" t="inlineStr">
        <is>
          <t>investTotal</t>
        </is>
      </c>
      <c r="F4" t="inlineStr">
        <is>
          <t>TOTAL_INVESTMENTS</t>
        </is>
      </c>
      <c r="G4" t="inlineStr">
        <is>
          <t>MK-XS-E-009</t>
        </is>
      </c>
      <c r="H4" t="inlineStr">
        <is>
          <t>investments = Σ(balance of each account whose class ∈ {brokerage, retirement, other investments})</t>
        </is>
      </c>
      <c r="I4" t="inlineStr">
        <is>
          <t>Add up the balances of every account whose class is Stocks / Funds, Bonds &amp; CDs, Alternatives or Unclassified. Excludes cash, the house and the car.</t>
        </is>
      </c>
      <c r="J4" t="inlineStr">
        <is>
          <t>each account's class → assetClassOf  [MK-XS-I-048] · each account's money → balance  [MK-XS-I-001]</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As of today, from the latest figures held  [derived by rule — confirm]</t>
        </is>
      </c>
      <c r="O4" t="inlineStr">
        <is>
          <t>MK-XS-E-008 (ASSET_CLASS_OF_ACCOUNT) → What kind of thing is this account — cash, a bond, shares, or something else?</t>
        </is>
      </c>
      <c r="P4" t="inlineStr"/>
      <c r="Q4" t="inlineStr"/>
      <c r="R4" t="inlineStr">
        <is>
          <t>[The person] The retirement age in their plan.</t>
        </is>
      </c>
      <c r="S4" t="inlineStr"/>
      <c r="T4" t="inlineStr"/>
      <c r="U4" t="inlineStr"/>
      <c r="V4" t="inlineStr"/>
      <c r="W4" t="inlineStr">
        <is>
          <t>NOT DETERMINED</t>
        </is>
      </c>
      <c r="X4" t="inlineStr">
        <is>
          <t>VERIFIED 2026-08-22</t>
        </is>
      </c>
    </row>
    <row r="5">
      <c r="A5" t="inlineStr">
        <is>
          <t>MK-XS-M-004</t>
        </is>
      </c>
      <c r="B5" t="inlineStr">
        <is>
          <t>Home · Performance</t>
        </is>
      </c>
      <c r="C5" t="inlineStr">
        <is>
          <t>NA</t>
        </is>
      </c>
      <c r="D5" t="inlineStr">
        <is>
          <t>▲ up/▼ down $X (Y%) this month · Return · YOUR RETURN</t>
        </is>
      </c>
      <c r="E5" t="inlineStr">
        <is>
          <t>youReturn / shownReturn</t>
        </is>
      </c>
      <c r="F5" t="inlineStr">
        <is>
          <t>VALUE_WEIGHTED_RETURN</t>
        </is>
      </c>
      <c r="G5" t="inlineStr">
        <is>
          <t>MK-XS-E-010</t>
        </is>
      </c>
      <c r="H5" t="inlineStr">
        <is>
          <t>return = (ending − beginning − net money in) ÷ (beginning + net money in weighted by when it arrived)</t>
        </is>
      </c>
      <c r="I5" t="inlineStr">
        <is>
          <t>Weight each holding's return by how much money is in it, and add: Σ(return × value) ÷ Σ(value).
Money-weighted, not an equal average: $90,000 up 10% and $10,000 flat is +9%, where averaging the two would say +5% and be badly wrong.
A holding with no return is dropped from BOTH the top and the bottom of the sum, so it neither drags the answer down nor distorts the weights.
Nothing usable → nothing, never 0%.
This is a PRICE-based return. It does not know when you added money, which is what PERSONAL_RETURN answers — the two will differ, and both are right about different questions.</t>
        </is>
      </c>
      <c r="J5" t="inlineStr">
        <is>
          <t>each holding's return → rows[].periodReturn  [NOT AN INPUT — another engine’s answer; see the dependency column] · its value → rows[].marketValue  [NOT AN INPUT — another engine’s answer; see the dependency column]</t>
        </is>
      </c>
      <c r="K5" t="inlineStr">
        <is>
          <t>Percent · one decimal shown  [derived by rule — confirm]</t>
        </is>
      </c>
      <c r="L5" t="inlineStr">
        <is>
          <t>A division: with nothing on the bottom there is no answer, and the line must not appear as zero. NOT YET CONFIRMED against the engine.</t>
        </is>
      </c>
      <c r="M5" t="inlineStr">
        <is>
          <t>One figure per month  [derived by rule — confirm]</t>
        </is>
      </c>
      <c r="N5" t="inlineStr">
        <is>
          <t>This calendar month, to today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MK-XS-M-005</t>
        </is>
      </c>
      <c r="B6" t="inlineStr">
        <is>
          <t>Home · Cashflow</t>
        </is>
      </c>
      <c r="C6" t="inlineStr">
        <is>
          <t>NA</t>
        </is>
      </c>
      <c r="D6" t="inlineStr">
        <is>
          <t>Spent so far · Spent $X of $Y left to spend this month</t>
        </is>
      </c>
      <c r="E6" t="inlineStr">
        <is>
          <t>bva.spent_total</t>
        </is>
      </c>
      <c r="F6" t="inlineStr">
        <is>
          <t>NOT IN OLD MASTER — budgetVsActual, src/domain/budget</t>
        </is>
      </c>
      <c r="G6" t="inlineStr">
        <is>
          <t>MK-XS-E-011</t>
        </is>
      </c>
      <c r="H6" t="inlineStr">
        <is>
          <t>spent(bucket) = Σ(expenses dated in this month in that bucket, debt payments excluded);  remaining = planned − spent</t>
        </is>
      </c>
      <c r="I6" t="inlineStr">
        <is>
          <t>Adds up this month’s logged expenses by bucket and sets each against what was planned. Debt payments are deliberately left out, because debt is tracked on its own.</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month  [derived by rule — confirm]</t>
        </is>
      </c>
      <c r="N6" t="inlineStr">
        <is>
          <t>This calendar month,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MK-XS-M-006</t>
        </is>
      </c>
      <c r="B7" t="inlineStr">
        <is>
          <t>Home · Cashflow</t>
        </is>
      </c>
      <c r="C7" t="inlineStr">
        <is>
          <t>NA</t>
        </is>
      </c>
      <c r="D7" t="inlineStr">
        <is>
          <t>Income · In (received) · In (take-home)</t>
        </is>
      </c>
      <c r="E7" t="inlineStr">
        <is>
          <t>thisMonthNet</t>
        </is>
      </c>
      <c r="F7" t="inlineStr">
        <is>
          <t>NOT IN OLD MASTER — incomeMonthlyGrid, src/domain/income</t>
        </is>
      </c>
      <c r="G7" t="inlineStr">
        <is>
          <t>MK-XS-E-012</t>
        </is>
      </c>
      <c r="H7" t="inlineStr">
        <is>
          <t>money in month m = salary(m) + tips(m) + rental ÷ 12 + bonus(m) + equity vesting(m) − withholding(m) − pre-tax contributions(m)</t>
        </is>
      </c>
      <c r="I7" t="inlineStr">
        <is>
          <t>Builds twelve months of money in, one month at a time. Salary comes from the per-month table, equity lands in the months it vests, the bonus lands in its own month, and each month has its own withholding rate.</t>
        </is>
      </c>
      <c r="J7" t="inlineStr">
        <is>
          <t>NOT DETERMINED — no input list on record for this engine</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This calendar month, to today  [derived by rule — confirm]</t>
        </is>
      </c>
      <c r="O7" t="inlineStr">
        <is>
          <t>NOT DETERMINED</t>
        </is>
      </c>
      <c r="P7" t="inlineStr"/>
      <c r="Q7" t="inlineStr"/>
      <c r="R7" t="inlineStr">
        <is>
          <t>NOT DETERMINED — no assumption recorded for this figure yet.</t>
        </is>
      </c>
      <c r="S7" t="inlineStr">
        <is>
          <t>THE SURVIVING IDENTIFIER for this figure. Folded in: MK-CF-M-018. Money in this month. "In (take-home)" on Cash flow is the same figure as "Income" on Home.</t>
        </is>
      </c>
      <c r="T7" t="inlineStr"/>
      <c r="U7" t="inlineStr"/>
      <c r="V7" t="inlineStr"/>
      <c r="W7" t="inlineStr">
        <is>
          <t>NOT DETERMINED</t>
        </is>
      </c>
      <c r="X7" t="inlineStr">
        <is>
          <t>VERIFIED 2026-08-22</t>
        </is>
      </c>
    </row>
    <row r="8">
      <c r="A8" t="inlineStr">
        <is>
          <t>MK-XS-M-007</t>
        </is>
      </c>
      <c r="B8" t="inlineStr">
        <is>
          <t>Home · Cashflow</t>
        </is>
      </c>
      <c r="C8" t="inlineStr">
        <is>
          <t>NA</t>
        </is>
      </c>
      <c r="D8" t="inlineStr">
        <is>
          <t>Left / Over · left to spend this month</t>
        </is>
      </c>
      <c r="E8" t="inlineStr">
        <is>
          <t>left</t>
        </is>
      </c>
      <c r="F8" t="inlineStr">
        <is>
          <t>worked out on the screen: money in − spent so far</t>
        </is>
      </c>
      <c r="G8" t="inlineStr"/>
      <c r="H8" t="inlineStr">
        <is>
          <t>left to spend = money in this month − spent so far</t>
        </is>
      </c>
      <c r="I8" t="inlineStr">
        <is>
          <t>Worked out on the screen itself, with no engine behind it — a place a second definition can appear.</t>
        </is>
      </c>
      <c r="J8" t="inlineStr">
        <is>
          <t>NOT DETERMINED — no input list on record for this engine</t>
        </is>
      </c>
      <c r="K8" t="inlineStr">
        <is>
          <t>US dollars · held to the cent · shown as whole dollars  [derived by rule — confirm]</t>
        </is>
      </c>
      <c r="L8" t="inlineStr">
        <is>
          <t>Inherits the refusal of the figures it is built from: if either side is missing, this line is not shown.</t>
        </is>
      </c>
      <c r="M8" t="inlineStr">
        <is>
          <t>One figure per month  [derived by rule — confirm]</t>
        </is>
      </c>
      <c r="N8" t="inlineStr">
        <is>
          <t>This calendar month, to today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MK-HM-M-001</t>
        </is>
      </c>
      <c r="B2" t="inlineStr">
        <is>
          <t>Home</t>
        </is>
      </c>
      <c r="C2" t="inlineStr">
        <is>
          <t>NA</t>
        </is>
      </c>
      <c r="D2" t="inlineStr">
        <is>
          <t>prices updated &lt;when&gt;</t>
        </is>
      </c>
      <c r="E2" t="inlineStr">
        <is>
          <t>freshness</t>
        </is>
      </c>
      <c r="F2" t="inlineStr">
        <is>
          <t>PRICE_FRESHNESS</t>
        </is>
      </c>
      <c r="G2" t="inlineStr">
        <is>
          <t>MK-HM-E-001</t>
        </is>
      </c>
      <c r="H2" t="inlineStr">
        <is>
          <t>age = now − the moment prices were last fetched;  stale when age &gt; the freshness limit</t>
        </is>
      </c>
      <c r="I2"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t="inlineStr">
        <is>
          <t>when it was fetched → fetchedAt  [MK-XS-I-006] · now → now  [NOT AN INPUT — a setting or a filter, not data anyone supplies]</t>
        </is>
      </c>
      <c r="K2" t="inlineStr">
        <is>
          <t>US dollars per unit · held to 8 decimal places · decimals shown  [derived by rule — confirm]</t>
        </is>
      </c>
      <c r="L2" t="inlineStr">
        <is>
          <t>With no priced holdings there is no freshness to report and the line does not appear.</t>
        </is>
      </c>
      <c r="M2" t="inlineStr">
        <is>
          <t>One figure per person — or per household when two people share one record  [derived by rule — confirm]</t>
        </is>
      </c>
      <c r="N2" t="inlineStr">
        <is>
          <t>As of today, from the latest figures held  [derived by rule — confirm]</t>
        </is>
      </c>
      <c r="O2" t="inlineStr">
        <is>
          <t>MK-XS-E-013 (FETCH_PRICES) → What are these holdings worth?</t>
        </is>
      </c>
      <c r="P2" t="inlineStr">
        <is>
          <t>DECIDES the moment a price stops being current.</t>
        </is>
      </c>
      <c r="Q2" t="inlineStr">
        <is>
          <t>Prices are never synced, so freshness is per device. Two devices can legitimately disagree about how current a value is.</t>
        </is>
      </c>
      <c r="R2" t="inlineStr">
        <is>
          <t>NOT DETERMINED — no assumption recorded for this figure yet.</t>
        </is>
      </c>
      <c r="S2" t="inlineStr"/>
      <c r="T2" t="inlineStr">
        <is>
          <t>Q22 — How old is too old for a price before the screen warns? Today it is a fixed limit in the code; you have never set it.</t>
        </is>
      </c>
      <c r="U2" t="inlineStr"/>
      <c r="V2" t="inlineStr"/>
      <c r="W2" t="inlineStr">
        <is>
          <t>NOT DETERMINED</t>
        </is>
      </c>
      <c r="X2" t="inlineStr">
        <is>
          <t>VERIFIED 2026-08-22</t>
        </is>
      </c>
    </row>
    <row r="3">
      <c r="A3" t="inlineStr">
        <is>
          <t>MK-HM-M-002</t>
        </is>
      </c>
      <c r="B3" t="inlineStr">
        <is>
          <t>Home</t>
        </is>
      </c>
      <c r="C3" t="inlineStr">
        <is>
          <t>NA</t>
        </is>
      </c>
      <c r="D3" t="inlineStr">
        <is>
          <t>Your net worth just crossed X</t>
        </is>
      </c>
      <c r="E3" t="inlineStr">
        <is>
          <t>milestone</t>
        </is>
      </c>
      <c r="F3" t="inlineStr">
        <is>
          <t>NOT IN OLD MASTER — milestoneCrossed, src/domain/milestones.ts</t>
        </is>
      </c>
      <c r="G3" t="inlineStr">
        <is>
          <t>MK-HM-E-002</t>
        </is>
      </c>
      <c r="H3" t="inlineStr">
        <is>
          <t>crossed when net worth ≥ the next round mark above the highest mark already seen</t>
        </is>
      </c>
      <c r="I3" t="inlineStr">
        <is>
          <t>Notices when net worth passes a round number for the first time, and remembers the highest one already shown so the same milestone is never announced twice.</t>
        </is>
      </c>
      <c r="J3" t="inlineStr">
        <is>
          <t>NOT DETERMINED — no input list on record for this engine</t>
        </is>
      </c>
      <c r="K3" t="inlineStr">
        <is>
          <t>US dollars · held to the cent · shown as whole dollars  [derived by rule — confirm]</t>
        </is>
      </c>
      <c r="L3" t="inlineStr">
        <is>
          <t>NOT DETERMINED — this engine has not been read for its refusal yet.</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MK-HM-M-003</t>
        </is>
      </c>
      <c r="B4" t="inlineStr">
        <is>
          <t>Home</t>
        </is>
      </c>
      <c r="C4" t="inlineStr">
        <is>
          <t>NA</t>
        </is>
      </c>
      <c r="D4" t="inlineStr">
        <is>
          <t>Needs your attention (1, 2, 3)</t>
        </is>
      </c>
      <c r="E4" t="inlineStr">
        <is>
          <t>topInsights</t>
        </is>
      </c>
      <c r="F4" t="inlineStr">
        <is>
          <t>NOT IN OLD MASTER — useInsights, src/domain/insights</t>
        </is>
      </c>
      <c r="G4" t="inlineStr">
        <is>
          <t>MK-HM-E-003</t>
        </is>
      </c>
      <c r="H4" t="inlineStr">
        <is>
          <t>each insight scores its own dollars at stake; the list = the highest few, ranked</t>
        </is>
      </c>
      <c r="I4" t="inlineStr">
        <is>
          <t>Works out what is worth saying today, puts a dollar amount against each, and shows the few that matter most.</t>
        </is>
      </c>
      <c r="J4" t="inlineStr">
        <is>
          <t>NOT DETERMINED — no input list on record for this engine</t>
        </is>
      </c>
      <c r="K4" t="inlineStr">
        <is>
          <t>US dollars · held to the cent · shown as whole dollars  [derived by rule — confirm]</t>
        </is>
      </c>
      <c r="L4" t="inlineStr">
        <is>
          <t>NOT DETERMINED — this engine has not been read for its refusal yet.</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is>
          <t>THE SAME FIGURE AS MK-MN-M-015 — The insights list. Home shows the top three of the same list the Insights screen shows in full.</t>
        </is>
      </c>
      <c r="T4" t="inlineStr"/>
      <c r="U4" t="inlineStr"/>
      <c r="V4" t="inlineStr"/>
      <c r="W4" t="inlineStr">
        <is>
          <t>NOT DETERMINED</t>
        </is>
      </c>
      <c r="X4" t="inlineStr">
        <is>
          <t>VERIFIED 2026-08-22</t>
        </is>
      </c>
    </row>
    <row r="5">
      <c r="A5" t="inlineStr">
        <is>
          <t>MK-HM-M-004</t>
        </is>
      </c>
      <c r="B5" t="inlineStr">
        <is>
          <t>Home</t>
        </is>
      </c>
      <c r="C5" t="inlineStr">
        <is>
          <t>NA</t>
        </is>
      </c>
      <c r="D5" t="inlineStr">
        <is>
          <t>&lt;n&gt;% spent · day n of m</t>
        </is>
      </c>
      <c r="E5" t="inlineStr">
        <is>
          <t>pctSpent</t>
        </is>
      </c>
      <c r="F5" t="inlineStr">
        <is>
          <t>worked out on the screen: spent so far ÷ money in</t>
        </is>
      </c>
      <c r="G5" t="inlineStr"/>
      <c r="H5" t="inlineStr">
        <is>
          <t>share spent = spent so far ÷ money in this month</t>
        </is>
      </c>
      <c r="I5" t="inlineStr">
        <is>
          <t>Worked out on the screen itself, with no engine behind it — a place a second definition can appear.</t>
        </is>
      </c>
      <c r="J5" t="inlineStr">
        <is>
          <t>NOT DETERMINED — no input list on record for this engine</t>
        </is>
      </c>
      <c r="K5" t="inlineStr">
        <is>
          <t>Percent · one decimal shown  [derived by rule — confirm]</t>
        </is>
      </c>
      <c r="L5" t="inlineStr">
        <is>
          <t>Inherits the refusal of the figures it is built from: if either side is missing, this line is not shown.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c r="B6" t="inlineStr">
        <is>
          <t>Home</t>
        </is>
      </c>
      <c r="C6" t="inlineStr">
        <is>
          <t>/add-account</t>
        </is>
      </c>
      <c r="D6" t="inlineStr">
        <is>
          <t>—</t>
        </is>
      </c>
      <c r="E6" t="inlineStr">
        <is>
          <t>—</t>
        </is>
      </c>
      <c r="F6" t="inlineStr">
        <is>
          <t>—</t>
        </is>
      </c>
      <c r="G6" t="inlineStr"/>
      <c r="H6" t="inlineStr"/>
      <c r="I6" t="inlineStr"/>
      <c r="J6" t="inlineStr"/>
      <c r="K6" t="inlineStr"/>
      <c r="L6" t="inlineStr"/>
      <c r="M6" t="inlineStr"/>
      <c r="N6" t="inlineStr"/>
      <c r="O6" t="inlineStr"/>
      <c r="P6" t="inlineStr"/>
      <c r="Q6" t="inlineStr"/>
      <c r="R6" t="inlineStr"/>
      <c r="S6" t="inlineStr"/>
      <c r="T6" t="inlineStr"/>
      <c r="U6" t="inlineStr"/>
      <c r="V6" t="inlineStr">
        <is>
          <t>NOT DETERMINED</t>
        </is>
      </c>
      <c r="W6" t="inlineStr">
        <is>
          <t>READ 2026-08-22 — no calculated figure on this screen</t>
        </is>
      </c>
    </row>
    <row r="7">
      <c r="A7" t="inlineStr"/>
      <c r="B7" t="inlineStr">
        <is>
          <t>Home</t>
        </is>
      </c>
      <c r="C7" t="inlineStr">
        <is>
          <t>/connect</t>
        </is>
      </c>
      <c r="D7" t="inlineStr">
        <is>
          <t>—</t>
        </is>
      </c>
      <c r="E7" t="inlineStr">
        <is>
          <t>—</t>
        </is>
      </c>
      <c r="F7" t="inlineStr">
        <is>
          <t>—</t>
        </is>
      </c>
      <c r="G7" t="inlineStr"/>
      <c r="H7" t="inlineStr"/>
      <c r="I7" t="inlineStr"/>
      <c r="J7" t="inlineStr"/>
      <c r="K7" t="inlineStr"/>
      <c r="L7" t="inlineStr"/>
      <c r="M7" t="inlineStr"/>
      <c r="N7" t="inlineStr"/>
      <c r="O7" t="inlineStr"/>
      <c r="P7" t="inlineStr"/>
      <c r="Q7" t="inlineStr"/>
      <c r="R7" t="inlineStr"/>
      <c r="S7" t="inlineStr"/>
      <c r="T7" t="inlineStr"/>
      <c r="U7" t="inlineStr"/>
      <c r="V7" t="inlineStr">
        <is>
          <t>NOT DETERMINED</t>
        </is>
      </c>
      <c r="W7" t="inlineStr">
        <is>
          <t>READ 2026-08-22 — no calculated figure on this screen</t>
        </is>
      </c>
    </row>
    <row r="8">
      <c r="A8" t="inlineStr"/>
      <c r="B8" t="inlineStr">
        <is>
          <t>Home</t>
        </is>
      </c>
      <c r="C8" t="inlineStr">
        <is>
          <t>/import-holdings</t>
        </is>
      </c>
      <c r="D8" t="inlineStr">
        <is>
          <t>—</t>
        </is>
      </c>
      <c r="E8" t="inlineStr">
        <is>
          <t>—</t>
        </is>
      </c>
      <c r="F8" t="inlineStr">
        <is>
          <t>—</t>
        </is>
      </c>
      <c r="G8" t="inlineStr"/>
      <c r="H8" t="inlineStr"/>
      <c r="I8" t="inlineStr"/>
      <c r="J8" t="inlineStr"/>
      <c r="K8" t="inlineStr"/>
      <c r="L8" t="inlineStr"/>
      <c r="M8" t="inlineStr"/>
      <c r="N8" t="inlineStr"/>
      <c r="O8" t="inlineStr"/>
      <c r="P8" t="inlineStr"/>
      <c r="Q8" t="inlineStr"/>
      <c r="R8" t="inlineStr"/>
      <c r="S8" t="inlineStr"/>
      <c r="T8" t="inlineStr"/>
      <c r="U8" t="inlineStr"/>
      <c r="V8" t="inlineStr">
        <is>
          <t>NOT DETERMINED</t>
        </is>
      </c>
      <c r="W8" t="inlineStr">
        <is>
          <t>READ 2026-08-22 — no calculated figure on this screen</t>
        </is>
      </c>
    </row>
    <row r="9">
      <c r="A9" t="inlineStr"/>
      <c r="B9" t="inlineStr">
        <is>
          <t>Home</t>
        </is>
      </c>
      <c r="C9" t="inlineStr">
        <is>
          <t>/onboarding</t>
        </is>
      </c>
      <c r="D9" t="inlineStr">
        <is>
          <t>—</t>
        </is>
      </c>
      <c r="E9" t="inlineStr">
        <is>
          <t>—</t>
        </is>
      </c>
      <c r="F9" t="inlineStr">
        <is>
          <t>—</t>
        </is>
      </c>
      <c r="G9" t="inlineStr"/>
      <c r="H9" t="inlineStr"/>
      <c r="I9" t="inlineStr"/>
      <c r="J9" t="inlineStr"/>
      <c r="K9" t="inlineStr"/>
      <c r="L9" t="inlineStr"/>
      <c r="M9" t="inlineStr"/>
      <c r="N9" t="inlineStr"/>
      <c r="O9" t="inlineStr"/>
      <c r="P9" t="inlineStr"/>
      <c r="Q9" t="inlineStr"/>
      <c r="R9" t="inlineStr"/>
      <c r="S9" t="inlineStr"/>
      <c r="T9" t="inlineStr"/>
      <c r="U9" t="inlineStr"/>
      <c r="V9" t="inlineStr">
        <is>
          <t>NOT DETERMINED</t>
        </is>
      </c>
      <c r="W9" t="inlineStr">
        <is>
          <t>READ 2026-08-22 — no calculated figure on this screen</t>
        </is>
      </c>
    </row>
    <row r="10">
      <c r="A10" t="inlineStr"/>
      <c r="B10" t="inlineStr">
        <is>
          <t>Home</t>
        </is>
      </c>
      <c r="C10" t="inlineStr">
        <is>
          <t>/performance</t>
        </is>
      </c>
      <c r="D10" t="inlineStr">
        <is>
          <t>—</t>
        </is>
      </c>
      <c r="E10" t="inlineStr">
        <is>
          <t>—</t>
        </is>
      </c>
      <c r="F10" t="inlineStr">
        <is>
          <t>—</t>
        </is>
      </c>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is>
          <t>NOT DETERMINED</t>
        </is>
      </c>
      <c r="W10" t="inlineStr">
        <is>
          <t>READ 2026-08-22 — the same screen as /invest, reached by a second route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49"/>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MK-NW-M-001</t>
        </is>
      </c>
      <c r="B2" t="inlineStr">
        <is>
          <t>Networth</t>
        </is>
      </c>
      <c r="C2" t="inlineStr">
        <is>
          <t>NA</t>
        </is>
      </c>
      <c r="D2" t="inlineStr">
        <is>
          <t>Change in net worth +$X</t>
        </is>
      </c>
      <c r="E2" t="inlineStr">
        <is>
          <t>changeThisYear</t>
        </is>
      </c>
      <c r="F2" t="inlineStr">
        <is>
          <t>TREND_SERIES</t>
        </is>
      </c>
      <c r="G2" t="inlineStr">
        <is>
          <t>MK-NW-E-001</t>
        </is>
      </c>
      <c r="H2" t="inlineStr">
        <is>
          <t>the line is the recorded net worth at each point;  change over the year = net worth today − net worth at the first point of the year</t>
        </is>
      </c>
      <c r="I2"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2" t="inlineStr">
        <is>
          <t>monthly snapshots → monthly  [MK-XS-I-031] · daily points → daily  [MK-XS-I-031]</t>
        </is>
      </c>
      <c r="K2" t="inlineStr">
        <is>
          <t>US dollars · held to the cent · shown as whole dollars  [derived by rule — confirm]</t>
        </is>
      </c>
      <c r="L2" t="inlineStr">
        <is>
          <t>A line needs at least two points; with one, the point is shown and the line is not drawn.</t>
        </is>
      </c>
      <c r="M2" t="inlineStr">
        <is>
          <t>One figure per person — or per household when two people share one record  [derived by rule — confirm]</t>
        </is>
      </c>
      <c r="N2" t="inlineStr">
        <is>
          <t>As of today, from the latest figures held  [derived by rule — confirm]</t>
        </is>
      </c>
      <c r="O2" t="inlineStr">
        <is>
          <t>MK-XS-E-014 (SNAPSHOT_READ_ALL) → What history do we hold?</t>
        </is>
      </c>
      <c r="P2" t="inlineStr"/>
      <c r="Q2" t="inlineStr">
        <is>
          <t>The daily and monthly points are synced, but the DAILY RECORD they are checked against is not. On a second device the trend survives and the walk behind it does not.</t>
        </is>
      </c>
      <c r="R2" t="inlineStr">
        <is>
          <t>NOT DETERMINED — no assumption recorded for this figure yet.</t>
        </is>
      </c>
      <c r="S2" t="inlineStr"/>
      <c r="T2" t="inlineStr">
        <is>
          <t>Q32 — The trend survives on a new device but the walk behind it does not. Should the trend say so, or show quietly?</t>
        </is>
      </c>
      <c r="U2" t="inlineStr"/>
      <c r="V2" t="inlineStr"/>
      <c r="W2" t="inlineStr">
        <is>
          <t>NOT DETERMINED</t>
        </is>
      </c>
      <c r="X2" t="inlineStr">
        <is>
          <t>VERIFIED 2026-08-22</t>
        </is>
      </c>
    </row>
    <row r="3">
      <c r="A3" t="inlineStr">
        <is>
          <t>MK-NW-M-002</t>
        </is>
      </c>
      <c r="B3" t="inlineStr">
        <is>
          <t>Networth</t>
        </is>
      </c>
      <c r="C3" t="inlineStr">
        <is>
          <t>NA</t>
        </is>
      </c>
      <c r="D3" t="inlineStr">
        <is>
          <t>Return on cash + investments ±X%</t>
        </is>
      </c>
      <c r="E3" t="inlineStr">
        <is>
          <t>invPct</t>
        </is>
      </c>
      <c r="F3" t="inlineStr">
        <is>
          <t>NW_CHANGE_PCT</t>
        </is>
      </c>
      <c r="G3" t="inlineStr">
        <is>
          <t>MK-NW-E-002</t>
        </is>
      </c>
      <c r="H3" t="inlineStr">
        <is>
          <t>return = (investable now − investable then) ÷ investable then — money paid in or taken out is NOT removed, so a deposit shows up as a gain</t>
        </is>
      </c>
      <c r="I3" t="inlineStr">
        <is>
          <t>(today's investable − the baseline value) ÷ the baseline value.
The baseline is the EARLIEST stored daily point on or after the baseline date. The house is left out because it only moves when someone retypes it, which would otherwise read as a market gain.
No history → NO percentage. It is never back-guessed, which is right.
THE DEFECT IS WHAT THE BASELINE IS. It is whatever day the app happened to be opened, not a date a person chose. If the only stored point was written after a fall, the fall is invisible and the small recovery since reads as a gain — which is exactly how a −4.2% year showed as +2.0%.</t>
        </is>
      </c>
      <c r="J3" t="inlineStr">
        <is>
          <t>stored history → daily  [MK-XS-I-031] · today's value → currentInvestable  [NOT AN INPUT — another engine’s answer; see the dependency column] · baseline date → sinceKey  [MK-XS-I-031]</t>
        </is>
      </c>
      <c r="K3" t="inlineStr">
        <is>
          <t>Percent · one decimal shown  [derived by rule — confirm]</t>
        </is>
      </c>
      <c r="L3" t="inlineStr">
        <is>
          <t>No baseline, or nothing invested, means the line is simply absent rather than shown as zero.</t>
        </is>
      </c>
      <c r="M3" t="inlineStr">
        <is>
          <t>One figure per person — or per household when two people share one record  [derived by rule — confirm]</t>
        </is>
      </c>
      <c r="N3" t="inlineStr">
        <is>
          <t>The window the person chose on screen  [derived by rule — confirm]</t>
        </is>
      </c>
      <c r="O3" t="inlineStr">
        <is>
          <t>None — this engine reads raw inputs only</t>
        </is>
      </c>
      <c r="P3" t="inlineStr"/>
      <c r="Q3" t="inlineStr">
        <is>
          <t>The line is labelled "Return on cash + investments" but is computed as (now − then) ÷ then with NO adjustment for money paid in or taken out. Move $50,000 in and it reports a gain. Either the label is wrong or the formula is — founder's call.</t>
        </is>
      </c>
      <c r="R3" t="inlineStr">
        <is>
          <t>NOT DETERMINED — no assumption recorded for this figure yet.</t>
        </is>
      </c>
      <c r="S3" t="inlineStr"/>
      <c r="T3" t="inlineStr">
        <is>
          <t>Q17 — "Return on cash + investments" counts money you paid in as a gain. Is the LABEL wrong, or the FORMULA? Fixing the formula means removing deposits and withdrawals before measuring.</t>
        </is>
      </c>
      <c r="U3" t="inlineStr"/>
      <c r="V3" t="inlineStr"/>
      <c r="W3" t="inlineStr">
        <is>
          <t>NOT DETERMINED</t>
        </is>
      </c>
      <c r="X3" t="inlineStr">
        <is>
          <t>VERIFIED 2026-08-22</t>
        </is>
      </c>
    </row>
    <row r="4">
      <c r="A4" t="inlineStr">
        <is>
          <t>MK-NW-M-003</t>
        </is>
      </c>
      <c r="B4" t="inlineStr">
        <is>
          <t>Networth</t>
        </is>
      </c>
      <c r="C4" t="inlineStr">
        <is>
          <t>NA</t>
        </is>
      </c>
      <c r="D4" t="inlineStr">
        <is>
          <t>the trend line</t>
        </is>
      </c>
      <c r="E4" t="inlineStr">
        <is>
          <t>series</t>
        </is>
      </c>
      <c r="F4" t="inlineStr">
        <is>
          <t>TREND_SERIES</t>
        </is>
      </c>
      <c r="G4" t="inlineStr">
        <is>
          <t>MK-NW-E-001</t>
        </is>
      </c>
      <c r="H4" t="inlineStr">
        <is>
          <t>the line is the recorded net worth at each point;  change over the year = net worth today − net worth at the first point of the year</t>
        </is>
      </c>
      <c r="I4" t="inlineStr">
        <is>
          <t>Monthly snapshots and daily points merged into one series and sorted by their date text. A month ("2026-07") sorts before its own days ("2026-07-04"), which is what makes plain text sorting safe.
A daily value that is not a real date or not a real number is ignored rather than drawn as zero.
No history → an empty series, NOT a flat line at zero.
THE LIMIT THAT MATTERS, and it is the mechanism behind the founder's F15: a daily point is ONE NUMBER — total net worth. There is no per-account daily history anywhere in the app, so "what was my Vanguard account worth in April" has no answer to read, and a beginning value gets BACK-SOLVED from today minus whatever the ledger claims happened. It also only ever starts the day the app was first opened: an account connected today has no yesterday, whatever the market did before that.</t>
        </is>
      </c>
      <c r="J4" t="inlineStr">
        <is>
          <t>monthly snapshots → monthly  [MK-XS-I-031] · daily points → daily  [MK-XS-I-031]</t>
        </is>
      </c>
      <c r="K4" t="inlineStr">
        <is>
          <t>US dollars · held to the cent · shown as whole dollars  [derived by rule — confirm]</t>
        </is>
      </c>
      <c r="L4" t="inlineStr">
        <is>
          <t>A line needs at least two points; with one, the point is shown and the line is not drawn.</t>
        </is>
      </c>
      <c r="M4" t="inlineStr">
        <is>
          <t>One figure per person — or per household when two people share one record  [derived by rule — confirm]</t>
        </is>
      </c>
      <c r="N4" t="inlineStr">
        <is>
          <t>As of today, from the latest figures held  [derived by rule — confirm]</t>
        </is>
      </c>
      <c r="O4" t="inlineStr">
        <is>
          <t>MK-XS-E-014 (SNAPSHOT_READ_ALL) → What history do we hold?</t>
        </is>
      </c>
      <c r="P4" t="inlineStr"/>
      <c r="Q4" t="inlineStr">
        <is>
          <t>The daily and monthly points are synced, but the DAILY RECORD they are checked against is not. On a second device the trend survives and the walk behind it does not.</t>
        </is>
      </c>
      <c r="R4" t="inlineStr">
        <is>
          <t>NOT DETERMINED — no assumption recorded for this figure yet.</t>
        </is>
      </c>
      <c r="S4" t="inlineStr"/>
      <c r="T4" t="inlineStr"/>
      <c r="U4" t="inlineStr"/>
      <c r="V4" t="inlineStr"/>
      <c r="W4" t="inlineStr">
        <is>
          <t>NOT DETERMINED</t>
        </is>
      </c>
      <c r="X4" t="inlineStr">
        <is>
          <t>VERIFIED 2026-08-22</t>
        </is>
      </c>
    </row>
    <row r="5">
      <c r="A5" t="inlineStr">
        <is>
          <t>MK-NW-M-004</t>
        </is>
      </c>
      <c r="B5" t="inlineStr">
        <is>
          <t>Networth</t>
        </is>
      </c>
      <c r="C5" t="inlineStr">
        <is>
          <t>NA</t>
        </is>
      </c>
      <c r="D5" t="inlineStr">
        <is>
          <t>WHAT YOU OWN</t>
        </is>
      </c>
      <c r="E5" t="inlineStr">
        <is>
          <t>totalAssets</t>
        </is>
      </c>
      <c r="F5" t="inlineStr">
        <is>
          <t>ACCOUNT_SHARE_OF_TOTAL</t>
        </is>
      </c>
      <c r="G5" t="inlineStr">
        <is>
          <t>MK-NW-E-003</t>
        </is>
      </c>
      <c r="H5" t="inlineStr">
        <is>
          <t>assets = Σ(balance of every account);  share of an account = balance ÷ assets</t>
        </is>
      </c>
      <c r="I5" t="inlineStr">
        <is>
          <t>Each account's share = its balance ÷ the total, so the shares add to 100. The blended return is weighted by money, not an average of the rates.
No money at all → every share is 0 and a stated default return is used, rather than dividing by nothing.</t>
        </is>
      </c>
      <c r="J5" t="inlineStr">
        <is>
          <t>each balance → balance  [MK-XS-I-001] · each assumed return → target_return  [MK-XS-I-028]</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account  [derived by rule — confirm]</t>
        </is>
      </c>
      <c r="N5" t="inlineStr">
        <is>
          <t>As of today, from the latest figures held  [derived by rule — confirm]</t>
        </is>
      </c>
      <c r="O5" t="inlineStr">
        <is>
          <t>None — this engine reads raw inputs only</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MK-NW-M-005</t>
        </is>
      </c>
      <c r="B6" t="inlineStr">
        <is>
          <t>Networth</t>
        </is>
      </c>
      <c r="C6" t="inlineStr">
        <is>
          <t>NA</t>
        </is>
      </c>
      <c r="D6" t="inlineStr">
        <is>
          <t>💵 CASH</t>
        </is>
      </c>
      <c r="E6" t="inlineStr">
        <is>
          <t>cashOnHand</t>
        </is>
      </c>
      <c r="F6" t="inlineStr">
        <is>
          <t>TOTAL_CASH</t>
        </is>
      </c>
      <c r="G6" t="inlineStr">
        <is>
          <t>MK-NW-E-004</t>
        </is>
      </c>
      <c r="H6" t="inlineStr">
        <is>
          <t>cash = Σ(balance of each account whose class = Cash)</t>
        </is>
      </c>
      <c r="I6" t="inlineStr">
        <is>
          <t>Add up the balances of every account whose class is Cash. Under the founder's 2026-08-04 rule that means checking, savings, high-yield savings and the uninvested sweep at a broker — and NOT money-market funds, which pay dividends and are measured with the investments.</t>
        </is>
      </c>
      <c r="J6" t="inlineStr">
        <is>
          <t>each account's class → assetClassOf  [MK-XS-I-048] · each account's money → balance  [MK-XS-I-001]</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MK-XS-E-015 (ACCOUNT_SPLIT) → This one brokerage account holds several different things — how much of it is each?
MK-XS-E-008 (ASSET_CLASS_OF_ACCOUNT) → What kind of thing is this account — cash, a bond, shares, or something else?</t>
        </is>
      </c>
      <c r="P6" t="inlineStr">
        <is>
          <t>DECIDES what counts as cash — and deliberately excludes money-market funds.</t>
        </is>
      </c>
      <c r="Q6" t="inlineStr">
        <is>
          <t>Money-market funds are deliberately NOT counted as cash. Any institution that reports a sweep as a fund will therefore land in investments — worth watching per provider.</t>
        </is>
      </c>
      <c r="R6" t="inlineStr">
        <is>
          <t>[Founder] Cash means checking, savings, high-yield savings and the uninvested sweep at a broker. Money-market funds are investments, because they pay dividends and are measured with the investments (founder, 2026-08-04).</t>
        </is>
      </c>
      <c r="S6" t="inlineStr"/>
      <c r="T6" t="inlineStr">
        <is>
          <t>Q16 — Does foreign-currency cash count towards Cash, or sit apart until it is converted?</t>
        </is>
      </c>
      <c r="U6" t="inlineStr"/>
      <c r="V6" t="inlineStr"/>
      <c r="W6" t="inlineStr">
        <is>
          <t>NOT DETERMINED</t>
        </is>
      </c>
      <c r="X6" t="inlineStr">
        <is>
          <t>VERIFIED 2026-08-22</t>
        </is>
      </c>
    </row>
    <row r="7">
      <c r="A7" t="inlineStr">
        <is>
          <t>MK-NW-M-006</t>
        </is>
      </c>
      <c r="B7" t="inlineStr">
        <is>
          <t>Networth</t>
        </is>
      </c>
      <c r="C7" t="inlineStr">
        <is>
          <t>NA</t>
        </is>
      </c>
      <c r="D7" t="inlineStr">
        <is>
          <t>🏠 PERSONAL PROPERTY</t>
        </is>
      </c>
      <c r="E7" t="inlineStr">
        <is>
          <t>sectionTotals</t>
        </is>
      </c>
      <c r="F7" t="inlineStr">
        <is>
          <t>worked out on the screen: the sum of the accounts in the personal-property section</t>
        </is>
      </c>
      <c r="G7" t="inlineStr"/>
      <c r="H7" t="inlineStr"/>
      <c r="I7" t="inlineStr"/>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is>
          <t>CORRECTED 2026-08-25 — this row used to name ACCOUNT_SHARE_OF_TOTAL. Personal property is its own total, worked out on the screen, not a share of a total.</t>
        </is>
      </c>
      <c r="R7" t="inlineStr">
        <is>
          <t>NOT DETERMINED — no assumption recorded for this figure yet.</t>
        </is>
      </c>
      <c r="S7" t="inlineStr"/>
      <c r="T7" t="inlineStr"/>
      <c r="U7" t="inlineStr"/>
      <c r="V7" t="inlineStr"/>
      <c r="W7" t="inlineStr">
        <is>
          <t>NOT DETERMINED</t>
        </is>
      </c>
      <c r="X7" t="inlineStr">
        <is>
          <t>VERIFIED 2026-08-22</t>
        </is>
      </c>
    </row>
    <row r="8">
      <c r="A8" t="inlineStr">
        <is>
          <t>MK-NW-M-007</t>
        </is>
      </c>
      <c r="B8" t="inlineStr">
        <is>
          <t>Networth</t>
        </is>
      </c>
      <c r="C8" t="inlineStr">
        <is>
          <t>NA</t>
        </is>
      </c>
      <c r="D8" t="inlineStr">
        <is>
          <t>class rows — by class, institution or type</t>
        </is>
      </c>
      <c r="E8" t="inlineStr">
        <is>
          <t>classRows</t>
        </is>
      </c>
      <c r="F8" t="inlineStr">
        <is>
          <t>ALLOCATION_BY_CLASS</t>
        </is>
      </c>
      <c r="G8" t="inlineStr">
        <is>
          <t>MK-NW-E-005</t>
        </is>
      </c>
      <c r="H8" t="inlineStr">
        <is>
          <t>value in class k = Σ(balance of accounts in class k);  share(k) = value(k) ÷ Σ value</t>
        </is>
      </c>
      <c r="I8" t="inlineStr">
        <is>
          <t>For every account: if it has its own breakdown (an account holding several classes at once), add each piece to its own class. Otherwise put the WHOLE balance in the one class the account resolves to. Round each total to the cent at the end, never during.
The totals must add to total assets — this is what the donut draws, so any leak shows as a wrong slice.</t>
        </is>
      </c>
      <c r="J8" t="inlineStr">
        <is>
          <t>each account's class → assetClassOf  [MK-XS-I-048] · each account's money → balance  [MK-XS-I-001] · any split → accountClassBreakdown  [NOT AN INPUT — another engine’s answer; see the dependency column]</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category  [derived by rule — confirm]</t>
        </is>
      </c>
      <c r="N8" t="inlineStr">
        <is>
          <t>As of today, from the latest figures held  [derived by rule — confirm]</t>
        </is>
      </c>
      <c r="O8" t="inlineStr">
        <is>
          <t>MK-XS-E-015 (ACCOUNT_SPLIT) → This one brokerage account holds several different things — how much of it is each?
MK-XS-E-008 (ASSET_CLASS_OF_ACCOUNT) → What kind of thing is this account — cash, a bond, shares, or something else?</t>
        </is>
      </c>
      <c r="P8" t="inlineStr">
        <is>
          <t>DECIDES the class of every asset before it can group them, and DECIDES the words shown for each class. The classifying rule itself is engine MK-ST-E-xxx — see the asset-classification standard.</t>
        </is>
      </c>
      <c r="Q8" t="inlineStr"/>
      <c r="R8" t="inlineStr">
        <is>
          <t>NOT DETERMINED — no assumption recorded for this figure yet.</t>
        </is>
      </c>
      <c r="S8" t="inlineStr"/>
      <c r="T8"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U8" t="inlineStr"/>
      <c r="V8" t="inlineStr"/>
      <c r="W8" t="inlineStr">
        <is>
          <t>NOT DETERMINED</t>
        </is>
      </c>
      <c r="X8" t="inlineStr">
        <is>
          <t>VERIFIED 2026-08-22</t>
        </is>
      </c>
    </row>
    <row r="9">
      <c r="A9" t="inlineStr">
        <is>
          <t>MK-NW-M-008</t>
        </is>
      </c>
      <c r="B9" t="inlineStr">
        <is>
          <t>Networth</t>
        </is>
      </c>
      <c r="C9" t="inlineStr">
        <is>
          <t>NA</t>
        </is>
      </c>
      <c r="D9" t="inlineStr">
        <is>
          <t>each account and its balance</t>
        </is>
      </c>
      <c r="E9" t="inlineStr">
        <is>
          <t>a.balance</t>
        </is>
      </c>
      <c r="F9" t="inlineStr">
        <is>
          <t>ACCOUNT_SPLIT</t>
        </is>
      </c>
      <c r="G9" t="inlineStr">
        <is>
          <t>MK-XS-E-015</t>
        </is>
      </c>
      <c r="H9" t="inlineStr">
        <is>
          <t>for one account: value in class k = balance × weight(k), where Σ weight(k) = 1</t>
        </is>
      </c>
      <c r="I9"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9" t="inlineStr">
        <is>
          <t>the account → a  [MK-XS-I-001] · its total → balance  [MK-XS-I-001] · uninvested → cash_balance  [MK-XS-I-001] · holdings → positions[]  [MK-XS-I-004] · options → option_holdings[]  [MK-XS-I-034]</t>
        </is>
      </c>
      <c r="K9" t="inlineStr">
        <is>
          <t>A count · whole units, except crypto which keeps its fractions  [derived by rule — confirm]</t>
        </is>
      </c>
      <c r="L9" t="inlineStr">
        <is>
          <t>Adds up to $0 when there is nothing to add. Zero and "nothing recorded yet" look identical on screen — worth a decision.</t>
        </is>
      </c>
      <c r="M9" t="inlineStr">
        <is>
          <t>One figure per account  [derived by rule — confirm]</t>
        </is>
      </c>
      <c r="N9" t="inlineStr">
        <is>
          <t>As of today, from the latest figures held  [derived by rule — confirm]</t>
        </is>
      </c>
      <c r="O9" t="inlineStr">
        <is>
          <t>MK-XS-E-008 (ASSET_CLASS_OF_ACCOUNT) → What kind of thing is this account — cash, a bond, shares, or something else?
MK-XS-E-016 (CLASS_FROM_NAME_TEXT) → Reading the NAME alone, is this cash, a money-market fund, or a CD / T-bill?</t>
        </is>
      </c>
      <c r="P9" t="inlineStr">
        <is>
          <t>DECIDES which class each holding inside one account belongs to, then how much of the account total sits in each.</t>
        </is>
      </c>
      <c r="Q9" t="inlineStr">
        <is>
          <t>Reported by the 54-item audit as one of the places a total and its parts can disagree; the reconciliation assertion now catches it, but the screen has no way to say so yet.</t>
        </is>
      </c>
      <c r="R9" t="inlineStr">
        <is>
          <t>NOT DETERMINED — no assumption recorded for this figure yet.</t>
        </is>
      </c>
      <c r="S9" t="inlineStr"/>
      <c r="T9" t="inlineStr">
        <is>
          <t>Q14 — What should a MIXED account be called on screen, when it holds several classes at once?</t>
        </is>
      </c>
      <c r="U9" t="inlineStr"/>
      <c r="V9" t="inlineStr"/>
      <c r="W9" t="inlineStr">
        <is>
          <t>NOT DETERMINED</t>
        </is>
      </c>
      <c r="X9" t="inlineStr">
        <is>
          <t>VERIFIED 2026-08-22</t>
        </is>
      </c>
    </row>
    <row r="10">
      <c r="A10" t="inlineStr">
        <is>
          <t>MK-NW-M-009</t>
        </is>
      </c>
      <c r="B10" t="inlineStr">
        <is>
          <t>Networth</t>
        </is>
      </c>
      <c r="C10" t="inlineStr">
        <is>
          <t>NA</t>
        </is>
      </c>
      <c r="D10" t="inlineStr">
        <is>
          <t>WHAT YOU OWE · 💳 DEBTS</t>
        </is>
      </c>
      <c r="E10" t="inlineStr">
        <is>
          <t>dState.total_debt_balance</t>
        </is>
      </c>
      <c r="F10" t="inlineStr">
        <is>
          <t>DEBT_PICTURE</t>
        </is>
      </c>
      <c r="G10" t="inlineStr">
        <is>
          <t>MK-NW-E-006</t>
        </is>
      </c>
      <c r="H10" t="inlineStr">
        <is>
          <t>owed = Σ(remaining balance);  monthly debt payments = Σ(required payment of each debt)</t>
        </is>
      </c>
      <c r="I10"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0" t="inlineStr">
        <is>
          <t>every debt → debts  [MK-XS-I-014] · rates → interest_rate_apr  [MK-XS-I-015] · payments → the minimum and chosen payments  [MK-XS-I-016]</t>
        </is>
      </c>
      <c r="K10" t="inlineStr">
        <is>
          <t>US dollars · held to the cent · shown as whole dollars  [derived by rule — confirm]</t>
        </is>
      </c>
      <c r="L10" t="inlineStr">
        <is>
          <t>Adds up to $0 when there is nothing to add. Zero and "nothing recorded yet" look identical on screen — worth a decision.</t>
        </is>
      </c>
      <c r="M10" t="inlineStr">
        <is>
          <t>One figure per debt, and one total per person  [derived by rule — confirm]</t>
        </is>
      </c>
      <c r="N10" t="inlineStr">
        <is>
          <t>As of today, from the latest figures held  [derived by rule — confirm]</t>
        </is>
      </c>
      <c r="O10" t="inlineStr">
        <is>
          <t>MK-XS-E-017 (DEBT_MINIMUM_TOTAL) → What must I pay across all debts to stay current?
MK-XS-E-018 (DEBT_PAYMENTS_ACTUAL) → What is actually going out on debt each month?</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MK-NW-M-010</t>
        </is>
      </c>
      <c r="B11" t="inlineStr">
        <is>
          <t>Networth</t>
        </is>
      </c>
      <c r="C11" t="inlineStr">
        <is>
          <t>NA</t>
        </is>
      </c>
      <c r="D11" t="inlineStr">
        <is>
          <t>each debt and what is left on it</t>
        </is>
      </c>
      <c r="E11" t="inlineStr">
        <is>
          <t>d.remaining_balance</t>
        </is>
      </c>
      <c r="F11" t="inlineStr">
        <is>
          <t>DEBT_PICTURE</t>
        </is>
      </c>
      <c r="G11" t="inlineStr">
        <is>
          <t>MK-NW-E-006</t>
        </is>
      </c>
      <c r="H11" t="inlineStr">
        <is>
          <t>owed = Σ(remaining balance);  monthly debt payments = Σ(required payment of each debt)</t>
        </is>
      </c>
      <c r="I11"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1" t="inlineStr">
        <is>
          <t>every debt → debts  [MK-XS-I-014] · rates → interest_rate_apr  [MK-XS-I-015] · payments → the minimum and chosen payments  [MK-XS-I-016]</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debt, and one total per person  [derived by rule — confirm]</t>
        </is>
      </c>
      <c r="N11" t="inlineStr">
        <is>
          <t>As of today, from the latest figures held  [derived by rule — confirm]</t>
        </is>
      </c>
      <c r="O11" t="inlineStr">
        <is>
          <t>MK-XS-E-017 (DEBT_MINIMUM_TOTAL) → What must I pay across all debts to stay current?
MK-XS-E-018 (DEBT_PAYMENTS_ACTUAL) → What is actually going out on debt each month?</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MK-NW-M-011</t>
        </is>
      </c>
      <c r="B12" t="inlineStr">
        <is>
          <t>Networth</t>
        </is>
      </c>
      <c r="C12" t="inlineStr">
        <is>
          <t>NA</t>
        </is>
      </c>
      <c r="D12" t="inlineStr">
        <is>
          <t>minimum monthly payment on a debt</t>
        </is>
      </c>
      <c r="E12" t="inlineStr">
        <is>
          <t>d.minimum_monthly_payment</t>
        </is>
      </c>
      <c r="F12" t="inlineStr">
        <is>
          <t>DEBT_REQUIRED_PAYMENT</t>
        </is>
      </c>
      <c r="G12" t="inlineStr">
        <is>
          <t>MK-NW-E-007</t>
        </is>
      </c>
      <c r="H12" t="inlineStr">
        <is>
          <t>required payment = the stated minimum, or interest + 1% of balance when none is stated</t>
        </is>
      </c>
      <c r="I12" t="inlineStr">
        <is>
          <t>Due in full → 0. It is a dated bill, and calling it a monthly payment overstates what a person is committed to. Otherwise the LARGER of the minimum and whatever payment they have chosen, so overpaying on purpose shows up.</t>
        </is>
      </c>
      <c r="J12" t="inlineStr">
        <is>
          <t>shape → paymentShape  [MK-XS-I-042] · minimum → minimum_monthly_payment  [MK-XS-I-016] · chosen → monthly_payment  [MK-XS-I-041]</t>
        </is>
      </c>
      <c r="K12" t="inlineStr">
        <is>
          <t>US dollars · held to the cent · shown as whole dollars  [derived by rule — confirm]</t>
        </is>
      </c>
      <c r="L12" t="inlineStr">
        <is>
          <t>NOT DETERMINED — this engine has not been read for its refusal yet.</t>
        </is>
      </c>
      <c r="M12" t="inlineStr">
        <is>
          <t>One figure per debt, and one total per person  [derived by rule — confirm]</t>
        </is>
      </c>
      <c r="N12" t="inlineStr">
        <is>
          <t>As of today, from the latest figures held  [derived by rule — confirm]</t>
        </is>
      </c>
      <c r="O12" t="inlineStr">
        <is>
          <t>MK-XS-E-019 (DEBT_SHAPE) → How is THIS debt repaid?</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MK-NW-M-012</t>
        </is>
      </c>
      <c r="B13" t="inlineStr">
        <is>
          <t>Networth</t>
        </is>
      </c>
      <c r="C13" t="inlineStr">
        <is>
          <t>NA</t>
        </is>
      </c>
      <c r="D13" t="inlineStr">
        <is>
          <t>Monthly debt payments $X/mo</t>
        </is>
      </c>
      <c r="E13" t="inlineStr">
        <is>
          <t>dState.total_monthly_debt_service</t>
        </is>
      </c>
      <c r="F13" t="inlineStr">
        <is>
          <t>DEBT_PICTURE</t>
        </is>
      </c>
      <c r="G13" t="inlineStr">
        <is>
          <t>MK-NW-E-006</t>
        </is>
      </c>
      <c r="H13" t="inlineStr">
        <is>
          <t>owed = Σ(remaining balance);  monthly debt payments = Σ(required payment of each debt)</t>
        </is>
      </c>
      <c r="I13" t="inlineStr">
        <is>
          <t>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3" t="inlineStr">
        <is>
          <t>every debt → debts  [MK-XS-I-014] · rates → interest_rate_apr  [MK-XS-I-015] · payments → the minimum and chosen payments  [MK-XS-I-016]</t>
        </is>
      </c>
      <c r="K13" t="inlineStr">
        <is>
          <t>US dollars · held to the cent · shown as whole dollars  [derived by rule — confirm]</t>
        </is>
      </c>
      <c r="L13" t="inlineStr">
        <is>
          <t>Adds up to $0 when there is nothing to add. Zero and "nothing recorded yet" look identical on screen — worth a decision.</t>
        </is>
      </c>
      <c r="M13" t="inlineStr">
        <is>
          <t>One figure per debt, and one total per person  [derived by rule — confirm]</t>
        </is>
      </c>
      <c r="N13" t="inlineStr">
        <is>
          <t>As of today, from the latest figures held  [derived by rule — confirm]</t>
        </is>
      </c>
      <c r="O13" t="inlineStr">
        <is>
          <t>MK-XS-E-017 (DEBT_MINIMUM_TOTAL) → What must I pay across all debts to stay current?
MK-XS-E-018 (DEBT_PAYMENTS_ACTUAL) → What is actually going out on debt each month?</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MK-NW-M-013</t>
        </is>
      </c>
      <c r="B14" t="inlineStr">
        <is>
          <t>Networth</t>
        </is>
      </c>
      <c r="C14" t="inlineStr">
        <is>
          <t>NA</t>
        </is>
      </c>
      <c r="D14" t="inlineStr">
        <is>
          <t>EMERGENCY CUSHION — X.X months</t>
        </is>
      </c>
      <c r="E14" t="inlineStr">
        <is>
          <t>runwayMonths</t>
        </is>
      </c>
      <c r="F14" t="inlineStr">
        <is>
          <t>worked out on the screen: cash ÷ a typical month of essentials</t>
        </is>
      </c>
      <c r="G14" t="inlineStr"/>
      <c r="H14" t="inlineStr">
        <is>
          <t>cushion in months = cash ÷ essentials a month</t>
        </is>
      </c>
      <c r="I14" t="inlineStr">
        <is>
          <t>Worked out on the screen itself, with no engine behind it — a place a second definition can appear.</t>
        </is>
      </c>
      <c r="J14" t="inlineStr">
        <is>
          <t>NOT DETERMINED — no input list on record for this engine</t>
        </is>
      </c>
      <c r="K14" t="inlineStr">
        <is>
          <t>Months · one decimal  [derived by rule — confirm]</t>
        </is>
      </c>
      <c r="L14" t="inlineStr">
        <is>
          <t>Inherits the refusal of the figures it is built from: if either side is missing, this line is not shown.</t>
        </is>
      </c>
      <c r="M14" t="inlineStr">
        <is>
          <t>One figure per month  [derived by rule — confirm]</t>
        </is>
      </c>
      <c r="N14" t="inlineStr">
        <is>
          <t>As of today, from the latest figures held  [derived by rule — confirm]</t>
        </is>
      </c>
      <c r="O14" t="inlineStr">
        <is>
          <t>NOT DETERMINED</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MK-NW-M-014</t>
        </is>
      </c>
      <c r="B15" t="inlineStr">
        <is>
          <t>Networth</t>
        </is>
      </c>
      <c r="C15" t="inlineStr">
        <is>
          <t>NA</t>
        </is>
      </c>
      <c r="D15" t="inlineStr">
        <is>
          <t>of essentials covered by your cash — $X cash ÷ $Y/mo essentials</t>
        </is>
      </c>
      <c r="E15" t="inlineStr">
        <is>
          <t>cashOnHand / monthlySpend</t>
        </is>
      </c>
      <c r="F15" t="inlineStr">
        <is>
          <t>TOTAL_CASH · PLANNED_SPENDING</t>
        </is>
      </c>
      <c r="G15" t="inlineStr">
        <is>
          <t>MK-NW-E-008</t>
        </is>
      </c>
      <c r="H15" t="inlineStr">
        <is>
          <t>months of cushion = cash ÷ essentials a month</t>
        </is>
      </c>
      <c r="I15" t="inlineStr">
        <is>
          <t>Add up the balances of every account whose class is Cash. Under the founder's 2026-08-04 rule that means checking, savings, high-yield savings and the uninvested sweep at a broker — and NOT money-market funds, which pay dividends and are measured with the investments. · 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5" t="inlineStr">
        <is>
          <t>each account's class → assetClassOf  [MK-XS-I-048] · each account's money → balance  [MK-XS-I-001] · the categories → SPENDING_BY_KIND  [MK-XS-I-032] · the single figure → monthlySpending  [MK-XS-I-024, MK-XS-I-030]</t>
        </is>
      </c>
      <c r="K15" t="inlineStr">
        <is>
          <t>US dollars · held to the cent · shown as whole dollars  [derived by rule — confirm]</t>
        </is>
      </c>
      <c r="L15" t="inlineStr">
        <is>
          <t>A division: with nothing on the bottom there is no answer, and the line must not appear as zero. NOT YET CONFIRMED against the engine.</t>
        </is>
      </c>
      <c r="M15" t="inlineStr">
        <is>
          <t>One figure per person — or per household when two people share one record  [derived by rule — confirm]</t>
        </is>
      </c>
      <c r="N15" t="inlineStr">
        <is>
          <t>As of today, from the latest figures held  [derived by rule — confirm]</t>
        </is>
      </c>
      <c r="O15" t="inlineStr">
        <is>
          <t>MK-XS-E-015 (ACCOUNT_SPLIT) → This one brokerage account holds several different things — how much of it is each?
MK-XS-E-008 (ASSET_CLASS_OF_ACCOUNT) → What kind of thing is this account — cash, a bond, shares, or something else?
MK-XS-E-020 (READ_A_NUMBER) → What number did the person actually type?
MK-XS-E-021 (SPENDING_BY_KIND) → What is spent each month, split by kind?</t>
        </is>
      </c>
      <c r="P15" t="inlineStr">
        <is>
          <t>DECIDES what counts as cash — and deliberately excludes money-market funds.</t>
        </is>
      </c>
      <c r="Q15" t="inlineStr">
        <is>
          <t>Money-market funds are deliberately NOT counted as cash. Any institution that reports a sweep as a fund will therefore land in investments — worth watching per provider.</t>
        </is>
      </c>
      <c r="R15" t="inlineStr">
        <is>
          <t>[Founder] Cash means checking, savings, high-yield savings and the uninvested sweep at a broker. Money-market funds are investments, because they pay dividends and are measured with the investments (founder, 2026-08-04).</t>
        </is>
      </c>
      <c r="S15" t="inlineStr"/>
      <c r="T15" t="inlineStr"/>
      <c r="U15" t="inlineStr"/>
      <c r="V15" t="inlineStr"/>
      <c r="W15" t="inlineStr">
        <is>
          <t>NOT DETERMINED</t>
        </is>
      </c>
      <c r="X15" t="inlineStr">
        <is>
          <t>VERIFIED 2026-08-22</t>
        </is>
      </c>
    </row>
    <row r="16">
      <c r="A16" t="inlineStr">
        <is>
          <t>MK-NW-M-015</t>
        </is>
      </c>
      <c r="B16" t="inlineStr">
        <is>
          <t>Networth</t>
        </is>
      </c>
      <c r="C16" t="inlineStr">
        <is>
          <t>NA</t>
        </is>
      </c>
      <c r="D16" t="inlineStr">
        <is>
          <t>YOUR RETIREMENT PLAN — on track for $X by age Y</t>
        </is>
      </c>
      <c r="E16" t="inlineStr">
        <is>
          <t>pathAhead</t>
        </is>
      </c>
      <c r="F16" t="inlineStr">
        <is>
          <t>POT_AT_RETIREMENT</t>
        </is>
      </c>
      <c r="G16" t="inlineStr">
        <is>
          <t>MK-NW-E-009</t>
        </is>
      </c>
      <c r="H16" t="inlineStr">
        <is>
          <t>pot = balance × (1 + r)^n + Σ(contribution × (1 + r)^(n − year)),  n = years to retirement</t>
        </is>
      </c>
      <c r="I16"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16" t="inlineStr">
        <is>
          <t>the same inputs → inp  [MK-XS-I-001]</t>
        </is>
      </c>
      <c r="K16" t="inlineStr">
        <is>
          <t>Age in whole years  [derived by rule — confirm]</t>
        </is>
      </c>
      <c r="L16" t="inlineStr">
        <is>
          <t>No figure when there is nothing to grow, or when retirement is not ahead of the person.</t>
        </is>
      </c>
      <c r="M16" t="inlineStr">
        <is>
          <t>One figure per person — or per household when two people share one record  [derived by rule — confirm]</t>
        </is>
      </c>
      <c r="N16" t="inlineStr">
        <is>
          <t>From today to the retirement age in the plan  [derived by rule — confirm]</t>
        </is>
      </c>
      <c r="O16" t="inlineStr">
        <is>
          <t>MK-XS-E-005 (WILL_IT_LAST) → Will my money last?</t>
        </is>
      </c>
      <c r="P16" t="inlineStr"/>
      <c r="Q16" t="inlineStr">
        <is>
          <t>The Net worth screen builds this projection WITHOUT the person's big costs, while Cash flow, Budget, Goals and Social Security timing all include them. Same person, same day, two different nest eggs. Seen in the code; not yet confirmed on screen.</t>
        </is>
      </c>
      <c r="R16"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16" t="inlineStr">
        <is>
          <t>THE SAME FIGURE AS MK-PL-M-033 — The projected pot at retirement, shown on Net worth as "on track for $X by age Y" and on the cockpit as "your $X grows to $Y". One figure, two screens — the founder spotted this one himself.</t>
        </is>
      </c>
      <c r="T16" t="inlineStr">
        <is>
          <t>Q18 — Net worth projects the pot WITHOUT your big costs; Cash flow, Budget, Goals and Social Security timing all include them. Which is right for the Net worth screen?</t>
        </is>
      </c>
      <c r="U16" t="inlineStr"/>
      <c r="V16" t="inlineStr"/>
      <c r="W16" t="inlineStr">
        <is>
          <t>NOT DETERMINED</t>
        </is>
      </c>
      <c r="X16" t="inlineStr">
        <is>
          <t>VERIFIED 2026-08-22</t>
        </is>
      </c>
    </row>
    <row r="17">
      <c r="A17" t="inlineStr">
        <is>
          <t>MK-NW-M-016</t>
        </is>
      </c>
      <c r="B17" t="inlineStr">
        <is>
          <t>Networth</t>
        </is>
      </c>
      <c r="C17" t="inlineStr">
        <is>
          <t>NA</t>
        </is>
      </c>
      <c r="D17" t="inlineStr">
        <is>
          <t>Net worth so far (setup)</t>
        </is>
      </c>
      <c r="E17" t="inlineStr">
        <is>
          <t>nw.net_worth</t>
        </is>
      </c>
      <c r="F17" t="inlineStr">
        <is>
          <t>NET_WORTH</t>
        </is>
      </c>
      <c r="G17" t="inlineStr">
        <is>
          <t>MK-XS-E-001</t>
        </is>
      </c>
      <c r="H17" t="inlineStr">
        <is>
          <t>net worth = Σ(all asset balances) − Σ(all debt balances)</t>
        </is>
      </c>
      <c r="I17"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t>
        </is>
      </c>
      <c r="J17" t="inlineStr">
        <is>
          <t>everything owned → grossAssets  [MK-XS-I-001] · everything owed → grossDebt  [MK-XS-I-014]</t>
        </is>
      </c>
      <c r="K17" t="inlineStr">
        <is>
          <t>US dollars · held to the cent · shown as whole dollars  [derived by rule — confirm]</t>
        </is>
      </c>
      <c r="L17" t="inlineStr">
        <is>
          <t>Adds up to $0 when there is nothing to add. Zero and "nothing recorded yet" look identical on screen — worth a decision.</t>
        </is>
      </c>
      <c r="M17" t="inlineStr">
        <is>
          <t>One figure per person — or per household when two people share one record  [derived by rule — confirm]</t>
        </is>
      </c>
      <c r="N17" t="inlineStr">
        <is>
          <t>As of today, from the latest figures held  [derived by rule — confirm]</t>
        </is>
      </c>
      <c r="O17" t="inlineStr">
        <is>
          <t>None — this engine reads raw inputs only</t>
        </is>
      </c>
      <c r="P17" t="inlineStr"/>
      <c r="Q17" t="inlineStr"/>
      <c r="R17" t="inlineStr">
        <is>
          <t>[Founder] Assets minus debts, computed each time and never stored as a third number that could disagree with its own halves. A genuine negative is shown, never floored at zero.</t>
        </is>
      </c>
      <c r="S17" t="inlineStr">
        <is>
          <t>THE SAME FIGURE AS MK-XS-M-001 — Net worth. "Net worth so far" during setup is the same figure as the headline, mid-way through entry.</t>
        </is>
      </c>
      <c r="T17" t="inlineStr"/>
      <c r="U17" t="inlineStr"/>
      <c r="V17" t="inlineStr"/>
      <c r="W17" t="inlineStr">
        <is>
          <t>NOT DETERMINED</t>
        </is>
      </c>
      <c r="X17" t="inlineStr">
        <is>
          <t>VERIFIED 2026-08-22</t>
        </is>
      </c>
    </row>
    <row r="18">
      <c r="A18" t="inlineStr">
        <is>
          <t>MK-NW-M-017</t>
        </is>
      </c>
      <c r="B18" t="inlineStr">
        <is>
          <t>Networth</t>
        </is>
      </c>
      <c r="C18" t="inlineStr">
        <is>
          <t>NA</t>
        </is>
      </c>
      <c r="D18" t="inlineStr">
        <is>
          <t>Assets $X − Debts $Y = Net worth $Z</t>
        </is>
      </c>
      <c r="E18" t="inlineStr">
        <is>
          <t>totalAssets / dState.total_debt_balance</t>
        </is>
      </c>
      <c r="F18" t="inlineStr">
        <is>
          <t>NET_WORTH · DEBT_PICTURE</t>
        </is>
      </c>
      <c r="G18" t="inlineStr">
        <is>
          <t>MK-NW-E-010</t>
        </is>
      </c>
      <c r="H18" t="inlineStr">
        <is>
          <t>net worth = Σ(assets) − Σ(debts);  debts = Σ(remaining balance of each debt)</t>
        </is>
      </c>
      <c r="I18" t="inlineStr">
        <is>
          <t>total assets − total debts, computed here and never stored as a third number that could disagree with its own two halves.
Owing more than you own gives a REAL negative — it is never floored at zero, because someone early in a mortgage genuinely has a negative net worth and hiding it would be a lie about their position. · Total the balances. Find the highest-rate debt. Add up separately the balances above the rate we treat as dangerous.
TWO MONTHLY FIGURES ARE KEPT DELIBERATELY: the minimum that must be paid to stay current, and what is actually going out. Confusing them misstates affordability in one direction or the other.
No debts gives zero and nothing to point at.</t>
        </is>
      </c>
      <c r="J18" t="inlineStr">
        <is>
          <t>everything owned → grossAssets  [MK-XS-I-001] · everything owed → grossDebt  [MK-XS-I-014] · every debt → debts  [MK-XS-I-014] · rates → interest_rate_apr  [MK-XS-I-015] · payments → the minimum and chosen payments  [MK-XS-I-016]</t>
        </is>
      </c>
      <c r="K18" t="inlineStr">
        <is>
          <t>US dollars · held to the cent · shown as whole dollars  [derived by rule — confirm]</t>
        </is>
      </c>
      <c r="L18" t="inlineStr">
        <is>
          <t>Adds up to $0 when there is nothing to add. Zero and "nothing recorded yet" look identical on screen — worth a decision.</t>
        </is>
      </c>
      <c r="M18" t="inlineStr">
        <is>
          <t>One figure per debt, and one total per person  [derived by rule — confirm]</t>
        </is>
      </c>
      <c r="N18" t="inlineStr">
        <is>
          <t>As of today, from the latest figures held  [derived by rule — confirm]</t>
        </is>
      </c>
      <c r="O18" t="inlineStr">
        <is>
          <t>MK-XS-E-017 (DEBT_MINIMUM_TOTAL) → What must I pay across all debts to stay current?
MK-XS-E-018 (DEBT_PAYMENTS_ACTUAL) → What is actually going out on debt each month?</t>
        </is>
      </c>
      <c r="P18" t="inlineStr"/>
      <c r="Q18" t="inlineStr"/>
      <c r="R18" t="inlineStr">
        <is>
          <t>[Founder] Assets minus debts, computed each time and never stored as a third number that could disagree with its own halves. A genuine negative is shown, never floored at zero.</t>
        </is>
      </c>
      <c r="S18" t="inlineStr"/>
      <c r="T18" t="inlineStr"/>
      <c r="U18" t="inlineStr"/>
      <c r="V18" t="inlineStr"/>
      <c r="W18" t="inlineStr">
        <is>
          <t>NOT DETERMINED</t>
        </is>
      </c>
      <c r="X18" t="inlineStr">
        <is>
          <t>VERIFIED 2026-08-22</t>
        </is>
      </c>
    </row>
    <row r="19">
      <c r="A19" t="inlineStr">
        <is>
          <t>MK-NW-M-018</t>
        </is>
      </c>
      <c r="B19" t="inlineStr">
        <is>
          <t>Networth</t>
        </is>
      </c>
      <c r="C19" t="inlineStr">
        <is>
          <t>/account-detail</t>
        </is>
      </c>
      <c r="D19" t="inlineStr">
        <is>
          <t>Market value</t>
        </is>
      </c>
      <c r="E19" t="inlineStr">
        <is>
          <t>account.balance</t>
        </is>
      </c>
      <c r="F19" t="inlineStr">
        <is>
          <t>HAND_VALUE_AGE</t>
        </is>
      </c>
      <c r="G19" t="inlineStr">
        <is>
          <t>MK-NW-E-011</t>
        </is>
      </c>
      <c r="H19" t="inlineStr">
        <is>
          <t>value = the balance last recorded;  age = today − date it was recorded</t>
        </is>
      </c>
      <c r="I19"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9" t="inlineStr">
        <is>
          <t>the account → a  [MK-XS-I-001] · when the value was set → value_as_of  [MK-XS-I-033] · today → now  [NOT AN INPUT — a setting or a filter, not data anyone supplies]</t>
        </is>
      </c>
      <c r="K19" t="inlineStr">
        <is>
          <t>US dollars · held to the cent · shown as whole dollars  [derived by rule — confirm]</t>
        </is>
      </c>
      <c r="L19" t="inlineStr">
        <is>
          <t>Always answers, but carries the age of the figure and warns once it is stale.</t>
        </is>
      </c>
      <c r="M19" t="inlineStr">
        <is>
          <t>One figure per person — or per household when two people share one record  [derived by rule — confirm]</t>
        </is>
      </c>
      <c r="N19" t="inlineStr">
        <is>
          <t>As of today, from the latest figures held  [derived by rule — confirm]</t>
        </is>
      </c>
      <c r="O19" t="inlineStr">
        <is>
          <t>None — this engine reads raw inputs only</t>
        </is>
      </c>
      <c r="P19" t="inlineStr">
        <is>
          <t>DECIDES whether a stated value is fresh enough to show without a warning.</t>
        </is>
      </c>
      <c r="Q19" t="inlineStr"/>
      <c r="R19" t="inlineStr">
        <is>
          <t>NOT DETERMINED — no assumption recorded for this figure yet.</t>
        </is>
      </c>
      <c r="S19" t="inlineStr">
        <is>
          <t>THE SURVIVING IDENTIFIER for this figure. Folded in: MK-PL-M-016. An account's value. The balance listed under required withdrawals is the same figure as Market value on account detail.</t>
        </is>
      </c>
      <c r="T19" t="inlineStr">
        <is>
          <t>Q23 — Same question for a value you typed by hand: after how long should the app ask you to check it?</t>
        </is>
      </c>
      <c r="U19" t="inlineStr"/>
      <c r="V19" t="inlineStr"/>
      <c r="W19" t="inlineStr">
        <is>
          <t>NOT DETERMINED</t>
        </is>
      </c>
      <c r="X19" t="inlineStr">
        <is>
          <t>VERIFIED 2026-08-22</t>
        </is>
      </c>
    </row>
    <row r="20">
      <c r="A20" t="inlineStr">
        <is>
          <t>MK-NW-M-019</t>
        </is>
      </c>
      <c r="B20" t="inlineStr">
        <is>
          <t>Networth</t>
        </is>
      </c>
      <c r="C20" t="inlineStr">
        <is>
          <t>/account-detail</t>
        </is>
      </c>
      <c r="D20" t="inlineStr">
        <is>
          <t>Income</t>
        </is>
      </c>
      <c r="E20" t="inlineStr">
        <is>
          <t>acctIncome</t>
        </is>
      </c>
      <c r="F20" t="inlineStr">
        <is>
          <t>the ledger sum of interest and dividends for the account</t>
        </is>
      </c>
      <c r="G20" t="inlineStr">
        <is>
          <t>MK-NW-E-012</t>
        </is>
      </c>
      <c r="H20" t="inlineStr">
        <is>
          <t>income = Σ(interest + dividends recorded on this account in the period)</t>
        </is>
      </c>
      <c r="I20" t="inlineStr">
        <is>
          <t>Adds the income lines the ledger holds for this account over the period shown.</t>
        </is>
      </c>
      <c r="J20" t="inlineStr">
        <is>
          <t>NOT DETERMINED — no input list on record for this engine</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person — or per household when two people share one record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is>
          <t>Q15 — An institution word we do not recognise: refuse the line and ask you, or book it as unclassified with no direction? The old sign-guess is what minted the $1.4 million.</t>
        </is>
      </c>
      <c r="U20" t="inlineStr"/>
      <c r="V20" t="inlineStr"/>
      <c r="W20" t="inlineStr">
        <is>
          <t>NOT DETERMINED</t>
        </is>
      </c>
      <c r="X20" t="inlineStr">
        <is>
          <t>VERIFIED 2026-08-22</t>
        </is>
      </c>
    </row>
    <row r="21">
      <c r="A21" t="inlineStr">
        <is>
          <t>MK-NW-M-020</t>
        </is>
      </c>
      <c r="B21" t="inlineStr">
        <is>
          <t>Networth</t>
        </is>
      </c>
      <c r="C21" t="inlineStr">
        <is>
          <t>/account-detail</t>
        </is>
      </c>
      <c r="D21" t="inlineStr">
        <is>
          <t>each asset class inside the account</t>
        </is>
      </c>
      <c r="E21" t="inlineStr">
        <is>
          <t>breakdown[k]</t>
        </is>
      </c>
      <c r="F21" t="inlineStr">
        <is>
          <t>ACCOUNT_SPLIT</t>
        </is>
      </c>
      <c r="G21" t="inlineStr">
        <is>
          <t>MK-XS-E-015</t>
        </is>
      </c>
      <c r="H21" t="inlineStr">
        <is>
          <t>for one account: value in class k = balance × weight(k), where Σ weight(k) = 1</t>
        </is>
      </c>
      <c r="I21" t="inlineStr">
        <is>
          <t>WHY IT EXISTS. Your Vanguard account is not one thing. It might hold a CD, a money-market fund, some shares, and a little uninvested cash. Showing it as one lump under a single heading would be wrong four ways at once.
HOW IT SPLITS. Start with the uninvested cash. Then place each holding by reading its NAME first — a money-market fund goes with the shares, a CD goes with the bonds — and only fall back to the broker's own label when the name tells us nothing.
THE LEFTOVER. Add the pieces up and they rarely match the broker's total to the penny. What to do with the difference matters more than it sounds.
A WORKED EXAMPLE, AND IT IS YOUR OWN FINDING. Say the account totals $10,100 and holds one CD worth $10,000. There is $100 unaccounted for. The app used to add it to the biggest holding — so your $100 of spare cash was reported as MORE CD. You asked "why is cash added to CD and not cash?", and you were right: it is money sitting there, not another certificate you own. A small positive leftover is now cash.
(If the pieces come to MORE than the broker's total, that is a pricing quirk rather than money, and it goes to the largest holding — putting it in cash would show you a negative cash balance, which reads worse than a rounding nudge.)</t>
        </is>
      </c>
      <c r="J21" t="inlineStr">
        <is>
          <t>the account → a  [MK-XS-I-001] · its total → balance  [MK-XS-I-001] · uninvested → cash_balance  [MK-XS-I-001] · holdings → positions[]  [MK-XS-I-004] · options → option_holdings[]  [MK-XS-I-034]</t>
        </is>
      </c>
      <c r="K21" t="inlineStr">
        <is>
          <t>A count · whole units, except crypto which keeps its fractions  [derived by rule — confirm]</t>
        </is>
      </c>
      <c r="L21" t="inlineStr">
        <is>
          <t>Adds up to $0 when there is nothing to add. Zero and "nothing recorded yet" look identical on screen — worth a decision.</t>
        </is>
      </c>
      <c r="M21" t="inlineStr">
        <is>
          <t>One figure per account  [derived by rule — confirm]</t>
        </is>
      </c>
      <c r="N21" t="inlineStr">
        <is>
          <t>As of today, from the latest figures held  [derived by rule — confirm]</t>
        </is>
      </c>
      <c r="O21" t="inlineStr">
        <is>
          <t>MK-XS-E-008 (ASSET_CLASS_OF_ACCOUNT) → What kind of thing is this account — cash, a bond, shares, or something else?
MK-XS-E-016 (CLASS_FROM_NAME_TEXT) → Reading the NAME alone, is this cash, a money-market fund, or a CD / T-bill?</t>
        </is>
      </c>
      <c r="P21" t="inlineStr">
        <is>
          <t>DECIDES which class each holding inside one account belongs to, then how much of the account total sits in each.</t>
        </is>
      </c>
      <c r="Q21" t="inlineStr">
        <is>
          <t>Reported by the 54-item audit as one of the places a total and its parts can disagree; the reconciliation assertion now catches it, but the screen has no way to say so yet.</t>
        </is>
      </c>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MK-NW-M-021</t>
        </is>
      </c>
      <c r="B22" t="inlineStr">
        <is>
          <t>Networth</t>
        </is>
      </c>
      <c r="C22" t="inlineStr">
        <is>
          <t>/account-detail</t>
        </is>
      </c>
      <c r="D22" t="inlineStr">
        <is>
          <t>Income: &lt;amount&gt; on a holding row</t>
        </is>
      </c>
      <c r="E22" t="inlineStr">
        <is>
          <t>incomeOf(rw)</t>
        </is>
      </c>
      <c r="F22" t="inlineStr">
        <is>
          <t>the ledger sum for that holding</t>
        </is>
      </c>
      <c r="G22" t="inlineStr">
        <is>
          <t>MK-NW-E-013</t>
        </is>
      </c>
      <c r="H22" t="inlineStr">
        <is>
          <t>income = Σ(income lines recorded against this holding)</t>
        </is>
      </c>
      <c r="I22" t="inlineStr">
        <is>
          <t>Adds the income the ledger holds for that one holding.</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holding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MK-NW-M-022</t>
        </is>
      </c>
      <c r="B23" t="inlineStr">
        <is>
          <t>Networth</t>
        </is>
      </c>
      <c r="C23" t="inlineStr">
        <is>
          <t>/account-detail</t>
        </is>
      </c>
      <c r="D23" t="inlineStr">
        <is>
          <t>ACTIVITY — n records</t>
        </is>
      </c>
      <c r="E23" t="inlineStr">
        <is>
          <t>txns.length</t>
        </is>
      </c>
      <c r="F23" t="inlineStr">
        <is>
          <t>HISTORY_DEPTH</t>
        </is>
      </c>
      <c r="G23" t="inlineStr">
        <is>
          <t>MK-NW-E-014</t>
        </is>
      </c>
      <c r="H23" t="inlineStr">
        <is>
          <t>records = count(transactions held for this account)</t>
        </is>
      </c>
      <c r="I23" t="inlineStr">
        <is>
          <t>Take the earliest valid date in this sync and keep whichever is earlier — it or what we already had. Depth only ever grows; a shallower sync never shortens it. Unreadable dates are ignored, and a sync with no activity leaves the answer untouched.
It exists because brokers back-fill DIFFERENT depths — one sends a year, the next ninety days. Without knowing the depth, a "past year" income figure silently understates, so year-scale figures label themselves with this date.</t>
        </is>
      </c>
      <c r="J23" t="inlineStr">
        <is>
          <t>what we knew → existing  [NOT AN INPUT — another engine’s answer; see the dependency column] · the dates in this sync → activityDates  [NOT AN INPUT — another engine’s answer; see the dependency column]</t>
        </is>
      </c>
      <c r="K23" t="inlineStr">
        <is>
          <t>A count · whole units, except crypto which keeps its fractions  [derived by rule — confirm]</t>
        </is>
      </c>
      <c r="L23" t="inlineStr">
        <is>
          <t>NOT DETERMINED — this engine has not been read for its refusal yet.</t>
        </is>
      </c>
      <c r="M23" t="inlineStr">
        <is>
          <t>One figure per person — or per household when two people share one record  [derived by rule — confirm]</t>
        </is>
      </c>
      <c r="N23" t="inlineStr">
        <is>
          <t>As of today, from the latest figures held  [derived by rule — confirm]</t>
        </is>
      </c>
      <c r="O23" t="inlineStr">
        <is>
          <t>None — this engine reads raw inputs only</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MK-NW-M-023</t>
        </is>
      </c>
      <c r="B24" t="inlineStr">
        <is>
          <t>Networth</t>
        </is>
      </c>
      <c r="C24" t="inlineStr">
        <is>
          <t>/account-detail</t>
        </is>
      </c>
      <c r="D24" t="inlineStr">
        <is>
          <t>Face value</t>
        </is>
      </c>
      <c r="E24" t="inlineStr">
        <is>
          <t>b.face</t>
        </is>
      </c>
      <c r="F24" t="inlineStr">
        <is>
          <t>BOND_FACTS</t>
        </is>
      </c>
      <c r="G24" t="inlineStr">
        <is>
          <t>MK-NW-E-015</t>
        </is>
      </c>
      <c r="H24" t="inlineStr">
        <is>
          <t>face, coupon rate and maturity as recorded;  bonds total = Σ(value of each bond),  face total = Σ(face)</t>
        </is>
      </c>
      <c r="I24" t="inlineStr">
        <is>
          <t>Reads the stored bond fields off the holding and computes its yields. A holding with none of them is not a bond and returns nothing.</t>
        </is>
      </c>
      <c r="J24" t="inlineStr">
        <is>
          <t>the holding → position/account  [MK-XS-I-004]</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bond  [derived by rule — confirm]</t>
        </is>
      </c>
      <c r="N24" t="inlineStr">
        <is>
          <t>As of today, from the latest figures held  [derived by rule — confirm]</t>
        </is>
      </c>
      <c r="O24" t="inlineStr">
        <is>
          <t>None — this engine reads raw inputs only</t>
        </is>
      </c>
      <c r="P24" t="inlineStr">
        <is>
          <t>DECIDES how a bond is NAMED on screen — issuer, or the identifying number, or a plain description; and DECIDES whether a line is a bond at all.</t>
        </is>
      </c>
      <c r="Q24" t="inlineStr"/>
      <c r="R24" t="inlineStr">
        <is>
          <t>NOT DETERMINED — no assumption recorded for this figure yet.</t>
        </is>
      </c>
      <c r="S24" t="inlineStr"/>
      <c r="T24" t="inlineStr">
        <is>
          <t>Q01 — Is Quantity for a bond the FACE amount (e.g. 227,000) with the price quoted per $100 of face, or the number of bonds? It decides how value and gain are worked out.
Q02 — How should a bond be NAMED on screen? Draft: "US Treasury 4.25% Nov 2029", with the identifying number shown as a detail rather than the headline. Approve or rewrite.
Q03 — Certificates of deposit: under Fixed Income, or their own class? They carry a term, a rate and an early-withdrawal penalty that a bond does not.</t>
        </is>
      </c>
      <c r="U24" t="inlineStr"/>
      <c r="V24" t="inlineStr"/>
      <c r="W24" t="inlineStr">
        <is>
          <t>NOT DETERMINED</t>
        </is>
      </c>
      <c r="X24" t="inlineStr">
        <is>
          <t>VERIFIED 2026-08-22</t>
        </is>
      </c>
    </row>
    <row r="25">
      <c r="A25" t="inlineStr">
        <is>
          <t>MK-NW-M-024</t>
        </is>
      </c>
      <c r="B25" t="inlineStr">
        <is>
          <t>Networth</t>
        </is>
      </c>
      <c r="C25" t="inlineStr">
        <is>
          <t>/account-detail</t>
        </is>
      </c>
      <c r="D25" t="inlineStr">
        <is>
          <t>Interest payments — X%/yr · $Y/yr</t>
        </is>
      </c>
      <c r="E25" t="inlineStr">
        <is>
          <t>annualCoupon(b)</t>
        </is>
      </c>
      <c r="F25" t="inlineStr">
        <is>
          <t>BOND_COUPON</t>
        </is>
      </c>
      <c r="G25" t="inlineStr">
        <is>
          <t>MK-NW-E-016</t>
        </is>
      </c>
      <c r="H25" t="inlineStr">
        <is>
          <t>annual coupon = face × coupon rate</t>
        </is>
      </c>
      <c r="I25" t="inlineStr">
        <is>
          <t>face value × coupon rate. NOT what the bond is worth today × the rate — a $10,000 bond paying 4% pays $400 whether it is trading at $9,800 or $11,000.</t>
        </is>
      </c>
      <c r="J25" t="inlineStr">
        <is>
          <t>face value → face  [MK-XS-I-011] · coupon rate → couponRate  [MK-XS-I-012]</t>
        </is>
      </c>
      <c r="K25" t="inlineStr">
        <is>
          <t>Percent · one decimal shown  [derived by rule — confirm]</t>
        </is>
      </c>
      <c r="L25" t="inlineStr">
        <is>
          <t>NOT DETERMINED — this engine has not been read for its refusal yet.</t>
        </is>
      </c>
      <c r="M25" t="inlineStr">
        <is>
          <t>One figure per bond  [derived by rule — confirm]</t>
        </is>
      </c>
      <c r="N25" t="inlineStr">
        <is>
          <t>The last twelve months  [derived by rule — confirm]</t>
        </is>
      </c>
      <c r="O25" t="inlineStr">
        <is>
          <t>None — this engine reads raw inputs only</t>
        </is>
      </c>
      <c r="P25" t="inlineStr"/>
      <c r="Q25" t="inlineStr"/>
      <c r="R25" t="inlineStr">
        <is>
          <t>NOT DETERMINED — no assumption recorded for this figure yet.</t>
        </is>
      </c>
      <c r="S25" t="inlineStr">
        <is>
          <t>THE SURVIVING IDENTIFIER for this figure. Folded in: MK-NW-M-043. The coupon a bond pays in a year. "Interest payments" on account detail and "COUPON / YR" on the bonds screen.</t>
        </is>
      </c>
      <c r="T25" t="inlineStr">
        <is>
          <t>Q04 — "Annual income" on a bond: the last twelve months actually received, or the forward estimate from today's coupon? Both are defensible and they differ.</t>
        </is>
      </c>
      <c r="U25" t="inlineStr"/>
      <c r="V25" t="inlineStr"/>
      <c r="W25" t="inlineStr">
        <is>
          <t>NOT DETERMINED</t>
        </is>
      </c>
      <c r="X25" t="inlineStr">
        <is>
          <t>VERIFIED 2026-08-22</t>
        </is>
      </c>
    </row>
    <row r="26">
      <c r="A26" t="inlineStr">
        <is>
          <t>MK-NW-M-025</t>
        </is>
      </c>
      <c r="B26" t="inlineStr">
        <is>
          <t>Networth</t>
        </is>
      </c>
      <c r="C26" t="inlineStr">
        <is>
          <t>/account-detail</t>
        </is>
      </c>
      <c r="D26" t="inlineStr">
        <is>
          <t>Matures — &lt;date&gt; (n years away)</t>
        </is>
      </c>
      <c r="E26" t="inlineStr">
        <is>
          <t>years</t>
        </is>
      </c>
      <c r="F26" t="inlineStr">
        <is>
          <t>BOND_YEARS_LEFT</t>
        </is>
      </c>
      <c r="G26" t="inlineStr">
        <is>
          <t>MK-NW-E-017</t>
        </is>
      </c>
      <c r="H26" t="inlineStr">
        <is>
          <t>years to maturity = (maturity date − today) ÷ 365</t>
        </is>
      </c>
      <c r="I26" t="inlineStr">
        <is>
          <t>maturity date − today, in years. Anything already past → 0. No maturity date → 0, treated as due now rather than as never.</t>
        </is>
      </c>
      <c r="J26" t="inlineStr">
        <is>
          <t>maturity → maturity  [MK-XS-I-013] · today → now  [NOT AN INPUT — a setting or a filter, not data anyone supplies]</t>
        </is>
      </c>
      <c r="K26" t="inlineStr">
        <is>
          <t>A date  [derived by rule — confirm]</t>
        </is>
      </c>
      <c r="L26" t="inlineStr">
        <is>
          <t>A division: with nothing on the bottom there is no answer, and the line must not appear as zero. NOT YET CONFIRMED against the engine.</t>
        </is>
      </c>
      <c r="M26" t="inlineStr">
        <is>
          <t>One figure per bond  [derived by rule — confirm]</t>
        </is>
      </c>
      <c r="N26" t="inlineStr">
        <is>
          <t>This calendar year, to today  [derived by rule — confirm]</t>
        </is>
      </c>
      <c r="O26" t="inlineStr">
        <is>
          <t>None — this engine reads raw inputs only</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MK-NW-M-026</t>
        </is>
      </c>
      <c r="B27" t="inlineStr">
        <is>
          <t>Networth</t>
        </is>
      </c>
      <c r="C27" t="inlineStr">
        <is>
          <t>/account-detail</t>
        </is>
      </c>
      <c r="D27" t="inlineStr">
        <is>
          <t>Yield if held to maturity</t>
        </is>
      </c>
      <c r="E27" t="inlineStr">
        <is>
          <t>ytm</t>
        </is>
      </c>
      <c r="F27" t="inlineStr">
        <is>
          <t>BOND_YIELD_TO_MATURITY</t>
        </is>
      </c>
      <c r="G27" t="inlineStr">
        <is>
          <t>MK-NW-E-018</t>
        </is>
      </c>
      <c r="H27" t="inlineStr">
        <is>
          <t>y solves: value = Σ(coupon ÷ (1+y)ᵗ) + face ÷ (1+y)ⁿ,  t = 1…n years to maturity</t>
        </is>
      </c>
      <c r="I27" t="inlineStr">
        <is>
          <t>Adds the pull back to face value to the running income:
(annual coupon + (face − value) ÷ years left) ÷ ((face + value) ÷ 2).
A bond bought below face gains as it matures, so this comes out above the current yield. Already matured, or no value → no answer, never zero.</t>
        </is>
      </c>
      <c r="J27" t="inlineStr">
        <is>
          <t>coupon → annualCoupon  [MK-XS-I-012] · face → face  [MK-XS-I-011] · value → value  [MK-XS-I-001] · years left → yearsToMaturity  [MK-XS-I-013]</t>
        </is>
      </c>
      <c r="K27" t="inlineStr">
        <is>
          <t>Percent · one decimal shown  [derived by rule — confirm]</t>
        </is>
      </c>
      <c r="L27" t="inlineStr">
        <is>
          <t>No answer once the bond has matured, and none without a price.</t>
        </is>
      </c>
      <c r="M27" t="inlineStr">
        <is>
          <t>One figure per bond  [derived by rule — confirm]</t>
        </is>
      </c>
      <c r="N27" t="inlineStr">
        <is>
          <t>As of today, from the latest figures held  [derived by rule — confirm]</t>
        </is>
      </c>
      <c r="O27" t="inlineStr">
        <is>
          <t>MK-NW-E-016 (BOND_COUPON) → How much income does this bond pay in a year?
MK-NW-E-017 (BOND_YEARS_LEFT) → How long until this bond pays back?</t>
        </is>
      </c>
      <c r="P27" t="inlineStr"/>
      <c r="Q27" t="inlineStr"/>
      <c r="R27" t="inlineStr">
        <is>
          <t>NOT DETERMINED — no assumption recorded for this figure yet.</t>
        </is>
      </c>
      <c r="S27" t="inlineStr"/>
      <c r="T27" t="inlineStr">
        <is>
          <t>Q05 — Accrued interest: do we work it out ourselves — which needs a day-count rule per bond type — or only show what the institution gives us?</t>
        </is>
      </c>
      <c r="U27" t="inlineStr"/>
      <c r="V27" t="inlineStr"/>
      <c r="W27" t="inlineStr">
        <is>
          <t>NOT DETERMINED</t>
        </is>
      </c>
      <c r="X27" t="inlineStr">
        <is>
          <t>VERIFIED 2026-08-22</t>
        </is>
      </c>
    </row>
    <row r="28">
      <c r="A28" t="inlineStr">
        <is>
          <t>MK-NW-M-027</t>
        </is>
      </c>
      <c r="B28" t="inlineStr">
        <is>
          <t>Networth</t>
        </is>
      </c>
      <c r="C28" t="inlineStr">
        <is>
          <t>/account-detail</t>
        </is>
      </c>
      <c r="D28" t="inlineStr">
        <is>
          <t>Yield on today's value</t>
        </is>
      </c>
      <c r="E28" t="inlineStr">
        <is>
          <t>cy</t>
        </is>
      </c>
      <c r="F28" t="inlineStr">
        <is>
          <t>BOND_CURRENT_YIELD</t>
        </is>
      </c>
      <c r="G28" t="inlineStr">
        <is>
          <t>MK-NW-E-019</t>
        </is>
      </c>
      <c r="H28" t="inlineStr">
        <is>
          <t>current yield = annual coupon ÷ current value</t>
        </is>
      </c>
      <c r="I28" t="inlineStr">
        <is>
          <t>annual coupon ÷ current value. A bond bought at a discount yields MORE than its stated coupon; one bought at a premium yields less. No value → no answer, never a division by zero.</t>
        </is>
      </c>
      <c r="J28" t="inlineStr">
        <is>
          <t>coupon → annualCoupon  [MK-XS-I-012] · what it is worth → value  [MK-XS-I-001]</t>
        </is>
      </c>
      <c r="K28" t="inlineStr">
        <is>
          <t>Percent · one decimal shown  [derived by rule — confirm]</t>
        </is>
      </c>
      <c r="L28" t="inlineStr">
        <is>
          <t>No value means no answer — never a division by zero.</t>
        </is>
      </c>
      <c r="M28" t="inlineStr">
        <is>
          <t>One figure per bond  [derived by rule — confirm]</t>
        </is>
      </c>
      <c r="N28" t="inlineStr">
        <is>
          <t>As of today, from the latest figures held  [derived by rule — confirm]</t>
        </is>
      </c>
      <c r="O28" t="inlineStr">
        <is>
          <t>MK-NW-E-016 (BOND_COUPON) → How much income does this bond pay in a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MK-NW-M-028</t>
        </is>
      </c>
      <c r="B29" t="inlineStr">
        <is>
          <t>Networth</t>
        </is>
      </c>
      <c r="C29" t="inlineStr">
        <is>
          <t>/account-detail</t>
        </is>
      </c>
      <c r="D29" t="inlineStr">
        <is>
          <t>Rates rise 1% → value roughly $X–$Y</t>
        </is>
      </c>
      <c r="E29" t="inlineStr">
        <is>
          <t>sens.ratesUp</t>
        </is>
      </c>
      <c r="F29" t="inlineStr">
        <is>
          <t>BOND_RATE_SENSITIVITY  [NAME ASSIGNED HERE — no engine row exists for it yet]</t>
        </is>
      </c>
      <c r="G29" t="inlineStr">
        <is>
          <t>MK-NW-E-020</t>
        </is>
      </c>
      <c r="H29" t="inlineStr">
        <is>
          <t>change in value ≈ − duration × change in rate × value</t>
        </is>
      </c>
      <c r="I29" t="inlineStr">
        <is>
          <t>Shows roughly what a one percent move in interest rates would do to the bond's value. Longer to maturity means a bigger swing. An illustration, not a forecast.</t>
        </is>
      </c>
      <c r="J29" t="inlineStr">
        <is>
          <t>NOT DETERMINED — no input list on record for this engine</t>
        </is>
      </c>
      <c r="K29" t="inlineStr">
        <is>
          <t>Percent · one decimal shown  [derived by rule — confirm]</t>
        </is>
      </c>
      <c r="L29" t="inlineStr">
        <is>
          <t>NOT DETERMINED — this engine has not been read for its refusal yet.</t>
        </is>
      </c>
      <c r="M29" t="inlineStr">
        <is>
          <t>One figure per bond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MK-NW-M-029</t>
        </is>
      </c>
      <c r="B30" t="inlineStr">
        <is>
          <t>Networth</t>
        </is>
      </c>
      <c r="C30" t="inlineStr">
        <is>
          <t>/holding-detail</t>
        </is>
      </c>
      <c r="D30" t="inlineStr">
        <is>
          <t>CURRENT PRICE · LIVE</t>
        </is>
      </c>
      <c r="E30" t="inlineStr">
        <is>
          <t>price</t>
        </is>
      </c>
      <c r="F30" t="inlineStr">
        <is>
          <t>the price feed, with its freshness</t>
        </is>
      </c>
      <c r="G30" t="inlineStr">
        <is>
          <t>MK-NW-E-021</t>
        </is>
      </c>
      <c r="H30" t="inlineStr">
        <is>
          <t>price = the latest close from the feed, with the time it was fetched</t>
        </is>
      </c>
      <c r="I30" t="inlineStr">
        <is>
          <t>The most recent price the feed gave, carrying the moment it was fetched so staleness can be shown.</t>
        </is>
      </c>
      <c r="J30" t="inlineStr">
        <is>
          <t>NOT DETERMINED — no input list on record for this engine</t>
        </is>
      </c>
      <c r="K30" t="inlineStr">
        <is>
          <t>US dollars per unit · held to 8 decimal places · decimals shown  [derived by rule — confirm]</t>
        </is>
      </c>
      <c r="L30" t="inlineStr">
        <is>
          <t>NOT DETERMINED — this engine has not been read for its refusal yet.</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MK-NW-M-030</t>
        </is>
      </c>
      <c r="B31" t="inlineStr">
        <is>
          <t>Networth</t>
        </is>
      </c>
      <c r="C31" t="inlineStr">
        <is>
          <t>/holding-detail</t>
        </is>
      </c>
      <c r="D31" t="inlineStr">
        <is>
          <t>Current value</t>
        </is>
      </c>
      <c r="E31" t="inlineStr">
        <is>
          <t>value</t>
        </is>
      </c>
      <c r="F31" t="inlineStr">
        <is>
          <t>HOLDING_MARKET_VALUE</t>
        </is>
      </c>
      <c r="G31" t="inlineStr">
        <is>
          <t>MK-NW-E-022</t>
        </is>
      </c>
      <c r="H31" t="inlineStr">
        <is>
          <t>value = quantity × latest price</t>
        </is>
      </c>
      <c r="I31" t="inlineStr">
        <is>
          <t>shares × latest price.
NO PRICE MEANS ZERO, NOT A GUESS. An unpriced holding contributes nothing and the screen says the price is missing — it is never valued at what it cost, which would silently report a gain of exactly zero.</t>
        </is>
      </c>
      <c r="J31" t="inlineStr">
        <is>
          <t>shares → totalShares  [MK-XS-I-004] · price → the latest close  [MK-XS-I-005]</t>
        </is>
      </c>
      <c r="K31" t="inlineStr">
        <is>
          <t>US dollars · held to the cent · shown as whole dollars  [derived by rule — confirm]</t>
        </is>
      </c>
      <c r="L31" t="inlineStr">
        <is>
          <t>NOT DETERMINED — this engine has not been read for its refusal yet.</t>
        </is>
      </c>
      <c r="M31" t="inlineStr">
        <is>
          <t>One figure per holding  [derived by rule — confirm]</t>
        </is>
      </c>
      <c r="N31" t="inlineStr">
        <is>
          <t>As of today, from the latest figures held  [derived by rule — confirm]</t>
        </is>
      </c>
      <c r="O31" t="inlineStr">
        <is>
          <t>MK-XS-E-022 (HOLDING_SHARES) → How many shares of this do I own?</t>
        </is>
      </c>
      <c r="P31" t="inlineStr">
        <is>
          <t>DECIDES whether a line is a share, a bond, an option, a crypto amount or a currency, because the units differ; and DECIDES the price to use when the feed has none.</t>
        </is>
      </c>
      <c r="Q3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31" t="inlineStr">
        <is>
          <t>[Founder] A price is a ratio, not money: it keeps eight decimal places and is never rounded to cents. Rounding a Treasury bill price of $0.9888 to $0.99 invented $276 of gain on one row.</t>
        </is>
      </c>
      <c r="S31" t="inlineStr">
        <is>
          <t>THE SURVIVING IDENTIFIER for this figure. Folded in: MK-NW-M-040. A holding's current value, on holding detail and again while itemising an account.</t>
        </is>
      </c>
      <c r="T31" t="inlineStr">
        <is>
          <t>Q06 — Options: is quantity held in CONTRACTS with the price per share (so value = contracts x 100 x price), or is the price already per contract? Today neither is applied and the value may be a hundredth of the truth.
Q07 — Crypto: how many decimal places should a quantity keep? Some coins are held in very small fractions.
Q08 — Foreign currency: is this cash held at an institution, or currency trading? And should that tab's "Dividend" row be "Interest"?</t>
        </is>
      </c>
      <c r="U31" t="inlineStr"/>
      <c r="V31" t="inlineStr"/>
      <c r="W31" t="inlineStr">
        <is>
          <t>NOT DETERMINED</t>
        </is>
      </c>
      <c r="X31" t="inlineStr">
        <is>
          <t>VERIFIED 2026-08-22</t>
        </is>
      </c>
    </row>
    <row r="32">
      <c r="A32" t="inlineStr">
        <is>
          <t>MK-NW-M-031</t>
        </is>
      </c>
      <c r="B32" t="inlineStr">
        <is>
          <t>Networth</t>
        </is>
      </c>
      <c r="C32" t="inlineStr">
        <is>
          <t>/holding-detail</t>
        </is>
      </c>
      <c r="D32" t="inlineStr">
        <is>
          <t>Quantity — n shares</t>
        </is>
      </c>
      <c r="E32" t="inlineStr">
        <is>
          <t>shares</t>
        </is>
      </c>
      <c r="F32" t="inlineStr">
        <is>
          <t>HOLDING_SHARES</t>
        </is>
      </c>
      <c r="G32" t="inlineStr">
        <is>
          <t>MK-XS-E-022</t>
        </is>
      </c>
      <c r="H32" t="inlineStr">
        <is>
          <t>quantity = Σ(shares bought) − Σ(shares sold)</t>
        </is>
      </c>
      <c r="I32" t="inlineStr">
        <is>
          <t>Add the shares across every purchase lot. A position is the SUM OF ITS LOTS, never one stored figure — that is what makes gain-since-purchase possible.</t>
        </is>
      </c>
      <c r="J32" t="inlineStr">
        <is>
          <t>each lot's shares → lots[].shares  [MK-XS-I-004, MK-XS-I-007]</t>
        </is>
      </c>
      <c r="K32" t="inlineStr">
        <is>
          <t>A count · whole units, except crypto which keeps its fractions  [derived by rule — confirm]</t>
        </is>
      </c>
      <c r="L32" t="inlineStr">
        <is>
          <t>Adds up to $0 when there is nothing to add. Zero and "nothing recorded yet" look identical on screen — worth a decision.</t>
        </is>
      </c>
      <c r="M32" t="inlineStr">
        <is>
          <t>One figure per holding  [derived by rule — confirm]</t>
        </is>
      </c>
      <c r="N32" t="inlineStr">
        <is>
          <t>As of today, from the latest figures held  [derived by rule — confirm]</t>
        </is>
      </c>
      <c r="O32" t="inlineStr">
        <is>
          <t>None — this engine reads raw inputs only</t>
        </is>
      </c>
      <c r="P32" t="inlineStr"/>
      <c r="Q32" t="inlineStr">
        <is>
          <t>OPTIONS: quantity is held in contracts for options and in shares for stock, in the same field, with nothing marking which. Anything multiplying quantity by price inherits the ambiguity.</t>
        </is>
      </c>
      <c r="R32" t="inlineStr">
        <is>
          <t>NOT DETERMINED — no assumption recorded for this figure yet.</t>
        </is>
      </c>
      <c r="S32" t="inlineStr"/>
      <c r="T32" t="inlineStr">
        <is>
          <t>Q09 — Should the app store the UNIT beside every quantity — shares, contracts, coins, units of face, currency units — so nothing can be multiplied by the wrong price? Today one field holds all of them with nothing marking which.</t>
        </is>
      </c>
      <c r="U32" t="inlineStr"/>
      <c r="V32" t="inlineStr"/>
      <c r="W32" t="inlineStr">
        <is>
          <t>NOT DETERMINED</t>
        </is>
      </c>
      <c r="X32" t="inlineStr">
        <is>
          <t>VERIFIED 2026-08-22</t>
        </is>
      </c>
    </row>
    <row r="33">
      <c r="A33" t="inlineStr">
        <is>
          <t>MK-NW-M-032</t>
        </is>
      </c>
      <c r="B33" t="inlineStr">
        <is>
          <t>Networth</t>
        </is>
      </c>
      <c r="C33" t="inlineStr">
        <is>
          <t>/holding-detail</t>
        </is>
      </c>
      <c r="D33" t="inlineStr">
        <is>
          <t>Price paid (average)</t>
        </is>
      </c>
      <c r="E33" t="inlineStr">
        <is>
          <t>rawAvg</t>
        </is>
      </c>
      <c r="F33" t="inlineStr">
        <is>
          <t>HOLDING_COST_BASIS</t>
        </is>
      </c>
      <c r="G33" t="inlineStr">
        <is>
          <t>MK-NW-E-023</t>
        </is>
      </c>
      <c r="H33" t="inlineStr">
        <is>
          <t>total paid = Σ(shares in each lot × price paid in that lot);  average = total paid ÷ quantity</t>
        </is>
      </c>
      <c r="I33" t="inlineStr">
        <is>
          <t>Add shares × cost per share across every lot. A lot with no cost recorded contributes nothing, but its shares still count as owned.</t>
        </is>
      </c>
      <c r="J33" t="inlineStr">
        <is>
          <t>each lot's shares and cost → lots[].shares, lots[].cost_per_share  [MK-XS-I-004, MK-XS-I-007]</t>
        </is>
      </c>
      <c r="K33" t="inlineStr">
        <is>
          <t>US dollars per unit · held to 8 decimal places · decimals shown  [derived by rule — confirm]</t>
        </is>
      </c>
      <c r="L33" t="inlineStr">
        <is>
          <t>Adds up to $0 when there is nothing to add. Zero and "nothing recorded yet" look identical on screen — worth a decision.</t>
        </is>
      </c>
      <c r="M33" t="inlineStr">
        <is>
          <t>One figure per holding  [derived by rule — confirm]</t>
        </is>
      </c>
      <c r="N33" t="inlineStr">
        <is>
          <t>As of today, from the latest figures held  [derived by rule — confirm]</t>
        </is>
      </c>
      <c r="O33" t="inlineStr">
        <is>
          <t>None — this engine reads raw inputs only</t>
        </is>
      </c>
      <c r="P33" t="inlineStr"/>
      <c r="Q33" t="inlineStr">
        <is>
          <t>OPTIONS: same contract-multiplier question as market value — cost per share × shares, with no ×100 for a contract. TO VERIFY.</t>
        </is>
      </c>
      <c r="R33" t="inlineStr">
        <is>
          <t>[Founder] Cost basis comes from recorded lots. A lot with no cost is skipped rather than treated as free shares, because free shares would report the whole value as gain and tax it.</t>
        </is>
      </c>
      <c r="S33" t="inlineStr"/>
      <c r="T33" t="inlineStr"/>
      <c r="U33" t="inlineStr"/>
      <c r="V33" t="inlineStr"/>
      <c r="W33" t="inlineStr">
        <is>
          <t>NOT DETERMINED</t>
        </is>
      </c>
      <c r="X33" t="inlineStr">
        <is>
          <t>VERIFIED 2026-08-22</t>
        </is>
      </c>
    </row>
    <row r="34">
      <c r="A34" t="inlineStr">
        <is>
          <t>MK-NW-M-033</t>
        </is>
      </c>
      <c r="B34" t="inlineStr">
        <is>
          <t>Networth</t>
        </is>
      </c>
      <c r="C34" t="inlineStr">
        <is>
          <t>/holding-detail</t>
        </is>
      </c>
      <c r="D34" t="inlineStr">
        <is>
          <t>Total paid</t>
        </is>
      </c>
      <c r="E34" t="inlineStr">
        <is>
          <t>basis</t>
        </is>
      </c>
      <c r="F34" t="inlineStr">
        <is>
          <t>HOLDING_COST_BASIS</t>
        </is>
      </c>
      <c r="G34" t="inlineStr">
        <is>
          <t>MK-NW-E-023</t>
        </is>
      </c>
      <c r="H34" t="inlineStr">
        <is>
          <t>total paid = Σ(shares in each lot × price paid in that lot);  average = total paid ÷ quantity</t>
        </is>
      </c>
      <c r="I34" t="inlineStr">
        <is>
          <t>Add shares × cost per share across every lot. A lot with no cost recorded contributes nothing, but its shares still count as owned.</t>
        </is>
      </c>
      <c r="J34" t="inlineStr">
        <is>
          <t>each lot's shares and cost → lots[].shares, lots[].cost_per_share  [MK-XS-I-004, MK-XS-I-007]</t>
        </is>
      </c>
      <c r="K34" t="inlineStr">
        <is>
          <t>US dollars · held to the cent · shown as whole dollars  [derived by rule — confirm]</t>
        </is>
      </c>
      <c r="L34" t="inlineStr">
        <is>
          <t>Adds up to $0 when there is nothing to add. Zero and "nothing recorded yet" look identical on screen — worth a decision.</t>
        </is>
      </c>
      <c r="M34" t="inlineStr">
        <is>
          <t>One figure per holding  [derived by rule — confirm]</t>
        </is>
      </c>
      <c r="N34" t="inlineStr">
        <is>
          <t>As of today, from the latest figures held  [derived by rule — confirm]</t>
        </is>
      </c>
      <c r="O34" t="inlineStr">
        <is>
          <t>None — this engine reads raw inputs only</t>
        </is>
      </c>
      <c r="P34" t="inlineStr"/>
      <c r="Q34" t="inlineStr">
        <is>
          <t>OPTIONS: same contract-multiplier question as market value — cost per share × shares, with no ×100 for a contract. TO VERIFY.</t>
        </is>
      </c>
      <c r="R34" t="inlineStr">
        <is>
          <t>[Founder] Cost basis comes from recorded lots. A lot with no cost is skipped rather than treated as free shares, because free shares would report the whole value as gain and tax it.</t>
        </is>
      </c>
      <c r="S34" t="inlineStr"/>
      <c r="T34" t="inlineStr"/>
      <c r="U34" t="inlineStr"/>
      <c r="V34" t="inlineStr"/>
      <c r="W34" t="inlineStr">
        <is>
          <t>NOT DETERMINED</t>
        </is>
      </c>
      <c r="X34" t="inlineStr">
        <is>
          <t>VERIFIED 2026-08-22</t>
        </is>
      </c>
    </row>
    <row r="35">
      <c r="A35" t="inlineStr">
        <is>
          <t>MK-NW-M-034</t>
        </is>
      </c>
      <c r="B35" t="inlineStr">
        <is>
          <t>Networth</t>
        </is>
      </c>
      <c r="C35" t="inlineStr">
        <is>
          <t>/holding-detail</t>
        </is>
      </c>
      <c r="D35" t="inlineStr">
        <is>
          <t>Dividends received (12 mo)</t>
        </is>
      </c>
      <c r="E35" t="inlineStr">
        <is>
          <t>dividends.trailing12</t>
        </is>
      </c>
      <c r="F35" t="inlineStr">
        <is>
          <t>the ledger sum of dividends over twelve months</t>
        </is>
      </c>
      <c r="G35" t="inlineStr">
        <is>
          <t>MK-NW-E-024</t>
        </is>
      </c>
      <c r="H35" t="inlineStr">
        <is>
          <t>dividends = Σ(dividend lines in the last 12 months)</t>
        </is>
      </c>
      <c r="I35" t="inlineStr">
        <is>
          <t>Adds the dividends recorded for this holding over the last twelve months.</t>
        </is>
      </c>
      <c r="J35" t="inlineStr">
        <is>
          <t>NOT DETERMINED — no input list on record for this engine</t>
        </is>
      </c>
      <c r="K35" t="inlineStr">
        <is>
          <t>US dollars · held to the cent · shown as whole dollars  [derived by rule — confirm]</t>
        </is>
      </c>
      <c r="L35" t="inlineStr">
        <is>
          <t>Adds up to $0 when there is nothing to add. Zero and "nothing recorded yet" look identical on screen — worth a decision.</t>
        </is>
      </c>
      <c r="M35" t="inlineStr">
        <is>
          <t>One figure per person — or per household when two people share one record  [derived by rule — confirm]</t>
        </is>
      </c>
      <c r="N35" t="inlineStr">
        <is>
          <t>This calendar month, to today  [derived by rule — confirm]</t>
        </is>
      </c>
      <c r="O35" t="inlineStr">
        <is>
          <t>NOT DETERMINED</t>
        </is>
      </c>
      <c r="P35" t="inlineStr"/>
      <c r="Q35" t="inlineStr"/>
      <c r="R35" t="inlineStr">
        <is>
          <t>NOT DETERMINED — no assumption recorded for this figure yet.</t>
        </is>
      </c>
      <c r="S35" t="inlineStr"/>
      <c r="T35" t="inlineStr"/>
      <c r="U35" t="inlineStr"/>
      <c r="V35" t="inlineStr"/>
      <c r="W35" t="inlineStr">
        <is>
          <t>NOT DETERMINED</t>
        </is>
      </c>
      <c r="X35" t="inlineStr">
        <is>
          <t>VERIFIED 2026-08-22</t>
        </is>
      </c>
    </row>
    <row r="36">
      <c r="A36" t="inlineStr">
        <is>
          <t>MK-NW-M-035</t>
        </is>
      </c>
      <c r="B36" t="inlineStr">
        <is>
          <t>Networth</t>
        </is>
      </c>
      <c r="C36" t="inlineStr">
        <is>
          <t>/holding-detail</t>
        </is>
      </c>
      <c r="D36" t="inlineStr">
        <is>
          <t>Realized gain from your buys and sells</t>
        </is>
      </c>
      <c r="E36" t="inlineStr">
        <is>
          <t>realized</t>
        </is>
      </c>
      <c r="F36" t="inlineStr">
        <is>
          <t>REALISED_GAIN</t>
        </is>
      </c>
      <c r="G36" t="inlineStr">
        <is>
          <t>MK-NW-E-025</t>
        </is>
      </c>
      <c r="H36" t="inlineStr">
        <is>
          <t>realised gain = Σ over sales of (proceeds − cost of the shares sold, oldest first)</t>
        </is>
      </c>
      <c r="I36" t="inlineStr">
        <is>
          <t>Walk buys and sells in date order. Each sale consumes the OLDEST buy lots first, and the gain is proceeds minus the cost of the shares it consumed.
Lots are kept separately per account AND per ticker, so a Schwab holding never covers a Robinhood sale of the same share.
A SALE WITH NO RECORDED BUY CONTRIBUTES NOTHING and is counted separately, so the screen can say how much it could not see. A cost is never invented — inventing one would report the entire sale as profit.</t>
        </is>
      </c>
      <c r="J36" t="inlineStr">
        <is>
          <t>the ledger → txns  [MK-XS-I-008] · optionally one ticker → opts.ticker  [NOT AN INPUT — a setting or a filter, not data anyone supplies] · optionally one account → opts.accountId  [NOT AN INPUT — a setting or a filter, not data anyone supplies] · today → opts.now  [NOT AN INPUT — a setting or a filter, not data anyone supplies]</t>
        </is>
      </c>
      <c r="K36" t="inlineStr">
        <is>
          <t>US dollars · held to the cent · shown as whole dollars  [derived by rule — confirm]</t>
        </is>
      </c>
      <c r="L36" t="inlineStr">
        <is>
          <t>Sales with no recorded purchase are counted separately and named on screen: "N sales had no recorded purchase, so their gain isn't counted."</t>
        </is>
      </c>
      <c r="M36" t="inlineStr">
        <is>
          <t>One figure per person — or per household when two people share one record  [derived by rule — confirm]</t>
        </is>
      </c>
      <c r="N36" t="inlineStr">
        <is>
          <t>As of today, from the latest figures held  [derived by rule — confirm]</t>
        </is>
      </c>
      <c r="O36" t="inlineStr">
        <is>
          <t>None — this engine reads raw inputs only</t>
        </is>
      </c>
      <c r="P36" t="inlineStr"/>
      <c r="Q36" t="inlineStr">
        <is>
          <t>Reads the transaction ledger, which is device-only. On a second device it reports nothing — not because nothing was sold, but because the record is elsewhere.</t>
        </is>
      </c>
      <c r="R36" t="inlineStr">
        <is>
          <t>NOT DETERMINED — no assumption recorded for this figure yet.</t>
        </is>
      </c>
      <c r="S36" t="inlineStr"/>
      <c r="T36" t="inlineStr">
        <is>
          <t>Q21 — On a second device the ledger is absent, so this reads nothing. Until history syncs, should it refuse in words rather than show a figure that looks like zero?</t>
        </is>
      </c>
      <c r="U36" t="inlineStr"/>
      <c r="V36" t="inlineStr"/>
      <c r="W36" t="inlineStr">
        <is>
          <t>NOT DETERMINED</t>
        </is>
      </c>
      <c r="X36" t="inlineStr">
        <is>
          <t>VERIFIED 2026-08-22</t>
        </is>
      </c>
    </row>
    <row r="37">
      <c r="A37" t="inlineStr">
        <is>
          <t>MK-NW-M-036</t>
        </is>
      </c>
      <c r="B37" t="inlineStr">
        <is>
          <t>Networth</t>
        </is>
      </c>
      <c r="C37" t="inlineStr">
        <is>
          <t>/holding-detail</t>
        </is>
      </c>
      <c r="D37" t="inlineStr">
        <is>
          <t>Gain — long-term (held over 1 yr)</t>
        </is>
      </c>
      <c r="E37" t="inlineStr">
        <is>
          <t>cg.longGain</t>
        </is>
      </c>
      <c r="F37" t="inlineStr">
        <is>
          <t>HOLDING_CAP_GAINS</t>
        </is>
      </c>
      <c r="G37" t="inlineStr">
        <is>
          <t>MK-NW-E-026</t>
        </is>
      </c>
      <c r="H37" t="inlineStr">
        <is>
          <t>per lot: gain = shares × (price − cost per share);  long-term if the lot was held ≥ 365 whole days, otherwise short-term;  a lot with no cost recorded is skipped</t>
        </is>
      </c>
      <c r="I37"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7" t="inlineStr">
        <is>
          <t>each lot → lots[]  [MK-XS-I-007] · price → the latest close  [MK-XS-I-005] · today → now  [NOT AN INPUT — a setting or a filter, not data anyone supplies]</t>
        </is>
      </c>
      <c r="K37" t="inlineStr">
        <is>
          <t>US dollars · held to the cent · shown as whole dollars  [derived by rule — confirm]</t>
        </is>
      </c>
      <c r="L37" t="inlineStr">
        <is>
          <t>A lot with no recorded purchase price is SKIPPED. Today the screen does not say so, which is finding Q20.</t>
        </is>
      </c>
      <c r="M37" t="inlineStr">
        <is>
          <t>One figure per holding  [derived by rule — confirm]</t>
        </is>
      </c>
      <c r="N37" t="inlineStr">
        <is>
          <t>As of today, from the latest figures held  [derived by rule — confirm]</t>
        </is>
      </c>
      <c r="O37" t="inlineStr">
        <is>
          <t>None — this engine reads raw inputs only</t>
        </is>
      </c>
      <c r="P37" t="inlineStr"/>
      <c r="Q37" t="inlineStr">
        <is>
          <t>OPTIONS: gain per lot = shares × (price − cost), again with no contract multiplier. TO VERIFY. Separately: a lot with no recorded cost is skipped, so a position of skipped lots reports no gain at all rather than saying it cannot tell.</t>
        </is>
      </c>
      <c r="R37" t="inlineStr">
        <is>
          <t>[Founder] Long-term is decided by DAYS, not calendar months (correction E7): 335 days used to count as long-term and be taxed at the lower rate.</t>
        </is>
      </c>
      <c r="S37" t="inlineStr"/>
      <c r="T37" t="inlineStr">
        <is>
          <t>Q20 — A lot with no recorded purchase price is skipped, so its gain is simply absent. Should the screen SAY so — "gain not counted for N shares, no purchase price on record" — rather than quietly reporting less?</t>
        </is>
      </c>
      <c r="U37" t="inlineStr"/>
      <c r="V37" t="inlineStr"/>
      <c r="W37" t="inlineStr">
        <is>
          <t>NOT DETERMINED</t>
        </is>
      </c>
      <c r="X37" t="inlineStr">
        <is>
          <t>VERIFIED 2026-08-22</t>
        </is>
      </c>
    </row>
    <row r="38">
      <c r="A38" t="inlineStr">
        <is>
          <t>MK-NW-M-037</t>
        </is>
      </c>
      <c r="B38" t="inlineStr">
        <is>
          <t>Networth</t>
        </is>
      </c>
      <c r="C38" t="inlineStr">
        <is>
          <t>/holding-detail</t>
        </is>
      </c>
      <c r="D38" t="inlineStr">
        <is>
          <t>Gain — short-term (under 1 yr)</t>
        </is>
      </c>
      <c r="E38" t="inlineStr">
        <is>
          <t>cg.shortGain</t>
        </is>
      </c>
      <c r="F38" t="inlineStr">
        <is>
          <t>HOLDING_CAP_GAINS</t>
        </is>
      </c>
      <c r="G38" t="inlineStr">
        <is>
          <t>MK-NW-E-026</t>
        </is>
      </c>
      <c r="H38" t="inlineStr">
        <is>
          <t>per lot: gain = shares × (price − cost per share);  long-term if the lot was held ≥ 365 whole days, otherwise short-term;  a lot with no cost recorded is skipped</t>
        </is>
      </c>
      <c r="I38" t="inlineStr">
        <is>
          <t>Each LOT is judged on its OWN purchase date, not the position's: held twelve whole months or more → long-term, otherwise short-term. Gain per lot = shares × (price − cost per share).
A lot with no cost recorded is SKIPPED, not treated as free shares — treating it as free would report the entire value as gain and tax it.
An unreadable purchase date is treated as SHORT-term: the cautious side, since understating a tax bill is the worse mistake.</t>
        </is>
      </c>
      <c r="J38" t="inlineStr">
        <is>
          <t>each lot → lots[]  [MK-XS-I-007] · price → the latest close  [MK-XS-I-005] · today → now  [NOT AN INPUT — a setting or a filter, not data anyone supplies]</t>
        </is>
      </c>
      <c r="K38" t="inlineStr">
        <is>
          <t>US dollars · held to the cent · shown as whole dollars  [derived by rule — confirm]</t>
        </is>
      </c>
      <c r="L38" t="inlineStr">
        <is>
          <t>A lot with no recorded purchase price is SKIPPED. Today the screen does not say so, which is finding Q20.</t>
        </is>
      </c>
      <c r="M38" t="inlineStr">
        <is>
          <t>One figure per holding  [derived by rule — confirm]</t>
        </is>
      </c>
      <c r="N38" t="inlineStr">
        <is>
          <t>As of today, from the latest figures held  [derived by rule — confirm]</t>
        </is>
      </c>
      <c r="O38" t="inlineStr">
        <is>
          <t>None — this engine reads raw inputs only</t>
        </is>
      </c>
      <c r="P38" t="inlineStr"/>
      <c r="Q38" t="inlineStr">
        <is>
          <t>OPTIONS: gain per lot = shares × (price − cost), again with no contract multiplier. TO VERIFY. Separately: a lot with no recorded cost is skipped, so a position of skipped lots reports no gain at all rather than saying it cannot tell.</t>
        </is>
      </c>
      <c r="R38" t="inlineStr">
        <is>
          <t>[Founder] Long-term is decided by DAYS, not calendar months (correction E7): 335 days used to count as long-term and be taxed at the lower rate.</t>
        </is>
      </c>
      <c r="S38" t="inlineStr"/>
      <c r="T38" t="inlineStr"/>
      <c r="U38" t="inlineStr"/>
      <c r="V38" t="inlineStr"/>
      <c r="W38" t="inlineStr">
        <is>
          <t>NOT DETERMINED</t>
        </is>
      </c>
      <c r="X38" t="inlineStr">
        <is>
          <t>VERIFIED 2026-08-22</t>
        </is>
      </c>
    </row>
    <row r="39">
      <c r="A39" t="inlineStr">
        <is>
          <t>MK-NW-M-038</t>
        </is>
      </c>
      <c r="B39" t="inlineStr">
        <is>
          <t>Networth</t>
        </is>
      </c>
      <c r="C39" t="inlineStr">
        <is>
          <t>/itemize</t>
        </is>
      </c>
      <c r="D39" t="inlineStr">
        <is>
          <t>We keep the total at $X</t>
        </is>
      </c>
      <c r="E39" t="inlineStr">
        <is>
          <t>lump.balance</t>
        </is>
      </c>
      <c r="F39" t="inlineStr">
        <is>
          <t>the account balance being itemised</t>
        </is>
      </c>
      <c r="G39" t="inlineStr">
        <is>
          <t>MK-NW-E-027</t>
        </is>
      </c>
      <c r="H39" t="inlineStr">
        <is>
          <t>the balance of the account being broken into holdings</t>
        </is>
      </c>
      <c r="I39" t="inlineStr">
        <is>
          <t>The single account total that the holdings entered must add up to.</t>
        </is>
      </c>
      <c r="J39" t="inlineStr">
        <is>
          <t>NOT DETERMINED — no input list on record for this engine</t>
        </is>
      </c>
      <c r="K39" t="inlineStr">
        <is>
          <t>US dollars · held to the cent · shown as whole dollars  [derived by rule — confirm]</t>
        </is>
      </c>
      <c r="L39" t="inlineStr">
        <is>
          <t>NOT DETERMINED — this engine has not been read for its refusal yet.</t>
        </is>
      </c>
      <c r="M39" t="inlineStr">
        <is>
          <t>One figure per person — or per household when two people share one record  [derived by rule — confirm]</t>
        </is>
      </c>
      <c r="N39" t="inlineStr">
        <is>
          <t>As of today, from the latest figures held  [derived by rule — confirm]</t>
        </is>
      </c>
      <c r="O39" t="inlineStr">
        <is>
          <t>NOT DETERMINED</t>
        </is>
      </c>
      <c r="P39" t="inlineStr"/>
      <c r="Q39" t="inlineStr"/>
      <c r="R39" t="inlineStr">
        <is>
          <t>NOT DETERMINED — no assumption recorded for this figure yet.</t>
        </is>
      </c>
      <c r="S39" t="inlineStr"/>
      <c r="T39" t="inlineStr"/>
      <c r="U39" t="inlineStr"/>
      <c r="V39" t="inlineStr"/>
      <c r="W39" t="inlineStr">
        <is>
          <t>NOT DETERMINED</t>
        </is>
      </c>
      <c r="X39" t="inlineStr">
        <is>
          <t>VERIFIED 2026-08-22</t>
        </is>
      </c>
    </row>
    <row r="40">
      <c r="A40" t="inlineStr">
        <is>
          <t>MK-NW-M-039</t>
        </is>
      </c>
      <c r="B40" t="inlineStr">
        <is>
          <t>Networth</t>
        </is>
      </c>
      <c r="C40" t="inlineStr">
        <is>
          <t>/itemize</t>
        </is>
      </c>
      <c r="D40" t="inlineStr">
        <is>
          <t>$X of $Y itemized · remainder</t>
        </is>
      </c>
      <c r="E40" t="inlineStr">
        <is>
          <t>allocated / remainder</t>
        </is>
      </c>
      <c r="F40" t="inlineStr">
        <is>
          <t>worked out on the screen: total − what has been itemised</t>
        </is>
      </c>
      <c r="G40" t="inlineStr"/>
      <c r="H40" t="inlineStr">
        <is>
          <t>left to itemise = the account total − Σ(holdings entered)</t>
        </is>
      </c>
      <c r="I40" t="inlineStr">
        <is>
          <t>Worked out on the screen itself, with no engine behind it — a place a second definition can appear.</t>
        </is>
      </c>
      <c r="J40" t="inlineStr">
        <is>
          <t>NOT DETERMINED — no input list on record for this engine</t>
        </is>
      </c>
      <c r="K40" t="inlineStr">
        <is>
          <t>US dollars · held to the cent · shown as whole dollars  [derived by rule — confirm]</t>
        </is>
      </c>
      <c r="L40" t="inlineStr">
        <is>
          <t>Inherits the refusal of the figures it is built from: if either side is missing, this line is not shown.</t>
        </is>
      </c>
      <c r="M40" t="inlineStr">
        <is>
          <t>One figure per person — or per household when two people share one record  [derived by rule — confirm]</t>
        </is>
      </c>
      <c r="N40" t="inlineStr">
        <is>
          <t>As of today, from the latest figures held  [derived by rule — confirm]</t>
        </is>
      </c>
      <c r="O40" t="inlineStr">
        <is>
          <t>NOT DETERMINED</t>
        </is>
      </c>
      <c r="P40" t="inlineStr"/>
      <c r="Q40" t="inlineStr"/>
      <c r="R40" t="inlineStr">
        <is>
          <t>NOT DETERMINED — no assumption recorded for this figure yet.</t>
        </is>
      </c>
      <c r="S40" t="inlineStr"/>
      <c r="T40" t="inlineStr"/>
      <c r="U40" t="inlineStr"/>
      <c r="V40" t="inlineStr"/>
      <c r="W40" t="inlineStr">
        <is>
          <t>NOT DETERMINED</t>
        </is>
      </c>
      <c r="X40" t="inlineStr">
        <is>
          <t>VERIFIED 2026-08-22</t>
        </is>
      </c>
    </row>
    <row r="41">
      <c r="A41" t="inlineStr">
        <is>
          <t>MK-NW-M-040</t>
        </is>
      </c>
      <c r="B41" t="inlineStr">
        <is>
          <t>Networth</t>
        </is>
      </c>
      <c r="C41" t="inlineStr">
        <is>
          <t>/itemize</t>
        </is>
      </c>
      <c r="D41" t="inlineStr">
        <is>
          <t>each holding and its value</t>
        </is>
      </c>
      <c r="E41" t="inlineStr">
        <is>
          <t>h.value</t>
        </is>
      </c>
      <c r="F41" t="inlineStr">
        <is>
          <t>HOLDING_MARKET_VALUE</t>
        </is>
      </c>
      <c r="G41" t="inlineStr">
        <is>
          <t>MK-NW-E-022</t>
        </is>
      </c>
      <c r="H41" t="inlineStr">
        <is>
          <t>value = quantity × latest price</t>
        </is>
      </c>
      <c r="I41" t="inlineStr">
        <is>
          <t>shares × latest price.
NO PRICE MEANS ZERO, NOT A GUESS. An unpriced holding contributes nothing and the screen says the price is missing — it is never valued at what it cost, which would silently report a gain of exactly zero.</t>
        </is>
      </c>
      <c r="J41" t="inlineStr">
        <is>
          <t>shares → totalShares  [MK-XS-I-004] · price → the latest close  [MK-XS-I-005]</t>
        </is>
      </c>
      <c r="K41" t="inlineStr">
        <is>
          <t>US dollars · held to the cent · shown as whole dollars  [derived by rule — confirm]</t>
        </is>
      </c>
      <c r="L41" t="inlineStr">
        <is>
          <t>NOT DETERMINED — this engine has not been read for its refusal yet.</t>
        </is>
      </c>
      <c r="M41" t="inlineStr">
        <is>
          <t>One figure per holding  [derived by rule — confirm]</t>
        </is>
      </c>
      <c r="N41" t="inlineStr">
        <is>
          <t>As of today, from the latest figures held  [derived by rule — confirm]</t>
        </is>
      </c>
      <c r="O41" t="inlineStr">
        <is>
          <t>MK-XS-E-022 (HOLDING_SHARES) → How many shares of this do I own?</t>
        </is>
      </c>
      <c r="P41" t="inlineStr">
        <is>
          <t>DECIDES whether a line is a share, a bond, an option, a crypto amount or a currency, because the units differ; and DECIDES the price to use when the feed has none.</t>
        </is>
      </c>
      <c r="Q41" t="inlineStr">
        <is>
          <t>OPTIONS: value is quantity × price with no contract multiplier. An option is 100 shares per contract unless the broker states otherwise, so an option position may be reported at one hundredth of its real value. The ledger normalises a TRADE so units × price equals the broker's cash figure, but the holdings path does not. TO VERIFY AND FIX.</t>
        </is>
      </c>
      <c r="R41" t="inlineStr">
        <is>
          <t>[Founder] A price is a ratio, not money: it keeps eight decimal places and is never rounded to cents. Rounding a Treasury bill price of $0.9888 to $0.99 invented $276 of gain on one row.</t>
        </is>
      </c>
      <c r="S41" t="inlineStr">
        <is>
          <t>THE SAME FIGURE AS MK-NW-M-030 — A holding's current value, on holding detail and again while itemising an account.</t>
        </is>
      </c>
      <c r="T41" t="inlineStr"/>
      <c r="U41" t="inlineStr"/>
      <c r="V41" t="inlineStr"/>
      <c r="W41" t="inlineStr">
        <is>
          <t>NOT DETERMINED</t>
        </is>
      </c>
      <c r="X41" t="inlineStr">
        <is>
          <t>VERIFIED 2026-08-22</t>
        </is>
      </c>
    </row>
    <row r="42">
      <c r="A42" t="inlineStr">
        <is>
          <t>MK-NW-M-041</t>
        </is>
      </c>
      <c r="B42" t="inlineStr">
        <is>
          <t>Networth</t>
        </is>
      </c>
      <c r="C42" t="inlineStr">
        <is>
          <t>/bonds</t>
        </is>
      </c>
      <c r="D42" t="inlineStr">
        <is>
          <t>total value of your bonds</t>
        </is>
      </c>
      <c r="E42" t="inlineStr">
        <is>
          <t>summary.totalValue</t>
        </is>
      </c>
      <c r="F42" t="inlineStr">
        <is>
          <t>BOND_FACTS</t>
        </is>
      </c>
      <c r="G42" t="inlineStr">
        <is>
          <t>MK-NW-E-015</t>
        </is>
      </c>
      <c r="H42" t="inlineStr">
        <is>
          <t>face, coupon rate and maturity as recorded;  bonds total = Σ(value of each bond),  face total = Σ(face)</t>
        </is>
      </c>
      <c r="I42" t="inlineStr">
        <is>
          <t>Reads the stored bond fields off the holding and computes its yields. A holding with none of them is not a bond and returns nothing.</t>
        </is>
      </c>
      <c r="J42" t="inlineStr">
        <is>
          <t>the holding → position/account  [MK-XS-I-004]</t>
        </is>
      </c>
      <c r="K42" t="inlineStr">
        <is>
          <t>US dollars · held to the cent · shown as whole dollars  [derived by rule — confirm]</t>
        </is>
      </c>
      <c r="L42" t="inlineStr">
        <is>
          <t>Adds up to $0 when there is nothing to add. Zero and "nothing recorded yet" look identical on screen — worth a decision.</t>
        </is>
      </c>
      <c r="M42" t="inlineStr">
        <is>
          <t>One figure per bond  [derived by rule — confirm]</t>
        </is>
      </c>
      <c r="N42" t="inlineStr">
        <is>
          <t>As of today, from the latest figures held  [derived by rule — confirm]</t>
        </is>
      </c>
      <c r="O42" t="inlineStr">
        <is>
          <t>None — this engine reads raw inputs only</t>
        </is>
      </c>
      <c r="P42" t="inlineStr">
        <is>
          <t>DECIDES how a bond is NAMED on screen — issuer, or the identifying number, or a plain description; and DECIDES whether a line is a bond at all.</t>
        </is>
      </c>
      <c r="Q42" t="inlineStr"/>
      <c r="R42" t="inlineStr">
        <is>
          <t>NOT DETERMINED — no assumption recorded for this figure yet.</t>
        </is>
      </c>
      <c r="S42" t="inlineStr"/>
      <c r="T42" t="inlineStr"/>
      <c r="U42" t="inlineStr"/>
      <c r="V42" t="inlineStr"/>
      <c r="W42" t="inlineStr">
        <is>
          <t>NOT DETERMINED</t>
        </is>
      </c>
      <c r="X42" t="inlineStr">
        <is>
          <t>VERIFIED 2026-08-22</t>
        </is>
      </c>
    </row>
    <row r="43">
      <c r="A43" t="inlineStr">
        <is>
          <t>MK-NW-M-042</t>
        </is>
      </c>
      <c r="B43" t="inlineStr">
        <is>
          <t>Networth</t>
        </is>
      </c>
      <c r="C43" t="inlineStr">
        <is>
          <t>/bonds</t>
        </is>
      </c>
      <c r="D43" t="inlineStr">
        <is>
          <t>n bonds · face $X</t>
        </is>
      </c>
      <c r="E43" t="inlineStr">
        <is>
          <t>summary.totalFace</t>
        </is>
      </c>
      <c r="F43" t="inlineStr">
        <is>
          <t>BOND_FACTS</t>
        </is>
      </c>
      <c r="G43" t="inlineStr">
        <is>
          <t>MK-NW-E-015</t>
        </is>
      </c>
      <c r="H43" t="inlineStr">
        <is>
          <t>face, coupon rate and maturity as recorded;  bonds total = Σ(value of each bond),  face total = Σ(face)</t>
        </is>
      </c>
      <c r="I43" t="inlineStr">
        <is>
          <t>Reads the stored bond fields off the holding and computes its yields. A holding with none of them is not a bond and returns nothing.</t>
        </is>
      </c>
      <c r="J43" t="inlineStr">
        <is>
          <t>the holding → position/account  [MK-XS-I-004]</t>
        </is>
      </c>
      <c r="K43" t="inlineStr">
        <is>
          <t>US dollars · held to the cent · shown as whole dollars  [derived by rule — confirm]</t>
        </is>
      </c>
      <c r="L43" t="inlineStr">
        <is>
          <t>Adds up to $0 when there is nothing to add. Zero and "nothing recorded yet" look identical on screen — worth a decision.</t>
        </is>
      </c>
      <c r="M43" t="inlineStr">
        <is>
          <t>One figure per bond  [derived by rule — confirm]</t>
        </is>
      </c>
      <c r="N43" t="inlineStr">
        <is>
          <t>As of today, from the latest figures held  [derived by rule — confirm]</t>
        </is>
      </c>
      <c r="O43" t="inlineStr">
        <is>
          <t>None — this engine reads raw inputs only</t>
        </is>
      </c>
      <c r="P43" t="inlineStr">
        <is>
          <t>DECIDES how a bond is NAMED on screen — issuer, or the identifying number, or a plain description; and DECIDES whether a line is a bond at all.</t>
        </is>
      </c>
      <c r="Q43" t="inlineStr"/>
      <c r="R43" t="inlineStr">
        <is>
          <t>NOT DETERMINED — no assumption recorded for this figure yet.</t>
        </is>
      </c>
      <c r="S43" t="inlineStr"/>
      <c r="T43" t="inlineStr"/>
      <c r="U43" t="inlineStr"/>
      <c r="V43" t="inlineStr"/>
      <c r="W43" t="inlineStr">
        <is>
          <t>NOT DETERMINED</t>
        </is>
      </c>
      <c r="X43" t="inlineStr">
        <is>
          <t>VERIFIED 2026-08-22</t>
        </is>
      </c>
    </row>
    <row r="44">
      <c r="A44" t="inlineStr">
        <is>
          <t>MK-NW-M-043</t>
        </is>
      </c>
      <c r="B44" t="inlineStr">
        <is>
          <t>Networth</t>
        </is>
      </c>
      <c r="C44" t="inlineStr">
        <is>
          <t>/bonds</t>
        </is>
      </c>
      <c r="D44" t="inlineStr">
        <is>
          <t>COUPON / YR</t>
        </is>
      </c>
      <c r="E44" t="inlineStr">
        <is>
          <t>summary.coupon</t>
        </is>
      </c>
      <c r="F44" t="inlineStr">
        <is>
          <t>BOND_COUPON</t>
        </is>
      </c>
      <c r="G44" t="inlineStr">
        <is>
          <t>MK-NW-E-016</t>
        </is>
      </c>
      <c r="H44" t="inlineStr">
        <is>
          <t>annual coupon = face × coupon rate</t>
        </is>
      </c>
      <c r="I44" t="inlineStr">
        <is>
          <t>face value × coupon rate. NOT what the bond is worth today × the rate — a $10,000 bond paying 4% pays $400 whether it is trading at $9,800 or $11,000.</t>
        </is>
      </c>
      <c r="J44" t="inlineStr">
        <is>
          <t>face value → face  [MK-XS-I-011] · coupon rate → couponRate  [MK-XS-I-012]</t>
        </is>
      </c>
      <c r="K44" t="inlineStr">
        <is>
          <t>US dollars · held to the cent · shown as whole dollars  [derived by rule — confirm]</t>
        </is>
      </c>
      <c r="L44" t="inlineStr">
        <is>
          <t>NOT DETERMINED — this engine has not been read for its refusal yet.</t>
        </is>
      </c>
      <c r="M44" t="inlineStr">
        <is>
          <t>One figure per bond  [derived by rule — confirm]</t>
        </is>
      </c>
      <c r="N44" t="inlineStr">
        <is>
          <t>As of today, from the latest figures held  [derived by rule — confirm]</t>
        </is>
      </c>
      <c r="O44" t="inlineStr">
        <is>
          <t>None — this engine reads raw inputs only</t>
        </is>
      </c>
      <c r="P44" t="inlineStr"/>
      <c r="Q44" t="inlineStr"/>
      <c r="R44" t="inlineStr">
        <is>
          <t>NOT DETERMINED — no assumption recorded for this figure yet.</t>
        </is>
      </c>
      <c r="S44" t="inlineStr">
        <is>
          <t>THE SAME FIGURE AS MK-NW-M-024 — The coupon a bond pays in a year. "Interest payments" on account detail and "COUPON / YR" on the bonds screen.</t>
        </is>
      </c>
      <c r="T44" t="inlineStr"/>
      <c r="U44" t="inlineStr"/>
      <c r="V44" t="inlineStr"/>
      <c r="W44" t="inlineStr">
        <is>
          <t>NOT DETERMINED</t>
        </is>
      </c>
      <c r="X44" t="inlineStr">
        <is>
          <t>VERIFIED 2026-08-22</t>
        </is>
      </c>
    </row>
    <row r="45">
      <c r="A45" t="inlineStr">
        <is>
          <t>MK-NW-M-044</t>
        </is>
      </c>
      <c r="B45" t="inlineStr">
        <is>
          <t>Networth</t>
        </is>
      </c>
      <c r="C45" t="inlineStr">
        <is>
          <t>/bonds</t>
        </is>
      </c>
      <c r="D45" t="inlineStr">
        <is>
          <t>AVG YIELD</t>
        </is>
      </c>
      <c r="E45" t="inlineStr">
        <is>
          <t>summary.yield</t>
        </is>
      </c>
      <c r="F45" t="inlineStr">
        <is>
          <t>BOND_CURRENT_YIELD</t>
        </is>
      </c>
      <c r="G45" t="inlineStr">
        <is>
          <t>MK-NW-E-019</t>
        </is>
      </c>
      <c r="H45" t="inlineStr">
        <is>
          <t>current yield = annual coupon ÷ current value</t>
        </is>
      </c>
      <c r="I45" t="inlineStr">
        <is>
          <t>annual coupon ÷ current value. A bond bought at a discount yields MORE than its stated coupon; one bought at a premium yields less. No value → no answer, never a division by zero.</t>
        </is>
      </c>
      <c r="J45" t="inlineStr">
        <is>
          <t>coupon → annualCoupon  [MK-XS-I-012] · what it is worth → value  [MK-XS-I-001]</t>
        </is>
      </c>
      <c r="K45" t="inlineStr">
        <is>
          <t>Percent · one decimal shown  [derived by rule — confirm]</t>
        </is>
      </c>
      <c r="L45" t="inlineStr">
        <is>
          <t>No value means no answer — never a division by zero.</t>
        </is>
      </c>
      <c r="M45" t="inlineStr">
        <is>
          <t>One figure per bond  [derived by rule — confirm]</t>
        </is>
      </c>
      <c r="N45" t="inlineStr">
        <is>
          <t>As of today, from the latest figures held  [derived by rule — confirm]</t>
        </is>
      </c>
      <c r="O45" t="inlineStr">
        <is>
          <t>MK-NW-E-016 (BOND_COUPON) → How much income does this bond pay in a year?</t>
        </is>
      </c>
      <c r="P45" t="inlineStr"/>
      <c r="Q45" t="inlineStr"/>
      <c r="R45" t="inlineStr">
        <is>
          <t>NOT DETERMINED — no assumption recorded for this figure yet.</t>
        </is>
      </c>
      <c r="S45" t="inlineStr"/>
      <c r="T45" t="inlineStr"/>
      <c r="U45" t="inlineStr"/>
      <c r="V45" t="inlineStr"/>
      <c r="W45" t="inlineStr">
        <is>
          <t>NOT DETERMINED</t>
        </is>
      </c>
      <c r="X45" t="inlineStr">
        <is>
          <t>VERIFIED 2026-08-22</t>
        </is>
      </c>
    </row>
    <row r="46">
      <c r="A46" t="inlineStr">
        <is>
          <t>MK-NW-M-045</t>
        </is>
      </c>
      <c r="B46" t="inlineStr">
        <is>
          <t>Networth</t>
        </is>
      </c>
      <c r="C46" t="inlineStr">
        <is>
          <t>/bonds</t>
        </is>
      </c>
      <c r="D46" t="inlineStr">
        <is>
          <t>each bond — face, coupon, yield</t>
        </is>
      </c>
      <c r="E46" t="inlineStr">
        <is>
          <t>bi</t>
        </is>
      </c>
      <c r="F46" t="inlineStr">
        <is>
          <t>BOND_FACTS · BOND_COUPON</t>
        </is>
      </c>
      <c r="G46" t="inlineStr">
        <is>
          <t>MK-NW-E-028</t>
        </is>
      </c>
      <c r="H46" t="inlineStr">
        <is>
          <t>annual coupon = face × coupon rate</t>
        </is>
      </c>
      <c r="I46" t="inlineStr">
        <is>
          <t>Reads the stored bond fields off the holding and computes its yields. A holding with none of them is not a bond and returns nothing. · face value × coupon rate. NOT what the bond is worth today × the rate — a $10,000 bond paying 4% pays $400 whether it is trading at $9,800 or $11,000.</t>
        </is>
      </c>
      <c r="J46" t="inlineStr">
        <is>
          <t>the holding → position/account  [MK-XS-I-004] · face value → face  [MK-XS-I-011] · coupon rate → couponRate  [MK-XS-I-012]</t>
        </is>
      </c>
      <c r="K46" t="inlineStr">
        <is>
          <t>Percent · one decimal shown  [derived by rule — confirm]</t>
        </is>
      </c>
      <c r="L46" t="inlineStr">
        <is>
          <t>NOT DETERMINED — this engine has not been read for its refusal yet.</t>
        </is>
      </c>
      <c r="M46" t="inlineStr">
        <is>
          <t>One figure per bond  [derived by rule — confirm]</t>
        </is>
      </c>
      <c r="N46" t="inlineStr">
        <is>
          <t>As of today, from the latest figures held  [derived by rule — confirm]</t>
        </is>
      </c>
      <c r="O46" t="inlineStr">
        <is>
          <t>None — this engine reads raw inputs only</t>
        </is>
      </c>
      <c r="P46" t="inlineStr">
        <is>
          <t>DECIDES how a bond is NAMED on screen — issuer, or the identifying number, or a plain description; and DECIDES whether a line is a bond at all.</t>
        </is>
      </c>
      <c r="Q46" t="inlineStr"/>
      <c r="R46" t="inlineStr">
        <is>
          <t>NOT DETERMINED — no assumption recorded for this figure yet.</t>
        </is>
      </c>
      <c r="S46" t="inlineStr"/>
      <c r="T46" t="inlineStr"/>
      <c r="U46" t="inlineStr"/>
      <c r="V46" t="inlineStr"/>
      <c r="W46" t="inlineStr">
        <is>
          <t>NOT DETERMINED</t>
        </is>
      </c>
      <c r="X46" t="inlineStr">
        <is>
          <t>VERIFIED 2026-08-22</t>
        </is>
      </c>
    </row>
    <row r="47">
      <c r="A47" t="inlineStr"/>
      <c r="B47" t="inlineStr">
        <is>
          <t>Networth</t>
        </is>
      </c>
      <c r="C47" t="inlineStr">
        <is>
          <t>/add-account</t>
        </is>
      </c>
      <c r="D47" t="inlineStr">
        <is>
          <t>—</t>
        </is>
      </c>
      <c r="E47" t="inlineStr">
        <is>
          <t>—</t>
        </is>
      </c>
      <c r="F47" t="inlineStr">
        <is>
          <t>—</t>
        </is>
      </c>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is>
          <t>NOT DETERMINED</t>
        </is>
      </c>
      <c r="W47" t="inlineStr">
        <is>
          <t>READ 2026-08-22 — no calculated figure on this screen</t>
        </is>
      </c>
    </row>
    <row r="48">
      <c r="A48" t="inlineStr"/>
      <c r="B48" t="inlineStr">
        <is>
          <t>Networth</t>
        </is>
      </c>
      <c r="C48" t="inlineStr">
        <is>
          <t>/connect</t>
        </is>
      </c>
      <c r="D48" t="inlineStr">
        <is>
          <t>—</t>
        </is>
      </c>
      <c r="E48" t="inlineStr">
        <is>
          <t>—</t>
        </is>
      </c>
      <c r="F48" t="inlineStr">
        <is>
          <t>—</t>
        </is>
      </c>
      <c r="G48" t="inlineStr"/>
      <c r="H48" t="inlineStr"/>
      <c r="I48" t="inlineStr"/>
      <c r="J48" t="inlineStr"/>
      <c r="K48" t="inlineStr"/>
      <c r="L48" t="inlineStr"/>
      <c r="M48" t="inlineStr"/>
      <c r="N48" t="inlineStr"/>
      <c r="O48" t="inlineStr"/>
      <c r="P48" t="inlineStr"/>
      <c r="Q48" t="inlineStr"/>
      <c r="R48" t="inlineStr"/>
      <c r="S48" t="inlineStr"/>
      <c r="T48" t="inlineStr"/>
      <c r="U48" t="inlineStr"/>
      <c r="V48" t="inlineStr">
        <is>
          <t>NOT DETERMINED</t>
        </is>
      </c>
      <c r="W48" t="inlineStr">
        <is>
          <t>READ 2026-08-22 — no calculated figure on this screen</t>
        </is>
      </c>
    </row>
    <row r="49">
      <c r="A49" t="inlineStr"/>
      <c r="B49" t="inlineStr">
        <is>
          <t>Networth</t>
        </is>
      </c>
      <c r="C49" t="inlineStr">
        <is>
          <t>/import-holdings</t>
        </is>
      </c>
      <c r="D49" t="inlineStr">
        <is>
          <t>—</t>
        </is>
      </c>
      <c r="E49" t="inlineStr">
        <is>
          <t>—</t>
        </is>
      </c>
      <c r="F49" t="inlineStr">
        <is>
          <t>—</t>
        </is>
      </c>
      <c r="G49" t="inlineStr"/>
      <c r="H49" t="inlineStr"/>
      <c r="I49" t="inlineStr"/>
      <c r="J49" t="inlineStr"/>
      <c r="K49" t="inlineStr"/>
      <c r="L49" t="inlineStr"/>
      <c r="M49" t="inlineStr"/>
      <c r="N49" t="inlineStr"/>
      <c r="O49" t="inlineStr"/>
      <c r="P49" t="inlineStr"/>
      <c r="Q49" t="inlineStr"/>
      <c r="R49" t="inlineStr"/>
      <c r="S49" t="inlineStr"/>
      <c r="T49" t="inlineStr"/>
      <c r="U49" t="inlineStr"/>
      <c r="V49" t="inlineStr">
        <is>
          <t>NOT DETERMINED</t>
        </is>
      </c>
      <c r="W49" t="inlineStr">
        <is>
          <t>READ 2026-08-22 — no calculated figure on this screen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16"/>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MK-PF-M-001</t>
        </is>
      </c>
      <c r="B2" t="inlineStr">
        <is>
          <t>Performance</t>
        </is>
      </c>
      <c r="C2" t="inlineStr">
        <is>
          <t>NA</t>
        </is>
      </c>
      <c r="D2" t="inlineStr">
        <is>
          <t>Ending value</t>
        </is>
      </c>
      <c r="E2" t="inlineStr">
        <is>
          <t>walk.ending</t>
        </is>
      </c>
      <c r="F2" t="inlineStr">
        <is>
          <t>NW_CHANGE_WALK</t>
        </is>
      </c>
      <c r="G2" t="inlineStr">
        <is>
          <t>MK-PF-E-001</t>
        </is>
      </c>
      <c r="H2" t="inlineStr">
        <is>
          <t>ending = beginning + money in − money out + income − costs + market change  (the identity that must close)</t>
        </is>
      </c>
      <c r="I2"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2"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2" t="inlineStr">
        <is>
          <t>US dollars · held to the cent · shown as whole dollars  [derived by rule — confirm]</t>
        </is>
      </c>
      <c r="L2" t="inlineStr">
        <is>
          <t>Where the record does not reach back far enough, the beginning is back-solved and the walk says so. With neither record nor flows it refuses.</t>
        </is>
      </c>
      <c r="M2" t="inlineStr">
        <is>
          <t>One figure per person — or per household when two people share one record  [derived by rule — confirm]</t>
        </is>
      </c>
      <c r="N2" t="inlineStr">
        <is>
          <t>As of today, from the latest figures held  [derived by rule — confirm]</t>
        </is>
      </c>
      <c r="O2" t="inlineStr">
        <is>
          <t>None — this engine reads raw inputs only</t>
        </is>
      </c>
      <c r="P2" t="inlineStr"/>
      <c r="Q2" t="inlineStr">
        <is>
          <t>Beginning values are read from the daily record, which never leaves the phone. On a new device there is no beginning, so the walk back-solves one or refuses.</t>
        </is>
      </c>
      <c r="R2" t="inlineStr">
        <is>
          <t>[Founder] The identity must close: ending = beginning + money in − money out + income − costs + market change. A direction stated by the institution never overrides a contradicting sign — a −$500 line marked IN is a reversal.</t>
        </is>
      </c>
      <c r="S2" t="inlineStr">
        <is>
          <t>THE SURVIVING IDENTIFIER for this figure. Folded in: MK-PF-M-003. The ending value, shown as its own line and again inside the heading "HOW $X BECAME $Y". Same screen, same figure, twice.</t>
        </is>
      </c>
      <c r="T2" t="inlineStr"/>
      <c r="U2" t="inlineStr"/>
      <c r="V2" t="inlineStr"/>
      <c r="W2" t="inlineStr">
        <is>
          <t>NOT DETERMINED</t>
        </is>
      </c>
      <c r="X2" t="inlineStr">
        <is>
          <t>VERIFIED 2026-08-22</t>
        </is>
      </c>
    </row>
    <row r="3">
      <c r="A3" t="inlineStr">
        <is>
          <t>MK-PF-M-002</t>
        </is>
      </c>
      <c r="B3" t="inlineStr">
        <is>
          <t>Performance</t>
        </is>
      </c>
      <c r="C3" t="inlineStr">
        <is>
          <t>NA</t>
        </is>
      </c>
      <c r="D3" t="inlineStr">
        <is>
          <t>Wealth generated</t>
        </is>
      </c>
      <c r="E3" t="inlineStr">
        <is>
          <t>walk.wealthGenerated</t>
        </is>
      </c>
      <c r="F3" t="inlineStr">
        <is>
          <t>NW_CHANGE_WALK</t>
        </is>
      </c>
      <c r="G3" t="inlineStr">
        <is>
          <t>MK-PF-E-001</t>
        </is>
      </c>
      <c r="H3" t="inlineStr">
        <is>
          <t>ending = beginning + money in − money out + income − costs + market change  (the identity that must close)</t>
        </is>
      </c>
      <c r="I3"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3"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3" t="inlineStr">
        <is>
          <t>Percent · one decimal shown  [derived by rule — confirm]</t>
        </is>
      </c>
      <c r="L3" t="inlineStr">
        <is>
          <t>Where the record does not reach back far enough, the beginning is back-solved and the walk says so. With neither record nor flows it refuses.</t>
        </is>
      </c>
      <c r="M3" t="inlineStr">
        <is>
          <t>One figure per person — or per household when two people share one record  [derived by rule — confirm]</t>
        </is>
      </c>
      <c r="N3" t="inlineStr">
        <is>
          <t>As of today, from the latest figures held  [derived by rule — confirm]</t>
        </is>
      </c>
      <c r="O3" t="inlineStr">
        <is>
          <t>None — this engine reads raw inputs only</t>
        </is>
      </c>
      <c r="P3" t="inlineStr"/>
      <c r="Q3" t="inlineStr">
        <is>
          <t>Beginning values are read from the daily record, which never leaves the phone. On a new device there is no beginning, so the walk back-solves one or refuses.</t>
        </is>
      </c>
      <c r="R3" t="inlineStr">
        <is>
          <t>[Founder] The identity must close: ending = beginning + money in − money out + income − costs + market change. A direction stated by the institution never overrides a contradicting sign — a −$500 line marked IN is a reversal.</t>
        </is>
      </c>
      <c r="S3" t="inlineStr"/>
      <c r="T3" t="inlineStr"/>
      <c r="U3" t="inlineStr"/>
      <c r="V3" t="inlineStr"/>
      <c r="W3" t="inlineStr">
        <is>
          <t>NOT DETERMINED</t>
        </is>
      </c>
      <c r="X3" t="inlineStr">
        <is>
          <t>VERIFIED 2026-08-22</t>
        </is>
      </c>
    </row>
    <row r="4">
      <c r="A4" t="inlineStr">
        <is>
          <t>MK-PF-M-003</t>
        </is>
      </c>
      <c r="B4" t="inlineStr">
        <is>
          <t>Performance</t>
        </is>
      </c>
      <c r="C4" t="inlineStr">
        <is>
          <t>NA</t>
        </is>
      </c>
      <c r="D4" t="inlineStr">
        <is>
          <t>HOW $X BECAME $Y · ALL ACCOUNTS</t>
        </is>
      </c>
      <c r="E4" t="inlineStr">
        <is>
          <t>walk.beginning / walk.ending</t>
        </is>
      </c>
      <c r="F4" t="inlineStr">
        <is>
          <t>NW_CHANGE_WALK</t>
        </is>
      </c>
      <c r="G4" t="inlineStr">
        <is>
          <t>MK-PF-E-001</t>
        </is>
      </c>
      <c r="H4" t="inlineStr">
        <is>
          <t>ending = beginning + money in − money out + income − costs + market change  (the identity that must close)</t>
        </is>
      </c>
      <c r="I4"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4"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4" t="inlineStr">
        <is>
          <t>A count · whole units, except crypto which keeps its fractions  [derived by rule — confirm]</t>
        </is>
      </c>
      <c r="L4" t="inlineStr">
        <is>
          <t>Where the record does not reach back far enough, the beginning is back-solved and the walk says so. With neither record nor flows it refuses.</t>
        </is>
      </c>
      <c r="M4" t="inlineStr">
        <is>
          <t>One figure per account  [derived by rule — confirm]</t>
        </is>
      </c>
      <c r="N4" t="inlineStr">
        <is>
          <t>As of today, from the latest figures held  [derived by rule — confirm]</t>
        </is>
      </c>
      <c r="O4" t="inlineStr">
        <is>
          <t>None — this engine reads raw inputs only</t>
        </is>
      </c>
      <c r="P4" t="inlineStr"/>
      <c r="Q4" t="inlineStr">
        <is>
          <t>Beginning values are read from the daily record, which never leaves the phone. On a new device there is no beginning, so the walk back-solves one or refuses.</t>
        </is>
      </c>
      <c r="R4" t="inlineStr">
        <is>
          <t>[Founder] The identity must close: ending = beginning + money in − money out + income − costs + market change. A direction stated by the institution never overrides a contradicting sign — a −$500 line marked IN is a reversal.</t>
        </is>
      </c>
      <c r="S4" t="inlineStr">
        <is>
          <t>THE SAME FIGURE AS MK-PF-M-001 — The ending value, shown as its own line and again inside the heading "HOW $X BECAME $Y". Same screen, same figure, twice.</t>
        </is>
      </c>
      <c r="T4" t="inlineStr"/>
      <c r="U4" t="inlineStr"/>
      <c r="V4" t="inlineStr"/>
      <c r="W4" t="inlineStr">
        <is>
          <t>NOT DETERMINED</t>
        </is>
      </c>
      <c r="X4" t="inlineStr">
        <is>
          <t>VERIFIED 2026-08-22</t>
        </is>
      </c>
    </row>
    <row r="5">
      <c r="A5" t="inlineStr">
        <is>
          <t>MK-PF-M-004</t>
        </is>
      </c>
      <c r="B5" t="inlineStr">
        <is>
          <t>Performance</t>
        </is>
      </c>
      <c r="C5" t="inlineStr">
        <is>
          <t>NA</t>
        </is>
      </c>
      <c r="D5" t="inlineStr">
        <is>
          <t>Ending market value (per account)</t>
        </is>
      </c>
      <c r="E5" t="inlineStr">
        <is>
          <t>w.ending</t>
        </is>
      </c>
      <c r="F5" t="inlineStr">
        <is>
          <t>NW_CHANGE_WALK</t>
        </is>
      </c>
      <c r="G5" t="inlineStr">
        <is>
          <t>MK-PF-E-001</t>
        </is>
      </c>
      <c r="H5" t="inlineStr">
        <is>
          <t>ending = beginning + money in − money out + income − costs + market change  (the identity that must close)</t>
        </is>
      </c>
      <c r="I5" t="inlineStr">
        <is>
          <t>WHAT IT IS TRYING TO DO. If you were worth $500,000 last month and $520,000 today, you gained $20,000 — but you want to know why. Did you save it? Did the market give it to you? Did you pay down a loan? Those feel completely different, and only one of them is luck.
HOW IT WORKS OUT EACH LINE. Everything except the last one is a real record: your deposits, your withdrawals, dividends paid, interest received, loan payments made.
THE PROBLEM IS THE LAST LINE. "How your investments moved" is not measured against a single share price. It is simply what is left over after everything else is accounted for. Whatever the app cannot explain lands there — wearing the label of a market movement.
A WORKED EXAMPLE OF THE FAULT. You were worth $939,089. You are still worth $939,089. Nothing moved. But the app thinks you deposited $500. Now the sums must balance: you put in $500 and ended level, so the investments must have LOST $500. The screen tells you the market took $500 from you. It did not. The deposit was wrong.
And a real $500 loss produces exactly the same line. You cannot tell them apart, which is why a wrong deposit anywhere becomes a market movement that never happened.</t>
        </is>
      </c>
      <c r="J5" t="inlineStr">
        <is>
          <t>starting value → beginning  [MK-XS-I-031] · ending value → ending  [NOT AN INPUT — another engine’s answer; see the dependency column] · money in → contributions  [NOT AN INPUT — another engine’s answer; see the dependency column] · money out → withdrawals  [NOT AN INPUT — another engine’s answer; see the dependency column] · dividends → dividends  [NOT AN INPUT — another engine’s answer; see the dependency column] · interest → interest  [NOT AN INPUT — another engine’s answer; see the dependency column] · debt paid down → debtPrincipal  [NOT AN INPUT — another engine’s answer; see the dependency column]</t>
        </is>
      </c>
      <c r="K5" t="inlineStr">
        <is>
          <t>A count · whole units, except crypto which keeps its fractions  [derived by rule — confirm]</t>
        </is>
      </c>
      <c r="L5" t="inlineStr">
        <is>
          <t>Where the record does not reach back far enough, the beginning is back-solved and the walk says so. With neither record nor flows it refuses.</t>
        </is>
      </c>
      <c r="M5" t="inlineStr">
        <is>
          <t>One figure per account  [derived by rule — confirm]</t>
        </is>
      </c>
      <c r="N5" t="inlineStr">
        <is>
          <t>As of today, from the latest figures held  [derived by rule — confirm]</t>
        </is>
      </c>
      <c r="O5" t="inlineStr">
        <is>
          <t>None — this engine reads raw inputs only</t>
        </is>
      </c>
      <c r="P5" t="inlineStr"/>
      <c r="Q5" t="inlineStr">
        <is>
          <t>Beginning values are read from the daily record, which never leaves the phone. On a new device there is no beginning, so the walk back-solves one or refuses.</t>
        </is>
      </c>
      <c r="R5" t="inlineStr">
        <is>
          <t>[Founder] The identity must close: ending = beginning + money in − money out + income − costs + market change. A direction stated by the institution never overrides a contradicting sign — a −$500 line marked IN is a reversal.</t>
        </is>
      </c>
      <c r="S5" t="inlineStr"/>
      <c r="T5" t="inlineStr"/>
      <c r="U5" t="inlineStr"/>
      <c r="V5" t="inlineStr"/>
      <c r="W5" t="inlineStr">
        <is>
          <t>NOT DETERMINED</t>
        </is>
      </c>
      <c r="X5" t="inlineStr">
        <is>
          <t>VERIFIED 2026-08-22</t>
        </is>
      </c>
    </row>
    <row r="6">
      <c r="A6" t="inlineStr">
        <is>
          <t>MK-PF-M-005</t>
        </is>
      </c>
      <c r="B6" t="inlineStr">
        <is>
          <t>Performance</t>
        </is>
      </c>
      <c r="C6" t="inlineStr">
        <is>
          <t>NA</t>
        </is>
      </c>
      <c r="D6" t="inlineStr">
        <is>
          <t>each account and its ending value</t>
        </is>
      </c>
      <c r="E6" t="inlineStr">
        <is>
          <t>a.ending</t>
        </is>
      </c>
      <c r="F6" t="inlineStr">
        <is>
          <t>PERFORMANCE_TABLE</t>
        </is>
      </c>
      <c r="G6" t="inlineStr">
        <is>
          <t>MK-PF-E-002</t>
        </is>
      </c>
      <c r="H6" t="inlineStr">
        <is>
          <t>per account: ending;  per category: earned = Σ(ending − beginning − net money in);  return = earned ÷ average value held</t>
        </is>
      </c>
      <c r="I6"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6" t="inlineStr">
        <is>
          <t>the holdings → positions  [MK-XS-I-004] · prices → priceOf(ticker)  [MK-XS-I-005] · the chosen chip → period  [NOT AN INPUT — a setting or a filter, not data anyone supplies] · today → now  [NOT AN INPUT — a setting or a filter, not data anyone supplies]</t>
        </is>
      </c>
      <c r="K6" t="inlineStr">
        <is>
          <t>A count · whole units, except crypto which keeps its fractions  [derived by rule — confirm]</t>
        </is>
      </c>
      <c r="L6" t="inlineStr">
        <is>
          <t>Adds up to $0 when there is nothing to add. Zero and "nothing recorded yet" look identical on screen — worth a decision.</t>
        </is>
      </c>
      <c r="M6" t="inlineStr">
        <is>
          <t>One figure per account  [derived by rule — confirm]</t>
        </is>
      </c>
      <c r="N6" t="inlineStr">
        <is>
          <t>As of today, from the latest figures held  [derived by rule — confirm]</t>
        </is>
      </c>
      <c r="O6"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MK-PF-M-006</t>
        </is>
      </c>
      <c r="B7" t="inlineStr">
        <is>
          <t>Performance</t>
        </is>
      </c>
      <c r="C7" t="inlineStr">
        <is>
          <t>NA</t>
        </is>
      </c>
      <c r="D7" t="inlineStr">
        <is>
          <t>WHAT EACH CATEGORY EARNED — RETURN</t>
        </is>
      </c>
      <c r="E7" t="inlineStr">
        <is>
          <t>b.earned / b.ret</t>
        </is>
      </c>
      <c r="F7" t="inlineStr">
        <is>
          <t>PERFORMANCE_TABLE</t>
        </is>
      </c>
      <c r="G7" t="inlineStr">
        <is>
          <t>MK-PF-E-002</t>
        </is>
      </c>
      <c r="H7" t="inlineStr">
        <is>
          <t>per account: ending;  per category: earned = Σ(ending − beginning − net money in);  return = earned ÷ average value held</t>
        </is>
      </c>
      <c r="I7"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7" t="inlineStr">
        <is>
          <t>the holdings → positions  [MK-XS-I-004] · prices → priceOf(ticker)  [MK-XS-I-005] · the chosen chip → period  [NOT AN INPUT — a setting or a filter, not data anyone supplies] · today → now  [NOT AN INPUT — a setting or a filter, not data anyone supplies]</t>
        </is>
      </c>
      <c r="K7" t="inlineStr">
        <is>
          <t>Percent · one decimal shown  [derived by rule — confirm]</t>
        </is>
      </c>
      <c r="L7" t="inlineStr">
        <is>
          <t>Adds up to $0 when there is nothing to add. Zero and "nothing recorded yet" look identical on screen — worth a decision.</t>
        </is>
      </c>
      <c r="M7" t="inlineStr">
        <is>
          <t>One figure per category  [derived by rule — confirm]</t>
        </is>
      </c>
      <c r="N7" t="inlineStr">
        <is>
          <t>The window the person chose on screen  [derived by rule — confirm]</t>
        </is>
      </c>
      <c r="O7"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MK-PF-M-007</t>
        </is>
      </c>
      <c r="B8" t="inlineStr">
        <is>
          <t>Performance</t>
        </is>
      </c>
      <c r="C8" t="inlineStr">
        <is>
          <t>NA</t>
        </is>
      </c>
      <c r="D8" t="inlineStr">
        <is>
          <t>All categories</t>
        </is>
      </c>
      <c r="E8" t="inlineStr">
        <is>
          <t>total</t>
        </is>
      </c>
      <c r="F8" t="inlineStr">
        <is>
          <t>PERFORMANCE_TABLE</t>
        </is>
      </c>
      <c r="G8" t="inlineStr">
        <is>
          <t>MK-PF-E-002</t>
        </is>
      </c>
      <c r="H8" t="inlineStr">
        <is>
          <t>per account: ending;  per category: earned = Σ(ending − beginning − net money in);  return = earned ÷ average value held</t>
        </is>
      </c>
      <c r="I8" t="inlineStr">
        <is>
          <t>For each holding: fetch its price series; work out value, cost and gain from its lots; then choose HOW to measure its period return —
• bought BEFORE the period started → the ordinary period return from the price series
• bought DURING the period → return since purchase instead, and the row is marked as shortened, because measuring a full year on something owned for a month would be nonsense
The benchmark is measured over THE SAME window, shortened the same way, so the comparison is like for like. Beat-by is simply one minus the other, and is left blank when either side is missing.</t>
        </is>
      </c>
      <c r="J8" t="inlineStr">
        <is>
          <t>the holdings → positions  [MK-XS-I-004] · prices → priceOf(ticker)  [MK-XS-I-005] · the chosen chip → period  [NOT AN INPUT — a setting or a filter, not data anyone supplies] · today → now  [NOT AN INPUT — a setting or a filter, not data anyone supplies]</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person — or per household when two people share one record  [derived by rule — confirm]</t>
        </is>
      </c>
      <c r="N8" t="inlineStr">
        <is>
          <t>As of today, from the latest figures held  [derived by rule — confirm]</t>
        </is>
      </c>
      <c r="O8" t="inlineStr">
        <is>
          <t>MK-XS-E-023 (BENCHMARK_FOR_KIND) → What should this holding be compared against?
MK-NW-E-023 (HOLDING_COST_BASIS) → What did I pay for this in total?
MK-XS-E-024 (HOLDING_FIRST_BOUGHT) → When did I first buy this?
MK-NW-E-022 (HOLDING_MARKET_VALUE) → What is this holding worth right now?
MK-XS-E-025 (HOLDING_TOTAL_ROI) → How much am I up on this in percentage terms, since I bought it?
MK-XS-E-026 (HOLDING_UNREALISED_GAIN) → How much am I up or down on this?
MK-XS-E-027 (PERIOD_RETURN) → What did this holding do over the chosen period?
MK-XS-E-028 (PERIOD_START_DATE) → Which date does the chosen period start from?
MK-XS-E-029 (PRICE_LATEST) → What is the most recent price we hold for this?
MK-XS-E-030 (RETURN_SINCE_A_DATE) → What did this do between a given date and today?</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MK-PF-M-008</t>
        </is>
      </c>
      <c r="B9" t="inlineStr">
        <is>
          <t>Performance</t>
        </is>
      </c>
      <c r="C9" t="inlineStr">
        <is>
          <t>NA</t>
        </is>
      </c>
      <c r="D9" t="inlineStr">
        <is>
          <t>HONEST COMPARISON</t>
        </is>
      </c>
      <c r="E9" t="inlineStr">
        <is>
          <t>benchPort</t>
        </is>
      </c>
      <c r="F9" t="inlineStr">
        <is>
          <t>BENCHMARK_RETURN_BLENDED</t>
        </is>
      </c>
      <c r="G9" t="inlineStr">
        <is>
          <t>MK-PF-E-003</t>
        </is>
      </c>
      <c r="H9" t="inlineStr">
        <is>
          <t>benchmark return = Σ(weight of each class × that class’s index return over the same window)</t>
        </is>
      </c>
      <c r="I9" t="inlineStr">
        <is>
          <t>The same money-weighted blend, over each holding's own benchmark rather than the holding itself. Blending the benchmarks the same way is what makes "you beat it by" a fair statement rather than a comparison against a single index nobody holds.</t>
        </is>
      </c>
      <c r="J9" t="inlineStr">
        <is>
          <t>each holding's benchmark return → rows[].benchReturn  [NOT AN INPUT — another engine’s answer; see the dependency column] · its value → rows[].marketValue  [NOT AN INPUT — another engine’s answer; see the dependency column]</t>
        </is>
      </c>
      <c r="K9" t="inlineStr">
        <is>
          <t>US dollars · held to the cent · shown as whole dollars  [derived by rule — confirm]</t>
        </is>
      </c>
      <c r="L9" t="inlineStr">
        <is>
          <t>Adds up to $0 when there is nothing to add. Zero and "nothing recorded yet" look identical on screen — worth a decision.</t>
        </is>
      </c>
      <c r="M9" t="inlineStr">
        <is>
          <t>One figure per person — or per household when two people share one record  [derived by rule — confirm]</t>
        </is>
      </c>
      <c r="N9" t="inlineStr">
        <is>
          <t>The window the person chose on screen  [derived by rule — confirm]</t>
        </is>
      </c>
      <c r="O9" t="inlineStr">
        <is>
          <t>None — this engine reads raw inputs only</t>
        </is>
      </c>
      <c r="P9" t="inlineStr"/>
      <c r="Q9" t="inlineStr"/>
      <c r="R9" t="inlineStr">
        <is>
          <t>NOT DETERMINED — no assumption recorded for this figure yet.</t>
        </is>
      </c>
      <c r="S9" t="inlineStr"/>
      <c r="T9" t="inlineStr">
        <is>
          <t>Q33 — Which index should each asset class be compared against, and should the person be able to change it?</t>
        </is>
      </c>
      <c r="U9" t="inlineStr"/>
      <c r="V9" t="inlineStr"/>
      <c r="W9" t="inlineStr">
        <is>
          <t>NOT DETERMINED</t>
        </is>
      </c>
      <c r="X9" t="inlineStr">
        <is>
          <t>VERIFIED 2026-08-22</t>
        </is>
      </c>
    </row>
    <row r="10">
      <c r="A10" t="inlineStr">
        <is>
          <t>MK-PF-M-009</t>
        </is>
      </c>
      <c r="B10" t="inlineStr">
        <is>
          <t>Performance</t>
        </is>
      </c>
      <c r="C10" t="inlineStr">
        <is>
          <t>NA</t>
        </is>
      </c>
      <c r="D10" t="inlineStr">
        <is>
          <t>Return (money-weighted, when the record covers it)</t>
        </is>
      </c>
      <c r="E10" t="inlineStr">
        <is>
          <t>mw.rate</t>
        </is>
      </c>
      <c r="F10" t="inlineStr">
        <is>
          <t>MODIFIED_DIETZ (Calculation Module code/engines/window-return.ts)</t>
        </is>
      </c>
      <c r="G10" t="inlineStr">
        <is>
          <t>MK-PF-E-004</t>
        </is>
      </c>
      <c r="H10" t="inlineStr">
        <is>
          <t>r = (EMV − BMV − F) ÷ (BMV + Σ(Fᵢ × wᵢ)),  wᵢ = (days in window − days before flow i) ÷ days in window</t>
        </is>
      </c>
      <c r="I10" t="inlineStr">
        <is>
          <t>A return that accounts for WHEN money moved in or out: each flow is weighted by how much of the window it was invested for. Refused, with the dollar walk shown instead, when the timing matters too much for one percentage to be honest.</t>
        </is>
      </c>
      <c r="J10" t="inlineStr">
        <is>
          <t>NOT DETERMINED — no input list on record for this engine</t>
        </is>
      </c>
      <c r="K10" t="inlineStr">
        <is>
          <t>Percent · one decimal shown  [derived by rule — confirm]</t>
        </is>
      </c>
      <c r="L10" t="inlineStr">
        <is>
          <t>REFUSES when the timing of money moving in or out drives the percentage more than the investments do, and shows the dollar walk instead. Also refuses when the starting value is zero or negative.</t>
        </is>
      </c>
      <c r="M10" t="inlineStr">
        <is>
          <t>One figure per person — or per household when two people share one record  [derived by rule — confirm]</t>
        </is>
      </c>
      <c r="N10" t="inlineStr">
        <is>
          <t>The window the person chose on screen  [derived by rule — confirm]</t>
        </is>
      </c>
      <c r="O10" t="inlineStr">
        <is>
          <t>NOT DETERMINED</t>
        </is>
      </c>
      <c r="P10" t="inlineStr"/>
      <c r="Q10" t="inlineStr"/>
      <c r="R10" t="inlineStr">
        <is>
          <t>[Founder] When the timing of money moving in or out drives the percentage more than the investments do, the figure is REFUSED and the dollar walk is shown instead.</t>
        </is>
      </c>
      <c r="S10" t="inlineStr"/>
      <c r="T10" t="inlineStr"/>
      <c r="U10" t="inlineStr"/>
      <c r="V10" t="inlineStr"/>
      <c r="W10" t="inlineStr">
        <is>
          <t>NOT DETERMINED</t>
        </is>
      </c>
      <c r="X10" t="inlineStr">
        <is>
          <t>VERIFIED 2026-08-22</t>
        </is>
      </c>
    </row>
    <row r="11">
      <c r="A11" t="inlineStr">
        <is>
          <t>MK-PF-M-010</t>
        </is>
      </c>
      <c r="B11" t="inlineStr">
        <is>
          <t>Performance</t>
        </is>
      </c>
      <c r="C11" t="inlineStr">
        <is>
          <t>/look-back</t>
        </is>
      </c>
      <c r="D11" t="inlineStr">
        <is>
          <t>Left in &lt;fund&gt; it became $X (up/down $Y, Z%)</t>
        </is>
      </c>
      <c r="E11" t="inlineStr">
        <is>
          <t>result.stayed</t>
        </is>
      </c>
      <c r="F11" t="inlineStr">
        <is>
          <t>LOOK_BACK</t>
        </is>
      </c>
      <c r="G11" t="inlineStr">
        <is>
          <t>MK-PF-E-005</t>
        </is>
      </c>
      <c r="H11" t="inlineStr">
        <is>
          <t>stayed = value × (1 + return of what is held);  moved = value × (1 + return of the alternative);  difference = moved − stayed</t>
        </is>
      </c>
      <c r="I11"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1"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1" t="inlineStr">
        <is>
          <t>Percent · one decimal shown  [derived by rule — confirm]</t>
        </is>
      </c>
      <c r="L11" t="inlineStr">
        <is>
          <t>Without enough price history for both sides it declines the comparison rather than compare unequal periods.</t>
        </is>
      </c>
      <c r="M11" t="inlineStr">
        <is>
          <t>One figure per person — or per household when two people share one record  [derived by rule — confirm]</t>
        </is>
      </c>
      <c r="N11" t="inlineStr">
        <is>
          <t>As of today, from the latest figures held  [derived by rule — confirm]</t>
        </is>
      </c>
      <c r="O11" t="inlineStr">
        <is>
          <t>MK-XS-E-031 (PRICE_FACTOR_OVER_WINDOW) → By what multiple did this price move over the last N months?</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MK-PF-M-011</t>
        </is>
      </c>
      <c r="B12" t="inlineStr">
        <is>
          <t>Performance</t>
        </is>
      </c>
      <c r="C12" t="inlineStr">
        <is>
          <t>/look-back</t>
        </is>
      </c>
      <c r="D12" t="inlineStr">
        <is>
          <t>Moved to &lt;fund&gt; it would be $X</t>
        </is>
      </c>
      <c r="E12" t="inlineStr">
        <is>
          <t>result.moved</t>
        </is>
      </c>
      <c r="F12" t="inlineStr">
        <is>
          <t>LOOK_BACK</t>
        </is>
      </c>
      <c r="G12" t="inlineStr">
        <is>
          <t>MK-PF-E-005</t>
        </is>
      </c>
      <c r="H12" t="inlineStr">
        <is>
          <t>stayed = value × (1 + return of what is held);  moved = value × (1 + return of the alternative);  difference = moved − stayed</t>
        </is>
      </c>
      <c r="I12"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2"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2" t="inlineStr">
        <is>
          <t>US dollars · held to the cent · shown as whole dollars  [derived by rule — confirm]</t>
        </is>
      </c>
      <c r="L12" t="inlineStr">
        <is>
          <t>Without enough price history for both sides it declines the comparison rather than compare unequal periods.</t>
        </is>
      </c>
      <c r="M12" t="inlineStr">
        <is>
          <t>One figure per person — or per household when two people share one record  [derived by rule — confirm]</t>
        </is>
      </c>
      <c r="N12" t="inlineStr">
        <is>
          <t>As of today, from the latest figures held  [derived by rule — confirm]</t>
        </is>
      </c>
      <c r="O12" t="inlineStr">
        <is>
          <t>MK-XS-E-031 (PRICE_FACTOR_OVER_WINDOW) → By what multiple did this price move over the last N months?</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MK-PF-M-012</t>
        </is>
      </c>
      <c r="B13" t="inlineStr">
        <is>
          <t>Performance</t>
        </is>
      </c>
      <c r="C13" t="inlineStr">
        <is>
          <t>/look-back</t>
        </is>
      </c>
      <c r="D13" t="inlineStr">
        <is>
          <t>Difference: $X more/less if you had moved</t>
        </is>
      </c>
      <c r="E13" t="inlineStr">
        <is>
          <t>result.difference</t>
        </is>
      </c>
      <c r="F13" t="inlineStr">
        <is>
          <t>LOOK_BACK</t>
        </is>
      </c>
      <c r="G13" t="inlineStr">
        <is>
          <t>MK-PF-E-005</t>
        </is>
      </c>
      <c r="H13" t="inlineStr">
        <is>
          <t>stayed = value × (1 + return of what is held);  moved = value × (1 + return of the alternative);  difference = moved − stayed</t>
        </is>
      </c>
      <c r="I13" t="inlineStr">
        <is>
          <t>Grow the amount by each holding's real price movement over the window, and subtract one from the other. Every figure comes from ACTUAL PAST PRICES.
A move that would have lost money returns a real negative — it never quietly reports zero.
Nothing to compare, or a history too short on either side → nothing at all.
It is explicitly BACKWARD-looking: a fact about what did happen, never a suggestion about what to do next.</t>
        </is>
      </c>
      <c r="J13" t="inlineStr">
        <is>
          <t>the amount → amount  [MK-XS-I-008] · where it sat → fromSeries  [NOT AN INPUT — another engine’s answer; see the dependency column] · where it might have gone → toSeries  [NOT AN INPUT — another engine’s answer; see the dependency column] · how far back → months  [NOT AN INPUT — a setting or a filter, not data anyone supplies]</t>
        </is>
      </c>
      <c r="K13" t="inlineStr">
        <is>
          <t>US dollars · held to the cent · shown as whole dollars  [derived by rule — confirm]</t>
        </is>
      </c>
      <c r="L13" t="inlineStr">
        <is>
          <t>Without enough price history for both sides it declines the comparison rather than compare unequal periods.</t>
        </is>
      </c>
      <c r="M13" t="inlineStr">
        <is>
          <t>One figure per person — or per household when two people share one record  [derived by rule — confirm]</t>
        </is>
      </c>
      <c r="N13" t="inlineStr">
        <is>
          <t>As of today, from the latest figures held  [derived by rule — confirm]</t>
        </is>
      </c>
      <c r="O13" t="inlineStr">
        <is>
          <t>MK-XS-E-031 (PRICE_FACTOR_OVER_WINDOW) → By what multiple did this price move over the last N months?</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c r="B14" t="inlineStr">
        <is>
          <t>Performance</t>
        </is>
      </c>
      <c r="C14" t="inlineStr">
        <is>
          <t>/add-account</t>
        </is>
      </c>
      <c r="D14" t="inlineStr">
        <is>
          <t>—</t>
        </is>
      </c>
      <c r="E14" t="inlineStr">
        <is>
          <t>—</t>
        </is>
      </c>
      <c r="F14" t="inlineStr">
        <is>
          <t>—</t>
        </is>
      </c>
      <c r="G14" t="inlineStr"/>
      <c r="H14" t="inlineStr"/>
      <c r="I14" t="inlineStr"/>
      <c r="J14" t="inlineStr"/>
      <c r="K14" t="inlineStr"/>
      <c r="L14" t="inlineStr"/>
      <c r="M14" t="inlineStr"/>
      <c r="N14" t="inlineStr"/>
      <c r="O14" t="inlineStr"/>
      <c r="P14" t="inlineStr"/>
      <c r="Q14" t="inlineStr"/>
      <c r="R14" t="inlineStr"/>
      <c r="S14" t="inlineStr"/>
      <c r="T14" t="inlineStr"/>
      <c r="U14" t="inlineStr"/>
      <c r="V14" t="inlineStr">
        <is>
          <t>NOT DETERMINED</t>
        </is>
      </c>
      <c r="W14" t="inlineStr">
        <is>
          <t>READ 2026-08-22 — no calculated figure on this screen</t>
        </is>
      </c>
    </row>
    <row r="15">
      <c r="A15" t="inlineStr"/>
      <c r="B15" t="inlineStr">
        <is>
          <t>Performance</t>
        </is>
      </c>
      <c r="C15" t="inlineStr">
        <is>
          <t>/connect</t>
        </is>
      </c>
      <c r="D15" t="inlineStr">
        <is>
          <t>—</t>
        </is>
      </c>
      <c r="E15" t="inlineStr">
        <is>
          <t>—</t>
        </is>
      </c>
      <c r="F15" t="inlineStr">
        <is>
          <t>—</t>
        </is>
      </c>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is>
          <t>NOT DETERMINED</t>
        </is>
      </c>
      <c r="W15" t="inlineStr">
        <is>
          <t>READ 2026-08-22 — no calculated figure on this screen</t>
        </is>
      </c>
    </row>
    <row r="16">
      <c r="A16" t="inlineStr"/>
      <c r="B16" t="inlineStr">
        <is>
          <t>Performance</t>
        </is>
      </c>
      <c r="C16" t="inlineStr">
        <is>
          <t>/import-holdings</t>
        </is>
      </c>
      <c r="D16" t="inlineStr">
        <is>
          <t>—</t>
        </is>
      </c>
      <c r="E16" t="inlineStr">
        <is>
          <t>—</t>
        </is>
      </c>
      <c r="F16" t="inlineStr">
        <is>
          <t>—</t>
        </is>
      </c>
      <c r="G16" t="inlineStr"/>
      <c r="H16" t="inlineStr"/>
      <c r="I16" t="inlineStr"/>
      <c r="J16" t="inlineStr"/>
      <c r="K16" t="inlineStr"/>
      <c r="L16" t="inlineStr"/>
      <c r="M16" t="inlineStr"/>
      <c r="N16" t="inlineStr"/>
      <c r="O16" t="inlineStr"/>
      <c r="P16" t="inlineStr"/>
      <c r="Q16" t="inlineStr"/>
      <c r="R16" t="inlineStr"/>
      <c r="S16" t="inlineStr"/>
      <c r="T16" t="inlineStr"/>
      <c r="U16" t="inlineStr"/>
      <c r="V16" t="inlineStr">
        <is>
          <t>NOT DETERMINED</t>
        </is>
      </c>
      <c r="W16" t="inlineStr">
        <is>
          <t>READ 2026-08-22 — no calculated figure on this screen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43"/>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MK-PL-M-001</t>
        </is>
      </c>
      <c r="B2" t="inlineStr">
        <is>
          <t>Plan</t>
        </is>
      </c>
      <c r="C2" t="inlineStr">
        <is>
          <t>NA</t>
        </is>
      </c>
      <c r="D2" t="inlineStr">
        <is>
          <t>✓ What you have — already in: N accounts, $X counted</t>
        </is>
      </c>
      <c r="E2" t="inlineStr">
        <is>
          <t>door.credit.total</t>
        </is>
      </c>
      <c r="F2" t="inlineStr">
        <is>
          <t>WHAT_THE_PLAN_STILL_NEEDS</t>
        </is>
      </c>
      <c r="G2" t="inlineStr">
        <is>
          <t>MK-PL-E-001</t>
        </is>
      </c>
      <c r="H2" t="inlineStr">
        <is>
          <t>missing = the inputs with no answer;  counted = Σ(balances already in)</t>
        </is>
      </c>
      <c r="I2"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t="inlineStr">
        <is>
          <t>their age → birthYear or age  [MK-XS-I-017] · what they spend → monthlySpending  [MK-XS-I-024] · money that counts toward retirement → NEST_EGG  [NOT AN INPUT — another engine’s answer; see the dependency column]</t>
        </is>
      </c>
      <c r="K2" t="inlineStr">
        <is>
          <t>A count · whole units, except crypto which keeps its fractions  [derived by rule — confirm]</t>
        </is>
      </c>
      <c r="L2" t="inlineStr">
        <is>
          <t>This engine IS the refusal: it names what is missing and what is already counted.</t>
        </is>
      </c>
      <c r="M2" t="inlineStr">
        <is>
          <t>One figure per account  [derived by rule — confirm]</t>
        </is>
      </c>
      <c r="N2" t="inlineStr">
        <is>
          <t>As of today, from the latest figures held  [derived by rule — confirm]</t>
        </is>
      </c>
      <c r="O2" t="inlineStr">
        <is>
          <t>MK-XS-E-002 (NEST_EGG) → What is my retirement pot worth?</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MK-PL-M-002</t>
        </is>
      </c>
      <c r="B3" t="inlineStr">
        <is>
          <t>Plan</t>
        </is>
      </c>
      <c r="C3" t="inlineStr">
        <is>
          <t>NA</t>
        </is>
      </c>
      <c r="D3" t="inlineStr">
        <is>
          <t>Your odds — can't work them out yet. Add &lt;what&gt; below.</t>
        </is>
      </c>
      <c r="E3" t="inlineStr">
        <is>
          <t>door.missing</t>
        </is>
      </c>
      <c r="F3" t="inlineStr">
        <is>
          <t>WHAT_THE_PLAN_STILL_NEEDS</t>
        </is>
      </c>
      <c r="G3" t="inlineStr">
        <is>
          <t>MK-PL-E-001</t>
        </is>
      </c>
      <c r="H3" t="inlineStr">
        <is>
          <t>missing = the inputs with no answer;  counted = Σ(balances already in)</t>
        </is>
      </c>
      <c r="I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t="inlineStr">
        <is>
          <t>their age → birthYear or age  [MK-XS-I-017] · what they spend → monthlySpending  [MK-XS-I-024] · money that counts toward retirement → NEST_EGG  [NOT AN INPUT — another engine’s answer; see the dependency column]</t>
        </is>
      </c>
      <c r="K3" t="inlineStr">
        <is>
          <t>Percent · rounded to the nearest 5 · a real 100 or 0 shown literally  [derived by rule — confirm]</t>
        </is>
      </c>
      <c r="L3" t="inlineStr">
        <is>
          <t>This engine IS the refusal: it names what is missing and what is already counted.</t>
        </is>
      </c>
      <c r="M3" t="inlineStr">
        <is>
          <t>One figure per person — or per household when two people share one record  [derived by rule — confirm]</t>
        </is>
      </c>
      <c r="N3" t="inlineStr">
        <is>
          <t>As of today, from the latest figures held  [derived by rule — confirm]</t>
        </is>
      </c>
      <c r="O3" t="inlineStr">
        <is>
          <t>MK-XS-E-002 (NEST_EGG) → What is my retirement pot worth?</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MK-PL-M-003</t>
        </is>
      </c>
      <c r="B4" t="inlineStr">
        <is>
          <t>Plan</t>
        </is>
      </c>
      <c r="C4" t="inlineStr">
        <is>
          <t>NA</t>
        </is>
      </c>
      <c r="D4" t="inlineStr">
        <is>
          <t>YOUR RETIREMENT PAYCHECK — each guaranteed source</t>
        </is>
      </c>
      <c r="E4" t="inlineStr">
        <is>
          <t>g.amount</t>
        </is>
      </c>
      <c r="F4" t="inlineStr">
        <is>
          <t>NOT IN OLD MASTER — retirementPaycheckYear, src/domain/paycheck</t>
        </is>
      </c>
      <c r="G4" t="inlineStr">
        <is>
          <t>MK-PL-E-002</t>
        </is>
      </c>
      <c r="H4" t="inlineStr">
        <is>
          <t>for each month: guaranteed total = Σ(streams live that month);  paycheck = guaranteed total + safe draw</t>
        </is>
      </c>
      <c r="I4" t="inlineStr">
        <is>
          <t>Builds the retirement paycheck month by month: what is guaranteed that month, plus what can safely be drawn from savings.</t>
        </is>
      </c>
      <c r="J4" t="inlineStr">
        <is>
          <t>NOT DETERMINED — no input list on record for this engine</t>
        </is>
      </c>
      <c r="K4" t="inlineStr">
        <is>
          <t>US dollars · held to the cent · shown as whole dollars  [derived by rule — confirm]</t>
        </is>
      </c>
      <c r="L4" t="inlineStr">
        <is>
          <t>Adds up to $0 when there is nothing to add. Zero and "nothing recorded yet" look identical on screen — worth a decision.</t>
        </is>
      </c>
      <c r="M4" t="inlineStr">
        <is>
          <t>One figure per person — or per household when two people share one record  [derived by rule — confirm]</t>
        </is>
      </c>
      <c r="N4" t="inlineStr">
        <is>
          <t>From today to the retirement age in the plan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MK-PL-M-004</t>
        </is>
      </c>
      <c r="B5" t="inlineStr">
        <is>
          <t>Plan</t>
        </is>
      </c>
      <c r="C5" t="inlineStr">
        <is>
          <t>NA</t>
        </is>
      </c>
      <c r="D5">
        <f> Guaranteed</f>
        <v/>
      </c>
      <c r="E5" t="inlineStr">
        <is>
          <t>payMonth.guaranteedTotal</t>
        </is>
      </c>
      <c r="F5" t="inlineStr">
        <is>
          <t>NOT IN OLD MASTER — retirementPaycheckYear, src/domain/paycheck</t>
        </is>
      </c>
      <c r="G5" t="inlineStr">
        <is>
          <t>MK-PL-E-002</t>
        </is>
      </c>
      <c r="H5" t="inlineStr">
        <is>
          <t>for each month: guaranteed total = Σ(streams live that month);  paycheck = guaranteed total + safe draw</t>
        </is>
      </c>
      <c r="I5" t="inlineStr">
        <is>
          <t>Builds the retirement paycheck month by month: what is guaranteed that month, plus what can safely be drawn from savings.</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MK-PL-M-005</t>
        </is>
      </c>
      <c r="B6" t="inlineStr">
        <is>
          <t>Plan</t>
        </is>
      </c>
      <c r="C6" t="inlineStr">
        <is>
          <t>NA</t>
        </is>
      </c>
      <c r="D6" t="inlineStr">
        <is>
          <t>+ Draw from savings</t>
        </is>
      </c>
      <c r="E6" t="inlineStr">
        <is>
          <t>payMonth.safeDraw</t>
        </is>
      </c>
      <c r="F6" t="inlineStr">
        <is>
          <t>NOT IN OLD MASTER — retirementPaycheckYear, src/domain/paycheck</t>
        </is>
      </c>
      <c r="G6" t="inlineStr">
        <is>
          <t>MK-PL-E-002</t>
        </is>
      </c>
      <c r="H6" t="inlineStr">
        <is>
          <t>for each month: guaranteed total = Σ(streams live that month);  paycheck = guaranteed total + safe draw</t>
        </is>
      </c>
      <c r="I6" t="inlineStr">
        <is>
          <t>Builds the retirement paycheck month by month: what is guaranteed that month, plus what can safely be drawn from savings.</t>
        </is>
      </c>
      <c r="J6" t="inlineStr">
        <is>
          <t>NOT DETERMINED — no input list on record for this engine</t>
        </is>
      </c>
      <c r="K6" t="inlineStr">
        <is>
          <t>US dollars · held to the cent · shown as whole dollars  [derived by rule — confirm]</t>
        </is>
      </c>
      <c r="L6" t="inlineStr">
        <is>
          <t>Adds up to $0 when there is nothing to add. Zero and "nothing recorded yet" look identical on screen — worth a decision.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MK-PL-M-006</t>
        </is>
      </c>
      <c r="B7" t="inlineStr">
        <is>
          <t>Plan</t>
        </is>
      </c>
      <c r="C7" t="inlineStr">
        <is>
          <t>NA</t>
        </is>
      </c>
      <c r="D7" t="inlineStr">
        <is>
          <t>Your paycheck $X/mo</t>
        </is>
      </c>
      <c r="E7" t="inlineStr">
        <is>
          <t>paycheckTotal</t>
        </is>
      </c>
      <c r="F7" t="inlineStr">
        <is>
          <t>worked out on the screen: guaranteed + draw from savings</t>
        </is>
      </c>
      <c r="G7" t="inlineStr"/>
      <c r="H7" t="inlineStr">
        <is>
          <t>paycheck = guaranteed income + draw from savings</t>
        </is>
      </c>
      <c r="I7" t="inlineStr">
        <is>
          <t>Worked out on the screen itself, with no engine behind it — a place a second definition can appear.</t>
        </is>
      </c>
      <c r="J7" t="inlineStr">
        <is>
          <t>NOT DETERMINED — no input list on record for this engine</t>
        </is>
      </c>
      <c r="K7" t="inlineStr">
        <is>
          <t>US dollars · held to the cent · shown as whole dollars  [derived by rule — confirm]</t>
        </is>
      </c>
      <c r="L7" t="inlineStr">
        <is>
          <t>Inherits the refusal of the figures it is built from: if either side is missing, this line is not shown.</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MK-PL-M-007</t>
        </is>
      </c>
      <c r="B8" t="inlineStr">
        <is>
          <t>Plan</t>
        </is>
      </c>
      <c r="C8" t="inlineStr">
        <is>
          <t>NA</t>
        </is>
      </c>
      <c r="D8" t="inlineStr">
        <is>
          <t>SAVED SCENARIOS (n)</t>
        </is>
      </c>
      <c r="E8" t="inlineStr">
        <is>
          <t>scenarios.length</t>
        </is>
      </c>
      <c r="F8" t="inlineStr">
        <is>
          <t>NOT IN OLD MASTER — saved scenarios, src/domain/scenarios</t>
        </is>
      </c>
      <c r="G8" t="inlineStr">
        <is>
          <t>MK-PL-E-003</t>
        </is>
      </c>
      <c r="H8" t="inlineStr">
        <is>
          <t>count of scenarios saved</t>
        </is>
      </c>
      <c r="I8" t="inlineStr">
        <is>
          <t>How many what-if scenarios have been saved.</t>
        </is>
      </c>
      <c r="J8" t="inlineStr">
        <is>
          <t>NOT DETERMINED — no input list on record for this engine</t>
        </is>
      </c>
      <c r="K8" t="inlineStr">
        <is>
          <t>US dollars · held to the cent · shown as whole dollars  [derived by rule — confirm]</t>
        </is>
      </c>
      <c r="L8" t="inlineStr">
        <is>
          <t>NOT DETERMINED — this engine has not been read for its refusal yet.</t>
        </is>
      </c>
      <c r="M8" t="inlineStr">
        <is>
          <t>One figure per person — or per household when two people share one record  [derived by rule — confirm]</t>
        </is>
      </c>
      <c r="N8" t="inlineStr">
        <is>
          <t>As of today, from the latest figures held  [derived by rule — confirm]</t>
        </is>
      </c>
      <c r="O8" t="inlineStr">
        <is>
          <t>NOT DETERMINED</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MK-PL-M-008</t>
        </is>
      </c>
      <c r="B9" t="inlineStr">
        <is>
          <t>Plan</t>
        </is>
      </c>
      <c r="C9" t="inlineStr">
        <is>
          <t>/will-it-last</t>
        </is>
      </c>
      <c r="D9" t="inlineStr">
        <is>
          <t>What you have (nest egg)</t>
        </is>
      </c>
      <c r="E9" t="inlineStr">
        <is>
          <t>inp.start_balance</t>
        </is>
      </c>
      <c r="F9" t="inlineStr">
        <is>
          <t>WILL_IT_LAST_INPUTS</t>
        </is>
      </c>
      <c r="G9" t="inlineStr">
        <is>
          <t>MK-XS-E-006</t>
        </is>
      </c>
      <c r="H9" t="inlineStr">
        <is>
          <t>the inputs one plan is built from: what is held, what will be spent, what is guaranteed, and what is still being saved</t>
        </is>
      </c>
      <c r="I9"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9"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9" t="inlineStr">
        <is>
          <t>Percent · rounded to the nearest 5 · a real 100 or 0 shown literally  [derived by rule — confirm]</t>
        </is>
      </c>
      <c r="L9" t="inlineStr">
        <is>
          <t>NOT DETERMINED — this engine has not been read for its refusal yet.</t>
        </is>
      </c>
      <c r="M9" t="inlineStr">
        <is>
          <t>One figure per person — or per household when two people share one record  [derived by rule — confirm]</t>
        </is>
      </c>
      <c r="N9" t="inlineStr">
        <is>
          <t>From today to the retirement age in the plan  [derived by rule — confirm]</t>
        </is>
      </c>
      <c r="O9"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MK-PL-M-009</t>
        </is>
      </c>
      <c r="B10" t="inlineStr">
        <is>
          <t>Plan</t>
        </is>
      </c>
      <c r="C10" t="inlineStr">
        <is>
          <t>/will-it-last</t>
        </is>
      </c>
      <c r="D10" t="inlineStr">
        <is>
          <t>Monthly spending in retirement</t>
        </is>
      </c>
      <c r="E10" t="inlineStr">
        <is>
          <t>inp.retire_monthly_spend_today</t>
        </is>
      </c>
      <c r="F10" t="inlineStr">
        <is>
          <t>RETIREMENT_SPENDING</t>
        </is>
      </c>
      <c r="G10" t="inlineStr">
        <is>
          <t>MK-XS-E-004</t>
        </is>
      </c>
      <c r="H10" t="inlineStr">
        <is>
          <t>spending in retirement a month = what is spent today × the share expected to continue</t>
        </is>
      </c>
      <c r="I10" t="inlineStr">
        <is>
          <t>What the person said they expect to spend, adjusted for where they plan to live. Stated in TODAY'S dollars — the simulation inflates it to each future year, so inflating it here as well would count inflation twice.</t>
        </is>
      </c>
      <c r="J10" t="inlineStr">
        <is>
          <t>the answer → the retirement-spending question  [MK-XS-I-024] · where they will live → the location answer  [MK-XS-I-045]</t>
        </is>
      </c>
      <c r="K10" t="inlineStr">
        <is>
          <t>US dollars · held to the cent · shown as whole dollars  [derived by rule — confirm]</t>
        </is>
      </c>
      <c r="L10" t="inlineStr">
        <is>
          <t>NOT DETERMINED — this engine has not been read for its refusal yet.</t>
        </is>
      </c>
      <c r="M10" t="inlineStr">
        <is>
          <t>One figure per month  [derived by rule — confirm]</t>
        </is>
      </c>
      <c r="N10" t="inlineStr">
        <is>
          <t>From today to the retirement age in the plan  [derived by rule — confirm]</t>
        </is>
      </c>
      <c r="O10" t="inlineStr">
        <is>
          <t>MK-XS-E-045 (COST_OF_LIVING) → How much more or less does life cost where they plan to live?
MK-XS-E-020 (READ_A_NUMBER) → What number did the person actually type?</t>
        </is>
      </c>
      <c r="P10" t="inlineStr"/>
      <c r="Q10" t="inlineStr"/>
      <c r="R10" t="inlineStr">
        <is>
          <t>[The person] The retirement age in their plan.</t>
        </is>
      </c>
      <c r="S10" t="inlineStr"/>
      <c r="T10" t="inlineStr"/>
      <c r="U10" t="inlineStr"/>
      <c r="V10" t="inlineStr"/>
      <c r="W10" t="inlineStr">
        <is>
          <t>NOT DETERMINED</t>
        </is>
      </c>
      <c r="X10" t="inlineStr">
        <is>
          <t>VERIFIED 2026-08-22</t>
        </is>
      </c>
    </row>
    <row r="11">
      <c r="A11" t="inlineStr">
        <is>
          <t>MK-PL-M-010</t>
        </is>
      </c>
      <c r="B11" t="inlineStr">
        <is>
          <t>Plan</t>
        </is>
      </c>
      <c r="C11" t="inlineStr">
        <is>
          <t>/will-it-last</t>
        </is>
      </c>
      <c r="D11" t="inlineStr">
        <is>
          <t>Guaranteed income — $X/mo from age Y</t>
        </is>
      </c>
      <c r="E11" t="inlineStr">
        <is>
          <t>inp.guaranteed_monthly_income</t>
        </is>
      </c>
      <c r="F11" t="inlineStr">
        <is>
          <t>GUARANTEED_STREAMS (engines: B1 rebuild)</t>
        </is>
      </c>
      <c r="G11" t="inlineStr">
        <is>
          <t>MK-PL-E-004</t>
        </is>
      </c>
      <c r="H11" t="inlineStr">
        <is>
          <t>each stream grows on its own rule: Social Security rises with inflation, a fixed pension does not</t>
        </is>
      </c>
      <c r="I11" t="inlineStr">
        <is>
          <t>Each guaranteed stream grows on its own rule: Social Security rises with inflation, a fixed pension stays flat. They are never grown together.</t>
        </is>
      </c>
      <c r="J11" t="inlineStr">
        <is>
          <t>NOT DETERMINED — no input list on record for this engine</t>
        </is>
      </c>
      <c r="K11" t="inlineStr">
        <is>
          <t>Age in whole years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NOT DETERMINED</t>
        </is>
      </c>
      <c r="P11" t="inlineStr"/>
      <c r="Q11" t="inlineStr"/>
      <c r="R11" t="inlineStr">
        <is>
          <t>[Founder] Each stream grows on its own rule: Social Security rises with inflation, a fixed pension stays flat. They are never inflated together (fix B1).
[Built in] Inflation comes from a published feed, with a fallback figure when the feed is silent.</t>
        </is>
      </c>
      <c r="S11" t="inlineStr"/>
      <c r="T11" t="inlineStr"/>
      <c r="U11" t="inlineStr"/>
      <c r="V11" t="inlineStr"/>
      <c r="W11" t="inlineStr">
        <is>
          <t>NOT DETERMINED</t>
        </is>
      </c>
      <c r="X11" t="inlineStr">
        <is>
          <t>VERIFIED 2026-08-22</t>
        </is>
      </c>
    </row>
    <row r="12">
      <c r="A12" t="inlineStr">
        <is>
          <t>MK-PL-M-011</t>
        </is>
      </c>
      <c r="B12" t="inlineStr">
        <is>
          <t>Plan</t>
        </is>
      </c>
      <c r="C12" t="inlineStr">
        <is>
          <t>/will-it-last</t>
        </is>
      </c>
      <c r="D12" t="inlineStr">
        <is>
          <t>Monthly saving until then</t>
        </is>
      </c>
      <c r="E12" t="inlineStr">
        <is>
          <t>inp.annual_contrib</t>
        </is>
      </c>
      <c r="F12" t="inlineStr">
        <is>
          <t>WILL_IT_LAST_INPUTS</t>
        </is>
      </c>
      <c r="G12" t="inlineStr">
        <is>
          <t>MK-XS-E-006</t>
        </is>
      </c>
      <c r="H12" t="inlineStr">
        <is>
          <t>the inputs one plan is built from: what is held, what will be spent, what is guaranteed, and what is still being saved</t>
        </is>
      </c>
      <c r="I12"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12"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12" t="inlineStr">
        <is>
          <t>Percent · rounded to the nearest 5 · a real 100 or 0 shown literally  [derived by rule — confirm]</t>
        </is>
      </c>
      <c r="L12" t="inlineStr">
        <is>
          <t>NOT DETERMINED — this engine has not been read for its refusal yet.</t>
        </is>
      </c>
      <c r="M12" t="inlineStr">
        <is>
          <t>One figure per month  [derived by rule — confirm]</t>
        </is>
      </c>
      <c r="N12" t="inlineStr">
        <is>
          <t>As of today, from the latest figures held  [derived by rule — confirm]</t>
        </is>
      </c>
      <c r="O12"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12" t="inlineStr"/>
      <c r="Q12" t="inlineStr"/>
      <c r="R12" t="inlineStr">
        <is>
          <t>NOT DETERMINED — no assumption recorded for this figure yet.</t>
        </is>
      </c>
      <c r="S12" t="inlineStr">
        <is>
          <t>THE SURVIVING IDENTIFIER for this figure. Folded in: MK-PL-M-029. What is being saved each month towards retirement — "Monthly saving until then" and "Retirement saving $X/mo now".</t>
        </is>
      </c>
      <c r="T12" t="inlineStr"/>
      <c r="U12" t="inlineStr"/>
      <c r="V12" t="inlineStr"/>
      <c r="W12" t="inlineStr">
        <is>
          <t>NOT DETERMINED</t>
        </is>
      </c>
      <c r="X12" t="inlineStr">
        <is>
          <t>VERIFIED 2026-08-22</t>
        </is>
      </c>
    </row>
    <row r="13">
      <c r="A13" t="inlineStr">
        <is>
          <t>MK-PL-M-012</t>
        </is>
      </c>
      <c r="B13" t="inlineStr">
        <is>
          <t>Plan</t>
        </is>
      </c>
      <c r="C13" t="inlineStr">
        <is>
          <t>/required-withdrawals</t>
        </is>
      </c>
      <c r="D13" t="inlineStr">
        <is>
          <t>Yours starts in &lt;year&gt; (age N)</t>
        </is>
      </c>
      <c r="E13" t="inlineStr">
        <is>
          <t>rmdStartAgeFor(age)</t>
        </is>
      </c>
      <c r="F13" t="inlineStr">
        <is>
          <t>RMD_START_AGE (Calculation Module code/engines/rmd.ts)</t>
        </is>
      </c>
      <c r="G13" t="inlineStr">
        <is>
          <t>MK-PL-E-005</t>
        </is>
      </c>
      <c r="H13" t="inlineStr">
        <is>
          <t>start age = 73 for those born 1951–1959, 75 for those born 1960 or later;  Roth 401(k) is exempt</t>
        </is>
      </c>
      <c r="I13" t="inlineStr">
        <is>
          <t>The age required withdrawals begin, from one dated table: 73 for those born 1951 to 1959, 75 for those born in 1960 or later. A Roth 401(k) is exempt.</t>
        </is>
      </c>
      <c r="J13" t="inlineStr">
        <is>
          <t>NOT DETERMINED — no input list on record for this engine</t>
        </is>
      </c>
      <c r="K13" t="inlineStr">
        <is>
          <t>Age in whole years  [derived by rule — confirm]</t>
        </is>
      </c>
      <c r="L13" t="inlineStr">
        <is>
          <t>NOT DETERMINED — this engine has not been read for its refusal yet.</t>
        </is>
      </c>
      <c r="M13" t="inlineStr">
        <is>
          <t>One figure per person — or per household when two people share one record  [derived by rule — confirm]</t>
        </is>
      </c>
      <c r="N13" t="inlineStr">
        <is>
          <t>This calendar year, to today  [derived by rule — confirm]</t>
        </is>
      </c>
      <c r="O13" t="inlineStr">
        <is>
          <t>NOT DETERMINED</t>
        </is>
      </c>
      <c r="P13" t="inlineStr"/>
      <c r="Q13" t="inlineStr"/>
      <c r="R13" t="inlineStr">
        <is>
          <t>[Founder] The same one dated table, after both earlier copies were deleted.</t>
        </is>
      </c>
      <c r="S13" t="inlineStr"/>
      <c r="T13" t="inlineStr"/>
      <c r="U13" t="inlineStr"/>
      <c r="V13" t="inlineStr"/>
      <c r="W13" t="inlineStr">
        <is>
          <t>NOT DETERMINED</t>
        </is>
      </c>
      <c r="X13" t="inlineStr">
        <is>
          <t>VERIFIED 2026-08-22</t>
        </is>
      </c>
    </row>
    <row r="14">
      <c r="A14" t="inlineStr">
        <is>
          <t>MK-PL-M-013</t>
        </is>
      </c>
      <c r="B14" t="inlineStr">
        <is>
          <t>Plan</t>
        </is>
      </c>
      <c r="C14" t="inlineStr">
        <is>
          <t>/required-withdrawals</t>
        </is>
      </c>
      <c r="D14" t="inlineStr">
        <is>
          <t>Required $X</t>
        </is>
      </c>
      <c r="E14" t="inlineStr">
        <is>
          <t>required</t>
        </is>
      </c>
      <c r="F14" t="inlineStr">
        <is>
          <t>REQUIRED_WITHDRAWAL  [NAME ASSIGNED HERE — no engine row exists for it yet]</t>
        </is>
      </c>
      <c r="G14" t="inlineStr">
        <is>
          <t>MK-PL-E-006</t>
        </is>
      </c>
      <c r="H14" t="inlineStr">
        <is>
          <t>required = balance on 31 December last year ÷ the life-expectancy factor for this age</t>
        </is>
      </c>
      <c r="I14" t="inlineStr">
        <is>
          <t>The amount the law requires to be taken out this year: last 31 December's balance divided by the life-expectancy factor for the person's age.</t>
        </is>
      </c>
      <c r="J14" t="inlineStr">
        <is>
          <t>NOT DETERMINED — no input list on record for this engine</t>
        </is>
      </c>
      <c r="K14" t="inlineStr">
        <is>
          <t>US dollars · held to the cent · shown as whole dollars  [derived by rule — confirm]</t>
        </is>
      </c>
      <c r="L14" t="inlineStr">
        <is>
          <t>Nothing before the start age for that birth year. A Roth 401(k) is exempt and says so.</t>
        </is>
      </c>
      <c r="M14" t="inlineStr">
        <is>
          <t>One figure per person — or per household when two people share one record  [derived by rule — confirm]</t>
        </is>
      </c>
      <c r="N14" t="inlineStr">
        <is>
          <t>As of today, from the latest figures held  [derived by rule — confirm]</t>
        </is>
      </c>
      <c r="O14" t="inlineStr">
        <is>
          <t>NOT DETERMINED</t>
        </is>
      </c>
      <c r="P14" t="inlineStr"/>
      <c r="Q14" t="inlineStr"/>
      <c r="R14" t="inlineStr">
        <is>
          <t>[Founder] One dated table. Start age is 73 for those born 1951–1959 and 75 for those born 1960 or later; a Roth 401(k) is exempt (fix B4).</t>
        </is>
      </c>
      <c r="S14" t="inlineStr"/>
      <c r="T14" t="inlineStr">
        <is>
          <t>Q31 — Required withdrawals are estimated from balances we hold. When an institution states its own required figure, does theirs win?</t>
        </is>
      </c>
      <c r="U14" t="inlineStr"/>
      <c r="V14" t="inlineStr"/>
      <c r="W14" t="inlineStr">
        <is>
          <t>NOT DETERMINED</t>
        </is>
      </c>
      <c r="X14" t="inlineStr">
        <is>
          <t>VERIFIED 2026-08-22</t>
        </is>
      </c>
    </row>
    <row r="15">
      <c r="A15" t="inlineStr">
        <is>
          <t>MK-PL-M-014</t>
        </is>
      </c>
      <c r="B15" t="inlineStr">
        <is>
          <t>Plan</t>
        </is>
      </c>
      <c r="C15" t="inlineStr">
        <is>
          <t>/required-withdrawals</t>
        </is>
      </c>
      <c r="D15" t="inlineStr">
        <is>
          <t>Taken so far $X · still to take</t>
        </is>
      </c>
      <c r="E15" t="inlineStr">
        <is>
          <t>taken / still</t>
        </is>
      </c>
      <c r="F15" t="inlineStr">
        <is>
          <t>worked out on the screen: required − taken so far</t>
        </is>
      </c>
      <c r="G15" t="inlineStr"/>
      <c r="H15" t="inlineStr">
        <is>
          <t>still to take = required this year − taken so far</t>
        </is>
      </c>
      <c r="I15" t="inlineStr">
        <is>
          <t>Worked out on the screen itself, with no engine behind it — a place a second definition can appear.</t>
        </is>
      </c>
      <c r="J15" t="inlineStr">
        <is>
          <t>NOT DETERMINED — no input list on record for this engine</t>
        </is>
      </c>
      <c r="K15" t="inlineStr">
        <is>
          <t>US dollars · held to the cent · shown as whole dollars  [derived by rule — confirm]</t>
        </is>
      </c>
      <c r="L15" t="inlineStr">
        <is>
          <t>Inherits the refusal of the figures it is built from: if either side is missing, this line is not shown.</t>
        </is>
      </c>
      <c r="M15" t="inlineStr">
        <is>
          <t>One figure per person — or per household when two people share one record  [derived by rule — confirm]</t>
        </is>
      </c>
      <c r="N15" t="inlineStr">
        <is>
          <t>As of today, from the latest figures held  [derived by rule — confirm]</t>
        </is>
      </c>
      <c r="O15" t="inlineStr">
        <is>
          <t>NOT DETERMINED</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MK-PL-M-015</t>
        </is>
      </c>
      <c r="B16" t="inlineStr">
        <is>
          <t>Plan</t>
        </is>
      </c>
      <c r="C16" t="inlineStr">
        <is>
          <t>/required-withdrawals</t>
        </is>
      </c>
      <c r="D16" t="inlineStr">
        <is>
          <t>YEAR BY YEAR (ESTIMATES) — each year and amount</t>
        </is>
      </c>
      <c r="E16" t="inlineStr">
        <is>
          <t>r.amount</t>
        </is>
      </c>
      <c r="F16" t="inlineStr">
        <is>
          <t>REQUIRED_WITHDRAWAL  [NAME ASSIGNED HERE — no engine row exists for it yet]</t>
        </is>
      </c>
      <c r="G16" t="inlineStr">
        <is>
          <t>MK-PL-E-006</t>
        </is>
      </c>
      <c r="H16" t="inlineStr">
        <is>
          <t>required = balance on 31 December last year ÷ the life-expectancy factor for this age</t>
        </is>
      </c>
      <c r="I16" t="inlineStr">
        <is>
          <t>The amount the law requires to be taken out this year: last 31 December's balance divided by the life-expectancy factor for the person's age.</t>
        </is>
      </c>
      <c r="J16" t="inlineStr">
        <is>
          <t>NOT DETERMINED — no input list on record for this engine</t>
        </is>
      </c>
      <c r="K16" t="inlineStr">
        <is>
          <t>US dollars · held to the cent · shown as whole dollars  [derived by rule — confirm]</t>
        </is>
      </c>
      <c r="L16" t="inlineStr">
        <is>
          <t>Nothing before the start age for that birth year. A Roth 401(k) is exempt and says so.</t>
        </is>
      </c>
      <c r="M16" t="inlineStr">
        <is>
          <t>One figure per person — or per household when two people share one record  [derived by rule — confirm]</t>
        </is>
      </c>
      <c r="N16" t="inlineStr">
        <is>
          <t>This calendar year, to today  [derived by rule — confirm]</t>
        </is>
      </c>
      <c r="O16" t="inlineStr">
        <is>
          <t>NOT DETERMINED</t>
        </is>
      </c>
      <c r="P16" t="inlineStr"/>
      <c r="Q16" t="inlineStr"/>
      <c r="R16" t="inlineStr">
        <is>
          <t>[Founder] One dated table. Start age is 73 for those born 1951–1959 and 75 for those born 1960 or later; a Roth 401(k) is exempt (fix B4).</t>
        </is>
      </c>
      <c r="S16" t="inlineStr"/>
      <c r="T16" t="inlineStr"/>
      <c r="U16" t="inlineStr"/>
      <c r="V16" t="inlineStr"/>
      <c r="W16" t="inlineStr">
        <is>
          <t>NOT DETERMINED</t>
        </is>
      </c>
      <c r="X16" t="inlineStr">
        <is>
          <t>VERIFIED 2026-08-22</t>
        </is>
      </c>
    </row>
    <row r="17">
      <c r="A17" t="inlineStr">
        <is>
          <t>MK-PL-M-016</t>
        </is>
      </c>
      <c r="B17" t="inlineStr">
        <is>
          <t>Plan</t>
        </is>
      </c>
      <c r="C17" t="inlineStr">
        <is>
          <t>/required-withdrawals</t>
        </is>
      </c>
      <c r="D17" t="inlineStr">
        <is>
          <t>BASED ON THESE ACCOUNTS — each balance</t>
        </is>
      </c>
      <c r="E17" t="inlineStr">
        <is>
          <t>a.balance</t>
        </is>
      </c>
      <c r="F17" t="inlineStr">
        <is>
          <t>HAND_VALUE_AGE</t>
        </is>
      </c>
      <c r="G17" t="inlineStr">
        <is>
          <t>MK-NW-E-011</t>
        </is>
      </c>
      <c r="H17" t="inlineStr">
        <is>
          <t>value = the balance last recorded;  age = today − date it was recorded</t>
        </is>
      </c>
      <c r="I17" t="inlineStr">
        <is>
          <t>Months between the date the value was set and today. Six months or more → stale.
A LIVE-PRICED account returns nothing: its value comes from today's prices, so staleness is not a question that applies to it. A value with no date recorded also returns nothing rather than being assumed fresh.</t>
        </is>
      </c>
      <c r="J17" t="inlineStr">
        <is>
          <t>the account → a  [MK-XS-I-001] · when the value was set → value_as_of  [MK-XS-I-033] · today → now  [NOT AN INPUT — a setting or a filter, not data anyone supplies]</t>
        </is>
      </c>
      <c r="K17" t="inlineStr">
        <is>
          <t>A count · whole units, except crypto which keeps its fractions  [derived by rule — confirm]</t>
        </is>
      </c>
      <c r="L17" t="inlineStr">
        <is>
          <t>Always answers, but carries the age of the figure and warns once it is stale.</t>
        </is>
      </c>
      <c r="M17" t="inlineStr">
        <is>
          <t>One figure per account  [derived by rule — confirm]</t>
        </is>
      </c>
      <c r="N17" t="inlineStr">
        <is>
          <t>As of today, from the latest figures held  [derived by rule — confirm]</t>
        </is>
      </c>
      <c r="O17" t="inlineStr">
        <is>
          <t>None — this engine reads raw inputs only</t>
        </is>
      </c>
      <c r="P17" t="inlineStr">
        <is>
          <t>DECIDES whether a stated value is fresh enough to show without a warning.</t>
        </is>
      </c>
      <c r="Q17" t="inlineStr"/>
      <c r="R17" t="inlineStr">
        <is>
          <t>NOT DETERMINED — no assumption recorded for this figure yet.</t>
        </is>
      </c>
      <c r="S17" t="inlineStr">
        <is>
          <t>THE SAME FIGURE AS MK-NW-M-018 — An account's value. The balance listed under required withdrawals is the same figure as Market value on account detail.</t>
        </is>
      </c>
      <c r="T17" t="inlineStr"/>
      <c r="U17" t="inlineStr"/>
      <c r="V17" t="inlineStr"/>
      <c r="W17" t="inlineStr">
        <is>
          <t>NOT DETERMINED</t>
        </is>
      </c>
      <c r="X17" t="inlineStr">
        <is>
          <t>VERIFIED 2026-08-22</t>
        </is>
      </c>
    </row>
    <row r="18">
      <c r="A18" t="inlineStr">
        <is>
          <t>MK-PL-M-017</t>
        </is>
      </c>
      <c r="B18" t="inlineStr">
        <is>
          <t>Plan</t>
        </is>
      </c>
      <c r="C18" t="inlineStr">
        <is>
          <t>/ss-timing</t>
        </is>
      </c>
      <c r="D18" t="inlineStr">
        <is>
          <t>Monthly check (today's dollars)</t>
        </is>
      </c>
      <c r="E18" t="inlineStr">
        <is>
          <t>A.guaranteedMonthly</t>
        </is>
      </c>
      <c r="F18" t="inlineStr">
        <is>
          <t>SS_BENEFIT_AT_AGE</t>
        </is>
      </c>
      <c r="G18" t="inlineStr">
        <is>
          <t>MK-XS-E-040</t>
        </is>
      </c>
      <c r="H18" t="inlineStr">
        <is>
          <t>benefit at claim age = the statement amount at full retirement age × the claim factor for that age</t>
        </is>
      </c>
      <c r="I18" t="inlineStr">
        <is>
          <t>Statement monthly amount × the claim factor for (claim age, birth year), rounded to whole dollars.</t>
        </is>
      </c>
      <c r="J18" t="inlineStr">
        <is>
          <t>statement amount at their full retirement age (typed from their ssa.gov statement) → statement monthly  [MK-XS-I-008, MK-XS-I-018, MK-XS-I-020] · claim age (the slider) → the factor's input  [MK-XS-I-021] · birth year (setup) → the anchor  [MK-XS-I-017]</t>
        </is>
      </c>
      <c r="K18" t="inlineStr">
        <is>
          <t>US dollars · held to the cent · shown as whole dollars  [derived by rule — confirm]</t>
        </is>
      </c>
      <c r="L18" t="inlineStr">
        <is>
          <t>Without a statement amount a worked example is shown, labelled as an example throughout.</t>
        </is>
      </c>
      <c r="M18" t="inlineStr">
        <is>
          <t>One figure per month  [derived by rule — confirm]</t>
        </is>
      </c>
      <c r="N18" t="inlineStr">
        <is>
          <t>As of today, from the latest figures held  [derived by rule — confirm]</t>
        </is>
      </c>
      <c r="O18" t="inlineStr">
        <is>
          <t>MK-XS-E-046 (SS_CLAIM_FACTOR) → How much of the statement amount a claim age actually pays, anchored at the person's OWN f</t>
        </is>
      </c>
      <c r="P18" t="inlineStr"/>
      <c r="Q18" t="inlineStr"/>
      <c r="R18"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S18" t="inlineStr"/>
      <c r="T18" t="inlineStr"/>
      <c r="U18" t="inlineStr"/>
      <c r="V18" t="inlineStr"/>
      <c r="W18" t="inlineStr">
        <is>
          <t>NOT DETERMINED</t>
        </is>
      </c>
      <c r="X18" t="inlineStr">
        <is>
          <t>VERIFIED 2026-08-22</t>
        </is>
      </c>
    </row>
    <row r="19">
      <c r="A19" t="inlineStr">
        <is>
          <t>MK-PL-M-018</t>
        </is>
      </c>
      <c r="B19" t="inlineStr">
        <is>
          <t>Plan</t>
        </is>
      </c>
      <c r="C19" t="inlineStr">
        <is>
          <t>/ss-timing</t>
        </is>
      </c>
      <c r="D19" t="inlineStr">
        <is>
          <t>You receive $X/mo ✓</t>
        </is>
      </c>
      <c r="E19" t="inlineStr">
        <is>
          <t>op.ri_ss</t>
        </is>
      </c>
      <c r="F19" t="inlineStr">
        <is>
          <t>RETIREMENT_INCOME_NOW</t>
        </is>
      </c>
      <c r="G19" t="inlineStr">
        <is>
          <t>MK-PL-E-007</t>
        </is>
      </c>
      <c r="H19" t="inlineStr">
        <is>
          <t>guaranteed income now = Σ(streams already being received)</t>
        </is>
      </c>
      <c r="I19"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t="inlineStr">
        <is>
          <t>do they receive it now → incomeSources  [MK-XS-I-040] · the amounts → retirementIncomeMonthly  [MK-XS-I-008]</t>
        </is>
      </c>
      <c r="K19" t="inlineStr">
        <is>
          <t>US dollars · held to the cent · shown as whole dollars  [derived by rule — confirm]</t>
        </is>
      </c>
      <c r="L19" t="inlineStr">
        <is>
          <t>Adds up to $0 when there is nothing to add. Zero and "nothing recorded yet" look identical on screen — worth a decision.</t>
        </is>
      </c>
      <c r="M19" t="inlineStr">
        <is>
          <t>One figure per person — or per household when two people share one record  [derived by rule — confirm]</t>
        </is>
      </c>
      <c r="N19" t="inlineStr">
        <is>
          <t>As of today, from the latest figures held  [derived by rule — confirm]</t>
        </is>
      </c>
      <c r="O19" t="inlineStr">
        <is>
          <t>MK-XS-E-047 (RETIREMENT_INCOME) → How much retirement income arrives monthly?</t>
        </is>
      </c>
      <c r="P19" t="inlineStr"/>
      <c r="Q19" t="inlineStr"/>
      <c r="R19" t="inlineStr">
        <is>
          <t>NOT DETERMINED — no assumption recorded for this figure yet.</t>
        </is>
      </c>
      <c r="S19" t="inlineStr">
        <is>
          <t>THE SAME FIGURE AS MK-CF-M-011 — Guaranteed income being received now. Shown four ways: "You receive $X/mo" on Social Security timing, "incl. Social Security $X/mo" on the cockpit, as a source on Cash flow, and as a list on Monthly income. One figure, four identifiers.</t>
        </is>
      </c>
      <c r="T19" t="inlineStr"/>
      <c r="U19" t="inlineStr"/>
      <c r="V19" t="inlineStr"/>
      <c r="W19" t="inlineStr">
        <is>
          <t>NOT DETERMINED</t>
        </is>
      </c>
      <c r="X19" t="inlineStr">
        <is>
          <t>VERIFIED 2026-08-22</t>
        </is>
      </c>
    </row>
    <row r="20">
      <c r="A20" t="inlineStr">
        <is>
          <t>MK-PL-M-019</t>
        </is>
      </c>
      <c r="B20" t="inlineStr">
        <is>
          <t>Plan</t>
        </is>
      </c>
      <c r="C20" t="inlineStr">
        <is>
          <t>/ss-timing</t>
        </is>
      </c>
      <c r="D20" t="inlineStr">
        <is>
          <t>Claiming at N pays $X a month</t>
        </is>
      </c>
      <c r="E20" t="inlineStr">
        <is>
          <t>r.monthly</t>
        </is>
      </c>
      <c r="F20" t="inlineStr">
        <is>
          <t>SS_CLAIM_FACTOR · SS_BENEFIT_AT_AGE</t>
        </is>
      </c>
      <c r="G20" t="inlineStr">
        <is>
          <t>MK-PL-E-008</t>
        </is>
      </c>
      <c r="H20" t="inlineStr">
        <is>
          <t>factor = 1 − 5/9% per month for the first 36 months early, − 5/12% per month beyond that; + 2/3% per month for each month claimed late up to 70</t>
        </is>
      </c>
      <c r="I20"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t="inlineStr">
        <is>
          <t>claim age (the slider, 62–70) → months early or late vs their full retirement age  [MK-XS-I-018, MK-XS-I-021] · birth year (their setup answer) → the full retirement age it anchors to  [MK-XS-I-017, MK-XS-I-018] · statement amount at their full retirement age (typed from their ssa.gov statement) → statement monthly  [MK-XS-I-008, MK-XS-I-018, MK-XS-I-020] · claim age (the slider) → the factor's input  [MK-XS-I-021] · birth year (setup) → the anchor  [MK-XS-I-017]</t>
        </is>
      </c>
      <c r="K20" t="inlineStr">
        <is>
          <t>US dollars · held to the cent · shown as whole dollars  [derived by rule — confirm]</t>
        </is>
      </c>
      <c r="L20" t="inlineStr">
        <is>
          <t>Without a statement amount a worked example is shown, labelled as an example throughout.</t>
        </is>
      </c>
      <c r="M20" t="inlineStr">
        <is>
          <t>One figure per month  [derived by rule — confirm]</t>
        </is>
      </c>
      <c r="N20" t="inlineStr">
        <is>
          <t>As of today, from the latest figures held  [derived by rule — confirm]</t>
        </is>
      </c>
      <c r="O20" t="inlineStr">
        <is>
          <t>MK-XS-E-048 (SS_FULL_RETIREMENT_AGE) → The person's own Social Security full retirement age. Answers: 66 (born through 1954) · 66
MK-XS-E-046 (SS_CLAIM_FACTOR) → How much of the statement amount a claim age actually pays, anchored at the person's OWN f</t>
        </is>
      </c>
      <c r="P20" t="inlineStr"/>
      <c r="Q20" t="inlineStr"/>
      <c r="R20"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S20" t="inlineStr"/>
      <c r="T20" t="inlineStr"/>
      <c r="U20" t="inlineStr"/>
      <c r="V20" t="inlineStr"/>
      <c r="W20" t="inlineStr">
        <is>
          <t>NOT DETERMINED</t>
        </is>
      </c>
      <c r="X20" t="inlineStr">
        <is>
          <t>VERIFIED 2026-08-22</t>
        </is>
      </c>
    </row>
    <row r="21">
      <c r="A21" t="inlineStr">
        <is>
          <t>MK-PL-M-020</t>
        </is>
      </c>
      <c r="B21" t="inlineStr">
        <is>
          <t>Plan</t>
        </is>
      </c>
      <c r="C21" t="inlineStr">
        <is>
          <t>/ss-timing</t>
        </is>
      </c>
      <c r="D21" t="inlineStr">
        <is>
          <t>about $X in total by age N</t>
        </is>
      </c>
      <c r="E21" t="inlineStr">
        <is>
          <t>r.lifetime</t>
        </is>
      </c>
      <c r="F21" t="inlineStr">
        <is>
          <t>SS_LIFETIME_TOTAL  [NAME ASSIGNED HERE — no engine row exists for it yet]</t>
        </is>
      </c>
      <c r="G21" t="inlineStr">
        <is>
          <t>MK-PL-E-009</t>
        </is>
      </c>
      <c r="H21" t="inlineStr">
        <is>
          <t>lifetime total = monthly benefit × 12 × (life expectancy − claim age)</t>
        </is>
      </c>
      <c r="I21" t="inlineStr">
        <is>
          <t>The monthly Social Security check multiplied out to a life expectancy, so claiming early and claiming late can be compared in total dollars.</t>
        </is>
      </c>
      <c r="J21" t="inlineStr">
        <is>
          <t>NOT DETERMINED — no input list on record for this engine</t>
        </is>
      </c>
      <c r="K21" t="inlineStr">
        <is>
          <t>Age in whole years  [derived by rule — confirm]</t>
        </is>
      </c>
      <c r="L21" t="inlineStr">
        <is>
          <t>NOT DETERMINED — this engine has not been read for its refusal yet.</t>
        </is>
      </c>
      <c r="M21" t="inlineStr">
        <is>
          <t>One figure per person — or per household when two people share one record  [derived by rule — confirm]</t>
        </is>
      </c>
      <c r="N21" t="inlineStr">
        <is>
          <t>As of today, from the latest figures held  [derived by rule — confirm]</t>
        </is>
      </c>
      <c r="O21" t="inlineStr">
        <is>
          <t>NOT DETERMINED</t>
        </is>
      </c>
      <c r="P21" t="inlineStr"/>
      <c r="Q21" t="inlineStr"/>
      <c r="R21" t="inlineStr">
        <is>
          <t>[Built in] A life-expectancy figure the person never chose.
[The person] The claim age they set, and the statement amount they typed.</t>
        </is>
      </c>
      <c r="S21" t="inlineStr"/>
      <c r="T21" t="inlineStr"/>
      <c r="U21" t="inlineStr"/>
      <c r="V21" t="inlineStr"/>
      <c r="W21" t="inlineStr">
        <is>
          <t>NOT DETERMINED</t>
        </is>
      </c>
      <c r="X21" t="inlineStr">
        <is>
          <t>VERIFIED 2026-08-22</t>
        </is>
      </c>
    </row>
    <row r="22">
      <c r="A22" t="inlineStr">
        <is>
          <t>MK-PL-M-021</t>
        </is>
      </c>
      <c r="B22" t="inlineStr">
        <is>
          <t>Plan</t>
        </is>
      </c>
      <c r="C22" t="inlineStr">
        <is>
          <t>/ss-timing</t>
        </is>
      </c>
      <c r="D22" t="inlineStr">
        <is>
          <t>Showing example numbers (a $X/mo statement)</t>
        </is>
      </c>
      <c r="E22" t="inlineStr">
        <is>
          <t>exampleStmt</t>
        </is>
      </c>
      <c r="F22" t="inlineStr">
        <is>
          <t>the worked example used until a real statement goes in</t>
        </is>
      </c>
      <c r="G22" t="inlineStr">
        <is>
          <t>MK-PL-E-010</t>
        </is>
      </c>
      <c r="H22" t="inlineStr">
        <is>
          <t>a stated example amount, shown labelled as an example</t>
        </is>
      </c>
      <c r="I22" t="inlineStr">
        <is>
          <t>A worked example shown in place of a real Social Security statement, always labelled as such.</t>
        </is>
      </c>
      <c r="J22" t="inlineStr">
        <is>
          <t>NOT DETERMINED — no input list on record for this engine</t>
        </is>
      </c>
      <c r="K22" t="inlineStr">
        <is>
          <t>US dollars · held to the cent · shown as whole dollars  [derived by rule — confirm]</t>
        </is>
      </c>
      <c r="L22" t="inlineStr">
        <is>
          <t>NOT DETERMINED — this engine has not been read for its refusal yet.</t>
        </is>
      </c>
      <c r="M22" t="inlineStr">
        <is>
          <t>One figure per person — or per household when two people share one record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MK-PL-M-022</t>
        </is>
      </c>
      <c r="B23" t="inlineStr">
        <is>
          <t>Plan</t>
        </is>
      </c>
      <c r="C23" t="inlineStr">
        <is>
          <t>/roth</t>
        </is>
      </c>
      <c r="D23" t="inlineStr">
        <is>
          <t>Convert to Roth this year (&lt;year&gt;)</t>
        </is>
      </c>
      <c r="E23" t="inlineStr">
        <is>
          <t>A.rothConversionThisYear</t>
        </is>
      </c>
      <c r="F23" t="inlineStr">
        <is>
          <t>the amount the person chose</t>
        </is>
      </c>
      <c r="G23" t="inlineStr">
        <is>
          <t>MK-PL-E-011</t>
        </is>
      </c>
      <c r="H23" t="inlineStr">
        <is>
          <t>the value typed by the person</t>
        </is>
      </c>
      <c r="I23" t="inlineStr">
        <is>
          <t>A number the person entered; no calculation.</t>
        </is>
      </c>
      <c r="J23" t="inlineStr">
        <is>
          <t>NOT DETERMINED — no input list on record for this engine</t>
        </is>
      </c>
      <c r="K23" t="inlineStr">
        <is>
          <t>US dollars · held to the cent · shown as whole dollars  [derived by rule — confirm]</t>
        </is>
      </c>
      <c r="L23" t="inlineStr">
        <is>
          <t>Nothing to compute — the person either entered it or has not, and the screen shows it only when they have.</t>
        </is>
      </c>
      <c r="M23" t="inlineStr">
        <is>
          <t>One figure per person — or per household when two people share one record  [derived by rule — confirm]</t>
        </is>
      </c>
      <c r="N23" t="inlineStr">
        <is>
          <t>This calendar year, to today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MK-PL-M-023</t>
        </is>
      </c>
      <c r="B24" t="inlineStr">
        <is>
          <t>Plan</t>
        </is>
      </c>
      <c r="C24" t="inlineStr">
        <is>
          <t>/roth</t>
        </is>
      </c>
      <c r="D24" t="inlineStr">
        <is>
          <t>Extra tax next April (estimate) — about $X</t>
        </is>
      </c>
      <c r="E24" t="inlineStr">
        <is>
          <t>taxCost</t>
        </is>
      </c>
      <c r="F24" t="inlineStr">
        <is>
          <t>TAX_ON_CONVERSION  [NAME ASSIGNED HERE — no engine row exists for it yet]</t>
        </is>
      </c>
      <c r="G24" t="inlineStr">
        <is>
          <t>MK-PL-E-012</t>
        </is>
      </c>
      <c r="H24" t="inlineStr">
        <is>
          <t>extra tax ≈ Σ over bands of (amount converted falling in that band × its rate)</t>
        </is>
      </c>
      <c r="I24" t="inlineStr">
        <is>
          <t>The extra tax a Roth conversion would cause: the converted amount is stacked on top of this year's income and taxed band by band.</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MK-PL-M-024</t>
        </is>
      </c>
      <c r="B25" t="inlineStr">
        <is>
          <t>Plan</t>
        </is>
      </c>
      <c r="C25" t="inlineStr">
        <is>
          <t>/roth</t>
        </is>
      </c>
      <c r="D25" t="inlineStr">
        <is>
          <t>from your pre-tax $X</t>
        </is>
      </c>
      <c r="E25" t="inlineStr">
        <is>
          <t>preTax</t>
        </is>
      </c>
      <c r="F25" t="inlineStr">
        <is>
          <t>PRE_TAX_BALANCE  [NAME ASSIGNED HERE — no engine row exists for it yet]</t>
        </is>
      </c>
      <c r="G25" t="inlineStr">
        <is>
          <t>MK-PL-E-013</t>
        </is>
      </c>
      <c r="H25" t="inlineStr">
        <is>
          <t>pre-tax balance = Σ(balance of accounts whose tax type = pre-tax)</t>
        </is>
      </c>
      <c r="I25" t="inlineStr">
        <is>
          <t>Adds the balances of accounts whose money has not been taxed yet — the pot a Roth move would come from.</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c r="U25" t="inlineStr"/>
      <c r="V25" t="inlineStr"/>
      <c r="W25" t="inlineStr">
        <is>
          <t>NOT DETERMINED</t>
        </is>
      </c>
      <c r="X25" t="inlineStr">
        <is>
          <t>VERIFIED 2026-08-22</t>
        </is>
      </c>
    </row>
    <row r="26">
      <c r="A26" t="inlineStr">
        <is>
          <t>MK-PL-M-025</t>
        </is>
      </c>
      <c r="B26" t="inlineStr">
        <is>
          <t>Plan</t>
        </is>
      </c>
      <c r="C26" t="inlineStr">
        <is>
          <t>/what-if</t>
        </is>
      </c>
      <c r="D26" t="inlineStr">
        <is>
          <t>+$X/mo (the saving dial)</t>
        </is>
      </c>
      <c r="E26" t="inlineStr">
        <is>
          <t>addMonthly</t>
        </is>
      </c>
      <c r="F26" t="inlineStr">
        <is>
          <t>the amount the person chose</t>
        </is>
      </c>
      <c r="G26" t="inlineStr">
        <is>
          <t>MK-PL-E-011</t>
        </is>
      </c>
      <c r="H26" t="inlineStr">
        <is>
          <t>the value typed by the person</t>
        </is>
      </c>
      <c r="I26" t="inlineStr">
        <is>
          <t>A number the person entered; no calculation.</t>
        </is>
      </c>
      <c r="J26" t="inlineStr">
        <is>
          <t>NOT DETERMINED — no input list on record for this engine</t>
        </is>
      </c>
      <c r="K26" t="inlineStr">
        <is>
          <t>US dollars · held to the cent · shown as whole dollars  [derived by rule — confirm]</t>
        </is>
      </c>
      <c r="L26" t="inlineStr">
        <is>
          <t>Nothing to compute — the person either entered it or has not, and the screen shows it only when they have.</t>
        </is>
      </c>
      <c r="M26" t="inlineStr">
        <is>
          <t>One figure per person — or per household when two people share one record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MK-PL-M-026</t>
        </is>
      </c>
      <c r="B27" t="inlineStr">
        <is>
          <t>Plan</t>
        </is>
      </c>
      <c r="C27" t="inlineStr">
        <is>
          <t>/what-if</t>
        </is>
      </c>
      <c r="D27" t="inlineStr">
        <is>
          <t>$X → $Y (nest egg before and after)</t>
        </is>
      </c>
      <c r="E27" t="inlineStr">
        <is>
          <t>result.before.egg / result.after.egg</t>
        </is>
      </c>
      <c r="F27" t="inlineStr">
        <is>
          <t>POT_AT_RETIREMENT</t>
        </is>
      </c>
      <c r="G27" t="inlineStr">
        <is>
          <t>MK-NW-E-009</t>
        </is>
      </c>
      <c r="H27" t="inlineStr">
        <is>
          <t>pot = balance × (1 + r)^n + Σ(contribution × (1 + r)^(n − year)),  n = years to retirement</t>
        </is>
      </c>
      <c r="I27"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7" t="inlineStr">
        <is>
          <t>the same inputs → inp  [MK-XS-I-001]</t>
        </is>
      </c>
      <c r="K27" t="inlineStr">
        <is>
          <t>US dollars · held to the cent · shown as whole dollars  [derived by rule — confirm]</t>
        </is>
      </c>
      <c r="L27" t="inlineStr">
        <is>
          <t>No figure when there is nothing to grow, or when retirement is not ahead of the person.</t>
        </is>
      </c>
      <c r="M27" t="inlineStr">
        <is>
          <t>One figure per person — or per household when two people share one record  [derived by rule — confirm]</t>
        </is>
      </c>
      <c r="N27" t="inlineStr">
        <is>
          <t>From today to the retirement age in the plan  [derived by rule — confirm]</t>
        </is>
      </c>
      <c r="O27" t="inlineStr">
        <is>
          <t>MK-XS-E-005 (WILL_IT_LAST) → Will my money last?</t>
        </is>
      </c>
      <c r="P27" t="inlineStr"/>
      <c r="Q27" t="inlineStr">
        <is>
          <t>The Net worth screen builds this projection WITHOUT the person's big costs, while Cash flow, Budget, Goals and Social Security timing all include them. Same person, same day, two different nest eggs. Seen in the code; not yet confirmed on screen.</t>
        </is>
      </c>
      <c r="R27"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7" t="inlineStr"/>
      <c r="T27" t="inlineStr"/>
      <c r="U27" t="inlineStr"/>
      <c r="V27" t="inlineStr"/>
      <c r="W27" t="inlineStr">
        <is>
          <t>NOT DETERMINED</t>
        </is>
      </c>
      <c r="X27" t="inlineStr">
        <is>
          <t>VERIFIED 2026-08-22</t>
        </is>
      </c>
    </row>
    <row r="28">
      <c r="A28" t="inlineStr">
        <is>
          <t>MK-PL-M-027</t>
        </is>
      </c>
      <c r="B28" t="inlineStr">
        <is>
          <t>Plan</t>
        </is>
      </c>
      <c r="C28" t="inlineStr">
        <is>
          <t>/what-if</t>
        </is>
      </c>
      <c r="D28" t="inlineStr">
        <is>
          <t>the difference the change makes</t>
        </is>
      </c>
      <c r="E28" t="inlineStr">
        <is>
          <t>result.after.egg - result.before.egg</t>
        </is>
      </c>
      <c r="F28" t="inlineStr">
        <is>
          <t>worked out on the screen: after − before</t>
        </is>
      </c>
      <c r="G28" t="inlineStr"/>
      <c r="H28" t="inlineStr">
        <is>
          <t>difference = pot after the change − pot before it</t>
        </is>
      </c>
      <c r="I28" t="inlineStr">
        <is>
          <t>Worked out on the screen itself, with no engine behind it — a place a second definition can appear.</t>
        </is>
      </c>
      <c r="J28" t="inlineStr">
        <is>
          <t>NOT DETERMINED — no input list on record for this engine</t>
        </is>
      </c>
      <c r="K28" t="inlineStr">
        <is>
          <t>US dollars · held to the cent · shown as whole dollars  [derived by rule — confirm]</t>
        </is>
      </c>
      <c r="L28" t="inlineStr">
        <is>
          <t>Inherits the refusal of the figures it is built from: if either side is missing, this line is not shown.</t>
        </is>
      </c>
      <c r="M28" t="inlineStr">
        <is>
          <t>One figure per person — or per household when two people share one record  [derived by rule — confirm]</t>
        </is>
      </c>
      <c r="N28" t="inlineStr">
        <is>
          <t>As of today, from the latest figures held  [derived by rule — confirm]</t>
        </is>
      </c>
      <c r="O28" t="inlineStr">
        <is>
          <t>NOT DETERMINED</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MK-PL-M-028</t>
        </is>
      </c>
      <c r="B29" t="inlineStr">
        <is>
          <t>Plan</t>
        </is>
      </c>
      <c r="C29" t="inlineStr">
        <is>
          <t>/multi-goal</t>
        </is>
      </c>
      <c r="D29" t="inlineStr">
        <is>
          <t>each goal and its monthly amount</t>
        </is>
      </c>
      <c r="E29" t="inlineStr">
        <is>
          <t>d.monthlyAmount</t>
        </is>
      </c>
      <c r="F29" t="inlineStr">
        <is>
          <t>the amounts the person chose</t>
        </is>
      </c>
      <c r="G29" t="inlineStr">
        <is>
          <t>MK-PL-E-014</t>
        </is>
      </c>
      <c r="H29" t="inlineStr">
        <is>
          <t>the values typed by the person</t>
        </is>
      </c>
      <c r="I29" t="inlineStr">
        <is>
          <t>Amounts the person entered; no calculation.</t>
        </is>
      </c>
      <c r="J29" t="inlineStr">
        <is>
          <t>NOT DETERMINED — no input list on record for this engine</t>
        </is>
      </c>
      <c r="K29" t="inlineStr">
        <is>
          <t>US dollars · held to the cent · shown as whole dollars  [derived by rule — confirm]</t>
        </is>
      </c>
      <c r="L29" t="inlineStr">
        <is>
          <t>Nothing to compute — the person either entered it or has not, and the screen shows it only when they have.</t>
        </is>
      </c>
      <c r="M29" t="inlineStr">
        <is>
          <t>One figure per goal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is>
          <t>MK-PL-M-029</t>
        </is>
      </c>
      <c r="B30" t="inlineStr">
        <is>
          <t>Plan</t>
        </is>
      </c>
      <c r="C30" t="inlineStr">
        <is>
          <t>/multi-goal</t>
        </is>
      </c>
      <c r="D30" t="inlineStr">
        <is>
          <t>Retirement saving — $X/mo now → $Y/mo</t>
        </is>
      </c>
      <c r="E30" t="inlineStr">
        <is>
          <t>A.contribMonthly / retirementMo</t>
        </is>
      </c>
      <c r="F30" t="inlineStr">
        <is>
          <t>WILL_IT_LAST_INPUTS</t>
        </is>
      </c>
      <c r="G30" t="inlineStr">
        <is>
          <t>MK-XS-E-006</t>
        </is>
      </c>
      <c r="H30" t="inlineStr">
        <is>
          <t>the inputs one plan is built from: what is held, what will be spent, what is guaranteed, and what is still being saved</t>
        </is>
      </c>
      <c r="I30" t="inlineStr">
        <is>
          <t>Gather everything the odds need. The person's own choices override every default, one by one.
NO AGE MEANS NO ANSWER — the odds are never computed from a guessed age.
SOCIAL SECURITY USES THE CHEQUE THE CHOSEN CLAIM AGE ACTUALLY PAYS. The figure on a statement is the age-67 amount; claiming at 62 pays about 70% of it. Using the statement figure regardless would overstate guaranteed income for everyone claiming early.
Not eligible means ZERO guaranteed income, not a default.
A LEGACY TARGET — money someone means to leave behind — is taken off the pot, but ONLY once they are retired. See the defect note.</t>
        </is>
      </c>
      <c r="J30" t="inlineStr">
        <is>
          <t>their age → birthYear  [MK-XS-I-017] · the pot → NEST_EGG  [NOT AN INPUT — another engine’s answer; see the dependency column] · return and swing → EXPECTED_RETURN_BLENDED, EXPECTED_SWING_BLENDED  [NOT AN INPUT — another engine’s answer; see the dependency column] · spending → RETIREMENT_SPENDING  [MK-XS-I-024] · guaranteed income → RETIREMENT_INCOME, SS_BENEFIT_AT_AGE  [NOT AN INPUT — another engine’s answer; see the dependency column] · money to leave behind → legacyTarget  [MK-XS-I-047] · their own overrides → the Plan screen  [MK-XS-I-044]</t>
        </is>
      </c>
      <c r="K30" t="inlineStr">
        <is>
          <t>Percent · rounded to the nearest 5 · a real 100 or 0 shown literally  [derived by rule — confirm]</t>
        </is>
      </c>
      <c r="L30" t="inlineStr">
        <is>
          <t>NOT DETERMINED — this engine has not been read for its refusal yet.</t>
        </is>
      </c>
      <c r="M30" t="inlineStr">
        <is>
          <t>One figure per person — or per household when two people share one record  [derived by rule — confirm]</t>
        </is>
      </c>
      <c r="N30" t="inlineStr">
        <is>
          <t>From today to the retirement age in the plan  [derived by rule — confirm]</t>
        </is>
      </c>
      <c r="O30" t="inlineStr">
        <is>
          <t>MK-XS-E-032 (EFFECTIVE_TAX_RATE) → What share of my income actually goes in tax?
MK-XS-E-033 (EXPECTED_RETURN_BLENDED) → What return should I expect on everything I hold together?
MK-XS-E-034 (EXPECTED_SWING_BLENDED) → How much does a year's return typically swing around that average?
MK-XS-E-035 (FILING_STATUS) → How does this person file?
MK-XS-E-036 (GUARANTEED_OUTSIDE_STREAMS) → The plan's guaranteed-income input as separate streams of OUTSIDE money only. Answers: zer
MK-XS-E-037 (MONTHLY_SAVING) → How much goes in each month?
MK-XS-E-002 (NEST_EGG) → What is my retirement pot worth?
MK-XS-E-038 (REPORTED_RETURN) → What return did the person say they actually earned over the past year?
MK-XS-E-004 (RETIREMENT_SPENDING) → What will be spent each month in retirement?
MK-XS-E-039 (SPLIT_BY_HOW_IT_IS_TAXED) → How is the retirement money split by the tax that will be owed on it?
MK-XS-E-040 (SS_BENEFIT_AT_AGE) → The monthly Social Security check at a chosen claim age, in today's dollars. Answers: a wh
MK-XS-E-041 (STATE_TAX_RATE) → What state tax rate applies?
MK-XS-E-042 (SWING_FROM_RETURN) → How much might a year's return swing, judged from the return alone?
MK-XS-E-043 (TAX_OVER65_COUNT) → How many people on the tax return are 65 or older — the input the over-65 deduction needs 
MK-XS-E-044 (TOTAL_INCOME) → What is the whole household income for the year, before tax?</t>
        </is>
      </c>
      <c r="P30" t="inlineStr"/>
      <c r="Q30" t="inlineStr"/>
      <c r="R30" t="inlineStr">
        <is>
          <t>NOT DETERMINED — no assumption recorded for this figure yet.</t>
        </is>
      </c>
      <c r="S30" t="inlineStr">
        <is>
          <t>THE SAME FIGURE AS MK-PL-M-011 — What is being saved each month towards retirement — "Monthly saving until then" and "Retirement saving $X/mo now".</t>
        </is>
      </c>
      <c r="T30" t="inlineStr"/>
      <c r="U30" t="inlineStr"/>
      <c r="V30" t="inlineStr"/>
      <c r="W30" t="inlineStr">
        <is>
          <t>NOT DETERMINED</t>
        </is>
      </c>
      <c r="X30" t="inlineStr">
        <is>
          <t>VERIFIED 2026-08-22</t>
        </is>
      </c>
    </row>
    <row r="31">
      <c r="A31" t="inlineStr">
        <is>
          <t>MK-PL-M-030</t>
        </is>
      </c>
      <c r="B31" t="inlineStr">
        <is>
          <t>Plan</t>
        </is>
      </c>
      <c r="C31" t="inlineStr">
        <is>
          <t>/multi-goal</t>
        </is>
      </c>
      <c r="D31" t="inlineStr">
        <is>
          <t>Extra on debt $X/mo</t>
        </is>
      </c>
      <c r="E31" t="inlineStr">
        <is>
          <t>extraDebt</t>
        </is>
      </c>
      <c r="F31" t="inlineStr">
        <is>
          <t>the amount the person chose</t>
        </is>
      </c>
      <c r="G31" t="inlineStr">
        <is>
          <t>MK-PL-E-011</t>
        </is>
      </c>
      <c r="H31" t="inlineStr">
        <is>
          <t>the value typed by the person</t>
        </is>
      </c>
      <c r="I31" t="inlineStr">
        <is>
          <t>A number the person entered; no calculation.</t>
        </is>
      </c>
      <c r="J31" t="inlineStr">
        <is>
          <t>NOT DETERMINED — no input list on record for this engine</t>
        </is>
      </c>
      <c r="K31" t="inlineStr">
        <is>
          <t>US dollars · held to the cent · shown as whole dollars  [derived by rule — confirm]</t>
        </is>
      </c>
      <c r="L31" t="inlineStr">
        <is>
          <t>Nothing to compute — the person either entered it or has not, and the screen shows it only when they have.</t>
        </is>
      </c>
      <c r="M31" t="inlineStr">
        <is>
          <t>One figure per debt, and one total per person  [derived by rule — confirm]</t>
        </is>
      </c>
      <c r="N31" t="inlineStr">
        <is>
          <t>As of today, from the latest figures held  [derived by rule — confirm]</t>
        </is>
      </c>
      <c r="O31" t="inlineStr">
        <is>
          <t>NOT DETERMINED</t>
        </is>
      </c>
      <c r="P31" t="inlineStr"/>
      <c r="Q31" t="inlineStr">
        <is>
          <t>CORRECTED 2026-08-25 — this row used to name DEBT_PICTURE. "Extra on debt $X/mo" is an amount the person chose on a dial, not a figure that engine produces.</t>
        </is>
      </c>
      <c r="R31" t="inlineStr">
        <is>
          <t>NOT DETERMINED — no assumption recorded for this figure yet.</t>
        </is>
      </c>
      <c r="S31" t="inlineStr"/>
      <c r="T31" t="inlineStr"/>
      <c r="U31" t="inlineStr"/>
      <c r="V31" t="inlineStr"/>
      <c r="W31" t="inlineStr">
        <is>
          <t>NOT DETERMINED</t>
        </is>
      </c>
      <c r="X31" t="inlineStr">
        <is>
          <t>VERIFIED 2026-08-22</t>
        </is>
      </c>
    </row>
    <row r="32">
      <c r="A32" t="inlineStr">
        <is>
          <t>MK-PL-M-031</t>
        </is>
      </c>
      <c r="B32" t="inlineStr">
        <is>
          <t>Plan</t>
        </is>
      </c>
      <c r="C32" t="inlineStr">
        <is>
          <t>/multi-goal</t>
        </is>
      </c>
      <c r="D32" t="inlineStr">
        <is>
          <t>paid off &lt;month&gt; · saves $X</t>
        </is>
      </c>
      <c r="E32" t="inlineStr">
        <is>
          <t>weighed.debtPayoff</t>
        </is>
      </c>
      <c r="F32" t="inlineStr">
        <is>
          <t>DEBT_PAYOFF  [NAME ASSIGNED HERE — no engine row exists for it yet]</t>
        </is>
      </c>
      <c r="G32" t="inlineStr">
        <is>
          <t>MK-PL-E-015</t>
        </is>
      </c>
      <c r="H32" t="inlineStr">
        <is>
          <t>each month: balance ← balance × (1 + rate ÷ 12) − payment, until balance ≤ 0;  payoff month = the first month it does</t>
        </is>
      </c>
      <c r="I32" t="inlineStr">
        <is>
          <t>Runs the debt forward month by month: interest is added, the payment is taken off, and the month the balance reaches zero is the payoff date.</t>
        </is>
      </c>
      <c r="J32" t="inlineStr">
        <is>
          <t>NOT DETERMINED — no input list on record for this engine</t>
        </is>
      </c>
      <c r="K32" t="inlineStr">
        <is>
          <t>US dollars · held to the cent · shown as whole dollars  [derived by rule — confirm]</t>
        </is>
      </c>
      <c r="L32" t="inlineStr">
        <is>
          <t>A division: with nothing on the bottom there is no answer, and the line must not appear as zero. NOT YET CONFIRMED against the engine.</t>
        </is>
      </c>
      <c r="M32" t="inlineStr">
        <is>
          <t>One figure per debt, and one total per person  [derived by rule — confirm]</t>
        </is>
      </c>
      <c r="N32" t="inlineStr">
        <is>
          <t>As of today, from the latest figures held  [derived by rule — confirm]</t>
        </is>
      </c>
      <c r="O32" t="inlineStr">
        <is>
          <t>NOT DETERMINED</t>
        </is>
      </c>
      <c r="P32" t="inlineStr"/>
      <c r="Q32" t="inlineStr"/>
      <c r="R32" t="inlineStr">
        <is>
          <t>NOT DETERMINED — no assumption recorded for this figure yet.</t>
        </is>
      </c>
      <c r="S32" t="inlineStr"/>
      <c r="T32" t="inlineStr"/>
      <c r="U32" t="inlineStr"/>
      <c r="V32" t="inlineStr"/>
      <c r="W32" t="inlineStr">
        <is>
          <t>NOT DETERMINED</t>
        </is>
      </c>
      <c r="X32" t="inlineStr">
        <is>
          <t>VERIFIED 2026-08-22</t>
        </is>
      </c>
    </row>
    <row r="33">
      <c r="A33" t="inlineStr">
        <is>
          <t>MK-PL-M-032</t>
        </is>
      </c>
      <c r="B33" t="inlineStr">
        <is>
          <t>Plan</t>
        </is>
      </c>
      <c r="C33" t="inlineStr">
        <is>
          <t>/retirement</t>
        </is>
      </c>
      <c r="D33" t="inlineStr">
        <is>
          <t>incl. Social Security $X/mo from age N</t>
        </is>
      </c>
      <c r="E33" t="inlineStr">
        <is>
          <t>ssIncome</t>
        </is>
      </c>
      <c r="F33" t="inlineStr">
        <is>
          <t>RETIREMENT_INCOME_NOW</t>
        </is>
      </c>
      <c r="G33" t="inlineStr">
        <is>
          <t>MK-PL-E-007</t>
        </is>
      </c>
      <c r="H33" t="inlineStr">
        <is>
          <t>guaranteed income now = Σ(streams already being received)</t>
        </is>
      </c>
      <c r="I3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t="inlineStr">
        <is>
          <t>do they receive it now → incomeSources  [MK-XS-I-040] · the amounts → retirementIncomeMonthly  [MK-XS-I-008]</t>
        </is>
      </c>
      <c r="K33" t="inlineStr">
        <is>
          <t>Age in whole years  [derived by rule — confirm]</t>
        </is>
      </c>
      <c r="L33" t="inlineStr">
        <is>
          <t>Adds up to $0 when there is nothing to add. Zero and "nothing recorded yet" look identical on screen — worth a decision.</t>
        </is>
      </c>
      <c r="M33" t="inlineStr">
        <is>
          <t>One figure per person — or per household when two people share one record  [derived by rule — confirm]</t>
        </is>
      </c>
      <c r="N33" t="inlineStr">
        <is>
          <t>As of today, from the latest figures held  [derived by rule — confirm]</t>
        </is>
      </c>
      <c r="O33" t="inlineStr">
        <is>
          <t>MK-XS-E-047 (RETIREMENT_INCOME) → How much retirement income arrives monthly?</t>
        </is>
      </c>
      <c r="P33" t="inlineStr"/>
      <c r="Q33" t="inlineStr"/>
      <c r="R33" t="inlineStr">
        <is>
          <t>NOT DETERMINED — no assumption recorded for this figure yet.</t>
        </is>
      </c>
      <c r="S33" t="inlineStr">
        <is>
          <t>THE SAME FIGURE AS MK-CF-M-011 — Guaranteed income being received now. Shown four ways: "You receive $X/mo" on Social Security timing, "incl. Social Security $X/mo" on the cockpit, as a source on Cash flow, and as a list on Monthly income. One figure, four identifiers.</t>
        </is>
      </c>
      <c r="T33" t="inlineStr"/>
      <c r="U33" t="inlineStr"/>
      <c r="V33" t="inlineStr"/>
      <c r="W33" t="inlineStr">
        <is>
          <t>NOT DETERMINED</t>
        </is>
      </c>
      <c r="X33" t="inlineStr">
        <is>
          <t>VERIFIED 2026-08-22</t>
        </is>
      </c>
    </row>
    <row r="34">
      <c r="A34" t="inlineStr">
        <is>
          <t>MK-PL-M-033</t>
        </is>
      </c>
      <c r="B34" t="inlineStr">
        <is>
          <t>Plan</t>
        </is>
      </c>
      <c r="C34" t="inlineStr">
        <is>
          <t>/retirement</t>
        </is>
      </c>
      <c r="D34" t="inlineStr">
        <is>
          <t>your $X grows to $Y by age N at Z%/yr</t>
        </is>
      </c>
      <c r="E34" t="inlineStr">
        <is>
          <t>nestEgg / scProjected</t>
        </is>
      </c>
      <c r="F34" t="inlineStr">
        <is>
          <t>POT_AT_RETIREMENT</t>
        </is>
      </c>
      <c r="G34" t="inlineStr">
        <is>
          <t>MK-NW-E-009</t>
        </is>
      </c>
      <c r="H34" t="inlineStr">
        <is>
          <t>pot = balance × (1 + r)^n + Σ(contribution × (1 + r)^(n − year)),  n = years to retirement</t>
        </is>
      </c>
      <c r="I34"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34" t="inlineStr">
        <is>
          <t>the same inputs → inp  [MK-XS-I-001]</t>
        </is>
      </c>
      <c r="K34" t="inlineStr">
        <is>
          <t>Percent · one decimal shown  [derived by rule — confirm]</t>
        </is>
      </c>
      <c r="L34" t="inlineStr">
        <is>
          <t>No figure when there is nothing to grow, or when retirement is not ahead of the person.</t>
        </is>
      </c>
      <c r="M34" t="inlineStr">
        <is>
          <t>One figure per person — or per household when two people share one record  [derived by rule — confirm]</t>
        </is>
      </c>
      <c r="N34" t="inlineStr">
        <is>
          <t>The last twelve months  [derived by rule — confirm]</t>
        </is>
      </c>
      <c r="O34" t="inlineStr">
        <is>
          <t>MK-XS-E-005 (WILL_IT_LAST) → Will my money last?</t>
        </is>
      </c>
      <c r="P34" t="inlineStr"/>
      <c r="Q34" t="inlineStr">
        <is>
          <t>The Net worth screen builds this projection WITHOUT the person's big costs, while Cash flow, Budget, Goals and Social Security timing all include them. Same person, same day, two different nest eggs. Seen in the code; not yet confirmed on screen.</t>
        </is>
      </c>
      <c r="R34"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34" t="inlineStr">
        <is>
          <t>THE SURVIVING IDENTIFIER for this figure. Folded in: MK-NW-M-015. The projected pot at retirement, shown on Net worth as "on track for $X by age Y" and on the cockpit as "your $X grows to $Y". One figure, two screens — the founder spotted this one himself.</t>
        </is>
      </c>
      <c r="T34" t="inlineStr"/>
      <c r="U34" t="inlineStr"/>
      <c r="V34" t="inlineStr"/>
      <c r="W34" t="inlineStr">
        <is>
          <t>NOT DETERMINED</t>
        </is>
      </c>
      <c r="X34" t="inlineStr">
        <is>
          <t>VERIFIED 2026-08-22</t>
        </is>
      </c>
    </row>
    <row r="35">
      <c r="A35" t="inlineStr">
        <is>
          <t>MK-PL-M-034</t>
        </is>
      </c>
      <c r="B35" t="inlineStr">
        <is>
          <t>Plan</t>
        </is>
      </c>
      <c r="C35" t="inlineStr">
        <is>
          <t>/retirement</t>
        </is>
      </c>
      <c r="D35" t="inlineStr">
        <is>
          <t>At Z% return, your money lasts past age N</t>
        </is>
      </c>
      <c r="E35" t="inlineStr">
        <is>
          <t>scDeplete</t>
        </is>
      </c>
      <c r="F35" t="inlineStr">
        <is>
          <t>WILL_IT_LAST_RESULT</t>
        </is>
      </c>
      <c r="G35" t="inlineStr">
        <is>
          <t>MK-XS-E-007</t>
        </is>
      </c>
      <c r="H35" t="inlineStr">
        <is>
          <t>run 1,000 futures; in each year: balance ← balance × (1 + random return) − (spending − guaranteed income);  odds = futures that never run out ÷ 1,000</t>
        </is>
      </c>
      <c r="I35" t="inlineStr">
        <is>
          <t>If age, spending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t="inlineStr">
        <is>
          <t>everything → WILL_IT_LAST_INPUTS  [NOT AN INPUT — another engine’s answer; see the dependency column] · is a range wanted → withBand  [NOT AN INPUT — a setting or a filter, not data anyone supplies]</t>
        </is>
      </c>
      <c r="K35" t="inlineStr">
        <is>
          <t>Percent · rounded to the nearest 5 · a real 100 or 0 shown literally  [derived by rule — confirm]</t>
        </is>
      </c>
      <c r="L35" t="inlineStr">
        <is>
          <t>No odds at all until the three facts are answered. A sample is shown in their place, labelled as a sample, never as the person's own number.</t>
        </is>
      </c>
      <c r="M35" t="inlineStr">
        <is>
          <t>One figure per person — or per household when two people share one record  [derived by rule — confirm]</t>
        </is>
      </c>
      <c r="N35" t="inlineStr">
        <is>
          <t>The window the person chose on screen  [derived by rule — confirm]</t>
        </is>
      </c>
      <c r="O35" t="inlineStr">
        <is>
          <t>MK-XS-E-002 (NEST_EGG) → What is my retirement pot worth?
MK-XS-E-003 (ODDS_DISPLAY) → The retirement odds a person actually sees. Answers: 0, 5, 10 … 100 — the exact simulation
MK-XS-E-004 (RETIREMENT_SPENDING) → What will be spent each month in retirement?
MK-XS-E-005 (WILL_IT_LAST) → Will my money last?
MK-XS-E-006 (WILL_IT_LAST_INPUTS) → What goes into working out the odds?</t>
        </is>
      </c>
      <c r="P35" t="inlineStr"/>
      <c r="Q35" t="inlineStr">
        <is>
          <t>The odds shown on Home, Plan and Cash flow are rounded to the nearest 5, while the compare tables still show them exact. One figure, two precisions — founder's open question.</t>
        </is>
      </c>
      <c r="R35"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S35" t="inlineStr"/>
      <c r="T35" t="inlineStr"/>
      <c r="U35" t="inlineStr"/>
      <c r="V35" t="inlineStr"/>
      <c r="W35" t="inlineStr">
        <is>
          <t>NOT DETERMINED</t>
        </is>
      </c>
      <c r="X35" t="inlineStr">
        <is>
          <t>VERIFIED 2026-08-22</t>
        </is>
      </c>
    </row>
    <row r="36">
      <c r="A36" t="inlineStr">
        <is>
          <t>MK-PL-M-035</t>
        </is>
      </c>
      <c r="B36" t="inlineStr">
        <is>
          <t>Plan</t>
        </is>
      </c>
      <c r="C36" t="inlineStr">
        <is>
          <t>/retirement</t>
        </is>
      </c>
      <c r="D36" t="inlineStr">
        <is>
          <t>Retire at age (the dial)</t>
        </is>
      </c>
      <c r="E36" t="inlineStr">
        <is>
          <t>rAge</t>
        </is>
      </c>
      <c r="F36" t="inlineStr">
        <is>
          <t>the age the person chose</t>
        </is>
      </c>
      <c r="G36" t="inlineStr">
        <is>
          <t>MK-PL-E-016</t>
        </is>
      </c>
      <c r="H36" t="inlineStr">
        <is>
          <t>the age set by the person</t>
        </is>
      </c>
      <c r="I36" t="inlineStr">
        <is>
          <t>An age the person set on a dial; no calculation.</t>
        </is>
      </c>
      <c r="J36" t="inlineStr">
        <is>
          <t>NOT DETERMINED — no input list on record for this engine</t>
        </is>
      </c>
      <c r="K36" t="inlineStr">
        <is>
          <t>Age in whole years  [derived by rule — confirm]</t>
        </is>
      </c>
      <c r="L36" t="inlineStr">
        <is>
          <t>Nothing to compute — the person either entered it or has not, and the screen shows it only when they have.</t>
        </is>
      </c>
      <c r="M36" t="inlineStr">
        <is>
          <t>One figure per person — or per household when two people share one record  [derived by rule — confirm]</t>
        </is>
      </c>
      <c r="N36" t="inlineStr">
        <is>
          <t>From today to the retirement age in the plan  [derived by rule — confirm]</t>
        </is>
      </c>
      <c r="O36" t="inlineStr">
        <is>
          <t>NOT DETERMINED</t>
        </is>
      </c>
      <c r="P36" t="inlineStr"/>
      <c r="Q36" t="inlineStr"/>
      <c r="R36" t="inlineStr">
        <is>
          <t>NOT DETERMINED — no assumption recorded for this figure yet.</t>
        </is>
      </c>
      <c r="S36" t="inlineStr"/>
      <c r="T36" t="inlineStr"/>
      <c r="U36" t="inlineStr"/>
      <c r="V36" t="inlineStr"/>
      <c r="W36" t="inlineStr">
        <is>
          <t>NOT DETERMINED</t>
        </is>
      </c>
      <c r="X36" t="inlineStr">
        <is>
          <t>VERIFIED 2026-08-22</t>
        </is>
      </c>
    </row>
    <row r="37">
      <c r="A37" t="inlineStr">
        <is>
          <t>MK-PL-M-036</t>
        </is>
      </c>
      <c r="B37" t="inlineStr">
        <is>
          <t>Plan</t>
        </is>
      </c>
      <c r="C37" t="inlineStr">
        <is>
          <t>/education</t>
        </is>
      </c>
      <c r="D37" t="inlineStr">
        <is>
          <t>the future total cost of school</t>
        </is>
      </c>
      <c r="E37" t="inlineStr">
        <is>
          <t>plan.futureTotalCost</t>
        </is>
      </c>
      <c r="F37" t="inlineStr">
        <is>
          <t>EDUCATION_COST  [NAME ASSIGNED HERE — no engine row exists for it yet]</t>
        </is>
      </c>
      <c r="G37" t="inlineStr">
        <is>
          <t>MK-PL-E-017</t>
        </is>
      </c>
      <c r="H37" t="inlineStr">
        <is>
          <t>future cost = today’s cost × (1 + education inflation)^years;  monthly needed = gap ÷ months until school starts</t>
        </is>
      </c>
      <c r="I37" t="inlineStr">
        <is>
          <t>Grows today's cost of school by education inflation to the year it starts, then divides what is still missing by the months until then.</t>
        </is>
      </c>
      <c r="J37" t="inlineStr">
        <is>
          <t>NOT DETERMINED — no input list on record for this engine</t>
        </is>
      </c>
      <c r="K37" t="inlineStr">
        <is>
          <t>US dollars · held to the cent · shown as whole dollars  [derived by rule — confirm]</t>
        </is>
      </c>
      <c r="L37" t="inlineStr">
        <is>
          <t>A division: with nothing on the bottom there is no answer, and the line must not appear as zero. NOT YET CONFIRMED against the engine.</t>
        </is>
      </c>
      <c r="M37" t="inlineStr">
        <is>
          <t>One figure per person — or per household when two people share one record  [derived by rule — confirm]</t>
        </is>
      </c>
      <c r="N37" t="inlineStr">
        <is>
          <t>As of today, from the latest figures held  [derived by rule — confirm]</t>
        </is>
      </c>
      <c r="O37" t="inlineStr">
        <is>
          <t>NOT DETERMINED</t>
        </is>
      </c>
      <c r="P37" t="inlineStr"/>
      <c r="Q37" t="inlineStr"/>
      <c r="R37" t="inlineStr">
        <is>
          <t>[Built in] Inflation comes from a published feed, with a fallback figure when the feed is silent.</t>
        </is>
      </c>
      <c r="S37" t="inlineStr"/>
      <c r="T37" t="inlineStr">
        <is>
          <t>Q26 — What education inflation rate should the college projection use, and should it be visible and editable on the screen?</t>
        </is>
      </c>
      <c r="U37" t="inlineStr"/>
      <c r="V37" t="inlineStr"/>
      <c r="W37" t="inlineStr">
        <is>
          <t>NOT DETERMINED</t>
        </is>
      </c>
      <c r="X37" t="inlineStr">
        <is>
          <t>VERIFIED 2026-08-22</t>
        </is>
      </c>
    </row>
    <row r="38">
      <c r="A38" t="inlineStr">
        <is>
          <t>MK-PL-M-037</t>
        </is>
      </c>
      <c r="B38" t="inlineStr">
        <is>
          <t>Plan</t>
        </is>
      </c>
      <c r="C38" t="inlineStr">
        <is>
          <t>/education</t>
        </is>
      </c>
      <c r="D38" t="inlineStr">
        <is>
          <t>$X/mo set aside closes the $Y gap</t>
        </is>
      </c>
      <c r="E38" t="inlineStr">
        <is>
          <t>plan.monthlyNeeded / plan.gap</t>
        </is>
      </c>
      <c r="F38" t="inlineStr">
        <is>
          <t>EDUCATION_COST  [NAME ASSIGNED HERE — no engine row exists for it yet]</t>
        </is>
      </c>
      <c r="G38" t="inlineStr">
        <is>
          <t>MK-PL-E-017</t>
        </is>
      </c>
      <c r="H38" t="inlineStr">
        <is>
          <t>future cost = today’s cost × (1 + education inflation)^years;  monthly needed = gap ÷ months until school starts</t>
        </is>
      </c>
      <c r="I38" t="inlineStr">
        <is>
          <t>Grows today's cost of school by education inflation to the year it starts, then divides what is still missing by the months until then.</t>
        </is>
      </c>
      <c r="J38" t="inlineStr">
        <is>
          <t>NOT DETERMINED — no input list on record for this engine</t>
        </is>
      </c>
      <c r="K38" t="inlineStr">
        <is>
          <t>US dollars · held to the cent · shown as whole dollars  [derived by rule — confirm]</t>
        </is>
      </c>
      <c r="L38" t="inlineStr">
        <is>
          <t>A division: with nothing on the bottom there is no answer, and the line must not appear as zero. NOT YET CONFIRMED against the engine.</t>
        </is>
      </c>
      <c r="M38" t="inlineStr">
        <is>
          <t>One figure per person — or per household when two people share one record  [derived by rule — confirm]</t>
        </is>
      </c>
      <c r="N38" t="inlineStr">
        <is>
          <t>As of today, from the latest figures held  [derived by rule — confirm]</t>
        </is>
      </c>
      <c r="O38" t="inlineStr">
        <is>
          <t>NOT DETERMINED</t>
        </is>
      </c>
      <c r="P38" t="inlineStr"/>
      <c r="Q38" t="inlineStr"/>
      <c r="R38" t="inlineStr">
        <is>
          <t>[Built in] Inflation comes from a published feed, with a fallback figure when the feed is silent.</t>
        </is>
      </c>
      <c r="S38" t="inlineStr"/>
      <c r="T38" t="inlineStr"/>
      <c r="U38" t="inlineStr"/>
      <c r="V38" t="inlineStr"/>
      <c r="W38" t="inlineStr">
        <is>
          <t>NOT DETERMINED</t>
        </is>
      </c>
      <c r="X38" t="inlineStr">
        <is>
          <t>VERIFIED 2026-08-22</t>
        </is>
      </c>
    </row>
    <row r="39">
      <c r="A39" t="inlineStr"/>
      <c r="B39" t="inlineStr">
        <is>
          <t>Plan</t>
        </is>
      </c>
      <c r="C39" t="inlineStr">
        <is>
          <t>/add-account</t>
        </is>
      </c>
      <c r="D39" t="inlineStr">
        <is>
          <t>—</t>
        </is>
      </c>
      <c r="E39" t="inlineStr">
        <is>
          <t>—</t>
        </is>
      </c>
      <c r="F39" t="inlineStr">
        <is>
          <t>—</t>
        </is>
      </c>
      <c r="G39" t="inlineStr"/>
      <c r="H39" t="inlineStr"/>
      <c r="I39" t="inlineStr"/>
      <c r="J39" t="inlineStr"/>
      <c r="K39" t="inlineStr"/>
      <c r="L39" t="inlineStr"/>
      <c r="M39" t="inlineStr"/>
      <c r="N39" t="inlineStr"/>
      <c r="O39" t="inlineStr"/>
      <c r="P39" t="inlineStr"/>
      <c r="Q39" t="inlineStr"/>
      <c r="R39" t="inlineStr"/>
      <c r="S39" t="inlineStr"/>
      <c r="T39" t="inlineStr"/>
      <c r="U39" t="inlineStr"/>
      <c r="V39" t="inlineStr">
        <is>
          <t>NOT DETERMINED</t>
        </is>
      </c>
      <c r="W39" t="inlineStr">
        <is>
          <t>READ 2026-08-22 — no calculated figure on this screen</t>
        </is>
      </c>
    </row>
    <row r="40">
      <c r="A40" t="inlineStr"/>
      <c r="B40" t="inlineStr">
        <is>
          <t>Plan</t>
        </is>
      </c>
      <c r="C40" t="inlineStr">
        <is>
          <t>/connect</t>
        </is>
      </c>
      <c r="D40" t="inlineStr">
        <is>
          <t>—</t>
        </is>
      </c>
      <c r="E40" t="inlineStr">
        <is>
          <t>—</t>
        </is>
      </c>
      <c r="F40" t="inlineStr">
        <is>
          <t>—</t>
        </is>
      </c>
      <c r="G40" t="inlineStr"/>
      <c r="H40" t="inlineStr"/>
      <c r="I40" t="inlineStr"/>
      <c r="J40" t="inlineStr"/>
      <c r="K40" t="inlineStr"/>
      <c r="L40" t="inlineStr"/>
      <c r="M40" t="inlineStr"/>
      <c r="N40" t="inlineStr"/>
      <c r="O40" t="inlineStr"/>
      <c r="P40" t="inlineStr"/>
      <c r="Q40" t="inlineStr"/>
      <c r="R40" t="inlineStr"/>
      <c r="S40" t="inlineStr"/>
      <c r="T40" t="inlineStr"/>
      <c r="U40" t="inlineStr"/>
      <c r="V40" t="inlineStr">
        <is>
          <t>NOT DETERMINED</t>
        </is>
      </c>
      <c r="W40" t="inlineStr">
        <is>
          <t>READ 2026-08-22 — no calculated figure on this screen</t>
        </is>
      </c>
    </row>
    <row r="41">
      <c r="A41" t="inlineStr"/>
      <c r="B41" t="inlineStr">
        <is>
          <t>Plan</t>
        </is>
      </c>
      <c r="C41" t="inlineStr">
        <is>
          <t>/import-holdings</t>
        </is>
      </c>
      <c r="D41" t="inlineStr">
        <is>
          <t>—</t>
        </is>
      </c>
      <c r="E41" t="inlineStr">
        <is>
          <t>—</t>
        </is>
      </c>
      <c r="F41" t="inlineStr">
        <is>
          <t>—</t>
        </is>
      </c>
      <c r="G41" t="inlineStr"/>
      <c r="H41" t="inlineStr"/>
      <c r="I41" t="inlineStr"/>
      <c r="J41" t="inlineStr"/>
      <c r="K41" t="inlineStr"/>
      <c r="L41" t="inlineStr"/>
      <c r="M41" t="inlineStr"/>
      <c r="N41" t="inlineStr"/>
      <c r="O41" t="inlineStr"/>
      <c r="P41" t="inlineStr"/>
      <c r="Q41" t="inlineStr"/>
      <c r="R41" t="inlineStr"/>
      <c r="S41" t="inlineStr"/>
      <c r="T41" t="inlineStr"/>
      <c r="U41" t="inlineStr"/>
      <c r="V41" t="inlineStr">
        <is>
          <t>NOT DETERMINED</t>
        </is>
      </c>
      <c r="W41" t="inlineStr">
        <is>
          <t>READ 2026-08-22 — no calculated figure on this screen</t>
        </is>
      </c>
    </row>
    <row r="42">
      <c r="A42" t="inlineStr"/>
      <c r="B42" t="inlineStr">
        <is>
          <t>Plan</t>
        </is>
      </c>
      <c r="C42" t="inlineStr">
        <is>
          <t>/performance</t>
        </is>
      </c>
      <c r="D42" t="inlineStr">
        <is>
          <t>—</t>
        </is>
      </c>
      <c r="E42" t="inlineStr">
        <is>
          <t>—</t>
        </is>
      </c>
      <c r="F42" t="inlineStr">
        <is>
          <t>—</t>
        </is>
      </c>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is>
          <t>NOT DETERMINED</t>
        </is>
      </c>
      <c r="W42" t="inlineStr">
        <is>
          <t>READ 2026-08-22 — the same screen as /invest, reached by a second route</t>
        </is>
      </c>
    </row>
    <row r="43">
      <c r="A43" t="inlineStr"/>
      <c r="B43" t="inlineStr">
        <is>
          <t>Plan</t>
        </is>
      </c>
      <c r="C43" t="inlineStr">
        <is>
          <t>/sharpen</t>
        </is>
      </c>
      <c r="D43" t="inlineStr">
        <is>
          <t>—</t>
        </is>
      </c>
      <c r="E43" t="inlineStr">
        <is>
          <t>—</t>
        </is>
      </c>
      <c r="F43" t="inlineStr">
        <is>
          <t>—</t>
        </is>
      </c>
      <c r="G43" t="inlineStr"/>
      <c r="H43" t="inlineStr"/>
      <c r="I43" t="inlineStr"/>
      <c r="J43" t="inlineStr"/>
      <c r="K43" t="inlineStr"/>
      <c r="L43" t="inlineStr"/>
      <c r="M43" t="inlineStr"/>
      <c r="N43" t="inlineStr"/>
      <c r="O43" t="inlineStr"/>
      <c r="P43" t="inlineStr"/>
      <c r="Q43" t="inlineStr"/>
      <c r="R43" t="inlineStr"/>
      <c r="S43" t="inlineStr"/>
      <c r="T43" t="inlineStr"/>
      <c r="U43" t="inlineStr"/>
      <c r="V43" t="inlineStr">
        <is>
          <t>NOT DETERMINED</t>
        </is>
      </c>
      <c r="W43" t="inlineStr">
        <is>
          <t>READ 2026-08-22 — no calculated figure on this screen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34"/>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MK-CF-M-001</t>
        </is>
      </c>
      <c r="B2" t="inlineStr">
        <is>
          <t>Cashflow</t>
        </is>
      </c>
      <c r="C2" t="inlineStr">
        <is>
          <t>NA</t>
        </is>
      </c>
      <c r="D2" t="inlineStr">
        <is>
          <t>Expected in</t>
        </is>
      </c>
      <c r="E2" t="inlineStr">
        <is>
          <t>cell.inflow</t>
        </is>
      </c>
      <c r="F2" t="inlineStr">
        <is>
          <t>NOT IN OLD MASTER — the by-month grid, src/domain/cashflow</t>
        </is>
      </c>
      <c r="G2" t="inlineStr">
        <is>
          <t>MK-CF-E-001</t>
        </is>
      </c>
      <c r="H2" t="inlineStr">
        <is>
          <t>for month m: expected in = Σ(income landing in m);  planned out = Σ(bills and planned spending dated in m);  planned surplus = expected in − planned out</t>
        </is>
      </c>
      <c r="I2" t="inlineStr">
        <is>
          <t>Lays the year out month by month so a month with a big bill in it can be seen before it arrives.</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As of today, from the latest figures held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MK-CF-M-002</t>
        </is>
      </c>
      <c r="B3" t="inlineStr">
        <is>
          <t>Cashflow</t>
        </is>
      </c>
      <c r="C3" t="inlineStr">
        <is>
          <t>NA</t>
        </is>
      </c>
      <c r="D3" t="inlineStr">
        <is>
          <t>Planned out · incl. &lt;big bill&gt;</t>
        </is>
      </c>
      <c r="E3" t="inlineStr">
        <is>
          <t>cell.outflow</t>
        </is>
      </c>
      <c r="F3" t="inlineStr">
        <is>
          <t>NOT IN OLD MASTER — the by-month grid, src/domain/cashflow</t>
        </is>
      </c>
      <c r="G3" t="inlineStr">
        <is>
          <t>MK-CF-E-001</t>
        </is>
      </c>
      <c r="H3" t="inlineStr">
        <is>
          <t>for month m: expected in = Σ(income landing in m);  planned out = Σ(bills and planned spending dated in m);  planned surplus = expected in − planned out</t>
        </is>
      </c>
      <c r="I3" t="inlineStr">
        <is>
          <t>Lays the year out month by month so a month with a big bill in it can be seen before it arrives.</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MK-CF-M-003</t>
        </is>
      </c>
      <c r="B4" t="inlineStr">
        <is>
          <t>Cashflow</t>
        </is>
      </c>
      <c r="C4" t="inlineStr">
        <is>
          <t>NA</t>
        </is>
      </c>
      <c r="D4">
        <f> Planned surplus</f>
        <v/>
      </c>
      <c r="E4" t="inlineStr">
        <is>
          <t>cell.net</t>
        </is>
      </c>
      <c r="F4" t="inlineStr">
        <is>
          <t>worked out on the screen: expected in − planned out</t>
        </is>
      </c>
      <c r="G4" t="inlineStr"/>
      <c r="H4" t="inlineStr">
        <is>
          <t>planned surplus = expected in − planned out</t>
        </is>
      </c>
      <c r="I4" t="inlineStr">
        <is>
          <t>Worked out on the screen itself, with no engine behind it — a place a second definition can appear.</t>
        </is>
      </c>
      <c r="J4" t="inlineStr">
        <is>
          <t>NOT DETERMINED — no input list on record for this engine</t>
        </is>
      </c>
      <c r="K4" t="inlineStr">
        <is>
          <t>US dollars · held to the cent · shown as whole dollars  [derived by rule — confirm]</t>
        </is>
      </c>
      <c r="L4" t="inlineStr">
        <is>
          <t>Inherits the refusal of the figures it is built from: if either side is missing, this line is not shown.</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MK-CF-M-004</t>
        </is>
      </c>
      <c r="B5" t="inlineStr">
        <is>
          <t>Cashflow</t>
        </is>
      </c>
      <c r="C5" t="inlineStr">
        <is>
          <t>NA</t>
        </is>
      </c>
      <c r="D5" t="inlineStr">
        <is>
          <t>Out (spent + debt)</t>
        </is>
      </c>
      <c r="E5" t="inlineStr">
        <is>
          <t>out</t>
        </is>
      </c>
      <c r="F5" t="inlineStr">
        <is>
          <t>NOT IN OLD MASTER — budgetVsActual, src/domain/budget</t>
        </is>
      </c>
      <c r="G5" t="inlineStr">
        <is>
          <t>MK-XS-E-011</t>
        </is>
      </c>
      <c r="H5" t="inlineStr">
        <is>
          <t>spent(bucket) = Σ(expenses dated in this month in that bucket, debt payments excluded);  remaining = planned − spent</t>
        </is>
      </c>
      <c r="I5" t="inlineStr">
        <is>
          <t>Adds up this month’s logged expenses by bucket and sets each against what was planned. Debt payments are deliberately left out, because debt is tracked on its own.</t>
        </is>
      </c>
      <c r="J5" t="inlineStr">
        <is>
          <t>NOT DETERMINED — no input list on record for this engine</t>
        </is>
      </c>
      <c r="K5" t="inlineStr">
        <is>
          <t>US dollars · held to the cent · shown as whole dollars  [derived by rule — confirm]</t>
        </is>
      </c>
      <c r="L5" t="inlineStr">
        <is>
          <t>Adds up to $0 when there is nothing to add. Zero and "nothing recorded yet" look identical on screen — worth a decision.</t>
        </is>
      </c>
      <c r="M5" t="inlineStr">
        <is>
          <t>One figure per debt, and one total per person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MK-CF-M-005</t>
        </is>
      </c>
      <c r="B6" t="inlineStr">
        <is>
          <t>Cashflow</t>
        </is>
      </c>
      <c r="C6" t="inlineStr">
        <is>
          <t>NA</t>
        </is>
      </c>
      <c r="D6">
        <f> Surplus</f>
        <v/>
      </c>
      <c r="E6" t="inlineStr">
        <is>
          <t>inn - out</t>
        </is>
      </c>
      <c r="F6" t="inlineStr">
        <is>
          <t>worked out on the screen: in − out</t>
        </is>
      </c>
      <c r="G6" t="inlineStr"/>
      <c r="H6" t="inlineStr">
        <is>
          <t>surplus = money in − money out</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As of today, from the latest figures held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MK-CF-M-006</t>
        </is>
      </c>
      <c r="B7" t="inlineStr">
        <is>
          <t>Cashflow</t>
        </is>
      </c>
      <c r="C7" t="inlineStr">
        <is>
          <t>NA</t>
        </is>
      </c>
      <c r="D7" t="inlineStr">
        <is>
          <t>YOUR SOURCES — Base salary</t>
        </is>
      </c>
      <c r="E7" t="inlineStr">
        <is>
          <t>op.baseSalary</t>
        </is>
      </c>
      <c r="F7" t="inlineStr">
        <is>
          <t>TOTAL_INCOME</t>
        </is>
      </c>
      <c r="G7" t="inlineStr">
        <is>
          <t>MK-XS-E-044</t>
        </is>
      </c>
      <c r="H7" t="inlineStr">
        <is>
          <t>gross a year = salary + self-employment + bonus + equity vesting + rental + other;  net a month = (gross − tax withheld − pre-tax contributions) ÷ 12</t>
        </is>
      </c>
      <c r="I7"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7" t="inlineStr">
        <is>
          <t>each part → its own engine above  [NOT AN INPUT — another engine’s answer; see the dependency column]</t>
        </is>
      </c>
      <c r="K7" t="inlineStr">
        <is>
          <t>US dollars · held to the cent · shown as whole dollars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MK-CF-M-007</t>
        </is>
      </c>
      <c r="B8" t="inlineStr">
        <is>
          <t>Cashflow</t>
        </is>
      </c>
      <c r="C8" t="inlineStr">
        <is>
          <t>NA</t>
        </is>
      </c>
      <c r="D8" t="inlineStr">
        <is>
          <t>YOUR SOURCES — Self-employment</t>
        </is>
      </c>
      <c r="E8" t="inlineStr">
        <is>
          <t>op.seAmount</t>
        </is>
      </c>
      <c r="F8" t="inlineStr">
        <is>
          <t>TOTAL_INCOME</t>
        </is>
      </c>
      <c r="G8" t="inlineStr">
        <is>
          <t>MK-XS-E-044</t>
        </is>
      </c>
      <c r="H8" t="inlineStr">
        <is>
          <t>gross a year = salary + self-employment + bonus + equity vesting + rental + other;  net a month = (gross − tax withheld − pre-tax contributions) ÷ 12</t>
        </is>
      </c>
      <c r="I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t="inlineStr">
        <is>
          <t>each part → its own engine above  [NOT AN INPUT — another engine’s answer; see the dependency column]</t>
        </is>
      </c>
      <c r="K8" t="inlineStr">
        <is>
          <t>US dollars · held to the cent · shown as whole dollars  [derived by rule — confirm]</t>
        </is>
      </c>
      <c r="L8" t="inlineStr">
        <is>
          <t>A division: with nothing on the bottom there is no answer, and the line must not appear as zero. NOT YET CONFIRMED against the engine.</t>
        </is>
      </c>
      <c r="M8" t="inlineStr">
        <is>
          <t>One figure per person — or per household when two people share one record  [derived by rule — confirm]</t>
        </is>
      </c>
      <c r="N8" t="inlineStr">
        <is>
          <t>As of today, from the latest figures held  [derived by rule — confirm]</t>
        </is>
      </c>
      <c r="O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8" t="inlineStr"/>
      <c r="Q8" t="inlineStr"/>
      <c r="R8" t="inlineStr">
        <is>
          <t>NOT DETERMINED — no assumption recorded for this figure yet.</t>
        </is>
      </c>
      <c r="S8" t="inlineStr"/>
      <c r="T8" t="inlineStr"/>
      <c r="U8" t="inlineStr"/>
      <c r="V8" t="inlineStr"/>
      <c r="W8" t="inlineStr">
        <is>
          <t>NOT DETERMINED</t>
        </is>
      </c>
      <c r="X8" t="inlineStr">
        <is>
          <t>VERIFIED 2026-08-22</t>
        </is>
      </c>
    </row>
    <row r="9">
      <c r="A9" t="inlineStr">
        <is>
          <t>MK-CF-M-008</t>
        </is>
      </c>
      <c r="B9" t="inlineStr">
        <is>
          <t>Cashflow</t>
        </is>
      </c>
      <c r="C9" t="inlineStr">
        <is>
          <t>NA</t>
        </is>
      </c>
      <c r="D9" t="inlineStr">
        <is>
          <t>YOUR SOURCES — Bonus</t>
        </is>
      </c>
      <c r="E9" t="inlineStr">
        <is>
          <t>op.bonusAnnual</t>
        </is>
      </c>
      <c r="F9" t="inlineStr">
        <is>
          <t>TOTAL_INCOME</t>
        </is>
      </c>
      <c r="G9" t="inlineStr">
        <is>
          <t>MK-XS-E-044</t>
        </is>
      </c>
      <c r="H9" t="inlineStr">
        <is>
          <t>gross a year = salary + self-employment + bonus + equity vesting + rental + other;  net a month = (gross − tax withheld − pre-tax contributions) ÷ 12</t>
        </is>
      </c>
      <c r="I9"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t="inlineStr">
        <is>
          <t>each part → its own engine above  [NOT AN INPUT — another engine’s answer; see the dependency column]</t>
        </is>
      </c>
      <c r="K9" t="inlineStr">
        <is>
          <t>US dollars · held to the cent · shown as whole dollars  [derived by rule — confirm]</t>
        </is>
      </c>
      <c r="L9" t="inlineStr">
        <is>
          <t>A division: with nothing on the bottom there is no answer, and the line must not appear as zero. NOT YET CONFIRMED against the engine.</t>
        </is>
      </c>
      <c r="M9" t="inlineStr">
        <is>
          <t>One figure per person — or per household when two people share one record  [derived by rule — confirm]</t>
        </is>
      </c>
      <c r="N9" t="inlineStr">
        <is>
          <t>As of today, from the latest figures held  [derived by rule — confirm]</t>
        </is>
      </c>
      <c r="O9"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9" t="inlineStr"/>
      <c r="Q9" t="inlineStr"/>
      <c r="R9" t="inlineStr">
        <is>
          <t>NOT DETERMINED — no assumption recorded for this figure yet.</t>
        </is>
      </c>
      <c r="S9" t="inlineStr"/>
      <c r="T9" t="inlineStr"/>
      <c r="U9" t="inlineStr"/>
      <c r="V9" t="inlineStr"/>
      <c r="W9" t="inlineStr">
        <is>
          <t>NOT DETERMINED</t>
        </is>
      </c>
      <c r="X9" t="inlineStr">
        <is>
          <t>VERIFIED 2026-08-22</t>
        </is>
      </c>
    </row>
    <row r="10">
      <c r="A10" t="inlineStr">
        <is>
          <t>MK-CF-M-009</t>
        </is>
      </c>
      <c r="B10" t="inlineStr">
        <is>
          <t>Cashflow</t>
        </is>
      </c>
      <c r="C10" t="inlineStr">
        <is>
          <t>NA</t>
        </is>
      </c>
      <c r="D10" t="inlineStr">
        <is>
          <t>YOUR SOURCES — Stock vesting (equity)</t>
        </is>
      </c>
      <c r="E10" t="inlineStr">
        <is>
          <t>rsuTotal</t>
        </is>
      </c>
      <c r="F10" t="inlineStr">
        <is>
          <t>NOT IN OLD MASTER — the equity schedule, src/domain/income</t>
        </is>
      </c>
      <c r="G10" t="inlineStr">
        <is>
          <t>MK-CF-E-002</t>
        </is>
      </c>
      <c r="H10" t="inlineStr">
        <is>
          <t>equity a year ÷ the vest months it lands in, by the stated weights</t>
        </is>
      </c>
      <c r="I10" t="inlineStr">
        <is>
          <t>Spreads stock that vests across the months it actually vests in, rather than smoothing it over the year.</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person — or per household when two people share one record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MK-CF-M-010</t>
        </is>
      </c>
      <c r="B11" t="inlineStr">
        <is>
          <t>Cashflow</t>
        </is>
      </c>
      <c r="C11" t="inlineStr">
        <is>
          <t>NA</t>
        </is>
      </c>
      <c r="D11" t="inlineStr">
        <is>
          <t>YOUR SOURCES — Rental property</t>
        </is>
      </c>
      <c r="E11" t="inlineStr">
        <is>
          <t>rentalTotal</t>
        </is>
      </c>
      <c r="F11" t="inlineStr">
        <is>
          <t>RENTAL_INCOME_A_YEAR</t>
        </is>
      </c>
      <c r="G11" t="inlineStr">
        <is>
          <t>MK-XS-E-051</t>
        </is>
      </c>
      <c r="H11" t="inlineStr">
        <is>
          <t>rental net a year = rent received − running costs</t>
        </is>
      </c>
      <c r="I11" t="inlineStr">
        <is>
          <t>(income − costs) each month, added across properties, × 12.
A property that costs more than it earns REDUCES income rather than being floored at zero — a loss-making rental is a real fact about a plan.</t>
        </is>
      </c>
      <c r="J11" t="inlineStr">
        <is>
          <t>each rental → rentalList  [MK-XS-I-023]</t>
        </is>
      </c>
      <c r="K11" t="inlineStr">
        <is>
          <t>US dollars · held to the cent · shown as whole dollars  [derived by rule — confirm]</t>
        </is>
      </c>
      <c r="L11" t="inlineStr">
        <is>
          <t>NOT DETERMINED — this engine has not been read for its refusal yet.</t>
        </is>
      </c>
      <c r="M11" t="inlineStr">
        <is>
          <t>One figure per person — or per household when two people share one record  [derived by rule — confirm]</t>
        </is>
      </c>
      <c r="N11" t="inlineStr">
        <is>
          <t>As of today, from the latest figures held  [derived by rule — confirm]</t>
        </is>
      </c>
      <c r="O11" t="inlineStr">
        <is>
          <t>MK-XS-E-054 (RENTALS) → What rental properties are there, and what does each bring in?</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MK-CF-M-011</t>
        </is>
      </c>
      <c r="B12" t="inlineStr">
        <is>
          <t>Cashflow</t>
        </is>
      </c>
      <c r="C12" t="inlineStr">
        <is>
          <t>NA</t>
        </is>
      </c>
      <c r="D12" t="inlineStr">
        <is>
          <t>YOUR SOURCES — Social Security · pension</t>
        </is>
      </c>
      <c r="E12" t="inlineStr">
        <is>
          <t>guaranteed</t>
        </is>
      </c>
      <c r="F12" t="inlineStr">
        <is>
          <t>RETIREMENT_INCOME_NOW</t>
        </is>
      </c>
      <c r="G12" t="inlineStr">
        <is>
          <t>MK-PL-E-007</t>
        </is>
      </c>
      <c r="H12" t="inlineStr">
        <is>
          <t>guaranteed income now = Σ(streams already being received)</t>
        </is>
      </c>
      <c r="I12"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2" t="inlineStr">
        <is>
          <t>do they receive it now → incomeSources  [MK-XS-I-040] · the amounts → retirementIncomeMonthly  [MK-XS-I-008]</t>
        </is>
      </c>
      <c r="K12" t="inlineStr">
        <is>
          <t>US dollars · held to the cent · shown as whole dollars  [derived by rule — confirm]</t>
        </is>
      </c>
      <c r="L12" t="inlineStr">
        <is>
          <t>Adds up to $0 when there is nothing to add. Zero and "nothing recorded yet" look identical on screen — worth a decision.</t>
        </is>
      </c>
      <c r="M12" t="inlineStr">
        <is>
          <t>One figure per person — or per household when two people share one record  [derived by rule — confirm]</t>
        </is>
      </c>
      <c r="N12" t="inlineStr">
        <is>
          <t>As of today, from the latest figures held  [derived by rule — confirm]</t>
        </is>
      </c>
      <c r="O12" t="inlineStr">
        <is>
          <t>MK-XS-E-047 (RETIREMENT_INCOME) → How much retirement income arrives monthly?</t>
        </is>
      </c>
      <c r="P12" t="inlineStr"/>
      <c r="Q12" t="inlineStr"/>
      <c r="R12" t="inlineStr">
        <is>
          <t>NOT DETERMINED — no assumption recorded for this figure yet.</t>
        </is>
      </c>
      <c r="S12"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T12" t="inlineStr"/>
      <c r="U12" t="inlineStr"/>
      <c r="V12" t="inlineStr"/>
      <c r="W12" t="inlineStr">
        <is>
          <t>NOT DETERMINED</t>
        </is>
      </c>
      <c r="X12" t="inlineStr">
        <is>
          <t>VERIFIED 2026-08-22</t>
        </is>
      </c>
    </row>
    <row r="13">
      <c r="A13" t="inlineStr">
        <is>
          <t>MK-CF-M-012</t>
        </is>
      </c>
      <c r="B13" t="inlineStr">
        <is>
          <t>Cashflow</t>
        </is>
      </c>
      <c r="C13" t="inlineStr">
        <is>
          <t>NA</t>
        </is>
      </c>
      <c r="D13" t="inlineStr">
        <is>
          <t>RECEIVED · &lt;month&gt; — each payment</t>
        </is>
      </c>
      <c r="E13" t="inlineStr">
        <is>
          <t>i.amount</t>
        </is>
      </c>
      <c r="F13" t="inlineStr">
        <is>
          <t>NOT IN OLD MASTER — the received list, src/domain/income</t>
        </is>
      </c>
      <c r="G13" t="inlineStr">
        <is>
          <t>MK-CF-E-003</t>
        </is>
      </c>
      <c r="H13" t="inlineStr">
        <is>
          <t>each payment recorded this month, with its date and source</t>
        </is>
      </c>
      <c r="I13" t="inlineStr">
        <is>
          <t>Lists what has actually been received this month, rather than what was expected.</t>
        </is>
      </c>
      <c r="J13" t="inlineStr">
        <is>
          <t>NOT DETERMINED — no input list on record for this engine</t>
        </is>
      </c>
      <c r="K13" t="inlineStr">
        <is>
          <t>US dollars · held to the cent · shown as whole dollars  [derived by rule — confirm]</t>
        </is>
      </c>
      <c r="L13" t="inlineStr">
        <is>
          <t>NOT DETERMINED — this engine has not been read for its refusal yet.</t>
        </is>
      </c>
      <c r="M13" t="inlineStr">
        <is>
          <t>One figure per month  [derived by rule — confirm]</t>
        </is>
      </c>
      <c r="N13" t="inlineStr">
        <is>
          <t>This calendar month, to today  [derived by rule — confirm]</t>
        </is>
      </c>
      <c r="O13" t="inlineStr">
        <is>
          <t>NOT DETERMINED</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MK-CF-M-013</t>
        </is>
      </c>
      <c r="B14" t="inlineStr">
        <is>
          <t>Cashflow</t>
        </is>
      </c>
      <c r="C14" t="inlineStr">
        <is>
          <t>NA</t>
        </is>
      </c>
      <c r="D14" t="inlineStr">
        <is>
          <t>&lt;MONTH&gt; · $X SPENT</t>
        </is>
      </c>
      <c r="E14" t="inlineStr">
        <is>
          <t>spent</t>
        </is>
      </c>
      <c r="F14" t="inlineStr">
        <is>
          <t>SPENDING_BY_KIND</t>
        </is>
      </c>
      <c r="G14" t="inlineStr">
        <is>
          <t>MK-XS-E-021</t>
        </is>
      </c>
      <c r="H14" t="inlineStr">
        <is>
          <t>spent in a bucket = Σ(expenses this month in that bucket);  debt payments are excluded</t>
        </is>
      </c>
      <c r="I14" t="inlineStr">
        <is>
          <t>If the person answered category by category, total each category into its bucket. If they gave three summary figures instead, use those. Nothing answered is zero — never a guessed household average, which would put a number in their plan that nobody chose.</t>
        </is>
      </c>
      <c r="J14" t="inlineStr">
        <is>
          <t>the categories → spendCats  [MK-XS-I-032] · or the three summary figures → b_fixed, b_nonmonthly, b_flexible  [NOT AN INPUT — another engine’s answer; see the dependency column]</t>
        </is>
      </c>
      <c r="K14" t="inlineStr">
        <is>
          <t>US dollars · held to the cent · shown as whole dollars  [derived by rule — confirm]</t>
        </is>
      </c>
      <c r="L14" t="inlineStr">
        <is>
          <t>Adds up to $0 when there is nothing to add. Zero and "nothing recorded yet" look identical on screen — worth a decision.</t>
        </is>
      </c>
      <c r="M14" t="inlineStr">
        <is>
          <t>One figure per month  [derived by rule — confirm]</t>
        </is>
      </c>
      <c r="N14" t="inlineStr">
        <is>
          <t>As of today, from the latest figures held  [derived by rule — confirm]</t>
        </is>
      </c>
      <c r="O14" t="inlineStr">
        <is>
          <t>MK-XS-E-020 (READ_A_NUMBER) → What number did the person actually type?</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MK-CF-M-014</t>
        </is>
      </c>
      <c r="B15" t="inlineStr">
        <is>
          <t>Cashflow</t>
        </is>
      </c>
      <c r="C15" t="inlineStr">
        <is>
          <t>NA</t>
        </is>
      </c>
      <c r="D15" t="inlineStr">
        <is>
          <t>each expense and its amount</t>
        </is>
      </c>
      <c r="E15" t="inlineStr">
        <is>
          <t>e.amount</t>
        </is>
      </c>
      <c r="F15" t="inlineStr">
        <is>
          <t>SPENDING_BY_KIND</t>
        </is>
      </c>
      <c r="G15" t="inlineStr">
        <is>
          <t>MK-XS-E-021</t>
        </is>
      </c>
      <c r="H15" t="inlineStr">
        <is>
          <t>spent in a bucket = Σ(expenses this month in that bucket);  debt payments are excluded</t>
        </is>
      </c>
      <c r="I15" t="inlineStr">
        <is>
          <t>If the person answered category by category, total each category into its bucket. If they gave three summary figures instead, use those. Nothing answered is zero — never a guessed household average, which would put a number in their plan that nobody chose.</t>
        </is>
      </c>
      <c r="J15" t="inlineStr">
        <is>
          <t>the categories → spendCats  [MK-XS-I-032] · or the three summary figures → b_fixed, b_nonmonthly, b_flexible  [NOT AN INPUT — another engine’s answer; see the dependency column]</t>
        </is>
      </c>
      <c r="K15" t="inlineStr">
        <is>
          <t>US dollars · held to the cent · shown as whole dollars  [derived by rule — confirm]</t>
        </is>
      </c>
      <c r="L15" t="inlineStr">
        <is>
          <t>Adds up to $0 when there is nothing to add. Zero and "nothing recorded yet" look identical on screen — worth a decision.</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MK-CF-M-015</t>
        </is>
      </c>
      <c r="B16" t="inlineStr">
        <is>
          <t>Cashflow</t>
        </is>
      </c>
      <c r="C16" t="inlineStr">
        <is>
          <t>NA</t>
        </is>
      </c>
      <c r="D16" t="inlineStr">
        <is>
          <t>BY CATEGORY VS PLAN — $X of $Y</t>
        </is>
      </c>
      <c r="E16" t="inlineStr">
        <is>
          <t>b.spent / b.planned</t>
        </is>
      </c>
      <c r="F16" t="inlineStr">
        <is>
          <t>PLANNED_SPENDING</t>
        </is>
      </c>
      <c r="G16" t="inlineStr">
        <is>
          <t>MK-CF-E-004</t>
        </is>
      </c>
      <c r="H16" t="inlineStr">
        <is>
          <t>planned a month = Σ(each category’s planned amount);  remaining = planned − spent</t>
        </is>
      </c>
      <c r="I16"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16" t="inlineStr">
        <is>
          <t>the categories → SPENDING_BY_KIND  [MK-XS-I-032] · the single figure → monthlySpending  [MK-XS-I-024, MK-XS-I-030]</t>
        </is>
      </c>
      <c r="K16" t="inlineStr">
        <is>
          <t>US dollars · held to the cent · shown as whole dollars  [derived by rule — confirm]</t>
        </is>
      </c>
      <c r="L16" t="inlineStr">
        <is>
          <t>Adds up to $0 when there is nothing to add. Zero and "nothing recorded yet" look identical on screen — worth a decision.</t>
        </is>
      </c>
      <c r="M16" t="inlineStr">
        <is>
          <t>One figure per category  [derived by rule — confirm]</t>
        </is>
      </c>
      <c r="N16" t="inlineStr">
        <is>
          <t>As of today, from the latest figures held  [derived by rule — confirm]</t>
        </is>
      </c>
      <c r="O16" t="inlineStr">
        <is>
          <t>MK-XS-E-020 (READ_A_NUMBER) → What number did the person actually type?
MK-XS-E-021 (SPENDING_BY_KIND) → What is spent each month, split by kind?</t>
        </is>
      </c>
      <c r="P16" t="inlineStr"/>
      <c r="Q16" t="inlineStr"/>
      <c r="R16" t="inlineStr">
        <is>
          <t>NOT DETERMINED — no assumption recorded for this figure yet.</t>
        </is>
      </c>
      <c r="S16" t="inlineStr">
        <is>
          <t>THE SURVIVING IDENTIFIER for this figure. Folded in: MK-MN-M-007. Spending against plan for a category — the same comparison on Cash flow and on the expense screen. CONFIRM: the expense screen adds the amount being typed, which may make it a different figure.</t>
        </is>
      </c>
      <c r="T16" t="inlineStr"/>
      <c r="U16" t="inlineStr"/>
      <c r="V16" t="inlineStr"/>
      <c r="W16" t="inlineStr">
        <is>
          <t>NOT DETERMINED</t>
        </is>
      </c>
      <c r="X16" t="inlineStr">
        <is>
          <t>VERIFIED 2026-08-22</t>
        </is>
      </c>
    </row>
    <row r="17">
      <c r="A17" t="inlineStr">
        <is>
          <t>MK-CF-M-016</t>
        </is>
      </c>
      <c r="B17" t="inlineStr">
        <is>
          <t>Cashflow</t>
        </is>
      </c>
      <c r="C17" t="inlineStr">
        <is>
          <t>NA</t>
        </is>
      </c>
      <c r="D17" t="inlineStr">
        <is>
          <t>BIG-TICKET RADAR — &lt;bill&gt; · due &lt;month&gt;</t>
        </is>
      </c>
      <c r="E17" t="inlineStr">
        <is>
          <t>b.amount</t>
        </is>
      </c>
      <c r="F17" t="inlineStr">
        <is>
          <t>NOT IN OLD MASTER — the big-bill radar, src/domain/cashflow</t>
        </is>
      </c>
      <c r="G17" t="inlineStr">
        <is>
          <t>MK-CF-E-005</t>
        </is>
      </c>
      <c r="H17" t="inlineStr">
        <is>
          <t>a bill is flagged when its amount is large relative to a typical month and it falls within the horizon shown</t>
        </is>
      </c>
      <c r="I17" t="inlineStr">
        <is>
          <t>Points out the big one-off bills coming up, so they are not a surprise.</t>
        </is>
      </c>
      <c r="J17" t="inlineStr">
        <is>
          <t>NOT DETERMINED — no input list on record for this engine</t>
        </is>
      </c>
      <c r="K17" t="inlineStr">
        <is>
          <t>US dollars · held to the cent · shown as whole dollars  [derived by rule — confirm]</t>
        </is>
      </c>
      <c r="L17" t="inlineStr">
        <is>
          <t>NOT DETERMINED — this engine has not been read for its refusal yet.</t>
        </is>
      </c>
      <c r="M17" t="inlineStr">
        <is>
          <t>One figure per month  [derived by rule — confirm]</t>
        </is>
      </c>
      <c r="N17" t="inlineStr">
        <is>
          <t>As of today, from the latest figures held  [derived by rule — confirm]</t>
        </is>
      </c>
      <c r="O17" t="inlineStr">
        <is>
          <t>NOT DETERMINED</t>
        </is>
      </c>
      <c r="P17" t="inlineStr"/>
      <c r="Q17" t="inlineStr"/>
      <c r="R17" t="inlineStr">
        <is>
          <t>NOT DETERMINED — no assumption recorded for this figure yet.</t>
        </is>
      </c>
      <c r="S17" t="inlineStr"/>
      <c r="T17" t="inlineStr"/>
      <c r="U17" t="inlineStr"/>
      <c r="V17" t="inlineStr"/>
      <c r="W17" t="inlineStr">
        <is>
          <t>NOT DETERMINED</t>
        </is>
      </c>
      <c r="X17" t="inlineStr">
        <is>
          <t>VERIFIED 2026-08-22</t>
        </is>
      </c>
    </row>
    <row r="18">
      <c r="A18" t="inlineStr">
        <is>
          <t>MK-CF-M-017</t>
        </is>
      </c>
      <c r="B18" t="inlineStr">
        <is>
          <t>Cashflow</t>
        </is>
      </c>
      <c r="C18" t="inlineStr">
        <is>
          <t>NA</t>
        </is>
      </c>
      <c r="D18" t="inlineStr">
        <is>
          <t>well above your usual &lt;category&gt;</t>
        </is>
      </c>
      <c r="E18" t="inlineStr">
        <is>
          <t>e.amount</t>
        </is>
      </c>
      <c r="F18" t="inlineStr">
        <is>
          <t>NOT IN OLD MASTER — the unusual-spend check, src/domain/budget</t>
        </is>
      </c>
      <c r="G18" t="inlineStr">
        <is>
          <t>MK-CF-E-006</t>
        </is>
      </c>
      <c r="H18" t="inlineStr">
        <is>
          <t>flagged when an expense is well above the usual amount for its category</t>
        </is>
      </c>
      <c r="I18" t="inlineStr">
        <is>
          <t>Marks a single expense that sits well above what that category normally costs.</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category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c r="U18" t="inlineStr"/>
      <c r="V18" t="inlineStr"/>
      <c r="W18" t="inlineStr">
        <is>
          <t>NOT DETERMINED</t>
        </is>
      </c>
      <c r="X18" t="inlineStr">
        <is>
          <t>VERIFIED 2026-08-22</t>
        </is>
      </c>
    </row>
    <row r="19">
      <c r="A19" t="inlineStr">
        <is>
          <t>MK-CF-M-018</t>
        </is>
      </c>
      <c r="B19" t="inlineStr">
        <is>
          <t>Cashflow</t>
        </is>
      </c>
      <c r="C19" t="inlineStr">
        <is>
          <t>NA</t>
        </is>
      </c>
      <c r="D19" t="inlineStr">
        <is>
          <t>THIS MONTH — In (take-home)</t>
        </is>
      </c>
      <c r="E19" t="inlineStr">
        <is>
          <t>inflow</t>
        </is>
      </c>
      <c r="F19" t="inlineStr">
        <is>
          <t>NOT IN OLD MASTER — incomeMonthlyGrid, src/domain/income</t>
        </is>
      </c>
      <c r="G19" t="inlineStr">
        <is>
          <t>MK-XS-E-012</t>
        </is>
      </c>
      <c r="H19" t="inlineStr">
        <is>
          <t>money in month m = salary(m) + tips(m) + rental ÷ 12 + bonus(m) + equity vesting(m) − withholding(m) − pre-tax contributions(m)</t>
        </is>
      </c>
      <c r="I19" t="inlineStr">
        <is>
          <t>Builds twelve months of money in, one month at a time. Salary comes from the per-month table, equity lands in the months it vests, the bonus lands in its own month, and each month has its own withholding rate.</t>
        </is>
      </c>
      <c r="J19" t="inlineStr">
        <is>
          <t>NOT DETERMINED — no input list on record for this engine</t>
        </is>
      </c>
      <c r="K19" t="inlineStr">
        <is>
          <t>US dollars · held to the cent · shown as whole dollars  [derived by rule — confirm]</t>
        </is>
      </c>
      <c r="L19" t="inlineStr">
        <is>
          <t>A division: with nothing on the bottom there is no answer, and the line must not appear as zero. NOT YET CONFIRMED against the engine.</t>
        </is>
      </c>
      <c r="M19" t="inlineStr">
        <is>
          <t>One figure per month  [derived by rule — confirm]</t>
        </is>
      </c>
      <c r="N19" t="inlineStr">
        <is>
          <t>This calendar month, to today  [derived by rule — confirm]</t>
        </is>
      </c>
      <c r="O19" t="inlineStr">
        <is>
          <t>NOT DETERMINED</t>
        </is>
      </c>
      <c r="P19" t="inlineStr"/>
      <c r="Q19" t="inlineStr"/>
      <c r="R19" t="inlineStr">
        <is>
          <t>NOT DETERMINED — no assumption recorded for this figure yet.</t>
        </is>
      </c>
      <c r="S19" t="inlineStr">
        <is>
          <t>THE SAME FIGURE AS MK-XS-M-006 — Money in this month. "In (take-home)" on Cash flow is the same figure as "Income" on Home.</t>
        </is>
      </c>
      <c r="T19" t="inlineStr"/>
      <c r="U19" t="inlineStr"/>
      <c r="V19" t="inlineStr"/>
      <c r="W19" t="inlineStr">
        <is>
          <t>NOT DETERMINED</t>
        </is>
      </c>
      <c r="X19" t="inlineStr">
        <is>
          <t>VERIFIED 2026-08-22</t>
        </is>
      </c>
    </row>
    <row r="20">
      <c r="A20" t="inlineStr">
        <is>
          <t>MK-CF-M-019</t>
        </is>
      </c>
      <c r="B20" t="inlineStr">
        <is>
          <t>Cashflow</t>
        </is>
      </c>
      <c r="C20" t="inlineStr">
        <is>
          <t>NA</t>
        </is>
      </c>
      <c r="D20" t="inlineStr">
        <is>
          <t>THIS MONTH — Out (bills + debt)</t>
        </is>
      </c>
      <c r="E20" t="inlineStr">
        <is>
          <t>outflow</t>
        </is>
      </c>
      <c r="F20" t="inlineStr">
        <is>
          <t>SPENDING_BY_KIND · DEBT_REQUIRED_PAYMENT</t>
        </is>
      </c>
      <c r="G20" t="inlineStr">
        <is>
          <t>MK-CF-E-007</t>
        </is>
      </c>
      <c r="H20" t="inlineStr">
        <is>
          <t>money out = Σ(expenses this month) + Σ(required debt payments)</t>
        </is>
      </c>
      <c r="I20"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20" t="inlineStr">
        <is>
          <t>the categories → spendCats  [MK-XS-I-032] · or the three summary figures → b_fixed, b_nonmonthly, b_flexible  [NOT AN INPUT — another engine’s answer; see the dependency column] · shape → paymentShape  [MK-XS-I-042] · minimum → minimum_monthly_payment  [MK-XS-I-016] · chosen → monthly_payment  [MK-XS-I-041]</t>
        </is>
      </c>
      <c r="K20" t="inlineStr">
        <is>
          <t>US dollars · held to the cent · shown as whole dollars  [derived by rule — confirm]</t>
        </is>
      </c>
      <c r="L20" t="inlineStr">
        <is>
          <t>Adds up to $0 when there is nothing to add. Zero and "nothing recorded yet" look identical on screen — worth a decision.</t>
        </is>
      </c>
      <c r="M20" t="inlineStr">
        <is>
          <t>One figure per debt, and one total per person  [derived by rule — confirm]</t>
        </is>
      </c>
      <c r="N20" t="inlineStr">
        <is>
          <t>This calendar month, to today  [derived by rule — confirm]</t>
        </is>
      </c>
      <c r="O20" t="inlineStr">
        <is>
          <t>MK-XS-E-020 (READ_A_NUMBER) → What number did the person actually type?
MK-XS-E-019 (DEBT_SHAPE) → How is THIS debt repaid?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MK-CF-M-020</t>
        </is>
      </c>
      <c r="B21" t="inlineStr">
        <is>
          <t>Cashflow</t>
        </is>
      </c>
      <c r="C21" t="inlineStr">
        <is>
          <t>NA</t>
        </is>
      </c>
      <c r="D21" t="inlineStr">
        <is>
          <t>THIS MONTH — free to use</t>
        </is>
      </c>
      <c r="E21" t="inlineStr">
        <is>
          <t>free</t>
        </is>
      </c>
      <c r="F21" t="inlineStr">
        <is>
          <t>worked out on the screen: in − out − what the Plan committed</t>
        </is>
      </c>
      <c r="G21" t="inlineStr"/>
      <c r="H21" t="inlineStr">
        <is>
          <t>free to use = money in − money out − Σ(monthly amounts the Plan committed)</t>
        </is>
      </c>
      <c r="I21" t="inlineStr">
        <is>
          <t>Worked out on the screen itself, with no engine behind it — a place a second definition can appear.</t>
        </is>
      </c>
      <c r="J21" t="inlineStr">
        <is>
          <t>NOT DETERMINED — no input list on record for this engine</t>
        </is>
      </c>
      <c r="K21" t="inlineStr">
        <is>
          <t>US dollars · held to the cent · shown as whole dollars  [derived by rule — confirm]</t>
        </is>
      </c>
      <c r="L21" t="inlineStr">
        <is>
          <t>Inherits the refusal of the figures it is built from: if either side is missing, this line is not shown.</t>
        </is>
      </c>
      <c r="M21" t="inlineStr">
        <is>
          <t>One figure per month  [derived by rule — confirm]</t>
        </is>
      </c>
      <c r="N21" t="inlineStr">
        <is>
          <t>This calendar month, to today  [derived by rule — confirm]</t>
        </is>
      </c>
      <c r="O21" t="inlineStr">
        <is>
          <t>NOT DETERMINED</t>
        </is>
      </c>
      <c r="P21" t="inlineStr"/>
      <c r="Q21" t="inlineStr"/>
      <c r="R21" t="inlineStr">
        <is>
          <t>NOT DETERMINED — no assumption recorded for this figure yet.</t>
        </is>
      </c>
      <c r="S21" t="inlineStr"/>
      <c r="T21" t="inlineStr"/>
      <c r="U21" t="inlineStr"/>
      <c r="V21" t="inlineStr"/>
      <c r="W21" t="inlineStr">
        <is>
          <t>NOT DETERMINED</t>
        </is>
      </c>
      <c r="X21" t="inlineStr">
        <is>
          <t>VERIFIED 2026-08-22</t>
        </is>
      </c>
    </row>
    <row r="22">
      <c r="A22" t="inlineStr">
        <is>
          <t>MK-CF-M-021</t>
        </is>
      </c>
      <c r="B22" t="inlineStr">
        <is>
          <t>Cashflow</t>
        </is>
      </c>
      <c r="C22" t="inlineStr">
        <is>
          <t>NA</t>
        </is>
      </c>
      <c r="D22" t="inlineStr">
        <is>
          <t>&lt;goal&gt; · from your Plan</t>
        </is>
      </c>
      <c r="E22" t="inlineStr">
        <is>
          <t>c.monthlyAmount</t>
        </is>
      </c>
      <c r="F22" t="inlineStr">
        <is>
          <t>NOT IN OLD MASTER — plan commitments, src/domain/planning</t>
        </is>
      </c>
      <c r="G22" t="inlineStr">
        <is>
          <t>MK-CF-E-008</t>
        </is>
      </c>
      <c r="H22" t="inlineStr">
        <is>
          <t>Σ(monthly amount of each goal the Plan has committed to)</t>
        </is>
      </c>
      <c r="I22" t="inlineStr">
        <is>
          <t>The monthly amounts the Plan has already promised to goals, so cash flow can show what is genuinely free.</t>
        </is>
      </c>
      <c r="J22" t="inlineStr">
        <is>
          <t>NOT DETERMINED — no input list on record for this engine</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goal  [derived by rule — confirm]</t>
        </is>
      </c>
      <c r="N22" t="inlineStr">
        <is>
          <t>As of today, from the latest figures held  [derived by rule — confirm]</t>
        </is>
      </c>
      <c r="O22" t="inlineStr">
        <is>
          <t>NOT DETERMINED</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MK-CF-M-022</t>
        </is>
      </c>
      <c r="B23" t="inlineStr">
        <is>
          <t>Cashflow</t>
        </is>
      </c>
      <c r="C23" t="inlineStr">
        <is>
          <t>NA</t>
        </is>
      </c>
      <c r="D23" t="inlineStr">
        <is>
          <t>YOUR FUTURE PAYCHECK — At &lt;age&gt;: ~$X / mo</t>
        </is>
      </c>
      <c r="E23" t="inlineStr">
        <is>
          <t>projection.monthly</t>
        </is>
      </c>
      <c r="F23" t="inlineStr">
        <is>
          <t>POT_AT_RETIREMENT</t>
        </is>
      </c>
      <c r="G23" t="inlineStr">
        <is>
          <t>MK-NW-E-009</t>
        </is>
      </c>
      <c r="H23" t="inlineStr">
        <is>
          <t>pot = balance × (1 + r)^n + Σ(contribution × (1 + r)^(n − year)),  n = years to retirement</t>
        </is>
      </c>
      <c r="I2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spending,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spending rises with inflation every year, and so does Social Security, but a pension stays flat.
WHY THE NUMBER IS SMALLER THAN THE SUM OF THE SPENDING. Money you do not need until year fifteen keeps earning until then, so you need less than fifteen years' spending set aside today.
MONEY IS NEEDED AT THE START OF ITS YEAR. The first retirement year's spending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engine: this one knows how long you plan for and what your money earns; the yardstick knows neither.</t>
        </is>
      </c>
      <c r="J23" t="inlineStr">
        <is>
          <t>the same inputs → inp  [MK-XS-I-001]</t>
        </is>
      </c>
      <c r="K23" t="inlineStr">
        <is>
          <t>Age in whole years  [derived by rule — confirm]</t>
        </is>
      </c>
      <c r="L23" t="inlineStr">
        <is>
          <t>No figure when there is nothing to grow, or when retirement is not ahead of the person.</t>
        </is>
      </c>
      <c r="M23" t="inlineStr">
        <is>
          <t>One figure per person — or per household when two people share one record  [derived by rule — confirm]</t>
        </is>
      </c>
      <c r="N23" t="inlineStr">
        <is>
          <t>As of today, from the latest figures held  [derived by rule — confirm]</t>
        </is>
      </c>
      <c r="O23" t="inlineStr">
        <is>
          <t>MK-XS-E-005 (WILL_IT_LAST) → Will my money last?</t>
        </is>
      </c>
      <c r="P23" t="inlineStr"/>
      <c r="Q23" t="inlineStr">
        <is>
          <t>The Net worth screen builds this projection WITHOUT the person's big costs, while Cash flow, Budget, Goals and Social Security timing all include them. Same person, same day, two different nest eggs. Seen in the code; not yet confirmed on screen.</t>
        </is>
      </c>
      <c r="R23" t="inlineStr">
        <is>
          <t>[Founder] The recommended nest egg is 25× the yearly spending not covered by guaranteed income, counted from the start of the retirement year — which is why it differs from an outside calculator.
[Built in] The assumed rate of return, which the person can change on the cockpit.
[The person] The retirement age in their plan.</t>
        </is>
      </c>
      <c r="S23" t="inlineStr"/>
      <c r="T23" t="inlineStr"/>
      <c r="U23" t="inlineStr"/>
      <c r="V23" t="inlineStr"/>
      <c r="W23" t="inlineStr">
        <is>
          <t>NOT DETERMINED</t>
        </is>
      </c>
      <c r="X23" t="inlineStr">
        <is>
          <t>VERIFIED 2026-08-22</t>
        </is>
      </c>
    </row>
    <row r="24">
      <c r="A24" t="inlineStr">
        <is>
          <t>MK-CF-M-023</t>
        </is>
      </c>
      <c r="B24" t="inlineStr">
        <is>
          <t>Cashflow</t>
        </is>
      </c>
      <c r="C24" t="inlineStr">
        <is>
          <t>NA</t>
        </is>
      </c>
      <c r="D24" t="inlineStr">
        <is>
          <t>YOUR FUTURE PAYCHECK — Social Security · pension</t>
        </is>
      </c>
      <c r="E24" t="inlineStr">
        <is>
          <t>projection.guaranteed</t>
        </is>
      </c>
      <c r="F24" t="inlineStr">
        <is>
          <t>RETIREMENT_INCOME</t>
        </is>
      </c>
      <c r="G24" t="inlineStr">
        <is>
          <t>MK-XS-E-047</t>
        </is>
      </c>
      <c r="H24" t="inlineStr">
        <is>
          <t>guaranteed income a month = Social Security + pension + annuity + any other stated stream</t>
        </is>
      </c>
      <c r="I24" t="inlineStr">
        <is>
          <t>Add Social Security, pension, withdrawals, required minimum distributions, annuities and other — each converted to a monthly figure from however it was entered (yearly, quarterly, monthly).</t>
        </is>
      </c>
      <c r="J24" t="inlineStr">
        <is>
          <t>each source → ri_ss  [MK-XS-I-020] · ri_pension  [MK-XS-I-022] · ri_withdrawals  [MK-XS-I-038] · ri_rmd  [MK-XS-I-037] · ri_annuities  [MK-XS-I-035] · ri_other  [MK-XS-I-036] · and how often each arrives → the matching frequency  [MK-XS-I-039]</t>
        </is>
      </c>
      <c r="K24" t="inlineStr">
        <is>
          <t>US dollars · held to the cent · shown as whole dollars  [derived by rule — confirm]</t>
        </is>
      </c>
      <c r="L24" t="inlineStr">
        <is>
          <t>NOT DETERMINED — this engine has not been read for its refusal yet.</t>
        </is>
      </c>
      <c r="M24" t="inlineStr">
        <is>
          <t>One figure per person — or per household when two people share one record  [derived by rule — confirm]</t>
        </is>
      </c>
      <c r="N24" t="inlineStr">
        <is>
          <t>As of today, from the latest figures held  [derived by rule — confirm]</t>
        </is>
      </c>
      <c r="O24" t="inlineStr">
        <is>
          <t>MK-XS-E-020 (READ_A_NUMBER) → What number did the person actually type?</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MK-CF-M-024</t>
        </is>
      </c>
      <c r="B25" t="inlineStr">
        <is>
          <t>Cashflow</t>
        </is>
      </c>
      <c r="C25" t="inlineStr">
        <is>
          <t>/monthly-income</t>
        </is>
      </c>
      <c r="D25" t="inlineStr">
        <is>
          <t>each source of guaranteed income</t>
        </is>
      </c>
      <c r="E25" t="inlineStr">
        <is>
          <t>g.amount</t>
        </is>
      </c>
      <c r="F25" t="inlineStr">
        <is>
          <t>RETIREMENT_INCOME_NOW</t>
        </is>
      </c>
      <c r="G25" t="inlineStr">
        <is>
          <t>MK-PL-E-007</t>
        </is>
      </c>
      <c r="H25" t="inlineStr">
        <is>
          <t>guaranteed income now = Σ(streams already being received)</t>
        </is>
      </c>
      <c r="I25"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25" t="inlineStr">
        <is>
          <t>do they receive it now → incomeSources  [MK-XS-I-040] · the amounts → retirementIncomeMonthly  [MK-XS-I-008]</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MK-XS-E-047 (RETIREMENT_INCOME) → How much retirement income arrives monthly?</t>
        </is>
      </c>
      <c r="P25" t="inlineStr"/>
      <c r="Q25" t="inlineStr"/>
      <c r="R25" t="inlineStr">
        <is>
          <t>NOT DETERMINED — no assumption recorded for this figure yet.</t>
        </is>
      </c>
      <c r="S25" t="inlineStr">
        <is>
          <t>THE SAME FIGURE AS MK-CF-M-011 — Guaranteed income being received now. Shown four ways: "You receive $X/mo" on Social Security timing, "incl. Social Security $X/mo" on the cockpit, as a source on Cash flow, and as a list on Monthly income. One figure, four identifiers.</t>
        </is>
      </c>
      <c r="T25" t="inlineStr"/>
      <c r="U25" t="inlineStr"/>
      <c r="V25" t="inlineStr"/>
      <c r="W25" t="inlineStr">
        <is>
          <t>NOT DETERMINED</t>
        </is>
      </c>
      <c r="X25" t="inlineStr">
        <is>
          <t>VERIFIED 2026-08-22</t>
        </is>
      </c>
    </row>
    <row r="26">
      <c r="A26" t="inlineStr">
        <is>
          <t>MK-CF-M-025</t>
        </is>
      </c>
      <c r="B26" t="inlineStr">
        <is>
          <t>Cashflow</t>
        </is>
      </c>
      <c r="C26" t="inlineStr">
        <is>
          <t>/month-detail</t>
        </is>
      </c>
      <c r="D26" t="inlineStr">
        <is>
          <t>what came in and went out that month</t>
        </is>
      </c>
      <c r="E26" t="inlineStr">
        <is>
          <t>cell</t>
        </is>
      </c>
      <c r="F26" t="inlineStr">
        <is>
          <t>the by-month grid</t>
        </is>
      </c>
      <c r="G26" t="inlineStr">
        <is>
          <t>MK-CF-E-009</t>
        </is>
      </c>
      <c r="H26" t="inlineStr">
        <is>
          <t>see the by-month grid</t>
        </is>
      </c>
      <c r="I26" t="inlineStr">
        <is>
          <t>The month-by-month view of money in and money out.</t>
        </is>
      </c>
      <c r="J26" t="inlineStr">
        <is>
          <t>NOT DETERMINED — no input list on record for this engine</t>
        </is>
      </c>
      <c r="K26" t="inlineStr">
        <is>
          <t>US dollars · held to the cent · shown as whole dollars  [derived by rule — confirm]</t>
        </is>
      </c>
      <c r="L26" t="inlineStr">
        <is>
          <t>NOT DETERMINED — this engine has not been read for its refusal yet.</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MK-CF-M-026</t>
        </is>
      </c>
      <c r="B27" t="inlineStr">
        <is>
          <t>Cashflow</t>
        </is>
      </c>
      <c r="C27" t="inlineStr">
        <is>
          <t>/paycheck-months</t>
        </is>
      </c>
      <c r="D27" t="inlineStr">
        <is>
          <t>the months a paycheck lands</t>
        </is>
      </c>
      <c r="E27" t="inlineStr">
        <is>
          <t>payYear</t>
        </is>
      </c>
      <c r="F27" t="inlineStr">
        <is>
          <t>RETIREMENT_PAYCHECK  [NAME ASSIGNED HERE — no engine row exists for it yet]</t>
        </is>
      </c>
      <c r="G27" t="inlineStr">
        <is>
          <t>MK-CF-E-010</t>
        </is>
      </c>
      <c r="H27" t="inlineStr">
        <is>
          <t>paycheck a month = guaranteed income + the draw from savings</t>
        </is>
      </c>
      <c r="I27" t="inlineStr">
        <is>
          <t>Builds the monthly paycheck in retirement: what is guaranteed that month, plus what can be drawn from savings without breaking the plan.</t>
        </is>
      </c>
      <c r="J27" t="inlineStr">
        <is>
          <t>NOT DETERMINED — no input list on record for this engine</t>
        </is>
      </c>
      <c r="K27" t="inlineStr">
        <is>
          <t>Months · one decimal  [derived by rule — confirm]</t>
        </is>
      </c>
      <c r="L27" t="inlineStr">
        <is>
          <t>NOT DETERMINED — this engine has not been read for its refusal yet.</t>
        </is>
      </c>
      <c r="M27" t="inlineStr">
        <is>
          <t>One figure per month  [derived by rule — confirm]</t>
        </is>
      </c>
      <c r="N27" t="inlineStr">
        <is>
          <t>As of today, from the latest figures held  [derived by rule — confirm]</t>
        </is>
      </c>
      <c r="O27" t="inlineStr">
        <is>
          <t>NOT DETERMINED</t>
        </is>
      </c>
      <c r="P27" t="inlineStr"/>
      <c r="Q27" t="inlineStr"/>
      <c r="R27" t="inlineStr">
        <is>
          <t>[Founder] Withdrawals, including required ones, are NOT counted as guaranteed income — counting money coming out of the pot as income would count the same dollars twice (fix B5).</t>
        </is>
      </c>
      <c r="S27" t="inlineStr"/>
      <c r="T27" t="inlineStr">
        <is>
          <t>Q30 — The draw from savings is shown as one figure a month. Should it hold steady in today's dollars, or rise with inflation each year?</t>
        </is>
      </c>
      <c r="U27" t="inlineStr"/>
      <c r="V27" t="inlineStr"/>
      <c r="W27" t="inlineStr">
        <is>
          <t>NOT DETERMINED</t>
        </is>
      </c>
      <c r="X27" t="inlineStr">
        <is>
          <t>VERIFIED 2026-08-22</t>
        </is>
      </c>
    </row>
    <row r="28">
      <c r="A28" t="inlineStr">
        <is>
          <t>MK-CF-M-027</t>
        </is>
      </c>
      <c r="B28" t="inlineStr">
        <is>
          <t>Cashflow</t>
        </is>
      </c>
      <c r="C28" t="inlineStr">
        <is>
          <t>/income-manager</t>
        </is>
      </c>
      <c r="D28" t="inlineStr">
        <is>
          <t>each income source and its amount</t>
        </is>
      </c>
      <c r="E28" t="inlineStr">
        <is>
          <t>sources</t>
        </is>
      </c>
      <c r="F28" t="inlineStr">
        <is>
          <t>TOTAL_INCOME</t>
        </is>
      </c>
      <c r="G28" t="inlineStr">
        <is>
          <t>MK-XS-E-044</t>
        </is>
      </c>
      <c r="H28" t="inlineStr">
        <is>
          <t>gross a year = salary + self-employment + bonus + equity vesting + rental + other;  net a month = (gross − tax withheld − pre-tax contributions) ÷ 12</t>
        </is>
      </c>
      <c r="I28"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8" t="inlineStr">
        <is>
          <t>each part → its own engine above  [NOT AN INPUT — another engine’s answer; see the dependency column]</t>
        </is>
      </c>
      <c r="K28" t="inlineStr">
        <is>
          <t>US dollars · held to the cent · shown as whole dollars  [derived by rule — confirm]</t>
        </is>
      </c>
      <c r="L28" t="inlineStr">
        <is>
          <t>A division: with nothing on the bottom there is no answer, and the line must not appear as zero. NOT YET CONFIRMED against the engine.</t>
        </is>
      </c>
      <c r="M28" t="inlineStr">
        <is>
          <t>One figure per person — or per household when two people share one record  [derived by rule — confirm]</t>
        </is>
      </c>
      <c r="N28" t="inlineStr">
        <is>
          <t>As of today, from the latest figures held  [derived by rule — confirm]</t>
        </is>
      </c>
      <c r="O28"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28" t="inlineStr"/>
      <c r="Q28" t="inlineStr"/>
      <c r="R28" t="inlineStr">
        <is>
          <t>NOT DETERMINED — no assumption recorded for this figure yet.</t>
        </is>
      </c>
      <c r="S28" t="inlineStr"/>
      <c r="T28" t="inlineStr"/>
      <c r="U28" t="inlineStr"/>
      <c r="V28" t="inlineStr"/>
      <c r="W28" t="inlineStr">
        <is>
          <t>NOT DETERMINED</t>
        </is>
      </c>
      <c r="X28" t="inlineStr">
        <is>
          <t>VERIFIED 2026-08-22</t>
        </is>
      </c>
    </row>
    <row r="29">
      <c r="A29" t="inlineStr">
        <is>
          <t>MK-CF-M-028</t>
        </is>
      </c>
      <c r="B29" t="inlineStr">
        <is>
          <t>Cashflow</t>
        </is>
      </c>
      <c r="C29" t="inlineStr">
        <is>
          <t>/bill-calendar</t>
        </is>
      </c>
      <c r="D29" t="inlineStr">
        <is>
          <t>each bill and the day it falls</t>
        </is>
      </c>
      <c r="E29" t="inlineStr">
        <is>
          <t>bills</t>
        </is>
      </c>
      <c r="F29" t="inlineStr">
        <is>
          <t>THE_BILL_CALENDAR  [NAME ASSIGNED HERE — no engine row exists for it yet]</t>
        </is>
      </c>
      <c r="G29" t="inlineStr">
        <is>
          <t>MK-CF-E-011</t>
        </is>
      </c>
      <c r="H29" t="inlineStr">
        <is>
          <t>each bill falls on its stated day;  the month’s bills = Σ(amounts due in that month)</t>
        </is>
      </c>
      <c r="I29" t="inlineStr">
        <is>
          <t>Places each recurring bill on the day of the month it falls, so the shape of the month can be seen.</t>
        </is>
      </c>
      <c r="J29" t="inlineStr">
        <is>
          <t>NOT DETERMINED — no input list on record for this engine</t>
        </is>
      </c>
      <c r="K29" t="inlineStr">
        <is>
          <t>US dollars · held to the cent · shown as whole dollars  [derived by rule — confirm]</t>
        </is>
      </c>
      <c r="L29" t="inlineStr">
        <is>
          <t>Adds up to $0 when there is nothing to add. Zero and "nothing recorded yet" look identical on screen — worth a decision.</t>
        </is>
      </c>
      <c r="M29" t="inlineStr">
        <is>
          <t>One figure per person — or per household when two people share one record  [derived by rule — confirm]</t>
        </is>
      </c>
      <c r="N29" t="inlineStr">
        <is>
          <t>As of today, from the latest figures held  [derived by rule — confirm]</t>
        </is>
      </c>
      <c r="O29" t="inlineStr">
        <is>
          <t>NOT DETERMINED</t>
        </is>
      </c>
      <c r="P29" t="inlineStr"/>
      <c r="Q29" t="inlineStr"/>
      <c r="R29" t="inlineStr">
        <is>
          <t>NOT DETERMINED — no assumption recorded for this figure yet.</t>
        </is>
      </c>
      <c r="S29" t="inlineStr"/>
      <c r="T29" t="inlineStr"/>
      <c r="U29" t="inlineStr"/>
      <c r="V29" t="inlineStr"/>
      <c r="W29" t="inlineStr">
        <is>
          <t>NOT DETERMINED</t>
        </is>
      </c>
      <c r="X29" t="inlineStr">
        <is>
          <t>VERIFIED 2026-08-22</t>
        </is>
      </c>
    </row>
    <row r="30">
      <c r="A30" t="inlineStr"/>
      <c r="B30" t="inlineStr">
        <is>
          <t>Cashflow</t>
        </is>
      </c>
      <c r="C30" t="inlineStr">
        <is>
          <t>/add-account</t>
        </is>
      </c>
      <c r="D30" t="inlineStr">
        <is>
          <t>—</t>
        </is>
      </c>
      <c r="E30" t="inlineStr">
        <is>
          <t>—</t>
        </is>
      </c>
      <c r="F30" t="inlineStr">
        <is>
          <t>—</t>
        </is>
      </c>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is>
          <t>NOT DETERMINED</t>
        </is>
      </c>
      <c r="W30" t="inlineStr">
        <is>
          <t>READ 2026-08-22 — no calculated figure on this screen</t>
        </is>
      </c>
    </row>
    <row r="31">
      <c r="A31" t="inlineStr"/>
      <c r="B31" t="inlineStr">
        <is>
          <t>Cashflow</t>
        </is>
      </c>
      <c r="C31" t="inlineStr">
        <is>
          <t>/connect</t>
        </is>
      </c>
      <c r="D31" t="inlineStr">
        <is>
          <t>—</t>
        </is>
      </c>
      <c r="E31" t="inlineStr">
        <is>
          <t>—</t>
        </is>
      </c>
      <c r="F31" t="inlineStr">
        <is>
          <t>—</t>
        </is>
      </c>
      <c r="G31" t="inlineStr"/>
      <c r="H31" t="inlineStr"/>
      <c r="I31" t="inlineStr"/>
      <c r="J31" t="inlineStr"/>
      <c r="K31" t="inlineStr"/>
      <c r="L31" t="inlineStr"/>
      <c r="M31" t="inlineStr"/>
      <c r="N31" t="inlineStr"/>
      <c r="O31" t="inlineStr"/>
      <c r="P31" t="inlineStr"/>
      <c r="Q31" t="inlineStr"/>
      <c r="R31" t="inlineStr"/>
      <c r="S31" t="inlineStr"/>
      <c r="T31" t="inlineStr"/>
      <c r="U31" t="inlineStr"/>
      <c r="V31" t="inlineStr">
        <is>
          <t>NOT DETERMINED</t>
        </is>
      </c>
      <c r="W31" t="inlineStr">
        <is>
          <t>READ 2026-08-22 — no calculated figure on this screen</t>
        </is>
      </c>
    </row>
    <row r="32">
      <c r="A32" t="inlineStr"/>
      <c r="B32" t="inlineStr">
        <is>
          <t>Cashflow</t>
        </is>
      </c>
      <c r="C32" t="inlineStr">
        <is>
          <t>/import-holdings</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Cashflow</t>
        </is>
      </c>
      <c r="C33" t="inlineStr">
        <is>
          <t>/onboarding</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Cashflow</t>
        </is>
      </c>
      <c r="C34" t="inlineStr">
        <is>
          <t>/performance</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the same screen as /invest, reached by a second route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3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9" customWidth="1" min="3" max="3"/>
    <col width="22" customWidth="1" min="4" max="4"/>
    <col width="33" customWidth="1" min="5" max="5"/>
    <col width="33" customWidth="1" min="6" max="6"/>
    <col width="17" customWidth="1" min="7" max="7"/>
    <col width="30" customWidth="1" min="8" max="8"/>
    <col width="26" customWidth="1" min="9" max="9"/>
    <col width="23" customWidth="1" min="10" max="10"/>
    <col width="42" customWidth="1" min="11" max="11"/>
    <col width="42" customWidth="1" min="12" max="12"/>
    <col width="35" customWidth="1" min="13" max="13"/>
    <col width="42" customWidth="1" min="14" max="14"/>
    <col width="42" customWidth="1" min="15" max="15"/>
    <col width="42" customWidth="1" min="16" max="16"/>
    <col width="37" customWidth="1" min="17" max="17"/>
    <col width="22" customWidth="1" min="18" max="18"/>
    <col width="28" customWidth="1" min="19" max="19"/>
    <col width="36" customWidth="1" min="20" max="20"/>
    <col width="41" customWidth="1" min="21" max="21"/>
    <col width="41" customWidth="1" min="22" max="22"/>
    <col width="20" customWidth="1" min="23" max="23"/>
    <col width="18" customWidth="1" min="24" max="24"/>
  </cols>
  <sheetData>
    <row r="1">
      <c r="A1" s="1" t="inlineStr">
        <is>
          <t>Metric ID</t>
        </is>
      </c>
      <c r="B1" s="1" t="inlineStr">
        <is>
          <t>Parent Screen Name</t>
        </is>
      </c>
      <c r="C1" s="1" t="inlineStr">
        <is>
          <t>Secondary Screen Name</t>
        </is>
      </c>
      <c r="D1" s="1" t="inlineStr">
        <is>
          <t>Name on Screen</t>
        </is>
      </c>
      <c r="E1" s="1" t="inlineStr">
        <is>
          <t>Name of Underlying Metric</t>
        </is>
      </c>
      <c r="F1" s="1" t="inlineStr">
        <is>
          <t>Name of Underlying Engine</t>
        </is>
      </c>
      <c r="G1" s="1" t="inlineStr">
        <is>
          <t>Engine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engine ID → the output it uses</t>
        </is>
      </c>
      <c r="P1" s="1" t="inlineStr">
        <is>
          <t>Secondary calculations and decisions the engine makes</t>
        </is>
      </c>
      <c r="Q1" s="1" t="inlineStr">
        <is>
          <t>Errors or findings to address</t>
        </is>
      </c>
      <c r="R1" s="1" t="inlineStr">
        <is>
          <t>Decisions made</t>
        </is>
      </c>
      <c r="S1" s="1" t="inlineStr">
        <is>
          <t>Same figure as (S16)</t>
        </is>
      </c>
      <c r="T1" s="1" t="inlineStr">
        <is>
          <t>Questions for you (numbered)</t>
        </is>
      </c>
      <c r="U1" s="1" t="inlineStr">
        <is>
          <t>YOUR ANSWER — use the same number</t>
        </is>
      </c>
      <c r="V1" s="1" t="inlineStr">
        <is>
          <t>Your name for it (72-metric file)</t>
        </is>
      </c>
      <c r="W1" s="1" t="inlineStr">
        <is>
          <t>Core screen?</t>
        </is>
      </c>
      <c r="X1" s="1" t="inlineStr">
        <is>
          <t>Row status</t>
        </is>
      </c>
    </row>
    <row r="2">
      <c r="A2" t="inlineStr">
        <is>
          <t>MK-MN-M-001</t>
        </is>
      </c>
      <c r="B2" t="inlineStr">
        <is>
          <t>Menu</t>
        </is>
      </c>
      <c r="C2" t="inlineStr">
        <is>
          <t>/big-costs</t>
        </is>
      </c>
      <c r="D2" t="inlineStr">
        <is>
          <t>each big cost and its year</t>
        </is>
      </c>
      <c r="E2" t="inlineStr">
        <is>
          <t>c.amount</t>
        </is>
      </c>
      <c r="F2" t="inlineStr">
        <is>
          <t>BIG_COSTS  [NAME ASSIGNED HERE — no engine row exists for it yet]</t>
        </is>
      </c>
      <c r="G2" t="inlineStr">
        <is>
          <t>MK-MN-E-001</t>
        </is>
      </c>
      <c r="H2" t="inlineStr">
        <is>
          <t>total = Σ(each big cost);  each one lands in the year it is dated</t>
        </is>
      </c>
      <c r="I2" t="inlineStr">
        <is>
          <t>Adds up the one-off costs the person has told us about, each sitting in the year it is expected.</t>
        </is>
      </c>
      <c r="J2" t="inlineStr">
        <is>
          <t>NOT DETERMINED — no input list on record for this engine</t>
        </is>
      </c>
      <c r="K2" t="inlineStr">
        <is>
          <t>US dollars · held to the cent · shown as whole dollars  [derived by rule — confirm]</t>
        </is>
      </c>
      <c r="L2" t="inlineStr">
        <is>
          <t>Adds up to $0 when there is nothing to add. Zero and "nothing recorded yet" look identical on screen — worth a decision.</t>
        </is>
      </c>
      <c r="M2" t="inlineStr">
        <is>
          <t>One figure per person — or per household when two people share one record  [derived by rule — confirm]</t>
        </is>
      </c>
      <c r="N2" t="inlineStr">
        <is>
          <t>This calendar year, to today  [derived by rule — confirm]</t>
        </is>
      </c>
      <c r="O2" t="inlineStr">
        <is>
          <t>NOT DETERMINED</t>
        </is>
      </c>
      <c r="P2" t="inlineStr"/>
      <c r="Q2" t="inlineStr"/>
      <c r="R2" t="inlineStr">
        <is>
          <t>NOT DETERMINED — no assumption recorded for this figure yet.</t>
        </is>
      </c>
      <c r="S2" t="inlineStr"/>
      <c r="T2" t="inlineStr"/>
      <c r="U2" t="inlineStr"/>
      <c r="V2" t="inlineStr"/>
      <c r="W2" t="inlineStr">
        <is>
          <t>NOT DETERMINED</t>
        </is>
      </c>
      <c r="X2" t="inlineStr">
        <is>
          <t>VERIFIED 2026-08-22</t>
        </is>
      </c>
    </row>
    <row r="3">
      <c r="A3" t="inlineStr">
        <is>
          <t>MK-MN-M-002</t>
        </is>
      </c>
      <c r="B3" t="inlineStr">
        <is>
          <t>Menu</t>
        </is>
      </c>
      <c r="C3" t="inlineStr">
        <is>
          <t>/big-costs</t>
        </is>
      </c>
      <c r="D3" t="inlineStr">
        <is>
          <t>the total of your big costs</t>
        </is>
      </c>
      <c r="E3" t="inlineStr">
        <is>
          <t>total</t>
        </is>
      </c>
      <c r="F3" t="inlineStr">
        <is>
          <t>BIG_COSTS  [NAME ASSIGNED HERE — no engine row exists for it yet]</t>
        </is>
      </c>
      <c r="G3" t="inlineStr">
        <is>
          <t>MK-MN-E-001</t>
        </is>
      </c>
      <c r="H3" t="inlineStr">
        <is>
          <t>total = Σ(each big cost);  each one lands in the year it is dated</t>
        </is>
      </c>
      <c r="I3" t="inlineStr">
        <is>
          <t>Adds up the one-off costs the person has told us about, each sitting in the year it is expected.</t>
        </is>
      </c>
      <c r="J3" t="inlineStr">
        <is>
          <t>NOT DETERMINED — no input list on record for this engine</t>
        </is>
      </c>
      <c r="K3" t="inlineStr">
        <is>
          <t>US dollars · held to the cent · shown as whole dollars  [derived by rule — confirm]</t>
        </is>
      </c>
      <c r="L3" t="inlineStr">
        <is>
          <t>Adds up to $0 when there is nothing to add. Zero and "nothing recorded yet" look identical on screen — worth a decision.</t>
        </is>
      </c>
      <c r="M3" t="inlineStr">
        <is>
          <t>One figure per person — or per household when two people share one record  [derived by rule — confirm]</t>
        </is>
      </c>
      <c r="N3" t="inlineStr">
        <is>
          <t>As of today, from the latest figures held  [derived by rule — confirm]</t>
        </is>
      </c>
      <c r="O3" t="inlineStr">
        <is>
          <t>NOT DETERMINED</t>
        </is>
      </c>
      <c r="P3" t="inlineStr"/>
      <c r="Q3" t="inlineStr"/>
      <c r="R3" t="inlineStr">
        <is>
          <t>NOT DETERMINED — no assumption recorded for this figure yet.</t>
        </is>
      </c>
      <c r="S3" t="inlineStr"/>
      <c r="T3" t="inlineStr"/>
      <c r="U3" t="inlineStr"/>
      <c r="V3" t="inlineStr"/>
      <c r="W3" t="inlineStr">
        <is>
          <t>NOT DETERMINED</t>
        </is>
      </c>
      <c r="X3" t="inlineStr">
        <is>
          <t>VERIFIED 2026-08-22</t>
        </is>
      </c>
    </row>
    <row r="4">
      <c r="A4" t="inlineStr">
        <is>
          <t>MK-MN-M-003</t>
        </is>
      </c>
      <c r="B4" t="inlineStr">
        <is>
          <t>Menu</t>
        </is>
      </c>
      <c r="C4" t="inlineStr">
        <is>
          <t>/contribution-room</t>
        </is>
      </c>
      <c r="D4" t="inlineStr">
        <is>
          <t>$X left / up to $Y</t>
        </is>
      </c>
      <c r="E4" t="inlineStr">
        <is>
          <t>room / limit</t>
        </is>
      </c>
      <c r="F4" t="inlineStr">
        <is>
          <t>CONTRIBUTION_ROOM  [NAME ASSIGNED HERE — no engine row exists for it yet]</t>
        </is>
      </c>
      <c r="G4" t="inlineStr">
        <is>
          <t>MK-MN-E-002</t>
        </is>
      </c>
      <c r="H4" t="inlineStr">
        <is>
          <t>room left = the year’s limit − what has already gone in;  per month = room left ÷ months left in the year</t>
        </is>
      </c>
      <c r="I4" t="inlineStr">
        <is>
          <t>Takes the year's legal limit for the account, subtracts what has already gone in, and divides what is left by the months remaining.</t>
        </is>
      </c>
      <c r="J4" t="inlineStr">
        <is>
          <t>NOT DETERMINED — no input list on record for this engine</t>
        </is>
      </c>
      <c r="K4" t="inlineStr">
        <is>
          <t>US dollars · held to the cent · shown as whole dollars  [derived by rule — confirm]</t>
        </is>
      </c>
      <c r="L4" t="inlineStr">
        <is>
          <t>A division: with nothing on the bottom there is no answer, and the line must not appear as zero. NOT YET CONFIRMED against the engine.</t>
        </is>
      </c>
      <c r="M4" t="inlineStr">
        <is>
          <t>One figure per person — or per household when two people share one record  [derived by rule — confirm]</t>
        </is>
      </c>
      <c r="N4" t="inlineStr">
        <is>
          <t>As of today, from the latest figures held  [derived by rule — confirm]</t>
        </is>
      </c>
      <c r="O4" t="inlineStr">
        <is>
          <t>NOT DETERMINED</t>
        </is>
      </c>
      <c r="P4" t="inlineStr"/>
      <c r="Q4" t="inlineStr"/>
      <c r="R4" t="inlineStr">
        <is>
          <t>NOT DETERMINED — no assumption recorded for this figure yet.</t>
        </is>
      </c>
      <c r="S4" t="inlineStr"/>
      <c r="T4" t="inlineStr"/>
      <c r="U4" t="inlineStr"/>
      <c r="V4" t="inlineStr"/>
      <c r="W4" t="inlineStr">
        <is>
          <t>NOT DETERMINED</t>
        </is>
      </c>
      <c r="X4" t="inlineStr">
        <is>
          <t>VERIFIED 2026-08-22</t>
        </is>
      </c>
    </row>
    <row r="5">
      <c r="A5" t="inlineStr">
        <is>
          <t>MK-MN-M-004</t>
        </is>
      </c>
      <c r="B5" t="inlineStr">
        <is>
          <t>Menu</t>
        </is>
      </c>
      <c r="C5" t="inlineStr">
        <is>
          <t>/contribution-room</t>
        </is>
      </c>
      <c r="D5" t="inlineStr">
        <is>
          <t>about $X of the $Y limit</t>
        </is>
      </c>
      <c r="E5" t="inlineStr">
        <is>
          <t>used / limit</t>
        </is>
      </c>
      <c r="F5" t="inlineStr">
        <is>
          <t>CONTRIBUTION_ROOM  [NAME ASSIGNED HERE — no engine row exists for it yet]</t>
        </is>
      </c>
      <c r="G5" t="inlineStr">
        <is>
          <t>MK-MN-E-002</t>
        </is>
      </c>
      <c r="H5" t="inlineStr">
        <is>
          <t>room left = the year’s limit − what has already gone in;  per month = room left ÷ months left in the year</t>
        </is>
      </c>
      <c r="I5" t="inlineStr">
        <is>
          <t>Takes the year's legal limit for the account, subtracts what has already gone in, and divides what is left by the months remaining.</t>
        </is>
      </c>
      <c r="J5" t="inlineStr">
        <is>
          <t>NOT DETERMINED — no input list on record for this engine</t>
        </is>
      </c>
      <c r="K5" t="inlineStr">
        <is>
          <t>US dollars · held to the cent · shown as whole dollars  [derived by rule — confirm]</t>
        </is>
      </c>
      <c r="L5" t="inlineStr">
        <is>
          <t>A division: with nothing on the bottom there is no answer, and the line must not appear as zero. NOT YET CONFIRMED against the engine.</t>
        </is>
      </c>
      <c r="M5" t="inlineStr">
        <is>
          <t>One figure per person — or per household when two people share one record  [derived by rule — confirm]</t>
        </is>
      </c>
      <c r="N5" t="inlineStr">
        <is>
          <t>As of today, from the latest figures held  [derived by rule — confirm]</t>
        </is>
      </c>
      <c r="O5" t="inlineStr">
        <is>
          <t>NOT DETERMINED</t>
        </is>
      </c>
      <c r="P5" t="inlineStr"/>
      <c r="Q5" t="inlineStr"/>
      <c r="R5" t="inlineStr">
        <is>
          <t>NOT DETERMINED — no assumption recorded for this figure yet.</t>
        </is>
      </c>
      <c r="S5" t="inlineStr"/>
      <c r="T5" t="inlineStr"/>
      <c r="U5" t="inlineStr"/>
      <c r="V5" t="inlineStr"/>
      <c r="W5" t="inlineStr">
        <is>
          <t>NOT DETERMINED</t>
        </is>
      </c>
      <c r="X5" t="inlineStr">
        <is>
          <t>VERIFIED 2026-08-22</t>
        </is>
      </c>
    </row>
    <row r="6">
      <c r="A6" t="inlineStr">
        <is>
          <t>MK-MN-M-005</t>
        </is>
      </c>
      <c r="B6" t="inlineStr">
        <is>
          <t>Menu</t>
        </is>
      </c>
      <c r="C6" t="inlineStr">
        <is>
          <t>/contribution-room</t>
        </is>
      </c>
      <c r="D6" t="inlineStr">
        <is>
          <t>about $X/mo for the rest of the year</t>
        </is>
      </c>
      <c r="E6" t="inlineStr">
        <is>
          <t>perMonth</t>
        </is>
      </c>
      <c r="F6" t="inlineStr">
        <is>
          <t>worked out on the screen: room left ÷ months left</t>
        </is>
      </c>
      <c r="G6" t="inlineStr"/>
      <c r="H6" t="inlineStr">
        <is>
          <t>per month = room left ÷ months left in the year</t>
        </is>
      </c>
      <c r="I6" t="inlineStr">
        <is>
          <t>Worked out on the screen itself, with no engine behind it — a place a second definition can appear.</t>
        </is>
      </c>
      <c r="J6" t="inlineStr">
        <is>
          <t>NOT DETERMINED — no input list on record for this engine</t>
        </is>
      </c>
      <c r="K6" t="inlineStr">
        <is>
          <t>US dollars · held to the cent · shown as whole dollars  [derived by rule — confirm]</t>
        </is>
      </c>
      <c r="L6" t="inlineStr">
        <is>
          <t>Inherits the refusal of the figures it is built from: if either side is missing, this line is not shown.</t>
        </is>
      </c>
      <c r="M6" t="inlineStr">
        <is>
          <t>One figure per person — or per household when two people share one record  [derived by rule — confirm]</t>
        </is>
      </c>
      <c r="N6" t="inlineStr">
        <is>
          <t>This calendar year, to today  [derived by rule — confirm]</t>
        </is>
      </c>
      <c r="O6" t="inlineStr">
        <is>
          <t>NOT DETERMINED</t>
        </is>
      </c>
      <c r="P6" t="inlineStr"/>
      <c r="Q6" t="inlineStr"/>
      <c r="R6" t="inlineStr">
        <is>
          <t>NOT DETERMINED — no assumption recorded for this figure yet.</t>
        </is>
      </c>
      <c r="S6" t="inlineStr"/>
      <c r="T6" t="inlineStr"/>
      <c r="U6" t="inlineStr"/>
      <c r="V6" t="inlineStr"/>
      <c r="W6" t="inlineStr">
        <is>
          <t>NOT DETERMINED</t>
        </is>
      </c>
      <c r="X6" t="inlineStr">
        <is>
          <t>VERIFIED 2026-08-22</t>
        </is>
      </c>
    </row>
    <row r="7">
      <c r="A7" t="inlineStr">
        <is>
          <t>MK-MN-M-006</t>
        </is>
      </c>
      <c r="B7" t="inlineStr">
        <is>
          <t>Menu</t>
        </is>
      </c>
      <c r="C7" t="inlineStr">
        <is>
          <t>/credit</t>
        </is>
      </c>
      <c r="D7" t="inlineStr">
        <is>
          <t>$X of $Y used — the line marks 30%</t>
        </is>
      </c>
      <c r="E7" t="inlineStr">
        <is>
          <t>bal / lim</t>
        </is>
      </c>
      <c r="F7" t="inlineStr">
        <is>
          <t>CREDIT_USE  [NAME ASSIGNED HERE — no engine row exists for it yet]</t>
        </is>
      </c>
      <c r="G7" t="inlineStr">
        <is>
          <t>MK-MN-E-003</t>
        </is>
      </c>
      <c r="H7" t="inlineStr">
        <is>
          <t>use = balance ÷ credit limit</t>
        </is>
      </c>
      <c r="I7" t="inlineStr">
        <is>
          <t>The balance on the card against its limit — the share of the line being used.</t>
        </is>
      </c>
      <c r="J7" t="inlineStr">
        <is>
          <t>NOT DETERMINED — no input list on record for this engine</t>
        </is>
      </c>
      <c r="K7" t="inlineStr">
        <is>
          <t>Percent · one decimal shown  [derived by rule — confirm]</t>
        </is>
      </c>
      <c r="L7" t="inlineStr">
        <is>
          <t>A division: with nothing on the bottom there is no answer, and the line must not appear as zero. NOT YET CONFIRMED against the engine.</t>
        </is>
      </c>
      <c r="M7" t="inlineStr">
        <is>
          <t>One figure per person — or per household when two people share one record  [derived by rule — confirm]</t>
        </is>
      </c>
      <c r="N7" t="inlineStr">
        <is>
          <t>As of today, from the latest figures held  [derived by rule — confirm]</t>
        </is>
      </c>
      <c r="O7" t="inlineStr">
        <is>
          <t>NOT DETERMINED</t>
        </is>
      </c>
      <c r="P7" t="inlineStr"/>
      <c r="Q7" t="inlineStr"/>
      <c r="R7" t="inlineStr">
        <is>
          <t>NOT DETERMINED — no assumption recorded for this figure yet.</t>
        </is>
      </c>
      <c r="S7" t="inlineStr"/>
      <c r="T7" t="inlineStr"/>
      <c r="U7" t="inlineStr"/>
      <c r="V7" t="inlineStr"/>
      <c r="W7" t="inlineStr">
        <is>
          <t>NOT DETERMINED</t>
        </is>
      </c>
      <c r="X7" t="inlineStr">
        <is>
          <t>VERIFIED 2026-08-22</t>
        </is>
      </c>
    </row>
    <row r="8">
      <c r="A8" t="inlineStr">
        <is>
          <t>MK-MN-M-007</t>
        </is>
      </c>
      <c r="B8" t="inlineStr">
        <is>
          <t>Menu</t>
        </is>
      </c>
      <c r="C8" t="inlineStr">
        <is>
          <t>/expense</t>
        </is>
      </c>
      <c r="D8" t="inlineStr">
        <is>
          <t>$X of $Y this month · over by $Z</t>
        </is>
      </c>
      <c r="E8" t="inlineStr">
        <is>
          <t>catSpend / catBudget</t>
        </is>
      </c>
      <c r="F8" t="inlineStr">
        <is>
          <t>PLANNED_SPENDING</t>
        </is>
      </c>
      <c r="G8" t="inlineStr">
        <is>
          <t>MK-CF-E-004</t>
        </is>
      </c>
      <c r="H8" t="inlineStr">
        <is>
          <t>planned a month = Σ(each category’s planned amount);  remaining = planned − spent</t>
        </is>
      </c>
      <c r="I8"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8" t="inlineStr">
        <is>
          <t>the categories → SPENDING_BY_KIND  [MK-XS-I-032] · the single figure → monthlySpending  [MK-XS-I-024, MK-XS-I-030]</t>
        </is>
      </c>
      <c r="K8" t="inlineStr">
        <is>
          <t>US dollars · held to the cent · shown as whole dollars  [derived by rule — confirm]</t>
        </is>
      </c>
      <c r="L8" t="inlineStr">
        <is>
          <t>Adds up to $0 when there is nothing to add. Zero and "nothing recorded yet" look identical on screen — worth a decision.</t>
        </is>
      </c>
      <c r="M8" t="inlineStr">
        <is>
          <t>One figure per month  [derived by rule — confirm]</t>
        </is>
      </c>
      <c r="N8" t="inlineStr">
        <is>
          <t>This calendar month, to today  [derived by rule — confirm]</t>
        </is>
      </c>
      <c r="O8" t="inlineStr">
        <is>
          <t>MK-XS-E-020 (READ_A_NUMBER) → What number did the person actually type?
MK-XS-E-021 (SPENDING_BY_KIND) → What is spent each month, split by kind?</t>
        </is>
      </c>
      <c r="P8" t="inlineStr"/>
      <c r="Q8" t="inlineStr"/>
      <c r="R8" t="inlineStr">
        <is>
          <t>NOT DETERMINED — no assumption recorded for this figure yet.</t>
        </is>
      </c>
      <c r="S8" t="inlineStr">
        <is>
          <t>THE SAME FIGURE AS MK-CF-M-015 — Spending against plan for a category — the same comparison on Cash flow and on the expense screen. CONFIRM: the expense screen adds the amount being typed, which may make it a different figure.</t>
        </is>
      </c>
      <c r="T8" t="inlineStr"/>
      <c r="U8" t="inlineStr"/>
      <c r="V8" t="inlineStr"/>
      <c r="W8" t="inlineStr">
        <is>
          <t>NOT DETERMINED</t>
        </is>
      </c>
      <c r="X8" t="inlineStr">
        <is>
          <t>VERIFIED 2026-08-22</t>
        </is>
      </c>
    </row>
    <row r="9">
      <c r="A9" t="inlineStr">
        <is>
          <t>MK-MN-M-008</t>
        </is>
      </c>
      <c r="B9" t="inlineStr">
        <is>
          <t>Menu</t>
        </is>
      </c>
      <c r="C9" t="inlineStr">
        <is>
          <t>/goals</t>
        </is>
      </c>
      <c r="D9" t="inlineStr">
        <is>
          <t>typical free cash to save $X/mo</t>
        </is>
      </c>
      <c r="E9" t="inlineStr">
        <is>
          <t>capacity.avg</t>
        </is>
      </c>
      <c r="F9" t="inlineStr">
        <is>
          <t>GOAL_CAPACITY  [NAME ASSIGNED HERE — no engine row exists for it yet]</t>
        </is>
      </c>
      <c r="G9" t="inlineStr">
        <is>
          <t>MK-MN-E-004</t>
        </is>
      </c>
      <c r="H9" t="inlineStr">
        <is>
          <t>typical free cash a month = median over recent months of (money in − money out)</t>
        </is>
      </c>
      <c r="I9" t="inlineStr">
        <is>
          <t>Looks at recent months and takes the typical amount left after money in and money out — what could realistically be saved, not the best month.</t>
        </is>
      </c>
      <c r="J9" t="inlineStr">
        <is>
          <t>NOT DETERMINED — no input list on record for this engine</t>
        </is>
      </c>
      <c r="K9" t="inlineStr">
        <is>
          <t>US dollars · held to the cent · shown as whole dollars  [derived by rule — confirm]</t>
        </is>
      </c>
      <c r="L9" t="inlineStr">
        <is>
          <t>Needs recent months to speak. With too few it says so rather than offering a figure from one month.</t>
        </is>
      </c>
      <c r="M9" t="inlineStr">
        <is>
          <t>One figure per person — or per household when two people share one record  [derived by rule — confirm]</t>
        </is>
      </c>
      <c r="N9" t="inlineStr">
        <is>
          <t>As of today, from the latest figures held  [derived by rule — confirm]</t>
        </is>
      </c>
      <c r="O9" t="inlineStr">
        <is>
          <t>NOT DETERMINED</t>
        </is>
      </c>
      <c r="P9" t="inlineStr"/>
      <c r="Q9" t="inlineStr"/>
      <c r="R9" t="inlineStr">
        <is>
          <t>NOT DETERMINED — no assumption recorded for this figure yet.</t>
        </is>
      </c>
      <c r="S9" t="inlineStr"/>
      <c r="T9" t="inlineStr">
        <is>
          <t>Q27 — "Typical free cash to save" uses the middle of recent months. How many months should it look back, and should a one-off windfall be excluded?</t>
        </is>
      </c>
      <c r="U9" t="inlineStr"/>
      <c r="V9" t="inlineStr"/>
      <c r="W9" t="inlineStr">
        <is>
          <t>NOT DETERMINED</t>
        </is>
      </c>
      <c r="X9" t="inlineStr">
        <is>
          <t>VERIFIED 2026-08-22</t>
        </is>
      </c>
    </row>
    <row r="10">
      <c r="A10" t="inlineStr">
        <is>
          <t>MK-MN-M-009</t>
        </is>
      </c>
      <c r="B10" t="inlineStr">
        <is>
          <t>Menu</t>
        </is>
      </c>
      <c r="C10" t="inlineStr">
        <is>
          <t>/goals</t>
        </is>
      </c>
      <c r="D10" t="inlineStr">
        <is>
          <t>each goal — $X of $Y · $Z to go</t>
        </is>
      </c>
      <c r="E10" t="inlineStr">
        <is>
          <t>g.saved / g.target</t>
        </is>
      </c>
      <c r="F10" t="inlineStr">
        <is>
          <t>GOAL_PROGRESS  [NAME ASSIGNED HERE — no engine row exists for it yet]</t>
        </is>
      </c>
      <c r="G10" t="inlineStr">
        <is>
          <t>MK-MN-E-005</t>
        </is>
      </c>
      <c r="H10" t="inlineStr">
        <is>
          <t>to go = target − saved;  progress = saved ÷ target</t>
        </is>
      </c>
      <c r="I10" t="inlineStr">
        <is>
          <t>What has been put aside against the target, and what is still to go.</t>
        </is>
      </c>
      <c r="J10" t="inlineStr">
        <is>
          <t>NOT DETERMINED — no input list on record for this engine</t>
        </is>
      </c>
      <c r="K10" t="inlineStr">
        <is>
          <t>US dollars · held to the cent · shown as whole dollars  [derived by rule — confirm]</t>
        </is>
      </c>
      <c r="L10" t="inlineStr">
        <is>
          <t>A division: with nothing on the bottom there is no answer, and the line must not appear as zero. NOT YET CONFIRMED against the engine.</t>
        </is>
      </c>
      <c r="M10" t="inlineStr">
        <is>
          <t>One figure per goal  [derived by rule — confirm]</t>
        </is>
      </c>
      <c r="N10" t="inlineStr">
        <is>
          <t>As of today, from the latest figures held  [derived by rule — confirm]</t>
        </is>
      </c>
      <c r="O10" t="inlineStr">
        <is>
          <t>NOT DETERMINED</t>
        </is>
      </c>
      <c r="P10" t="inlineStr"/>
      <c r="Q10" t="inlineStr"/>
      <c r="R10" t="inlineStr">
        <is>
          <t>NOT DETERMINED — no assumption recorded for this figure yet.</t>
        </is>
      </c>
      <c r="S10" t="inlineStr"/>
      <c r="T10" t="inlineStr"/>
      <c r="U10" t="inlineStr"/>
      <c r="V10" t="inlineStr"/>
      <c r="W10" t="inlineStr">
        <is>
          <t>NOT DETERMINED</t>
        </is>
      </c>
      <c r="X10" t="inlineStr">
        <is>
          <t>VERIFIED 2026-08-22</t>
        </is>
      </c>
    </row>
    <row r="11">
      <c r="A11" t="inlineStr">
        <is>
          <t>MK-MN-M-010</t>
        </is>
      </c>
      <c r="B11" t="inlineStr">
        <is>
          <t>Menu</t>
        </is>
      </c>
      <c r="C11" t="inlineStr">
        <is>
          <t>/goals</t>
        </is>
      </c>
      <c r="D11" t="inlineStr">
        <is>
          <t>your non-monthly budget</t>
        </is>
      </c>
      <c r="E11" t="inlineStr">
        <is>
          <t>sinkBasis</t>
        </is>
      </c>
      <c r="F11" t="inlineStr">
        <is>
          <t>SINKING_FUNDS  [NAME ASSIGNED HERE — no engine row exists for it yet]</t>
        </is>
      </c>
      <c r="G11" t="inlineStr">
        <is>
          <t>MK-MN-E-006</t>
        </is>
      </c>
      <c r="H11" t="inlineStr">
        <is>
          <t>set aside a month = Σ(each non-monthly cost ÷ months until it falls due)</t>
        </is>
      </c>
      <c r="I11" t="inlineStr">
        <is>
          <t>Takes the costs that do not arrive monthly and spreads each one across the months until it falls due.</t>
        </is>
      </c>
      <c r="J11" t="inlineStr">
        <is>
          <t>NOT DETERMINED — no input list on record for this engine</t>
        </is>
      </c>
      <c r="K11" t="inlineStr">
        <is>
          <t>US dollars · held to the cent · shown as whole dollars  [derived by rule — confirm]</t>
        </is>
      </c>
      <c r="L11" t="inlineStr">
        <is>
          <t>Adds up to $0 when there is nothing to add. Zero and "nothing recorded yet" look identical on screen — worth a decision.</t>
        </is>
      </c>
      <c r="M11" t="inlineStr">
        <is>
          <t>One figure per month  [derived by rule — confirm]</t>
        </is>
      </c>
      <c r="N11" t="inlineStr">
        <is>
          <t>As of today, from the latest figures held  [derived by rule — confirm]</t>
        </is>
      </c>
      <c r="O11" t="inlineStr">
        <is>
          <t>NOT DETERMINED</t>
        </is>
      </c>
      <c r="P11" t="inlineStr"/>
      <c r="Q11" t="inlineStr"/>
      <c r="R11" t="inlineStr">
        <is>
          <t>NOT DETERMINED — no assumption recorded for this figure yet.</t>
        </is>
      </c>
      <c r="S11" t="inlineStr"/>
      <c r="T11" t="inlineStr"/>
      <c r="U11" t="inlineStr"/>
      <c r="V11" t="inlineStr"/>
      <c r="W11" t="inlineStr">
        <is>
          <t>NOT DETERMINED</t>
        </is>
      </c>
      <c r="X11" t="inlineStr">
        <is>
          <t>VERIFIED 2026-08-22</t>
        </is>
      </c>
    </row>
    <row r="12">
      <c r="A12" t="inlineStr">
        <is>
          <t>MK-MN-M-011</t>
        </is>
      </c>
      <c r="B12" t="inlineStr">
        <is>
          <t>Menu</t>
        </is>
      </c>
      <c r="C12" t="inlineStr">
        <is>
          <t>/income-detail</t>
        </is>
      </c>
      <c r="D12" t="inlineStr">
        <is>
          <t>net a year</t>
        </is>
      </c>
      <c r="E12" t="inlineStr">
        <is>
          <t>state.total_net_annual</t>
        </is>
      </c>
      <c r="F12" t="inlineStr">
        <is>
          <t>TOTAL_INCOME</t>
        </is>
      </c>
      <c r="G12" t="inlineStr">
        <is>
          <t>MK-XS-E-044</t>
        </is>
      </c>
      <c r="H12" t="inlineStr">
        <is>
          <t>gross a year = salary + self-employment + bonus + equity vesting + rental + other;  net a month = (gross − tax withheld − pre-tax contributions) ÷ 12</t>
        </is>
      </c>
      <c r="I12"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2" t="inlineStr">
        <is>
          <t>each part → its own engine above  [NOT AN INPUT — another engine’s answer; see the dependency column]</t>
        </is>
      </c>
      <c r="K12" t="inlineStr">
        <is>
          <t>US dollars · held to the cent · shown as whole dollars  [derived by rule — confirm]</t>
        </is>
      </c>
      <c r="L12" t="inlineStr">
        <is>
          <t>A division: with nothing on the bottom there is no answer, and the line must not appear as zero. NOT YET CONFIRMED against the engine.</t>
        </is>
      </c>
      <c r="M12" t="inlineStr">
        <is>
          <t>One figure per person — or per household when two people share one record  [derived by rule — confirm]</t>
        </is>
      </c>
      <c r="N12" t="inlineStr">
        <is>
          <t>The last twelve months  [derived by rule — confirm]</t>
        </is>
      </c>
      <c r="O12"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2" t="inlineStr"/>
      <c r="Q12" t="inlineStr"/>
      <c r="R12" t="inlineStr">
        <is>
          <t>NOT DETERMINED — no assumption recorded for this figure yet.</t>
        </is>
      </c>
      <c r="S12" t="inlineStr"/>
      <c r="T12" t="inlineStr"/>
      <c r="U12" t="inlineStr"/>
      <c r="V12" t="inlineStr"/>
      <c r="W12" t="inlineStr">
        <is>
          <t>NOT DETERMINED</t>
        </is>
      </c>
      <c r="X12" t="inlineStr">
        <is>
          <t>VERIFIED 2026-08-22</t>
        </is>
      </c>
    </row>
    <row r="13">
      <c r="A13" t="inlineStr">
        <is>
          <t>MK-MN-M-012</t>
        </is>
      </c>
      <c r="B13" t="inlineStr">
        <is>
          <t>Menu</t>
        </is>
      </c>
      <c r="C13" t="inlineStr">
        <is>
          <t>/income-detail</t>
        </is>
      </c>
      <c r="D13" t="inlineStr">
        <is>
          <t>Gross / year</t>
        </is>
      </c>
      <c r="E13" t="inlineStr">
        <is>
          <t>state.total_gross_annual</t>
        </is>
      </c>
      <c r="F13" t="inlineStr">
        <is>
          <t>TOTAL_INCOME</t>
        </is>
      </c>
      <c r="G13" t="inlineStr">
        <is>
          <t>MK-XS-E-044</t>
        </is>
      </c>
      <c r="H13" t="inlineStr">
        <is>
          <t>gross a year = salary + self-employment + bonus + equity vesting + rental + other;  net a month = (gross − tax withheld − pre-tax contributions) ÷ 12</t>
        </is>
      </c>
      <c r="I1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3" t="inlineStr">
        <is>
          <t>each part → its own engine above  [NOT AN INPUT — another engine’s answer; see the dependency column]</t>
        </is>
      </c>
      <c r="K13" t="inlineStr">
        <is>
          <t>US dollars · held to the cent · shown as whole dollars  [derived by rule — confirm]</t>
        </is>
      </c>
      <c r="L13" t="inlineStr">
        <is>
          <t>A division: with nothing on the bottom there is no answer, and the line must not appear as zero. NOT YET CONFIRMED against the engine.</t>
        </is>
      </c>
      <c r="M13" t="inlineStr">
        <is>
          <t>One figure per person — or per household when two people share one record  [derived by rule — confirm]</t>
        </is>
      </c>
      <c r="N13" t="inlineStr">
        <is>
          <t>This calendar year, to today  [derived by rule — confirm]</t>
        </is>
      </c>
      <c r="O13"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3" t="inlineStr"/>
      <c r="Q13" t="inlineStr"/>
      <c r="R13" t="inlineStr">
        <is>
          <t>NOT DETERMINED — no assumption recorded for this figure yet.</t>
        </is>
      </c>
      <c r="S13" t="inlineStr"/>
      <c r="T13" t="inlineStr"/>
      <c r="U13" t="inlineStr"/>
      <c r="V13" t="inlineStr"/>
      <c r="W13" t="inlineStr">
        <is>
          <t>NOT DETERMINED</t>
        </is>
      </c>
      <c r="X13" t="inlineStr">
        <is>
          <t>VERIFIED 2026-08-22</t>
        </is>
      </c>
    </row>
    <row r="14">
      <c r="A14" t="inlineStr">
        <is>
          <t>MK-MN-M-013</t>
        </is>
      </c>
      <c r="B14" t="inlineStr">
        <is>
          <t>Menu</t>
        </is>
      </c>
      <c r="C14" t="inlineStr">
        <is>
          <t>/income-detail</t>
        </is>
      </c>
      <c r="D14" t="inlineStr">
        <is>
          <t>Net / month</t>
        </is>
      </c>
      <c r="E14" t="inlineStr">
        <is>
          <t>state.net_monthly_income</t>
        </is>
      </c>
      <c r="F14" t="inlineStr">
        <is>
          <t>TOTAL_INCOME</t>
        </is>
      </c>
      <c r="G14" t="inlineStr">
        <is>
          <t>MK-XS-E-044</t>
        </is>
      </c>
      <c r="H14" t="inlineStr">
        <is>
          <t>gross a year = salary + self-employment + bonus + equity vesting + rental + other;  net a month = (gross − tax withheld − pre-tax contributions) ÷ 12</t>
        </is>
      </c>
      <c r="I14"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4" t="inlineStr">
        <is>
          <t>each part → its own engine above  [NOT AN INPUT — another engine’s answer; see the dependency column]</t>
        </is>
      </c>
      <c r="K14" t="inlineStr">
        <is>
          <t>US dollars · held to the cent · shown as whole dollars  [derived by rule — confirm]</t>
        </is>
      </c>
      <c r="L14" t="inlineStr">
        <is>
          <t>A division: with nothing on the bottom there is no answer, and the line must not appear as zero. NOT YET CONFIRMED against the engine.</t>
        </is>
      </c>
      <c r="M14" t="inlineStr">
        <is>
          <t>One figure per month  [derived by rule — confirm]</t>
        </is>
      </c>
      <c r="N14" t="inlineStr">
        <is>
          <t>As of today, from the latest figures held  [derived by rule — confirm]</t>
        </is>
      </c>
      <c r="O14" t="inlineStr">
        <is>
          <t>MK-XS-E-049 (EQUITY_THIS_YEAR) → How much equity vests this year?
MK-XS-E-050 (OTHER_INCOME) → What else comes in?
MK-XS-E-020 (READ_A_NUMBER) → What number did the person actually type?
MK-XS-E-051 (RENTAL_INCOME_A_YEAR) → What do the rentals net over a year?
MK-PL-E-007 (RETIREMENT_INCOME_NOW) → How much retirement income is arriving TODAY?
MK-XS-E-052 (SALARY_A_YEAR) → What is the salary for the year?
MK-XS-E-053 (TIPS_A_YEAR) → What do tips come to over the year?</t>
        </is>
      </c>
      <c r="P14" t="inlineStr"/>
      <c r="Q14" t="inlineStr"/>
      <c r="R14" t="inlineStr">
        <is>
          <t>NOT DETERMINED — no assumption recorded for this figure yet.</t>
        </is>
      </c>
      <c r="S14" t="inlineStr"/>
      <c r="T14" t="inlineStr"/>
      <c r="U14" t="inlineStr"/>
      <c r="V14" t="inlineStr"/>
      <c r="W14" t="inlineStr">
        <is>
          <t>NOT DETERMINED</t>
        </is>
      </c>
      <c r="X14" t="inlineStr">
        <is>
          <t>VERIFIED 2026-08-22</t>
        </is>
      </c>
    </row>
    <row r="15">
      <c r="A15" t="inlineStr">
        <is>
          <t>MK-MN-M-014</t>
        </is>
      </c>
      <c r="B15" t="inlineStr">
        <is>
          <t>Menu</t>
        </is>
      </c>
      <c r="C15" t="inlineStr">
        <is>
          <t>/income-detail</t>
        </is>
      </c>
      <c r="D15" t="inlineStr">
        <is>
          <t>Employer 401(k) match</t>
        </is>
      </c>
      <c r="E15" t="inlineStr">
        <is>
          <t>state.employer_match_annual</t>
        </is>
      </c>
      <c r="F15" t="inlineStr">
        <is>
          <t>EMPLOYER_MATCH</t>
        </is>
      </c>
      <c r="G15" t="inlineStr">
        <is>
          <t>MK-MN-E-007</t>
        </is>
      </c>
      <c r="H15" t="inlineStr">
        <is>
          <t>match a year = the employer’s stated rate × pay, capped at the stated limit</t>
        </is>
      </c>
      <c r="I15" t="inlineStr">
        <is>
          <t>Either a percentage of what the person contributes to their 401(k), or a flat monthly amount — whichever way they described it.</t>
        </is>
      </c>
      <c r="J15" t="inlineStr">
        <is>
          <t>the match → employerMatchValue  [NOT AN INPUT — another engine’s answer; see the dependency column] · percent or dollars → employerMatchMode  [MK-XS-I-046] · their own contribution → c_401k  [MK-XS-I-043]</t>
        </is>
      </c>
      <c r="K15" t="inlineStr">
        <is>
          <t>US dollars · held to the cent · shown as whole dollars  [derived by rule — confirm]</t>
        </is>
      </c>
      <c r="L15" t="inlineStr">
        <is>
          <t>NOT DETERMINED — this engine has not been read for its refusal yet.</t>
        </is>
      </c>
      <c r="M15" t="inlineStr">
        <is>
          <t>One figure per person — or per household when two people share one record  [derived by rule — confirm]</t>
        </is>
      </c>
      <c r="N15" t="inlineStr">
        <is>
          <t>As of today, from the latest figures held  [derived by rule — confirm]</t>
        </is>
      </c>
      <c r="O15" t="inlineStr">
        <is>
          <t>MK-XS-E-020 (READ_A_NUMBER) → What number did the person actually type?</t>
        </is>
      </c>
      <c r="P15" t="inlineStr"/>
      <c r="Q15" t="inlineStr"/>
      <c r="R15" t="inlineStr">
        <is>
          <t>NOT DETERMINED — no assumption recorded for this figure yet.</t>
        </is>
      </c>
      <c r="S15" t="inlineStr"/>
      <c r="T15" t="inlineStr"/>
      <c r="U15" t="inlineStr"/>
      <c r="V15" t="inlineStr"/>
      <c r="W15" t="inlineStr">
        <is>
          <t>NOT DETERMINED</t>
        </is>
      </c>
      <c r="X15" t="inlineStr">
        <is>
          <t>VERIFIED 2026-08-22</t>
        </is>
      </c>
    </row>
    <row r="16">
      <c r="A16" t="inlineStr">
        <is>
          <t>MK-MN-M-015</t>
        </is>
      </c>
      <c r="B16" t="inlineStr">
        <is>
          <t>Menu</t>
        </is>
      </c>
      <c r="C16" t="inlineStr">
        <is>
          <t>/insights</t>
        </is>
      </c>
      <c r="D16" t="inlineStr">
        <is>
          <t>each insight and the dollars behind it</t>
        </is>
      </c>
      <c r="E16" t="inlineStr">
        <is>
          <t>shareOf(v)</t>
        </is>
      </c>
      <c r="F16" t="inlineStr">
        <is>
          <t>NOT IN OLD MASTER — useInsights, src/domain/insights</t>
        </is>
      </c>
      <c r="G16" t="inlineStr">
        <is>
          <t>MK-HM-E-003</t>
        </is>
      </c>
      <c r="H16" t="inlineStr">
        <is>
          <t>each insight scores its own dollars at stake; the list = the highest few, ranked</t>
        </is>
      </c>
      <c r="I16" t="inlineStr">
        <is>
          <t>Works out what is worth saying today, puts a dollar amount against each, and shows the few that matter most.</t>
        </is>
      </c>
      <c r="J16" t="inlineStr">
        <is>
          <t>NOT DETERMINED — no input list on record for this engine</t>
        </is>
      </c>
      <c r="K16" t="inlineStr">
        <is>
          <t>US dollars · held to the cent · shown as whole dollars  [derived by rule — confirm]</t>
        </is>
      </c>
      <c r="L16" t="inlineStr">
        <is>
          <t>NOT DETERMINED — this engine has not been read for its refusal yet.</t>
        </is>
      </c>
      <c r="M16" t="inlineStr">
        <is>
          <t>One figure per person — or per household when two people share one record  [derived by rule — confirm]</t>
        </is>
      </c>
      <c r="N16" t="inlineStr">
        <is>
          <t>As of today, from the latest figures held  [derived by rule — confirm]</t>
        </is>
      </c>
      <c r="O16" t="inlineStr">
        <is>
          <t>NOT DETERMINED</t>
        </is>
      </c>
      <c r="P16" t="inlineStr"/>
      <c r="Q16" t="inlineStr"/>
      <c r="R16" t="inlineStr">
        <is>
          <t>NOT DETERMINED — no assumption recorded for this figure yet.</t>
        </is>
      </c>
      <c r="S16" t="inlineStr">
        <is>
          <t>THE SURVIVING IDENTIFIER for this figure. Folded in: MK-HM-M-003. The insights list. Home shows the top three of the same list the Insights screen shows in full.</t>
        </is>
      </c>
      <c r="T16" t="inlineStr"/>
      <c r="U16" t="inlineStr"/>
      <c r="V16" t="inlineStr"/>
      <c r="W16" t="inlineStr">
        <is>
          <t>NOT DETERMINED</t>
        </is>
      </c>
      <c r="X16" t="inlineStr">
        <is>
          <t>VERIFIED 2026-08-22</t>
        </is>
      </c>
    </row>
    <row r="17">
      <c r="A17" t="inlineStr">
        <is>
          <t>MK-MN-M-016</t>
        </is>
      </c>
      <c r="B17" t="inlineStr">
        <is>
          <t>Menu</t>
        </is>
      </c>
      <c r="C17" t="inlineStr">
        <is>
          <t>/insights</t>
        </is>
      </c>
      <c r="D17" t="inlineStr">
        <is>
          <t>Total invested · Cash total · Investable total</t>
        </is>
      </c>
      <c r="E17" t="inlineStr">
        <is>
          <t>investable / cash</t>
        </is>
      </c>
      <c r="F17" t="inlineStr">
        <is>
          <t>TOTAL_INVESTABLE · TOTAL_CASH</t>
        </is>
      </c>
      <c r="G17" t="inlineStr">
        <is>
          <t>MK-MN-E-008</t>
        </is>
      </c>
      <c r="H17" t="inlineStr">
        <is>
          <t>investable = cash + investments  (excludes home and belongings)</t>
        </is>
      </c>
      <c r="I17" t="inlineStr">
        <is>
          <t>Cash + investments — everything except the house and the car. Selling the roof you live under is not a plan, so physical assets are excluded by CLASS, not by tax type. · Add up the balances of every account whose class is Cash. Under the founder's 2026-08-04 rule that means checking, savings, high-yield savings and the uninvested sweep at a broker — and NOT money-market funds, which pay dividends and are measured with the investments.</t>
        </is>
      </c>
      <c r="J17" t="inlineStr">
        <is>
          <t>each account's class → assetClassOf  [MK-XS-I-048] · each account's money → balance  [MK-XS-I-001] · each account's class → assetClassOf  [MK-XS-I-048] · each account's money → balance  [MK-XS-I-001]</t>
        </is>
      </c>
      <c r="K17" t="inlineStr">
        <is>
          <t>US dollars · held to the cent · shown as whole dollars  [derived by rule — confirm]</t>
        </is>
      </c>
      <c r="L17" t="inlineStr">
        <is>
          <t>NOT DETERMINED — this engine has not been read for its refusal yet.</t>
        </is>
      </c>
      <c r="M17" t="inlineStr">
        <is>
          <t>One figure per person — or per household when two people share one record  [derived by rule — confirm]</t>
        </is>
      </c>
      <c r="N17" t="inlineStr">
        <is>
          <t>As of today, from the latest figures held  [derived by rule — confirm]</t>
        </is>
      </c>
      <c r="O17" t="inlineStr">
        <is>
          <t>MK-XS-E-055 (IS_PHYSICAL_ASSET) → Is this something physical you own rather than money you could spend?
MK-XS-E-015 (ACCOUNT_SPLIT) → This one brokerage account holds several different things — how much of it is each?
MK-XS-E-008 (ASSET_CLASS_OF_ACCOUNT) → What kind of thing is this account — cash, a bond, shares, or something else?</t>
        </is>
      </c>
      <c r="P17" t="inlineStr">
        <is>
          <t>DECIDES what counts as cash — and deliberately excludes money-market funds.</t>
        </is>
      </c>
      <c r="Q17" t="inlineStr">
        <is>
          <t>Money-market funds are deliberately NOT counted as cash. Any institution that reports a sweep as a fund will therefore land in investments — worth watching per provider.</t>
        </is>
      </c>
      <c r="R17" t="inlineStr">
        <is>
          <t>[Founder] Cash means checking, savings, high-yield savings and the uninvested sweep at a broker. Money-market funds are investments, because they pay dividends and are measured with the investments (founder, 2026-08-04).</t>
        </is>
      </c>
      <c r="S17" t="inlineStr"/>
      <c r="T17" t="inlineStr"/>
      <c r="U17" t="inlineStr"/>
      <c r="V17" t="inlineStr"/>
      <c r="W17" t="inlineStr">
        <is>
          <t>NOT DETERMINED</t>
        </is>
      </c>
      <c r="X17" t="inlineStr">
        <is>
          <t>VERIFIED 2026-08-22</t>
        </is>
      </c>
    </row>
    <row r="18">
      <c r="A18" t="inlineStr">
        <is>
          <t>MK-MN-M-017</t>
        </is>
      </c>
      <c r="B18" t="inlineStr">
        <is>
          <t>Menu</t>
        </is>
      </c>
      <c r="C18" t="inlineStr">
        <is>
          <t>/insurance</t>
        </is>
      </c>
      <c r="D18" t="inlineStr">
        <is>
          <t>the life-cover gap</t>
        </is>
      </c>
      <c r="E18" t="inlineStr">
        <is>
          <t>need.gap</t>
        </is>
      </c>
      <c r="F18" t="inlineStr">
        <is>
          <t>INSURANCE_NEED  [NAME ASSIGNED HERE — no engine row exists for it yet]</t>
        </is>
      </c>
      <c r="G18" t="inlineStr">
        <is>
          <t>MK-MN-E-009</t>
        </is>
      </c>
      <c r="H18" t="inlineStr">
        <is>
          <t>need = income to replace × years + debts + goals + final expenses;  gap = need − cover already held</t>
        </is>
      </c>
      <c r="I18" t="inlineStr">
        <is>
          <t>Adds the income that would need replacing for the chosen number of years to debts, goals and final expenses, then subtracts cover already held.</t>
        </is>
      </c>
      <c r="J18" t="inlineStr">
        <is>
          <t>NOT DETERMINED — no input list on record for this engine</t>
        </is>
      </c>
      <c r="K18" t="inlineStr">
        <is>
          <t>US dollars · held to the cent · shown as whole dollars  [derived by rule — confirm]</t>
        </is>
      </c>
      <c r="L18" t="inlineStr">
        <is>
          <t>NOT DETERMINED — this engine has not been read for its refusal yet.</t>
        </is>
      </c>
      <c r="M18" t="inlineStr">
        <is>
          <t>One figure per person — or per household when two people share one record  [derived by rule — confirm]</t>
        </is>
      </c>
      <c r="N18" t="inlineStr">
        <is>
          <t>As of today, from the latest figures held  [derived by rule — confirm]</t>
        </is>
      </c>
      <c r="O18" t="inlineStr">
        <is>
          <t>NOT DETERMINED</t>
        </is>
      </c>
      <c r="P18" t="inlineStr"/>
      <c r="Q18" t="inlineStr"/>
      <c r="R18" t="inlineStr">
        <is>
          <t>NOT DETERMINED — no assumption recorded for this figure yet.</t>
        </is>
      </c>
      <c r="S18" t="inlineStr"/>
      <c r="T18" t="inlineStr">
        <is>
          <t>Q25 — How many years of income should the default life-cover estimate replace, and does it assume the mortgage is cleared?</t>
        </is>
      </c>
      <c r="U18" t="inlineStr"/>
      <c r="V18" t="inlineStr"/>
      <c r="W18" t="inlineStr">
        <is>
          <t>NOT DETERMINED</t>
        </is>
      </c>
      <c r="X18" t="inlineStr">
        <is>
          <t>VERIFIED 2026-08-22</t>
        </is>
      </c>
    </row>
    <row r="19">
      <c r="A19" t="inlineStr">
        <is>
          <t>MK-MN-M-018</t>
        </is>
      </c>
      <c r="B19" t="inlineStr">
        <is>
          <t>Menu</t>
        </is>
      </c>
      <c r="C19" t="inlineStr">
        <is>
          <t>/insurance</t>
        </is>
      </c>
      <c r="D19" t="inlineStr">
        <is>
          <t>Income replacement (N yrs)</t>
        </is>
      </c>
      <c r="E19" t="inlineStr">
        <is>
          <t>need.incomeReplacement</t>
        </is>
      </c>
      <c r="F19" t="inlineStr">
        <is>
          <t>INSURANCE_NEED  [NAME ASSIGNED HERE — no engine row exists for it yet]</t>
        </is>
      </c>
      <c r="G19" t="inlineStr">
        <is>
          <t>MK-MN-E-009</t>
        </is>
      </c>
      <c r="H19" t="inlineStr">
        <is>
          <t>need = income to replace × years + debts + goals + final expenses;  gap = need − cover already held</t>
        </is>
      </c>
      <c r="I19" t="inlineStr">
        <is>
          <t>Adds the income that would need replacing for the chosen number of years to debts, goals and final expenses, then subtracts cover already held.</t>
        </is>
      </c>
      <c r="J19" t="inlineStr">
        <is>
          <t>NOT DETERMINED — no input list on record for this engine</t>
        </is>
      </c>
      <c r="K19" t="inlineStr">
        <is>
          <t>US dollars · held to the cent · shown as whole dollars  [derived by rule — confirm]</t>
        </is>
      </c>
      <c r="L19" t="inlineStr">
        <is>
          <t>NOT DETERMINED — this engine has not been read for its refusal yet.</t>
        </is>
      </c>
      <c r="M19" t="inlineStr">
        <is>
          <t>One figure per person — or per household when two people share one record  [derived by rule — confirm]</t>
        </is>
      </c>
      <c r="N19" t="inlineStr">
        <is>
          <t>As of today, from the latest figures held  [derived by rule — confirm]</t>
        </is>
      </c>
      <c r="O19" t="inlineStr">
        <is>
          <t>NOT DETERMINED</t>
        </is>
      </c>
      <c r="P19" t="inlineStr"/>
      <c r="Q19" t="inlineStr"/>
      <c r="R19" t="inlineStr">
        <is>
          <t>NOT DETERMINED — no assumption recorded for this figure yet.</t>
        </is>
      </c>
      <c r="S19" t="inlineStr"/>
      <c r="T19" t="inlineStr"/>
      <c r="U19" t="inlineStr"/>
      <c r="V19" t="inlineStr"/>
      <c r="W19" t="inlineStr">
        <is>
          <t>NOT DETERMINED</t>
        </is>
      </c>
      <c r="X19" t="inlineStr">
        <is>
          <t>VERIFIED 2026-08-22</t>
        </is>
      </c>
    </row>
    <row r="20">
      <c r="A20" t="inlineStr">
        <is>
          <t>MK-MN-M-019</t>
        </is>
      </c>
      <c r="B20" t="inlineStr">
        <is>
          <t>Menu</t>
        </is>
      </c>
      <c r="C20" t="inlineStr">
        <is>
          <t>/insurance</t>
        </is>
      </c>
      <c r="D20" t="inlineStr">
        <is>
          <t>+ Debts, goals &amp; final expenses · Total need</t>
        </is>
      </c>
      <c r="E20" t="inlineStr">
        <is>
          <t>need.total</t>
        </is>
      </c>
      <c r="F20" t="inlineStr">
        <is>
          <t>INSURANCE_NEED  [NAME ASSIGNED HERE — no engine row exists for it yet]</t>
        </is>
      </c>
      <c r="G20" t="inlineStr">
        <is>
          <t>MK-MN-E-009</t>
        </is>
      </c>
      <c r="H20" t="inlineStr">
        <is>
          <t>need = income to replace × years + debts + goals + final expenses;  gap = need − cover already held</t>
        </is>
      </c>
      <c r="I20" t="inlineStr">
        <is>
          <t>Adds the income that would need replacing for the chosen number of years to debts, goals and final expenses, then subtracts cover already held.</t>
        </is>
      </c>
      <c r="J20" t="inlineStr">
        <is>
          <t>NOT DETERMINED — no input list on record for this engine</t>
        </is>
      </c>
      <c r="K20" t="inlineStr">
        <is>
          <t>US dollars · held to the cent · shown as whole dollars  [derived by rule — confirm]</t>
        </is>
      </c>
      <c r="L20" t="inlineStr">
        <is>
          <t>NOT DETERMINED — this engine has not been read for its refusal yet.</t>
        </is>
      </c>
      <c r="M20" t="inlineStr">
        <is>
          <t>One figure per debt, and one total per person  [derived by rule — confirm]</t>
        </is>
      </c>
      <c r="N20" t="inlineStr">
        <is>
          <t>As of today, from the latest figures held  [derived by rule — confirm]</t>
        </is>
      </c>
      <c r="O20" t="inlineStr">
        <is>
          <t>NOT DETERMINED</t>
        </is>
      </c>
      <c r="P20" t="inlineStr"/>
      <c r="Q20" t="inlineStr"/>
      <c r="R20" t="inlineStr">
        <is>
          <t>NOT DETERMINED — no assumption recorded for this figure yet.</t>
        </is>
      </c>
      <c r="S20" t="inlineStr"/>
      <c r="T20" t="inlineStr"/>
      <c r="U20" t="inlineStr"/>
      <c r="V20" t="inlineStr"/>
      <c r="W20" t="inlineStr">
        <is>
          <t>NOT DETERMINED</t>
        </is>
      </c>
      <c r="X20" t="inlineStr">
        <is>
          <t>VERIFIED 2026-08-22</t>
        </is>
      </c>
    </row>
    <row r="21">
      <c r="A21" t="inlineStr">
        <is>
          <t>MK-MN-M-020</t>
        </is>
      </c>
      <c r="B21" t="inlineStr">
        <is>
          <t>Menu</t>
        </is>
      </c>
      <c r="C21" t="inlineStr">
        <is>
          <t>/jobsafety</t>
        </is>
      </c>
      <c r="D21" t="inlineStr">
        <is>
          <t>N months of essentials is $X ($Y/mo)</t>
        </is>
      </c>
      <c r="E21" t="inlineStr">
        <is>
          <t>target / ess</t>
        </is>
      </c>
      <c r="F21" t="inlineStr">
        <is>
          <t>JOB_SAFETY_RUNWAY  [NAME ASSIGNED HERE — no engine row exists for it yet]</t>
        </is>
      </c>
      <c r="G21" t="inlineStr">
        <is>
          <t>MK-MN-E-010</t>
        </is>
      </c>
      <c r="H21" t="inlineStr">
        <is>
          <t>runway in months = cash ÷ essentials a month;  target = months wanted × essentials a month</t>
        </is>
      </c>
      <c r="I21" t="inlineStr">
        <is>
          <t>How many months of essential bills the cash on hand would cover with no pay coming in.</t>
        </is>
      </c>
      <c r="J21" t="inlineStr">
        <is>
          <t>NOT DETERMINED — no input list on record for this engine</t>
        </is>
      </c>
      <c r="K21" t="inlineStr">
        <is>
          <t>Months · one decimal  [derived by rule — confirm]</t>
        </is>
      </c>
      <c r="L21" t="inlineStr">
        <is>
          <t>A division: with nothing on the bottom there is no answer, and the line must not appear as zero. NOT YET CONFIRMED against the engine.</t>
        </is>
      </c>
      <c r="M21" t="inlineStr">
        <is>
          <t>One figure per month  [derived by rule — confirm]</t>
        </is>
      </c>
      <c r="N21" t="inlineStr">
        <is>
          <t>As of today, from the latest figures held  [derived by rule — confirm]</t>
        </is>
      </c>
      <c r="O21" t="inlineStr">
        <is>
          <t>NOT DETERMINED</t>
        </is>
      </c>
      <c r="P21" t="inlineStr"/>
      <c r="Q21" t="inlineStr"/>
      <c r="R21" t="inlineStr">
        <is>
          <t>NOT DETERMINED — no assumption recorded for this figure yet.</t>
        </is>
      </c>
      <c r="S21" t="inlineStr"/>
      <c r="T21" t="inlineStr">
        <is>
          <t>Q28 — How many months of essentials should the app treat as safe by default — and is that number yours to set per person, or one figure for everyone?</t>
        </is>
      </c>
      <c r="U21" t="inlineStr"/>
      <c r="V21" t="inlineStr"/>
      <c r="W21" t="inlineStr">
        <is>
          <t>NOT DETERMINED</t>
        </is>
      </c>
      <c r="X21" t="inlineStr">
        <is>
          <t>VERIFIED 2026-08-22</t>
        </is>
      </c>
    </row>
    <row r="22">
      <c r="A22" t="inlineStr">
        <is>
          <t>MK-MN-M-021</t>
        </is>
      </c>
      <c r="B22" t="inlineStr">
        <is>
          <t>Menu</t>
        </is>
      </c>
      <c r="C22" t="inlineStr">
        <is>
          <t>/jobsafety</t>
        </is>
      </c>
      <c r="D22" t="inlineStr">
        <is>
          <t>Using $X/mo from your logged spending</t>
        </is>
      </c>
      <c r="E22" t="inlineStr">
        <is>
          <t>monthSpend</t>
        </is>
      </c>
      <c r="F22" t="inlineStr">
        <is>
          <t>SPENDING_BY_KIND</t>
        </is>
      </c>
      <c r="G22" t="inlineStr">
        <is>
          <t>MK-XS-E-021</t>
        </is>
      </c>
      <c r="H22" t="inlineStr">
        <is>
          <t>spent in a bucket = Σ(expenses this month in that bucket);  debt payments are excluded</t>
        </is>
      </c>
      <c r="I22" t="inlineStr">
        <is>
          <t>If the person answered category by category, total each category into its bucket. If they gave three summary figures instead, use those. Nothing answered is zero — never a guessed household average, which would put a number in their plan that nobody chose.</t>
        </is>
      </c>
      <c r="J22" t="inlineStr">
        <is>
          <t>the categories → spendCats  [MK-XS-I-032] · or the three summary figures → b_fixed, b_nonmonthly, b_flexible  [NOT AN INPUT — another engine’s answer; see the dependency column]</t>
        </is>
      </c>
      <c r="K22" t="inlineStr">
        <is>
          <t>US dollars · held to the cent · shown as whole dollars  [derived by rule — confirm]</t>
        </is>
      </c>
      <c r="L22" t="inlineStr">
        <is>
          <t>Adds up to $0 when there is nothing to add. Zero and "nothing recorded yet" look identical on screen — worth a decision.</t>
        </is>
      </c>
      <c r="M22" t="inlineStr">
        <is>
          <t>One figure per person — or per household when two people share one record  [derived by rule — confirm]</t>
        </is>
      </c>
      <c r="N22" t="inlineStr">
        <is>
          <t>As of today, from the latest figures held  [derived by rule — confirm]</t>
        </is>
      </c>
      <c r="O22" t="inlineStr">
        <is>
          <t>MK-XS-E-020 (READ_A_NUMBER) → What number did the person actually type?</t>
        </is>
      </c>
      <c r="P22" t="inlineStr"/>
      <c r="Q22" t="inlineStr"/>
      <c r="R22" t="inlineStr">
        <is>
          <t>NOT DETERMINED — no assumption recorded for this figure yet.</t>
        </is>
      </c>
      <c r="S22" t="inlineStr"/>
      <c r="T22" t="inlineStr"/>
      <c r="U22" t="inlineStr"/>
      <c r="V22" t="inlineStr"/>
      <c r="W22" t="inlineStr">
        <is>
          <t>NOT DETERMINED</t>
        </is>
      </c>
      <c r="X22" t="inlineStr">
        <is>
          <t>VERIFIED 2026-08-22</t>
        </is>
      </c>
    </row>
    <row r="23">
      <c r="A23" t="inlineStr">
        <is>
          <t>MK-MN-M-022</t>
        </is>
      </c>
      <c r="B23" t="inlineStr">
        <is>
          <t>Menu</t>
        </is>
      </c>
      <c r="C23" t="inlineStr">
        <is>
          <t>/other-investments</t>
        </is>
      </c>
      <c r="D23" t="inlineStr">
        <is>
          <t>the total value of these investments</t>
        </is>
      </c>
      <c r="E23" t="inlineStr">
        <is>
          <t>summary.totalValue</t>
        </is>
      </c>
      <c r="F23" t="inlineStr">
        <is>
          <t>ALTERNATIVES_TOTAL  [NAME ASSIGNED HERE — no engine row exists for it yet]</t>
        </is>
      </c>
      <c r="G23" t="inlineStr">
        <is>
          <t>MK-MN-E-011</t>
        </is>
      </c>
      <c r="H23" t="inlineStr">
        <is>
          <t>total = Σ(recorded value of each alternative holding)</t>
        </is>
      </c>
      <c r="I23" t="inlineStr">
        <is>
          <t>Adds up the recorded value of every alternative holding — the things with no market price of their own.</t>
        </is>
      </c>
      <c r="J23" t="inlineStr">
        <is>
          <t>NOT DETERMINED — no input list on record for this engine</t>
        </is>
      </c>
      <c r="K23" t="inlineStr">
        <is>
          <t>US dollars · held to the cent · shown as whole dollars  [derived by rule — confirm]</t>
        </is>
      </c>
      <c r="L23" t="inlineStr">
        <is>
          <t>Adds up to $0 when there is nothing to add. Zero and "nothing recorded yet" look identical on screen — worth a decision.</t>
        </is>
      </c>
      <c r="M23" t="inlineStr">
        <is>
          <t>One figure per person — or per household when two people share one record  [derived by rule — confirm]</t>
        </is>
      </c>
      <c r="N23" t="inlineStr">
        <is>
          <t>As of today, from the latest figures held  [derived by rule — confirm]</t>
        </is>
      </c>
      <c r="O23" t="inlineStr">
        <is>
          <t>NOT DETERMINED</t>
        </is>
      </c>
      <c r="P23" t="inlineStr"/>
      <c r="Q23" t="inlineStr"/>
      <c r="R23" t="inlineStr">
        <is>
          <t>NOT DETERMINED — no assumption recorded for this figure yet.</t>
        </is>
      </c>
      <c r="S23" t="inlineStr"/>
      <c r="T23" t="inlineStr"/>
      <c r="U23" t="inlineStr"/>
      <c r="V23" t="inlineStr"/>
      <c r="W23" t="inlineStr">
        <is>
          <t>NOT DETERMINED</t>
        </is>
      </c>
      <c r="X23" t="inlineStr">
        <is>
          <t>VERIFIED 2026-08-22</t>
        </is>
      </c>
    </row>
    <row r="24">
      <c r="A24" t="inlineStr">
        <is>
          <t>MK-MN-M-023</t>
        </is>
      </c>
      <c r="B24" t="inlineStr">
        <is>
          <t>Menu</t>
        </is>
      </c>
      <c r="C24" t="inlineStr">
        <is>
          <t>/other-investments</t>
        </is>
      </c>
      <c r="D24" t="inlineStr">
        <is>
          <t>EST. GROWTH / YR</t>
        </is>
      </c>
      <c r="E24" t="inlineStr">
        <is>
          <t>summary.growth</t>
        </is>
      </c>
      <c r="F24" t="inlineStr">
        <is>
          <t>ALTERNATIVES_GROWTH  [NAME ASSIGNED HERE — no engine row exists for it yet]</t>
        </is>
      </c>
      <c r="G24" t="inlineStr">
        <is>
          <t>MK-MN-E-012</t>
        </is>
      </c>
      <c r="H24" t="inlineStr">
        <is>
          <t>estimated growth a year = Σ(value × its stated growth rate)</t>
        </is>
      </c>
      <c r="I24" t="inlineStr">
        <is>
          <t>Applies each alternative holding's own stated growth rate to its value and adds the results. An estimate, and labelled as one.</t>
        </is>
      </c>
      <c r="J24" t="inlineStr">
        <is>
          <t>NOT DETERMINED — no input list on record for this engine</t>
        </is>
      </c>
      <c r="K24" t="inlineStr">
        <is>
          <t>US dollars · held to the cent · shown as whole dollars  [derived by rule — confirm]</t>
        </is>
      </c>
      <c r="L24" t="inlineStr">
        <is>
          <t>Adds up to $0 when there is nothing to add. Zero and "nothing recorded yet" look identical on screen — worth a decision.</t>
        </is>
      </c>
      <c r="M24" t="inlineStr">
        <is>
          <t>One figure per person — or per household when two people share one record  [derived by rule — confirm]</t>
        </is>
      </c>
      <c r="N24" t="inlineStr">
        <is>
          <t>As of today, from the latest figures held  [derived by rule — confirm]</t>
        </is>
      </c>
      <c r="O24" t="inlineStr">
        <is>
          <t>NOT DETERMINED</t>
        </is>
      </c>
      <c r="P24" t="inlineStr"/>
      <c r="Q24" t="inlineStr"/>
      <c r="R24" t="inlineStr">
        <is>
          <t>NOT DETERMINED — no assumption recorded for this figure yet.</t>
        </is>
      </c>
      <c r="S24" t="inlineStr"/>
      <c r="T24" t="inlineStr"/>
      <c r="U24" t="inlineStr"/>
      <c r="V24" t="inlineStr"/>
      <c r="W24" t="inlineStr">
        <is>
          <t>NOT DETERMINED</t>
        </is>
      </c>
      <c r="X24" t="inlineStr">
        <is>
          <t>VERIFIED 2026-08-22</t>
        </is>
      </c>
    </row>
    <row r="25">
      <c r="A25" t="inlineStr">
        <is>
          <t>MK-MN-M-024</t>
        </is>
      </c>
      <c r="B25" t="inlineStr">
        <is>
          <t>Menu</t>
        </is>
      </c>
      <c r="C25" t="inlineStr">
        <is>
          <t>/stress-test</t>
        </is>
      </c>
      <c r="D25" t="inlineStr">
        <is>
          <t>You could cover a $X hit</t>
        </is>
      </c>
      <c r="E25" t="inlineStr">
        <is>
          <t>shock</t>
        </is>
      </c>
      <c r="F25" t="inlineStr">
        <is>
          <t>STRESS_TEST  [NAME ASSIGNED HERE — no engine row exists for it yet]</t>
        </is>
      </c>
      <c r="G25" t="inlineStr">
        <is>
          <t>MK-MN-E-013</t>
        </is>
      </c>
      <c r="H25" t="inlineStr">
        <is>
          <t>cash after = cash − the shock;  runway after = cash after ÷ essentials a month</t>
        </is>
      </c>
      <c r="I25" t="inlineStr">
        <is>
          <t>Takes a one-off hit out of the cash on hand and shows what would be left and how many months of essentials it would cover.</t>
        </is>
      </c>
      <c r="J25" t="inlineStr">
        <is>
          <t>NOT DETERMINED — no input list on record for this engine</t>
        </is>
      </c>
      <c r="K25" t="inlineStr">
        <is>
          <t>US dollars · held to the cent · shown as whole dollars  [derived by rule — confirm]</t>
        </is>
      </c>
      <c r="L25" t="inlineStr">
        <is>
          <t>Adds up to $0 when there is nothing to add. Zero and "nothing recorded yet" look identical on screen — worth a decision.</t>
        </is>
      </c>
      <c r="M25" t="inlineStr">
        <is>
          <t>One figure per person — or per household when two people share one record  [derived by rule — confirm]</t>
        </is>
      </c>
      <c r="N25" t="inlineStr">
        <is>
          <t>As of today, from the latest figures held  [derived by rule — confirm]</t>
        </is>
      </c>
      <c r="O25" t="inlineStr">
        <is>
          <t>NOT DETERMINED</t>
        </is>
      </c>
      <c r="P25" t="inlineStr"/>
      <c r="Q25" t="inlineStr"/>
      <c r="R25" t="inlineStr">
        <is>
          <t>NOT DETERMINED — no assumption recorded for this figure yet.</t>
        </is>
      </c>
      <c r="S25" t="inlineStr"/>
      <c r="T25" t="inlineStr">
        <is>
          <t>Q29 — What size of shock should the test use by default, and should it be a fixed dollar figure or a share of the person's spending?</t>
        </is>
      </c>
      <c r="U25" t="inlineStr"/>
      <c r="V25" t="inlineStr"/>
      <c r="W25" t="inlineStr">
        <is>
          <t>NOT DETERMINED</t>
        </is>
      </c>
      <c r="X25" t="inlineStr">
        <is>
          <t>VERIFIED 2026-08-22</t>
        </is>
      </c>
    </row>
    <row r="26">
      <c r="A26" t="inlineStr">
        <is>
          <t>MK-MN-M-025</t>
        </is>
      </c>
      <c r="B26" t="inlineStr">
        <is>
          <t>Menu</t>
        </is>
      </c>
      <c r="C26" t="inlineStr">
        <is>
          <t>/stress-test</t>
        </is>
      </c>
      <c r="D26" t="inlineStr">
        <is>
          <t>You'd have $X left — about N months of essentials</t>
        </is>
      </c>
      <c r="E26" t="inlineStr">
        <is>
          <t>r.cashAfter / r.runwayAfter</t>
        </is>
      </c>
      <c r="F26" t="inlineStr">
        <is>
          <t>STRESS_TEST  [NAME ASSIGNED HERE — no engine row exists for it yet]</t>
        </is>
      </c>
      <c r="G26" t="inlineStr">
        <is>
          <t>MK-MN-E-013</t>
        </is>
      </c>
      <c r="H26" t="inlineStr">
        <is>
          <t>cash after = cash − the shock;  runway after = cash after ÷ essentials a month</t>
        </is>
      </c>
      <c r="I26" t="inlineStr">
        <is>
          <t>Takes a one-off hit out of the cash on hand and shows what would be left and how many months of essentials it would cover.</t>
        </is>
      </c>
      <c r="J26" t="inlineStr">
        <is>
          <t>NOT DETERMINED — no input list on record for this engine</t>
        </is>
      </c>
      <c r="K26" t="inlineStr">
        <is>
          <t>Months · one decimal  [derived by rule — confirm]</t>
        </is>
      </c>
      <c r="L26" t="inlineStr">
        <is>
          <t>Adds up to $0 when there is nothing to add. Zero and "nothing recorded yet" look identical on screen — worth a decision.</t>
        </is>
      </c>
      <c r="M26" t="inlineStr">
        <is>
          <t>One figure per month  [derived by rule — confirm]</t>
        </is>
      </c>
      <c r="N26" t="inlineStr">
        <is>
          <t>As of today, from the latest figures held  [derived by rule — confirm]</t>
        </is>
      </c>
      <c r="O26" t="inlineStr">
        <is>
          <t>NOT DETERMINED</t>
        </is>
      </c>
      <c r="P26" t="inlineStr"/>
      <c r="Q26" t="inlineStr"/>
      <c r="R26" t="inlineStr">
        <is>
          <t>NOT DETERMINED — no assumption recorded for this figure yet.</t>
        </is>
      </c>
      <c r="S26" t="inlineStr"/>
      <c r="T26" t="inlineStr"/>
      <c r="U26" t="inlineStr"/>
      <c r="V26" t="inlineStr"/>
      <c r="W26" t="inlineStr">
        <is>
          <t>NOT DETERMINED</t>
        </is>
      </c>
      <c r="X26" t="inlineStr">
        <is>
          <t>VERIFIED 2026-08-22</t>
        </is>
      </c>
    </row>
    <row r="27">
      <c r="A27" t="inlineStr">
        <is>
          <t>MK-MN-M-026</t>
        </is>
      </c>
      <c r="B27" t="inlineStr">
        <is>
          <t>Menu</t>
        </is>
      </c>
      <c r="C27" t="inlineStr">
        <is>
          <t>/stress-test</t>
        </is>
      </c>
      <c r="D27" t="inlineStr">
        <is>
          <t>your $X/mo of must-pay bills</t>
        </is>
      </c>
      <c r="E27" t="inlineStr">
        <is>
          <t>ess</t>
        </is>
      </c>
      <c r="F27" t="inlineStr">
        <is>
          <t>PLANNED_SPENDING</t>
        </is>
      </c>
      <c r="G27" t="inlineStr">
        <is>
          <t>MK-CF-E-004</t>
        </is>
      </c>
      <c r="H27" t="inlineStr">
        <is>
          <t>planned a month = Σ(each category’s planned amount);  remaining = planned − spent</t>
        </is>
      </c>
      <c r="I27" t="inlineStr">
        <is>
          <t>The LARGER of two answers: the categories added up, or the single monthly figure they typed.
The larger wins deliberately. Someone may answer both and the two rarely agree, and understating spending is the direction that FLATTERS a plan — it makes the odds look better than they are. Taking the larger errs toward the cautious side.</t>
        </is>
      </c>
      <c r="J27" t="inlineStr">
        <is>
          <t>the categories → SPENDING_BY_KIND  [MK-XS-I-032] · the single figure → monthlySpending  [MK-XS-I-024, MK-XS-I-030]</t>
        </is>
      </c>
      <c r="K27" t="inlineStr">
        <is>
          <t>US dollars · held to the cent · shown as whole dollars  [derived by rule — confirm]</t>
        </is>
      </c>
      <c r="L27" t="inlineStr">
        <is>
          <t>Adds up to $0 when there is nothing to add. Zero and "nothing recorded yet" look identical on screen — worth a decision.</t>
        </is>
      </c>
      <c r="M27" t="inlineStr">
        <is>
          <t>One figure per person — or per household when two people share one record  [derived by rule — confirm]</t>
        </is>
      </c>
      <c r="N27" t="inlineStr">
        <is>
          <t>As of today, from the latest figures held  [derived by rule — confirm]</t>
        </is>
      </c>
      <c r="O27" t="inlineStr">
        <is>
          <t>MK-XS-E-020 (READ_A_NUMBER) → What number did the person actually type?
MK-XS-E-021 (SPENDING_BY_KIND) → What is spent each month, split by kind?</t>
        </is>
      </c>
      <c r="P27" t="inlineStr"/>
      <c r="Q27" t="inlineStr"/>
      <c r="R27" t="inlineStr">
        <is>
          <t>NOT DETERMINED — no assumption recorded for this figure yet.</t>
        </is>
      </c>
      <c r="S27" t="inlineStr"/>
      <c r="T27" t="inlineStr"/>
      <c r="U27" t="inlineStr"/>
      <c r="V27" t="inlineStr"/>
      <c r="W27" t="inlineStr">
        <is>
          <t>NOT DETERMINED</t>
        </is>
      </c>
      <c r="X27" t="inlineStr">
        <is>
          <t>VERIFIED 2026-08-22</t>
        </is>
      </c>
    </row>
    <row r="28">
      <c r="A28" t="inlineStr">
        <is>
          <t>MK-MN-M-027</t>
        </is>
      </c>
      <c r="B28" t="inlineStr">
        <is>
          <t>Menu</t>
        </is>
      </c>
      <c r="C28" t="inlineStr">
        <is>
          <t>/tax-organizer</t>
        </is>
      </c>
      <c r="D28" t="inlineStr">
        <is>
          <t>each taxable line and its amount</t>
        </is>
      </c>
      <c r="E28" t="inlineStr">
        <is>
          <t>l.amount</t>
        </is>
      </c>
      <c r="F28" t="inlineStr">
        <is>
          <t>TAXABLE_INCOME</t>
        </is>
      </c>
      <c r="G28" t="inlineStr">
        <is>
          <t>MK-MN-E-014</t>
        </is>
      </c>
      <c r="H28" t="inlineStr">
        <is>
          <t>taxable income = gross income − pre-tax contributions − the deduction for the filing status and age</t>
        </is>
      </c>
      <c r="I28" t="inlineStr">
        <is>
          <t>gross − the deduction for that filing status: $16,100 single · $32,200 married · $24,150 head of household.</t>
        </is>
      </c>
      <c r="J28" t="inlineStr">
        <is>
          <t>gross → gross  [MK-XS-I-023] · how they file → status  [MK-XS-I-030]</t>
        </is>
      </c>
      <c r="K28" t="inlineStr">
        <is>
          <t>US dollars · held to the cent · shown as whole dollars  [derived by rule — confirm]</t>
        </is>
      </c>
      <c r="L28" t="inlineStr">
        <is>
          <t>NOT DETERMINED — this engine has not been read for its refusal yet.</t>
        </is>
      </c>
      <c r="M28" t="inlineStr">
        <is>
          <t>One figure per person — or per household when two people share one record  [derived by rule — confirm]</t>
        </is>
      </c>
      <c r="N28" t="inlineStr">
        <is>
          <t>As of today, from the latest figures held  [derived by rule — confirm]</t>
        </is>
      </c>
      <c r="O28" t="inlineStr">
        <is>
          <t>MK-XS-E-056 (TAX_DEDUCTION) → What amount of income is tax-free before the brackets start. Answers: $16,100 single · $32</t>
        </is>
      </c>
      <c r="P28" t="inlineStr"/>
      <c r="Q28" t="inlineStr"/>
      <c r="R28" t="inlineStr">
        <is>
          <t>[Founder] Explicit tables per filing status. A married band is not twice the single band — the 37% band starts at $768,700, not at double the single figure.</t>
        </is>
      </c>
      <c r="S28" t="inlineStr"/>
      <c r="T28" t="inlineStr">
        <is>
          <t>Q24 — State tax is applied to taxable accounts only. Do you want a state rate captured per person, or to keep the single blended figure we use now?</t>
        </is>
      </c>
      <c r="U28" t="inlineStr"/>
      <c r="V28" t="inlineStr"/>
      <c r="W28" t="inlineStr">
        <is>
          <t>NOT DETERMINED</t>
        </is>
      </c>
      <c r="X28" t="inlineStr">
        <is>
          <t>VERIFIED 2026-08-22</t>
        </is>
      </c>
    </row>
    <row r="29">
      <c r="A29" t="inlineStr">
        <is>
          <t>MK-MN-M-028</t>
        </is>
      </c>
      <c r="B29" t="inlineStr">
        <is>
          <t>Menu</t>
        </is>
      </c>
      <c r="C29" t="inlineStr">
        <is>
          <t>/tax-organizer</t>
        </is>
      </c>
      <c r="D29" t="inlineStr">
        <is>
          <t>Taxable income · Non-taxable</t>
        </is>
      </c>
      <c r="E29" t="inlineStr">
        <is>
          <t>org.taxableTotal</t>
        </is>
      </c>
      <c r="F29" t="inlineStr">
        <is>
          <t>TAXABLE_INCOME</t>
        </is>
      </c>
      <c r="G29" t="inlineStr">
        <is>
          <t>MK-MN-E-014</t>
        </is>
      </c>
      <c r="H29" t="inlineStr">
        <is>
          <t>taxable income = gross income − pre-tax contributions − the deduction for the filing status and age</t>
        </is>
      </c>
      <c r="I29" t="inlineStr">
        <is>
          <t>gross − the deduction for that filing status: $16,100 single · $32,200 married · $24,150 head of household.</t>
        </is>
      </c>
      <c r="J29" t="inlineStr">
        <is>
          <t>gross → gross  [MK-XS-I-023] · how they file → status  [MK-XS-I-030]</t>
        </is>
      </c>
      <c r="K29" t="inlineStr">
        <is>
          <t>US dollars · held to the cent · shown as whole dollars  [derived by rule — confirm]</t>
        </is>
      </c>
      <c r="L29" t="inlineStr">
        <is>
          <t>NOT DETERMINED — this engine has not been read for its refusal yet.</t>
        </is>
      </c>
      <c r="M29" t="inlineStr">
        <is>
          <t>One figure per person — or per household when two people share one record  [derived by rule — confirm]</t>
        </is>
      </c>
      <c r="N29" t="inlineStr">
        <is>
          <t>As of today, from the latest figures held  [derived by rule — confirm]</t>
        </is>
      </c>
      <c r="O29" t="inlineStr">
        <is>
          <t>MK-XS-E-056 (TAX_DEDUCTION) → What amount of income is tax-free before the brackets start. Answers: $16,100 single · $32</t>
        </is>
      </c>
      <c r="P29" t="inlineStr"/>
      <c r="Q29" t="inlineStr"/>
      <c r="R29" t="inlineStr">
        <is>
          <t>[Founder] Explicit tables per filing status. A married band is not twice the single band — the 37% band starts at $768,700, not at double the single figure.</t>
        </is>
      </c>
      <c r="S29" t="inlineStr"/>
      <c r="T29" t="inlineStr"/>
      <c r="U29" t="inlineStr"/>
      <c r="V29" t="inlineStr"/>
      <c r="W29" t="inlineStr">
        <is>
          <t>NOT DETERMINED</t>
        </is>
      </c>
      <c r="X29" t="inlineStr">
        <is>
          <t>VERIFIED 2026-08-22</t>
        </is>
      </c>
    </row>
    <row r="30">
      <c r="A30" t="inlineStr">
        <is>
          <t>MK-MN-M-029</t>
        </is>
      </c>
      <c r="B30" t="inlineStr">
        <is>
          <t>Menu</t>
        </is>
      </c>
      <c r="C30" t="inlineStr">
        <is>
          <t>/tax-organizer</t>
        </is>
      </c>
      <c r="D30" t="inlineStr">
        <is>
          <t>each contribution and its amount</t>
        </is>
      </c>
      <c r="E30" t="inlineStr">
        <is>
          <t>c.amount</t>
        </is>
      </c>
      <c r="F30" t="inlineStr">
        <is>
          <t>CONTRIBUTION_ROOM  [NAME ASSIGNED HERE — no engine row exists for it yet]</t>
        </is>
      </c>
      <c r="G30" t="inlineStr">
        <is>
          <t>MK-MN-E-002</t>
        </is>
      </c>
      <c r="H30" t="inlineStr">
        <is>
          <t>room left = the year’s limit − what has already gone in;  per month = room left ÷ months left in the year</t>
        </is>
      </c>
      <c r="I30" t="inlineStr">
        <is>
          <t>Takes the year's legal limit for the account, subtracts what has already gone in, and divides what is left by the months remaining.</t>
        </is>
      </c>
      <c r="J30" t="inlineStr">
        <is>
          <t>NOT DETERMINED — no input list on record for this engine</t>
        </is>
      </c>
      <c r="K30" t="inlineStr">
        <is>
          <t>US dollars · held to the cent · shown as whole dollars  [derived by rule — confirm]</t>
        </is>
      </c>
      <c r="L30" t="inlineStr">
        <is>
          <t>A division: with nothing on the bottom there is no answer, and the line must not appear as zero. NOT YET CONFIRMED against the engine.</t>
        </is>
      </c>
      <c r="M30" t="inlineStr">
        <is>
          <t>One figure per person — or per household when two people share one record  [derived by rule — confirm]</t>
        </is>
      </c>
      <c r="N30" t="inlineStr">
        <is>
          <t>As of today, from the latest figures held  [derived by rule — confirm]</t>
        </is>
      </c>
      <c r="O30" t="inlineStr">
        <is>
          <t>NOT DETERMINED</t>
        </is>
      </c>
      <c r="P30" t="inlineStr"/>
      <c r="Q30" t="inlineStr"/>
      <c r="R30" t="inlineStr">
        <is>
          <t>NOT DETERMINED — no assumption recorded for this figure yet.</t>
        </is>
      </c>
      <c r="S30" t="inlineStr"/>
      <c r="T30" t="inlineStr"/>
      <c r="U30" t="inlineStr"/>
      <c r="V30" t="inlineStr"/>
      <c r="W30" t="inlineStr">
        <is>
          <t>NOT DETERMINED</t>
        </is>
      </c>
      <c r="X30" t="inlineStr">
        <is>
          <t>VERIFIED 2026-08-22</t>
        </is>
      </c>
    </row>
    <row r="31">
      <c r="A31" t="inlineStr">
        <is>
          <t>MK-MN-M-030</t>
        </is>
      </c>
      <c r="B31" t="inlineStr">
        <is>
          <t>Menu</t>
        </is>
      </c>
      <c r="C31" t="inlineStr">
        <is>
          <t>/worth-a-look</t>
        </is>
      </c>
      <c r="D31" t="inlineStr">
        <is>
          <t>$X left &lt;account&gt; on &lt;date&gt;</t>
        </is>
      </c>
      <c r="E31" t="inlineStr">
        <is>
          <t>f.amount</t>
        </is>
      </c>
      <c r="F31" t="inlineStr">
        <is>
          <t>NOT IN OLD MASTER — the outflow watch, src/domain/insights</t>
        </is>
      </c>
      <c r="G31" t="inlineStr">
        <is>
          <t>MK-MN-E-015</t>
        </is>
      </c>
      <c r="H31" t="inlineStr">
        <is>
          <t>flagged when money left an account and has not arrived anywhere else</t>
        </is>
      </c>
      <c r="I31" t="inlineStr">
        <is>
          <t>Notices money leaving an account so it can be asked about rather than quietly lost.</t>
        </is>
      </c>
      <c r="J31" t="inlineStr">
        <is>
          <t>NOT DETERMINED — no input list on record for this engine</t>
        </is>
      </c>
      <c r="K31" t="inlineStr">
        <is>
          <t>A count · whole units, except crypto which keeps its fractions  [derived by rule — confirm]</t>
        </is>
      </c>
      <c r="L31" t="inlineStr">
        <is>
          <t>NOT DETERMINED — this engine has not been read for its refusal yet.</t>
        </is>
      </c>
      <c r="M31" t="inlineStr">
        <is>
          <t>One figure per account  [derived by rule — confirm]</t>
        </is>
      </c>
      <c r="N31" t="inlineStr">
        <is>
          <t>As of today, from the latest figures held  [derived by rule — confirm]</t>
        </is>
      </c>
      <c r="O31" t="inlineStr">
        <is>
          <t>NOT DETERMINED</t>
        </is>
      </c>
      <c r="P31" t="inlineStr"/>
      <c r="Q31" t="inlineStr"/>
      <c r="R31" t="inlineStr">
        <is>
          <t>NOT DETERMINED — no assumption recorded for this figure yet.</t>
        </is>
      </c>
      <c r="S31" t="inlineStr"/>
      <c r="T31" t="inlineStr"/>
      <c r="U31" t="inlineStr"/>
      <c r="V31" t="inlineStr"/>
      <c r="W31" t="inlineStr">
        <is>
          <t>NOT DETERMINED</t>
        </is>
      </c>
      <c r="X31" t="inlineStr">
        <is>
          <t>VERIFIED 2026-08-22</t>
        </is>
      </c>
    </row>
    <row r="32">
      <c r="A32" t="inlineStr"/>
      <c r="B32" t="inlineStr">
        <is>
          <t>Menu</t>
        </is>
      </c>
      <c r="C32" t="inlineStr">
        <is>
          <t>/auth</t>
        </is>
      </c>
      <c r="D32" t="inlineStr">
        <is>
          <t>—</t>
        </is>
      </c>
      <c r="E32" t="inlineStr">
        <is>
          <t>—</t>
        </is>
      </c>
      <c r="F32" t="inlineStr">
        <is>
          <t>—</t>
        </is>
      </c>
      <c r="G32" t="inlineStr"/>
      <c r="H32" t="inlineStr"/>
      <c r="I32" t="inlineStr"/>
      <c r="J32" t="inlineStr"/>
      <c r="K32" t="inlineStr"/>
      <c r="L32" t="inlineStr"/>
      <c r="M32" t="inlineStr"/>
      <c r="N32" t="inlineStr"/>
      <c r="O32" t="inlineStr"/>
      <c r="P32" t="inlineStr"/>
      <c r="Q32" t="inlineStr"/>
      <c r="R32" t="inlineStr"/>
      <c r="S32" t="inlineStr"/>
      <c r="T32" t="inlineStr"/>
      <c r="U32" t="inlineStr"/>
      <c r="V32" t="inlineStr">
        <is>
          <t>NOT DETERMINED</t>
        </is>
      </c>
      <c r="W32" t="inlineStr">
        <is>
          <t>READ 2026-08-22 — no calculated figure on this screen</t>
        </is>
      </c>
    </row>
    <row r="33">
      <c r="A33" t="inlineStr"/>
      <c r="B33" t="inlineStr">
        <is>
          <t>Menu</t>
        </is>
      </c>
      <c r="C33" t="inlineStr">
        <is>
          <t>/estate</t>
        </is>
      </c>
      <c r="D33" t="inlineStr">
        <is>
          <t>—</t>
        </is>
      </c>
      <c r="E33" t="inlineStr">
        <is>
          <t>—</t>
        </is>
      </c>
      <c r="F33" t="inlineStr">
        <is>
          <t>—</t>
        </is>
      </c>
      <c r="G33" t="inlineStr"/>
      <c r="H33" t="inlineStr"/>
      <c r="I33" t="inlineStr"/>
      <c r="J33" t="inlineStr"/>
      <c r="K33" t="inlineStr"/>
      <c r="L33" t="inlineStr"/>
      <c r="M33" t="inlineStr"/>
      <c r="N33" t="inlineStr"/>
      <c r="O33" t="inlineStr"/>
      <c r="P33" t="inlineStr"/>
      <c r="Q33" t="inlineStr"/>
      <c r="R33" t="inlineStr"/>
      <c r="S33" t="inlineStr"/>
      <c r="T33" t="inlineStr"/>
      <c r="U33" t="inlineStr"/>
      <c r="V33" t="inlineStr">
        <is>
          <t>NOT DETERMINED</t>
        </is>
      </c>
      <c r="W33" t="inlineStr">
        <is>
          <t>READ 2026-08-22 — no calculated figure on this screen</t>
        </is>
      </c>
    </row>
    <row r="34">
      <c r="A34" t="inlineStr"/>
      <c r="B34" t="inlineStr">
        <is>
          <t>Menu</t>
        </is>
      </c>
      <c r="C34" t="inlineStr">
        <is>
          <t>/first-run</t>
        </is>
      </c>
      <c r="D34" t="inlineStr">
        <is>
          <t>—</t>
        </is>
      </c>
      <c r="E34" t="inlineStr">
        <is>
          <t>—</t>
        </is>
      </c>
      <c r="F34" t="inlineStr">
        <is>
          <t>—</t>
        </is>
      </c>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is>
          <t>NOT DETERMINED</t>
        </is>
      </c>
      <c r="W34" t="inlineStr">
        <is>
          <t>READ 2026-08-22 — no calculated figure on this screen</t>
        </is>
      </c>
    </row>
    <row r="35">
      <c r="A35" t="inlineStr"/>
      <c r="B35" t="inlineStr">
        <is>
          <t>Menu</t>
        </is>
      </c>
      <c r="C35" t="inlineStr">
        <is>
          <t>/income</t>
        </is>
      </c>
      <c r="D35" t="inlineStr">
        <is>
          <t>—</t>
        </is>
      </c>
      <c r="E35" t="inlineStr">
        <is>
          <t>—</t>
        </is>
      </c>
      <c r="F35" t="inlineStr">
        <is>
          <t>—</t>
        </is>
      </c>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is>
          <t>NOT DETERMINED</t>
        </is>
      </c>
      <c r="W35" t="inlineStr">
        <is>
          <t>READ 2026-08-22 — no calculated figure on this screen</t>
        </is>
      </c>
    </row>
    <row r="36">
      <c r="A36" t="inlineStr"/>
      <c r="B36" t="inlineStr">
        <is>
          <t>Menu</t>
        </is>
      </c>
      <c r="C36" t="inlineStr">
        <is>
          <t>/rewards</t>
        </is>
      </c>
      <c r="D36" t="inlineStr">
        <is>
          <t>—</t>
        </is>
      </c>
      <c r="E36" t="inlineStr">
        <is>
          <t>—</t>
        </is>
      </c>
      <c r="F36" t="inlineStr">
        <is>
          <t>—</t>
        </is>
      </c>
      <c r="G36" t="inlineStr"/>
      <c r="H36" t="inlineStr"/>
      <c r="I36" t="inlineStr"/>
      <c r="J36" t="inlineStr"/>
      <c r="K36" t="inlineStr"/>
      <c r="L36" t="inlineStr"/>
      <c r="M36" t="inlineStr"/>
      <c r="N36" t="inlineStr"/>
      <c r="O36" t="inlineStr"/>
      <c r="P36" t="inlineStr"/>
      <c r="Q36" t="inlineStr"/>
      <c r="R36" t="inlineStr"/>
      <c r="S36" t="inlineStr"/>
      <c r="T36" t="inlineStr"/>
      <c r="U36" t="inlineStr"/>
      <c r="V36" t="inlineStr">
        <is>
          <t>NOT DETERMINED</t>
        </is>
      </c>
      <c r="W36" t="inlineStr">
        <is>
          <t>READ 2026-08-22 — no calculated figure on this screen</t>
        </is>
      </c>
    </row>
    <row r="37">
      <c r="A37" t="inlineStr"/>
      <c r="B37" t="inlineStr">
        <is>
          <t>Menu</t>
        </is>
      </c>
      <c r="C37" t="inlineStr">
        <is>
          <t>/settings</t>
        </is>
      </c>
      <c r="D37" t="inlineStr">
        <is>
          <t>—</t>
        </is>
      </c>
      <c r="E37" t="inlineStr">
        <is>
          <t>—</t>
        </is>
      </c>
      <c r="F37" t="inlineStr">
        <is>
          <t>—</t>
        </is>
      </c>
      <c r="G37" t="inlineStr"/>
      <c r="H37" t="inlineStr"/>
      <c r="I37" t="inlineStr"/>
      <c r="J37" t="inlineStr"/>
      <c r="K37" t="inlineStr"/>
      <c r="L37" t="inlineStr"/>
      <c r="M37" t="inlineStr"/>
      <c r="N37" t="inlineStr"/>
      <c r="O37" t="inlineStr"/>
      <c r="P37" t="inlineStr"/>
      <c r="Q37" t="inlineStr"/>
      <c r="R37" t="inlineStr"/>
      <c r="S37" t="inlineStr"/>
      <c r="T37" t="inlineStr"/>
      <c r="U37" t="inlineStr"/>
      <c r="V37" t="inlineStr">
        <is>
          <t>NOT DETERMINED</t>
        </is>
      </c>
      <c r="W37" t="inlineStr">
        <is>
          <t>READ 2026-08-22 — no calculated figure on this screen</t>
        </is>
      </c>
    </row>
    <row r="38">
      <c r="A38" t="inlineStr"/>
      <c r="B38" t="inlineStr">
        <is>
          <t>Menu</t>
        </is>
      </c>
      <c r="C38" t="inlineStr">
        <is>
          <t>/tips</t>
        </is>
      </c>
      <c r="D38" t="inlineStr">
        <is>
          <t>—</t>
        </is>
      </c>
      <c r="E38" t="inlineStr">
        <is>
          <t>—</t>
        </is>
      </c>
      <c r="F38" t="inlineStr">
        <is>
          <t>—</t>
        </is>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is>
          <t>NOT DETERMINED</t>
        </is>
      </c>
      <c r="W38" t="inlineStr">
        <is>
          <t>READ 2026-08-22 — no calculated figure on this screen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49"/>
  <sheetViews>
    <sheetView workbookViewId="0">
      <pane ySplit="1" topLeftCell="A2" activePane="bottomLeft" state="frozen"/>
      <selection pane="bottomLeft" activeCell="A1" sqref="A1"/>
    </sheetView>
  </sheetViews>
  <sheetFormatPr baseColWidth="8" defaultRowHeight="15"/>
  <cols>
    <col width="16" customWidth="1" min="1" max="1"/>
    <col width="21" customWidth="1" min="2" max="2"/>
    <col width="14" customWidth="1" min="3" max="3"/>
    <col width="28" customWidth="1" min="4" max="4"/>
    <col width="28" customWidth="1" min="5" max="5"/>
    <col width="17" customWidth="1" min="6" max="6"/>
    <col width="18" customWidth="1" min="7" max="7"/>
  </cols>
  <sheetData>
    <row r="1">
      <c r="A1" s="1" t="inlineStr">
        <is>
          <t>Input ID</t>
        </is>
      </c>
      <c r="B1" s="1" t="inlineStr">
        <is>
          <t>Variable name</t>
        </is>
      </c>
      <c r="C1" s="1" t="inlineStr">
        <is>
          <t>Source</t>
        </is>
      </c>
      <c r="D1" s="1" t="inlineStr">
        <is>
          <t>Which metric uses it</t>
        </is>
      </c>
      <c r="E1" s="1" t="inlineStr">
        <is>
          <t>Which engine uses it</t>
        </is>
      </c>
      <c r="F1" s="1" t="inlineStr">
        <is>
          <t>Engine ID</t>
        </is>
      </c>
      <c r="G1" s="1" t="inlineStr">
        <is>
          <t>Row status</t>
        </is>
      </c>
    </row>
    <row r="2">
      <c r="A2" t="inlineStr">
        <is>
          <t>MK-XS-I-001</t>
        </is>
      </c>
      <c r="B2" t="inlineStr">
        <is>
          <t>account balance</t>
        </is>
      </c>
      <c r="C2" t="inlineStr">
        <is>
          <t>the institution download, a connection, or typed by hand</t>
        </is>
      </c>
      <c r="D2" t="inlineStr">
        <is>
          <t>net worth · what you own · cushion · required withdrawal</t>
        </is>
      </c>
      <c r="E2" t="inlineStr">
        <is>
          <t>NET_WORTH · TOTAL_CASH · TOTAL_INVESTMENTS · REQUIRED_WITHDRAWAL</t>
        </is>
      </c>
      <c r="F2" t="inlineStr">
        <is>
          <t>MK-XS-E-001 · MK-XS-E-009 · MK-NW-E-004 · MK-PL-E-006</t>
        </is>
      </c>
      <c r="G2" t="inlineStr">
        <is>
          <t>VERIFIED 2026-08-22</t>
        </is>
      </c>
    </row>
    <row r="3">
      <c r="A3" t="inlineStr">
        <is>
          <t>MK-XS-I-002</t>
        </is>
      </c>
      <c r="B3" t="inlineStr">
        <is>
          <t>account type (taxable, pre-tax, Roth)</t>
        </is>
      </c>
      <c r="C3" t="inlineStr">
        <is>
          <t>typed at setup, or guessed from the account name</t>
        </is>
      </c>
      <c r="D3" t="inlineStr">
        <is>
          <t>how this account is taxed · required withdrawal · Roth move</t>
        </is>
      </c>
      <c r="E3" t="inlineStr">
        <is>
          <t>TAX_TREATMENT · REQUIRED_WITHDRAWAL</t>
        </is>
      </c>
      <c r="F3" t="inlineStr">
        <is>
          <t>MK-PL-E-006</t>
        </is>
      </c>
      <c r="G3" t="inlineStr">
        <is>
          <t>VERIFIED 2026-08-22</t>
        </is>
      </c>
    </row>
    <row r="4">
      <c r="A4" t="inlineStr">
        <is>
          <t>MK-XS-I-003</t>
        </is>
      </c>
      <c r="B4" t="inlineStr">
        <is>
          <t>institution name</t>
        </is>
      </c>
      <c r="C4" t="inlineStr">
        <is>
          <t>the download or the connection</t>
        </is>
      </c>
      <c r="D4" t="inlineStr">
        <is>
          <t>net worth by institution · account rows</t>
        </is>
      </c>
      <c r="E4" t="inlineStr">
        <is>
          <t>ACCOUNT_SPLIT</t>
        </is>
      </c>
      <c r="F4" t="inlineStr">
        <is>
          <t>MK-XS-E-015</t>
        </is>
      </c>
      <c r="G4" t="inlineStr">
        <is>
          <t>VERIFIED 2026-08-22</t>
        </is>
      </c>
    </row>
    <row r="5">
      <c r="A5" t="inlineStr">
        <is>
          <t>MK-XS-I-004</t>
        </is>
      </c>
      <c r="B5" t="inlineStr">
        <is>
          <t>holding quantity (shares)</t>
        </is>
      </c>
      <c r="C5" t="inlineStr">
        <is>
          <t>the download, a connection, or typed</t>
        </is>
      </c>
      <c r="D5" t="inlineStr">
        <is>
          <t>current value · cost basis · gains</t>
        </is>
      </c>
      <c r="E5" t="inlineStr">
        <is>
          <t>HOLDING_SHARES · HOLDING_MARKET_VALUE</t>
        </is>
      </c>
      <c r="F5" t="inlineStr">
        <is>
          <t>MK-XS-E-022 · MK-NW-E-022</t>
        </is>
      </c>
      <c r="G5" t="inlineStr">
        <is>
          <t>VERIFIED 2026-08-22</t>
        </is>
      </c>
    </row>
    <row r="6">
      <c r="A6" t="inlineStr">
        <is>
          <t>MK-XS-I-005</t>
        </is>
      </c>
      <c r="B6" t="inlineStr">
        <is>
          <t>holding price</t>
        </is>
      </c>
      <c r="C6" t="inlineStr">
        <is>
          <t>the price feed</t>
        </is>
      </c>
      <c r="D6" t="inlineStr">
        <is>
          <t>current value · today's market value · freshness</t>
        </is>
      </c>
      <c r="E6" t="inlineStr">
        <is>
          <t>HOLDING_MARKET_VALUE · PRICE_FRESHNESS</t>
        </is>
      </c>
      <c r="F6" t="inlineStr">
        <is>
          <t>MK-HM-E-001 · MK-NW-E-022</t>
        </is>
      </c>
      <c r="G6" t="inlineStr">
        <is>
          <t>VERIFIED 2026-08-22</t>
        </is>
      </c>
    </row>
    <row r="7">
      <c r="A7" t="inlineStr">
        <is>
          <t>MK-XS-I-006</t>
        </is>
      </c>
      <c r="B7" t="inlineStr">
        <is>
          <t>price fetched at</t>
        </is>
      </c>
      <c r="C7" t="inlineStr">
        <is>
          <t>the app, when it last asked for prices</t>
        </is>
      </c>
      <c r="D7" t="inlineStr">
        <is>
          <t>prices updated &lt;when&gt;</t>
        </is>
      </c>
      <c r="E7" t="inlineStr">
        <is>
          <t>PRICE_FRESHNESS</t>
        </is>
      </c>
      <c r="F7" t="inlineStr">
        <is>
          <t>MK-HM-E-001</t>
        </is>
      </c>
      <c r="G7" t="inlineStr">
        <is>
          <t>VERIFIED 2026-08-22</t>
        </is>
      </c>
    </row>
    <row r="8">
      <c r="A8" t="inlineStr">
        <is>
          <t>MK-XS-I-007</t>
        </is>
      </c>
      <c r="B8" t="inlineStr">
        <is>
          <t>purchase price and date (per lot)</t>
        </is>
      </c>
      <c r="C8" t="inlineStr">
        <is>
          <t>the download or typed</t>
        </is>
      </c>
      <c r="D8" t="inlineStr">
        <is>
          <t>price paid · total paid · long or short-term gain</t>
        </is>
      </c>
      <c r="E8" t="inlineStr">
        <is>
          <t>HOLDING_COST_BASIS · HOLDING_CAP_GAINS</t>
        </is>
      </c>
      <c r="F8" t="inlineStr">
        <is>
          <t>MK-NW-E-023 · MK-NW-E-026</t>
        </is>
      </c>
      <c r="G8" t="inlineStr">
        <is>
          <t>VERIFIED 2026-08-22</t>
        </is>
      </c>
    </row>
    <row r="9">
      <c r="A9" t="inlineStr">
        <is>
          <t>MK-XS-I-008</t>
        </is>
      </c>
      <c r="B9" t="inlineStr">
        <is>
          <t>transaction amount</t>
        </is>
      </c>
      <c r="C9" t="inlineStr">
        <is>
          <t>the institution download</t>
        </is>
      </c>
      <c r="D9" t="inlineStr">
        <is>
          <t>contributions · withdrawals · income · the change walk</t>
        </is>
      </c>
      <c r="E9" t="inlineStr">
        <is>
          <t>LEDGER · NW_CHANGE_WALK</t>
        </is>
      </c>
      <c r="F9" t="inlineStr">
        <is>
          <t>MK-PF-E-001</t>
        </is>
      </c>
      <c r="G9" t="inlineStr">
        <is>
          <t>VERIFIED 2026-08-22</t>
        </is>
      </c>
    </row>
    <row r="10">
      <c r="A10" t="inlineStr">
        <is>
          <t>MK-XS-I-009</t>
        </is>
      </c>
      <c r="B10" t="inlineStr">
        <is>
          <t>transaction date</t>
        </is>
      </c>
      <c r="C10" t="inlineStr">
        <is>
          <t>the institution download</t>
        </is>
      </c>
      <c r="D10" t="inlineStr">
        <is>
          <t>the period a figure covers · the change walk</t>
        </is>
      </c>
      <c r="E10" t="inlineStr">
        <is>
          <t>LEDGER · NW_CHANGE_WALK</t>
        </is>
      </c>
      <c r="F10" t="inlineStr">
        <is>
          <t>MK-PF-E-001</t>
        </is>
      </c>
      <c r="G10" t="inlineStr">
        <is>
          <t>VERIFIED 2026-08-22</t>
        </is>
      </c>
    </row>
    <row r="11">
      <c r="A11" t="inlineStr">
        <is>
          <t>MK-XS-I-010</t>
        </is>
      </c>
      <c r="B11" t="inlineStr">
        <is>
          <t>transaction words (the institution's own wording)</t>
        </is>
      </c>
      <c r="C11" t="inlineStr">
        <is>
          <t>the institution download</t>
        </is>
      </c>
      <c r="D11" t="inlineStr">
        <is>
          <t>what each line means: money in, money out, income, cost</t>
        </is>
      </c>
      <c r="E11" t="inlineStr">
        <is>
          <t>LEDGER · the institution-words table</t>
        </is>
      </c>
      <c r="F11" t="inlineStr"/>
      <c r="G11" t="inlineStr">
        <is>
          <t>VERIFIED 2026-08-22</t>
        </is>
      </c>
    </row>
    <row r="12">
      <c r="A12" t="inlineStr">
        <is>
          <t>MK-XS-I-011</t>
        </is>
      </c>
      <c r="B12" t="inlineStr">
        <is>
          <t>bond face value</t>
        </is>
      </c>
      <c r="C12" t="inlineStr">
        <is>
          <t>typed, or the download</t>
        </is>
      </c>
      <c r="D12" t="inlineStr">
        <is>
          <t>face value · what comes back at maturity</t>
        </is>
      </c>
      <c r="E12" t="inlineStr">
        <is>
          <t>BOND_FACTS</t>
        </is>
      </c>
      <c r="F12" t="inlineStr">
        <is>
          <t>MK-NW-E-015</t>
        </is>
      </c>
      <c r="G12" t="inlineStr">
        <is>
          <t>VERIFIED 2026-08-22</t>
        </is>
      </c>
    </row>
    <row r="13">
      <c r="A13" t="inlineStr">
        <is>
          <t>MK-XS-I-012</t>
        </is>
      </c>
      <c r="B13" t="inlineStr">
        <is>
          <t>bond coupon rate</t>
        </is>
      </c>
      <c r="C13" t="inlineStr">
        <is>
          <t>typed, or the download</t>
        </is>
      </c>
      <c r="D13" t="inlineStr">
        <is>
          <t>interest payments a year · yield</t>
        </is>
      </c>
      <c r="E13" t="inlineStr">
        <is>
          <t>BOND_COUPON · BOND_CURRENT_YIELD</t>
        </is>
      </c>
      <c r="F13" t="inlineStr">
        <is>
          <t>MK-NW-E-016 · MK-NW-E-019</t>
        </is>
      </c>
      <c r="G13" t="inlineStr">
        <is>
          <t>VERIFIED 2026-08-22</t>
        </is>
      </c>
    </row>
    <row r="14">
      <c r="A14" t="inlineStr">
        <is>
          <t>MK-XS-I-013</t>
        </is>
      </c>
      <c r="B14" t="inlineStr">
        <is>
          <t>bond maturity date</t>
        </is>
      </c>
      <c r="C14" t="inlineStr">
        <is>
          <t>typed, or the download</t>
        </is>
      </c>
      <c r="D14" t="inlineStr">
        <is>
          <t>years away · yield if held to maturity</t>
        </is>
      </c>
      <c r="E14" t="inlineStr">
        <is>
          <t>BOND_YEARS_LEFT · BOND_YIELD_TO_MATURITY</t>
        </is>
      </c>
      <c r="F14" t="inlineStr">
        <is>
          <t>MK-NW-E-017 · MK-NW-E-018</t>
        </is>
      </c>
      <c r="G14" t="inlineStr">
        <is>
          <t>VERIFIED 2026-08-22</t>
        </is>
      </c>
    </row>
    <row r="15">
      <c r="A15" t="inlineStr">
        <is>
          <t>MK-XS-I-014</t>
        </is>
      </c>
      <c r="B15" t="inlineStr">
        <is>
          <t>debt balance</t>
        </is>
      </c>
      <c r="C15" t="inlineStr">
        <is>
          <t>typed, or a connection</t>
        </is>
      </c>
      <c r="D15" t="inlineStr">
        <is>
          <t>what you owe · net worth · payoff</t>
        </is>
      </c>
      <c r="E15" t="inlineStr">
        <is>
          <t>DEBT_PICTURE</t>
        </is>
      </c>
      <c r="F15" t="inlineStr">
        <is>
          <t>MK-NW-E-006</t>
        </is>
      </c>
      <c r="G15" t="inlineStr">
        <is>
          <t>VERIFIED 2026-08-22</t>
        </is>
      </c>
    </row>
    <row r="16">
      <c r="A16" t="inlineStr">
        <is>
          <t>MK-XS-I-015</t>
        </is>
      </c>
      <c r="B16" t="inlineStr">
        <is>
          <t>debt interest rate</t>
        </is>
      </c>
      <c r="C16" t="inlineStr">
        <is>
          <t>typed</t>
        </is>
      </c>
      <c r="D16" t="inlineStr">
        <is>
          <t>payoff date · what extra payments save</t>
        </is>
      </c>
      <c r="E16" t="inlineStr">
        <is>
          <t>DEBT_PAYOFF</t>
        </is>
      </c>
      <c r="F16" t="inlineStr">
        <is>
          <t>MK-PL-E-015</t>
        </is>
      </c>
      <c r="G16" t="inlineStr">
        <is>
          <t>VERIFIED 2026-08-22</t>
        </is>
      </c>
    </row>
    <row r="17">
      <c r="A17" t="inlineStr">
        <is>
          <t>MK-XS-I-016</t>
        </is>
      </c>
      <c r="B17" t="inlineStr">
        <is>
          <t>debt minimum payment</t>
        </is>
      </c>
      <c r="C17" t="inlineStr">
        <is>
          <t>typed</t>
        </is>
      </c>
      <c r="D17" t="inlineStr">
        <is>
          <t>monthly debt payments · money out</t>
        </is>
      </c>
      <c r="E17" t="inlineStr">
        <is>
          <t>DEBT_REQUIRED_PAYMENT</t>
        </is>
      </c>
      <c r="F17" t="inlineStr">
        <is>
          <t>MK-NW-E-007</t>
        </is>
      </c>
      <c r="G17" t="inlineStr">
        <is>
          <t>VERIFIED 2026-08-22</t>
        </is>
      </c>
    </row>
    <row r="18">
      <c r="A18" t="inlineStr">
        <is>
          <t>MK-XS-I-017</t>
        </is>
      </c>
      <c r="B18" t="inlineStr">
        <is>
          <t>birth year</t>
        </is>
      </c>
      <c r="C18" t="inlineStr">
        <is>
          <t>typed at setup</t>
        </is>
      </c>
      <c r="D18" t="inlineStr">
        <is>
          <t>current age · retirement age · Social Security · required withdrawal</t>
        </is>
      </c>
      <c r="E18" t="inlineStr">
        <is>
          <t>SS_BENEFIT_AT_AGE · RMD_START_AGE</t>
        </is>
      </c>
      <c r="F18" t="inlineStr">
        <is>
          <t>MK-XS-E-040</t>
        </is>
      </c>
      <c r="G18" t="inlineStr">
        <is>
          <t>VERIFIED 2026-08-22</t>
        </is>
      </c>
    </row>
    <row r="19">
      <c r="A19" t="inlineStr">
        <is>
          <t>MK-XS-I-018</t>
        </is>
      </c>
      <c r="B19" t="inlineStr">
        <is>
          <t>retirement age</t>
        </is>
      </c>
      <c r="C19" t="inlineStr">
        <is>
          <t>typed, or the dial on Plan</t>
        </is>
      </c>
      <c r="D19" t="inlineStr">
        <is>
          <t>the odds · projected pot · the paycheck</t>
        </is>
      </c>
      <c r="E19" t="inlineStr">
        <is>
          <t>WILL_IT_LAST_RESULT · POT_AT_RETIREMENT</t>
        </is>
      </c>
      <c r="F19" t="inlineStr">
        <is>
          <t>MK-XS-E-007 · MK-NW-E-009</t>
        </is>
      </c>
      <c r="G19" t="inlineStr">
        <is>
          <t>VERIFIED 2026-08-22</t>
        </is>
      </c>
    </row>
    <row r="20">
      <c r="A20" t="inlineStr">
        <is>
          <t>MK-XS-I-019</t>
        </is>
      </c>
      <c r="B20" t="inlineStr">
        <is>
          <t>monthly spending in retirement</t>
        </is>
      </c>
      <c r="C20" t="inlineStr">
        <is>
          <t>typed</t>
        </is>
      </c>
      <c r="D20" t="inlineStr">
        <is>
          <t>the odds · the draw from savings</t>
        </is>
      </c>
      <c r="E20" t="inlineStr">
        <is>
          <t>WILL_IT_LAST_INPUTS</t>
        </is>
      </c>
      <c r="F20" t="inlineStr">
        <is>
          <t>MK-XS-E-006</t>
        </is>
      </c>
      <c r="G20" t="inlineStr">
        <is>
          <t>VERIFIED 2026-08-22</t>
        </is>
      </c>
    </row>
    <row r="21">
      <c r="A21" t="inlineStr">
        <is>
          <t>MK-XS-I-020</t>
        </is>
      </c>
      <c r="B21" t="inlineStr">
        <is>
          <t>Social Security monthly amount</t>
        </is>
      </c>
      <c r="C21" t="inlineStr">
        <is>
          <t>typed from the statement, or a worked example</t>
        </is>
      </c>
      <c r="D21" t="inlineStr">
        <is>
          <t>guaranteed income · the paycheck · claim timing</t>
        </is>
      </c>
      <c r="E21" t="inlineStr">
        <is>
          <t>SS_BENEFIT_AT_AGE · RETIREMENT_INCOME_NOW</t>
        </is>
      </c>
      <c r="F21" t="inlineStr">
        <is>
          <t>MK-XS-E-040 · MK-PL-E-007</t>
        </is>
      </c>
      <c r="G21" t="inlineStr">
        <is>
          <t>VERIFIED 2026-08-22</t>
        </is>
      </c>
    </row>
    <row r="22">
      <c r="A22" t="inlineStr">
        <is>
          <t>MK-XS-I-021</t>
        </is>
      </c>
      <c r="B22" t="inlineStr">
        <is>
          <t>Social Security claim age</t>
        </is>
      </c>
      <c r="C22" t="inlineStr">
        <is>
          <t>typed</t>
        </is>
      </c>
      <c r="D22" t="inlineStr">
        <is>
          <t>how much the check is · lifetime total</t>
        </is>
      </c>
      <c r="E22" t="inlineStr">
        <is>
          <t>SS_CLAIM_FACTOR</t>
        </is>
      </c>
      <c r="F22" t="inlineStr">
        <is>
          <t>MK-XS-E-046</t>
        </is>
      </c>
      <c r="G22" t="inlineStr">
        <is>
          <t>VERIFIED 2026-08-22</t>
        </is>
      </c>
    </row>
    <row r="23">
      <c r="A23" t="inlineStr">
        <is>
          <t>MK-XS-I-022</t>
        </is>
      </c>
      <c r="B23" t="inlineStr">
        <is>
          <t>pension monthly amount</t>
        </is>
      </c>
      <c r="C23" t="inlineStr">
        <is>
          <t>typed</t>
        </is>
      </c>
      <c r="D23" t="inlineStr">
        <is>
          <t>guaranteed income · the paycheck</t>
        </is>
      </c>
      <c r="E23" t="inlineStr">
        <is>
          <t>RETIREMENT_INCOME_NOW</t>
        </is>
      </c>
      <c r="F23" t="inlineStr">
        <is>
          <t>MK-PL-E-007</t>
        </is>
      </c>
      <c r="G23" t="inlineStr">
        <is>
          <t>VERIFIED 2026-08-22</t>
        </is>
      </c>
    </row>
    <row r="24">
      <c r="A24" t="inlineStr">
        <is>
          <t>MK-XS-I-023</t>
        </is>
      </c>
      <c r="B24" t="inlineStr">
        <is>
          <t>salary and other income</t>
        </is>
      </c>
      <c r="C24" t="inlineStr">
        <is>
          <t>typed at setup</t>
        </is>
      </c>
      <c r="D24" t="inlineStr">
        <is>
          <t>money in · take-home · savings capacity</t>
        </is>
      </c>
      <c r="E24" t="inlineStr">
        <is>
          <t>TOTAL_INCOME</t>
        </is>
      </c>
      <c r="F24" t="inlineStr">
        <is>
          <t>MK-XS-E-044</t>
        </is>
      </c>
      <c r="G24" t="inlineStr">
        <is>
          <t>VERIFIED 2026-08-22</t>
        </is>
      </c>
    </row>
    <row r="25">
      <c r="A25" t="inlineStr">
        <is>
          <t>MK-XS-I-024</t>
        </is>
      </c>
      <c r="B25" t="inlineStr">
        <is>
          <t>logged spending</t>
        </is>
      </c>
      <c r="C25" t="inlineStr">
        <is>
          <t>typed, or read from a download</t>
        </is>
      </c>
      <c r="D25" t="inlineStr">
        <is>
          <t>spent so far · by category · essentials</t>
        </is>
      </c>
      <c r="E25" t="inlineStr">
        <is>
          <t>SPENDING_BY_KIND · PLANNED_SPENDING</t>
        </is>
      </c>
      <c r="F25" t="inlineStr">
        <is>
          <t>MK-XS-E-021 · MK-CF-E-004</t>
        </is>
      </c>
      <c r="G25" t="inlineStr">
        <is>
          <t>VERIFIED 2026-08-22</t>
        </is>
      </c>
    </row>
    <row r="26">
      <c r="A26" t="inlineStr">
        <is>
          <t>MK-XS-I-025</t>
        </is>
      </c>
      <c r="B26" t="inlineStr">
        <is>
          <t>typical monthly essentials</t>
        </is>
      </c>
      <c r="C26" t="inlineStr">
        <is>
          <t>typed</t>
        </is>
      </c>
      <c r="D26" t="inlineStr">
        <is>
          <t>the cushion · job-safety runway · stress test</t>
        </is>
      </c>
      <c r="E26" t="inlineStr">
        <is>
          <t>PLANNED_SPENDING · JOB_SAFETY_RUNWAY</t>
        </is>
      </c>
      <c r="F26" t="inlineStr">
        <is>
          <t>MK-CF-E-004 · MK-MN-E-010</t>
        </is>
      </c>
      <c r="G26" t="inlineStr">
        <is>
          <t>VERIFIED 2026-08-22</t>
        </is>
      </c>
    </row>
    <row r="27">
      <c r="A27" t="inlineStr">
        <is>
          <t>MK-XS-I-026</t>
        </is>
      </c>
      <c r="B27" t="inlineStr">
        <is>
          <t>big costs (amount and year)</t>
        </is>
      </c>
      <c r="C27" t="inlineStr">
        <is>
          <t>typed</t>
        </is>
      </c>
      <c r="D27" t="inlineStr">
        <is>
          <t>the odds · the plan · the radar</t>
        </is>
      </c>
      <c r="E27" t="inlineStr">
        <is>
          <t>BIG_COSTS</t>
        </is>
      </c>
      <c r="F27" t="inlineStr">
        <is>
          <t>MK-MN-E-001</t>
        </is>
      </c>
      <c r="G27" t="inlineStr">
        <is>
          <t>VERIFIED 2026-08-22</t>
        </is>
      </c>
    </row>
    <row r="28">
      <c r="A28" t="inlineStr">
        <is>
          <t>MK-XS-I-027</t>
        </is>
      </c>
      <c r="B28" t="inlineStr">
        <is>
          <t>goals (target, saved, date)</t>
        </is>
      </c>
      <c r="C28" t="inlineStr">
        <is>
          <t>typed</t>
        </is>
      </c>
      <c r="D28" t="inlineStr">
        <is>
          <t>goal progress · what you can afford together</t>
        </is>
      </c>
      <c r="E28" t="inlineStr">
        <is>
          <t>GOAL_PROGRESS</t>
        </is>
      </c>
      <c r="F28" t="inlineStr">
        <is>
          <t>MK-MN-E-005</t>
        </is>
      </c>
      <c r="G28" t="inlineStr">
        <is>
          <t>VERIFIED 2026-08-22</t>
        </is>
      </c>
    </row>
    <row r="29">
      <c r="A29" t="inlineStr">
        <is>
          <t>MK-XS-I-028</t>
        </is>
      </c>
      <c r="B29" t="inlineStr">
        <is>
          <t>assumed return</t>
        </is>
      </c>
      <c r="C29" t="inlineStr">
        <is>
          <t>built in, and adjustable on the cockpit</t>
        </is>
      </c>
      <c r="D29" t="inlineStr">
        <is>
          <t>projected pot · the odds</t>
        </is>
      </c>
      <c r="E29" t="inlineStr">
        <is>
          <t>POT_AT_RETIREMENT · WILL_IT_LAST_RESULT</t>
        </is>
      </c>
      <c r="F29" t="inlineStr">
        <is>
          <t>MK-XS-E-007 · MK-NW-E-009</t>
        </is>
      </c>
      <c r="G29" t="inlineStr">
        <is>
          <t>VERIFIED 2026-08-22</t>
        </is>
      </c>
    </row>
    <row r="30">
      <c r="A30" t="inlineStr">
        <is>
          <t>MK-XS-I-029</t>
        </is>
      </c>
      <c r="B30" t="inlineStr">
        <is>
          <t>inflation rate</t>
        </is>
      </c>
      <c r="C30" t="inlineStr">
        <is>
          <t>a published feed, with a built-in fallback</t>
        </is>
      </c>
      <c r="D30" t="inlineStr">
        <is>
          <t>tomorrow's dollars · the odds</t>
        </is>
      </c>
      <c r="E30" t="inlineStr">
        <is>
          <t>WILL_IT_LAST_INPUTS</t>
        </is>
      </c>
      <c r="F30" t="inlineStr">
        <is>
          <t>MK-XS-E-006</t>
        </is>
      </c>
      <c r="G30" t="inlineStr">
        <is>
          <t>VERIFIED 2026-08-22</t>
        </is>
      </c>
    </row>
    <row r="31">
      <c r="A31" t="inlineStr">
        <is>
          <t>MK-XS-I-030</t>
        </is>
      </c>
      <c r="B31" t="inlineStr">
        <is>
          <t>tax filing status and age</t>
        </is>
      </c>
      <c r="C31" t="inlineStr">
        <is>
          <t>typed at setup</t>
        </is>
      </c>
      <c r="D31" t="inlineStr">
        <is>
          <t>tax bands · the deduction · tax on a Roth move</t>
        </is>
      </c>
      <c r="E31" t="inlineStr">
        <is>
          <t>TAXABLE_INCOME · TAX_ON_CONVERSION</t>
        </is>
      </c>
      <c r="F31" t="inlineStr">
        <is>
          <t>MK-PL-E-012 · MK-MN-E-014</t>
        </is>
      </c>
      <c r="G31" t="inlineStr">
        <is>
          <t>VERIFIED 2026-08-22</t>
        </is>
      </c>
    </row>
    <row r="32">
      <c r="A32" t="inlineStr">
        <is>
          <t>MK-XS-I-031</t>
        </is>
      </c>
      <c r="B32" t="inlineStr">
        <is>
          <t>daily and monthly snapshots</t>
        </is>
      </c>
      <c r="C32" t="inlineStr">
        <is>
          <t>the app itself, once a day</t>
        </is>
      </c>
      <c r="D32" t="inlineStr">
        <is>
          <t>the trend line · change in net worth · beginning values</t>
        </is>
      </c>
      <c r="E32" t="inlineStr">
        <is>
          <t>TREND_SERIES · NW_CHANGE_WALK</t>
        </is>
      </c>
      <c r="F32" t="inlineStr">
        <is>
          <t>MK-NW-E-001 · MK-PF-E-001</t>
        </is>
      </c>
      <c r="G32" t="inlineStr">
        <is>
          <t>VERIFIED 2026-08-22</t>
        </is>
      </c>
    </row>
    <row r="33">
      <c r="A33" t="inlineStr">
        <is>
          <t>MK-XS-I-032</t>
        </is>
      </c>
      <c r="B33" t="inlineStr">
        <is>
          <t>spending categories the person set up</t>
        </is>
      </c>
      <c r="C33" t="inlineStr">
        <is>
          <t>Typed by the person when they set up their budget</t>
        </is>
      </c>
      <c r="D33" t="inlineStr">
        <is>
          <t>planned spending · spending by kind</t>
        </is>
      </c>
      <c r="E33" t="inlineStr">
        <is>
          <t>PLANNED_SPENDING · SPENDING_BY_KIND</t>
        </is>
      </c>
      <c r="F33" t="inlineStr">
        <is>
          <t>MK-XS-E-021 · MK-CF-E-004</t>
        </is>
      </c>
      <c r="G33" t="inlineStr">
        <is>
          <t>VERIFIED 2026-08-22</t>
        </is>
      </c>
    </row>
    <row r="34">
      <c r="A34" t="inlineStr">
        <is>
          <t>MK-XS-I-033</t>
        </is>
      </c>
      <c r="B34" t="inlineStr">
        <is>
          <t>the date a hand-typed value was set</t>
        </is>
      </c>
      <c r="C34" t="inlineStr">
        <is>
          <t>Typed by the person, stamped when they save it</t>
        </is>
      </c>
      <c r="D34" t="inlineStr">
        <is>
          <t>account value and its freshness</t>
        </is>
      </c>
      <c r="E34" t="inlineStr">
        <is>
          <t>HAND_VALUE_AGE</t>
        </is>
      </c>
      <c r="F34" t="inlineStr">
        <is>
          <t>MK-NW-E-011</t>
        </is>
      </c>
      <c r="G34" t="inlineStr">
        <is>
          <t>VERIFIED 2026-08-22</t>
        </is>
      </c>
    </row>
    <row r="35">
      <c r="A35" t="inlineStr">
        <is>
          <t>MK-XS-I-034</t>
        </is>
      </c>
      <c r="B35" t="inlineStr">
        <is>
          <t>option positions — contracts, strike, expiry, put or call</t>
        </is>
      </c>
      <c r="C35" t="inlineStr">
        <is>
          <t>An institution download, a connection, or typed</t>
        </is>
      </c>
      <c r="D35" t="inlineStr">
        <is>
          <t>a holding’s value and gain when it is an option</t>
        </is>
      </c>
      <c r="E35" t="inlineStr">
        <is>
          <t>HOLDING_MARKET_VALUE · HOLDING_CAP_GAINS</t>
        </is>
      </c>
      <c r="F35" t="inlineStr">
        <is>
          <t>MK-NW-E-022 · MK-NW-E-026</t>
        </is>
      </c>
      <c r="G35" t="inlineStr">
        <is>
          <t>VERIFIED 2026-08-22</t>
        </is>
      </c>
    </row>
    <row r="36">
      <c r="A36" t="inlineStr">
        <is>
          <t>MK-XS-I-035</t>
        </is>
      </c>
      <c r="B36" t="inlineStr">
        <is>
          <t>annuity income</t>
        </is>
      </c>
      <c r="C36" t="inlineStr">
        <is>
          <t>Typed by the person</t>
        </is>
      </c>
      <c r="D36" t="inlineStr">
        <is>
          <t>guaranteed income · the retirement paycheck</t>
        </is>
      </c>
      <c r="E36" t="inlineStr">
        <is>
          <t>RETIREMENT_INCOME · RETIREMENT_INCOME_NOW</t>
        </is>
      </c>
      <c r="F36" t="inlineStr">
        <is>
          <t>MK-XS-E-047 · MK-PL-E-007</t>
        </is>
      </c>
      <c r="G36" t="inlineStr">
        <is>
          <t>VERIFIED 2026-08-22</t>
        </is>
      </c>
    </row>
    <row r="37">
      <c r="A37" t="inlineStr">
        <is>
          <t>MK-XS-I-036</t>
        </is>
      </c>
      <c r="B37" t="inlineStr">
        <is>
          <t>other guaranteed income</t>
        </is>
      </c>
      <c r="C37" t="inlineStr">
        <is>
          <t>Typed by the person</t>
        </is>
      </c>
      <c r="D37" t="inlineStr">
        <is>
          <t>guaranteed income · the retirement paycheck</t>
        </is>
      </c>
      <c r="E37" t="inlineStr">
        <is>
          <t>RETIREMENT_INCOME</t>
        </is>
      </c>
      <c r="F37" t="inlineStr">
        <is>
          <t>MK-XS-E-047</t>
        </is>
      </c>
      <c r="G37" t="inlineStr">
        <is>
          <t>VERIFIED 2026-08-22</t>
        </is>
      </c>
    </row>
    <row r="38">
      <c r="A38" t="inlineStr">
        <is>
          <t>MK-XS-I-037</t>
        </is>
      </c>
      <c r="B38" t="inlineStr">
        <is>
          <t>required-withdrawal income stream (ri_rmd)</t>
        </is>
      </c>
      <c r="C38" t="inlineStr">
        <is>
          <t>Worked out from balances, not typed</t>
        </is>
      </c>
      <c r="D38" t="inlineStr">
        <is>
          <t>the retirement paycheck. RULE B5: it must NOT count as guaranteed income — money coming OUT of the pot cannot fund the pot</t>
        </is>
      </c>
      <c r="E38" t="inlineStr">
        <is>
          <t>RETIREMENT_INCOME</t>
        </is>
      </c>
      <c r="F38" t="inlineStr">
        <is>
          <t>MK-XS-E-047</t>
        </is>
      </c>
      <c r="G38" t="inlineStr">
        <is>
          <t>VERIFIED 2026-08-22</t>
        </is>
      </c>
    </row>
    <row r="39">
      <c r="A39" t="inlineStr">
        <is>
          <t>MK-XS-I-038</t>
        </is>
      </c>
      <c r="B39" t="inlineStr">
        <is>
          <t>withdrawal income stream (ri_withdrawals)</t>
        </is>
      </c>
      <c r="C39" t="inlineStr">
        <is>
          <t>Worked out from the plan, not typed</t>
        </is>
      </c>
      <c r="D39" t="inlineStr">
        <is>
          <t>the retirement paycheck. RULE B5: excluded from guaranteed income for the same reason</t>
        </is>
      </c>
      <c r="E39" t="inlineStr">
        <is>
          <t>RETIREMENT_INCOME</t>
        </is>
      </c>
      <c r="F39" t="inlineStr">
        <is>
          <t>MK-XS-E-047</t>
        </is>
      </c>
      <c r="G39" t="inlineStr">
        <is>
          <t>VERIFIED 2026-08-22</t>
        </is>
      </c>
    </row>
    <row r="40">
      <c r="A40" t="inlineStr">
        <is>
          <t>MK-XS-I-039</t>
        </is>
      </c>
      <c r="B40" t="inlineStr">
        <is>
          <t>how often each income arrives</t>
        </is>
      </c>
      <c r="C40" t="inlineStr">
        <is>
          <t>Typed by the person</t>
        </is>
      </c>
      <c r="D40" t="inlineStr">
        <is>
          <t>which months an income lands in</t>
        </is>
      </c>
      <c r="E40" t="inlineStr">
        <is>
          <t>RETIREMENT_INCOME · TOTAL_INCOME</t>
        </is>
      </c>
      <c r="F40" t="inlineStr">
        <is>
          <t>MK-XS-E-044 · MK-XS-E-047</t>
        </is>
      </c>
      <c r="G40" t="inlineStr">
        <is>
          <t>VERIFIED 2026-08-22</t>
        </is>
      </c>
    </row>
    <row r="41">
      <c r="A41" t="inlineStr">
        <is>
          <t>MK-XS-I-040</t>
        </is>
      </c>
      <c r="B41" t="inlineStr">
        <is>
          <t>whether a stream is already being received</t>
        </is>
      </c>
      <c r="C41" t="inlineStr">
        <is>
          <t>Typed by the person</t>
        </is>
      </c>
      <c r="D41" t="inlineStr">
        <is>
          <t>guaranteed income now, as against guaranteed income later</t>
        </is>
      </c>
      <c r="E41" t="inlineStr">
        <is>
          <t>RETIREMENT_INCOME_NOW</t>
        </is>
      </c>
      <c r="F41" t="inlineStr">
        <is>
          <t>MK-PL-E-007</t>
        </is>
      </c>
      <c r="G41" t="inlineStr">
        <is>
          <t>VERIFIED 2026-08-22</t>
        </is>
      </c>
    </row>
    <row r="42">
      <c r="A42" t="inlineStr">
        <is>
          <t>MK-XS-I-041</t>
        </is>
      </c>
      <c r="B42" t="inlineStr">
        <is>
          <t>the payment the person chose to make on a debt</t>
        </is>
      </c>
      <c r="C42" t="inlineStr">
        <is>
          <t>Typed by the person, and it can exceed the minimum</t>
        </is>
      </c>
      <c r="D42" t="inlineStr">
        <is>
          <t>payoff date · money out</t>
        </is>
      </c>
      <c r="E42" t="inlineStr">
        <is>
          <t>DEBT_PAYOFF · DEBT_REQUIRED_PAYMENT</t>
        </is>
      </c>
      <c r="F42" t="inlineStr">
        <is>
          <t>MK-NW-E-007 · MK-PL-E-015</t>
        </is>
      </c>
      <c r="G42" t="inlineStr">
        <is>
          <t>VERIFIED 2026-08-22</t>
        </is>
      </c>
    </row>
    <row r="43">
      <c r="A43" t="inlineStr">
        <is>
          <t>MK-XS-I-042</t>
        </is>
      </c>
      <c r="B43" t="inlineStr">
        <is>
          <t>how a stream is paid — monthly, yearly or one lump</t>
        </is>
      </c>
      <c r="C43" t="inlineStr">
        <is>
          <t>Typed by the person</t>
        </is>
      </c>
      <c r="D43" t="inlineStr">
        <is>
          <t>how an income is spread across the year</t>
        </is>
      </c>
      <c r="E43" t="inlineStr">
        <is>
          <t>RETIREMENT_INCOME</t>
        </is>
      </c>
      <c r="F43" t="inlineStr">
        <is>
          <t>MK-XS-E-047</t>
        </is>
      </c>
      <c r="G43" t="inlineStr">
        <is>
          <t>VERIFIED 2026-08-22</t>
        </is>
      </c>
    </row>
    <row r="44">
      <c r="A44" t="inlineStr">
        <is>
          <t>MK-XS-I-043</t>
        </is>
      </c>
      <c r="B44" t="inlineStr">
        <is>
          <t>their own retirement contribution</t>
        </is>
      </c>
      <c r="C44" t="inlineStr">
        <is>
          <t>Typed by the person</t>
        </is>
      </c>
      <c r="D44" t="inlineStr">
        <is>
          <t>take-home pay · the pot at retirement</t>
        </is>
      </c>
      <c r="E44" t="inlineStr">
        <is>
          <t>TOTAL_INCOME · POT_AT_RETIREMENT</t>
        </is>
      </c>
      <c r="F44" t="inlineStr">
        <is>
          <t>MK-NW-E-009 · MK-XS-E-044</t>
        </is>
      </c>
      <c r="G44" t="inlineStr">
        <is>
          <t>VERIFIED 2026-08-22</t>
        </is>
      </c>
    </row>
    <row r="45">
      <c r="A45" t="inlineStr">
        <is>
          <t>MK-XS-I-044</t>
        </is>
      </c>
      <c r="B45" t="inlineStr">
        <is>
          <t>the person’s own plan overrides</t>
        </is>
      </c>
      <c r="C45" t="inlineStr">
        <is>
          <t>Set by the person on the Plan screen</t>
        </is>
      </c>
      <c r="D45" t="inlineStr">
        <is>
          <t>every plan figure they have overridden</t>
        </is>
      </c>
      <c r="E45" t="inlineStr">
        <is>
          <t>WILL_IT_LAST_INPUTS</t>
        </is>
      </c>
      <c r="F45" t="inlineStr">
        <is>
          <t>MK-XS-E-006</t>
        </is>
      </c>
      <c r="G45" t="inlineStr">
        <is>
          <t>VERIFIED 2026-08-22</t>
        </is>
      </c>
    </row>
    <row r="46">
      <c r="A46" t="inlineStr">
        <is>
          <t>MK-XS-I-045</t>
        </is>
      </c>
      <c r="B46" t="inlineStr">
        <is>
          <t>where they will live in retirement</t>
        </is>
      </c>
      <c r="C46" t="inlineStr">
        <is>
          <t>Typed by the person</t>
        </is>
      </c>
      <c r="D46" t="inlineStr">
        <is>
          <t>cost of living where they retire</t>
        </is>
      </c>
      <c r="E46" t="inlineStr">
        <is>
          <t>RETIREMENT_SPENDING</t>
        </is>
      </c>
      <c r="F46" t="inlineStr">
        <is>
          <t>MK-XS-E-004</t>
        </is>
      </c>
      <c r="G46" t="inlineStr">
        <is>
          <t>VERIFIED 2026-08-22</t>
        </is>
      </c>
    </row>
    <row r="47">
      <c r="A47" t="inlineStr">
        <is>
          <t>MK-XS-I-046</t>
        </is>
      </c>
      <c r="B47" t="inlineStr">
        <is>
          <t>how the employer match is expressed — percent or dollars</t>
        </is>
      </c>
      <c r="C47" t="inlineStr">
        <is>
          <t>Typed by the person</t>
        </is>
      </c>
      <c r="D47" t="inlineStr">
        <is>
          <t>the employer match</t>
        </is>
      </c>
      <c r="E47" t="inlineStr">
        <is>
          <t>EMPLOYER_MATCH</t>
        </is>
      </c>
      <c r="F47" t="inlineStr">
        <is>
          <t>MK-MN-E-007</t>
        </is>
      </c>
      <c r="G47" t="inlineStr">
        <is>
          <t>VERIFIED 2026-08-22</t>
        </is>
      </c>
    </row>
    <row r="48">
      <c r="A48" t="inlineStr">
        <is>
          <t>MK-XS-I-047</t>
        </is>
      </c>
      <c r="B48" t="inlineStr">
        <is>
          <t>money to leave behind</t>
        </is>
      </c>
      <c r="C48" t="inlineStr">
        <is>
          <t>Typed by the person</t>
        </is>
      </c>
      <c r="D48" t="inlineStr">
        <is>
          <t>the odds — the pot may not be run to zero</t>
        </is>
      </c>
      <c r="E48" t="inlineStr">
        <is>
          <t>WILL_IT_LAST_INPUTS · WILL_IT_LAST_RESULT</t>
        </is>
      </c>
      <c r="F48" t="inlineStr">
        <is>
          <t>MK-XS-E-006 · MK-XS-E-007</t>
        </is>
      </c>
      <c r="G48" t="inlineStr">
        <is>
          <t>VERIFIED 2026-08-22</t>
        </is>
      </c>
    </row>
    <row r="49">
      <c r="A49" t="inlineStr">
        <is>
          <t>MK-XS-I-048</t>
        </is>
      </c>
      <c r="B49" t="inlineStr">
        <is>
          <t>the person’s own asset-class answer</t>
        </is>
      </c>
      <c r="C49" t="inlineStr">
        <is>
          <t>Typed by the person, and it outranks the institution</t>
        </is>
      </c>
      <c r="D49" t="inlineStr">
        <is>
          <t>what class a holding is counted as</t>
        </is>
      </c>
      <c r="E49" t="inlineStr">
        <is>
          <t>ALLOCATION_BY_CLASS · ASSET_CLASS_OF_ACCOUNT</t>
        </is>
      </c>
      <c r="F49" t="inlineStr">
        <is>
          <t>MK-XS-E-008 · MK-NW-E-005</t>
        </is>
      </c>
      <c r="G49" t="inlineStr">
        <is>
          <t>VERIFIED 2026-08-22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60" customWidth="1" min="3" max="3"/>
    <col width="44" customWidth="1" min="4" max="4"/>
    <col width="44" customWidth="1" min="5" max="5"/>
    <col width="44" customWidth="1" min="6" max="6"/>
    <col width="26" customWidth="1" min="7" max="7"/>
  </cols>
  <sheetData>
    <row r="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c r="A5" s="3" t="inlineStr">
        <is>
          <t>users/{uid}</t>
        </is>
      </c>
      <c r="B5" s="3" t="inlineStr">
        <is>
          <t>householdId</t>
        </is>
      </c>
      <c r="C5" s="3" t="inlineStr">
        <is>
          <t>Whose document this person reads and writes — their own, or the partner who invited them.</t>
        </is>
      </c>
      <c r="D5" s="3" t="inlineStr">
        <is>
          <t>—</t>
        </is>
      </c>
      <c r="E5" s="3" t="inlineStr">
        <is>
          <t>when an invite is redeemed</t>
        </is>
      </c>
      <c r="F5" s="3" t="inlineStr">
        <is>
          <t>one per person</t>
        </is>
      </c>
      <c r="G5" s="3" t="inlineStr">
        <is>
          <t>No</t>
        </is>
      </c>
    </row>
    <row r="6">
      <c r="A6" s="3" t="inlineStr">
        <is>
          <t>households/{owner}/members/{member}</t>
        </is>
      </c>
      <c r="B6" s="3" t="inlineStr">
        <is>
          <t>code, householdId</t>
        </is>
      </c>
      <c r="C6" s="3" t="inlineStr">
        <is>
          <t>The record that a partner joined a household, bound to a real invite.</t>
        </is>
      </c>
      <c r="D6" s="3" t="inlineStr">
        <is>
          <t>—</t>
        </is>
      </c>
      <c r="E6" s="3" t="inlineStr">
        <is>
          <t>once, when the invite is redeemed</t>
        </is>
      </c>
      <c r="F6" s="3" t="inlineStr">
        <is>
          <t>one per member</t>
        </is>
      </c>
      <c r="G6" s="3" t="inlineStr">
        <is>
          <t>No</t>
        </is>
      </c>
    </row>
    <row r="7">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c r="A13" s="3" t="inlineStr">
        <is>
          <t>inside appStateEnc</t>
        </is>
      </c>
      <c r="B13" s="3" t="inlineStr">
        <is>
          <t>expenses</t>
        </is>
      </c>
      <c r="C13" s="3" t="inlineStr">
        <is>
          <t>Logged spending: date, amount, category, store.</t>
        </is>
      </c>
      <c r="D13" s="3" t="inlineStr">
        <is>
          <t>logged spending</t>
        </is>
      </c>
      <c r="E13" s="3" t="inlineStr">
        <is>
          <t>with every save</t>
        </is>
      </c>
      <c r="F13" s="3" t="inlineStr">
        <is>
          <t>one entry per expense</t>
        </is>
      </c>
      <c r="G13" s="3" t="inlineStr">
        <is>
          <t>inside the encrypted blob</t>
        </is>
      </c>
    </row>
    <row r="14">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c r="A15" s="3" t="inlineStr">
        <is>
          <t>inside appStateEnc</t>
        </is>
      </c>
      <c r="B15" s="3" t="inlineStr">
        <is>
          <t>recurringExpenses</t>
        </is>
      </c>
      <c r="C15" s="3" t="inlineStr">
        <is>
          <t>Bills that repeat, and the day they fall.</t>
        </is>
      </c>
      <c r="D15" s="3" t="inlineStr">
        <is>
          <t>logged spending · the bill calendar</t>
        </is>
      </c>
      <c r="E15" s="3" t="inlineStr">
        <is>
          <t>with every save</t>
        </is>
      </c>
      <c r="F15" s="3" t="inlineStr">
        <is>
          <t>one entry per bill</t>
        </is>
      </c>
      <c r="G15" s="3" t="inlineStr">
        <is>
          <t>inside the encrypted blob</t>
        </is>
      </c>
    </row>
    <row r="16">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c r="A18" s="3" t="inlineStr">
        <is>
          <t>inside appStateEnc</t>
        </is>
      </c>
      <c r="B18" s="3" t="inlineStr">
        <is>
          <t>onboardingProfile</t>
        </is>
      </c>
      <c r="C18" s="3" t="inlineStr">
        <is>
          <t>What the person told us at setup: birth year, retirement age, spending, Social Security, pension, filing status.</t>
        </is>
      </c>
      <c r="D18" s="3" t="inlineStr">
        <is>
          <t>birth year · retirement age · monthly spending · Social Security · pension · filing status</t>
        </is>
      </c>
      <c r="E18" s="3" t="inlineStr">
        <is>
          <t>with every save</t>
        </is>
      </c>
      <c r="F18" s="3" t="inlineStr">
        <is>
          <t>one per person</t>
        </is>
      </c>
      <c r="G18" s="3" t="inlineStr">
        <is>
          <t>inside the encrypted blob</t>
        </is>
      </c>
    </row>
    <row r="19">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c r="A23" s="3" t="inlineStr">
        <is>
          <t>inside appStateEnc</t>
        </is>
      </c>
      <c r="B23" s="3" t="inlineStr">
        <is>
          <t>budgetCategories · monthlyBudgetTarget · allocatedByMonth</t>
        </is>
      </c>
      <c r="C23" s="3" t="inlineStr">
        <is>
          <t>The plan for spending, by category and by month.</t>
        </is>
      </c>
      <c r="D23" s="3" t="inlineStr">
        <is>
          <t>typical monthly essentials · planned spending</t>
        </is>
      </c>
      <c r="E23" s="3" t="inlineStr">
        <is>
          <t>with every save</t>
        </is>
      </c>
      <c r="F23" s="3" t="inlineStr">
        <is>
          <t>one entry per category or month</t>
        </is>
      </c>
      <c r="G23" s="3" t="inlineStr">
        <is>
          <t>inside the encrypted blob</t>
        </is>
      </c>
    </row>
    <row r="24">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c r="A31" s="3" t="inlineStr">
        <is>
          <t>NOT SAVED</t>
        </is>
      </c>
      <c r="B31" s="3" t="inlineStr">
        <is>
          <t>economic figures (inflation, the 10-year yield)</t>
        </is>
      </c>
      <c r="C31" s="3" t="inlineStr">
        <is>
          <t>Fetched from a feed each time; deliberately left out of the sync.</t>
        </is>
      </c>
      <c r="D31" s="3" t="inlineStr">
        <is>
          <t>inflation rate</t>
        </is>
      </c>
      <c r="E31" s="3" t="inlineStr">
        <is>
          <t>never written to the cloud</t>
        </is>
      </c>
      <c r="F31" s="3" t="inlineStr">
        <is>
          <t>—</t>
        </is>
      </c>
      <c r="G31" s="3"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c r="A1" s="1" t="inlineStr">
        <is>
          <t>Screen name</t>
        </is>
      </c>
      <c r="B1" s="1" t="inlineStr">
        <is>
          <t>Parent screen</t>
        </is>
      </c>
      <c r="C1" s="1" t="inlineStr">
        <is>
          <t>Core or not — my recommendation</t>
        </is>
      </c>
      <c r="D1" s="1" t="inlineStr">
        <is>
          <t>JJ — Decision (Y/N)</t>
        </is>
      </c>
    </row>
    <row r="2">
      <c r="A2" s="3" t="inlineStr">
        <is>
          <t>/account-detail</t>
        </is>
      </c>
      <c r="B2" s="3" t="inlineStr">
        <is>
          <t>Cashflow · Home · Networth · Performance · Plan</t>
        </is>
      </c>
      <c r="C2" s="3" t="inlineStr">
        <is>
          <t>Yes — where a wrong balance is chased</t>
        </is>
      </c>
      <c r="D2" s="3" t="inlineStr"/>
    </row>
    <row r="3">
      <c r="A3" s="3" t="inlineStr">
        <is>
          <t>/add-account</t>
        </is>
      </c>
      <c r="B3" s="3" t="inlineStr">
        <is>
          <t>Cashflow · Home · Networth · Performance · Plan</t>
        </is>
      </c>
      <c r="C3" s="3" t="inlineStr">
        <is>
          <t>Yes</t>
        </is>
      </c>
      <c r="D3" s="3" t="inlineStr"/>
    </row>
    <row r="4">
      <c r="A4" s="3" t="inlineStr">
        <is>
          <t>/analytics</t>
        </is>
      </c>
      <c r="B4" s="3" t="inlineStr">
        <is>
          <t>Networth</t>
        </is>
      </c>
      <c r="C4" s="3" t="inlineStr">
        <is>
          <t>Yes — Net worth</t>
        </is>
      </c>
      <c r="D4" s="3" t="inlineStr"/>
    </row>
    <row r="5">
      <c r="A5" s="3" t="inlineStr">
        <is>
          <t>/auth</t>
        </is>
      </c>
      <c r="B5" s="3" t="inlineStr">
        <is>
          <t>Menu</t>
        </is>
      </c>
      <c r="C5" s="3" t="inlineStr">
        <is>
          <t>Yes — the way in</t>
        </is>
      </c>
      <c r="D5" s="3" t="inlineStr"/>
    </row>
    <row r="6">
      <c r="A6" s="3" t="inlineStr">
        <is>
          <t>/big-costs</t>
        </is>
      </c>
      <c r="B6" s="3" t="inlineStr">
        <is>
          <t>Menu</t>
        </is>
      </c>
      <c r="C6" s="3" t="inlineStr">
        <is>
          <t>Yes — the costs that break a plan</t>
        </is>
      </c>
      <c r="D6" s="3" t="inlineStr"/>
    </row>
    <row r="7">
      <c r="A7" s="3" t="inlineStr">
        <is>
          <t>/bill-calendar</t>
        </is>
      </c>
      <c r="B7" s="3" t="inlineStr">
        <is>
          <t>Cashflow · Home</t>
        </is>
      </c>
      <c r="C7" s="3" t="inlineStr">
        <is>
          <t>Yes</t>
        </is>
      </c>
      <c r="D7" s="3" t="inlineStr"/>
    </row>
    <row r="8">
      <c r="A8" s="3" t="inlineStr">
        <is>
          <t>/bonds</t>
        </is>
      </c>
      <c r="B8" s="3" t="inlineStr">
        <is>
          <t>Cashflow · Home · Networth · Performance · Plan</t>
        </is>
      </c>
      <c r="C8" s="3" t="inlineStr">
        <is>
          <t>Yes — this age group holds them</t>
        </is>
      </c>
      <c r="D8" s="3" t="inlineStr"/>
    </row>
    <row r="9">
      <c r="A9" s="3" t="inlineStr">
        <is>
          <t>/cashflow</t>
        </is>
      </c>
      <c r="B9" s="3" t="inlineStr">
        <is>
          <t>Cashflow</t>
        </is>
      </c>
      <c r="C9" s="3" t="inlineStr">
        <is>
          <t>Yes — Cash flow</t>
        </is>
      </c>
      <c r="D9" s="3" t="inlineStr"/>
    </row>
    <row r="10">
      <c r="A10" s="3" t="inlineStr">
        <is>
          <t>/connect</t>
        </is>
      </c>
      <c r="B10" s="3" t="inlineStr">
        <is>
          <t>Cashflow · Home · Networth · Performance · Plan</t>
        </is>
      </c>
      <c r="C10" s="3" t="inlineStr">
        <is>
          <t>Yes</t>
        </is>
      </c>
      <c r="D10" s="3" t="inlineStr"/>
    </row>
    <row r="11">
      <c r="A11" s="3" t="inlineStr">
        <is>
          <t>/contribution-room</t>
        </is>
      </c>
      <c r="B11" s="3" t="inlineStr">
        <is>
          <t>Menu</t>
        </is>
      </c>
      <c r="C11" s="3" t="inlineStr">
        <is>
          <t>Yes — still relevant while working</t>
        </is>
      </c>
      <c r="D11" s="3" t="inlineStr"/>
    </row>
    <row r="12">
      <c r="A12" s="3" t="inlineStr">
        <is>
          <t>/credit</t>
        </is>
      </c>
      <c r="B12" s="3" t="inlineStr">
        <is>
          <t>Menu</t>
        </is>
      </c>
      <c r="C12" s="3" t="inlineStr">
        <is>
          <t>No — a working-age worry</t>
        </is>
      </c>
      <c r="D12" s="3" t="inlineStr"/>
    </row>
    <row r="13">
      <c r="A13" s="3" t="inlineStr">
        <is>
          <t>/education</t>
        </is>
      </c>
      <c r="B13" s="3" t="inlineStr">
        <is>
          <t>Plan</t>
        </is>
      </c>
      <c r="C13" s="3" t="inlineStr">
        <is>
          <t>No — college costs belong to the younger group</t>
        </is>
      </c>
      <c r="D13" s="3" t="inlineStr"/>
    </row>
    <row r="14">
      <c r="A14" s="3" t="inlineStr">
        <is>
          <t>/estate</t>
        </is>
      </c>
      <c r="B14" s="3" t="inlineStr">
        <is>
          <t>Menu</t>
        </is>
      </c>
      <c r="C14" s="3" t="inlineStr">
        <is>
          <t>Yes — squarely a 55-70 concern</t>
        </is>
      </c>
      <c r="D14" s="3" t="inlineStr"/>
    </row>
    <row r="15">
      <c r="A15" s="3" t="inlineStr">
        <is>
          <t>/expense</t>
        </is>
      </c>
      <c r="B15" s="3" t="inlineStr">
        <is>
          <t>Menu</t>
        </is>
      </c>
      <c r="C15" s="3" t="inlineStr">
        <is>
          <t>Yes</t>
        </is>
      </c>
      <c r="D15" s="3" t="inlineStr"/>
    </row>
    <row r="16">
      <c r="A16" s="3" t="inlineStr">
        <is>
          <t>/first-run</t>
        </is>
      </c>
      <c r="B16" s="3" t="inlineStr">
        <is>
          <t>Menu</t>
        </is>
      </c>
      <c r="C16" s="3" t="inlineStr">
        <is>
          <t>Yes</t>
        </is>
      </c>
      <c r="D16" s="3" t="inlineStr"/>
    </row>
    <row r="17">
      <c r="A17" s="3" t="inlineStr">
        <is>
          <t>/goals</t>
        </is>
      </c>
      <c r="B17" s="3" t="inlineStr">
        <is>
          <t>Menu</t>
        </is>
      </c>
      <c r="C17" s="3" t="inlineStr">
        <is>
          <t>Yes</t>
        </is>
      </c>
      <c r="D17" s="3" t="inlineStr"/>
    </row>
    <row r="18">
      <c r="A18" s="3" t="inlineStr">
        <is>
          <t>/holding-detail</t>
        </is>
      </c>
      <c r="B18" s="3" t="inlineStr">
        <is>
          <t>Cashflow · Home · Networth · Performance · Plan</t>
        </is>
      </c>
      <c r="C18" s="3" t="inlineStr">
        <is>
          <t>Yes — where a wrong gain is chased</t>
        </is>
      </c>
      <c r="D18" s="3" t="inlineStr"/>
    </row>
    <row r="19">
      <c r="A19" s="3" t="inlineStr">
        <is>
          <t>/home</t>
        </is>
      </c>
      <c r="B19" s="3" t="inlineStr">
        <is>
          <t>Home</t>
        </is>
      </c>
      <c r="C19" s="3" t="inlineStr">
        <is>
          <t>Yes — the first screen</t>
        </is>
      </c>
      <c r="D19" s="3" t="inlineStr"/>
    </row>
    <row r="20">
      <c r="A20" s="3" t="inlineStr">
        <is>
          <t>/import-holdings</t>
        </is>
      </c>
      <c r="B20" s="3" t="inlineStr">
        <is>
          <t>Cashflow · Home · Networth · Performance · Plan</t>
        </is>
      </c>
      <c r="C20" s="3" t="inlineStr">
        <is>
          <t>Yes — the way real data gets in</t>
        </is>
      </c>
      <c r="D20" s="3" t="inlineStr"/>
    </row>
    <row r="21">
      <c r="A21" s="3" t="inlineStr">
        <is>
          <t>/income</t>
        </is>
      </c>
      <c r="B21" s="3" t="inlineStr">
        <is>
          <t>Menu</t>
        </is>
      </c>
      <c r="C21" s="3" t="inlineStr">
        <is>
          <t>Yes</t>
        </is>
      </c>
      <c r="D21" s="3" t="inlineStr"/>
    </row>
    <row r="22">
      <c r="A22" s="3" t="inlineStr">
        <is>
          <t>/income-detail</t>
        </is>
      </c>
      <c r="B22" s="3" t="inlineStr">
        <is>
          <t>Menu</t>
        </is>
      </c>
      <c r="C22" s="3" t="inlineStr">
        <is>
          <t>Yes</t>
        </is>
      </c>
      <c r="D22" s="3" t="inlineStr"/>
    </row>
    <row r="23">
      <c r="A23" s="3" t="inlineStr">
        <is>
          <t>/income-manager</t>
        </is>
      </c>
      <c r="B23" s="3" t="inlineStr">
        <is>
          <t>Cashflow · Home</t>
        </is>
      </c>
      <c r="C23" s="3" t="inlineStr">
        <is>
          <t>Yes</t>
        </is>
      </c>
      <c r="D23" s="3" t="inlineStr"/>
    </row>
    <row r="24">
      <c r="A24" s="3" t="inlineStr">
        <is>
          <t>/insights</t>
        </is>
      </c>
      <c r="B24" s="3" t="inlineStr">
        <is>
          <t>Menu</t>
        </is>
      </c>
      <c r="C24" s="3" t="inlineStr">
        <is>
          <t>Yes — what needs you today</t>
        </is>
      </c>
      <c r="D24" s="3" t="inlineStr"/>
    </row>
    <row r="25">
      <c r="A25" s="3" t="inlineStr">
        <is>
          <t>/insurance</t>
        </is>
      </c>
      <c r="B25" s="3" t="inlineStr">
        <is>
          <t>Menu</t>
        </is>
      </c>
      <c r="C25" s="3" t="inlineStr">
        <is>
          <t>Borderline — matters at 55, less at 70</t>
        </is>
      </c>
      <c r="D25" s="3" t="inlineStr"/>
    </row>
    <row r="26">
      <c r="A26" s="3" t="inlineStr">
        <is>
          <t>/invest</t>
        </is>
      </c>
      <c r="B26" s="3" t="inlineStr">
        <is>
          <t>Performance</t>
        </is>
      </c>
      <c r="C26" s="3" t="inlineStr">
        <is>
          <t>Yes — Performance</t>
        </is>
      </c>
      <c r="D26" s="3" t="inlineStr"/>
    </row>
    <row r="27">
      <c r="A27" s="3" t="inlineStr">
        <is>
          <t>/itemize</t>
        </is>
      </c>
      <c r="B27" s="3" t="inlineStr">
        <is>
          <t>Networth</t>
        </is>
      </c>
      <c r="C27" s="3" t="inlineStr">
        <is>
          <t>Yes — splitting one lump into holdings</t>
        </is>
      </c>
      <c r="D27" s="3" t="inlineStr"/>
    </row>
    <row r="28">
      <c r="A28" s="3" t="inlineStr">
        <is>
          <t>/jobsafety</t>
        </is>
      </c>
      <c r="B28" s="3" t="inlineStr">
        <is>
          <t>Menu</t>
        </is>
      </c>
      <c r="C28" s="3" t="inlineStr">
        <is>
          <t>No — a working-age worry</t>
        </is>
      </c>
      <c r="D28" s="3" t="inlineStr"/>
    </row>
    <row r="29">
      <c r="A29" s="3" t="inlineStr">
        <is>
          <t>/look-back</t>
        </is>
      </c>
      <c r="B29" s="3" t="inlineStr">
        <is>
          <t>Cashflow · Home · Networth · Performance · Plan</t>
        </is>
      </c>
      <c r="C29" s="3" t="inlineStr">
        <is>
          <t>Borderline — interesting, not needed to trust a number</t>
        </is>
      </c>
      <c r="D29" s="3" t="inlineStr"/>
    </row>
    <row r="30">
      <c r="A30" s="3" t="inlineStr">
        <is>
          <t>/month-detail</t>
        </is>
      </c>
      <c r="B30" s="3" t="inlineStr">
        <is>
          <t>Cashflow · Home</t>
        </is>
      </c>
      <c r="C30" s="3" t="inlineStr">
        <is>
          <t>Yes</t>
        </is>
      </c>
      <c r="D30" s="3" t="inlineStr"/>
    </row>
    <row r="31">
      <c r="A31" s="3" t="inlineStr">
        <is>
          <t>/monthly-income</t>
        </is>
      </c>
      <c r="B31" s="3" t="inlineStr">
        <is>
          <t>Cashflow · Home · Plan</t>
        </is>
      </c>
      <c r="C31" s="3" t="inlineStr">
        <is>
          <t>Yes</t>
        </is>
      </c>
      <c r="D31" s="3" t="inlineStr"/>
    </row>
    <row r="32">
      <c r="A32" s="3" t="inlineStr">
        <is>
          <t>/multi-goal</t>
        </is>
      </c>
      <c r="B32" s="3" t="inlineStr">
        <is>
          <t>Plan</t>
        </is>
      </c>
      <c r="C32" s="3" t="inlineStr">
        <is>
          <t>Yes</t>
        </is>
      </c>
      <c r="D32" s="3" t="inlineStr"/>
    </row>
    <row r="33">
      <c r="A33" s="3" t="inlineStr">
        <is>
          <t>/onboarding</t>
        </is>
      </c>
      <c r="B33" s="3" t="inlineStr">
        <is>
          <t>Cashflow · Home</t>
        </is>
      </c>
      <c r="C33" s="3" t="inlineStr">
        <is>
          <t>Yes</t>
        </is>
      </c>
      <c r="D33" s="3" t="inlineStr"/>
    </row>
    <row r="34">
      <c r="A34" s="3" t="inlineStr">
        <is>
          <t>/other-investments</t>
        </is>
      </c>
      <c r="B34" s="3" t="inlineStr">
        <is>
          <t>Menu</t>
        </is>
      </c>
      <c r="C34" s="3" t="inlineStr">
        <is>
          <t>Yes — the things with no market price</t>
        </is>
      </c>
      <c r="D34" s="3" t="inlineStr"/>
    </row>
    <row r="35">
      <c r="A35" s="3" t="inlineStr">
        <is>
          <t>/paycheck-months</t>
        </is>
      </c>
      <c r="B35" s="3" t="inlineStr">
        <is>
          <t>Cashflow · Home · Plan</t>
        </is>
      </c>
      <c r="C35" s="3" t="inlineStr">
        <is>
          <t>Yes</t>
        </is>
      </c>
      <c r="D35" s="3" t="inlineStr"/>
    </row>
    <row r="36">
      <c r="A36" s="3" t="inlineStr">
        <is>
          <t>/performance</t>
        </is>
      </c>
      <c r="B36" s="3" t="inlineStr">
        <is>
          <t>Cashflow · Home · Plan</t>
        </is>
      </c>
      <c r="C36" s="3" t="inlineStr">
        <is>
          <t>Yes — a second route to Performance</t>
        </is>
      </c>
      <c r="D36" s="3" t="inlineStr"/>
    </row>
    <row r="37">
      <c r="A37" s="3" t="inlineStr">
        <is>
          <t>/plan</t>
        </is>
      </c>
      <c r="B37" s="3" t="inlineStr">
        <is>
          <t>Plan</t>
        </is>
      </c>
      <c r="C37" s="3" t="inlineStr">
        <is>
          <t>Yes — Plan</t>
        </is>
      </c>
      <c r="D37" s="3" t="inlineStr"/>
    </row>
    <row r="38">
      <c r="A38" s="3" t="inlineStr">
        <is>
          <t>/required-withdrawals</t>
        </is>
      </c>
      <c r="B38" s="3" t="inlineStr">
        <is>
          <t>Plan</t>
        </is>
      </c>
      <c r="C38" s="3" t="inlineStr">
        <is>
          <t>Yes — a 73+ obligation</t>
        </is>
      </c>
      <c r="D38" s="3" t="inlineStr"/>
    </row>
    <row r="39">
      <c r="A39" s="3" t="inlineStr">
        <is>
          <t>/retirement</t>
        </is>
      </c>
      <c r="B39" s="3" t="inlineStr">
        <is>
          <t>Cashflow · Home · Plan</t>
        </is>
      </c>
      <c r="C39" s="3" t="inlineStr">
        <is>
          <t>Yes — the cockpit</t>
        </is>
      </c>
      <c r="D39" s="3" t="inlineStr"/>
    </row>
    <row r="40">
      <c r="A40" s="3" t="inlineStr">
        <is>
          <t>/rewards</t>
        </is>
      </c>
      <c r="B40" s="3" t="inlineStr">
        <is>
          <t>Menu</t>
        </is>
      </c>
      <c r="C40" s="3" t="inlineStr">
        <is>
          <t>No — encouragement, not a number</t>
        </is>
      </c>
      <c r="D40" s="3" t="inlineStr"/>
    </row>
    <row r="41">
      <c r="A41" s="3" t="inlineStr">
        <is>
          <t>/roth</t>
        </is>
      </c>
      <c r="B41" s="3" t="inlineStr">
        <is>
          <t>Plan</t>
        </is>
      </c>
      <c r="C41" s="3" t="inlineStr">
        <is>
          <t>Yes — a 55-70 decision</t>
        </is>
      </c>
      <c r="D41" s="3" t="inlineStr"/>
    </row>
    <row r="42">
      <c r="A42" s="3" t="inlineStr">
        <is>
          <t>/settings</t>
        </is>
      </c>
      <c r="B42" s="3" t="inlineStr">
        <is>
          <t>Menu</t>
        </is>
      </c>
      <c r="C42" s="3" t="inlineStr">
        <is>
          <t>Yes — carries hide-balances and the lock</t>
        </is>
      </c>
      <c r="D42" s="3" t="inlineStr"/>
    </row>
    <row r="43">
      <c r="A43" s="3" t="inlineStr">
        <is>
          <t>/sharpen</t>
        </is>
      </c>
      <c r="B43" s="3" t="inlineStr">
        <is>
          <t>Plan</t>
        </is>
      </c>
      <c r="C43" s="3" t="inlineStr">
        <is>
          <t>Borderline — a way in, not a figure</t>
        </is>
      </c>
      <c r="D43" s="3" t="inlineStr"/>
    </row>
    <row r="44">
      <c r="A44" s="3" t="inlineStr">
        <is>
          <t>/ss-timing</t>
        </is>
      </c>
      <c r="B44" s="3" t="inlineStr">
        <is>
          <t>Plan</t>
        </is>
      </c>
      <c r="C44" s="3" t="inlineStr">
        <is>
          <t>Yes — a 55-70 decision</t>
        </is>
      </c>
      <c r="D44" s="3" t="inlineStr"/>
    </row>
    <row r="45">
      <c r="A45" s="3" t="inlineStr">
        <is>
          <t>/stress-test</t>
        </is>
      </c>
      <c r="B45" s="3" t="inlineStr">
        <is>
          <t>Menu</t>
        </is>
      </c>
      <c r="C45" s="3" t="inlineStr">
        <is>
          <t>Borderline</t>
        </is>
      </c>
      <c r="D45" s="3" t="inlineStr"/>
    </row>
    <row r="46">
      <c r="A46" s="3" t="inlineStr">
        <is>
          <t>/tax-organizer</t>
        </is>
      </c>
      <c r="B46" s="3" t="inlineStr">
        <is>
          <t>Menu</t>
        </is>
      </c>
      <c r="C46" s="3" t="inlineStr">
        <is>
          <t>Yes</t>
        </is>
      </c>
      <c r="D46" s="3" t="inlineStr"/>
    </row>
    <row r="47">
      <c r="A47" s="3" t="inlineStr">
        <is>
          <t>/tips</t>
        </is>
      </c>
      <c r="B47" s="3" t="inlineStr">
        <is>
          <t>Menu</t>
        </is>
      </c>
      <c r="C47" s="3" t="inlineStr">
        <is>
          <t>No — encouragement, not a number</t>
        </is>
      </c>
      <c r="D47" s="3" t="inlineStr"/>
    </row>
    <row r="48">
      <c r="A48" s="3" t="inlineStr">
        <is>
          <t>/what-if</t>
        </is>
      </c>
      <c r="B48" s="3" t="inlineStr">
        <is>
          <t>Cashflow · Home · Performance · Plan</t>
        </is>
      </c>
      <c r="C48" s="3" t="inlineStr">
        <is>
          <t>Yes</t>
        </is>
      </c>
      <c r="D48" s="3" t="inlineStr"/>
    </row>
    <row r="49">
      <c r="A49" s="3" t="inlineStr">
        <is>
          <t>/will-it-last</t>
        </is>
      </c>
      <c r="B49" s="3" t="inlineStr">
        <is>
          <t>Plan</t>
        </is>
      </c>
      <c r="C49" s="3" t="inlineStr">
        <is>
          <t>Yes — the question the whole plan answers</t>
        </is>
      </c>
      <c r="D49" s="3" t="inlineStr"/>
    </row>
    <row r="50">
      <c r="A50" s="3" t="inlineStr">
        <is>
          <t>/worth-a-look</t>
        </is>
      </c>
      <c r="B50" s="3" t="inlineStr">
        <is>
          <t>Menu</t>
        </is>
      </c>
      <c r="C50" s="3" t="inlineStr">
        <is>
          <t>Borderline</t>
        </is>
      </c>
      <c r="D50" s="3"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51"/>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70" customWidth="1" min="5" max="5"/>
  </cols>
  <sheetData>
    <row r="1">
      <c r="A1" s="1" t="inlineStr">
        <is>
          <t>Input ID</t>
        </is>
      </c>
      <c r="B1" s="1" t="inlineStr">
        <is>
          <t>Input</t>
        </is>
      </c>
      <c r="C1" s="1" t="inlineStr">
        <is>
          <t>Engines the inputs tab says use it</t>
        </is>
      </c>
      <c r="D1" s="1" t="inlineStr">
        <is>
          <t>Engines that actually name it in their own input list</t>
        </is>
      </c>
      <c r="E1" s="1" t="inlineStr">
        <is>
          <t>Verdict</t>
        </is>
      </c>
    </row>
    <row r="2">
      <c r="A2" s="3" t="inlineStr">
        <is>
          <t>MK-XS-I-001</t>
        </is>
      </c>
      <c r="B2" s="3" t="inlineStr">
        <is>
          <t>account balance</t>
        </is>
      </c>
      <c r="C2" s="3" t="inlineStr">
        <is>
          <t>NET_WORTH · REQUIRED_WITHDRAWAL · TOTAL_CASH · TOTAL_INVESTMENTS</t>
        </is>
      </c>
      <c r="D2" s="3" t="inlineStr">
        <is>
          <t>ACCOUNT_SHARE_OF_TOTAL · ACCOUNT_SPLIT · ALLOCATION_BY_CLASS · BOND_CURRENT_YIELD · BOND_YIELD_TO_MATURITY · DEBT_PICTURE · HAND_VALUE_AGE · NET_WORTH · PLANNED_SPENDING · POT_AT_RETIREMENT · TOTAL_CASH · TOTAL_INVESTABLE · TOTAL_INVESTMENTS</t>
        </is>
      </c>
      <c r="E2" s="3" t="inlineStr">
        <is>
          <t>PARTLY AGREES — declared but not naming it: REQUIRED_WITHDRAWAL  |  naming it but not declared: ACCOUNT_SHARE_OF_TOTAL, ACCOUNT_SPLIT, ALLOCATION_BY_CLASS, BOND_CURRENT_YIELD, BOND_YIELD_TO_MATURITY, DEBT_PICTURE, HAND_VALUE_AGE, PLANNED_SPENDING, POT_AT_RETIREMENT, TOTAL_INVESTABLE</t>
        </is>
      </c>
    </row>
    <row r="3">
      <c r="A3" s="3" t="inlineStr">
        <is>
          <t>MK-XS-I-002</t>
        </is>
      </c>
      <c r="B3" s="3" t="inlineStr">
        <is>
          <t>account type (taxable, pre-tax, Roth)</t>
        </is>
      </c>
      <c r="C3" s="3" t="inlineStr">
        <is>
          <t>REQUIRED_WITHDRAWAL · TAX_TREATMENT</t>
        </is>
      </c>
      <c r="D3" s="3" t="inlineStr">
        <is>
          <t>—</t>
        </is>
      </c>
      <c r="E3" s="3" t="inlineStr">
        <is>
          <t>DECLARED BUT NEVER NAMED — the inputs tab says these engines use it, but no engine names it in its own input list. Unproved in one direction.</t>
        </is>
      </c>
    </row>
    <row r="4">
      <c r="A4" s="3" t="inlineStr">
        <is>
          <t>MK-XS-I-003</t>
        </is>
      </c>
      <c r="B4" s="3" t="inlineStr">
        <is>
          <t>institution name</t>
        </is>
      </c>
      <c r="C4" s="3" t="inlineStr">
        <is>
          <t>ACCOUNT_SPLIT</t>
        </is>
      </c>
      <c r="D4" s="3" t="inlineStr">
        <is>
          <t>—</t>
        </is>
      </c>
      <c r="E4" s="3" t="inlineStr">
        <is>
          <t>DECLARED BUT NEVER NAMED — the inputs tab says these engines use it, but no engine names it in its own input list. Unproved in one direction.</t>
        </is>
      </c>
    </row>
    <row r="5">
      <c r="A5" s="3" t="inlineStr">
        <is>
          <t>MK-XS-I-004</t>
        </is>
      </c>
      <c r="B5" s="3" t="inlineStr">
        <is>
          <t>holding quantity (shares)</t>
        </is>
      </c>
      <c r="C5" s="3" t="inlineStr">
        <is>
          <t>HOLDING_MARKET_VALUE · HOLDING_SHARES</t>
        </is>
      </c>
      <c r="D5" s="3" t="inlineStr">
        <is>
          <t>ACCOUNT_SPLIT · BOND_COUPON · BOND_FACTS · HOLDING_COST_BASIS · HOLDING_MARKET_VALUE · HOLDING_SHARES · PERFORMANCE_TABLE</t>
        </is>
      </c>
      <c r="E5" s="3" t="inlineStr">
        <is>
          <t>PARTLY AGREES — naming it but not declared: ACCOUNT_SPLIT, BOND_COUPON, BOND_FACTS, HOLDING_COST_BASIS, PERFORMANCE_TABLE</t>
        </is>
      </c>
    </row>
    <row r="6">
      <c r="A6" s="3" t="inlineStr">
        <is>
          <t>MK-XS-I-005</t>
        </is>
      </c>
      <c r="B6" s="3" t="inlineStr">
        <is>
          <t>holding price</t>
        </is>
      </c>
      <c r="C6" s="3" t="inlineStr">
        <is>
          <t>HOLDING_MARKET_VALUE · PRICE_FRESHNESS</t>
        </is>
      </c>
      <c r="D6" s="3" t="inlineStr">
        <is>
          <t>HOLDING_CAP_GAINS · HOLDING_MARKET_VALUE · PERFORMANCE_TABLE</t>
        </is>
      </c>
      <c r="E6" s="3" t="inlineStr">
        <is>
          <t>PARTLY AGREES — declared but not naming it: PRICE_FRESHNESS  |  naming it but not declared: HOLDING_CAP_GAINS, PERFORMANCE_TABLE</t>
        </is>
      </c>
    </row>
    <row r="7">
      <c r="A7" s="3" t="inlineStr">
        <is>
          <t>MK-XS-I-006</t>
        </is>
      </c>
      <c r="B7" s="3" t="inlineStr">
        <is>
          <t>price fetched at</t>
        </is>
      </c>
      <c r="C7" s="3" t="inlineStr">
        <is>
          <t>PRICE_FRESHNESS</t>
        </is>
      </c>
      <c r="D7" s="3" t="inlineStr">
        <is>
          <t>PRICE_FRESHNESS</t>
        </is>
      </c>
      <c r="E7" s="3" t="inlineStr">
        <is>
          <t>AGREES — both directions name the same engines.</t>
        </is>
      </c>
    </row>
    <row r="8">
      <c r="A8" s="3" t="inlineStr">
        <is>
          <t>MK-XS-I-007</t>
        </is>
      </c>
      <c r="B8" s="3" t="inlineStr">
        <is>
          <t>purchase price and date (per lot)</t>
        </is>
      </c>
      <c r="C8" s="3" t="inlineStr">
        <is>
          <t>HOLDING_CAP_GAINS · HOLDING_COST_BASIS</t>
        </is>
      </c>
      <c r="D8" s="3" t="inlineStr">
        <is>
          <t>HOLDING_CAP_GAINS · HOLDING_COST_BASIS · HOLDING_SHARES</t>
        </is>
      </c>
      <c r="E8" s="3" t="inlineStr">
        <is>
          <t>PARTLY AGREES — naming it but not declared: HOLDING_SHARES</t>
        </is>
      </c>
    </row>
    <row r="9">
      <c r="A9" s="3" t="inlineStr">
        <is>
          <t>MK-XS-I-008</t>
        </is>
      </c>
      <c r="B9" s="3" t="inlineStr">
        <is>
          <t>transaction amount</t>
        </is>
      </c>
      <c r="C9" s="3" t="inlineStr">
        <is>
          <t>LEDGER · NW_CHANGE_WALK</t>
        </is>
      </c>
      <c r="D9" s="3" t="inlineStr">
        <is>
          <t>LOOK_BACK · REALISED_GAIN · RETIREMENT_INCOME_NOW · SS_BENEFIT_AT_AGE · SS_CLAIM_FACTOR</t>
        </is>
      </c>
      <c r="E9" s="3" t="inlineStr">
        <is>
          <t>PARTLY AGREES — declared but not naming it: LEDGER, NW_CHANGE_WALK  |  naming it but not declared: LOOK_BACK, REALISED_GAIN, RETIREMENT_INCOME_NOW, SS_BENEFIT_AT_AGE, SS_CLAIM_FACTOR</t>
        </is>
      </c>
    </row>
    <row r="10">
      <c r="A10" s="3" t="inlineStr">
        <is>
          <t>MK-XS-I-009</t>
        </is>
      </c>
      <c r="B10" s="3" t="inlineStr">
        <is>
          <t>transaction date</t>
        </is>
      </c>
      <c r="C10" s="3" t="inlineStr">
        <is>
          <t>LEDGER · NW_CHANGE_WALK</t>
        </is>
      </c>
      <c r="D10" s="3" t="inlineStr">
        <is>
          <t>—</t>
        </is>
      </c>
      <c r="E10" s="3" t="inlineStr">
        <is>
          <t>DECLARED BUT NEVER NAMED — the inputs tab says these engines use it, but no engine names it in its own input list. Unproved in one direction.</t>
        </is>
      </c>
    </row>
    <row r="11">
      <c r="A11" s="3" t="inlineStr">
        <is>
          <t>MK-XS-I-010</t>
        </is>
      </c>
      <c r="B11" s="3" t="inlineStr">
        <is>
          <t>transaction words (the institution's own wording)</t>
        </is>
      </c>
      <c r="C11" s="3" t="inlineStr">
        <is>
          <t>LEDGER · the institution-words table</t>
        </is>
      </c>
      <c r="D11" s="3" t="inlineStr">
        <is>
          <t>—</t>
        </is>
      </c>
      <c r="E11" s="3" t="inlineStr">
        <is>
          <t>DECLARED BUT NEVER NAMED — the inputs tab says these engines use it, but no engine names it in its own input list. Unproved in one direction.</t>
        </is>
      </c>
    </row>
    <row r="12">
      <c r="A12" s="3" t="inlineStr">
        <is>
          <t>MK-XS-I-011</t>
        </is>
      </c>
      <c r="B12" s="3" t="inlineStr">
        <is>
          <t>bond face value</t>
        </is>
      </c>
      <c r="C12" s="3" t="inlineStr">
        <is>
          <t>BOND_FACTS</t>
        </is>
      </c>
      <c r="D12" s="3" t="inlineStr">
        <is>
          <t>BOND_COUPON · BOND_FACTS · BOND_YIELD_TO_MATURITY</t>
        </is>
      </c>
      <c r="E12" s="3" t="inlineStr">
        <is>
          <t>PARTLY AGREES — naming it but not declared: BOND_COUPON, BOND_YIELD_TO_MATURITY</t>
        </is>
      </c>
    </row>
    <row r="13">
      <c r="A13" s="3" t="inlineStr">
        <is>
          <t>MK-XS-I-012</t>
        </is>
      </c>
      <c r="B13" s="3" t="inlineStr">
        <is>
          <t>bond coupon rate</t>
        </is>
      </c>
      <c r="C13" s="3" t="inlineStr">
        <is>
          <t>BOND_COUPON · BOND_CURRENT_YIELD</t>
        </is>
      </c>
      <c r="D13" s="3" t="inlineStr">
        <is>
          <t>BOND_COUPON · BOND_CURRENT_YIELD · BOND_FACTS · BOND_YIELD_TO_MATURITY</t>
        </is>
      </c>
      <c r="E13" s="3" t="inlineStr">
        <is>
          <t>PARTLY AGREES — naming it but not declared: BOND_FACTS, BOND_YIELD_TO_MATURITY</t>
        </is>
      </c>
    </row>
    <row r="14">
      <c r="A14" s="3" t="inlineStr">
        <is>
          <t>MK-XS-I-013</t>
        </is>
      </c>
      <c r="B14" s="3" t="inlineStr">
        <is>
          <t>bond maturity date</t>
        </is>
      </c>
      <c r="C14" s="3" t="inlineStr">
        <is>
          <t>BOND_YEARS_LEFT · BOND_YIELD_TO_MATURITY</t>
        </is>
      </c>
      <c r="D14" s="3" t="inlineStr">
        <is>
          <t>BOND_YEARS_LEFT · BOND_YIELD_TO_MATURITY</t>
        </is>
      </c>
      <c r="E14" s="3" t="inlineStr">
        <is>
          <t>AGREES — both directions name the same engines.</t>
        </is>
      </c>
    </row>
    <row r="15">
      <c r="A15" s="3" t="inlineStr">
        <is>
          <t>MK-XS-I-014</t>
        </is>
      </c>
      <c r="B15" s="3" t="inlineStr">
        <is>
          <t>debt balance</t>
        </is>
      </c>
      <c r="C15" s="3" t="inlineStr">
        <is>
          <t>DEBT_PICTURE</t>
        </is>
      </c>
      <c r="D15" s="3" t="inlineStr">
        <is>
          <t>DEBT_PICTURE · NET_WORTH</t>
        </is>
      </c>
      <c r="E15" s="3" t="inlineStr">
        <is>
          <t>PARTLY AGREES — naming it but not declared: NET_WORTH</t>
        </is>
      </c>
    </row>
    <row r="16">
      <c r="A16" s="3" t="inlineStr">
        <is>
          <t>MK-XS-I-015</t>
        </is>
      </c>
      <c r="B16" s="3" t="inlineStr">
        <is>
          <t>debt interest rate</t>
        </is>
      </c>
      <c r="C16" s="3" t="inlineStr">
        <is>
          <t>DEBT_PAYOFF</t>
        </is>
      </c>
      <c r="D16" s="3" t="inlineStr">
        <is>
          <t>DEBT_PICTURE · NET_WORTH</t>
        </is>
      </c>
      <c r="E16" s="3" t="inlineStr">
        <is>
          <t>PARTLY AGREES — declared but not naming it: DEBT_PAYOFF  |  naming it but not declared: DEBT_PICTURE, NET_WORTH</t>
        </is>
      </c>
    </row>
    <row r="17">
      <c r="A17" s="3" t="inlineStr">
        <is>
          <t>MK-XS-I-016</t>
        </is>
      </c>
      <c r="B17" s="3" t="inlineStr">
        <is>
          <t>debt minimum payment</t>
        </is>
      </c>
      <c r="C17" s="3" t="inlineStr">
        <is>
          <t>DEBT_REQUIRED_PAYMENT</t>
        </is>
      </c>
      <c r="D17" s="3" t="inlineStr">
        <is>
          <t>DEBT_PICTURE · DEBT_REQUIRED_PAYMENT · NET_WORTH · SPENDING_BY_KIND</t>
        </is>
      </c>
      <c r="E17" s="3" t="inlineStr">
        <is>
          <t>PARTLY AGREES — naming it but not declared: DEBT_PICTURE, NET_WORTH, SPENDING_BY_KIND</t>
        </is>
      </c>
    </row>
    <row r="18">
      <c r="A18" s="3" t="inlineStr">
        <is>
          <t>MK-XS-I-017</t>
        </is>
      </c>
      <c r="B18" s="3" t="inlineStr">
        <is>
          <t>birth year</t>
        </is>
      </c>
      <c r="C18" s="3" t="inlineStr">
        <is>
          <t>RMD_START_AGE · SS_BENEFIT_AT_AGE</t>
        </is>
      </c>
      <c r="D18" s="3" t="inlineStr">
        <is>
          <t>SS_BENEFIT_AT_AGE · SS_CLAIM_FACTOR · WHAT_THE_PLAN_STILL_NEEDS · WILL_IT_LAST_INPUTS</t>
        </is>
      </c>
      <c r="E18" s="3" t="inlineStr">
        <is>
          <t>PARTLY AGREES — declared but not naming it: RMD_START_AGE  |  naming it but not declared: SS_CLAIM_FACTOR, WHAT_THE_PLAN_STILL_NEEDS, WILL_IT_LAST_INPUTS</t>
        </is>
      </c>
    </row>
    <row r="19">
      <c r="A19" s="3" t="inlineStr">
        <is>
          <t>MK-XS-I-018</t>
        </is>
      </c>
      <c r="B19" s="3" t="inlineStr">
        <is>
          <t>retirement age</t>
        </is>
      </c>
      <c r="C19" s="3" t="inlineStr">
        <is>
          <t>POT_AT_RETIREMENT · WILL_IT_LAST_RESULT</t>
        </is>
      </c>
      <c r="D19" s="3" t="inlineStr">
        <is>
          <t>SS_BENEFIT_AT_AGE · SS_CLAIM_FACTOR</t>
        </is>
      </c>
      <c r="E19" s="3" t="inlineStr">
        <is>
          <t>PARTLY AGREES — declared but not naming it: POT_AT_RETIREMENT, WILL_IT_LAST_RESULT  |  naming it but not declared: SS_BENEFIT_AT_AGE, SS_CLAIM_FACTOR</t>
        </is>
      </c>
    </row>
    <row r="20">
      <c r="A20" s="3" t="inlineStr">
        <is>
          <t>MK-XS-I-019</t>
        </is>
      </c>
      <c r="B20" s="3" t="inlineStr">
        <is>
          <t>monthly spending in retirement</t>
        </is>
      </c>
      <c r="C20" s="3" t="inlineStr">
        <is>
          <t>WILL_IT_LAST_INPUTS</t>
        </is>
      </c>
      <c r="D20" s="3" t="inlineStr">
        <is>
          <t>—</t>
        </is>
      </c>
      <c r="E20" s="3" t="inlineStr">
        <is>
          <t>DECLARED BUT NEVER NAMED — the inputs tab says these engines use it, but no engine names it in its own input list. Unproved in one direction.</t>
        </is>
      </c>
    </row>
    <row r="21">
      <c r="A21" s="3" t="inlineStr">
        <is>
          <t>MK-XS-I-020</t>
        </is>
      </c>
      <c r="B21" s="3" t="inlineStr">
        <is>
          <t>Social Security monthly amount</t>
        </is>
      </c>
      <c r="C21" s="3" t="inlineStr">
        <is>
          <t>RETIREMENT_INCOME_NOW · SS_BENEFIT_AT_AGE</t>
        </is>
      </c>
      <c r="D21" s="3" t="inlineStr">
        <is>
          <t>RETIREMENT_INCOME · SS_BENEFIT_AT_AGE · SS_CLAIM_FACTOR</t>
        </is>
      </c>
      <c r="E21" s="3" t="inlineStr">
        <is>
          <t>PARTLY AGREES — declared but not naming it: RETIREMENT_INCOME_NOW  |  naming it but not declared: RETIREMENT_INCOME, SS_CLAIM_FACTOR</t>
        </is>
      </c>
    </row>
    <row r="22">
      <c r="A22" s="3" t="inlineStr">
        <is>
          <t>MK-XS-I-021</t>
        </is>
      </c>
      <c r="B22" s="3" t="inlineStr">
        <is>
          <t>Social Security claim age</t>
        </is>
      </c>
      <c r="C22" s="3" t="inlineStr">
        <is>
          <t>SS_CLAIM_FACTOR</t>
        </is>
      </c>
      <c r="D22" s="3" t="inlineStr">
        <is>
          <t>SS_BENEFIT_AT_AGE · SS_CLAIM_FACTOR</t>
        </is>
      </c>
      <c r="E22" s="3" t="inlineStr">
        <is>
          <t>PARTLY AGREES — naming it but not declared: SS_BENEFIT_AT_AGE</t>
        </is>
      </c>
    </row>
    <row r="23">
      <c r="A23" s="3" t="inlineStr">
        <is>
          <t>MK-XS-I-022</t>
        </is>
      </c>
      <c r="B23" s="3" t="inlineStr">
        <is>
          <t>pension monthly amount</t>
        </is>
      </c>
      <c r="C23" s="3" t="inlineStr">
        <is>
          <t>RETIREMENT_INCOME_NOW</t>
        </is>
      </c>
      <c r="D23" s="3" t="inlineStr">
        <is>
          <t>RETIREMENT_INCOME</t>
        </is>
      </c>
      <c r="E23" s="3" t="inlineStr">
        <is>
          <t>PARTLY AGREES — declared but not naming it: RETIREMENT_INCOME_NOW  |  naming it but not declared: RETIREMENT_INCOME</t>
        </is>
      </c>
    </row>
    <row r="24">
      <c r="A24" s="3" t="inlineStr">
        <is>
          <t>MK-XS-I-023</t>
        </is>
      </c>
      <c r="B24" s="3" t="inlineStr">
        <is>
          <t>salary and other income</t>
        </is>
      </c>
      <c r="C24" s="3" t="inlineStr">
        <is>
          <t>TOTAL_INCOME</t>
        </is>
      </c>
      <c r="D24" s="3" t="inlineStr">
        <is>
          <t>RENTAL_INCOME_A_YEAR · TAXABLE_INCOME</t>
        </is>
      </c>
      <c r="E24" s="3" t="inlineStr">
        <is>
          <t>PARTLY AGREES — declared but not naming it: TOTAL_INCOME  |  naming it but not declared: RENTAL_INCOME_A_YEAR, TAXABLE_INCOME</t>
        </is>
      </c>
    </row>
    <row r="25">
      <c r="A25" s="3" t="inlineStr">
        <is>
          <t>MK-XS-I-024</t>
        </is>
      </c>
      <c r="B25" s="3" t="inlineStr">
        <is>
          <t>logged spending</t>
        </is>
      </c>
      <c r="C25" s="3" t="inlineStr">
        <is>
          <t>PLANNED_SPENDING · SPENDING_BY_KIND</t>
        </is>
      </c>
      <c r="D25" s="3" t="inlineStr">
        <is>
          <t>PLANNED_SPENDING · RETIREMENT_SPENDING · TOTAL_CASH · WHAT_THE_PLAN_STILL_NEEDS · WILL_IT_LAST_INPUTS</t>
        </is>
      </c>
      <c r="E25" s="3" t="inlineStr">
        <is>
          <t>PARTLY AGREES — declared but not naming it: SPENDING_BY_KIND  |  naming it but not declared: RETIREMENT_SPENDING, TOTAL_CASH, WHAT_THE_PLAN_STILL_NEEDS, WILL_IT_LAST_INPUTS</t>
        </is>
      </c>
    </row>
    <row r="26">
      <c r="A26" s="3" t="inlineStr">
        <is>
          <t>MK-XS-I-025</t>
        </is>
      </c>
      <c r="B26" s="3" t="inlineStr">
        <is>
          <t>typical monthly essentials</t>
        </is>
      </c>
      <c r="C26" s="3" t="inlineStr">
        <is>
          <t>JOB_SAFETY_RUNWAY · PLANNED_SPENDING</t>
        </is>
      </c>
      <c r="D26" s="3" t="inlineStr">
        <is>
          <t>—</t>
        </is>
      </c>
      <c r="E26" s="3" t="inlineStr">
        <is>
          <t>DECLARED BUT NEVER NAMED — the inputs tab says these engines use it, but no engine names it in its own input list. Unproved in one direction.</t>
        </is>
      </c>
    </row>
    <row r="27">
      <c r="A27" s="3" t="inlineStr">
        <is>
          <t>MK-XS-I-026</t>
        </is>
      </c>
      <c r="B27" s="3" t="inlineStr">
        <is>
          <t>big costs (amount and year)</t>
        </is>
      </c>
      <c r="C27" s="3" t="inlineStr">
        <is>
          <t>BIG_COSTS</t>
        </is>
      </c>
      <c r="D27" s="3" t="inlineStr">
        <is>
          <t>—</t>
        </is>
      </c>
      <c r="E27" s="3" t="inlineStr">
        <is>
          <t>DECLARED BUT NEVER NAMED — the inputs tab says these engines use it, but no engine names it in its own input list. Unproved in one direction.</t>
        </is>
      </c>
    </row>
    <row r="28">
      <c r="A28" s="3" t="inlineStr">
        <is>
          <t>MK-XS-I-027</t>
        </is>
      </c>
      <c r="B28" s="3" t="inlineStr">
        <is>
          <t>goals (target, saved, date)</t>
        </is>
      </c>
      <c r="C28" s="3" t="inlineStr">
        <is>
          <t>GOAL_PROGRESS</t>
        </is>
      </c>
      <c r="D28" s="3" t="inlineStr">
        <is>
          <t>—</t>
        </is>
      </c>
      <c r="E28" s="3" t="inlineStr">
        <is>
          <t>DECLARED BUT NEVER NAMED — the inputs tab says these engines use it, but no engine names it in its own input list. Unproved in one direction.</t>
        </is>
      </c>
    </row>
    <row r="29">
      <c r="A29" s="3" t="inlineStr">
        <is>
          <t>MK-XS-I-028</t>
        </is>
      </c>
      <c r="B29" s="3" t="inlineStr">
        <is>
          <t>assumed return</t>
        </is>
      </c>
      <c r="C29" s="3" t="inlineStr">
        <is>
          <t>POT_AT_RETIREMENT · WILL_IT_LAST_RESULT</t>
        </is>
      </c>
      <c r="D29" s="3" t="inlineStr">
        <is>
          <t>ACCOUNT_SHARE_OF_TOTAL</t>
        </is>
      </c>
      <c r="E29" s="3" t="inlineStr">
        <is>
          <t>PARTLY AGREES — declared but not naming it: POT_AT_RETIREMENT, WILL_IT_LAST_RESULT  |  naming it but not declared: ACCOUNT_SHARE_OF_TOTAL</t>
        </is>
      </c>
    </row>
    <row r="30">
      <c r="A30" s="3" t="inlineStr">
        <is>
          <t>MK-XS-I-029</t>
        </is>
      </c>
      <c r="B30" s="3" t="inlineStr">
        <is>
          <t>inflation rate</t>
        </is>
      </c>
      <c r="C30" s="3" t="inlineStr">
        <is>
          <t>WILL_IT_LAST_INPUTS</t>
        </is>
      </c>
      <c r="D30" s="3" t="inlineStr">
        <is>
          <t>—</t>
        </is>
      </c>
      <c r="E30" s="3" t="inlineStr">
        <is>
          <t>DECLARED BUT NEVER NAMED — the inputs tab says these engines use it, but no engine names it in its own input list. Unproved in one direction.</t>
        </is>
      </c>
    </row>
    <row r="31">
      <c r="A31" s="3" t="inlineStr">
        <is>
          <t>MK-XS-I-030</t>
        </is>
      </c>
      <c r="B31" s="3" t="inlineStr">
        <is>
          <t>tax filing status and age</t>
        </is>
      </c>
      <c r="C31" s="3" t="inlineStr">
        <is>
          <t>TAXABLE_INCOME · TAX_ON_CONVERSION</t>
        </is>
      </c>
      <c r="D31" s="3" t="inlineStr">
        <is>
          <t>PLANNED_SPENDING · TAXABLE_INCOME · TOTAL_CASH</t>
        </is>
      </c>
      <c r="E31" s="3" t="inlineStr">
        <is>
          <t>PARTLY AGREES — declared but not naming it: TAX_ON_CONVERSION  |  naming it but not declared: PLANNED_SPENDING, TOTAL_CASH</t>
        </is>
      </c>
    </row>
    <row r="32">
      <c r="A32" s="3" t="inlineStr">
        <is>
          <t>MK-XS-I-031</t>
        </is>
      </c>
      <c r="B32" s="3" t="inlineStr">
        <is>
          <t>daily and monthly snapshots</t>
        </is>
      </c>
      <c r="C32" s="3" t="inlineStr">
        <is>
          <t>NW_CHANGE_WALK · TREND_SERIES</t>
        </is>
      </c>
      <c r="D32" s="3" t="inlineStr">
        <is>
          <t>NW_CHANGE_PCT · NW_CHANGE_WALK · TREND_SERIES</t>
        </is>
      </c>
      <c r="E32" s="3" t="inlineStr">
        <is>
          <t>PARTLY AGREES — naming it but not declared: NW_CHANGE_PCT</t>
        </is>
      </c>
    </row>
    <row r="33">
      <c r="A33" s="3" t="inlineStr">
        <is>
          <t>MK-XS-I-032</t>
        </is>
      </c>
      <c r="B33" s="3" t="inlineStr">
        <is>
          <t>spending categories the person set up</t>
        </is>
      </c>
      <c r="C33" s="3" t="inlineStr">
        <is>
          <t>PLANNED_SPENDING · SPENDING_BY_KIND</t>
        </is>
      </c>
      <c r="D33" s="3" t="inlineStr">
        <is>
          <t>DEBT_REQUIRED_PAYMENT · PLANNED_SPENDING · SPENDING_BY_KIND · TOTAL_CASH</t>
        </is>
      </c>
      <c r="E33" s="3" t="inlineStr">
        <is>
          <t>PARTLY AGREES — naming it but not declared: DEBT_REQUIRED_PAYMENT, TOTAL_CASH</t>
        </is>
      </c>
    </row>
    <row r="34">
      <c r="A34" s="3" t="inlineStr">
        <is>
          <t>MK-XS-I-033</t>
        </is>
      </c>
      <c r="B34" s="3" t="inlineStr">
        <is>
          <t>the date a hand-typed value was set</t>
        </is>
      </c>
      <c r="C34" s="3" t="inlineStr">
        <is>
          <t>HAND_VALUE_AGE</t>
        </is>
      </c>
      <c r="D34" s="3" t="inlineStr">
        <is>
          <t>HAND_VALUE_AGE</t>
        </is>
      </c>
      <c r="E34" s="3" t="inlineStr">
        <is>
          <t>AGREES — both directions name the same engines.</t>
        </is>
      </c>
    </row>
    <row r="35">
      <c r="A35" s="3" t="inlineStr">
        <is>
          <t>MK-XS-I-034</t>
        </is>
      </c>
      <c r="B35" s="3" t="inlineStr">
        <is>
          <t>option positions — contracts, strike, expiry, put or call</t>
        </is>
      </c>
      <c r="C35" s="3" t="inlineStr">
        <is>
          <t>HOLDING_CAP_GAINS · HOLDING_MARKET_VALUE</t>
        </is>
      </c>
      <c r="D35" s="3" t="inlineStr">
        <is>
          <t>ACCOUNT_SPLIT</t>
        </is>
      </c>
      <c r="E35" s="3" t="inlineStr">
        <is>
          <t>PARTLY AGREES — declared but not naming it: HOLDING_CAP_GAINS, HOLDING_MARKET_VALUE  |  naming it but not declared: ACCOUNT_SPLIT</t>
        </is>
      </c>
    </row>
    <row r="36">
      <c r="A36" s="3" t="inlineStr">
        <is>
          <t>MK-XS-I-035</t>
        </is>
      </c>
      <c r="B36" s="3" t="inlineStr">
        <is>
          <t>annuity income</t>
        </is>
      </c>
      <c r="C36" s="3" t="inlineStr">
        <is>
          <t>RETIREMENT_INCOME · RETIREMENT_INCOME_NOW</t>
        </is>
      </c>
      <c r="D36" s="3" t="inlineStr">
        <is>
          <t>RETIREMENT_INCOME</t>
        </is>
      </c>
      <c r="E36" s="3" t="inlineStr">
        <is>
          <t>PARTLY AGREES — declared but not naming it: RETIREMENT_INCOME_NOW</t>
        </is>
      </c>
    </row>
    <row r="37">
      <c r="A37" s="3" t="inlineStr">
        <is>
          <t>MK-XS-I-036</t>
        </is>
      </c>
      <c r="B37" s="3" t="inlineStr">
        <is>
          <t>other guaranteed income</t>
        </is>
      </c>
      <c r="C37" s="3" t="inlineStr">
        <is>
          <t>RETIREMENT_INCOME</t>
        </is>
      </c>
      <c r="D37" s="3" t="inlineStr">
        <is>
          <t>RETIREMENT_INCOME</t>
        </is>
      </c>
      <c r="E37" s="3" t="inlineStr">
        <is>
          <t>AGREES — both directions name the same engines.</t>
        </is>
      </c>
    </row>
    <row r="38">
      <c r="A38" s="3" t="inlineStr">
        <is>
          <t>MK-XS-I-037</t>
        </is>
      </c>
      <c r="B38" s="3" t="inlineStr">
        <is>
          <t>required-withdrawal income stream (ri_rmd)</t>
        </is>
      </c>
      <c r="C38" s="3" t="inlineStr">
        <is>
          <t>RETIREMENT_INCOME</t>
        </is>
      </c>
      <c r="D38" s="3" t="inlineStr">
        <is>
          <t>RETIREMENT_INCOME</t>
        </is>
      </c>
      <c r="E38" s="3" t="inlineStr">
        <is>
          <t>AGREES — both directions name the same engines.</t>
        </is>
      </c>
    </row>
    <row r="39">
      <c r="A39" s="3" t="inlineStr">
        <is>
          <t>MK-XS-I-038</t>
        </is>
      </c>
      <c r="B39" s="3" t="inlineStr">
        <is>
          <t>withdrawal income stream (ri_withdrawals)</t>
        </is>
      </c>
      <c r="C39" s="3" t="inlineStr">
        <is>
          <t>RETIREMENT_INCOME</t>
        </is>
      </c>
      <c r="D39" s="3" t="inlineStr">
        <is>
          <t>RETIREMENT_INCOME</t>
        </is>
      </c>
      <c r="E39" s="3" t="inlineStr">
        <is>
          <t>AGREES — both directions name the same engines.</t>
        </is>
      </c>
    </row>
    <row r="40">
      <c r="A40" s="3" t="inlineStr">
        <is>
          <t>MK-XS-I-039</t>
        </is>
      </c>
      <c r="B40" s="3" t="inlineStr">
        <is>
          <t>how often each income arrives</t>
        </is>
      </c>
      <c r="C40" s="3" t="inlineStr">
        <is>
          <t>RETIREMENT_INCOME · TOTAL_INCOME</t>
        </is>
      </c>
      <c r="D40" s="3" t="inlineStr">
        <is>
          <t>RETIREMENT_INCOME</t>
        </is>
      </c>
      <c r="E40" s="3" t="inlineStr">
        <is>
          <t>PARTLY AGREES — declared but not naming it: TOTAL_INCOME</t>
        </is>
      </c>
    </row>
    <row r="41">
      <c r="A41" s="3" t="inlineStr">
        <is>
          <t>MK-XS-I-040</t>
        </is>
      </c>
      <c r="B41" s="3" t="inlineStr">
        <is>
          <t>whether a stream is already being received</t>
        </is>
      </c>
      <c r="C41" s="3" t="inlineStr">
        <is>
          <t>RETIREMENT_INCOME_NOW</t>
        </is>
      </c>
      <c r="D41" s="3" t="inlineStr">
        <is>
          <t>RETIREMENT_INCOME_NOW</t>
        </is>
      </c>
      <c r="E41" s="3" t="inlineStr">
        <is>
          <t>AGREES — both directions name the same engines.</t>
        </is>
      </c>
    </row>
    <row r="42">
      <c r="A42" s="3" t="inlineStr">
        <is>
          <t>MK-XS-I-041</t>
        </is>
      </c>
      <c r="B42" s="3" t="inlineStr">
        <is>
          <t>the payment the person chose to make on a debt</t>
        </is>
      </c>
      <c r="C42" s="3" t="inlineStr">
        <is>
          <t>DEBT_PAYOFF · DEBT_REQUIRED_PAYMENT</t>
        </is>
      </c>
      <c r="D42" s="3" t="inlineStr">
        <is>
          <t>DEBT_REQUIRED_PAYMENT · SPENDING_BY_KIND</t>
        </is>
      </c>
      <c r="E42" s="3" t="inlineStr">
        <is>
          <t>PARTLY AGREES — declared but not naming it: DEBT_PAYOFF  |  naming it but not declared: SPENDING_BY_KIND</t>
        </is>
      </c>
    </row>
    <row r="43">
      <c r="A43" s="3" t="inlineStr">
        <is>
          <t>MK-XS-I-042</t>
        </is>
      </c>
      <c r="B43" s="3" t="inlineStr">
        <is>
          <t>how a stream is paid — monthly, yearly or one lump</t>
        </is>
      </c>
      <c r="C43" s="3" t="inlineStr">
        <is>
          <t>RETIREMENT_INCOME</t>
        </is>
      </c>
      <c r="D43" s="3" t="inlineStr">
        <is>
          <t>DEBT_REQUIRED_PAYMENT · SPENDING_BY_KIND</t>
        </is>
      </c>
      <c r="E43" s="3" t="inlineStr">
        <is>
          <t>PARTLY AGREES — declared but not naming it: RETIREMENT_INCOME  |  naming it but not declared: DEBT_REQUIRED_PAYMENT, SPENDING_BY_KIND</t>
        </is>
      </c>
    </row>
    <row r="44">
      <c r="A44" s="3" t="inlineStr">
        <is>
          <t>MK-XS-I-043</t>
        </is>
      </c>
      <c r="B44" s="3" t="inlineStr">
        <is>
          <t>their own retirement contribution</t>
        </is>
      </c>
      <c r="C44" s="3" t="inlineStr">
        <is>
          <t>POT_AT_RETIREMENT · TOTAL_INCOME</t>
        </is>
      </c>
      <c r="D44" s="3" t="inlineStr">
        <is>
          <t>EMPLOYER_MATCH</t>
        </is>
      </c>
      <c r="E44" s="3" t="inlineStr">
        <is>
          <t>PARTLY AGREES — declared but not naming it: POT_AT_RETIREMENT, TOTAL_INCOME  |  naming it but not declared: EMPLOYER_MATCH</t>
        </is>
      </c>
    </row>
    <row r="45">
      <c r="A45" s="3" t="inlineStr">
        <is>
          <t>MK-XS-I-044</t>
        </is>
      </c>
      <c r="B45" s="3" t="inlineStr">
        <is>
          <t>the person’s own plan overrides</t>
        </is>
      </c>
      <c r="C45" s="3" t="inlineStr">
        <is>
          <t>WILL_IT_LAST_INPUTS</t>
        </is>
      </c>
      <c r="D45" s="3" t="inlineStr">
        <is>
          <t>WILL_IT_LAST_INPUTS</t>
        </is>
      </c>
      <c r="E45" s="3" t="inlineStr">
        <is>
          <t>AGREES — both directions name the same engines.</t>
        </is>
      </c>
    </row>
    <row r="46">
      <c r="A46" s="3" t="inlineStr">
        <is>
          <t>MK-XS-I-045</t>
        </is>
      </c>
      <c r="B46" s="3" t="inlineStr">
        <is>
          <t>where they will live in retirement</t>
        </is>
      </c>
      <c r="C46" s="3" t="inlineStr">
        <is>
          <t>RETIREMENT_SPENDING</t>
        </is>
      </c>
      <c r="D46" s="3" t="inlineStr">
        <is>
          <t>RETIREMENT_SPENDING</t>
        </is>
      </c>
      <c r="E46" s="3" t="inlineStr">
        <is>
          <t>AGREES — both directions name the same engines.</t>
        </is>
      </c>
    </row>
    <row r="47">
      <c r="A47" s="3" t="inlineStr">
        <is>
          <t>MK-XS-I-046</t>
        </is>
      </c>
      <c r="B47" s="3" t="inlineStr">
        <is>
          <t>how the employer match is expressed — percent or dollars</t>
        </is>
      </c>
      <c r="C47" s="3" t="inlineStr">
        <is>
          <t>EMPLOYER_MATCH</t>
        </is>
      </c>
      <c r="D47" s="3" t="inlineStr">
        <is>
          <t>EMPLOYER_MATCH</t>
        </is>
      </c>
      <c r="E47" s="3" t="inlineStr">
        <is>
          <t>AGREES — both directions name the same engines.</t>
        </is>
      </c>
    </row>
    <row r="48">
      <c r="A48" s="3" t="inlineStr">
        <is>
          <t>MK-XS-I-047</t>
        </is>
      </c>
      <c r="B48" s="3" t="inlineStr">
        <is>
          <t>money to leave behind</t>
        </is>
      </c>
      <c r="C48" s="3" t="inlineStr">
        <is>
          <t>WILL_IT_LAST_INPUTS · WILL_IT_LAST_RESULT</t>
        </is>
      </c>
      <c r="D48" s="3" t="inlineStr">
        <is>
          <t>WILL_IT_LAST_INPUTS</t>
        </is>
      </c>
      <c r="E48" s="3" t="inlineStr">
        <is>
          <t>PARTLY AGREES — declared but not naming it: WILL_IT_LAST_RESULT</t>
        </is>
      </c>
    </row>
    <row r="49">
      <c r="A49" s="3" t="inlineStr">
        <is>
          <t>MK-XS-I-048</t>
        </is>
      </c>
      <c r="B49" s="3" t="inlineStr">
        <is>
          <t>the person’s own asset-class answer</t>
        </is>
      </c>
      <c r="C49" s="3" t="inlineStr">
        <is>
          <t>ALLOCATION_BY_CLASS · ASSET_CLASS_OF_ACCOUNT</t>
        </is>
      </c>
      <c r="D49" s="3" t="inlineStr">
        <is>
          <t>ALLOCATION_BY_CLASS · PLANNED_SPENDING · TOTAL_CASH · TOTAL_INVESTABLE · TOTAL_INVESTMENTS</t>
        </is>
      </c>
      <c r="E49" s="3" t="inlineStr">
        <is>
          <t>PARTLY AGREES — declared but not naming it: ASSET_CLASS_OF_ACCOUNT  |  naming it but not declared: PLANNED_SPENDING, TOTAL_CASH, TOTAL_INVESTABLE, TOTAL_INVESTMENTS</t>
        </is>
      </c>
    </row>
    <row r="50">
      <c r="A50" s="3" t="n"/>
      <c r="B50" s="3" t="n"/>
      <c r="C50" s="3" t="n"/>
      <c r="D50" s="3" t="n"/>
      <c r="E50" s="3" t="n"/>
    </row>
    <row r="51">
      <c r="A51" s="5" t="inlineStr">
        <is>
          <t>GAPS — inputs an engine names that are on NO row of the inputs tab.</t>
        </is>
      </c>
      <c r="B51" s="3" t="inlineStr">
        <is>
          <t>Each one is either a missing input, or the same input under another name.</t>
        </is>
      </c>
      <c r="C51" s="3" t="inlineStr"/>
      <c r="D51" s="3" t="inlineStr"/>
      <c r="E51" s="3"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36"/>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8" customWidth="1" min="4" max="4"/>
    <col width="40" customWidth="1" min="5" max="5"/>
    <col width="44" customWidth="1" min="6" max="6"/>
  </cols>
  <sheetData>
    <row r="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c r="A2" s="3" t="inlineStr">
        <is>
          <t>MK-CF-E-001</t>
        </is>
      </c>
      <c r="B2" s="3" t="inlineStr">
        <is>
          <t>NOT IN OLD MASTER — the by-month grid, src/domain/cashflow</t>
        </is>
      </c>
      <c r="C2" s="3" t="inlineStr">
        <is>
          <t>NOT DETERMINED — no source line on record</t>
        </is>
      </c>
      <c r="D2" s="3" t="inlineStr">
        <is>
          <t>—</t>
        </is>
      </c>
      <c r="E2" s="3" t="inlineStr">
        <is>
          <t>MK-CF-M-001 · MK-CF-M-002</t>
        </is>
      </c>
      <c r="F2" s="3" t="inlineStr">
        <is>
          <t>Named by 2 figure(s)</t>
        </is>
      </c>
    </row>
    <row r="3">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c r="A4" s="3" t="inlineStr">
        <is>
          <t>MK-CF-E-003</t>
        </is>
      </c>
      <c r="B4" s="3" t="inlineStr">
        <is>
          <t>NOT IN OLD MASTER — the received list, src/domain/income</t>
        </is>
      </c>
      <c r="C4" s="3" t="inlineStr">
        <is>
          <t>NOT DETERMINED — no source line on record</t>
        </is>
      </c>
      <c r="D4" s="3" t="inlineStr">
        <is>
          <t>—</t>
        </is>
      </c>
      <c r="E4" s="3" t="inlineStr">
        <is>
          <t>MK-CF-M-012</t>
        </is>
      </c>
      <c r="F4" s="3" t="inlineStr">
        <is>
          <t>Named by 1 figure(s)</t>
        </is>
      </c>
    </row>
    <row r="5">
      <c r="A5" s="3" t="inlineStr">
        <is>
          <t>MK-CF-E-004</t>
        </is>
      </c>
      <c r="B5" s="3" t="inlineStr">
        <is>
          <t>PLANNED_SPENDING</t>
        </is>
      </c>
      <c r="C5" s="3" t="inlineStr">
        <is>
          <t>src/domain/budget/index.ts:45</t>
        </is>
      </c>
      <c r="D5" s="3" t="inlineStr">
        <is>
          <t>What does this person plan to spend each month?</t>
        </is>
      </c>
      <c r="E5" s="3" t="inlineStr">
        <is>
          <t>MK-CF-M-015 · MK-MN-M-007 · MK-MN-M-026</t>
        </is>
      </c>
      <c r="F5" s="3" t="inlineStr">
        <is>
          <t>Named by 3 figure(s)</t>
        </is>
      </c>
    </row>
    <row r="6">
      <c r="A6" s="3" t="inlineStr">
        <is>
          <t>MK-CF-E-005</t>
        </is>
      </c>
      <c r="B6" s="3" t="inlineStr">
        <is>
          <t>NOT IN OLD MASTER — the big-bill radar, src/domain/cashflow</t>
        </is>
      </c>
      <c r="C6" s="3" t="inlineStr">
        <is>
          <t>NOT DETERMINED — no source line on record</t>
        </is>
      </c>
      <c r="D6" s="3" t="inlineStr">
        <is>
          <t>—</t>
        </is>
      </c>
      <c r="E6" s="3" t="inlineStr">
        <is>
          <t>MK-CF-M-016</t>
        </is>
      </c>
      <c r="F6" s="3" t="inlineStr">
        <is>
          <t>Named by 1 figure(s)</t>
        </is>
      </c>
    </row>
    <row r="7">
      <c r="A7" s="3" t="inlineStr">
        <is>
          <t>MK-CF-E-006</t>
        </is>
      </c>
      <c r="B7" s="3" t="inlineStr">
        <is>
          <t>NOT IN OLD MASTER — the unusual-spend check, src/domain/budget</t>
        </is>
      </c>
      <c r="C7" s="3" t="inlineStr">
        <is>
          <t>NOT DETERMINED — no source line on record</t>
        </is>
      </c>
      <c r="D7" s="3" t="inlineStr">
        <is>
          <t>—</t>
        </is>
      </c>
      <c r="E7" s="3" t="inlineStr">
        <is>
          <t>MK-CF-M-017</t>
        </is>
      </c>
      <c r="F7" s="3" t="inlineStr">
        <is>
          <t>Named by 1 figure(s)</t>
        </is>
      </c>
    </row>
    <row r="8">
      <c r="A8" s="3" t="inlineStr">
        <is>
          <t>MK-CF-E-007</t>
        </is>
      </c>
      <c r="B8" s="3" t="inlineStr">
        <is>
          <t>SPENDING_BY_KIND · DEBT_REQUIRED_PAYMENT</t>
        </is>
      </c>
      <c r="C8" s="3" t="inlineStr">
        <is>
          <t>NOT DETERMINED — no source line on record</t>
        </is>
      </c>
      <c r="D8" s="3" t="inlineStr">
        <is>
          <t>—</t>
        </is>
      </c>
      <c r="E8" s="3" t="inlineStr">
        <is>
          <t>MK-CF-M-019</t>
        </is>
      </c>
      <c r="F8" s="3" t="inlineStr">
        <is>
          <t>Named by 1 figure(s)</t>
        </is>
      </c>
    </row>
    <row r="9">
      <c r="A9" s="3" t="inlineStr">
        <is>
          <t>MK-CF-E-008</t>
        </is>
      </c>
      <c r="B9" s="3" t="inlineStr">
        <is>
          <t>NOT IN OLD MASTER — plan commitments, src/domain/planning</t>
        </is>
      </c>
      <c r="C9" s="3" t="inlineStr">
        <is>
          <t>NOT DETERMINED — no source line on record</t>
        </is>
      </c>
      <c r="D9" s="3" t="inlineStr">
        <is>
          <t>—</t>
        </is>
      </c>
      <c r="E9" s="3" t="inlineStr">
        <is>
          <t>MK-CF-M-021</t>
        </is>
      </c>
      <c r="F9" s="3" t="inlineStr">
        <is>
          <t>Named by 1 figure(s)</t>
        </is>
      </c>
    </row>
    <row r="10">
      <c r="A10" s="3" t="inlineStr">
        <is>
          <t>MK-CF-E-009</t>
        </is>
      </c>
      <c r="B10" s="3" t="inlineStr">
        <is>
          <t>the by-month grid</t>
        </is>
      </c>
      <c r="C10" s="3" t="inlineStr">
        <is>
          <t>NOT DETERMINED — no source line on record</t>
        </is>
      </c>
      <c r="D10" s="3" t="inlineStr">
        <is>
          <t>—</t>
        </is>
      </c>
      <c r="E10" s="3" t="inlineStr">
        <is>
          <t>MK-CF-M-025</t>
        </is>
      </c>
      <c r="F10" s="3" t="inlineStr">
        <is>
          <t>Named by 1 figure(s)</t>
        </is>
      </c>
    </row>
    <row r="11">
      <c r="A11" s="3" t="inlineStr">
        <is>
          <t>MK-CF-E-010</t>
        </is>
      </c>
      <c r="B11" s="3" t="inlineStr">
        <is>
          <t>RETIREMENT_PAYCHECK</t>
        </is>
      </c>
      <c r="C11" s="3" t="inlineStr">
        <is>
          <t>NOT DETERMINED — no source line on record</t>
        </is>
      </c>
      <c r="D11" s="3" t="inlineStr">
        <is>
          <t>—</t>
        </is>
      </c>
      <c r="E11" s="3" t="inlineStr">
        <is>
          <t>MK-CF-M-026</t>
        </is>
      </c>
      <c r="F11" s="3" t="inlineStr">
        <is>
          <t>Named by 1 figure(s)</t>
        </is>
      </c>
    </row>
    <row r="12">
      <c r="A12" s="3" t="inlineStr">
        <is>
          <t>MK-CF-E-011</t>
        </is>
      </c>
      <c r="B12" s="3" t="inlineStr">
        <is>
          <t>THE_BILL_CALENDAR</t>
        </is>
      </c>
      <c r="C12" s="3" t="inlineStr">
        <is>
          <t>NOT DETERMINED — no source line on record</t>
        </is>
      </c>
      <c r="D12" s="3" t="inlineStr">
        <is>
          <t>—</t>
        </is>
      </c>
      <c r="E12" s="3" t="inlineStr">
        <is>
          <t>MK-CF-M-028</t>
        </is>
      </c>
      <c r="F12" s="3" t="inlineStr">
        <is>
          <t>Named by 1 figure(s)</t>
        </is>
      </c>
    </row>
    <row r="13">
      <c r="A13" s="3" t="inlineStr">
        <is>
          <t>MK-HM-E-001</t>
        </is>
      </c>
      <c r="B13" s="3" t="inlineStr">
        <is>
          <t>PRICE_FRESHNESS</t>
        </is>
      </c>
      <c r="C13" s="3" t="inlineStr">
        <is>
          <t>src/services/marketData.ts:60</t>
        </is>
      </c>
      <c r="D13" s="3" t="inlineStr">
        <is>
          <t>How old is the price we are showing?</t>
        </is>
      </c>
      <c r="E13" s="3" t="inlineStr">
        <is>
          <t>MK-HM-M-001</t>
        </is>
      </c>
      <c r="F13" s="3" t="inlineStr">
        <is>
          <t>Named by 1 figure(s)</t>
        </is>
      </c>
    </row>
    <row r="14">
      <c r="A14" s="3" t="inlineStr">
        <is>
          <t>MK-HM-E-002</t>
        </is>
      </c>
      <c r="B14" s="3" t="inlineStr">
        <is>
          <t>NOT IN OLD MASTER — milestoneCrossed, src/domain/milestones.ts</t>
        </is>
      </c>
      <c r="C14" s="3" t="inlineStr">
        <is>
          <t>NOT DETERMINED — no source line on record</t>
        </is>
      </c>
      <c r="D14" s="3" t="inlineStr">
        <is>
          <t>—</t>
        </is>
      </c>
      <c r="E14" s="3" t="inlineStr">
        <is>
          <t>MK-HM-M-002</t>
        </is>
      </c>
      <c r="F14" s="3" t="inlineStr">
        <is>
          <t>Named by 1 figure(s)</t>
        </is>
      </c>
    </row>
    <row r="15">
      <c r="A15" s="3" t="inlineStr">
        <is>
          <t>MK-HM-E-003</t>
        </is>
      </c>
      <c r="B15" s="3" t="inlineStr">
        <is>
          <t>NOT IN OLD MASTER — useInsights, src/domain/insights</t>
        </is>
      </c>
      <c r="C15" s="3" t="inlineStr">
        <is>
          <t>NOT DETERMINED — no source line on record</t>
        </is>
      </c>
      <c r="D15" s="3" t="inlineStr">
        <is>
          <t>—</t>
        </is>
      </c>
      <c r="E15" s="3" t="inlineStr">
        <is>
          <t>MK-HM-M-003 · MK-MN-M-015</t>
        </is>
      </c>
      <c r="F15" s="3" t="inlineStr">
        <is>
          <t>Named by 2 figure(s)</t>
        </is>
      </c>
    </row>
    <row r="16">
      <c r="A16" s="3" t="inlineStr">
        <is>
          <t>MK-MN-E-001</t>
        </is>
      </c>
      <c r="B16" s="3" t="inlineStr">
        <is>
          <t>BIG_COSTS</t>
        </is>
      </c>
      <c r="C16" s="3" t="inlineStr">
        <is>
          <t>NOT DETERMINED — no source line on record</t>
        </is>
      </c>
      <c r="D16" s="3" t="inlineStr">
        <is>
          <t>—</t>
        </is>
      </c>
      <c r="E16" s="3" t="inlineStr">
        <is>
          <t>MK-MN-M-001 · MK-MN-M-002</t>
        </is>
      </c>
      <c r="F16" s="3" t="inlineStr">
        <is>
          <t>Named by 2 figure(s)</t>
        </is>
      </c>
    </row>
    <row r="17">
      <c r="A17" s="3" t="inlineStr">
        <is>
          <t>MK-MN-E-002</t>
        </is>
      </c>
      <c r="B17" s="3" t="inlineStr">
        <is>
          <t>CONTRIBUTION_ROOM</t>
        </is>
      </c>
      <c r="C17" s="3" t="inlineStr">
        <is>
          <t>NOT DETERMINED — no source line on record</t>
        </is>
      </c>
      <c r="D17" s="3" t="inlineStr">
        <is>
          <t>—</t>
        </is>
      </c>
      <c r="E17" s="3" t="inlineStr">
        <is>
          <t>MK-MN-M-003 · MK-MN-M-004 · MK-MN-M-029</t>
        </is>
      </c>
      <c r="F17" s="3" t="inlineStr">
        <is>
          <t>Named by 3 figure(s)</t>
        </is>
      </c>
    </row>
    <row r="18">
      <c r="A18" s="3" t="inlineStr">
        <is>
          <t>MK-MN-E-003</t>
        </is>
      </c>
      <c r="B18" s="3" t="inlineStr">
        <is>
          <t>CREDIT_USE</t>
        </is>
      </c>
      <c r="C18" s="3" t="inlineStr">
        <is>
          <t>NOT DETERMINED — no source line on record</t>
        </is>
      </c>
      <c r="D18" s="3" t="inlineStr">
        <is>
          <t>—</t>
        </is>
      </c>
      <c r="E18" s="3" t="inlineStr">
        <is>
          <t>MK-MN-M-006</t>
        </is>
      </c>
      <c r="F18" s="3" t="inlineStr">
        <is>
          <t>Named by 1 figure(s)</t>
        </is>
      </c>
    </row>
    <row r="19">
      <c r="A19" s="3" t="inlineStr">
        <is>
          <t>MK-MN-E-004</t>
        </is>
      </c>
      <c r="B19" s="3" t="inlineStr">
        <is>
          <t>GOAL_CAPACITY</t>
        </is>
      </c>
      <c r="C19" s="3" t="inlineStr">
        <is>
          <t>NOT DETERMINED — no source line on record</t>
        </is>
      </c>
      <c r="D19" s="3" t="inlineStr">
        <is>
          <t>—</t>
        </is>
      </c>
      <c r="E19" s="3" t="inlineStr">
        <is>
          <t>MK-MN-M-008</t>
        </is>
      </c>
      <c r="F19" s="3" t="inlineStr">
        <is>
          <t>Named by 1 figure(s)</t>
        </is>
      </c>
    </row>
    <row r="20">
      <c r="A20" s="3" t="inlineStr">
        <is>
          <t>MK-MN-E-005</t>
        </is>
      </c>
      <c r="B20" s="3" t="inlineStr">
        <is>
          <t>GOAL_PROGRESS</t>
        </is>
      </c>
      <c r="C20" s="3" t="inlineStr">
        <is>
          <t>NOT DETERMINED — no source line on record</t>
        </is>
      </c>
      <c r="D20" s="3" t="inlineStr">
        <is>
          <t>—</t>
        </is>
      </c>
      <c r="E20" s="3" t="inlineStr">
        <is>
          <t>MK-MN-M-009</t>
        </is>
      </c>
      <c r="F20" s="3" t="inlineStr">
        <is>
          <t>Named by 1 figure(s)</t>
        </is>
      </c>
    </row>
    <row r="21">
      <c r="A21" s="3" t="inlineStr">
        <is>
          <t>MK-MN-E-006</t>
        </is>
      </c>
      <c r="B21" s="3" t="inlineStr">
        <is>
          <t>SINKING_FUNDS</t>
        </is>
      </c>
      <c r="C21" s="3" t="inlineStr">
        <is>
          <t>NOT DETERMINED — no source line on record</t>
        </is>
      </c>
      <c r="D21" s="3" t="inlineStr">
        <is>
          <t>—</t>
        </is>
      </c>
      <c r="E21" s="3" t="inlineStr">
        <is>
          <t>MK-MN-M-010</t>
        </is>
      </c>
      <c r="F21" s="3" t="inlineStr">
        <is>
          <t>Named by 1 figure(s)</t>
        </is>
      </c>
    </row>
    <row r="22">
      <c r="A22" s="3" t="inlineStr">
        <is>
          <t>MK-MN-E-007</t>
        </is>
      </c>
      <c r="B22" s="3" t="inlineStr">
        <is>
          <t>EMPLOYER_MATCH</t>
        </is>
      </c>
      <c r="C22" s="3" t="inlineStr">
        <is>
          <t>src/domain/income/onboarding.ts:263</t>
        </is>
      </c>
      <c r="D22" s="3" t="inlineStr">
        <is>
          <t>How much does the employer add each month?</t>
        </is>
      </c>
      <c r="E22" s="3" t="inlineStr">
        <is>
          <t>MK-MN-M-014</t>
        </is>
      </c>
      <c r="F22" s="3" t="inlineStr">
        <is>
          <t>Named by 1 figure(s)</t>
        </is>
      </c>
    </row>
    <row r="23">
      <c r="A23" s="3" t="inlineStr">
        <is>
          <t>MK-MN-E-008</t>
        </is>
      </c>
      <c r="B23" s="3" t="inlineStr">
        <is>
          <t>TOTAL_INVESTABLE · TOTAL_CASH</t>
        </is>
      </c>
      <c r="C23" s="3" t="inlineStr">
        <is>
          <t>NOT DETERMINED — no source line on record</t>
        </is>
      </c>
      <c r="D23" s="3" t="inlineStr">
        <is>
          <t>—</t>
        </is>
      </c>
      <c r="E23" s="3" t="inlineStr">
        <is>
          <t>MK-MN-M-016</t>
        </is>
      </c>
      <c r="F23" s="3" t="inlineStr">
        <is>
          <t>Named by 1 figure(s)</t>
        </is>
      </c>
    </row>
    <row r="24">
      <c r="A24" s="3" t="inlineStr">
        <is>
          <t>MK-MN-E-009</t>
        </is>
      </c>
      <c r="B24" s="3" t="inlineStr">
        <is>
          <t>INSURANCE_NEED</t>
        </is>
      </c>
      <c r="C24" s="3" t="inlineStr">
        <is>
          <t>NOT DETERMINED — no source line on record</t>
        </is>
      </c>
      <c r="D24" s="3" t="inlineStr">
        <is>
          <t>—</t>
        </is>
      </c>
      <c r="E24" s="3" t="inlineStr">
        <is>
          <t>MK-MN-M-017 · MK-MN-M-018 · MK-MN-M-019</t>
        </is>
      </c>
      <c r="F24" s="3" t="inlineStr">
        <is>
          <t>Named by 3 figure(s)</t>
        </is>
      </c>
    </row>
    <row r="25">
      <c r="A25" s="3" t="inlineStr">
        <is>
          <t>MK-MN-E-010</t>
        </is>
      </c>
      <c r="B25" s="3" t="inlineStr">
        <is>
          <t>JOB_SAFETY_RUNWAY</t>
        </is>
      </c>
      <c r="C25" s="3" t="inlineStr">
        <is>
          <t>NOT DETERMINED — no source line on record</t>
        </is>
      </c>
      <c r="D25" s="3" t="inlineStr">
        <is>
          <t>—</t>
        </is>
      </c>
      <c r="E25" s="3" t="inlineStr">
        <is>
          <t>MK-MN-M-020</t>
        </is>
      </c>
      <c r="F25" s="3" t="inlineStr">
        <is>
          <t>Named by 1 figure(s)</t>
        </is>
      </c>
    </row>
    <row r="26">
      <c r="A26" s="3" t="inlineStr">
        <is>
          <t>MK-MN-E-011</t>
        </is>
      </c>
      <c r="B26" s="3" t="inlineStr">
        <is>
          <t>ALTERNATIVES_TOTAL</t>
        </is>
      </c>
      <c r="C26" s="3" t="inlineStr">
        <is>
          <t>NOT DETERMINED — no source line on record</t>
        </is>
      </c>
      <c r="D26" s="3" t="inlineStr">
        <is>
          <t>—</t>
        </is>
      </c>
      <c r="E26" s="3" t="inlineStr">
        <is>
          <t>MK-MN-M-022</t>
        </is>
      </c>
      <c r="F26" s="3" t="inlineStr">
        <is>
          <t>Named by 1 figure(s)</t>
        </is>
      </c>
    </row>
    <row r="27">
      <c r="A27" s="3" t="inlineStr">
        <is>
          <t>MK-MN-E-012</t>
        </is>
      </c>
      <c r="B27" s="3" t="inlineStr">
        <is>
          <t>ALTERNATIVES_GROWTH</t>
        </is>
      </c>
      <c r="C27" s="3" t="inlineStr">
        <is>
          <t>NOT DETERMINED — no source line on record</t>
        </is>
      </c>
      <c r="D27" s="3" t="inlineStr">
        <is>
          <t>—</t>
        </is>
      </c>
      <c r="E27" s="3" t="inlineStr">
        <is>
          <t>MK-MN-M-023</t>
        </is>
      </c>
      <c r="F27" s="3" t="inlineStr">
        <is>
          <t>Named by 1 figure(s)</t>
        </is>
      </c>
    </row>
    <row r="28">
      <c r="A28" s="3" t="inlineStr">
        <is>
          <t>MK-MN-E-013</t>
        </is>
      </c>
      <c r="B28" s="3" t="inlineStr">
        <is>
          <t>STRESS_TEST</t>
        </is>
      </c>
      <c r="C28" s="3" t="inlineStr">
        <is>
          <t>NOT DETERMINED — no source line on record</t>
        </is>
      </c>
      <c r="D28" s="3" t="inlineStr">
        <is>
          <t>—</t>
        </is>
      </c>
      <c r="E28" s="3" t="inlineStr">
        <is>
          <t>MK-MN-M-024 · MK-MN-M-025</t>
        </is>
      </c>
      <c r="F28" s="3" t="inlineStr">
        <is>
          <t>Named by 2 figure(s)</t>
        </is>
      </c>
    </row>
    <row r="29">
      <c r="A29" s="3" t="inlineStr">
        <is>
          <t>MK-MN-E-014</t>
        </is>
      </c>
      <c r="B29" s="3" t="inlineStr">
        <is>
          <t>TAXABLE_INCOME</t>
        </is>
      </c>
      <c r="C29" s="3" t="inlineStr">
        <is>
          <t>src/domain/income/tax.ts:110</t>
        </is>
      </c>
      <c r="D29" s="3" t="inlineStr">
        <is>
          <t>What income is taxed, given how this person files?</t>
        </is>
      </c>
      <c r="E29" s="3" t="inlineStr">
        <is>
          <t>MK-MN-M-027 · MK-MN-M-028</t>
        </is>
      </c>
      <c r="F29" s="3" t="inlineStr">
        <is>
          <t>Named by 2 figure(s)</t>
        </is>
      </c>
    </row>
    <row r="30">
      <c r="A30" s="3" t="inlineStr">
        <is>
          <t>MK-MN-E-015</t>
        </is>
      </c>
      <c r="B30" s="3" t="inlineStr">
        <is>
          <t>NOT IN OLD MASTER — the outflow watch, src/domain/insights</t>
        </is>
      </c>
      <c r="C30" s="3" t="inlineStr">
        <is>
          <t>NOT DETERMINED — no source line on record</t>
        </is>
      </c>
      <c r="D30" s="3" t="inlineStr">
        <is>
          <t>—</t>
        </is>
      </c>
      <c r="E30" s="3" t="inlineStr">
        <is>
          <t>MK-MN-M-030</t>
        </is>
      </c>
      <c r="F30" s="3" t="inlineStr">
        <is>
          <t>Named by 1 figure(s)</t>
        </is>
      </c>
    </row>
    <row r="31">
      <c r="A31" s="3" t="inlineStr">
        <is>
          <t>MK-NW-E-001</t>
        </is>
      </c>
      <c r="B31" s="3" t="inlineStr">
        <is>
          <t>TREND_SERIES</t>
        </is>
      </c>
      <c r="C31" s="3" t="inlineStr">
        <is>
          <t>src/domain/history.ts:43</t>
        </is>
      </c>
      <c r="D31" s="3" t="inlineStr">
        <is>
          <t>What points does the net-worth graph draw?</t>
        </is>
      </c>
      <c r="E31" s="3" t="inlineStr">
        <is>
          <t>MK-NW-M-001 · MK-NW-M-003</t>
        </is>
      </c>
      <c r="F31" s="3" t="inlineStr">
        <is>
          <t>Named by 2 figure(s)</t>
        </is>
      </c>
    </row>
    <row r="32">
      <c r="A32" s="3" t="inlineStr">
        <is>
          <t>MK-NW-E-002</t>
        </is>
      </c>
      <c r="B32" s="3" t="inlineStr">
        <is>
          <t>NW_CHANGE_PCT</t>
        </is>
      </c>
      <c r="C32" s="3" t="inlineStr">
        <is>
          <t>src/domain/history.ts:118</t>
        </is>
      </c>
      <c r="D32" s="3" t="inlineStr">
        <is>
          <t>What is my return on cash and investments since the baseline?</t>
        </is>
      </c>
      <c r="E32" s="3" t="inlineStr">
        <is>
          <t>MK-NW-M-002</t>
        </is>
      </c>
      <c r="F32" s="3" t="inlineStr">
        <is>
          <t>Named by 1 figure(s)</t>
        </is>
      </c>
    </row>
    <row r="33">
      <c r="A33" s="3" t="inlineStr">
        <is>
          <t>MK-NW-E-003</t>
        </is>
      </c>
      <c r="B33" s="3" t="inlineStr">
        <is>
          <t>ACCOUNT_SHARE_OF_TOTAL</t>
        </is>
      </c>
      <c r="C33" s="3" t="inlineStr">
        <is>
          <t>src/domain/assets/index.ts:663</t>
        </is>
      </c>
      <c r="D33" s="3" t="inlineStr">
        <is>
          <t>How much of everything sits in each account, and what return do they blend to?</t>
        </is>
      </c>
      <c r="E33" s="3" t="inlineStr">
        <is>
          <t>MK-NW-M-004</t>
        </is>
      </c>
      <c r="F33" s="3" t="inlineStr">
        <is>
          <t>Named by 1 figure(s)</t>
        </is>
      </c>
    </row>
    <row r="34">
      <c r="A34" s="3" t="inlineStr">
        <is>
          <t>MK-NW-E-004</t>
        </is>
      </c>
      <c r="B34" s="3" t="inlineStr">
        <is>
          <t>TOTAL_CASH</t>
        </is>
      </c>
      <c r="C34" s="3" t="inlineStr">
        <is>
          <t>src/domain/assets/index.ts:271</t>
        </is>
      </c>
      <c r="D34" s="3" t="inlineStr">
        <is>
          <t>How much actual cash do I have?</t>
        </is>
      </c>
      <c r="E34" s="3" t="inlineStr">
        <is>
          <t>MK-NW-M-005</t>
        </is>
      </c>
      <c r="F34" s="3" t="inlineStr">
        <is>
          <t>Named by 1 figure(s)</t>
        </is>
      </c>
    </row>
    <row r="35">
      <c r="A35" s="3" t="inlineStr">
        <is>
          <t>MK-NW-E-005</t>
        </is>
      </c>
      <c r="B35" s="3" t="inlineStr">
        <is>
          <t>ALLOCATION_BY_CLASS</t>
        </is>
      </c>
      <c r="C35" s="3" t="inlineStr">
        <is>
          <t>src/domain/assets/index.ts:502</t>
        </is>
      </c>
      <c r="D35" s="3" t="inlineStr">
        <is>
          <t>How much money sits in each of the seven classes?</t>
        </is>
      </c>
      <c r="E35" s="3" t="inlineStr">
        <is>
          <t>MK-NW-M-007</t>
        </is>
      </c>
      <c r="F35" s="3" t="inlineStr">
        <is>
          <t>Named by 1 figure(s)</t>
        </is>
      </c>
    </row>
    <row r="36">
      <c r="A36" s="3" t="inlineStr">
        <is>
          <t>MK-NW-E-006</t>
        </is>
      </c>
      <c r="B36" s="3" t="inlineStr">
        <is>
          <t>DEBT_PICTURE</t>
        </is>
      </c>
      <c r="C36" s="3" t="inlineStr">
        <is>
          <t>src/domain/debt/index.ts:214</t>
        </is>
      </c>
      <c r="D36" s="3" t="inlineStr">
        <is>
          <t>What is the whole debt picture?</t>
        </is>
      </c>
      <c r="E36" s="3" t="inlineStr">
        <is>
          <t>MK-NW-M-009 · MK-NW-M-010 · MK-NW-M-012</t>
        </is>
      </c>
      <c r="F36" s="3" t="inlineStr">
        <is>
          <t>Named by 3 figure(s)</t>
        </is>
      </c>
    </row>
    <row r="37">
      <c r="A37" s="3" t="inlineStr">
        <is>
          <t>MK-NW-E-007</t>
        </is>
      </c>
      <c r="B37" s="3" t="inlineStr">
        <is>
          <t>DEBT_REQUIRED_PAYMENT</t>
        </is>
      </c>
      <c r="C37" s="3" t="inlineStr">
        <is>
          <t>src/domain/debt/index.ts:44</t>
        </is>
      </c>
      <c r="D37" s="3" t="inlineStr">
        <is>
          <t>What must I pay on this each month?</t>
        </is>
      </c>
      <c r="E37" s="3" t="inlineStr">
        <is>
          <t>MK-NW-M-011</t>
        </is>
      </c>
      <c r="F37" s="3" t="inlineStr">
        <is>
          <t>Named by 1 figure(s)</t>
        </is>
      </c>
    </row>
    <row r="38">
      <c r="A38" s="3" t="inlineStr">
        <is>
          <t>MK-NW-E-008</t>
        </is>
      </c>
      <c r="B38" s="3" t="inlineStr">
        <is>
          <t>TOTAL_CASH · PLANNED_SPENDING</t>
        </is>
      </c>
      <c r="C38" s="3" t="inlineStr">
        <is>
          <t>NOT DETERMINED — no source line on record</t>
        </is>
      </c>
      <c r="D38" s="3" t="inlineStr">
        <is>
          <t>—</t>
        </is>
      </c>
      <c r="E38" s="3" t="inlineStr">
        <is>
          <t>MK-NW-M-014</t>
        </is>
      </c>
      <c r="F38" s="3" t="inlineStr">
        <is>
          <t>Named by 1 figure(s)</t>
        </is>
      </c>
    </row>
    <row r="39">
      <c r="A39" s="3" t="inlineStr">
        <is>
          <t>MK-NW-E-009</t>
        </is>
      </c>
      <c r="B39" s="3" t="inlineStr">
        <is>
          <t>POT_AT_RETIREMENT</t>
        </is>
      </c>
      <c r="C39" s="3" t="inlineStr">
        <is>
          <t>src/domain/retirement/index.ts:324</t>
        </is>
      </c>
      <c r="D39" s="3" t="inlineStr">
        <is>
          <t>What will the pot be worth at retirement, and how big does it need to be?</t>
        </is>
      </c>
      <c r="E39" s="3" t="inlineStr">
        <is>
          <t>MK-CF-M-022 · MK-NW-M-015 · MK-PL-M-026 · MK-PL-M-033</t>
        </is>
      </c>
      <c r="F39" s="3" t="inlineStr">
        <is>
          <t>Named by 4 figure(s)</t>
        </is>
      </c>
    </row>
    <row r="40">
      <c r="A40" s="3" t="inlineStr">
        <is>
          <t>MK-NW-E-010</t>
        </is>
      </c>
      <c r="B40" s="3" t="inlineStr">
        <is>
          <t>NET_WORTH · DEBT_PICTURE</t>
        </is>
      </c>
      <c r="C40" s="3" t="inlineStr">
        <is>
          <t>NOT DETERMINED — no source line on record</t>
        </is>
      </c>
      <c r="D40" s="3" t="inlineStr">
        <is>
          <t>—</t>
        </is>
      </c>
      <c r="E40" s="3" t="inlineStr">
        <is>
          <t>MK-NW-M-017</t>
        </is>
      </c>
      <c r="F40" s="3" t="inlineStr">
        <is>
          <t>Named by 1 figure(s)</t>
        </is>
      </c>
    </row>
    <row r="41">
      <c r="A41" s="3" t="inlineStr">
        <is>
          <t>MK-NW-E-011</t>
        </is>
      </c>
      <c r="B41" s="3" t="inlineStr">
        <is>
          <t>HAND_VALUE_AGE</t>
        </is>
      </c>
      <c r="C41" s="3" t="inlineStr">
        <is>
          <t>src/domain/assets/index.ts:97</t>
        </is>
      </c>
      <c r="D41" s="3" t="inlineStr">
        <is>
          <t>How old is this hand-entered value?</t>
        </is>
      </c>
      <c r="E41" s="3" t="inlineStr">
        <is>
          <t>MK-NW-M-018 · MK-PL-M-016</t>
        </is>
      </c>
      <c r="F41" s="3" t="inlineStr">
        <is>
          <t>Named by 2 figure(s)</t>
        </is>
      </c>
    </row>
    <row r="42">
      <c r="A42" s="3" t="inlineStr">
        <is>
          <t>MK-NW-E-012</t>
        </is>
      </c>
      <c r="B42" s="3" t="inlineStr">
        <is>
          <t>the ledger sum of interest and dividends for the account</t>
        </is>
      </c>
      <c r="C42" s="3" t="inlineStr">
        <is>
          <t>NOT DETERMINED — no source line on record</t>
        </is>
      </c>
      <c r="D42" s="3" t="inlineStr">
        <is>
          <t>—</t>
        </is>
      </c>
      <c r="E42" s="3" t="inlineStr">
        <is>
          <t>MK-NW-M-019</t>
        </is>
      </c>
      <c r="F42" s="3" t="inlineStr">
        <is>
          <t>Named by 1 figure(s)</t>
        </is>
      </c>
    </row>
    <row r="43">
      <c r="A43" s="3" t="inlineStr">
        <is>
          <t>MK-NW-E-013</t>
        </is>
      </c>
      <c r="B43" s="3" t="inlineStr">
        <is>
          <t>the ledger sum for that holding</t>
        </is>
      </c>
      <c r="C43" s="3" t="inlineStr">
        <is>
          <t>NOT DETERMINED — no source line on record</t>
        </is>
      </c>
      <c r="D43" s="3" t="inlineStr">
        <is>
          <t>—</t>
        </is>
      </c>
      <c r="E43" s="3" t="inlineStr">
        <is>
          <t>MK-NW-M-021</t>
        </is>
      </c>
      <c r="F43" s="3" t="inlineStr">
        <is>
          <t>Named by 1 figure(s)</t>
        </is>
      </c>
    </row>
    <row r="44">
      <c r="A44" s="3" t="inlineStr">
        <is>
          <t>MK-NW-E-014</t>
        </is>
      </c>
      <c r="B44" s="3" t="inlineStr">
        <is>
          <t>HISTORY_DEPTH</t>
        </is>
      </c>
      <c r="C44" s="3" t="inlineStr">
        <is>
          <t>src/services/sync/snaptrade.ts:284</t>
        </is>
      </c>
      <c r="D44" s="3" t="inlineStr">
        <is>
          <t>How far back does this source's activity history go?</t>
        </is>
      </c>
      <c r="E44" s="3" t="inlineStr">
        <is>
          <t>MK-NW-M-022</t>
        </is>
      </c>
      <c r="F44" s="3" t="inlineStr">
        <is>
          <t>Named by 1 figure(s)</t>
        </is>
      </c>
    </row>
    <row r="45">
      <c r="A45" s="3" t="inlineStr">
        <is>
          <t>MK-NW-E-015</t>
        </is>
      </c>
      <c r="B45" s="3" t="inlineStr">
        <is>
          <t>BOND_FACTS</t>
        </is>
      </c>
      <c r="C45" s="3" t="inlineStr">
        <is>
          <t>src/domain/bonds/index.ts:16</t>
        </is>
      </c>
      <c r="D45" s="3" t="inlineStr">
        <is>
          <t>What are this holding's bond facts?</t>
        </is>
      </c>
      <c r="E45" s="3" t="inlineStr">
        <is>
          <t>MK-NW-M-023 · MK-NW-M-041 · MK-NW-M-042</t>
        </is>
      </c>
      <c r="F45" s="3" t="inlineStr">
        <is>
          <t>Named by 3 figure(s)</t>
        </is>
      </c>
    </row>
    <row r="46">
      <c r="A46" s="3" t="inlineStr">
        <is>
          <t>MK-NW-E-016</t>
        </is>
      </c>
      <c r="B46" s="3" t="inlineStr">
        <is>
          <t>BOND_COUPON</t>
        </is>
      </c>
      <c r="C46" s="3" t="inlineStr">
        <is>
          <t>src/domain/bonds/index.ts:21</t>
        </is>
      </c>
      <c r="D46" s="3" t="inlineStr">
        <is>
          <t>How much income does this bond pay in a year?</t>
        </is>
      </c>
      <c r="E46" s="3" t="inlineStr">
        <is>
          <t>MK-NW-M-024 · MK-NW-M-043</t>
        </is>
      </c>
      <c r="F46" s="3" t="inlineStr">
        <is>
          <t>Named by 2 figure(s)</t>
        </is>
      </c>
    </row>
    <row r="47">
      <c r="A47" s="3" t="inlineStr">
        <is>
          <t>MK-NW-E-017</t>
        </is>
      </c>
      <c r="B47" s="3" t="inlineStr">
        <is>
          <t>BOND_YEARS_LEFT</t>
        </is>
      </c>
      <c r="C47" s="3" t="inlineStr">
        <is>
          <t>src/domain/bonds/index.ts:24</t>
        </is>
      </c>
      <c r="D47" s="3" t="inlineStr">
        <is>
          <t>How long until this bond pays back?</t>
        </is>
      </c>
      <c r="E47" s="3" t="inlineStr">
        <is>
          <t>MK-NW-M-025</t>
        </is>
      </c>
      <c r="F47" s="3" t="inlineStr">
        <is>
          <t>Named by 1 figure(s)</t>
        </is>
      </c>
    </row>
    <row r="48">
      <c r="A48" s="3" t="inlineStr">
        <is>
          <t>MK-NW-E-018</t>
        </is>
      </c>
      <c r="B48" s="3" t="inlineStr">
        <is>
          <t>BOND_YIELD_TO_MATURITY</t>
        </is>
      </c>
      <c r="C48" s="3" t="inlineStr">
        <is>
          <t>src/domain/bonds/index.ts:33</t>
        </is>
      </c>
      <c r="D48" s="3" t="inlineStr">
        <is>
          <t>What will this bond earn me a year if I hold it to the end?</t>
        </is>
      </c>
      <c r="E48" s="3" t="inlineStr">
        <is>
          <t>MK-NW-M-026</t>
        </is>
      </c>
      <c r="F48" s="3" t="inlineStr">
        <is>
          <t>Named by 1 figure(s)</t>
        </is>
      </c>
    </row>
    <row r="49">
      <c r="A49" s="3" t="inlineStr">
        <is>
          <t>MK-NW-E-019</t>
        </is>
      </c>
      <c r="B49" s="3" t="inlineStr">
        <is>
          <t>BOND_CURRENT_YIELD</t>
        </is>
      </c>
      <c r="C49" s="3" t="inlineStr">
        <is>
          <t>src/domain/bonds/index.ts:29</t>
        </is>
      </c>
      <c r="D49" s="3" t="inlineStr">
        <is>
          <t>What is this bond paying me, measured against what it is worth today?</t>
        </is>
      </c>
      <c r="E49" s="3" t="inlineStr">
        <is>
          <t>MK-NW-M-027 · MK-NW-M-044</t>
        </is>
      </c>
      <c r="F49" s="3" t="inlineStr">
        <is>
          <t>Named by 2 figure(s)</t>
        </is>
      </c>
    </row>
    <row r="50">
      <c r="A50" s="3" t="inlineStr">
        <is>
          <t>MK-NW-E-020</t>
        </is>
      </c>
      <c r="B50" s="3" t="inlineStr">
        <is>
          <t>BOND_RATE_SENSITIVITY</t>
        </is>
      </c>
      <c r="C50" s="3" t="inlineStr">
        <is>
          <t>NOT DETERMINED — no source line on record</t>
        </is>
      </c>
      <c r="D50" s="3" t="inlineStr">
        <is>
          <t>—</t>
        </is>
      </c>
      <c r="E50" s="3" t="inlineStr">
        <is>
          <t>MK-NW-M-028</t>
        </is>
      </c>
      <c r="F50" s="3" t="inlineStr">
        <is>
          <t>Named by 1 figure(s)</t>
        </is>
      </c>
    </row>
    <row r="51">
      <c r="A51" s="3" t="inlineStr">
        <is>
          <t>MK-NW-E-021</t>
        </is>
      </c>
      <c r="B51" s="3" t="inlineStr">
        <is>
          <t>the price feed, with its freshness</t>
        </is>
      </c>
      <c r="C51" s="3" t="inlineStr">
        <is>
          <t>NOT DETERMINED — no source line on record</t>
        </is>
      </c>
      <c r="D51" s="3" t="inlineStr">
        <is>
          <t>—</t>
        </is>
      </c>
      <c r="E51" s="3" t="inlineStr">
        <is>
          <t>MK-NW-M-029</t>
        </is>
      </c>
      <c r="F51" s="3" t="inlineStr">
        <is>
          <t>Named by 1 figure(s)</t>
        </is>
      </c>
    </row>
    <row r="52">
      <c r="A52" s="3" t="inlineStr">
        <is>
          <t>MK-NW-E-022</t>
        </is>
      </c>
      <c r="B52" s="3" t="inlineStr">
        <is>
          <t>HOLDING_MARKET_VALUE</t>
        </is>
      </c>
      <c r="C52" s="3" t="inlineStr">
        <is>
          <t>src/domain/performance/index.ts:47</t>
        </is>
      </c>
      <c r="D52" s="3" t="inlineStr">
        <is>
          <t>What is this holding worth right now?</t>
        </is>
      </c>
      <c r="E52" s="3" t="inlineStr">
        <is>
          <t>MK-NW-M-030 · MK-NW-M-040</t>
        </is>
      </c>
      <c r="F52" s="3" t="inlineStr">
        <is>
          <t>Named by 2 figure(s)</t>
        </is>
      </c>
    </row>
    <row r="53">
      <c r="A53" s="3" t="inlineStr">
        <is>
          <t>MK-NW-E-023</t>
        </is>
      </c>
      <c r="B53" s="3" t="inlineStr">
        <is>
          <t>HOLDING_COST_BASIS</t>
        </is>
      </c>
      <c r="C53" s="3" t="inlineStr">
        <is>
          <t>src/domain/performance/index.ts:40</t>
        </is>
      </c>
      <c r="D53" s="3" t="inlineStr">
        <is>
          <t>What did I pay for this in total?</t>
        </is>
      </c>
      <c r="E53" s="3" t="inlineStr">
        <is>
          <t>MK-NW-M-032 · MK-NW-M-033</t>
        </is>
      </c>
      <c r="F53" s="3" t="inlineStr">
        <is>
          <t>Named by 2 figure(s)</t>
        </is>
      </c>
    </row>
    <row r="54">
      <c r="A54" s="3" t="inlineStr">
        <is>
          <t>MK-NW-E-024</t>
        </is>
      </c>
      <c r="B54" s="3" t="inlineStr">
        <is>
          <t>the ledger sum of dividends over twelve months</t>
        </is>
      </c>
      <c r="C54" s="3" t="inlineStr">
        <is>
          <t>NOT DETERMINED — no source line on record</t>
        </is>
      </c>
      <c r="D54" s="3" t="inlineStr">
        <is>
          <t>—</t>
        </is>
      </c>
      <c r="E54" s="3" t="inlineStr">
        <is>
          <t>MK-NW-M-034</t>
        </is>
      </c>
      <c r="F54" s="3" t="inlineStr">
        <is>
          <t>Named by 1 figure(s)</t>
        </is>
      </c>
    </row>
    <row r="55">
      <c r="A55" s="3" t="inlineStr">
        <is>
          <t>MK-NW-E-025</t>
        </is>
      </c>
      <c r="B55" s="3" t="inlineStr">
        <is>
          <t>REALISED_GAIN</t>
        </is>
      </c>
      <c r="C55" s="3" t="inlineStr">
        <is>
          <t>src/domain/performance/realized.ts:14</t>
        </is>
      </c>
      <c r="D55" s="3" t="inlineStr">
        <is>
          <t>How much profit have I actually taken?</t>
        </is>
      </c>
      <c r="E55" s="3" t="inlineStr">
        <is>
          <t>MK-NW-M-035</t>
        </is>
      </c>
      <c r="F55" s="3" t="inlineStr">
        <is>
          <t>Named by 1 figure(s)</t>
        </is>
      </c>
    </row>
    <row r="56">
      <c r="A56" s="3" t="inlineStr">
        <is>
          <t>MK-NW-E-026</t>
        </is>
      </c>
      <c r="B56" s="3" t="inlineStr">
        <is>
          <t>HOLDING_CAP_GAINS</t>
        </is>
      </c>
      <c r="C56" s="3" t="inlineStr">
        <is>
          <t>src/domain/performance/index.ts:63</t>
        </is>
      </c>
      <c r="D56" s="3" t="inlineStr">
        <is>
          <t>If I sold this today, how much of the gain is long-term and how much short-term?</t>
        </is>
      </c>
      <c r="E56" s="3" t="inlineStr">
        <is>
          <t>MK-NW-M-036 · MK-NW-M-037</t>
        </is>
      </c>
      <c r="F56" s="3" t="inlineStr">
        <is>
          <t>Named by 2 figure(s)</t>
        </is>
      </c>
    </row>
    <row r="57">
      <c r="A57" s="3" t="inlineStr">
        <is>
          <t>MK-NW-E-027</t>
        </is>
      </c>
      <c r="B57" s="3" t="inlineStr">
        <is>
          <t>the account balance being itemised</t>
        </is>
      </c>
      <c r="C57" s="3" t="inlineStr">
        <is>
          <t>NOT DETERMINED — no source line on record</t>
        </is>
      </c>
      <c r="D57" s="3" t="inlineStr">
        <is>
          <t>—</t>
        </is>
      </c>
      <c r="E57" s="3" t="inlineStr">
        <is>
          <t>MK-NW-M-038</t>
        </is>
      </c>
      <c r="F57" s="3" t="inlineStr">
        <is>
          <t>Named by 1 figure(s)</t>
        </is>
      </c>
    </row>
    <row r="58">
      <c r="A58" s="3" t="inlineStr">
        <is>
          <t>MK-NW-E-028</t>
        </is>
      </c>
      <c r="B58" s="3" t="inlineStr">
        <is>
          <t>BOND_FACTS · BOND_COUPON</t>
        </is>
      </c>
      <c r="C58" s="3" t="inlineStr">
        <is>
          <t>NOT DETERMINED — no source line on record</t>
        </is>
      </c>
      <c r="D58" s="3" t="inlineStr">
        <is>
          <t>—</t>
        </is>
      </c>
      <c r="E58" s="3" t="inlineStr">
        <is>
          <t>MK-NW-M-045</t>
        </is>
      </c>
      <c r="F58" s="3" t="inlineStr">
        <is>
          <t>Named by 1 figure(s)</t>
        </is>
      </c>
    </row>
    <row r="59">
      <c r="A59" s="3" t="inlineStr">
        <is>
          <t>MK-PF-E-001</t>
        </is>
      </c>
      <c r="B59" s="3" t="inlineStr">
        <is>
          <t>NW_CHANGE_WALK</t>
        </is>
      </c>
      <c r="C59" s="3" t="inlineStr">
        <is>
          <t>src/domain/history.ts:144</t>
        </is>
      </c>
      <c r="D59" s="3" t="inlineStr">
        <is>
          <t>My net worth changed since last time — what actually caused it?</t>
        </is>
      </c>
      <c r="E59" s="3" t="inlineStr">
        <is>
          <t>MK-PF-M-001 · MK-PF-M-002 · MK-PF-M-003 · MK-PF-M-004</t>
        </is>
      </c>
      <c r="F59" s="3" t="inlineStr">
        <is>
          <t>Named by 4 figure(s)</t>
        </is>
      </c>
    </row>
    <row r="60">
      <c r="A60" s="3" t="inlineStr">
        <is>
          <t>MK-PF-E-002</t>
        </is>
      </c>
      <c r="B60" s="3" t="inlineStr">
        <is>
          <t>PERFORMANCE_TABLE</t>
        </is>
      </c>
      <c r="C60" s="3" t="inlineStr">
        <is>
          <t>src/domain/performance/index.ts:191</t>
        </is>
      </c>
      <c r="D60" s="3" t="inlineStr">
        <is>
          <t>What is the full picture for every holding?</t>
        </is>
      </c>
      <c r="E60" s="3" t="inlineStr">
        <is>
          <t>MK-PF-M-005 · MK-PF-M-006 · MK-PF-M-007</t>
        </is>
      </c>
      <c r="F60" s="3" t="inlineStr">
        <is>
          <t>Named by 3 figure(s)</t>
        </is>
      </c>
    </row>
    <row r="61">
      <c r="A61" s="3" t="inlineStr">
        <is>
          <t>MK-PF-E-003</t>
        </is>
      </c>
      <c r="B61" s="3" t="inlineStr">
        <is>
          <t>BENCHMARK_RETURN_BLENDED</t>
        </is>
      </c>
      <c r="C61" s="3" t="inlineStr">
        <is>
          <t>src/domain/performance/index.ts:293</t>
        </is>
      </c>
      <c r="D61" s="3" t="inlineStr">
        <is>
          <t>What would the matching benchmarks have done over the same period?</t>
        </is>
      </c>
      <c r="E61" s="3" t="inlineStr">
        <is>
          <t>MK-PF-M-008</t>
        </is>
      </c>
      <c r="F61" s="3" t="inlineStr">
        <is>
          <t>Named by 1 figure(s)</t>
        </is>
      </c>
    </row>
    <row r="62">
      <c r="A62" s="3" t="inlineStr">
        <is>
          <t>MK-PF-E-004</t>
        </is>
      </c>
      <c r="B62" s="3" t="inlineStr">
        <is>
          <t>MODIFIED_DIETZ (Calculation Module code/engines/window-return.ts)</t>
        </is>
      </c>
      <c r="C62" s="3" t="inlineStr">
        <is>
          <t>NOT DETERMINED — no source line on record</t>
        </is>
      </c>
      <c r="D62" s="3" t="inlineStr">
        <is>
          <t>—</t>
        </is>
      </c>
      <c r="E62" s="3" t="inlineStr">
        <is>
          <t>MK-PF-M-009</t>
        </is>
      </c>
      <c r="F62" s="3" t="inlineStr">
        <is>
          <t>Named by 1 figure(s)</t>
        </is>
      </c>
    </row>
    <row r="63">
      <c r="A63" s="3" t="inlineStr">
        <is>
          <t>MK-PF-E-005</t>
        </is>
      </c>
      <c r="B63" s="3" t="inlineStr">
        <is>
          <t>LOOK_BACK</t>
        </is>
      </c>
      <c r="C63" s="3" t="inlineStr">
        <is>
          <t>src/domain/performance/lookBack.ts:32</t>
        </is>
      </c>
      <c r="D63" s="3" t="inlineStr">
        <is>
          <t>What if I had moved this money?</t>
        </is>
      </c>
      <c r="E63" s="3" t="inlineStr">
        <is>
          <t>MK-PF-M-010 · MK-PF-M-011 · MK-PF-M-012</t>
        </is>
      </c>
      <c r="F63" s="3" t="inlineStr">
        <is>
          <t>Named by 3 figure(s)</t>
        </is>
      </c>
    </row>
    <row r="64">
      <c r="A64" s="3" t="inlineStr">
        <is>
          <t>MK-PL-E-001</t>
        </is>
      </c>
      <c r="B64" s="3" t="inlineStr">
        <is>
          <t>WHAT_THE_PLAN_STILL_NEEDS</t>
        </is>
      </c>
      <c r="C64" s="3" t="inlineStr">
        <is>
          <t>src/domain/planning/hub.ts:44</t>
        </is>
      </c>
      <c r="D64" s="3" t="inlineStr">
        <is>
          <t>Is there enough to show this person their own odds?</t>
        </is>
      </c>
      <c r="E64" s="3" t="inlineStr">
        <is>
          <t>MK-PL-M-001 · MK-PL-M-002</t>
        </is>
      </c>
      <c r="F64" s="3" t="inlineStr">
        <is>
          <t>Named by 2 figure(s)</t>
        </is>
      </c>
    </row>
    <row r="65">
      <c r="A65" s="3" t="inlineStr">
        <is>
          <t>MK-PL-E-002</t>
        </is>
      </c>
      <c r="B65" s="3" t="inlineStr">
        <is>
          <t>NOT IN OLD MASTER — retirementPaycheckYear, src/domain/paycheck</t>
        </is>
      </c>
      <c r="C65" s="3" t="inlineStr">
        <is>
          <t>NOT DETERMINED — no source line on record</t>
        </is>
      </c>
      <c r="D65" s="3" t="inlineStr">
        <is>
          <t>—</t>
        </is>
      </c>
      <c r="E65" s="3" t="inlineStr">
        <is>
          <t>MK-PL-M-003 · MK-PL-M-004 · MK-PL-M-005</t>
        </is>
      </c>
      <c r="F65" s="3" t="inlineStr">
        <is>
          <t>Named by 3 figure(s)</t>
        </is>
      </c>
    </row>
    <row r="66">
      <c r="A66" s="3" t="inlineStr">
        <is>
          <t>MK-PL-E-003</t>
        </is>
      </c>
      <c r="B66" s="3" t="inlineStr">
        <is>
          <t>NOT IN OLD MASTER — saved scenarios, src/domain/scenarios</t>
        </is>
      </c>
      <c r="C66" s="3" t="inlineStr">
        <is>
          <t>NOT DETERMINED — no source line on record</t>
        </is>
      </c>
      <c r="D66" s="3" t="inlineStr">
        <is>
          <t>—</t>
        </is>
      </c>
      <c r="E66" s="3" t="inlineStr">
        <is>
          <t>MK-PL-M-007</t>
        </is>
      </c>
      <c r="F66" s="3" t="inlineStr">
        <is>
          <t>Named by 1 figure(s)</t>
        </is>
      </c>
    </row>
    <row r="67">
      <c r="A67" s="3" t="inlineStr">
        <is>
          <t>MK-PL-E-004</t>
        </is>
      </c>
      <c r="B67" s="3" t="inlineStr">
        <is>
          <t>GUARANTEED_STREAMS (engines: B1 rebuild)</t>
        </is>
      </c>
      <c r="C67" s="3" t="inlineStr">
        <is>
          <t>NOT DETERMINED — no source line on record</t>
        </is>
      </c>
      <c r="D67" s="3" t="inlineStr">
        <is>
          <t>—</t>
        </is>
      </c>
      <c r="E67" s="3" t="inlineStr">
        <is>
          <t>MK-PL-M-010</t>
        </is>
      </c>
      <c r="F67" s="3" t="inlineStr">
        <is>
          <t>Named by 1 figure(s)</t>
        </is>
      </c>
    </row>
    <row r="68">
      <c r="A68" s="3" t="inlineStr">
        <is>
          <t>MK-PL-E-005</t>
        </is>
      </c>
      <c r="B68" s="3" t="inlineStr">
        <is>
          <t>RMD_START_AGE (Calculation Module code/engines/rmd.ts)</t>
        </is>
      </c>
      <c r="C68" s="3" t="inlineStr">
        <is>
          <t>NOT DETERMINED — no source line on record</t>
        </is>
      </c>
      <c r="D68" s="3" t="inlineStr">
        <is>
          <t>—</t>
        </is>
      </c>
      <c r="E68" s="3" t="inlineStr">
        <is>
          <t>MK-PL-M-012</t>
        </is>
      </c>
      <c r="F68" s="3" t="inlineStr">
        <is>
          <t>Named by 1 figure(s)</t>
        </is>
      </c>
    </row>
    <row r="69">
      <c r="A69" s="3" t="inlineStr">
        <is>
          <t>MK-PL-E-006</t>
        </is>
      </c>
      <c r="B69" s="3" t="inlineStr">
        <is>
          <t>REQUIRED_WITHDRAWAL</t>
        </is>
      </c>
      <c r="C69" s="3" t="inlineStr">
        <is>
          <t>NOT DETERMINED — no source line on record</t>
        </is>
      </c>
      <c r="D69" s="3" t="inlineStr">
        <is>
          <t>—</t>
        </is>
      </c>
      <c r="E69" s="3" t="inlineStr">
        <is>
          <t>MK-PL-M-013 · MK-PL-M-015</t>
        </is>
      </c>
      <c r="F69" s="3" t="inlineStr">
        <is>
          <t>Named by 2 figure(s)</t>
        </is>
      </c>
    </row>
    <row r="70">
      <c r="A70" s="3" t="inlineStr">
        <is>
          <t>MK-PL-E-007</t>
        </is>
      </c>
      <c r="B70" s="3" t="inlineStr">
        <is>
          <t>RETIREMENT_INCOME_NOW</t>
        </is>
      </c>
      <c r="C70" s="3" t="inlineStr">
        <is>
          <t>src/domain/income/onboarding.ts:191</t>
        </is>
      </c>
      <c r="D70" s="3" t="inlineStr">
        <is>
          <t>How much retirement income is arriving TODAY?</t>
        </is>
      </c>
      <c r="E70" s="3" t="inlineStr">
        <is>
          <t>MK-CF-M-011 · MK-CF-M-024 · MK-PL-M-018 · MK-PL-M-032</t>
        </is>
      </c>
      <c r="F70" s="3" t="inlineStr">
        <is>
          <t>Named by 4 figure(s)</t>
        </is>
      </c>
    </row>
    <row r="71">
      <c r="A71" s="3" t="inlineStr">
        <is>
          <t>MK-PL-E-008</t>
        </is>
      </c>
      <c r="B71" s="3" t="inlineStr">
        <is>
          <t>SS_CLAIM_FACTOR · SS_BENEFIT_AT_AGE</t>
        </is>
      </c>
      <c r="C71" s="3" t="inlineStr">
        <is>
          <t>NOT DETERMINED — no source line on record</t>
        </is>
      </c>
      <c r="D71" s="3" t="inlineStr">
        <is>
          <t>—</t>
        </is>
      </c>
      <c r="E71" s="3" t="inlineStr">
        <is>
          <t>MK-PL-M-019</t>
        </is>
      </c>
      <c r="F71" s="3" t="inlineStr">
        <is>
          <t>Named by 1 figure(s)</t>
        </is>
      </c>
    </row>
    <row r="72">
      <c r="A72" s="3" t="inlineStr">
        <is>
          <t>MK-PL-E-009</t>
        </is>
      </c>
      <c r="B72" s="3" t="inlineStr">
        <is>
          <t>SS_LIFETIME_TOTAL</t>
        </is>
      </c>
      <c r="C72" s="3" t="inlineStr">
        <is>
          <t>NOT DETERMINED — no source line on record</t>
        </is>
      </c>
      <c r="D72" s="3" t="inlineStr">
        <is>
          <t>—</t>
        </is>
      </c>
      <c r="E72" s="3" t="inlineStr">
        <is>
          <t>MK-PL-M-020</t>
        </is>
      </c>
      <c r="F72" s="3" t="inlineStr">
        <is>
          <t>Named by 1 figure(s)</t>
        </is>
      </c>
    </row>
    <row r="73">
      <c r="A73" s="3" t="inlineStr">
        <is>
          <t>MK-PL-E-010</t>
        </is>
      </c>
      <c r="B73" s="3" t="inlineStr">
        <is>
          <t>the worked example used until a real statement goes in</t>
        </is>
      </c>
      <c r="C73" s="3" t="inlineStr">
        <is>
          <t>NOT DETERMINED — no source line on record</t>
        </is>
      </c>
      <c r="D73" s="3" t="inlineStr">
        <is>
          <t>—</t>
        </is>
      </c>
      <c r="E73" s="3" t="inlineStr">
        <is>
          <t>MK-PL-M-021</t>
        </is>
      </c>
      <c r="F73" s="3" t="inlineStr">
        <is>
          <t>Named by 1 figure(s)</t>
        </is>
      </c>
    </row>
    <row r="74">
      <c r="A74" s="3" t="inlineStr">
        <is>
          <t>MK-PL-E-011</t>
        </is>
      </c>
      <c r="B74" s="3" t="inlineStr">
        <is>
          <t>the amount the person chose</t>
        </is>
      </c>
      <c r="C74" s="3" t="inlineStr">
        <is>
          <t>On the screen itself — no engine file</t>
        </is>
      </c>
      <c r="D74" s="3" t="inlineStr">
        <is>
          <t>—</t>
        </is>
      </c>
      <c r="E74" s="3" t="inlineStr">
        <is>
          <t>MK-PL-M-022 · MK-PL-M-025 · MK-PL-M-030</t>
        </is>
      </c>
      <c r="F74" s="3" t="inlineStr">
        <is>
          <t>Named by 3 figure(s)</t>
        </is>
      </c>
    </row>
    <row r="75">
      <c r="A75" s="3" t="inlineStr">
        <is>
          <t>MK-PL-E-012</t>
        </is>
      </c>
      <c r="B75" s="3" t="inlineStr">
        <is>
          <t>TAX_ON_CONVERSION</t>
        </is>
      </c>
      <c r="C75" s="3" t="inlineStr">
        <is>
          <t>NOT DETERMINED — no source line on record</t>
        </is>
      </c>
      <c r="D75" s="3" t="inlineStr">
        <is>
          <t>—</t>
        </is>
      </c>
      <c r="E75" s="3" t="inlineStr">
        <is>
          <t>MK-PL-M-023</t>
        </is>
      </c>
      <c r="F75" s="3" t="inlineStr">
        <is>
          <t>Named by 1 figure(s)</t>
        </is>
      </c>
    </row>
    <row r="76">
      <c r="A76" s="3" t="inlineStr">
        <is>
          <t>MK-PL-E-013</t>
        </is>
      </c>
      <c r="B76" s="3" t="inlineStr">
        <is>
          <t>PRE_TAX_BALANCE</t>
        </is>
      </c>
      <c r="C76" s="3" t="inlineStr">
        <is>
          <t>NOT DETERMINED — no source line on record</t>
        </is>
      </c>
      <c r="D76" s="3" t="inlineStr">
        <is>
          <t>—</t>
        </is>
      </c>
      <c r="E76" s="3" t="inlineStr">
        <is>
          <t>MK-PL-M-024</t>
        </is>
      </c>
      <c r="F76" s="3" t="inlineStr">
        <is>
          <t>Named by 1 figure(s)</t>
        </is>
      </c>
    </row>
    <row r="77">
      <c r="A77" s="3" t="inlineStr">
        <is>
          <t>MK-PL-E-014</t>
        </is>
      </c>
      <c r="B77" s="3" t="inlineStr">
        <is>
          <t>the amounts the person chose</t>
        </is>
      </c>
      <c r="C77" s="3" t="inlineStr">
        <is>
          <t>On the screen itself — no engine file</t>
        </is>
      </c>
      <c r="D77" s="3" t="inlineStr">
        <is>
          <t>—</t>
        </is>
      </c>
      <c r="E77" s="3" t="inlineStr">
        <is>
          <t>MK-PL-M-028</t>
        </is>
      </c>
      <c r="F77" s="3" t="inlineStr">
        <is>
          <t>Named by 1 figure(s)</t>
        </is>
      </c>
    </row>
    <row r="78">
      <c r="A78" s="3" t="inlineStr">
        <is>
          <t>MK-PL-E-015</t>
        </is>
      </c>
      <c r="B78" s="3" t="inlineStr">
        <is>
          <t>DEBT_PAYOFF</t>
        </is>
      </c>
      <c r="C78" s="3" t="inlineStr">
        <is>
          <t>NOT DETERMINED — no source line on record</t>
        </is>
      </c>
      <c r="D78" s="3" t="inlineStr">
        <is>
          <t>—</t>
        </is>
      </c>
      <c r="E78" s="3" t="inlineStr">
        <is>
          <t>MK-PL-M-031</t>
        </is>
      </c>
      <c r="F78" s="3" t="inlineStr">
        <is>
          <t>Named by 1 figure(s)</t>
        </is>
      </c>
    </row>
    <row r="79">
      <c r="A79" s="3" t="inlineStr">
        <is>
          <t>MK-PL-E-016</t>
        </is>
      </c>
      <c r="B79" s="3" t="inlineStr">
        <is>
          <t>the age the person chose</t>
        </is>
      </c>
      <c r="C79" s="3" t="inlineStr">
        <is>
          <t>On the screen itself — no engine file</t>
        </is>
      </c>
      <c r="D79" s="3" t="inlineStr">
        <is>
          <t>—</t>
        </is>
      </c>
      <c r="E79" s="3" t="inlineStr">
        <is>
          <t>MK-PL-M-035</t>
        </is>
      </c>
      <c r="F79" s="3" t="inlineStr">
        <is>
          <t>Named by 1 figure(s)</t>
        </is>
      </c>
    </row>
    <row r="80">
      <c r="A80" s="3" t="inlineStr">
        <is>
          <t>MK-PL-E-017</t>
        </is>
      </c>
      <c r="B80" s="3" t="inlineStr">
        <is>
          <t>EDUCATION_COST</t>
        </is>
      </c>
      <c r="C80" s="3" t="inlineStr">
        <is>
          <t>NOT DETERMINED — no source line on record</t>
        </is>
      </c>
      <c r="D80" s="3" t="inlineStr">
        <is>
          <t>—</t>
        </is>
      </c>
      <c r="E80" s="3" t="inlineStr">
        <is>
          <t>MK-PL-M-036 · MK-PL-M-037</t>
        </is>
      </c>
      <c r="F80" s="3" t="inlineStr">
        <is>
          <t>Named by 2 figure(s)</t>
        </is>
      </c>
    </row>
    <row r="81">
      <c r="A81" s="3" t="inlineStr">
        <is>
          <t>MK-XS-E-001</t>
        </is>
      </c>
      <c r="B81" s="3" t="inlineStr">
        <is>
          <t>NET_WORTH</t>
        </is>
      </c>
      <c r="C81" s="3" t="inlineStr">
        <is>
          <t>src/domain/networth/index.ts:12</t>
        </is>
      </c>
      <c r="D81" s="3" t="inlineStr">
        <is>
          <t>What is this household worth?</t>
        </is>
      </c>
      <c r="E81" s="3" t="inlineStr">
        <is>
          <t>MK-NW-M-016 · MK-XS-M-001</t>
        </is>
      </c>
      <c r="F81" s="3" t="inlineStr">
        <is>
          <t>Named by 2 figure(s)</t>
        </is>
      </c>
    </row>
    <row r="82">
      <c r="A82" s="3" t="inlineStr">
        <is>
          <t>MK-XS-E-002</t>
        </is>
      </c>
      <c r="B82" s="3" t="inlineStr">
        <is>
          <t>NEST_EGG</t>
        </is>
      </c>
      <c r="C82" s="3" t="inlineStr">
        <is>
          <t>src/domain/assets/index.ts:548</t>
        </is>
      </c>
      <c r="D82" s="3" t="inlineStr">
        <is>
          <t>What is my retirement pot worth?</t>
        </is>
      </c>
      <c r="E82" s="3" t="inlineStr">
        <is>
          <t>—</t>
        </is>
      </c>
      <c r="F82" s="3" t="inlineStr">
        <is>
          <t>Only as another engine’s dependency — no figure names it directly</t>
        </is>
      </c>
    </row>
    <row r="83">
      <c r="A83" s="3" t="inlineStr">
        <is>
          <t>MK-XS-E-003</t>
        </is>
      </c>
      <c r="B83" s="3" t="inlineStr">
        <is>
          <t>ODDS_DISPLAY</t>
        </is>
      </c>
      <c r="C83" s="3" t="inlineStr">
        <is>
          <t>src/domain/retirement/willItLast.ts:55</t>
        </is>
      </c>
      <c r="D83" s="3" t="inlineStr">
        <is>
          <t>The retirement odds a person actually sees. Answers: 0, 5, 10 … 100 — the exact simulation</t>
        </is>
      </c>
      <c r="E83" s="3" t="inlineStr">
        <is>
          <t>—</t>
        </is>
      </c>
      <c r="F83" s="3" t="inlineStr">
        <is>
          <t>Only as another engine’s dependency — no figure names it directly</t>
        </is>
      </c>
    </row>
    <row r="84">
      <c r="A84" s="3" t="inlineStr">
        <is>
          <t>MK-XS-E-004</t>
        </is>
      </c>
      <c r="B84" s="3" t="inlineStr">
        <is>
          <t>RETIREMENT_SPENDING</t>
        </is>
      </c>
      <c r="C84" s="3" t="inlineStr">
        <is>
          <t>src/domain/retirement/index.ts:49</t>
        </is>
      </c>
      <c r="D84" s="3" t="inlineStr">
        <is>
          <t>What will be spent each month in retirement?</t>
        </is>
      </c>
      <c r="E84" s="3" t="inlineStr">
        <is>
          <t>MK-PL-M-009</t>
        </is>
      </c>
      <c r="F84" s="3" t="inlineStr">
        <is>
          <t>Named by 1 figure(s)</t>
        </is>
      </c>
    </row>
    <row r="85">
      <c r="A85" s="3" t="inlineStr">
        <is>
          <t>MK-XS-E-005</t>
        </is>
      </c>
      <c r="B85" s="3" t="inlineStr">
        <is>
          <t>WILL_IT_LAST</t>
        </is>
      </c>
      <c r="C85" s="3" t="inlineStr">
        <is>
          <t>src/domain/retirement/index.ts:156</t>
        </is>
      </c>
      <c r="D85" s="3" t="inlineStr">
        <is>
          <t>Will my money last?</t>
        </is>
      </c>
      <c r="E85" s="3" t="inlineStr">
        <is>
          <t>—</t>
        </is>
      </c>
      <c r="F85" s="3" t="inlineStr">
        <is>
          <t>Only as another engine’s dependency — no figure names it directly</t>
        </is>
      </c>
    </row>
    <row r="86">
      <c r="A86" s="3" t="inlineStr">
        <is>
          <t>MK-XS-E-006</t>
        </is>
      </c>
      <c r="B86" s="3" t="inlineStr">
        <is>
          <t>WILL_IT_LAST_INPUTS</t>
        </is>
      </c>
      <c r="C86" s="3" t="inlineStr">
        <is>
          <t>src/domain/retirement/willItLast.ts:62</t>
        </is>
      </c>
      <c r="D86" s="3" t="inlineStr">
        <is>
          <t>What goes into working out the odds?</t>
        </is>
      </c>
      <c r="E86" s="3" t="inlineStr">
        <is>
          <t>MK-PL-M-008 · MK-PL-M-011 · MK-PL-M-029</t>
        </is>
      </c>
      <c r="F86" s="3" t="inlineStr">
        <is>
          <t>Named by 3 figure(s)</t>
        </is>
      </c>
    </row>
    <row r="87">
      <c r="A87" s="3" t="inlineStr">
        <is>
          <t>MK-XS-E-007</t>
        </is>
      </c>
      <c r="B87" s="3" t="inlineStr">
        <is>
          <t>WILL_IT_LAST_RESULT</t>
        </is>
      </c>
      <c r="C87" s="3" t="inlineStr">
        <is>
          <t>src/domain/retirement/willItLast.ts:149</t>
        </is>
      </c>
      <c r="D87" s="3" t="inlineStr">
        <is>
          <t>What are the odds, and can we honestly show them?</t>
        </is>
      </c>
      <c r="E87" s="3" t="inlineStr">
        <is>
          <t>MK-PL-M-034 · MK-XS-M-002</t>
        </is>
      </c>
      <c r="F87" s="3" t="inlineStr">
        <is>
          <t>Named by 2 figure(s)</t>
        </is>
      </c>
    </row>
    <row r="88">
      <c r="A88" s="3" t="inlineStr">
        <is>
          <t>MK-XS-E-008</t>
        </is>
      </c>
      <c r="B88" s="3" t="inlineStr">
        <is>
          <t>ASSET_CLASS_OF_ACCOUNT</t>
        </is>
      </c>
      <c r="C88" s="3" t="inlineStr">
        <is>
          <t>src/domain/assets/index.ts:221</t>
        </is>
      </c>
      <c r="D88" s="3" t="inlineStr">
        <is>
          <t>What kind of thing is this account — cash, a bond, shares, or something else?</t>
        </is>
      </c>
      <c r="E88" s="3" t="inlineStr">
        <is>
          <t>—</t>
        </is>
      </c>
      <c r="F88" s="3" t="inlineStr">
        <is>
          <t>Only as another engine’s dependency — no figure names it directly</t>
        </is>
      </c>
    </row>
    <row r="89">
      <c r="A89" s="3" t="inlineStr">
        <is>
          <t>MK-XS-E-009</t>
        </is>
      </c>
      <c r="B89" s="3" t="inlineStr">
        <is>
          <t>TOTAL_INVESTMENTS</t>
        </is>
      </c>
      <c r="C89" s="3" t="inlineStr">
        <is>
          <t>src/domain/assets/index.ts:291</t>
        </is>
      </c>
      <c r="D89" s="3" t="inlineStr">
        <is>
          <t>How much do I have invested?</t>
        </is>
      </c>
      <c r="E89" s="3" t="inlineStr">
        <is>
          <t>MK-XS-M-003</t>
        </is>
      </c>
      <c r="F89" s="3" t="inlineStr">
        <is>
          <t>Named by 1 figure(s)</t>
        </is>
      </c>
    </row>
    <row r="90">
      <c r="A90" s="3" t="inlineStr">
        <is>
          <t>MK-XS-E-010</t>
        </is>
      </c>
      <c r="B90" s="3" t="inlineStr">
        <is>
          <t>VALUE_WEIGHTED_RETURN</t>
        </is>
      </c>
      <c r="C90" s="3" t="inlineStr">
        <is>
          <t>src/domain/performance/index.ts:283</t>
        </is>
      </c>
      <c r="D90" s="3" t="inlineStr">
        <is>
          <t>How did everything I hold do over the chosen period?</t>
        </is>
      </c>
      <c r="E90" s="3" t="inlineStr">
        <is>
          <t>MK-XS-M-004</t>
        </is>
      </c>
      <c r="F90" s="3" t="inlineStr">
        <is>
          <t>Named by 1 figure(s)</t>
        </is>
      </c>
    </row>
    <row r="91">
      <c r="A91" s="3" t="inlineStr">
        <is>
          <t>MK-XS-E-011</t>
        </is>
      </c>
      <c r="B91" s="3" t="inlineStr">
        <is>
          <t>NOT IN OLD MASTER — budgetVsActual, src/domain/budget</t>
        </is>
      </c>
      <c r="C91" s="3" t="inlineStr">
        <is>
          <t>NOT DETERMINED — no source line on record</t>
        </is>
      </c>
      <c r="D91" s="3" t="inlineStr">
        <is>
          <t>—</t>
        </is>
      </c>
      <c r="E91" s="3" t="inlineStr">
        <is>
          <t>MK-CF-M-004 · MK-XS-M-005</t>
        </is>
      </c>
      <c r="F91" s="3" t="inlineStr">
        <is>
          <t>Named by 2 figure(s)</t>
        </is>
      </c>
    </row>
    <row r="92">
      <c r="A92" s="3" t="inlineStr">
        <is>
          <t>MK-XS-E-012</t>
        </is>
      </c>
      <c r="B92" s="3" t="inlineStr">
        <is>
          <t>NOT IN OLD MASTER — incomeMonthlyGrid, src/domain/income</t>
        </is>
      </c>
      <c r="C92" s="3" t="inlineStr">
        <is>
          <t>NOT DETERMINED — no source line on record</t>
        </is>
      </c>
      <c r="D92" s="3" t="inlineStr">
        <is>
          <t>—</t>
        </is>
      </c>
      <c r="E92" s="3" t="inlineStr">
        <is>
          <t>MK-CF-M-018 · MK-XS-M-006</t>
        </is>
      </c>
      <c r="F92" s="3" t="inlineStr">
        <is>
          <t>Named by 2 figure(s)</t>
        </is>
      </c>
    </row>
    <row r="93">
      <c r="A93" s="3" t="inlineStr">
        <is>
          <t>MK-XS-E-013</t>
        </is>
      </c>
      <c r="B93" s="3" t="inlineStr">
        <is>
          <t>FETCH_PRICES</t>
        </is>
      </c>
      <c r="C93" s="3" t="inlineStr">
        <is>
          <t>src/services/marketData.ts:71</t>
        </is>
      </c>
      <c r="D93" s="3" t="inlineStr">
        <is>
          <t>What are these holdings worth?</t>
        </is>
      </c>
      <c r="E93" s="3" t="inlineStr">
        <is>
          <t>—</t>
        </is>
      </c>
      <c r="F93" s="3" t="inlineStr">
        <is>
          <t>Only as another engine’s dependency — no figure names it directly</t>
        </is>
      </c>
    </row>
    <row r="94">
      <c r="A94" s="3" t="inlineStr">
        <is>
          <t>MK-XS-E-014</t>
        </is>
      </c>
      <c r="B94" s="3" t="inlineStr">
        <is>
          <t>SNAPSHOT_READ_ALL</t>
        </is>
      </c>
      <c r="C94" s="3" t="inlineStr">
        <is>
          <t>src/domain/history.ts:107</t>
        </is>
      </c>
      <c r="D94" s="3" t="inlineStr">
        <is>
          <t>What history do we hold?</t>
        </is>
      </c>
      <c r="E94" s="3" t="inlineStr">
        <is>
          <t>—</t>
        </is>
      </c>
      <c r="F94" s="3" t="inlineStr">
        <is>
          <t>Only as another engine’s dependency — no figure names it directly</t>
        </is>
      </c>
    </row>
    <row r="95">
      <c r="A95" s="3" t="inlineStr">
        <is>
          <t>MK-XS-E-015</t>
        </is>
      </c>
      <c r="B95" s="3" t="inlineStr">
        <is>
          <t>ACCOUNT_SPLIT</t>
        </is>
      </c>
      <c r="C95" s="3" t="inlineStr">
        <is>
          <t>src/domain/assets/index.ts:401</t>
        </is>
      </c>
      <c r="D95" s="3" t="inlineStr">
        <is>
          <t>This one brokerage account holds several different things — how much of it is each?</t>
        </is>
      </c>
      <c r="E95" s="3" t="inlineStr">
        <is>
          <t>MK-NW-M-008 · MK-NW-M-020</t>
        </is>
      </c>
      <c r="F95" s="3" t="inlineStr">
        <is>
          <t>Named by 2 figure(s)</t>
        </is>
      </c>
    </row>
    <row r="96">
      <c r="A96" s="3" t="inlineStr">
        <is>
          <t>MK-XS-E-016</t>
        </is>
      </c>
      <c r="B96" s="3" t="inlineStr">
        <is>
          <t>CLASS_FROM_NAME_TEXT</t>
        </is>
      </c>
      <c r="C96" s="3" t="inlineStr">
        <is>
          <t>src/domain/assets/index.ts:193</t>
        </is>
      </c>
      <c r="D96" s="3" t="inlineStr">
        <is>
          <t>Reading the NAME alone, is this cash, a money-market fund, or a CD / T-bill?</t>
        </is>
      </c>
      <c r="E96" s="3" t="inlineStr">
        <is>
          <t>—</t>
        </is>
      </c>
      <c r="F96" s="3" t="inlineStr">
        <is>
          <t>Only as another engine’s dependency — no figure names it directly</t>
        </is>
      </c>
    </row>
    <row r="97">
      <c r="A97" s="3" t="inlineStr">
        <is>
          <t>MK-XS-E-017</t>
        </is>
      </c>
      <c r="B97" s="3" t="inlineStr">
        <is>
          <t>DEBT_MINIMUM_TOTAL</t>
        </is>
      </c>
      <c r="C97" s="3" t="inlineStr">
        <is>
          <t>src/domain/debt/index.ts:55</t>
        </is>
      </c>
      <c r="D97" s="3" t="inlineStr">
        <is>
          <t>What must I pay across all debts to stay current?</t>
        </is>
      </c>
      <c r="E97" s="3" t="inlineStr">
        <is>
          <t>—</t>
        </is>
      </c>
      <c r="F97" s="3" t="inlineStr">
        <is>
          <t>Only as another engine’s dependency — no figure names it directly</t>
        </is>
      </c>
    </row>
    <row r="98">
      <c r="A98" s="3" t="inlineStr">
        <is>
          <t>MK-XS-E-018</t>
        </is>
      </c>
      <c r="B98" s="3" t="inlineStr">
        <is>
          <t>DEBT_PAYMENTS_ACTUAL</t>
        </is>
      </c>
      <c r="C98" s="3" t="inlineStr">
        <is>
          <t>src/domain/debt/index.ts:59</t>
        </is>
      </c>
      <c r="D98" s="3" t="inlineStr">
        <is>
          <t>What is actually going out on debt each month?</t>
        </is>
      </c>
      <c r="E98" s="3" t="inlineStr">
        <is>
          <t>—</t>
        </is>
      </c>
      <c r="F98" s="3" t="inlineStr">
        <is>
          <t>Only as another engine’s dependency — no figure names it directly</t>
        </is>
      </c>
    </row>
    <row r="99">
      <c r="A99" s="3" t="inlineStr">
        <is>
          <t>MK-XS-E-019</t>
        </is>
      </c>
      <c r="B99" s="3" t="inlineStr">
        <is>
          <t>DEBT_SHAPE</t>
        </is>
      </c>
      <c r="C99" s="3" t="inlineStr">
        <is>
          <t>src/domain/debt/index.ts:38</t>
        </is>
      </c>
      <c r="D99" s="3" t="inlineStr">
        <is>
          <t>How is THIS debt repaid?</t>
        </is>
      </c>
      <c r="E99" s="3" t="inlineStr">
        <is>
          <t>—</t>
        </is>
      </c>
      <c r="F99" s="3" t="inlineStr">
        <is>
          <t>Only as another engine’s dependency — no figure names it directly</t>
        </is>
      </c>
    </row>
    <row r="100">
      <c r="A100" s="3" t="inlineStr">
        <is>
          <t>MK-XS-E-020</t>
        </is>
      </c>
      <c r="B100" s="3" t="inlineStr">
        <is>
          <t>READ_A_NUMBER</t>
        </is>
      </c>
      <c r="C100" s="3" t="inlineStr">
        <is>
          <t>src/domain/_shared/num.ts:4</t>
        </is>
      </c>
      <c r="D100" s="3" t="inlineStr">
        <is>
          <t>What number did the person actually type?</t>
        </is>
      </c>
      <c r="E100" s="3" t="inlineStr">
        <is>
          <t>—</t>
        </is>
      </c>
      <c r="F100" s="3" t="inlineStr">
        <is>
          <t>Only as another engine’s dependency — no figure names it directly</t>
        </is>
      </c>
    </row>
    <row r="101">
      <c r="A101" s="3" t="inlineStr">
        <is>
          <t>MK-XS-E-021</t>
        </is>
      </c>
      <c r="B101" s="3" t="inlineStr">
        <is>
          <t>SPENDING_BY_KIND</t>
        </is>
      </c>
      <c r="C101" s="3" t="inlineStr">
        <is>
          <t>src/domain/budget/index.ts:72</t>
        </is>
      </c>
      <c r="D101" s="3" t="inlineStr">
        <is>
          <t>What is spent each month, split by kind?</t>
        </is>
      </c>
      <c r="E101" s="3" t="inlineStr">
        <is>
          <t>MK-CF-M-013 · MK-CF-M-014 · MK-MN-M-021</t>
        </is>
      </c>
      <c r="F101" s="3" t="inlineStr">
        <is>
          <t>Named by 3 figure(s)</t>
        </is>
      </c>
    </row>
    <row r="102">
      <c r="A102" s="3" t="inlineStr">
        <is>
          <t>MK-XS-E-022</t>
        </is>
      </c>
      <c r="B102" s="3" t="inlineStr">
        <is>
          <t>HOLDING_SHARES</t>
        </is>
      </c>
      <c r="C102" s="3" t="inlineStr">
        <is>
          <t>src/domain/performance/index.ts:37</t>
        </is>
      </c>
      <c r="D102" s="3" t="inlineStr">
        <is>
          <t>How many shares of this do I own?</t>
        </is>
      </c>
      <c r="E102" s="3" t="inlineStr">
        <is>
          <t>MK-NW-M-031</t>
        </is>
      </c>
      <c r="F102" s="3" t="inlineStr">
        <is>
          <t>Named by 1 figure(s)</t>
        </is>
      </c>
    </row>
    <row r="103">
      <c r="A103" s="3" t="inlineStr">
        <is>
          <t>MK-XS-E-023</t>
        </is>
      </c>
      <c r="B103" s="3" t="inlineStr">
        <is>
          <t>BENCHMARK_FOR_KIND</t>
        </is>
      </c>
      <c r="C103" s="3" t="inlineStr">
        <is>
          <t>src/domain/performance/index.ts:167</t>
        </is>
      </c>
      <c r="D103" s="3" t="inlineStr">
        <is>
          <t>What should this holding be compared against?</t>
        </is>
      </c>
      <c r="E103" s="3" t="inlineStr">
        <is>
          <t>—</t>
        </is>
      </c>
      <c r="F103" s="3" t="inlineStr">
        <is>
          <t>Only as another engine’s dependency — no figure names it directly</t>
        </is>
      </c>
    </row>
    <row r="104">
      <c r="A104" s="3" t="inlineStr">
        <is>
          <t>MK-XS-E-024</t>
        </is>
      </c>
      <c r="B104" s="3" t="inlineStr">
        <is>
          <t>HOLDING_FIRST_BOUGHT</t>
        </is>
      </c>
      <c r="C104" s="3" t="inlineStr">
        <is>
          <t>src/domain/performance/index.ts:146</t>
        </is>
      </c>
      <c r="D104" s="3" t="inlineStr">
        <is>
          <t>When did I first buy this?</t>
        </is>
      </c>
      <c r="E104" s="3" t="inlineStr">
        <is>
          <t>—</t>
        </is>
      </c>
      <c r="F104" s="3" t="inlineStr">
        <is>
          <t>Only as another engine’s dependency — no figure names it directly</t>
        </is>
      </c>
    </row>
    <row r="105">
      <c r="A105" s="3" t="inlineStr">
        <is>
          <t>MK-XS-E-025</t>
        </is>
      </c>
      <c r="B105" s="3" t="inlineStr">
        <is>
          <t>HOLDING_TOTAL_ROI</t>
        </is>
      </c>
      <c r="C105" s="3" t="inlineStr">
        <is>
          <t>src/domain/performance/index.ts:89</t>
        </is>
      </c>
      <c r="D105" s="3" t="inlineStr">
        <is>
          <t>How much am I up on this in percentage terms, since I bought it?</t>
        </is>
      </c>
      <c r="E105" s="3" t="inlineStr">
        <is>
          <t>—</t>
        </is>
      </c>
      <c r="F105" s="3" t="inlineStr">
        <is>
          <t>Only as another engine’s dependency — no figure names it directly</t>
        </is>
      </c>
    </row>
    <row r="106">
      <c r="A106" s="3" t="inlineStr">
        <is>
          <t>MK-XS-E-026</t>
        </is>
      </c>
      <c r="B106" s="3" t="inlineStr">
        <is>
          <t>HOLDING_UNREALISED_GAIN</t>
        </is>
      </c>
      <c r="C106" s="3" t="inlineStr">
        <is>
          <t>src/domain/performance/index.ts:51</t>
        </is>
      </c>
      <c r="D106" s="3" t="inlineStr">
        <is>
          <t>How much am I up or down on this?</t>
        </is>
      </c>
      <c r="E106" s="3" t="inlineStr">
        <is>
          <t>—</t>
        </is>
      </c>
      <c r="F106" s="3" t="inlineStr">
        <is>
          <t>Only as another engine’s dependency — no figure names it directly</t>
        </is>
      </c>
    </row>
    <row r="107">
      <c r="A107" s="3" t="inlineStr">
        <is>
          <t>MK-XS-E-027</t>
        </is>
      </c>
      <c r="B107" s="3" t="inlineStr">
        <is>
          <t>PERIOD_RETURN</t>
        </is>
      </c>
      <c r="C107" s="3" t="inlineStr">
        <is>
          <t>src/domain/performance/index.ts:122</t>
        </is>
      </c>
      <c r="D107" s="3" t="inlineStr">
        <is>
          <t>What did this holding do over the chosen period?</t>
        </is>
      </c>
      <c r="E107" s="3" t="inlineStr">
        <is>
          <t>—</t>
        </is>
      </c>
      <c r="F107" s="3" t="inlineStr">
        <is>
          <t>Only as another engine’s dependency — no figure names it directly</t>
        </is>
      </c>
    </row>
    <row r="108">
      <c r="A108" s="3" t="inlineStr">
        <is>
          <t>MK-XS-E-028</t>
        </is>
      </c>
      <c r="B108" s="3" t="inlineStr">
        <is>
          <t>PERIOD_START_DATE</t>
        </is>
      </c>
      <c r="C108" s="3" t="inlineStr">
        <is>
          <t>src/domain/performance/index.ts:96</t>
        </is>
      </c>
      <c r="D108" s="3" t="inlineStr">
        <is>
          <t>Which date does the chosen period start from?</t>
        </is>
      </c>
      <c r="E108" s="3" t="inlineStr">
        <is>
          <t>—</t>
        </is>
      </c>
      <c r="F108" s="3" t="inlineStr">
        <is>
          <t>Only as another engine’s dependency — no figure names it directly</t>
        </is>
      </c>
    </row>
    <row r="109">
      <c r="A109" s="3" t="inlineStr">
        <is>
          <t>MK-XS-E-029</t>
        </is>
      </c>
      <c r="B109" s="3" t="inlineStr">
        <is>
          <t>PRICE_LATEST</t>
        </is>
      </c>
      <c r="C109" s="3" t="inlineStr">
        <is>
          <t>src/domain/performance/index.ts:117</t>
        </is>
      </c>
      <c r="D109" s="3" t="inlineStr">
        <is>
          <t>What is the most recent price we hold for this?</t>
        </is>
      </c>
      <c r="E109" s="3" t="inlineStr">
        <is>
          <t>—</t>
        </is>
      </c>
      <c r="F109" s="3" t="inlineStr">
        <is>
          <t>Only as another engine’s dependency — no figure names it directly</t>
        </is>
      </c>
    </row>
    <row r="110">
      <c r="A110" s="3" t="inlineStr">
        <is>
          <t>MK-XS-E-030</t>
        </is>
      </c>
      <c r="B110" s="3" t="inlineStr">
        <is>
          <t>RETURN_SINCE_A_DATE</t>
        </is>
      </c>
      <c r="C110" s="3" t="inlineStr">
        <is>
          <t>src/domain/performance/index.ts:137</t>
        </is>
      </c>
      <c r="D110" s="3" t="inlineStr">
        <is>
          <t>What did this do between a given date and today?</t>
        </is>
      </c>
      <c r="E110" s="3" t="inlineStr">
        <is>
          <t>—</t>
        </is>
      </c>
      <c r="F110" s="3" t="inlineStr">
        <is>
          <t>Only as another engine’s dependency — no figure names it directly</t>
        </is>
      </c>
    </row>
    <row r="111">
      <c r="A111" s="3" t="inlineStr">
        <is>
          <t>MK-XS-E-031</t>
        </is>
      </c>
      <c r="B111" s="3" t="inlineStr">
        <is>
          <t>PRICE_FACTOR_OVER_WINDOW</t>
        </is>
      </c>
      <c r="C111" s="3" t="inlineStr">
        <is>
          <t>src/domain/performance/lookBack.ts:19</t>
        </is>
      </c>
      <c r="D111" s="3" t="inlineStr">
        <is>
          <t>By what multiple did this price move over the last N months?</t>
        </is>
      </c>
      <c r="E111" s="3" t="inlineStr">
        <is>
          <t>—</t>
        </is>
      </c>
      <c r="F111" s="3" t="inlineStr">
        <is>
          <t>Only as another engine’s dependency — no figure names it directly</t>
        </is>
      </c>
    </row>
    <row r="112">
      <c r="A112" s="3" t="inlineStr">
        <is>
          <t>MK-XS-E-032</t>
        </is>
      </c>
      <c r="B112" s="3" t="inlineStr">
        <is>
          <t>EFFECTIVE_TAX_RATE</t>
        </is>
      </c>
      <c r="C112" s="3" t="inlineStr">
        <is>
          <t>src/domain/income/tax.ts:130</t>
        </is>
      </c>
      <c r="D112" s="3" t="inlineStr">
        <is>
          <t>What share of my income actually goes in tax?</t>
        </is>
      </c>
      <c r="E112" s="3" t="inlineStr">
        <is>
          <t>—</t>
        </is>
      </c>
      <c r="F112" s="3" t="inlineStr">
        <is>
          <t>Only as another engine’s dependency — no figure names it directly</t>
        </is>
      </c>
    </row>
    <row r="113">
      <c r="A113" s="3" t="inlineStr">
        <is>
          <t>MK-XS-E-033</t>
        </is>
      </c>
      <c r="B113" s="3" t="inlineStr">
        <is>
          <t>EXPECTED_RETURN_BLENDED</t>
        </is>
      </c>
      <c r="C113" s="3" t="inlineStr">
        <is>
          <t>src/domain/assets/index.ts:638</t>
        </is>
      </c>
      <c r="D113" s="3" t="inlineStr">
        <is>
          <t>What return should I expect on everything I hold together?</t>
        </is>
      </c>
      <c r="E113" s="3" t="inlineStr">
        <is>
          <t>—</t>
        </is>
      </c>
      <c r="F113" s="3" t="inlineStr">
        <is>
          <t>Only as another engine’s dependency — no figure names it directly</t>
        </is>
      </c>
    </row>
    <row r="114">
      <c r="A114" s="3" t="inlineStr">
        <is>
          <t>MK-XS-E-034</t>
        </is>
      </c>
      <c r="B114" s="3" t="inlineStr">
        <is>
          <t>EXPECTED_SWING_BLENDED</t>
        </is>
      </c>
      <c r="C114" s="3" t="inlineStr">
        <is>
          <t>src/domain/assets/index.ts:597</t>
        </is>
      </c>
      <c r="D114" s="3" t="inlineStr">
        <is>
          <t>How much does a year's return typically swing around that average?</t>
        </is>
      </c>
      <c r="E114" s="3" t="inlineStr">
        <is>
          <t>—</t>
        </is>
      </c>
      <c r="F114" s="3" t="inlineStr">
        <is>
          <t>Only as another engine’s dependency — no figure names it directly</t>
        </is>
      </c>
    </row>
    <row r="115">
      <c r="A115" s="3" t="inlineStr">
        <is>
          <t>MK-XS-E-035</t>
        </is>
      </c>
      <c r="B115" s="3" t="inlineStr">
        <is>
          <t>FILING_STATUS</t>
        </is>
      </c>
      <c r="C115" s="3" t="inlineStr">
        <is>
          <t>src/domain/income/onboarding.ts:354</t>
        </is>
      </c>
      <c r="D115" s="3" t="inlineStr">
        <is>
          <t>How does this person file?</t>
        </is>
      </c>
      <c r="E115" s="3" t="inlineStr">
        <is>
          <t>—</t>
        </is>
      </c>
      <c r="F115" s="3" t="inlineStr">
        <is>
          <t>Only as another engine’s dependency — no figure names it directly</t>
        </is>
      </c>
    </row>
    <row r="116">
      <c r="A116" s="3" t="inlineStr">
        <is>
          <t>MK-XS-E-036</t>
        </is>
      </c>
      <c r="B116" s="3" t="inlineStr">
        <is>
          <t>GUARANTEED_OUTSIDE_STREAMS</t>
        </is>
      </c>
      <c r="C116" s="3" t="inlineStr">
        <is>
          <t>src/domain/income/onboarding.ts:227</t>
        </is>
      </c>
      <c r="D116" s="3" t="inlineStr">
        <is>
          <t>The plan's guaranteed-income input as separate streams of OUTSIDE money only. Answers: zer</t>
        </is>
      </c>
      <c r="E116" s="3" t="inlineStr">
        <is>
          <t>—</t>
        </is>
      </c>
      <c r="F116" s="3" t="inlineStr">
        <is>
          <t>Only as another engine’s dependency — no figure names it directly</t>
        </is>
      </c>
    </row>
    <row r="117">
      <c r="A117" s="3" t="inlineStr">
        <is>
          <t>MK-XS-E-037</t>
        </is>
      </c>
      <c r="B117" s="3" t="inlineStr">
        <is>
          <t>MONTHLY_SAVING</t>
        </is>
      </c>
      <c r="C117" s="3" t="inlineStr">
        <is>
          <t>src/domain/assets/index.ts:695</t>
        </is>
      </c>
      <c r="D117" s="3" t="inlineStr">
        <is>
          <t>How much goes in each month?</t>
        </is>
      </c>
      <c r="E117" s="3" t="inlineStr">
        <is>
          <t>—</t>
        </is>
      </c>
      <c r="F117" s="3" t="inlineStr">
        <is>
          <t>Only as another engine’s dependency — no figure names it directly</t>
        </is>
      </c>
    </row>
    <row r="118">
      <c r="A118" s="3" t="inlineStr">
        <is>
          <t>MK-XS-E-038</t>
        </is>
      </c>
      <c r="B118" s="3" t="inlineStr">
        <is>
          <t>REPORTED_RETURN</t>
        </is>
      </c>
      <c r="C118" s="3" t="inlineStr">
        <is>
          <t>src/domain/assets/index.ts:108</t>
        </is>
      </c>
      <c r="D118" s="3" t="inlineStr">
        <is>
          <t>What return did the person say they actually earned over the past year?</t>
        </is>
      </c>
      <c r="E118" s="3" t="inlineStr">
        <is>
          <t>—</t>
        </is>
      </c>
      <c r="F118" s="3" t="inlineStr">
        <is>
          <t>Only as another engine’s dependency — no figure names it directly</t>
        </is>
      </c>
    </row>
    <row r="119">
      <c r="A119" s="3" t="inlineStr">
        <is>
          <t>MK-XS-E-039</t>
        </is>
      </c>
      <c r="B119" s="3" t="inlineStr">
        <is>
          <t>SPLIT_BY_HOW_IT_IS_TAXED</t>
        </is>
      </c>
      <c r="C119" s="3" t="inlineStr">
        <is>
          <t>src/domain/decumulation/index.ts:11</t>
        </is>
      </c>
      <c r="D119" s="3" t="inlineStr">
        <is>
          <t>How is the retirement money split by the tax that will be owed on it?</t>
        </is>
      </c>
      <c r="E119" s="3" t="inlineStr">
        <is>
          <t>—</t>
        </is>
      </c>
      <c r="F119" s="3" t="inlineStr">
        <is>
          <t>Only as another engine’s dependency — no figure names it directly</t>
        </is>
      </c>
    </row>
    <row r="120">
      <c r="A120" s="3" t="inlineStr">
        <is>
          <t>MK-XS-E-040</t>
        </is>
      </c>
      <c r="B120" s="3" t="inlineStr">
        <is>
          <t>SS_BENEFIT_AT_AGE</t>
        </is>
      </c>
      <c r="C120" s="3" t="inlineStr">
        <is>
          <t>src/domain/retirement/ssTiming.ts:54</t>
        </is>
      </c>
      <c r="D120" s="3" t="inlineStr">
        <is>
          <t>The monthly Social Security check at a chosen claim age, in today's dollars. Answers: a wh</t>
        </is>
      </c>
      <c r="E120" s="3" t="inlineStr">
        <is>
          <t>MK-PL-M-017</t>
        </is>
      </c>
      <c r="F120" s="3" t="inlineStr">
        <is>
          <t>Named by 1 figure(s)</t>
        </is>
      </c>
    </row>
    <row r="121">
      <c r="A121" s="3" t="inlineStr">
        <is>
          <t>MK-XS-E-041</t>
        </is>
      </c>
      <c r="B121" s="3" t="inlineStr">
        <is>
          <t>STATE_TAX_RATE</t>
        </is>
      </c>
      <c r="C121" s="3" t="inlineStr">
        <is>
          <t>src/domain/income/onboarding.ts:358</t>
        </is>
      </c>
      <c r="D121" s="3" t="inlineStr">
        <is>
          <t>What state tax rate applies?</t>
        </is>
      </c>
      <c r="E121" s="3" t="inlineStr">
        <is>
          <t>—</t>
        </is>
      </c>
      <c r="F121" s="3" t="inlineStr">
        <is>
          <t>Only as another engine’s dependency — no figure names it directly</t>
        </is>
      </c>
    </row>
    <row r="122">
      <c r="A122" s="3" t="inlineStr">
        <is>
          <t>MK-XS-E-042</t>
        </is>
      </c>
      <c r="B122" s="3" t="inlineStr">
        <is>
          <t>SWING_FROM_RETURN</t>
        </is>
      </c>
      <c r="C122" s="3" t="inlineStr">
        <is>
          <t>src/domain/retirement/willItLast.ts:19</t>
        </is>
      </c>
      <c r="D122" s="3" t="inlineStr">
        <is>
          <t>How much might a year's return swing, judged from the return alone?</t>
        </is>
      </c>
      <c r="E122" s="3" t="inlineStr">
        <is>
          <t>—</t>
        </is>
      </c>
      <c r="F122" s="3" t="inlineStr">
        <is>
          <t>Only as another engine’s dependency — no figure names it directly</t>
        </is>
      </c>
    </row>
    <row r="123">
      <c r="A123" s="3" t="inlineStr">
        <is>
          <t>MK-XS-E-043</t>
        </is>
      </c>
      <c r="B123" s="3" t="inlineStr">
        <is>
          <t>TAX_OVER65_COUNT</t>
        </is>
      </c>
      <c r="C123" s="3" t="inlineStr">
        <is>
          <t>src/domain/income/onboarding.ts:405</t>
        </is>
      </c>
      <c r="D123" s="3" t="inlineStr">
        <is>
          <t xml:space="preserve">How many people on the tax return are 65 or older — the input the over-65 deduction needs </t>
        </is>
      </c>
      <c r="E123" s="3" t="inlineStr">
        <is>
          <t>—</t>
        </is>
      </c>
      <c r="F123" s="3" t="inlineStr">
        <is>
          <t>Only as another engine’s dependency — no figure names it directly</t>
        </is>
      </c>
    </row>
    <row r="124">
      <c r="A124" s="3" t="inlineStr">
        <is>
          <t>MK-XS-E-044</t>
        </is>
      </c>
      <c r="B124" s="3" t="inlineStr">
        <is>
          <t>TOTAL_INCOME</t>
        </is>
      </c>
      <c r="C124" s="3" t="inlineStr">
        <is>
          <t>src/domain/income/onboarding.ts:337</t>
        </is>
      </c>
      <c r="D124" s="3" t="inlineStr">
        <is>
          <t>What is the whole household income for the year, before tax?</t>
        </is>
      </c>
      <c r="E124" s="3" t="inlineStr">
        <is>
          <t>MK-CF-M-006 · MK-CF-M-007 · MK-CF-M-008 · MK-CF-M-027 · MK-MN-M-011 · MK-MN-M-012 · MK-MN-M-013</t>
        </is>
      </c>
      <c r="F124" s="3" t="inlineStr">
        <is>
          <t>Named by 7 figure(s)</t>
        </is>
      </c>
    </row>
    <row r="125">
      <c r="A125" s="3" t="inlineStr">
        <is>
          <t>MK-XS-E-045</t>
        </is>
      </c>
      <c r="B125" s="3" t="inlineStr">
        <is>
          <t>COST_OF_LIVING</t>
        </is>
      </c>
      <c r="C125" s="3" t="inlineStr">
        <is>
          <t>src/domain/retirement/col.ts:53</t>
        </is>
      </c>
      <c r="D125" s="3" t="inlineStr">
        <is>
          <t>How much more or less does life cost where they plan to live?</t>
        </is>
      </c>
      <c r="E125" s="3" t="inlineStr">
        <is>
          <t>—</t>
        </is>
      </c>
      <c r="F125" s="3" t="inlineStr">
        <is>
          <t>Only as another engine’s dependency — no figure names it directly</t>
        </is>
      </c>
    </row>
    <row r="126">
      <c r="A126" s="3" t="inlineStr">
        <is>
          <t>MK-XS-E-046</t>
        </is>
      </c>
      <c r="B126" s="3" t="inlineStr">
        <is>
          <t>SS_CLAIM_FACTOR</t>
        </is>
      </c>
      <c r="C126" s="3" t="inlineStr">
        <is>
          <t>src/domain/retirement/ssTiming.ts:34</t>
        </is>
      </c>
      <c r="D126" s="3" t="inlineStr">
        <is>
          <t>How much of the statement amount a claim age actually pays, anchored at the person's OWN f</t>
        </is>
      </c>
      <c r="E126" s="3" t="inlineStr">
        <is>
          <t>—</t>
        </is>
      </c>
      <c r="F126" s="3" t="inlineStr">
        <is>
          <t>Only as another engine’s dependency — no figure names it directly</t>
        </is>
      </c>
    </row>
    <row r="127">
      <c r="A127" s="3" t="inlineStr">
        <is>
          <t>MK-XS-E-047</t>
        </is>
      </c>
      <c r="B127" s="3" t="inlineStr">
        <is>
          <t>RETIREMENT_INCOME</t>
        </is>
      </c>
      <c r="C127" s="3" t="inlineStr">
        <is>
          <t>src/domain/income/onboarding.ts:213</t>
        </is>
      </c>
      <c r="D127" s="3" t="inlineStr">
        <is>
          <t>How much retirement income arrives monthly?</t>
        </is>
      </c>
      <c r="E127" s="3" t="inlineStr">
        <is>
          <t>MK-CF-M-023</t>
        </is>
      </c>
      <c r="F127" s="3" t="inlineStr">
        <is>
          <t>Named by 1 figure(s)</t>
        </is>
      </c>
    </row>
    <row r="128">
      <c r="A128" s="3" t="inlineStr">
        <is>
          <t>MK-XS-E-048</t>
        </is>
      </c>
      <c r="B128" s="3" t="inlineStr">
        <is>
          <t>SS_FULL_RETIREMENT_AGE</t>
        </is>
      </c>
      <c r="C128" s="3" t="inlineStr">
        <is>
          <t>src/domain/retirement/ssTiming.ts:23</t>
        </is>
      </c>
      <c r="D128" s="3" t="inlineStr">
        <is>
          <t>The person's own Social Security full retirement age. Answers: 66 (born through 1954) · 66</t>
        </is>
      </c>
      <c r="E128" s="3" t="inlineStr">
        <is>
          <t>—</t>
        </is>
      </c>
      <c r="F128" s="3" t="inlineStr">
        <is>
          <t>Only as another engine’s dependency — no figure names it directly</t>
        </is>
      </c>
    </row>
    <row r="129">
      <c r="A129" s="3" t="inlineStr">
        <is>
          <t>MK-XS-E-049</t>
        </is>
      </c>
      <c r="B129" s="3" t="inlineStr">
        <is>
          <t>EQUITY_THIS_YEAR</t>
        </is>
      </c>
      <c r="C129" s="3" t="inlineStr">
        <is>
          <t>src/domain/income/onboarding.ts:114</t>
        </is>
      </c>
      <c r="D129" s="3" t="inlineStr">
        <is>
          <t>How much equity vests this year?</t>
        </is>
      </c>
      <c r="E129" s="3" t="inlineStr">
        <is>
          <t>—</t>
        </is>
      </c>
      <c r="F129" s="3" t="inlineStr">
        <is>
          <t>Only as another engine’s dependency — no figure names it directly</t>
        </is>
      </c>
    </row>
    <row r="130">
      <c r="A130" s="3" t="inlineStr">
        <is>
          <t>MK-XS-E-050</t>
        </is>
      </c>
      <c r="B130" s="3" t="inlineStr">
        <is>
          <t>OTHER_INCOME</t>
        </is>
      </c>
      <c r="C130" s="3" t="inlineStr">
        <is>
          <t>src/domain/income/onboarding.ts:161</t>
        </is>
      </c>
      <c r="D130" s="3" t="inlineStr">
        <is>
          <t>What else comes in?</t>
        </is>
      </c>
      <c r="E130" s="3" t="inlineStr">
        <is>
          <t>—</t>
        </is>
      </c>
      <c r="F130" s="3" t="inlineStr">
        <is>
          <t>Only as another engine’s dependency — no figure names it directly</t>
        </is>
      </c>
    </row>
    <row r="131">
      <c r="A131" s="3" t="inlineStr">
        <is>
          <t>MK-XS-E-051</t>
        </is>
      </c>
      <c r="B131" s="3" t="inlineStr">
        <is>
          <t>RENTAL_INCOME_A_YEAR</t>
        </is>
      </c>
      <c r="C131" s="3" t="inlineStr">
        <is>
          <t>src/domain/income/onboarding.ts:142</t>
        </is>
      </c>
      <c r="D131" s="3" t="inlineStr">
        <is>
          <t>What do the rentals net over a year?</t>
        </is>
      </c>
      <c r="E131" s="3" t="inlineStr">
        <is>
          <t>MK-CF-M-010</t>
        </is>
      </c>
      <c r="F131" s="3" t="inlineStr">
        <is>
          <t>Named by 1 figure(s)</t>
        </is>
      </c>
    </row>
    <row r="132">
      <c r="A132" s="3" t="inlineStr">
        <is>
          <t>MK-XS-E-052</t>
        </is>
      </c>
      <c r="B132" s="3" t="inlineStr">
        <is>
          <t>SALARY_A_YEAR</t>
        </is>
      </c>
      <c r="C132" s="3" t="inlineStr">
        <is>
          <t>src/domain/income/onboarding.ts:331</t>
        </is>
      </c>
      <c r="D132" s="3" t="inlineStr">
        <is>
          <t>What is the salary for the year?</t>
        </is>
      </c>
      <c r="E132" s="3" t="inlineStr">
        <is>
          <t>—</t>
        </is>
      </c>
      <c r="F132" s="3" t="inlineStr">
        <is>
          <t>Only as another engine’s dependency — no figure names it directly</t>
        </is>
      </c>
    </row>
    <row r="133">
      <c r="A133" s="3" t="inlineStr">
        <is>
          <t>MK-XS-E-053</t>
        </is>
      </c>
      <c r="B133" s="3" t="inlineStr">
        <is>
          <t>TIPS_A_YEAR</t>
        </is>
      </c>
      <c r="C133" s="3" t="inlineStr">
        <is>
          <t>src/domain/income/onboarding.ts:204</t>
        </is>
      </c>
      <c r="D133" s="3" t="inlineStr">
        <is>
          <t>What do tips come to over the year?</t>
        </is>
      </c>
      <c r="E133" s="3" t="inlineStr">
        <is>
          <t>—</t>
        </is>
      </c>
      <c r="F133" s="3" t="inlineStr">
        <is>
          <t>Only as another engine’s dependency — no figure names it directly</t>
        </is>
      </c>
    </row>
    <row r="134">
      <c r="A134" s="3" t="inlineStr">
        <is>
          <t>MK-XS-E-054</t>
        </is>
      </c>
      <c r="B134" s="3" t="inlineStr">
        <is>
          <t>RENTALS</t>
        </is>
      </c>
      <c r="C134" s="3" t="inlineStr">
        <is>
          <t>src/domain/income/onboarding.ts:129</t>
        </is>
      </c>
      <c r="D134" s="3" t="inlineStr">
        <is>
          <t>What rental properties are there, and what does each bring in?</t>
        </is>
      </c>
      <c r="E134" s="3" t="inlineStr">
        <is>
          <t>—</t>
        </is>
      </c>
      <c r="F134" s="3" t="inlineStr">
        <is>
          <t>Only as another engine’s dependency — no figure names it directly</t>
        </is>
      </c>
    </row>
    <row r="135">
      <c r="A135" s="3" t="inlineStr">
        <is>
          <t>MK-XS-E-055</t>
        </is>
      </c>
      <c r="B135" s="3" t="inlineStr">
        <is>
          <t>IS_PHYSICAL_ASSET</t>
        </is>
      </c>
      <c r="C135" s="3" t="inlineStr">
        <is>
          <t>src/domain/assets/index.ts:253</t>
        </is>
      </c>
      <c r="D135" s="3" t="inlineStr">
        <is>
          <t>Is this something physical you own rather than money you could spend?</t>
        </is>
      </c>
      <c r="E135" s="3" t="inlineStr">
        <is>
          <t>—</t>
        </is>
      </c>
      <c r="F135" s="3" t="inlineStr">
        <is>
          <t>Only as another engine’s dependency — no figure names it directly</t>
        </is>
      </c>
    </row>
    <row r="136">
      <c r="A136" s="3" t="inlineStr">
        <is>
          <t>MK-XS-E-056</t>
        </is>
      </c>
      <c r="B136" s="3" t="inlineStr">
        <is>
          <t>TAX_DEDUCTION</t>
        </is>
      </c>
      <c r="C136" s="3" t="inlineStr">
        <is>
          <t>src/domain/income/tax.ts:105</t>
        </is>
      </c>
      <c r="D136" s="3" t="inlineStr">
        <is>
          <t>What amount of income is tax-free before the brackets start. Answers: $16,100 single · $32</t>
        </is>
      </c>
      <c r="E136" s="3" t="inlineStr">
        <is>
          <t>—</t>
        </is>
      </c>
      <c r="F136" s="3" t="inlineStr">
        <is>
          <t>Only as another engine’s dependency — no figure names it directly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57"/>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40" customWidth="1" min="3" max="3"/>
    <col width="7" customWidth="1" min="4" max="4"/>
    <col width="30" customWidth="1" min="5" max="5"/>
    <col width="52" customWidth="1" min="6" max="6"/>
    <col width="15" customWidth="1" min="7" max="7"/>
    <col width="40" customWidth="1" min="8" max="8"/>
    <col width="12" customWidth="1" min="9" max="9"/>
    <col width="60" customWidth="1" min="10" max="10"/>
    <col width="74" customWidth="1" min="11" max="11"/>
    <col width="30" customWidth="1" min="12" max="12"/>
    <col width="26" customWidth="1" min="13" max="13"/>
  </cols>
  <sheetData>
    <row r="1">
      <c r="A1" s="1" t="inlineStr">
        <is>
          <t>Function ID</t>
        </is>
      </c>
      <c r="B1" s="1" t="inlineStr">
        <is>
          <t>Function</t>
        </is>
      </c>
      <c r="C1" s="1" t="inlineStr">
        <is>
          <t>File</t>
        </is>
      </c>
      <c r="D1" s="1" t="inlineStr">
        <is>
          <t>Line</t>
        </is>
      </c>
      <c r="E1" s="1" t="inlineStr">
        <is>
          <t>Category</t>
        </is>
      </c>
      <c r="F1" s="1" t="inlineStr">
        <is>
          <t>Why it was put there</t>
        </is>
      </c>
      <c r="G1" s="1" t="inlineStr">
        <is>
          <t>Can its answer reach a screen?</t>
        </is>
      </c>
      <c r="H1" s="1" t="inlineStr">
        <is>
          <t>Dependent functions — one step below</t>
        </is>
      </c>
      <c r="I1" s="1" t="inlineStr">
        <is>
          <t>Dependent functions — how many in total</t>
        </is>
      </c>
      <c r="J1" s="1" t="inlineStr">
        <is>
          <t>Dependent functions — all of them</t>
        </is>
      </c>
      <c r="K1" s="1" t="inlineStr">
        <is>
          <t>The chain, ending in this function</t>
        </is>
      </c>
      <c r="L1" s="1" t="inlineStr">
        <is>
          <t>Figures that name it</t>
        </is>
      </c>
      <c r="M1" s="1" t="inlineStr">
        <is>
          <t>Name in the old inventory</t>
        </is>
      </c>
    </row>
    <row r="2">
      <c r="A2" s="4"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3" t="inlineStr"/>
      <c r="H2" s="3" t="inlineStr"/>
      <c r="I2" s="3" t="inlineStr"/>
      <c r="J2" s="3" t="inlineStr"/>
      <c r="K2" s="3" t="inlineStr"/>
      <c r="L2" s="3" t="inlineStr"/>
      <c r="M2" s="3" t="n"/>
    </row>
    <row r="3">
      <c r="A3" s="3" t="inlineStr">
        <is>
          <t>MK-NW-F-005</t>
        </is>
      </c>
      <c r="B3" s="3" t="inlineStr">
        <is>
          <t>accountAllowsTicker</t>
        </is>
      </c>
      <c r="C3" s="3" t="inlineStr">
        <is>
          <t>src/domain/assets/index.ts</t>
        </is>
      </c>
      <c r="D3" s="3" t="n">
        <v>118</v>
      </c>
      <c r="E3" s="3" t="inlineStr">
        <is>
          <t>2 · DISPLAYED</t>
        </is>
      </c>
      <c r="F3" s="3" t="inlineStr">
        <is>
          <t>A screen calls it directly, so its answer is on a screen.</t>
        </is>
      </c>
      <c r="G3" s="3" t="inlineStr">
        <is>
          <t>Yes</t>
        </is>
      </c>
      <c r="H3" s="3" t="inlineStr">
        <is>
          <t>MK-NW-F-011 assetClassOf</t>
        </is>
      </c>
      <c r="I3" s="3" t="n">
        <v>3</v>
      </c>
      <c r="J3" s="3" t="inlineStr">
        <is>
          <t>MK-NW-F-011 assetClassOf · MK-NW-F-008 incomeBearingClassOf · MK-ST-F-010 nameEvidence</t>
        </is>
      </c>
      <c r="K3" s="3" t="inlineStr">
        <is>
          <t>MK-ST-F-010 nameEvidence → MK-NW-F-008 incomeBearingClassOf → MK-NW-F-011 assetClassOf → MK-NW-F-005 accountAllowsTicker</t>
        </is>
      </c>
      <c r="L3" s="3" t="inlineStr">
        <is>
          <t>—</t>
        </is>
      </c>
      <c r="M3" s="3" t="inlineStr">
        <is>
          <t>CAN_HOLD_TICKERS</t>
        </is>
      </c>
    </row>
    <row r="4">
      <c r="A4" s="3" t="inlineStr">
        <is>
          <t>MK-NW-F-027</t>
        </is>
      </c>
      <c r="B4" s="3" t="inlineStr">
        <is>
          <t>accountClassBreakdown</t>
        </is>
      </c>
      <c r="C4" s="3" t="inlineStr">
        <is>
          <t>src/domain/assets/index.ts</t>
        </is>
      </c>
      <c r="D4" s="3" t="n">
        <v>401</v>
      </c>
      <c r="E4" s="3" t="inlineStr">
        <is>
          <t>2 · DISPLAYED</t>
        </is>
      </c>
      <c r="F4" s="3" t="inlineStr">
        <is>
          <t>A screen calls it directly, so its answer is on a screen.</t>
        </is>
      </c>
      <c r="G4" s="3" t="inlineStr">
        <is>
          <t>Yes</t>
        </is>
      </c>
      <c r="H4" s="3" t="inlineStr">
        <is>
          <t>MK-NW-F-011 assetClassOf · MK-NW-F-008 incomeBearingClassOf · MK-ST-F-055 round2</t>
        </is>
      </c>
      <c r="I4" s="3" t="n">
        <v>4</v>
      </c>
      <c r="J4" s="3" t="inlineStr">
        <is>
          <t>MK-NW-F-011 assetClassOf · MK-NW-F-008 incomeBearingClassOf · MK-ST-F-055 round2 · MK-ST-F-010 nameEvidence</t>
        </is>
      </c>
      <c r="K4" s="3" t="inlineStr">
        <is>
          <t>MK-ST-F-010 nameEvidence → MK-NW-F-008 incomeBearingClassOf → MK-NW-F-011 assetClassOf → MK-NW-F-027 accountClassBreakdown
MK-ST-F-010 nameEvidence → MK-NW-F-008 incomeBearingClassOf → MK-NW-F-027 accountClassBreakdown
MK-ST-F-055 round2 → MK-NW-F-027 accountClassBreakdown</t>
        </is>
      </c>
      <c r="L4" s="3" t="inlineStr">
        <is>
          <t>MK-NW-M-008 · MK-NW-M-020</t>
        </is>
      </c>
      <c r="M4" s="3" t="inlineStr">
        <is>
          <t>ACCOUNT_SPLIT</t>
        </is>
      </c>
    </row>
    <row r="5">
      <c r="A5" s="3" t="inlineStr">
        <is>
          <t>MK-NW-F-025</t>
        </is>
      </c>
      <c r="B5" s="3" t="inlineStr">
        <is>
          <t>accountDisplayName</t>
        </is>
      </c>
      <c r="C5" s="3" t="inlineStr">
        <is>
          <t>src/domain/assets/index.ts</t>
        </is>
      </c>
      <c r="D5" s="3" t="n">
        <v>333</v>
      </c>
      <c r="E5" s="3" t="inlineStr">
        <is>
          <t>3 · DEPENDENT</t>
        </is>
      </c>
      <c r="F5" s="3" t="inlineStr">
        <is>
          <t>Its answer feeds another function, and that chain ends at a screen.</t>
        </is>
      </c>
      <c r="G5" s="3" t="inlineStr">
        <is>
          <t>Yes</t>
        </is>
      </c>
      <c r="H5" s="3" t="inlineStr">
        <is>
          <t>MK-NW-F-024 accountLastFour · MK-NW-F-012 taxTreatmentOf · MK-NW-F-023 wrapperWord</t>
        </is>
      </c>
      <c r="I5" s="3" t="n">
        <v>3</v>
      </c>
      <c r="J5" s="3" t="inlineStr">
        <is>
          <t>MK-NW-F-024 accountLastFour · MK-NW-F-012 taxTreatmentOf · MK-NW-F-023 wrapperWord</t>
        </is>
      </c>
      <c r="K5" s="3" t="inlineStr">
        <is>
          <t>MK-NW-F-024 accountLastFour → MK-NW-F-025 accountDisplayName
MK-NW-F-012 taxTreatmentOf → MK-NW-F-025 accountDisplayName
MK-NW-F-023 wrapperWord → MK-NW-F-025 accountDisplayName</t>
        </is>
      </c>
      <c r="L5" s="3" t="inlineStr">
        <is>
          <t>—</t>
        </is>
      </c>
      <c r="M5" s="3" t="inlineStr">
        <is>
          <t>—</t>
        </is>
      </c>
    </row>
    <row r="6">
      <c r="A6" s="3" t="inlineStr">
        <is>
          <t>MK-NW-F-026</t>
        </is>
      </c>
      <c r="B6" s="3" t="inlineStr">
        <is>
          <t>accountDisplayNames</t>
        </is>
      </c>
      <c r="C6" s="3" t="inlineStr">
        <is>
          <t>src/domain/assets/index.ts</t>
        </is>
      </c>
      <c r="D6" s="3" t="n">
        <v>379</v>
      </c>
      <c r="E6" s="3" t="inlineStr">
        <is>
          <t>2 · DISPLAYED</t>
        </is>
      </c>
      <c r="F6" s="3" t="inlineStr">
        <is>
          <t>A screen calls it directly, so its answer is on a screen.</t>
        </is>
      </c>
      <c r="G6" s="3" t="inlineStr">
        <is>
          <t>Yes</t>
        </is>
      </c>
      <c r="H6" s="3" t="inlineStr">
        <is>
          <t>MK-NW-F-025 accountDisplayName</t>
        </is>
      </c>
      <c r="I6" s="3" t="n">
        <v>4</v>
      </c>
      <c r="J6" s="3" t="inlineStr">
        <is>
          <t>MK-NW-F-025 accountDisplayName · MK-NW-F-024 accountLastFour · MK-NW-F-012 taxTreatmentOf · MK-NW-F-023 wrapperWord</t>
        </is>
      </c>
      <c r="K6" s="3" t="inlineStr">
        <is>
          <t>MK-NW-F-024 accountLastFour → MK-NW-F-025 accountDisplayName → MK-NW-F-026 accountDisplayNames
MK-NW-F-012 taxTreatmentOf → MK-NW-F-025 accountDisplayName → MK-NW-F-026 accountDisplayNames
MK-NW-F-023 wrapperWord → MK-NW-F-025 accountDisplayName → MK-NW-F-026 accountDisplayNames</t>
        </is>
      </c>
      <c r="L6" s="3" t="inlineStr">
        <is>
          <t>—</t>
        </is>
      </c>
      <c r="M6" s="3" t="inlineStr">
        <is>
          <t>ACCOUNT_NAMES</t>
        </is>
      </c>
    </row>
    <row r="7">
      <c r="A7" s="3" t="inlineStr">
        <is>
          <t>MK-ST-F-027</t>
        </is>
      </c>
      <c r="B7" s="3" t="inlineStr">
        <is>
          <t>accountId</t>
        </is>
      </c>
      <c r="C7" s="3" t="inlineStr">
        <is>
          <t>Calculation Module code/engines/snapshots.ts</t>
        </is>
      </c>
      <c r="D7" s="3" t="n">
        <v>68</v>
      </c>
      <c r="E7" s="3" t="inlineStr">
        <is>
          <t>1 · ACTION</t>
        </is>
      </c>
      <c r="F7" s="3" t="inlineStr">
        <is>
          <t>Produces nothing that is displayed — it does something: saves, syncs or records.</t>
        </is>
      </c>
      <c r="G7" s="3" t="inlineStr">
        <is>
          <t>No</t>
        </is>
      </c>
      <c r="H7" s="3" t="inlineStr">
        <is>
          <t>—</t>
        </is>
      </c>
      <c r="I7" s="3" t="n">
        <v>0</v>
      </c>
      <c r="J7" s="3" t="inlineStr">
        <is>
          <t>None — no dependent function stands behind it</t>
        </is>
      </c>
      <c r="K7" s="3" t="inlineStr">
        <is>
          <t>No dependent function — it reads its inputs and answers</t>
        </is>
      </c>
      <c r="L7" s="3" t="inlineStr">
        <is>
          <t>—</t>
        </is>
      </c>
      <c r="M7" s="3" t="inlineStr">
        <is>
          <t>—</t>
        </is>
      </c>
    </row>
    <row r="8">
      <c r="A8" s="3" t="inlineStr">
        <is>
          <t>MK-NW-F-024</t>
        </is>
      </c>
      <c r="B8" s="3" t="inlineStr">
        <is>
          <t>accountLastFour</t>
        </is>
      </c>
      <c r="C8" s="3" t="inlineStr">
        <is>
          <t>src/domain/assets/index.ts</t>
        </is>
      </c>
      <c r="D8" s="3" t="n">
        <v>321</v>
      </c>
      <c r="E8" s="3" t="inlineStr">
        <is>
          <t>3 · DEPENDENT</t>
        </is>
      </c>
      <c r="F8" s="3" t="inlineStr">
        <is>
          <t>Its answer feeds another function, and that chain ends at a screen.</t>
        </is>
      </c>
      <c r="G8" s="3" t="inlineStr">
        <is>
          <t>Yes</t>
        </is>
      </c>
      <c r="H8" s="3" t="inlineStr">
        <is>
          <t>—</t>
        </is>
      </c>
      <c r="I8" s="3" t="n">
        <v>0</v>
      </c>
      <c r="J8" s="3" t="inlineStr">
        <is>
          <t>None — no dependent function stands behind it</t>
        </is>
      </c>
      <c r="K8" s="3" t="inlineStr">
        <is>
          <t>No dependent function — it reads its inputs and answers</t>
        </is>
      </c>
      <c r="L8" s="3" t="inlineStr">
        <is>
          <t>—</t>
        </is>
      </c>
      <c r="M8" s="3" t="inlineStr">
        <is>
          <t>—</t>
        </is>
      </c>
    </row>
    <row r="9">
      <c r="A9" s="3" t="inlineStr">
        <is>
          <t>MK-ST-F-047</t>
        </is>
      </c>
      <c r="B9" s="3" t="inlineStr">
        <is>
          <t>activeCurrency</t>
        </is>
      </c>
      <c r="C9" s="3" t="inlineStr">
        <is>
          <t>src/domain/_shared/money.ts</t>
        </is>
      </c>
      <c r="D9" s="3" t="n">
        <v>49</v>
      </c>
      <c r="E9" s="3" t="inlineStr">
        <is>
          <t>3 · DEPENDENT</t>
        </is>
      </c>
      <c r="F9" s="3" t="inlineStr">
        <is>
          <t>Its answer feeds another function, and that chain ends at a screen.</t>
        </is>
      </c>
      <c r="G9" s="3" t="inlineStr">
        <is>
          <t>Yes</t>
        </is>
      </c>
      <c r="H9" s="3" t="inlineStr">
        <is>
          <t>—</t>
        </is>
      </c>
      <c r="I9" s="3" t="n">
        <v>0</v>
      </c>
      <c r="J9" s="3" t="inlineStr">
        <is>
          <t>None — no dependent function stands behind it</t>
        </is>
      </c>
      <c r="K9" s="3" t="inlineStr">
        <is>
          <t>No dependent function — it reads its inputs and answers</t>
        </is>
      </c>
      <c r="L9" s="3" t="inlineStr">
        <is>
          <t>—</t>
        </is>
      </c>
      <c r="M9" s="3" t="inlineStr">
        <is>
          <t>CURRENCY</t>
        </is>
      </c>
    </row>
    <row r="10">
      <c r="A10" s="3" t="inlineStr">
        <is>
          <t>MK-XS-F-099</t>
        </is>
      </c>
      <c r="B10" s="3" t="inlineStr">
        <is>
          <t>activeSyncProvider</t>
        </is>
      </c>
      <c r="C10" s="3" t="inlineStr">
        <is>
          <t>src/services/sync/index.ts</t>
        </is>
      </c>
      <c r="D10" s="3" t="n">
        <v>55</v>
      </c>
      <c r="E10" s="3" t="inlineStr">
        <is>
          <t>2 · DISPLAYED</t>
        </is>
      </c>
      <c r="F10" s="3" t="inlineStr">
        <is>
          <t>A screen calls it directly, so its answer is on a screen.</t>
        </is>
      </c>
      <c r="G10" s="3" t="inlineStr">
        <is>
          <t>Yes</t>
        </is>
      </c>
      <c r="H10" s="3" t="inlineStr">
        <is>
          <t>—</t>
        </is>
      </c>
      <c r="I10" s="3" t="n">
        <v>0</v>
      </c>
      <c r="J10" s="3" t="inlineStr">
        <is>
          <t>None — no dependent function stands behind it</t>
        </is>
      </c>
      <c r="K10" s="3" t="inlineStr">
        <is>
          <t>No dependent function — it reads its inputs and answers</t>
        </is>
      </c>
      <c r="L10" s="3" t="inlineStr">
        <is>
          <t>—</t>
        </is>
      </c>
      <c r="M10" s="3" t="inlineStr">
        <is>
          <t>—</t>
        </is>
      </c>
    </row>
    <row r="11">
      <c r="A11" s="3" t="inlineStr">
        <is>
          <t>MK-XS-F-108</t>
        </is>
      </c>
      <c r="B11" s="3" t="inlineStr">
        <is>
          <t>activityKey</t>
        </is>
      </c>
      <c r="C11" s="3" t="inlineStr">
        <is>
          <t>src/services/sync/snaptrade.ts</t>
        </is>
      </c>
      <c r="D11" s="3" t="n">
        <v>245</v>
      </c>
      <c r="E11" s="3" t="inlineStr">
        <is>
          <t>3 · DEPENDENT (feeds an action only)</t>
        </is>
      </c>
      <c r="F11" s="3" t="inlineStr">
        <is>
          <t>Its answer feeds another function, but no chain from it reaches a screen.</t>
        </is>
      </c>
      <c r="G11" s="3" t="inlineStr">
        <is>
          <t>No</t>
        </is>
      </c>
      <c r="H11" s="3" t="inlineStr">
        <is>
          <t>MK-ST-F-014 importKey</t>
        </is>
      </c>
      <c r="I11" s="3" t="n">
        <v>1</v>
      </c>
      <c r="J11" s="3" t="inlineStr">
        <is>
          <t>MK-ST-F-014 importKey</t>
        </is>
      </c>
      <c r="K11" s="3" t="inlineStr">
        <is>
          <t>MK-ST-F-014 importKey → MK-XS-F-108 activityKey</t>
        </is>
      </c>
      <c r="L11" s="3" t="inlineStr">
        <is>
          <t>—</t>
        </is>
      </c>
      <c r="M11" s="3" t="inlineStr">
        <is>
          <t>ACTIVITY_IDENTITY</t>
        </is>
      </c>
    </row>
    <row r="12">
      <c r="A12" s="3" t="inlineStr">
        <is>
          <t>MK-CF-F-026</t>
        </is>
      </c>
      <c r="B12" s="3" t="inlineStr">
        <is>
          <t>actualDebtPayment</t>
        </is>
      </c>
      <c r="C12" s="3" t="inlineStr">
        <is>
          <t>src/domain/debt/index.ts</t>
        </is>
      </c>
      <c r="D12" s="3" t="n">
        <v>59</v>
      </c>
      <c r="E12" s="3" t="inlineStr">
        <is>
          <t>2 · DISPLAYED</t>
        </is>
      </c>
      <c r="F12" s="3" t="inlineStr">
        <is>
          <t>A screen calls it directly, so its answer is on a screen.</t>
        </is>
      </c>
      <c r="G12" s="3" t="inlineStr">
        <is>
          <t>Yes</t>
        </is>
      </c>
      <c r="H12" s="3" t="inlineStr">
        <is>
          <t>MK-ST-F-055 round2 · MK-CF-F-024 totalDebtMonthly</t>
        </is>
      </c>
      <c r="I12" s="3" t="n">
        <v>5</v>
      </c>
      <c r="J12" s="3" t="inlineStr">
        <is>
          <t>MK-ST-F-055 round2 · MK-CF-F-024 totalDebtMonthly · MK-CF-F-023 requiredPayment · MK-CF-F-022 paymentShape · MK-CF-F-021 defaultPaymentType</t>
        </is>
      </c>
      <c r="K12" s="3" t="inlineStr">
        <is>
          <t>MK-ST-F-055 round2 → MK-CF-F-026 actualDebtPayment
MK-CF-F-021 defaultPaymentType → MK-CF-F-022 paymentShape → MK-CF-F-023 requiredPayment → MK-CF-F-024 totalDebtMonthly → MK-CF-F-026 actualDebtPayment</t>
        </is>
      </c>
      <c r="L12" s="3" t="inlineStr">
        <is>
          <t>—</t>
        </is>
      </c>
      <c r="M12" s="3" t="inlineStr">
        <is>
          <t>DEBT_PAYMENTS_ACTUAL</t>
        </is>
      </c>
    </row>
    <row r="13">
      <c r="A13" s="3" t="inlineStr">
        <is>
          <t>MK-CF-F-005</t>
        </is>
      </c>
      <c r="B13" s="3" t="inlineStr">
        <is>
          <t>actualMonthFlow</t>
        </is>
      </c>
      <c r="C13" s="3" t="inlineStr">
        <is>
          <t>src/domain/budget/index.ts</t>
        </is>
      </c>
      <c r="D13" s="3" t="n">
        <v>93</v>
      </c>
      <c r="E13" s="3" t="inlineStr">
        <is>
          <t>2 · DISPLAYED</t>
        </is>
      </c>
      <c r="F13" s="3" t="inlineStr">
        <is>
          <t>A screen calls it directly, so its answer is on a screen.</t>
        </is>
      </c>
      <c r="G13" s="3" t="inlineStr">
        <is>
          <t>Yes</t>
        </is>
      </c>
      <c r="H13" s="3" t="inlineStr">
        <is>
          <t>MK-CF-F-014 budgetVsActual · MK-CF-F-092 incomeMonthlyGrid</t>
        </is>
      </c>
      <c r="I13" s="3" t="n">
        <v>38</v>
      </c>
      <c r="J13" s="3" t="inlineStr">
        <is>
          <t>MK-CF-F-014 budgetVsActual · MK-CF-F-092 incomeMonthlyGrid · MK-ST-F-055 round2 · MK-CF-F-004 spendBuckets · MK-ST-F-052 toNum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13" s="3" t="inlineStr">
        <is>
          <t>MK-ST-F-055 round2 → MK-CF-F-014 budgetVsActual → MK-CF-F-005 actualMonthFlow
MK-ST-F-052 toNum → MK-CF-F-003 categoryMonthly → MK-CF-F-004 spendBuckets → MK-CF-F-014 budgetVsActual → MK-CF-F-005 actualMonthFlow
MK-ST-F-055 round2 → MK-CF-F-004 spendBuckets → MK-CF-F-014 budgetVsActual → MK-CF-F-005 actualMonthFlow
MK-ST-F-052 toNum → MK-CF-F-004 spendBuckets → MK-CF-F-014 budgetVsActual → MK-CF-F-005 actualMonthFlow
MK-ST-F-052 toNum → MK-CF-F-014 budgetVsActual → MK-CF-F-005 actualMonthFlow
MK-CF-F-069 benefitActiveMonths → MK-CF-F-092 incomeMonthlyGrid → MK-CF-F-005 actualMonthFlow
MK-ST-F-052 toNum → MK-CF-F-075 retirementIncomeMonthly → MK-CF-F-072 currentRetirementIncomeMonthly → MK-CF-F-092 incomeMonthlyGrid → MK-CF-F-005 actualMonthFlow
MK-ST-F-052 toNum → MK-CF-F-062 equityRowValue → MK-CF-F-065 equityVestWeights → MK-CF-F-092 incomeMonthlyGrid → MK-CF-F-005 actualMonthFlow
… and 46 more paths</t>
        </is>
      </c>
      <c r="L13" s="3" t="inlineStr">
        <is>
          <t>—</t>
        </is>
      </c>
      <c r="M13" s="3" t="inlineStr">
        <is>
          <t>—</t>
        </is>
      </c>
    </row>
    <row r="14">
      <c r="A14" s="3" t="inlineStr">
        <is>
          <t>MK-XS-F-090</t>
        </is>
      </c>
      <c r="B14" s="3" t="inlineStr">
        <is>
          <t>addNotificationResponseListener</t>
        </is>
      </c>
      <c r="C14" s="3" t="inlineStr">
        <is>
          <t>src/services/notifications.ts</t>
        </is>
      </c>
      <c r="D14" s="3" t="n">
        <v>103</v>
      </c>
      <c r="E14" s="3" t="inlineStr">
        <is>
          <t>3 · DEPENDENT (feeds an action only)</t>
        </is>
      </c>
      <c r="F14" s="3" t="inlineStr">
        <is>
          <t>Its answer feeds another function, but no chain from it reaches a screen.</t>
        </is>
      </c>
      <c r="G14" s="3" t="inlineStr">
        <is>
          <t>No</t>
        </is>
      </c>
      <c r="H14" s="3" t="inlineStr">
        <is>
          <t>—</t>
        </is>
      </c>
      <c r="I14" s="3" t="n">
        <v>0</v>
      </c>
      <c r="J14" s="3" t="inlineStr">
        <is>
          <t>None — no dependent function stands behind it</t>
        </is>
      </c>
      <c r="K14" s="3" t="inlineStr">
        <is>
          <t>No dependent function — it reads its inputs and answers</t>
        </is>
      </c>
      <c r="L14" s="3" t="inlineStr">
        <is>
          <t>—</t>
        </is>
      </c>
      <c r="M14" s="3" t="inlineStr">
        <is>
          <t>—</t>
        </is>
      </c>
    </row>
    <row r="15">
      <c r="A15" s="3" t="inlineStr">
        <is>
          <t>MK-CF-F-113</t>
        </is>
      </c>
      <c r="B15" s="3" t="inlineStr">
        <is>
          <t>affectedAccountIds</t>
        </is>
      </c>
      <c r="C15" s="3" t="inlineStr">
        <is>
          <t>src/domain/transactions/index.ts</t>
        </is>
      </c>
      <c r="D15" s="3" t="n">
        <v>180</v>
      </c>
      <c r="E15" s="3" t="inlineStr">
        <is>
          <t>3 · DEPENDENT (feeds an action only)</t>
        </is>
      </c>
      <c r="F15" s="3" t="inlineStr">
        <is>
          <t>Its answer feeds another function, but no chain from it reaches a screen.</t>
        </is>
      </c>
      <c r="G15" s="3" t="inlineStr">
        <is>
          <t>No</t>
        </is>
      </c>
      <c r="H15" s="3" t="inlineStr">
        <is>
          <t>—</t>
        </is>
      </c>
      <c r="I15" s="3" t="n">
        <v>0</v>
      </c>
      <c r="J15" s="3" t="inlineStr">
        <is>
          <t>None — no dependent function stands behind it</t>
        </is>
      </c>
      <c r="K15" s="3" t="inlineStr">
        <is>
          <t>No dependent function — it reads its inputs and answers</t>
        </is>
      </c>
      <c r="L15" s="3" t="inlineStr">
        <is>
          <t>—</t>
        </is>
      </c>
      <c r="M15" s="3" t="inlineStr">
        <is>
          <t>—</t>
        </is>
      </c>
    </row>
    <row r="16">
      <c r="A16" s="3" t="inlineStr">
        <is>
          <t>MK-CF-F-006</t>
        </is>
      </c>
      <c r="B16" s="3" t="inlineStr">
        <is>
          <t>allocatableThisMonth</t>
        </is>
      </c>
      <c r="C16" s="3" t="inlineStr">
        <is>
          <t>src/domain/budget/index.ts</t>
        </is>
      </c>
      <c r="D16" s="3" t="n">
        <v>110</v>
      </c>
      <c r="E16" s="3" t="inlineStr">
        <is>
          <t>2 · DISPLAYED</t>
        </is>
      </c>
      <c r="F16" s="3" t="inlineStr">
        <is>
          <t>A screen calls it directly, so its answer is on a screen.</t>
        </is>
      </c>
      <c r="G16" s="3" t="inlineStr">
        <is>
          <t>Yes</t>
        </is>
      </c>
      <c r="H16" s="3" t="inlineStr">
        <is>
          <t>—</t>
        </is>
      </c>
      <c r="I16" s="3" t="n">
        <v>0</v>
      </c>
      <c r="J16" s="3" t="inlineStr">
        <is>
          <t>None — no dependent function stands behind it</t>
        </is>
      </c>
      <c r="K16" s="3" t="inlineStr">
        <is>
          <t>No dependent function — it reads its inputs and answers</t>
        </is>
      </c>
      <c r="L16" s="3" t="inlineStr">
        <is>
          <t>—</t>
        </is>
      </c>
      <c r="M16" s="3" t="inlineStr">
        <is>
          <t>—</t>
        </is>
      </c>
    </row>
    <row r="17">
      <c r="A17" s="3" t="inlineStr">
        <is>
          <t>MK-PF-F-017</t>
        </is>
      </c>
      <c r="B17" s="3" t="inlineStr">
        <is>
          <t>allocation</t>
        </is>
      </c>
      <c r="C17" s="3" t="inlineStr">
        <is>
          <t>src/domain/performance/index.ts</t>
        </is>
      </c>
      <c r="D17" s="3" t="n">
        <v>244</v>
      </c>
      <c r="E17" s="3" t="inlineStr">
        <is>
          <t>2 · DISPLAYED</t>
        </is>
      </c>
      <c r="F17" s="3" t="inlineStr">
        <is>
          <t>A screen calls it directly, so its answer is on a screen.</t>
        </is>
      </c>
      <c r="G17" s="3" t="inlineStr">
        <is>
          <t>Yes</t>
        </is>
      </c>
      <c r="H17" s="3" t="inlineStr">
        <is>
          <t>MK-ST-F-055 round2</t>
        </is>
      </c>
      <c r="I17" s="3" t="n">
        <v>1</v>
      </c>
      <c r="J17" s="3" t="inlineStr">
        <is>
          <t>MK-ST-F-055 round2</t>
        </is>
      </c>
      <c r="K17" s="3" t="inlineStr">
        <is>
          <t>MK-ST-F-055 round2 → MK-PF-F-017 allocation</t>
        </is>
      </c>
      <c r="L17" s="3" t="inlineStr">
        <is>
          <t>—</t>
        </is>
      </c>
      <c r="M17" s="3" t="inlineStr">
        <is>
          <t>ALLOCATION_BY_HOLDING_KIND</t>
        </is>
      </c>
    </row>
    <row r="18">
      <c r="A18" s="3" t="inlineStr">
        <is>
          <t>MK-NW-F-002</t>
        </is>
      </c>
      <c r="B18" s="3" t="inlineStr">
        <is>
          <t>alternativesSummary</t>
        </is>
      </c>
      <c r="C18" s="3" t="inlineStr">
        <is>
          <t>src/domain/alternatives/index.ts</t>
        </is>
      </c>
      <c r="D18" s="3" t="n">
        <v>20</v>
      </c>
      <c r="E18" s="3" t="inlineStr">
        <is>
          <t>2 · DISPLAYED</t>
        </is>
      </c>
      <c r="F18" s="3" t="inlineStr">
        <is>
          <t>A screen calls it directly, so its answer is on a screen.</t>
        </is>
      </c>
      <c r="G18" s="3" t="inlineStr">
        <is>
          <t>Yes</t>
        </is>
      </c>
      <c r="H18" s="3" t="inlineStr">
        <is>
          <t>MK-NW-F-034 benchmarkReturn · MK-ST-F-055 round2</t>
        </is>
      </c>
      <c r="I18" s="3" t="n">
        <v>6</v>
      </c>
      <c r="J18" s="3" t="inlineStr">
        <is>
          <t>MK-NW-F-034 benchmarkReturn · MK-ST-F-055 round2 · MK-NW-F-007 assetKind · MK-NW-F-011 assetClassOf · MK-NW-F-008 incomeBearingClassOf · MK-ST-F-010 nameEvidence</t>
        </is>
      </c>
      <c r="K18" s="3" t="inlineStr">
        <is>
          <t>MK-ST-F-010 nameEvidence → MK-NW-F-008 incomeBearingClassOf → MK-NW-F-011 assetClassOf → MK-NW-F-007 assetKind → MK-NW-F-034 benchmarkReturn → MK-NW-F-002 alternativesSummary
MK-ST-F-055 round2 → MK-NW-F-002 alternativesSummary</t>
        </is>
      </c>
      <c r="L18" s="3" t="inlineStr">
        <is>
          <t>—</t>
        </is>
      </c>
      <c r="M18" s="3" t="inlineStr">
        <is>
          <t>—</t>
        </is>
      </c>
    </row>
    <row r="19">
      <c r="A19" s="3" t="inlineStr">
        <is>
          <t>MK-NW-F-019</t>
        </is>
      </c>
      <c r="B19" s="3" t="inlineStr">
        <is>
          <t>alternativesTotal</t>
        </is>
      </c>
      <c r="C19" s="3" t="inlineStr">
        <is>
          <t>src/domain/assets/index.ts</t>
        </is>
      </c>
      <c r="D19" s="3" t="n">
        <v>283</v>
      </c>
      <c r="E19" s="3" t="inlineStr">
        <is>
          <t>3 · DEPENDENT (feeds an action only)</t>
        </is>
      </c>
      <c r="F19" s="3" t="inlineStr">
        <is>
          <t>Its answer feeds another function, but no chain from it reaches a screen.</t>
        </is>
      </c>
      <c r="G19" s="3" t="inlineStr">
        <is>
          <t>No</t>
        </is>
      </c>
      <c r="H19" s="3" t="inlineStr">
        <is>
          <t>MK-NW-F-011 assetClassOf</t>
        </is>
      </c>
      <c r="I19" s="3" t="n">
        <v>3</v>
      </c>
      <c r="J19" s="3" t="inlineStr">
        <is>
          <t>MK-NW-F-011 assetClassOf · MK-NW-F-008 incomeBearingClassOf · MK-ST-F-010 nameEvidence</t>
        </is>
      </c>
      <c r="K19" s="3" t="inlineStr">
        <is>
          <t>MK-ST-F-010 nameEvidence → MK-NW-F-008 incomeBearingClassOf → MK-NW-F-011 assetClassOf → MK-NW-F-019 alternativesTotal</t>
        </is>
      </c>
      <c r="L19" s="3" t="inlineStr">
        <is>
          <t>—</t>
        </is>
      </c>
      <c r="M19" s="3" t="inlineStr">
        <is>
          <t>—</t>
        </is>
      </c>
    </row>
    <row r="20">
      <c r="A20" s="3" t="inlineStr">
        <is>
          <t>MK-XS-F-057</t>
        </is>
      </c>
      <c r="B20" s="3" t="inlineStr">
        <is>
          <t>analyzeExpenses</t>
        </is>
      </c>
      <c r="C20" s="3" t="inlineStr">
        <is>
          <t>src/services/economicData.ts</t>
        </is>
      </c>
      <c r="D20" s="3" t="n">
        <v>109</v>
      </c>
      <c r="E20" s="3" t="inlineStr">
        <is>
          <t>4 · BRINGS DATA IN</t>
        </is>
      </c>
      <c r="F20" s="3" t="inlineStr">
        <is>
          <t>Reaches outside the app for its answer — a feed, a file or a stored record.</t>
        </is>
      </c>
      <c r="G20" s="3" t="inlineStr">
        <is>
          <t>No</t>
        </is>
      </c>
      <c r="H20" s="3" t="inlineStr">
        <is>
          <t>—</t>
        </is>
      </c>
      <c r="I20" s="3" t="n">
        <v>0</v>
      </c>
      <c r="J20" s="3" t="inlineStr">
        <is>
          <t>None — no dependent function stands behind it</t>
        </is>
      </c>
      <c r="K20" s="3" t="inlineStr">
        <is>
          <t>No dependent function — it reads its inputs and answers</t>
        </is>
      </c>
      <c r="L20" s="3" t="inlineStr">
        <is>
          <t>—</t>
        </is>
      </c>
      <c r="M20" s="3" t="inlineStr">
        <is>
          <t>EXPENSE_COMMENTARY</t>
        </is>
      </c>
    </row>
    <row r="21">
      <c r="A21" s="3" t="inlineStr">
        <is>
          <t>MK-CF-F-053</t>
        </is>
      </c>
      <c r="B21" s="3" t="inlineStr">
        <is>
          <t>annual401kLimit</t>
        </is>
      </c>
      <c r="C21" s="3" t="inlineStr">
        <is>
          <t>src/domain/income/limits.ts</t>
        </is>
      </c>
      <c r="D21" s="3" t="n">
        <v>15</v>
      </c>
      <c r="E21" s="3" t="inlineStr">
        <is>
          <t>2 · DISPLAYED</t>
        </is>
      </c>
      <c r="F21" s="3" t="inlineStr">
        <is>
          <t>A screen calls it directly, so its answer is on a screen.</t>
        </is>
      </c>
      <c r="G21" s="3" t="inlineStr">
        <is>
          <t>Yes</t>
        </is>
      </c>
      <c r="H21" s="3" t="inlineStr">
        <is>
          <t>—</t>
        </is>
      </c>
      <c r="I21" s="3" t="n">
        <v>0</v>
      </c>
      <c r="J21" s="3" t="inlineStr">
        <is>
          <t>None — no dependent function stands behind it</t>
        </is>
      </c>
      <c r="K21" s="3" t="inlineStr">
        <is>
          <t>No dependent function — it reads its inputs and answers</t>
        </is>
      </c>
      <c r="L21" s="3" t="inlineStr">
        <is>
          <t>—</t>
        </is>
      </c>
      <c r="M21" s="3" t="inlineStr">
        <is>
          <t>—</t>
        </is>
      </c>
    </row>
    <row r="22">
      <c r="A22" s="3" t="inlineStr">
        <is>
          <t>MK-CF-F-012</t>
        </is>
      </c>
      <c r="B22" s="3" t="inlineStr">
        <is>
          <t>annualCashflow</t>
        </is>
      </c>
      <c r="C22" s="3" t="inlineStr">
        <is>
          <t>src/domain/budget/index.ts</t>
        </is>
      </c>
      <c r="D22" s="3" t="n">
        <v>219</v>
      </c>
      <c r="E22" s="3" t="inlineStr">
        <is>
          <t>2 · DISPLAYED</t>
        </is>
      </c>
      <c r="F22" s="3" t="inlineStr">
        <is>
          <t>A screen calls it directly, so its answer is on a screen.</t>
        </is>
      </c>
      <c r="G22" s="3" t="inlineStr">
        <is>
          <t>Yes</t>
        </is>
      </c>
      <c r="H22" s="3" t="inlineStr">
        <is>
          <t>MK-CF-F-092 incomeMonthlyGrid · MK-ST-F-055 round2 · MK-CF-F-008 spendByMonth</t>
        </is>
      </c>
      <c r="I22" s="3" t="n">
        <v>38</v>
      </c>
      <c r="J22"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K22" s="3" t="inlineStr">
        <is>
          <t>MK-CF-F-069 benefitActiveMonths → MK-CF-F-092 incomeMonthlyGrid → MK-CF-F-012 annualCashflow
MK-ST-F-052 toNum → MK-CF-F-075 retirementIncomeMonthly → MK-CF-F-072 currentRetirementIncomeMonthly → MK-CF-F-092 incomeMonthlyGrid → MK-CF-F-012 annualCashflow
MK-ST-F-052 toNum → MK-CF-F-062 equityRowValue → MK-CF-F-065 equityVestWeights → MK-CF-F-092 incomeMonthlyGrid → MK-CF-F-012 annualCashflow
MK-CF-F-069 benefitActiveMonths → MK-CF-F-070 benefitAnnual → MK-CF-F-071 extraIncome → MK-CF-F-092 incomeMonthlyGrid → MK-CF-F-012 annualCashflow
MK-ST-F-052 toNum → MK-CF-F-070 benefitAnnual → MK-CF-F-071 extraIncome → MK-CF-F-092 incomeMonthlyGrid → MK-CF-F-012 annualCashflow
MK-ST-F-055 round2 → MK-CF-F-071 extraIncome → MK-CF-F-092 incomeMonthlyGrid → MK-CF-F-012 annualCashflow
MK-ST-F-052 toNum → MK-CF-F-071 extraIncome → MK-CF-F-092 incomeMonthlyGrid → MK-CF-F-012 annualCashflow
MK-CF-F-101 taxOwedFor → MK-CF-F-102 effectiveRateOnGrossFor → MK-CF-F-090 effectiveRate → MK-CF-F-087 monthlyTaxRates → MK-CF-F-092 incomeMonthlyGrid → MK-CF-F-012 annualCashflow
… and 46 more paths</t>
        </is>
      </c>
      <c r="L22" s="3" t="inlineStr">
        <is>
          <t>—</t>
        </is>
      </c>
      <c r="M22" s="3" t="inlineStr">
        <is>
          <t>—</t>
        </is>
      </c>
    </row>
    <row r="23">
      <c r="A23" s="3" t="inlineStr">
        <is>
          <t>MK-NW-F-057</t>
        </is>
      </c>
      <c r="B23" s="3" t="inlineStr">
        <is>
          <t>annualCoupon</t>
        </is>
      </c>
      <c r="C23" s="3" t="inlineStr">
        <is>
          <t>src/domain/bonds/index.ts</t>
        </is>
      </c>
      <c r="D23" s="3" t="n">
        <v>21</v>
      </c>
      <c r="E23" s="3" t="inlineStr">
        <is>
          <t>2 · DISPLAYED</t>
        </is>
      </c>
      <c r="F23" s="3" t="inlineStr">
        <is>
          <t>A screen calls it directly, so its answer is on a screen.</t>
        </is>
      </c>
      <c r="G23" s="3" t="inlineStr">
        <is>
          <t>Yes</t>
        </is>
      </c>
      <c r="H23" s="3" t="inlineStr">
        <is>
          <t>MK-ST-F-055 round2</t>
        </is>
      </c>
      <c r="I23" s="3" t="n">
        <v>1</v>
      </c>
      <c r="J23" s="3" t="inlineStr">
        <is>
          <t>MK-ST-F-055 round2</t>
        </is>
      </c>
      <c r="K23" s="3" t="inlineStr">
        <is>
          <t>MK-ST-F-055 round2 → MK-NW-F-057 annualCoupon</t>
        </is>
      </c>
      <c r="L23" s="3" t="inlineStr">
        <is>
          <t>MK-NW-M-024 · MK-NW-M-043</t>
        </is>
      </c>
      <c r="M23" s="3" t="inlineStr">
        <is>
          <t>BOND_COUPON</t>
        </is>
      </c>
    </row>
    <row r="24">
      <c r="A24" s="3" t="inlineStr">
        <is>
          <t>MK-CF-F-055</t>
        </is>
      </c>
      <c r="B24" s="3" t="inlineStr">
        <is>
          <t>annualHsaLimit</t>
        </is>
      </c>
      <c r="C24" s="3" t="inlineStr">
        <is>
          <t>src/domain/income/limits.ts</t>
        </is>
      </c>
      <c r="D24" s="3" t="n">
        <v>21</v>
      </c>
      <c r="E24" s="3" t="inlineStr">
        <is>
          <t>2 · DISPLAYED</t>
        </is>
      </c>
      <c r="F24" s="3" t="inlineStr">
        <is>
          <t>A screen calls it directly, so its answer is on a screen.</t>
        </is>
      </c>
      <c r="G24" s="3" t="inlineStr">
        <is>
          <t>Yes</t>
        </is>
      </c>
      <c r="H24" s="3" t="inlineStr">
        <is>
          <t>—</t>
        </is>
      </c>
      <c r="I24" s="3" t="n">
        <v>0</v>
      </c>
      <c r="J24" s="3" t="inlineStr">
        <is>
          <t>None — no dependent function stands behind it</t>
        </is>
      </c>
      <c r="K24" s="3" t="inlineStr">
        <is>
          <t>No dependent function — it reads its inputs and answers</t>
        </is>
      </c>
      <c r="L24" s="3" t="inlineStr">
        <is>
          <t>—</t>
        </is>
      </c>
      <c r="M24" s="3" t="inlineStr">
        <is>
          <t>—</t>
        </is>
      </c>
    </row>
    <row r="25">
      <c r="A25" s="3" t="inlineStr">
        <is>
          <t>MK-CF-F-054</t>
        </is>
      </c>
      <c r="B25" s="3" t="inlineStr">
        <is>
          <t>annualIraLimit</t>
        </is>
      </c>
      <c r="C25" s="3" t="inlineStr">
        <is>
          <t>src/domain/income/limits.ts</t>
        </is>
      </c>
      <c r="D25" s="3" t="n">
        <v>18</v>
      </c>
      <c r="E25" s="3" t="inlineStr">
        <is>
          <t>2 · DISPLAYED</t>
        </is>
      </c>
      <c r="F25" s="3" t="inlineStr">
        <is>
          <t>A screen calls it directly, so its answer is on a screen.</t>
        </is>
      </c>
      <c r="G25" s="3" t="inlineStr">
        <is>
          <t>Yes</t>
        </is>
      </c>
      <c r="H25" s="3" t="inlineStr">
        <is>
          <t>—</t>
        </is>
      </c>
      <c r="I25" s="3" t="n">
        <v>0</v>
      </c>
      <c r="J25" s="3" t="inlineStr">
        <is>
          <t>None — no dependent function stands behind it</t>
        </is>
      </c>
      <c r="K25" s="3" t="inlineStr">
        <is>
          <t>No dependent function — it reads its inputs and answers</t>
        </is>
      </c>
      <c r="L25" s="3" t="inlineStr">
        <is>
          <t>—</t>
        </is>
      </c>
      <c r="M25" s="3" t="inlineStr">
        <is>
          <t>—</t>
        </is>
      </c>
    </row>
    <row r="26">
      <c r="A26" s="3" t="inlineStr">
        <is>
          <t>MK-CF-F-044</t>
        </is>
      </c>
      <c r="B26" s="3" t="inlineStr">
        <is>
          <t>annualNet</t>
        </is>
      </c>
      <c r="C26" s="3" t="inlineStr">
        <is>
          <t>src/domain/income/calc.ts</t>
        </is>
      </c>
      <c r="D26" s="3" t="n">
        <v>11</v>
      </c>
      <c r="E26" s="3" t="inlineStr">
        <is>
          <t>3 · DEPENDENT</t>
        </is>
      </c>
      <c r="F26" s="3" t="inlineStr">
        <is>
          <t>Its answer feeds another function, and that chain ends at a screen.</t>
        </is>
      </c>
      <c r="G26" s="3" t="inlineStr">
        <is>
          <t>Yes</t>
        </is>
      </c>
      <c r="H26" s="3" t="inlineStr">
        <is>
          <t>—</t>
        </is>
      </c>
      <c r="I26" s="3" t="n">
        <v>0</v>
      </c>
      <c r="J26" s="3" t="inlineStr">
        <is>
          <t>None — no dependent function stands behind it</t>
        </is>
      </c>
      <c r="K26" s="3" t="inlineStr">
        <is>
          <t>No dependent function — it reads its inputs and answers</t>
        </is>
      </c>
      <c r="L26" s="3" t="inlineStr">
        <is>
          <t>—</t>
        </is>
      </c>
      <c r="M26" s="3" t="inlineStr">
        <is>
          <t>—</t>
        </is>
      </c>
    </row>
    <row r="27">
      <c r="A27" s="3" t="inlineStr">
        <is>
          <t>MK-CF-F-059</t>
        </is>
      </c>
      <c r="B27" s="3" t="inlineStr">
        <is>
          <t>annualizedEnteredSalary</t>
        </is>
      </c>
      <c r="C27" s="3" t="inlineStr">
        <is>
          <t>src/domain/income/onboarding.ts</t>
        </is>
      </c>
      <c r="D27" s="3" t="n">
        <v>24</v>
      </c>
      <c r="E27" s="3" t="inlineStr">
        <is>
          <t>3 · DEPENDENT (feeds an action only)</t>
        </is>
      </c>
      <c r="F27" s="3" t="inlineStr">
        <is>
          <t>Its answer feeds another function, but no chain from it reaches a screen.</t>
        </is>
      </c>
      <c r="G27" s="3" t="inlineStr">
        <is>
          <t>No</t>
        </is>
      </c>
      <c r="H27" s="3" t="inlineStr">
        <is>
          <t>MK-ST-F-052 toNum</t>
        </is>
      </c>
      <c r="I27" s="3" t="n">
        <v>1</v>
      </c>
      <c r="J27" s="3" t="inlineStr">
        <is>
          <t>MK-ST-F-052 toNum</t>
        </is>
      </c>
      <c r="K27" s="3" t="inlineStr">
        <is>
          <t>MK-ST-F-052 toNum → MK-CF-F-059 annualizedEnteredSalary</t>
        </is>
      </c>
      <c r="L27" s="3" t="inlineStr">
        <is>
          <t>—</t>
        </is>
      </c>
      <c r="M27" s="3" t="inlineStr">
        <is>
          <t>—</t>
        </is>
      </c>
    </row>
    <row r="28">
      <c r="A28" s="3" t="inlineStr">
        <is>
          <t>MK-CF-F-111</t>
        </is>
      </c>
      <c r="B28" s="3" t="inlineStr">
        <is>
          <t>applyTransaction</t>
        </is>
      </c>
      <c r="C28" s="3" t="inlineStr">
        <is>
          <t>src/domain/transactions/index.ts</t>
        </is>
      </c>
      <c r="D28" s="3" t="n">
        <v>114</v>
      </c>
      <c r="E28" s="3" t="inlineStr">
        <is>
          <t>3 · DEPENDENT (feeds an action only)</t>
        </is>
      </c>
      <c r="F28" s="3" t="inlineStr">
        <is>
          <t>Its answer feeds another function, but no chain from it reaches a screen.</t>
        </is>
      </c>
      <c r="G28" s="3" t="inlineStr">
        <is>
          <t>No</t>
        </is>
      </c>
      <c r="H28" s="3" t="inlineStr">
        <is>
          <t>MK-ST-F-055 round2 · MK-PF-F-001 totalShares</t>
        </is>
      </c>
      <c r="I28" s="3" t="n">
        <v>2</v>
      </c>
      <c r="J28" s="3" t="inlineStr">
        <is>
          <t>MK-ST-F-055 round2 · MK-PF-F-001 totalShares</t>
        </is>
      </c>
      <c r="K28" s="3" t="inlineStr">
        <is>
          <t>MK-ST-F-055 round2 → MK-CF-F-111 applyTransaction
MK-PF-F-001 totalShares → MK-CF-F-111 applyTransaction</t>
        </is>
      </c>
      <c r="L28" s="3" t="inlineStr">
        <is>
          <t>—</t>
        </is>
      </c>
      <c r="M28" s="3" t="inlineStr">
        <is>
          <t>—</t>
        </is>
      </c>
    </row>
    <row r="29">
      <c r="A29" s="3" t="inlineStr">
        <is>
          <t>MK-NW-F-060</t>
        </is>
      </c>
      <c r="B29" s="3" t="inlineStr">
        <is>
          <t>approxYTM</t>
        </is>
      </c>
      <c r="C29" s="3" t="inlineStr">
        <is>
          <t>src/domain/bonds/index.ts</t>
        </is>
      </c>
      <c r="D29" s="3" t="n">
        <v>33</v>
      </c>
      <c r="E29" s="3" t="inlineStr">
        <is>
          <t>2 · DISPLAYED</t>
        </is>
      </c>
      <c r="F29" s="3" t="inlineStr">
        <is>
          <t>A screen calls it directly, so its answer is on a screen.</t>
        </is>
      </c>
      <c r="G29" s="3" t="inlineStr">
        <is>
          <t>Yes</t>
        </is>
      </c>
      <c r="H29" s="3" t="inlineStr">
        <is>
          <t>MK-NW-F-057 annualCoupon · MK-NW-F-058 yearsToMaturity</t>
        </is>
      </c>
      <c r="I29" s="3" t="n">
        <v>3</v>
      </c>
      <c r="J29" s="3" t="inlineStr">
        <is>
          <t>MK-NW-F-057 annualCoupon · MK-NW-F-058 yearsToMaturity · MK-ST-F-055 round2</t>
        </is>
      </c>
      <c r="K29" s="3" t="inlineStr">
        <is>
          <t>MK-ST-F-055 round2 → MK-NW-F-057 annualCoupon → MK-NW-F-060 approxYTM
MK-NW-F-058 yearsToMaturity → MK-NW-F-060 approxYTM</t>
        </is>
      </c>
      <c r="L29" s="3" t="inlineStr">
        <is>
          <t>MK-NW-M-026</t>
        </is>
      </c>
      <c r="M29" s="3" t="inlineStr">
        <is>
          <t>BOND_YIELD_TO_MATURITY</t>
        </is>
      </c>
    </row>
    <row r="30">
      <c r="A30" s="3" t="inlineStr">
        <is>
          <t>MK-NW-F-029</t>
        </is>
      </c>
      <c r="B30" s="3" t="inlineStr">
        <is>
          <t>assetAllocation</t>
        </is>
      </c>
      <c r="C30" s="3" t="inlineStr">
        <is>
          <t>src/domain/assets/index.ts</t>
        </is>
      </c>
      <c r="D30" s="3" t="n">
        <v>502</v>
      </c>
      <c r="E30" s="3" t="inlineStr">
        <is>
          <t>2 · DISPLAYED</t>
        </is>
      </c>
      <c r="F30" s="3" t="inlineStr">
        <is>
          <t>A screen calls it directly, so its answer is on a screen.</t>
        </is>
      </c>
      <c r="G30" s="3" t="inlineStr">
        <is>
          <t>Yes</t>
        </is>
      </c>
      <c r="H30" s="3" t="inlineStr">
        <is>
          <t>MK-NW-F-027 accountClassBreakdown · MK-NW-F-011 assetClassOf · MK-ST-F-055 round2</t>
        </is>
      </c>
      <c r="I30" s="3" t="n">
        <v>5</v>
      </c>
      <c r="J30" s="3" t="inlineStr">
        <is>
          <t>MK-NW-F-027 accountClassBreakdown · MK-NW-F-011 assetClassOf · MK-ST-F-055 round2 · MK-NW-F-008 incomeBearingClassOf · MK-ST-F-010 nameEvidence</t>
        </is>
      </c>
      <c r="K30" s="3" t="inlineStr">
        <is>
          <t>MK-ST-F-010 nameEvidence → MK-NW-F-008 incomeBearingClassOf → MK-NW-F-011 assetClassOf → MK-NW-F-027 accountClassBreakdown → MK-NW-F-029 assetAllocation
MK-ST-F-010 nameEvidence → MK-NW-F-008 incomeBearingClassOf → MK-NW-F-027 accountClassBreakdown → MK-NW-F-029 assetAllocation
MK-ST-F-055 round2 → MK-NW-F-027 accountClassBreakdown → MK-NW-F-029 assetAllocation
MK-ST-F-010 nameEvidence → MK-NW-F-008 incomeBearingClassOf → MK-NW-F-011 assetClassOf → MK-NW-F-029 assetAllocation
MK-ST-F-055 round2 → MK-NW-F-029 assetAllocation</t>
        </is>
      </c>
      <c r="L30" s="3" t="inlineStr">
        <is>
          <t>MK-NW-M-007</t>
        </is>
      </c>
      <c r="M30" s="3" t="inlineStr">
        <is>
          <t>ALLOCATION_BY_CLASS</t>
        </is>
      </c>
    </row>
    <row r="31">
      <c r="A31" s="3" t="inlineStr">
        <is>
          <t>MK-NW-F-011</t>
        </is>
      </c>
      <c r="B31" s="3" t="inlineStr">
        <is>
          <t>assetClassOf</t>
        </is>
      </c>
      <c r="C31" s="3" t="inlineStr">
        <is>
          <t>src/domain/assets/index.ts</t>
        </is>
      </c>
      <c r="D31" s="3" t="n">
        <v>221</v>
      </c>
      <c r="E31" s="3" t="inlineStr">
        <is>
          <t>2 · DISPLAYED</t>
        </is>
      </c>
      <c r="F31" s="3" t="inlineStr">
        <is>
          <t>A screen calls it directly, so its answer is on a screen.</t>
        </is>
      </c>
      <c r="G31" s="3" t="inlineStr">
        <is>
          <t>Yes</t>
        </is>
      </c>
      <c r="H31" s="3" t="inlineStr">
        <is>
          <t>MK-NW-F-008 incomeBearingClassOf</t>
        </is>
      </c>
      <c r="I31" s="3" t="n">
        <v>2</v>
      </c>
      <c r="J31" s="3" t="inlineStr">
        <is>
          <t>MK-NW-F-008 incomeBearingClassOf · MK-ST-F-010 nameEvidence</t>
        </is>
      </c>
      <c r="K31" s="3" t="inlineStr">
        <is>
          <t>MK-ST-F-010 nameEvidence → MK-NW-F-008 incomeBearingClassOf → MK-NW-F-011 assetClassOf</t>
        </is>
      </c>
      <c r="L31" s="3" t="inlineStr">
        <is>
          <t>—</t>
        </is>
      </c>
      <c r="M31" s="3" t="inlineStr">
        <is>
          <t>ASSET_CLASS_OF_ACCOUNT</t>
        </is>
      </c>
    </row>
    <row r="32">
      <c r="A32" s="3" t="inlineStr">
        <is>
          <t>MK-NW-F-007</t>
        </is>
      </c>
      <c r="B32" s="3" t="inlineStr">
        <is>
          <t>assetKind</t>
        </is>
      </c>
      <c r="C32" s="3" t="inlineStr">
        <is>
          <t>src/domain/assets/index.ts</t>
        </is>
      </c>
      <c r="D32" s="3" t="n">
        <v>167</v>
      </c>
      <c r="E32" s="3" t="inlineStr">
        <is>
          <t>2 · DISPLAYED</t>
        </is>
      </c>
      <c r="F32" s="3" t="inlineStr">
        <is>
          <t>A screen calls it directly, so its answer is on a screen.</t>
        </is>
      </c>
      <c r="G32" s="3" t="inlineStr">
        <is>
          <t>Yes</t>
        </is>
      </c>
      <c r="H32" s="3" t="inlineStr">
        <is>
          <t>MK-NW-F-011 assetClassOf</t>
        </is>
      </c>
      <c r="I32" s="3" t="n">
        <v>3</v>
      </c>
      <c r="J32" s="3" t="inlineStr">
        <is>
          <t>MK-NW-F-011 assetClassOf · MK-NW-F-008 incomeBearingClassOf · MK-ST-F-010 nameEvidence</t>
        </is>
      </c>
      <c r="K32" s="3" t="inlineStr">
        <is>
          <t>MK-ST-F-010 nameEvidence → MK-NW-F-008 incomeBearingClassOf → MK-NW-F-011 assetClassOf → MK-NW-F-007 assetKind</t>
        </is>
      </c>
      <c r="L32" s="3" t="inlineStr">
        <is>
          <t>—</t>
        </is>
      </c>
      <c r="M32" s="3" t="inlineStr">
        <is>
          <t>ACCOUNT_TYPE_FACTS</t>
        </is>
      </c>
    </row>
    <row r="33">
      <c r="A33" s="3" t="inlineStr">
        <is>
          <t>MK-NW-F-040</t>
        </is>
      </c>
      <c r="B33" s="3" t="inlineStr">
        <is>
          <t>assetsFromOnboarding</t>
        </is>
      </c>
      <c r="C33" s="3" t="inlineStr">
        <is>
          <t>src/domain/assets/index.ts</t>
        </is>
      </c>
      <c r="D33" s="3" t="n">
        <v>675</v>
      </c>
      <c r="E33" s="3" t="inlineStr">
        <is>
          <t>3 · DEPENDENT</t>
        </is>
      </c>
      <c r="F33" s="3" t="inlineStr">
        <is>
          <t>Its answer feeds another function, and that chain ends at a screen.</t>
        </is>
      </c>
      <c r="G33" s="3" t="inlineStr">
        <is>
          <t>Yes</t>
        </is>
      </c>
      <c r="H33" s="3" t="inlineStr">
        <is>
          <t>MK-ST-F-043 newEntityId · MK-ST-F-052 toNum</t>
        </is>
      </c>
      <c r="I33" s="3" t="n">
        <v>2</v>
      </c>
      <c r="J33" s="3" t="inlineStr">
        <is>
          <t>MK-ST-F-043 newEntityId · MK-ST-F-052 toNum</t>
        </is>
      </c>
      <c r="K33" s="3" t="inlineStr">
        <is>
          <t>MK-ST-F-043 newEntityId → MK-NW-F-040 assetsFromOnboarding
MK-ST-F-052 toNum → MK-NW-F-040 assetsFromOnboarding</t>
        </is>
      </c>
      <c r="L33" s="3" t="inlineStr">
        <is>
          <t>—</t>
        </is>
      </c>
      <c r="M33" s="3" t="inlineStr">
        <is>
          <t>ACCOUNTS_FROM_SETUP</t>
        </is>
      </c>
    </row>
    <row r="34">
      <c r="A34" s="3" t="inlineStr">
        <is>
          <t>MK-PF-F-016</t>
        </is>
      </c>
      <c r="B34" s="3" t="inlineStr">
        <is>
          <t>attribution</t>
        </is>
      </c>
      <c r="C34" s="3" t="inlineStr">
        <is>
          <t>src/domain/performance/index.ts</t>
        </is>
      </c>
      <c r="D34" s="3" t="n">
        <v>233</v>
      </c>
      <c r="E34" s="3" t="inlineStr">
        <is>
          <t>2 · DISPLAYED</t>
        </is>
      </c>
      <c r="F34" s="3" t="inlineStr">
        <is>
          <t>A screen calls it directly, so its answer is on a screen.</t>
        </is>
      </c>
      <c r="G34" s="3" t="inlineStr">
        <is>
          <t>Yes</t>
        </is>
      </c>
      <c r="H34" s="3" t="inlineStr">
        <is>
          <t>—</t>
        </is>
      </c>
      <c r="I34" s="3" t="n">
        <v>0</v>
      </c>
      <c r="J34" s="3" t="inlineStr">
        <is>
          <t>None — no dependent function stands behind it</t>
        </is>
      </c>
      <c r="K34" s="3" t="inlineStr">
        <is>
          <t>No dependent function — it reads its inputs and answers</t>
        </is>
      </c>
      <c r="L34" s="3" t="inlineStr">
        <is>
          <t>—</t>
        </is>
      </c>
      <c r="M34" s="3" t="inlineStr">
        <is>
          <t>WHAT_DROVE_THE_RETURN</t>
        </is>
      </c>
    </row>
    <row r="35">
      <c r="A35" s="3" t="inlineStr">
        <is>
          <t>MK-XS-F-035</t>
        </is>
      </c>
      <c r="B35" s="3" t="inlineStr">
        <is>
          <t>authenticate</t>
        </is>
      </c>
      <c r="C35" s="3" t="inlineStr">
        <is>
          <t>src/services/appLock.ts</t>
        </is>
      </c>
      <c r="D35" s="3" t="n">
        <v>29</v>
      </c>
      <c r="E35" s="3" t="inlineStr">
        <is>
          <t>2 · DISPLAYED</t>
        </is>
      </c>
      <c r="F35" s="3" t="inlineStr">
        <is>
          <t>A screen calls it directly, so its answer is on a screen.</t>
        </is>
      </c>
      <c r="G35" s="3" t="inlineStr">
        <is>
          <t>Yes</t>
        </is>
      </c>
      <c r="H35" s="3" t="inlineStr">
        <is>
          <t>—</t>
        </is>
      </c>
      <c r="I35" s="3" t="n">
        <v>0</v>
      </c>
      <c r="J35" s="3" t="inlineStr">
        <is>
          <t>None — no dependent function stands behind it</t>
        </is>
      </c>
      <c r="K35" s="3" t="inlineStr">
        <is>
          <t>No dependent function — it reads its inputs and answers</t>
        </is>
      </c>
      <c r="L35" s="3" t="inlineStr">
        <is>
          <t>—</t>
        </is>
      </c>
      <c r="M35" s="3" t="inlineStr">
        <is>
          <t>—</t>
        </is>
      </c>
    </row>
    <row r="36">
      <c r="A36" s="3" t="inlineStr">
        <is>
          <t>MK-PL-F-016</t>
        </is>
      </c>
      <c r="B36" s="3" t="inlineStr">
        <is>
          <t>availableToSaveSummary</t>
        </is>
      </c>
      <c r="C36" s="3" t="inlineStr">
        <is>
          <t>src/domain/goals/index.ts</t>
        </is>
      </c>
      <c r="D36" s="3" t="n">
        <v>70</v>
      </c>
      <c r="E36" s="3" t="inlineStr">
        <is>
          <t>2 · DISPLAYED</t>
        </is>
      </c>
      <c r="F36" s="3" t="inlineStr">
        <is>
          <t>A screen calls it directly, so its answer is on a screen.</t>
        </is>
      </c>
      <c r="G36" s="3" t="inlineStr">
        <is>
          <t>Yes</t>
        </is>
      </c>
      <c r="H36" s="3" t="inlineStr">
        <is>
          <t>—</t>
        </is>
      </c>
      <c r="I36" s="3" t="n">
        <v>0</v>
      </c>
      <c r="J36" s="3" t="inlineStr">
        <is>
          <t>None — no dependent function stands behind it</t>
        </is>
      </c>
      <c r="K36" s="3" t="inlineStr">
        <is>
          <t>No dependent function — it reads its inputs and answers</t>
        </is>
      </c>
      <c r="L36" s="3" t="inlineStr">
        <is>
          <t>—</t>
        </is>
      </c>
      <c r="M36" s="3" t="inlineStr">
        <is>
          <t>—</t>
        </is>
      </c>
    </row>
    <row r="37">
      <c r="A37" s="3" t="inlineStr">
        <is>
          <t>MK-PF-F-003</t>
        </is>
      </c>
      <c r="B37" s="3" t="inlineStr">
        <is>
          <t>avgCost</t>
        </is>
      </c>
      <c r="C37" s="3" t="inlineStr">
        <is>
          <t>src/domain/performance/index.ts</t>
        </is>
      </c>
      <c r="D37" s="3" t="n">
        <v>43</v>
      </c>
      <c r="E37" s="3" t="inlineStr">
        <is>
          <t>2 · DISPLAYED</t>
        </is>
      </c>
      <c r="F37" s="3" t="inlineStr">
        <is>
          <t>A screen calls it directly, so its answer is on a screen.</t>
        </is>
      </c>
      <c r="G37" s="3" t="inlineStr">
        <is>
          <t>Yes</t>
        </is>
      </c>
      <c r="H37" s="3" t="inlineStr">
        <is>
          <t>MK-PF-F-002 costBasis · MK-ST-F-055 round2 · MK-PF-F-001 totalShares</t>
        </is>
      </c>
      <c r="I37" s="3" t="n">
        <v>3</v>
      </c>
      <c r="J37" s="3" t="inlineStr">
        <is>
          <t>MK-PF-F-002 costBasis · MK-ST-F-055 round2 · MK-PF-F-001 totalShares</t>
        </is>
      </c>
      <c r="K37" s="3" t="inlineStr">
        <is>
          <t>MK-ST-F-055 round2 → MK-PF-F-002 costBasis → MK-PF-F-003 avgCost
MK-ST-F-055 round2 → MK-PF-F-003 avgCost
MK-PF-F-001 totalShares → MK-PF-F-003 avgCost</t>
        </is>
      </c>
      <c r="L37" s="3" t="inlineStr">
        <is>
          <t>—</t>
        </is>
      </c>
      <c r="M37" s="3" t="inlineStr">
        <is>
          <t>—</t>
        </is>
      </c>
    </row>
    <row r="38">
      <c r="A38" s="3" t="inlineStr">
        <is>
          <t>MK-ST-F-046</t>
        </is>
      </c>
      <c r="B38" s="3" t="inlineStr">
        <is>
          <t>balancesHidden</t>
        </is>
      </c>
      <c r="C38" s="3" t="inlineStr">
        <is>
          <t>src/domain/_shared/money.ts</t>
        </is>
      </c>
      <c r="D38" s="3" t="n">
        <v>47</v>
      </c>
      <c r="E38" s="3" t="inlineStr">
        <is>
          <t>3 · DEPENDENT (feeds an action only)</t>
        </is>
      </c>
      <c r="F38" s="3" t="inlineStr">
        <is>
          <t>Its answer feeds another function, but no chain from it reaches a screen.</t>
        </is>
      </c>
      <c r="G38" s="3" t="inlineStr">
        <is>
          <t>No</t>
        </is>
      </c>
      <c r="H38" s="3" t="inlineStr">
        <is>
          <t>—</t>
        </is>
      </c>
      <c r="I38" s="3" t="n">
        <v>0</v>
      </c>
      <c r="J38" s="3" t="inlineStr">
        <is>
          <t>None — no dependent function stands behind it</t>
        </is>
      </c>
      <c r="K38" s="3" t="inlineStr">
        <is>
          <t>No dependent function — it reads its inputs and answers</t>
        </is>
      </c>
      <c r="L38" s="3" t="inlineStr">
        <is>
          <t>—</t>
        </is>
      </c>
      <c r="M38" s="3" t="inlineStr">
        <is>
          <t>—</t>
        </is>
      </c>
    </row>
    <row r="39">
      <c r="A39" s="3" t="inlineStr">
        <is>
          <t>MK-NW-F-036</t>
        </is>
      </c>
      <c r="B39" s="3" t="inlineStr">
        <is>
          <t>benchmarkInfo</t>
        </is>
      </c>
      <c r="C39" s="3" t="inlineStr">
        <is>
          <t>src/domain/assets/index.ts</t>
        </is>
      </c>
      <c r="D39" s="3" t="n">
        <v>630</v>
      </c>
      <c r="E39" s="3" t="inlineStr">
        <is>
          <t>2 · DISPLAYED</t>
        </is>
      </c>
      <c r="F39" s="3" t="inlineStr">
        <is>
          <t>A screen calls it directly, so its answer is on a screen.</t>
        </is>
      </c>
      <c r="G39" s="3" t="inlineStr">
        <is>
          <t>Yes</t>
        </is>
      </c>
      <c r="H39" s="3" t="inlineStr">
        <is>
          <t>MK-NW-F-034 benchmarkReturn</t>
        </is>
      </c>
      <c r="I39" s="3" t="n">
        <v>5</v>
      </c>
      <c r="J39" s="3" t="inlineStr">
        <is>
          <t>MK-NW-F-034 benchmarkReturn · MK-NW-F-007 assetKind · MK-NW-F-011 assetClassOf · MK-NW-F-008 incomeBearingClassOf · MK-ST-F-010 nameEvidence</t>
        </is>
      </c>
      <c r="K39" s="3" t="inlineStr">
        <is>
          <t>MK-ST-F-010 nameEvidence → MK-NW-F-008 incomeBearingClassOf → MK-NW-F-011 assetClassOf → MK-NW-F-007 assetKind → MK-NW-F-034 benchmarkReturn → MK-NW-F-036 benchmarkInfo</t>
        </is>
      </c>
      <c r="L39" s="3" t="inlineStr">
        <is>
          <t>—</t>
        </is>
      </c>
      <c r="M39" s="3" t="inlineStr">
        <is>
          <t>—</t>
        </is>
      </c>
    </row>
    <row r="40">
      <c r="A40" s="3" t="inlineStr">
        <is>
          <t>MK-NW-F-034</t>
        </is>
      </c>
      <c r="B40" s="3" t="inlineStr">
        <is>
          <t>benchmarkReturn</t>
        </is>
      </c>
      <c r="C40" s="3" t="inlineStr">
        <is>
          <t>src/domain/assets/index.ts</t>
        </is>
      </c>
      <c r="D40" s="3" t="n">
        <v>554</v>
      </c>
      <c r="E40" s="3" t="inlineStr">
        <is>
          <t>2 · DISPLAYED</t>
        </is>
      </c>
      <c r="F40" s="3" t="inlineStr">
        <is>
          <t>A screen calls it directly, so its answer is on a screen.</t>
        </is>
      </c>
      <c r="G40" s="3" t="inlineStr">
        <is>
          <t>Yes</t>
        </is>
      </c>
      <c r="H40" s="3" t="inlineStr">
        <is>
          <t>MK-NW-F-007 assetKind</t>
        </is>
      </c>
      <c r="I40" s="3" t="n">
        <v>4</v>
      </c>
      <c r="J40" s="3" t="inlineStr">
        <is>
          <t>MK-NW-F-007 assetKind · MK-NW-F-011 assetClassOf · MK-NW-F-008 incomeBearingClassOf · MK-ST-F-010 nameEvidence</t>
        </is>
      </c>
      <c r="K40" s="3" t="inlineStr">
        <is>
          <t>MK-ST-F-010 nameEvidence → MK-NW-F-008 incomeBearingClassOf → MK-NW-F-011 assetClassOf → MK-NW-F-007 assetKind → MK-NW-F-034 benchmarkReturn</t>
        </is>
      </c>
      <c r="L40" s="3" t="inlineStr">
        <is>
          <t>—</t>
        </is>
      </c>
      <c r="M40" s="3" t="inlineStr">
        <is>
          <t>EXPECTED_RETURN_BY_KIND</t>
        </is>
      </c>
    </row>
    <row r="41">
      <c r="A41" s="3" t="inlineStr">
        <is>
          <t>MK-PF-F-013</t>
        </is>
      </c>
      <c r="B41" s="3" t="inlineStr">
        <is>
          <t>benchmarkTicker</t>
        </is>
      </c>
      <c r="C41" s="3" t="inlineStr">
        <is>
          <t>src/domain/performance/index.ts</t>
        </is>
      </c>
      <c r="D41" s="3" t="n">
        <v>167</v>
      </c>
      <c r="E41" s="3" t="inlineStr">
        <is>
          <t>2 · DISPLAYED</t>
        </is>
      </c>
      <c r="F41" s="3" t="inlineStr">
        <is>
          <t>A screen calls it directly, so its answer is on a screen.</t>
        </is>
      </c>
      <c r="G41" s="3" t="inlineStr">
        <is>
          <t>Yes</t>
        </is>
      </c>
      <c r="H41" s="3" t="inlineStr">
        <is>
          <t>MK-ST-F-053 money</t>
        </is>
      </c>
      <c r="I41" s="3" t="n">
        <v>4</v>
      </c>
      <c r="J41" s="3" t="inlineStr">
        <is>
          <t>MK-ST-F-053 money · MK-ST-F-049 formatMoney · MK-ST-F-048 currencySymbol · MK-ST-F-047 activeCurrency</t>
        </is>
      </c>
      <c r="K41" s="3" t="inlineStr">
        <is>
          <t>MK-ST-F-047 activeCurrency → MK-ST-F-048 currencySymbol → MK-ST-F-049 formatMoney → MK-ST-F-053 money → MK-PF-F-013 benchmarkTicker</t>
        </is>
      </c>
      <c r="L41" s="3" t="inlineStr">
        <is>
          <t>—</t>
        </is>
      </c>
      <c r="M41" s="3" t="inlineStr">
        <is>
          <t>BENCHMARK_FOR_KIND</t>
        </is>
      </c>
    </row>
    <row r="42">
      <c r="A42" s="3" t="inlineStr">
        <is>
          <t>MK-CF-F-069</t>
        </is>
      </c>
      <c r="B42" s="3" t="inlineStr">
        <is>
          <t>benefitActiveMonths</t>
        </is>
      </c>
      <c r="C42" s="3" t="inlineStr">
        <is>
          <t>src/domain/income/onboarding.ts</t>
        </is>
      </c>
      <c r="D42" s="3" t="n">
        <v>148</v>
      </c>
      <c r="E42" s="3" t="inlineStr">
        <is>
          <t>3 · DEPENDENT</t>
        </is>
      </c>
      <c r="F42" s="3" t="inlineStr">
        <is>
          <t>Its answer feeds another function, and that chain ends at a screen.</t>
        </is>
      </c>
      <c r="G42" s="3" t="inlineStr">
        <is>
          <t>Yes</t>
        </is>
      </c>
      <c r="H42" s="3" t="inlineStr">
        <is>
          <t>—</t>
        </is>
      </c>
      <c r="I42" s="3" t="n">
        <v>0</v>
      </c>
      <c r="J42" s="3" t="inlineStr">
        <is>
          <t>None — no dependent function stands behind it</t>
        </is>
      </c>
      <c r="K42" s="3" t="inlineStr">
        <is>
          <t>No dependent function — it reads its inputs and answers</t>
        </is>
      </c>
      <c r="L42" s="3" t="inlineStr">
        <is>
          <t>—</t>
        </is>
      </c>
      <c r="M42" s="3" t="inlineStr">
        <is>
          <t>—</t>
        </is>
      </c>
    </row>
    <row r="43">
      <c r="A43" s="3" t="inlineStr">
        <is>
          <t>MK-CF-F-070</t>
        </is>
      </c>
      <c r="B43" s="3" t="inlineStr">
        <is>
          <t>benefitAnnual</t>
        </is>
      </c>
      <c r="C43" s="3" t="inlineStr">
        <is>
          <t>src/domain/income/onboarding.ts</t>
        </is>
      </c>
      <c r="D43" s="3" t="n">
        <v>154</v>
      </c>
      <c r="E43" s="3" t="inlineStr">
        <is>
          <t>2 · DISPLAYED</t>
        </is>
      </c>
      <c r="F43" s="3" t="inlineStr">
        <is>
          <t>A screen calls it directly, so its answer is on a screen.</t>
        </is>
      </c>
      <c r="G43" s="3" t="inlineStr">
        <is>
          <t>Yes</t>
        </is>
      </c>
      <c r="H43" s="3" t="inlineStr">
        <is>
          <t>MK-CF-F-069 benefitActiveMonths · MK-ST-F-052 toNum</t>
        </is>
      </c>
      <c r="I43" s="3" t="n">
        <v>2</v>
      </c>
      <c r="J43" s="3" t="inlineStr">
        <is>
          <t>MK-CF-F-069 benefitActiveMonths · MK-ST-F-052 toNum</t>
        </is>
      </c>
      <c r="K43" s="3" t="inlineStr">
        <is>
          <t>MK-CF-F-069 benefitActiveMonths → MK-CF-F-070 benefitAnnual
MK-ST-F-052 toNum → MK-CF-F-070 benefitAnnual</t>
        </is>
      </c>
      <c r="L43" s="3" t="inlineStr">
        <is>
          <t>—</t>
        </is>
      </c>
      <c r="M43" s="3" t="inlineStr">
        <is>
          <t>—</t>
        </is>
      </c>
    </row>
    <row r="44">
      <c r="A44" s="3" t="inlineStr">
        <is>
          <t>MK-NW-F-037</t>
        </is>
      </c>
      <c r="B44" s="3" t="inlineStr">
        <is>
          <t>blendedReturn</t>
        </is>
      </c>
      <c r="C44" s="3" t="inlineStr">
        <is>
          <t>src/domain/assets/index.ts</t>
        </is>
      </c>
      <c r="D44" s="3" t="n">
        <v>638</v>
      </c>
      <c r="E44" s="3" t="inlineStr">
        <is>
          <t>2 · DISPLAYED</t>
        </is>
      </c>
      <c r="F44" s="3" t="inlineStr">
        <is>
          <t>A screen calls it directly, so its answer is on a screen.</t>
        </is>
      </c>
      <c r="G44" s="3" t="inlineStr">
        <is>
          <t>Yes</t>
        </is>
      </c>
      <c r="H44" s="3" t="inlineStr">
        <is>
          <t>MK-NW-F-034 benchmarkReturn · MK-NW-F-032 earmarkedAmount · MK-NW-F-031 primaryCarIdOf</t>
        </is>
      </c>
      <c r="I44" s="3" t="n">
        <v>10</v>
      </c>
      <c r="J44" s="3" t="inlineStr">
        <is>
          <t>MK-NW-F-034 benchmarkReturn · MK-NW-F-032 earmarkedAmount · MK-NW-F-031 primaryCarIdOf · MK-NW-F-007 assetKind · MK-NW-F-030 earmarkDefault · MK-ST-F-055 round2 · MK-NW-F-011 assetClassOf · MK-NW-F-013 realEstateUseOf · MK-NW-F-008 incomeBearingClassOf · MK-ST-F-010 nameEvidence</t>
        </is>
      </c>
      <c r="K44" s="3" t="inlineStr">
        <is>
          <t>MK-ST-F-010 nameEvidence → MK-NW-F-008 incomeBearingClassOf → MK-NW-F-011 assetClassOf → MK-NW-F-007 assetKind → MK-NW-F-034 benchmarkReturn → MK-NW-F-037 blendedReturn
MK-ST-F-010 nameEvidence → MK-NW-F-008 incomeBearingClassOf → MK-NW-F-011 assetClassOf → MK-NW-F-030 earmarkDefault → MK-NW-F-032 earmarkedAmount → MK-NW-F-037 blendedReturn
MK-NW-F-013 realEstateUseOf → MK-NW-F-030 earmarkDefault → MK-NW-F-032 earmarkedAmount → MK-NW-F-037 blendedReturn
MK-ST-F-055 round2 → MK-NW-F-032 earmarkedAmount → MK-NW-F-037 blendedReturn
MK-ST-F-010 nameEvidence → MK-NW-F-008 incomeBearingClassOf → MK-NW-F-011 assetClassOf → MK-NW-F-031 primaryCarIdOf → MK-NW-F-037 blendedReturn</t>
        </is>
      </c>
      <c r="L44" s="3" t="inlineStr">
        <is>
          <t>—</t>
        </is>
      </c>
      <c r="M44" s="3" t="inlineStr">
        <is>
          <t>EXPECTED_RETURN_BLENDED</t>
        </is>
      </c>
    </row>
    <row r="45">
      <c r="A45" s="3" t="inlineStr">
        <is>
          <t>MK-NW-F-035</t>
        </is>
      </c>
      <c r="B45" s="3" t="inlineStr">
        <is>
          <t>blendedVolatility</t>
        </is>
      </c>
      <c r="C45" s="3" t="inlineStr">
        <is>
          <t>src/domain/assets/index.ts</t>
        </is>
      </c>
      <c r="D45" s="3" t="n">
        <v>597</v>
      </c>
      <c r="E45" s="3" t="inlineStr">
        <is>
          <t>3 · DEPENDENT</t>
        </is>
      </c>
      <c r="F45" s="3" t="inlineStr">
        <is>
          <t>Its answer feeds another function, and that chain ends at a screen.</t>
        </is>
      </c>
      <c r="G45" s="3" t="inlineStr">
        <is>
          <t>Yes</t>
        </is>
      </c>
      <c r="H45" s="3" t="inlineStr">
        <is>
          <t>MK-NW-F-032 earmarkedAmount · MK-NW-F-031 primaryCarIdOf</t>
        </is>
      </c>
      <c r="I45" s="3" t="n">
        <v>8</v>
      </c>
      <c r="J45" s="3" t="inlineStr">
        <is>
          <t>MK-NW-F-032 earmarkedAmount · MK-NW-F-031 primaryCarIdOf · MK-NW-F-030 earmarkDefault · MK-ST-F-055 round2 · MK-NW-F-011 assetClassOf · MK-NW-F-013 realEstateUseOf · MK-NW-F-008 incomeBearingClassOf · MK-ST-F-010 nameEvidence</t>
        </is>
      </c>
      <c r="K45" s="3" t="inlineStr">
        <is>
          <t>MK-ST-F-010 nameEvidence → MK-NW-F-008 incomeBearingClassOf → MK-NW-F-011 assetClassOf → MK-NW-F-030 earmarkDefault → MK-NW-F-032 earmarkedAmount → MK-NW-F-035 blendedVolatility
MK-NW-F-013 realEstateUseOf → MK-NW-F-030 earmarkDefault → MK-NW-F-032 earmarkedAmount → MK-NW-F-035 blendedVolatility
MK-ST-F-055 round2 → MK-NW-F-032 earmarkedAmount → MK-NW-F-035 blendedVolatility
MK-ST-F-010 nameEvidence → MK-NW-F-008 incomeBearingClassOf → MK-NW-F-011 assetClassOf → MK-NW-F-031 primaryCarIdOf → MK-NW-F-035 blendedVolatility</t>
        </is>
      </c>
      <c r="L45" s="3" t="inlineStr">
        <is>
          <t>—</t>
        </is>
      </c>
      <c r="M45" s="3" t="inlineStr">
        <is>
          <t>EXPECTED_SWING_BLENDED</t>
        </is>
      </c>
    </row>
    <row r="46">
      <c r="A46" s="3" t="inlineStr">
        <is>
          <t>MK-NW-F-056</t>
        </is>
      </c>
      <c r="B46" s="3" t="inlineStr">
        <is>
          <t>bondInfo</t>
        </is>
      </c>
      <c r="C46" s="3" t="inlineStr">
        <is>
          <t>src/domain/bonds/index.ts</t>
        </is>
      </c>
      <c r="D46" s="3" t="n">
        <v>16</v>
      </c>
      <c r="E46" s="3" t="inlineStr">
        <is>
          <t>2 · DISPLAYED</t>
        </is>
      </c>
      <c r="F46" s="3" t="inlineStr">
        <is>
          <t>A screen calls it directly, so its answer is on a screen.</t>
        </is>
      </c>
      <c r="G46" s="3" t="inlineStr">
        <is>
          <t>Yes</t>
        </is>
      </c>
      <c r="H46" s="3" t="inlineStr">
        <is>
          <t>—</t>
        </is>
      </c>
      <c r="I46" s="3" t="n">
        <v>0</v>
      </c>
      <c r="J46" s="3" t="inlineStr">
        <is>
          <t>None — no dependent function stands behind it</t>
        </is>
      </c>
      <c r="K46" s="3" t="inlineStr">
        <is>
          <t>No dependent function — it reads its inputs and answers</t>
        </is>
      </c>
      <c r="L46" s="3" t="inlineStr">
        <is>
          <t>MK-NW-M-023 · MK-NW-M-041 · MK-NW-M-042</t>
        </is>
      </c>
      <c r="M46" s="3" t="inlineStr">
        <is>
          <t>BOND_FACTS</t>
        </is>
      </c>
    </row>
    <row r="47">
      <c r="A47" s="3" t="inlineStr">
        <is>
          <t>MK-NW-F-064</t>
        </is>
      </c>
      <c r="B47" s="3" t="inlineStr">
        <is>
          <t>bondRateSensitivity</t>
        </is>
      </c>
      <c r="C47" s="3" t="inlineStr">
        <is>
          <t>src/domain/bonds/index.ts</t>
        </is>
      </c>
      <c r="D47" s="3" t="n">
        <v>97</v>
      </c>
      <c r="E47" s="3" t="inlineStr">
        <is>
          <t>2 · DISPLAYED</t>
        </is>
      </c>
      <c r="F47" s="3" t="inlineStr">
        <is>
          <t>A screen calls it directly, so its answer is on a screen.</t>
        </is>
      </c>
      <c r="G47" s="3" t="inlineStr">
        <is>
          <t>Yes</t>
        </is>
      </c>
      <c r="H47" s="3" t="inlineStr">
        <is>
          <t>MK-NW-F-060 approxYTM</t>
        </is>
      </c>
      <c r="I47" s="3" t="n">
        <v>4</v>
      </c>
      <c r="J47" s="3" t="inlineStr">
        <is>
          <t>MK-NW-F-060 approxYTM · MK-NW-F-057 annualCoupon · MK-NW-F-058 yearsToMaturity · MK-ST-F-055 round2</t>
        </is>
      </c>
      <c r="K47" s="3" t="inlineStr">
        <is>
          <t>MK-ST-F-055 round2 → MK-NW-F-057 annualCoupon → MK-NW-F-060 approxYTM → MK-NW-F-064 bondRateSensitivity
MK-NW-F-058 yearsToMaturity → MK-NW-F-060 approxYTM → MK-NW-F-064 bondRateSensitivity</t>
        </is>
      </c>
      <c r="L47" s="3" t="inlineStr">
        <is>
          <t>—</t>
        </is>
      </c>
      <c r="M47" s="3" t="inlineStr">
        <is>
          <t>IF_RATES_MOVE</t>
        </is>
      </c>
    </row>
    <row r="48">
      <c r="A48" s="3" t="inlineStr">
        <is>
          <t>MK-NW-F-061</t>
        </is>
      </c>
      <c r="B48" s="3" t="inlineStr">
        <is>
          <t>bondSummary</t>
        </is>
      </c>
      <c r="C48" s="3" t="inlineStr">
        <is>
          <t>src/domain/bonds/index.ts</t>
        </is>
      </c>
      <c r="D48" s="3" t="n">
        <v>42</v>
      </c>
      <c r="E48" s="3" t="inlineStr">
        <is>
          <t>2 · DISPLAYED</t>
        </is>
      </c>
      <c r="F48" s="3" t="inlineStr">
        <is>
          <t>A screen calls it directly, so its answer is on a screen.</t>
        </is>
      </c>
      <c r="G48" s="3" t="inlineStr">
        <is>
          <t>Yes</t>
        </is>
      </c>
      <c r="H48" s="3" t="inlineStr">
        <is>
          <t>MK-NW-F-057 annualCoupon · MK-ST-F-055 round2</t>
        </is>
      </c>
      <c r="I48" s="3" t="n">
        <v>2</v>
      </c>
      <c r="J48" s="3" t="inlineStr">
        <is>
          <t>MK-NW-F-057 annualCoupon · MK-ST-F-055 round2</t>
        </is>
      </c>
      <c r="K48" s="3" t="inlineStr">
        <is>
          <t>MK-ST-F-055 round2 → MK-NW-F-057 annualCoupon → MK-NW-F-061 bondSummary
MK-ST-F-055 round2 → MK-NW-F-061 bondSummary</t>
        </is>
      </c>
      <c r="L48" s="3" t="inlineStr">
        <is>
          <t>—</t>
        </is>
      </c>
      <c r="M48" s="3" t="inlineStr">
        <is>
          <t>—</t>
        </is>
      </c>
    </row>
    <row r="49">
      <c r="A49" s="3" t="inlineStr">
        <is>
          <t>MK-CF-F-013</t>
        </is>
      </c>
      <c r="B49" s="3" t="inlineStr">
        <is>
          <t>budgetFromOnboarding</t>
        </is>
      </c>
      <c r="C49" s="3" t="inlineStr">
        <is>
          <t>src/domain/budget/index.ts</t>
        </is>
      </c>
      <c r="D49" s="3" t="n">
        <v>238</v>
      </c>
      <c r="E49" s="3" t="inlineStr">
        <is>
          <t>3 · DEPENDENT</t>
        </is>
      </c>
      <c r="F49" s="3" t="inlineStr">
        <is>
          <t>Its answer feeds another function, and that chain ends at a screen.</t>
        </is>
      </c>
      <c r="G49" s="3" t="inlineStr">
        <is>
          <t>Yes</t>
        </is>
      </c>
      <c r="H49" s="3" t="inlineStr">
        <is>
          <t>MK-CF-F-002 plannedMonthlySpend · MK-CF-F-004 spendBuckets</t>
        </is>
      </c>
      <c r="I49" s="3" t="n">
        <v>38</v>
      </c>
      <c r="J49" s="3" t="inlineStr">
        <is>
          <t>MK-CF-F-002 plannedMonthlySpend · MK-CF-F-004 spendBuckets · MK-CF-F-092 incomeMonthlyGrid · MK-ST-F-052 toNum · MK-CF-F-003 categoryMonthly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49" s="3" t="inlineStr">
        <is>
          <t>MK-CF-F-069 benefitActiveMonths → MK-CF-F-092 incomeMonthlyGrid → MK-CF-F-002 plannedMonthlySpend → MK-CF-F-013 budgetFromOnboarding
MK-ST-F-052 toNum → MK-CF-F-075 retirementIncomeMonthly → MK-CF-F-072 currentRetirementIncomeMonthly → MK-CF-F-092 incomeMonthlyGrid → MK-CF-F-002 plannedMonthlySpend → MK-CF-F-013 budgetFromOnboarding
MK-ST-F-052 toNum → MK-CF-F-062 equityRowValue → MK-CF-F-065 equityVestWeights → MK-CF-F-092 incomeMonthlyGrid → MK-CF-F-002 plannedMonthlySpend → MK-CF-F-013 budgetFromOnboarding
MK-CF-F-069 benefitActiveMonths → MK-CF-F-070 benefitAnnual → MK-CF-F-071 extraIncome → MK-CF-F-092 incomeMonthlyGrid → MK-CF-F-002 plannedMonthlySpend → MK-CF-F-013 budgetFromOnboarding
MK-ST-F-052 toNum → MK-CF-F-070 benefitAnnual → MK-CF-F-071 extraIncome → MK-CF-F-092 incomeMonthlyGrid → MK-CF-F-002 plannedMonthlySpend → MK-CF-F-013 budgetFromOnboarding
MK-ST-F-055 round2 → MK-CF-F-071 extraIncome → MK-CF-F-092 incomeMonthlyGrid → MK-CF-F-002 plannedMonthlySpend → MK-CF-F-013 budgetFromOnboarding
MK-ST-F-052 toNum → MK-CF-F-071 extraIncome → MK-CF-F-092 incomeMonthlyGrid → MK-CF-F-002 plannedMonthlySpend → MK-CF-F-013 budgetFromOnboarding
MK-CF-F-102 effectiveRateOnGrossFor → MK-CF-F-090 effectiveRate → MK-CF-F-087 monthlyTaxRates → MK-CF-F-092 incomeMonthlyGrid → MK-CF-F-002 plannedMonthlySpend → MK-CF-F-013 budgetFromOnboarding
… and 36 more paths</t>
        </is>
      </c>
      <c r="L49" s="3" t="inlineStr">
        <is>
          <t>—</t>
        </is>
      </c>
      <c r="M49" s="3" t="inlineStr">
        <is>
          <t>—</t>
        </is>
      </c>
    </row>
    <row r="50">
      <c r="A50" s="3" t="inlineStr">
        <is>
          <t>MK-CF-F-014</t>
        </is>
      </c>
      <c r="B50" s="3" t="inlineStr">
        <is>
          <t>budgetVsActual</t>
        </is>
      </c>
      <c r="C50" s="3" t="inlineStr">
        <is>
          <t>src/domain/budget/index.ts</t>
        </is>
      </c>
      <c r="D50" s="3" t="n">
        <v>261</v>
      </c>
      <c r="E50" s="3" t="inlineStr">
        <is>
          <t>2 · DISPLAYED</t>
        </is>
      </c>
      <c r="F50" s="3" t="inlineStr">
        <is>
          <t>A screen calls it directly, so its answer is on a screen.</t>
        </is>
      </c>
      <c r="G50" s="3" t="inlineStr">
        <is>
          <t>Yes</t>
        </is>
      </c>
      <c r="H50" s="3" t="inlineStr">
        <is>
          <t>MK-ST-F-055 round2 · MK-CF-F-004 spendBuckets · MK-ST-F-052 toNum</t>
        </is>
      </c>
      <c r="I50" s="3" t="n">
        <v>4</v>
      </c>
      <c r="J50" s="3" t="inlineStr">
        <is>
          <t>MK-ST-F-055 round2 · MK-CF-F-004 spendBuckets · MK-ST-F-052 toNum · MK-CF-F-003 categoryMonthly</t>
        </is>
      </c>
      <c r="K50" s="3" t="inlineStr">
        <is>
          <t>MK-ST-F-055 round2 → MK-CF-F-014 budgetVsActual
MK-ST-F-052 toNum → MK-CF-F-003 categoryMonthly → MK-CF-F-004 spendBuckets → MK-CF-F-014 budgetVsActual
MK-ST-F-055 round2 → MK-CF-F-004 spendBuckets → MK-CF-F-014 budgetVsActual
MK-ST-F-052 toNum → MK-CF-F-004 spendBuckets → MK-CF-F-014 budgetVsActual
MK-ST-F-052 toNum → MK-CF-F-014 budgetVsActual</t>
        </is>
      </c>
      <c r="L50" s="3" t="inlineStr">
        <is>
          <t>—</t>
        </is>
      </c>
      <c r="M50" s="3" t="inlineStr">
        <is>
          <t>—</t>
        </is>
      </c>
    </row>
    <row r="51">
      <c r="A51" s="3" t="inlineStr">
        <is>
          <t>MK-NW-F-039</t>
        </is>
      </c>
      <c r="B51" s="3" t="inlineStr">
        <is>
          <t>buildAssetsState</t>
        </is>
      </c>
      <c r="C51" s="3" t="inlineStr">
        <is>
          <t>src/domain/assets/index.ts</t>
        </is>
      </c>
      <c r="D51" s="3" t="n">
        <v>663</v>
      </c>
      <c r="E51" s="3" t="inlineStr">
        <is>
          <t>2 · DISPLAYED</t>
        </is>
      </c>
      <c r="F51" s="3" t="inlineStr">
        <is>
          <t>A screen calls it directly, so its answer is on a screen.</t>
        </is>
      </c>
      <c r="G51" s="3" t="inlineStr">
        <is>
          <t>Yes</t>
        </is>
      </c>
      <c r="H51" s="3" t="inlineStr">
        <is>
          <t>MK-ST-F-055 round2</t>
        </is>
      </c>
      <c r="I51" s="3" t="n">
        <v>1</v>
      </c>
      <c r="J51" s="3" t="inlineStr">
        <is>
          <t>MK-ST-F-055 round2</t>
        </is>
      </c>
      <c r="K51" s="3" t="inlineStr">
        <is>
          <t>MK-ST-F-055 round2 → MK-NW-F-039 buildAssetsState</t>
        </is>
      </c>
      <c r="L51" s="3" t="inlineStr">
        <is>
          <t>MK-NW-M-004</t>
        </is>
      </c>
      <c r="M51" s="3" t="inlineStr">
        <is>
          <t>ACCOUNT_SHARE_OF_TOTAL</t>
        </is>
      </c>
    </row>
    <row r="52">
      <c r="A52" s="3" t="inlineStr">
        <is>
          <t>MK-CF-F-001</t>
        </is>
      </c>
      <c r="B52" s="3" t="inlineStr">
        <is>
          <t>buildBudgetState</t>
        </is>
      </c>
      <c r="C52" s="3" t="inlineStr">
        <is>
          <t>src/domain/budget/index.ts</t>
        </is>
      </c>
      <c r="D52" s="3" t="n">
        <v>30</v>
      </c>
      <c r="E52" s="3" t="inlineStr">
        <is>
          <t>3 · DEPENDENT</t>
        </is>
      </c>
      <c r="F52" s="3" t="inlineStr">
        <is>
          <t>Its answer feeds another function, and that chain ends at a screen.</t>
        </is>
      </c>
      <c r="G52" s="3" t="inlineStr">
        <is>
          <t>Yes</t>
        </is>
      </c>
      <c r="H52" s="3" t="inlineStr">
        <is>
          <t>MK-ST-F-055 round2</t>
        </is>
      </c>
      <c r="I52" s="3" t="n">
        <v>1</v>
      </c>
      <c r="J52" s="3" t="inlineStr">
        <is>
          <t>MK-ST-F-055 round2</t>
        </is>
      </c>
      <c r="K52" s="3" t="inlineStr">
        <is>
          <t>MK-ST-F-055 round2 → MK-CF-F-001 buildBudgetState</t>
        </is>
      </c>
      <c r="L52" s="3" t="inlineStr">
        <is>
          <t>—</t>
        </is>
      </c>
      <c r="M52" s="3" t="inlineStr">
        <is>
          <t>—</t>
        </is>
      </c>
    </row>
    <row r="53">
      <c r="A53" s="3" t="inlineStr">
        <is>
          <t>MK-XS-F-011</t>
        </is>
      </c>
      <c r="B53" s="3" t="inlineStr">
        <is>
          <t>buildChangeWalk</t>
        </is>
      </c>
      <c r="C53" s="3" t="inlineStr">
        <is>
          <t>src/domain/history.ts</t>
        </is>
      </c>
      <c r="D53" s="3" t="n">
        <v>144</v>
      </c>
      <c r="E53" s="3" t="inlineStr">
        <is>
          <t>2 · DISPLAYED</t>
        </is>
      </c>
      <c r="F53" s="3" t="inlineStr">
        <is>
          <t>A screen calls it directly, so its answer is on a screen.</t>
        </is>
      </c>
      <c r="G53" s="3" t="inlineStr">
        <is>
          <t>Yes</t>
        </is>
      </c>
      <c r="H53" s="3" t="inlineStr">
        <is>
          <t>MK-ST-F-055 round2</t>
        </is>
      </c>
      <c r="I53" s="3" t="n">
        <v>1</v>
      </c>
      <c r="J53" s="3" t="inlineStr">
        <is>
          <t>MK-ST-F-055 round2</t>
        </is>
      </c>
      <c r="K53" s="3" t="inlineStr">
        <is>
          <t>MK-ST-F-055 round2 → MK-XS-F-011 buildChangeWalk</t>
        </is>
      </c>
      <c r="L53" s="3" t="inlineStr">
        <is>
          <t>MK-PF-M-001 · MK-PF-M-002 · MK-PF-M-003 · MK-PF-M-004</t>
        </is>
      </c>
      <c r="M53" s="3" t="inlineStr">
        <is>
          <t>NW_CHANGE_WALK</t>
        </is>
      </c>
    </row>
    <row r="54">
      <c r="A54" s="3" t="inlineStr">
        <is>
          <t>MK-XS-F-004</t>
        </is>
      </c>
      <c r="B54" s="3" t="inlineStr">
        <is>
          <t>buildDatedGrid</t>
        </is>
      </c>
      <c r="C54" s="3" t="inlineStr">
        <is>
          <t>src/domain/grid/index.ts</t>
        </is>
      </c>
      <c r="D54" s="3" t="n">
        <v>66</v>
      </c>
      <c r="E54" s="3" t="inlineStr">
        <is>
          <t>2 · DISPLAYED</t>
        </is>
      </c>
      <c r="F54" s="3" t="inlineStr">
        <is>
          <t>A screen calls it directly, so its answer is on a screen.</t>
        </is>
      </c>
      <c r="G54" s="3" t="inlineStr">
        <is>
          <t>Yes</t>
        </is>
      </c>
      <c r="H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t>
        </is>
      </c>
      <c r="I54" s="3" t="n">
        <v>44</v>
      </c>
      <c r="J54" s="3" t="inlineStr">
        <is>
          <t>MK-CF-F-069 benefitActiveMonths · MK-CF-F-072 currentRetirementIncomeMonthly · MK-CF-F-018 equityByMonth · MK-ST-F-053 money · MK-CF-F-087 monthlyTaxRates · MK-CF-F-073 otherIncomeMonth · MK-CF-F-022 paymentShape · MK-CF-F-068 rentalNetAnnual · MK-CF-F-023 requiredPayment · MK-ST-F-055 round2 · MK-CF-F-060 salaryGrossByMonth · MK-CF-F-008 spendByMonth · MK-ST-F-052 toNum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MK-CF-F-063 rowVestYear · MK-ST-F-048 currencySymbol · MK-CF-F-102 effectiveRateOnGrossFor · MK-CF-F-084 taxableAnnual · MK-CF-F-101 taxOwedFor · MK-CF-F-100 taxableIncomeFor · MK-CF-F-065 equityVestWeights · MK-CF-F-071 extraIncome · MK-CF-F-095 taxOwed · MK-CF-F-003 categoryMonthly · MK-ST-F-047 activeCurrency · MK-CF-F-082 salaryAnnual · MK-CF-F-074 tipsAnnual · MK-CF-F-099 deductionFor · MK-CF-F-070 benefitAnnual · MK-CF-F-093 taxableIncome · MK-CF-F-081 salaryActiveMonths</t>
        </is>
      </c>
      <c r="K54" s="3" t="inlineStr">
        <is>
          <t>MK-CF-F-069 benefitActiveMonths → MK-XS-F-004 buildDatedGrid
MK-ST-F-052 toNum → MK-CF-F-075 retirementIncomeMonthly → MK-CF-F-072 currentRetirementIncomeMonthly → MK-XS-F-004 buildDatedGrid
MK-ST-F-052 toNum → MK-CF-F-062 equityRowValue → MK-CF-F-018 equityByMonth → MK-XS-F-004 buildDatedGrid
MK-ST-F-052 toNum → MK-CF-F-062 equityRowValue → MK-CF-F-066 rsuAnnual → MK-CF-F-018 equityByMonth → MK-XS-F-004 buildDatedGrid
MK-CF-F-063 rowVestYear → MK-CF-F-066 rsuAnnual → MK-CF-F-018 equityByMonth → MK-XS-F-004 buildDatedGrid
MK-ST-F-052 toNum → MK-CF-F-066 rsuAnnual → MK-CF-F-018 equityByMonth → MK-XS-F-004 buildDatedGrid
MK-ST-F-047 activeCurrency → MK-ST-F-048 currencySymbol → MK-ST-F-049 formatMoney → MK-ST-F-053 money → MK-XS-F-004 buildDatedGrid
MK-CF-F-100 taxableIncomeFor → MK-CF-F-101 taxOwedFor → MK-CF-F-102 effectiveRateOnGrossFor → MK-CF-F-090 effectiveRate → MK-CF-F-087 monthlyTaxRates → MK-XS-F-004 buildDatedGrid
… and 49 more paths</t>
        </is>
      </c>
      <c r="L54" s="3" t="inlineStr">
        <is>
          <t>—</t>
        </is>
      </c>
      <c r="M54" s="3" t="inlineStr">
        <is>
          <t>—</t>
        </is>
      </c>
    </row>
    <row r="55">
      <c r="A55" s="3" t="inlineStr">
        <is>
          <t>MK-ST-F-028</t>
        </is>
      </c>
      <c r="B55" s="3" t="inlineStr">
        <is>
          <t>buildDayFromAccounts</t>
        </is>
      </c>
      <c r="C55" s="3" t="inlineStr">
        <is>
          <t>Calculation Module code/engines/snapshots.ts</t>
        </is>
      </c>
      <c r="D55" s="3" t="n">
        <v>92</v>
      </c>
      <c r="E55" s="3" t="inlineStr">
        <is>
          <t>3 · DEPENDENT (feeds an action only)</t>
        </is>
      </c>
      <c r="F55" s="3" t="inlineStr">
        <is>
          <t>Its answer feeds another function, but no chain from it reaches a screen.</t>
        </is>
      </c>
      <c r="G55" s="3" t="inlineStr">
        <is>
          <t>No</t>
        </is>
      </c>
      <c r="H55" s="3" t="inlineStr">
        <is>
          <t>—</t>
        </is>
      </c>
      <c r="I55" s="3" t="n">
        <v>0</v>
      </c>
      <c r="J55" s="3" t="inlineStr">
        <is>
          <t>None — no dependent function stands behind it</t>
        </is>
      </c>
      <c r="K55" s="3" t="inlineStr">
        <is>
          <t>No dependent function — it reads its inputs and answers</t>
        </is>
      </c>
      <c r="L55" s="3" t="inlineStr">
        <is>
          <t>—</t>
        </is>
      </c>
      <c r="M55" s="3" t="inlineStr">
        <is>
          <t>—</t>
        </is>
      </c>
    </row>
    <row r="56">
      <c r="A56" s="3" t="inlineStr">
        <is>
          <t>MK-CF-F-036</t>
        </is>
      </c>
      <c r="B56" s="3" t="inlineStr">
        <is>
          <t>buildDebtState</t>
        </is>
      </c>
      <c r="C56" s="3" t="inlineStr">
        <is>
          <t>src/domain/debt/index.ts</t>
        </is>
      </c>
      <c r="D56" s="3" t="n">
        <v>214</v>
      </c>
      <c r="E56" s="3" t="inlineStr">
        <is>
          <t>2 · DISPLAYED</t>
        </is>
      </c>
      <c r="F56" s="3" t="inlineStr">
        <is>
          <t>A screen calls it directly, so its answer is on a screen.</t>
        </is>
      </c>
      <c r="G56" s="3" t="inlineStr">
        <is>
          <t>Yes</t>
        </is>
      </c>
      <c r="H56" s="3" t="inlineStr">
        <is>
          <t>MK-CF-F-026 actualDebtPayment · MK-CF-F-025 minimumDebtService · MK-ST-F-055 round2</t>
        </is>
      </c>
      <c r="I56" s="3" t="n">
        <v>7</v>
      </c>
      <c r="J56" s="3" t="inlineStr">
        <is>
          <t>MK-CF-F-026 actualDebtPayment · MK-CF-F-025 minimumDebtService · MK-ST-F-055 round2 · MK-CF-F-024 totalDebtMonthly · MK-CF-F-022 paymentShape · MK-CF-F-023 requiredPayment · MK-CF-F-021 defaultPaymentType</t>
        </is>
      </c>
      <c r="K56" s="3" t="inlineStr">
        <is>
          <t>MK-ST-F-055 round2 → MK-CF-F-026 actualDebtPayment → MK-CF-F-036 buildDebtState
MK-CF-F-021 defaultPaymentType → MK-CF-F-022 paymentShape → MK-CF-F-023 requiredPayment → MK-CF-F-024 totalDebtMonthly → MK-CF-F-026 actualDebtPayment → MK-CF-F-036 buildDebtState
MK-CF-F-021 defaultPaymentType → MK-CF-F-022 paymentShape → MK-CF-F-025 minimumDebtService → MK-CF-F-036 buildDebtState
MK-ST-F-055 round2 → MK-CF-F-025 minimumDebtService → MK-CF-F-036 buildDebtState
MK-ST-F-055 round2 → MK-CF-F-036 buildDebtState</t>
        </is>
      </c>
      <c r="L56" s="3" t="inlineStr">
        <is>
          <t>MK-NW-M-009 · MK-NW-M-010 · MK-NW-M-012</t>
        </is>
      </c>
      <c r="M56" s="3" t="inlineStr">
        <is>
          <t>DEBT_PICTURE</t>
        </is>
      </c>
    </row>
    <row r="57">
      <c r="A57" s="3" t="inlineStr">
        <is>
          <t>MK-PL-F-011</t>
        </is>
      </c>
      <c r="B57" s="3" t="inlineStr">
        <is>
          <t>buildGoalsState</t>
        </is>
      </c>
      <c r="C57" s="3" t="inlineStr">
        <is>
          <t>src/domain/goals/index.ts</t>
        </is>
      </c>
      <c r="D57" s="3" t="n">
        <v>24</v>
      </c>
      <c r="E57" s="3" t="inlineStr">
        <is>
          <t>3 · DEPENDENT</t>
        </is>
      </c>
      <c r="F57" s="3" t="inlineStr">
        <is>
          <t>Its answer feeds another function, and that chain ends at a screen.</t>
        </is>
      </c>
      <c r="G57" s="3" t="inlineStr">
        <is>
          <t>Yes</t>
        </is>
      </c>
      <c r="H57" s="3" t="inlineStr">
        <is>
          <t>MK-ST-F-055 round2 · MK-PL-F-012 waterfall</t>
        </is>
      </c>
      <c r="I57" s="3" t="n">
        <v>2</v>
      </c>
      <c r="J57" s="3" t="inlineStr">
        <is>
          <t>MK-ST-F-055 round2 · MK-PL-F-012 waterfall</t>
        </is>
      </c>
      <c r="K57" s="3" t="inlineStr">
        <is>
          <t>MK-ST-F-055 round2 → MK-PL-F-011 buildGoalsState
MK-ST-F-055 round2 → MK-PL-F-012 waterfall → MK-PL-F-011 buildGoalsState</t>
        </is>
      </c>
      <c r="L57" s="3" t="inlineStr">
        <is>
          <t>—</t>
        </is>
      </c>
      <c r="M57" s="3" t="inlineStr">
        <is>
          <t>—</t>
        </is>
      </c>
    </row>
    <row r="58">
      <c r="A58" s="3" t="inlineStr">
        <is>
          <t>MK-CF-F-049</t>
        </is>
      </c>
      <c r="B58" s="3" t="inlineStr">
        <is>
          <t>buildIncomeState</t>
        </is>
      </c>
      <c r="C58" s="3" t="inlineStr">
        <is>
          <t>src/domain/income/calc.ts</t>
        </is>
      </c>
      <c r="D58" s="3" t="n">
        <v>62</v>
      </c>
      <c r="E58" s="3" t="inlineStr">
        <is>
          <t>2 · DISPLAYED</t>
        </is>
      </c>
      <c r="F58" s="3" t="inlineStr">
        <is>
          <t>A screen calls it directly, so its answer is on a screen.</t>
        </is>
      </c>
      <c r="G58" s="3" t="inlineStr">
        <is>
          <t>Yes</t>
        </is>
      </c>
      <c r="H58" s="3" t="inlineStr">
        <is>
          <t>MK-CF-F-048 effectiveTaxRate · MK-CF-F-046 employerMatchAnnual · MK-CF-F-045 grossAnnualBaseline · MK-CF-F-098 progressiveMonthlyTax · MK-ST-F-055 round2</t>
        </is>
      </c>
      <c r="I58" s="3" t="n">
        <v>13</v>
      </c>
      <c r="J58" s="3" t="inlineStr">
        <is>
          <t>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K58" s="3" t="inlineStr">
        <is>
          <t>MK-CF-F-093 taxableIncome → MK-CF-F-095 taxOwed → MK-CF-F-096 effectiveRateOnGross → MK-CF-F-047 estimateEffectiveTaxRate → MK-CF-F-048 effectiveTaxRate → MK-CF-F-049 buildIncomeState
MK-CF-F-046 employerMatchAnnual → MK-CF-F-049 buildIncomeState
MK-CF-F-044 annualNet → MK-CF-F-045 grossAnnualBaseline → MK-CF-F-049 buildIncomeState
MK-CF-F-099 deductionFor → MK-CF-F-100 taxableIncomeFor → MK-CF-F-101 taxOwedFor → MK-CF-F-098 progressiveMonthlyTax → MK-CF-F-049 buildIncomeState
MK-CF-F-099 deductionFor → MK-CF-F-100 taxableIncomeFor → MK-CF-F-098 progressiveMonthlyTax → MK-CF-F-049 buildIncomeState
MK-ST-F-055 round2 → MK-CF-F-049 buildIncomeState</t>
        </is>
      </c>
      <c r="L58" s="3" t="inlineStr">
        <is>
          <t>—</t>
        </is>
      </c>
      <c r="M58" s="3" t="inlineStr">
        <is>
          <t>—</t>
        </is>
      </c>
    </row>
    <row r="59">
      <c r="A59" s="3" t="inlineStr">
        <is>
          <t>MK-HM-F-001</t>
        </is>
      </c>
      <c r="B59" s="3" t="inlineStr">
        <is>
          <t>buildInsights</t>
        </is>
      </c>
      <c r="C59" s="3" t="inlineStr">
        <is>
          <t>src/domain/insights/index.ts</t>
        </is>
      </c>
      <c r="D59" s="3" t="n">
        <v>102</v>
      </c>
      <c r="E59" s="3" t="inlineStr">
        <is>
          <t>2 · DISPLAYED</t>
        </is>
      </c>
      <c r="F59" s="3" t="inlineStr">
        <is>
          <t>A screen calls it directly, so its answer is on a screen.</t>
        </is>
      </c>
      <c r="G59" s="3" t="inlineStr">
        <is>
          <t>Yes</t>
        </is>
      </c>
      <c r="H59" s="3" t="inlineStr">
        <is>
          <t>—</t>
        </is>
      </c>
      <c r="I59" s="3" t="n">
        <v>0</v>
      </c>
      <c r="J59" s="3" t="inlineStr">
        <is>
          <t>None — no dependent function stands behind it</t>
        </is>
      </c>
      <c r="K59" s="3" t="inlineStr">
        <is>
          <t>No dependent function — it reads its inputs and answers</t>
        </is>
      </c>
      <c r="L59" s="3" t="inlineStr">
        <is>
          <t>—</t>
        </is>
      </c>
      <c r="M59" s="3" t="inlineStr">
        <is>
          <t>—</t>
        </is>
      </c>
    </row>
    <row r="60">
      <c r="A60" s="3" t="inlineStr">
        <is>
          <t>MK-NW-F-052</t>
        </is>
      </c>
      <c r="B60" s="3" t="inlineStr">
        <is>
          <t>buildItemizedAccounts</t>
        </is>
      </c>
      <c r="C60" s="3" t="inlineStr">
        <is>
          <t>src/domain/assets/itemize.ts</t>
        </is>
      </c>
      <c r="D60" s="3" t="n">
        <v>48</v>
      </c>
      <c r="E60" s="3" t="inlineStr">
        <is>
          <t>2 · DISPLAYED</t>
        </is>
      </c>
      <c r="F60" s="3" t="inlineStr">
        <is>
          <t>A screen calls it directly, so its answer is on a screen.</t>
        </is>
      </c>
      <c r="G60" s="3" t="inlineStr">
        <is>
          <t>Yes</t>
        </is>
      </c>
      <c r="H60" s="3" t="inlineStr">
        <is>
          <t>MK-NW-F-050 itemizeRemainder · MK-ST-F-055 round2</t>
        </is>
      </c>
      <c r="I60" s="3" t="n">
        <v>3</v>
      </c>
      <c r="J60" s="3" t="inlineStr">
        <is>
          <t>MK-NW-F-050 itemizeRemainder · MK-ST-F-055 round2 · MK-NW-F-049 itemizedTotal</t>
        </is>
      </c>
      <c r="K60" s="3" t="inlineStr">
        <is>
          <t>MK-ST-F-055 round2 → MK-NW-F-049 itemizedTotal → MK-NW-F-050 itemizeRemainder → MK-NW-F-052 buildItemizedAccounts
MK-ST-F-055 round2 → MK-NW-F-050 itemizeRemainder → MK-NW-F-052 buildItemizedAccounts
MK-ST-F-055 round2 → MK-NW-F-052 buildItemizedAccounts</t>
        </is>
      </c>
      <c r="L60" s="3" t="inlineStr">
        <is>
          <t>—</t>
        </is>
      </c>
      <c r="M60" s="3" t="inlineStr">
        <is>
          <t>ITEMISE_AN_ACCOUNT</t>
        </is>
      </c>
    </row>
    <row r="61">
      <c r="A61" s="3" t="inlineStr">
        <is>
          <t>MK-NW-F-065</t>
        </is>
      </c>
      <c r="B61" s="3" t="inlineStr">
        <is>
          <t>buildNetWorth</t>
        </is>
      </c>
      <c r="C61" s="3" t="inlineStr">
        <is>
          <t>src/domain/networth/index.ts</t>
        </is>
      </c>
      <c r="D61" s="3" t="n">
        <v>12</v>
      </c>
      <c r="E61" s="3" t="inlineStr">
        <is>
          <t>2 · DISPLAYED</t>
        </is>
      </c>
      <c r="F61" s="3" t="inlineStr">
        <is>
          <t>A screen calls it directly, so its answer is on a screen.</t>
        </is>
      </c>
      <c r="G61" s="3" t="inlineStr">
        <is>
          <t>Yes</t>
        </is>
      </c>
      <c r="H61" s="3" t="inlineStr">
        <is>
          <t>MK-ST-F-055 round2</t>
        </is>
      </c>
      <c r="I61" s="3" t="n">
        <v>1</v>
      </c>
      <c r="J61" s="3" t="inlineStr">
        <is>
          <t>MK-ST-F-055 round2</t>
        </is>
      </c>
      <c r="K61" s="3" t="inlineStr">
        <is>
          <t>MK-ST-F-055 round2 → MK-NW-F-065 buildNetWorth</t>
        </is>
      </c>
      <c r="L61" s="3" t="inlineStr">
        <is>
          <t>MK-NW-M-016 · MK-XS-M-001</t>
        </is>
      </c>
      <c r="M61" s="3" t="inlineStr">
        <is>
          <t>NET_WORTH</t>
        </is>
      </c>
    </row>
    <row r="62">
      <c r="A62" s="3" t="inlineStr">
        <is>
          <t>MK-CF-F-107</t>
        </is>
      </c>
      <c r="B62" s="3" t="inlineStr">
        <is>
          <t>buildPaycheckYear</t>
        </is>
      </c>
      <c r="C62" s="3" t="inlineStr">
        <is>
          <t>src/domain/paycheck/index.ts</t>
        </is>
      </c>
      <c r="D62" s="3" t="n">
        <v>122</v>
      </c>
      <c r="E62" s="3" t="inlineStr">
        <is>
          <t>2 · DISPLAYED</t>
        </is>
      </c>
      <c r="F62" s="3" t="inlineStr">
        <is>
          <t>A screen calls it directly, so its answer is on a screen.</t>
        </is>
      </c>
      <c r="G62" s="3" t="inlineStr">
        <is>
          <t>Yes</t>
        </is>
      </c>
      <c r="H62" s="3" t="inlineStr">
        <is>
          <t>MK-XS-F-004 buildDatedGrid · MK-CF-F-105 guaranteedRows · MK-NW-F-033 retirementEarmarkedValue · MK-ST-F-055 round2 · MK-CF-F-106 solveSafeDraw</t>
        </is>
      </c>
      <c r="I62" s="3" t="n">
        <v>58</v>
      </c>
      <c r="J62" s="3" t="inlineStr">
        <is>
          <t>MK-XS-F-004 buildDatedGrid · MK-CF-F-105 guaranteedRows · MK-NW-F-033 retirementEarmarkedValue · MK-ST-F-055 round2 · MK-CF-F-106 solveSafeDraw · MK-CF-F-069 benefitActiveMonths · MK-CF-F-072 currentRetirementIncomeMonthly · MK-CF-F-018 equityByMonth · MK-ST-F-053 money · MK-CF-F-087 monthlyTaxRates · MK-CF-F-073 otherIncomeMonth · MK-CF-F-022 paymentShape · MK-CF-F-068 rentalNetAnnual · MK-CF-F-023 requiredPayment · MK-CF-F-060 salaryGrossByMonth · MK-CF-F-008 spendByMonth · MK-ST-F-052 toNum · MK-NW-F-032 earmarkedAmount · MK-NW-F-031 primaryCarIdOf · MK-PL-F-050 simulate · MK-CF-F-075 retirementIncomeMonthly · MK-CF-F-062 equityRowValue · MK-CF-F-066 rsuAnnual · MK-ST-F-049 formatMoney · MK-CF-F-090 effectiveRate · MK-CF-F-085 filingStatusOf · MK-CF-F-089 over65CountOf · MK-CF-F-098 progressiveMonthlyTax · MK-CF-F-086 stateRateOf · MK-CF-F-088 taxableByCalendarMonth · MK-CF-F-021 defaultPaymentType · MK-CF-F-067 rentalList · MK-CF-F-097 grossFromNet · MK-CF-F-004 spendBuckets · MK-NW-F-030 earmarkDefault · MK-NW-F-011 assetClassOf · MK-ST-F-025 rmdStartAgeFromAge · MK-CF-F-063 rowVestYear · MK-ST-F-048 currencySymbol · MK-CF-F-102 effectiveRateOnGrossFor · MK-CF-F-084 taxableAnnual · MK-CF-F-101 taxOwedFor · MK-CF-F-100 taxableIncomeFor · MK-CF-F-065 equityVestWeights · MK-CF-F-071 extraIncome · MK-CF-F-095 taxOwed · MK-CF-F-003 categoryMonthly · MK-NW-F-013 realEstateUseOf · MK-NW-F-008 incomeBearingClassOf · MK-ST-F-024 rmdStartAge · MK-ST-F-047 activeCurrency · MK-CF-F-082 salaryAnnual · MK-CF-F-074 tipsAnnual · MK-CF-F-099 deductionFor · MK-CF-F-070 benefitAnnual · MK-CF-F-093 taxableIncome · MK-ST-F-010 nameEvidence · MK-CF-F-081 salaryActiveMonths</t>
        </is>
      </c>
      <c r="K62" s="3" t="inlineStr">
        <is>
          <t>MK-CF-F-069 benefitActiveMonths → MK-XS-F-004 buildDatedGrid → MK-CF-F-107 buildPaycheckYear
MK-ST-F-052 toNum → MK-CF-F-075 retirementIncomeMonthly → MK-CF-F-072 currentRetirementIncomeMonthly → MK-XS-F-004 buildDatedGrid → MK-CF-F-107 buildPaycheckYear
MK-ST-F-052 toNum → MK-CF-F-062 equityRowValue → MK-CF-F-018 equityByMonth → MK-XS-F-004 buildDatedGrid → MK-CF-F-107 buildPaycheckYear
MK-ST-F-052 toNum → MK-CF-F-062 equityRowValue → MK-CF-F-066 rsuAnnual → MK-CF-F-018 equityByMonth → MK-XS-F-004 buildDatedGrid → MK-CF-F-107 buildPaycheckYear
MK-CF-F-063 rowVestYear → MK-CF-F-066 rsuAnnual → MK-CF-F-018 equityByMonth → MK-XS-F-004 buildDatedGrid → MK-CF-F-107 buildPaycheckYear
MK-ST-F-052 toNum → MK-CF-F-066 rsuAnnual → MK-CF-F-018 equityByMonth → MK-XS-F-004 buildDatedGrid → MK-CF-F-107 buildPaycheckYear
MK-ST-F-047 activeCurrency → MK-ST-F-048 currencySymbol → MK-ST-F-049 formatMoney → MK-ST-F-053 money → MK-XS-F-004 buildDatedGrid → MK-CF-F-107 buildPaycheckYear
MK-CF-F-101 taxOwedFor → MK-CF-F-102 effectiveRateOnGrossFor → MK-CF-F-090 effectiveRate → MK-CF-F-087 monthlyTaxRates → MK-XS-F-004 buildDatedGrid → MK-CF-F-107 buildPaycheckYear
… and 53 more paths</t>
        </is>
      </c>
      <c r="L62" s="3" t="inlineStr">
        <is>
          <t>—</t>
        </is>
      </c>
      <c r="M62" s="3" t="inlineStr">
        <is>
          <t>—</t>
        </is>
      </c>
    </row>
    <row r="63">
      <c r="A63" s="3" t="inlineStr">
        <is>
          <t>MK-PF-F-014</t>
        </is>
      </c>
      <c r="B63" s="3" t="inlineStr">
        <is>
          <t>buildPerformance</t>
        </is>
      </c>
      <c r="C63" s="3" t="inlineStr">
        <is>
          <t>src/domain/performance/index.ts</t>
        </is>
      </c>
      <c r="D63" s="3" t="n">
        <v>191</v>
      </c>
      <c r="E63" s="3" t="inlineStr">
        <is>
          <t>2 · DISPLAYED</t>
        </is>
      </c>
      <c r="F63" s="3" t="inlineStr">
        <is>
          <t>A screen calls it directly, so its answer is on a screen.</t>
        </is>
      </c>
      <c r="G63" s="3" t="inlineStr">
        <is>
          <t>Yes</t>
        </is>
      </c>
      <c r="H63" s="3" t="inlineStr">
        <is>
          <t>MK-PF-F-013 benchmarkTicker · MK-PF-F-002 costBasis · MK-PF-F-012 earliestPurchaseDate · MK-PF-F-009 latestClose · MK-PF-F-004 marketValue · MK-PF-F-010 periodReturn · MK-PF-F-011 periodReturnSince · MK-PF-F-008 startDateFor · MK-PF-F-007 totalROI · MK-PF-F-005 unrealizedGain</t>
        </is>
      </c>
      <c r="I63" s="3" t="n">
        <v>16</v>
      </c>
      <c r="J63" s="3" t="inlineStr">
        <is>
          <t>MK-PF-F-013 benchmarkTicker · MK-PF-F-002 costBasis · MK-PF-F-012 earliestPurchaseDate · MK-PF-F-009 latestClose · MK-PF-F-004 marketValue · MK-PF-F-010 periodReturn · MK-PF-F-011 periodReturnSince · MK-PF-F-008 startDateFor · MK-PF-F-007 totalROI · MK-PF-F-005 unrealizedGain · MK-ST-F-053 money · MK-ST-F-055 round2 · MK-PF-F-001 totalShares · MK-ST-F-049 formatMoney · MK-ST-F-048 currencySymbol · MK-ST-F-047 activeCurrency</t>
        </is>
      </c>
      <c r="K63" s="3" t="inlineStr">
        <is>
          <t>MK-ST-F-047 activeCurrency → MK-ST-F-048 currencySymbol → MK-ST-F-049 formatMoney → MK-ST-F-053 money → MK-PF-F-013 benchmarkTicker → MK-PF-F-014 buildPerformance
MK-ST-F-055 round2 → MK-PF-F-002 costBasis → MK-PF-F-014 buildPerformance
MK-PF-F-012 earliestPurchaseDate → MK-PF-F-014 buildPerformance
MK-PF-F-009 latestClose → MK-PF-F-014 buildPerformance
MK-ST-F-055 round2 → MK-PF-F-004 marketValue → MK-PF-F-014 buildPerformance
MK-PF-F-001 totalShares → MK-PF-F-004 marketValue → MK-PF-F-014 buildPerformance
MK-PF-F-009 latestClose → MK-PF-F-010 periodReturn → MK-PF-F-014 buildPerformance
MK-PF-F-008 startDateFor → MK-PF-F-010 periodReturn → MK-PF-F-014 buildPerformance
… and 11 more paths</t>
        </is>
      </c>
      <c r="L63" s="3" t="inlineStr">
        <is>
          <t>MK-PF-M-005 · MK-PF-M-006 · MK-PF-M-007</t>
        </is>
      </c>
      <c r="M63" s="3" t="inlineStr">
        <is>
          <t>PERFORMANCE_TABLE</t>
        </is>
      </c>
    </row>
    <row r="64">
      <c r="A64" s="3" t="inlineStr">
        <is>
          <t>MK-PL-F-053</t>
        </is>
      </c>
      <c r="B64" s="3" t="inlineStr">
        <is>
          <t>buildRetirementState</t>
        </is>
      </c>
      <c r="C64" s="3" t="inlineStr">
        <is>
          <t>src/domain/retirement/index.ts</t>
        </is>
      </c>
      <c r="D64" s="3" t="n">
        <v>297</v>
      </c>
      <c r="E64" s="3" t="inlineStr">
        <is>
          <t>3 · DEPENDENT</t>
        </is>
      </c>
      <c r="F64" s="3" t="inlineStr">
        <is>
          <t>Its answer feeds another function, and that chain ends at a screen.</t>
        </is>
      </c>
      <c r="G64" s="3" t="inlineStr">
        <is>
          <t>Yes</t>
        </is>
      </c>
      <c r="H64" s="3" t="inlineStr">
        <is>
          <t>MK-PL-F-050 simulate</t>
        </is>
      </c>
      <c r="I64" s="3" t="n">
        <v>4</v>
      </c>
      <c r="J64" s="3" t="inlineStr">
        <is>
          <t>MK-PL-F-050 simulate · MK-ST-F-025 rmdStartAgeFromAge · MK-ST-F-055 round2 · MK-ST-F-024 rmdStartAge</t>
        </is>
      </c>
      <c r="K64" s="3" t="inlineStr">
        <is>
          <t>MK-ST-F-024 rmdStartAge → MK-ST-F-025 rmdStartAgeFromAge → MK-PL-F-050 simulate → MK-PL-F-053 buildRetirementState
MK-ST-F-055 round2 → MK-PL-F-050 simulate → MK-PL-F-053 buildRetirementState</t>
        </is>
      </c>
      <c r="L64" s="3" t="inlineStr">
        <is>
          <t>—</t>
        </is>
      </c>
      <c r="M64" s="3" t="inlineStr">
        <is>
          <t>—</t>
        </is>
      </c>
    </row>
    <row r="65">
      <c r="A65" s="3" t="inlineStr">
        <is>
          <t>MK-XS-F-031</t>
        </is>
      </c>
      <c r="B65" s="3" t="inlineStr">
        <is>
          <t>buildSnapshot</t>
        </is>
      </c>
      <c r="C65" s="3" t="inlineStr">
        <is>
          <t>src/domain/snapshot.ts</t>
        </is>
      </c>
      <c r="D65" s="3" t="n">
        <v>52</v>
      </c>
      <c r="E65" s="3" t="inlineStr">
        <is>
          <t>2 · DISPLAYED</t>
        </is>
      </c>
      <c r="F65" s="3" t="inlineStr">
        <is>
          <t>A screen calls it directly, so its answer is on a screen.</t>
        </is>
      </c>
      <c r="G65" s="3" t="inlineStr">
        <is>
          <t>Yes</t>
        </is>
      </c>
      <c r="H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t>
        </is>
      </c>
      <c r="I65" s="3" t="n">
        <v>89</v>
      </c>
      <c r="J65" s="3" t="inlineStr">
        <is>
          <t>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MK-ST-F-052 toNum · MK-XS-F-020 toReadModel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MK-ST-F-043 newEntityId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K65" s="3" t="inlineStr">
        <is>
          <t>MK-NW-F-008 incomeBearingClassOf → MK-NW-F-011 assetClassOf → MK-NW-F-007 assetKind → MK-NW-F-034 benchmarkReturn → MK-NW-F-037 blendedReturn → MK-XS-F-031 buildSnapshot
MK-NW-F-008 incomeBearingClassOf → MK-NW-F-011 assetClassOf → MK-NW-F-030 earmarkDefault → MK-NW-F-032 earmarkedAmount → MK-NW-F-037 blendedReturn → MK-XS-F-031 buildSnapshot
MK-NW-F-013 realEstateUseOf → MK-NW-F-030 earmarkDefault → MK-NW-F-032 earmarkedAmount → MK-NW-F-037 blendedReturn → MK-XS-F-031 buildSnapshot
MK-ST-F-055 round2 → MK-NW-F-032 earmarkedAmount → MK-NW-F-037 blendedReturn → MK-XS-F-031 buildSnapshot
MK-ST-F-010 nameEvidence → MK-NW-F-008 incomeBearingClassOf → MK-NW-F-011 assetClassOf → MK-NW-F-031 primaryCarIdOf → MK-NW-F-037 blendedReturn → MK-XS-F-031 buildSnapshot
MK-CF-F-069 benefitActiveMonths → MK-CF-F-092 incomeMonthlyGrid → MK-CF-F-002 plannedMonthlySpend → MK-CF-F-013 budgetFromOnboarding → MK-XS-F-031 buildSnapshot
MK-CF-F-075 retirementIncomeMonthly → MK-CF-F-072 currentRetirementIncomeMonthly → MK-CF-F-092 incomeMonthlyGrid → MK-CF-F-002 plannedMonthlySpend → MK-CF-F-013 budgetFromOnboarding → MK-XS-F-031 buildSnapshot
MK-CF-F-062 equityRowValue → MK-CF-F-065 equityVestWeights → MK-CF-F-092 incomeMonthlyGrid → MK-CF-F-002 plannedMonthlySpend → MK-CF-F-013 budgetFromOnboarding → MK-XS-F-031 buildSnapshot
… and 110 more paths</t>
        </is>
      </c>
      <c r="L65" s="3" t="inlineStr">
        <is>
          <t>—</t>
        </is>
      </c>
      <c r="M65" s="3" t="inlineStr">
        <is>
          <t>—</t>
        </is>
      </c>
    </row>
    <row r="66">
      <c r="A66" s="3" t="inlineStr">
        <is>
          <t>MK-XS-F-041</t>
        </is>
      </c>
      <c r="B66" s="3" t="inlineStr">
        <is>
          <t>cacheDataKey</t>
        </is>
      </c>
      <c r="C66" s="3" t="inlineStr">
        <is>
          <t>src/services/dataCrypto.ts</t>
        </is>
      </c>
      <c r="D66" s="3" t="n">
        <v>41</v>
      </c>
      <c r="E66" s="3" t="inlineStr">
        <is>
          <t>1 · ACTION</t>
        </is>
      </c>
      <c r="F66" s="3" t="inlineStr">
        <is>
          <t>Produces nothing that is displayed — it does something: saves, syncs or records.</t>
        </is>
      </c>
      <c r="G66" s="3" t="inlineStr">
        <is>
          <t>Yes</t>
        </is>
      </c>
      <c r="H66" s="3" t="inlineStr">
        <is>
          <t>—</t>
        </is>
      </c>
      <c r="I66" s="3" t="n">
        <v>0</v>
      </c>
      <c r="J66" s="3" t="inlineStr">
        <is>
          <t>None — no dependent function stands behind it</t>
        </is>
      </c>
      <c r="K66" s="3" t="inlineStr">
        <is>
          <t>No dependent function — it reads its inputs and answers</t>
        </is>
      </c>
      <c r="L66" s="3" t="inlineStr">
        <is>
          <t>—</t>
        </is>
      </c>
      <c r="M66" s="3" t="inlineStr">
        <is>
          <t>—</t>
        </is>
      </c>
    </row>
    <row r="67">
      <c r="A67" s="3" t="inlineStr">
        <is>
          <t>MK-ST-F-006</t>
        </is>
      </c>
      <c r="B67" s="3" t="inlineStr">
        <is>
          <t>canAnswer</t>
        </is>
      </c>
      <c r="C67" s="3" t="inlineStr">
        <is>
          <t>Calculation Module code/engines/coverage.ts</t>
        </is>
      </c>
      <c r="D67" s="3" t="n">
        <v>99</v>
      </c>
      <c r="E67" s="3" t="inlineStr">
        <is>
          <t>3 · DEPENDENT (feeds an action only)</t>
        </is>
      </c>
      <c r="F67" s="3" t="inlineStr">
        <is>
          <t>Its answer feeds another function, but no chain from it reaches a screen.</t>
        </is>
      </c>
      <c r="G67" s="3" t="inlineStr">
        <is>
          <t>No</t>
        </is>
      </c>
      <c r="H67" s="3" t="inlineStr">
        <is>
          <t>MK-ST-F-033 onOrBefore</t>
        </is>
      </c>
      <c r="I67" s="3" t="n">
        <v>1</v>
      </c>
      <c r="J67" s="3" t="inlineStr">
        <is>
          <t>MK-ST-F-033 onOrBefore</t>
        </is>
      </c>
      <c r="K67" s="3" t="inlineStr">
        <is>
          <t>MK-ST-F-033 onOrBefore → MK-ST-F-006 canAnswer</t>
        </is>
      </c>
      <c r="L67" s="3" t="inlineStr">
        <is>
          <t>—</t>
        </is>
      </c>
      <c r="M67" s="3" t="inlineStr">
        <is>
          <t>—</t>
        </is>
      </c>
    </row>
    <row r="68">
      <c r="A68" s="3" t="inlineStr">
        <is>
          <t>MK-XS-F-086</t>
        </is>
      </c>
      <c r="B68" s="3" t="inlineStr">
        <is>
          <t>cancelStreakReminder</t>
        </is>
      </c>
      <c r="C68" s="3" t="inlineStr">
        <is>
          <t>src/services/notifications.ts</t>
        </is>
      </c>
      <c r="D68" s="3" t="n">
        <v>47</v>
      </c>
      <c r="E68" s="3" t="inlineStr">
        <is>
          <t>1 · ACTION</t>
        </is>
      </c>
      <c r="F68" s="3" t="inlineStr">
        <is>
          <t>Produces nothing that is displayed — it does something: saves, syncs or records.</t>
        </is>
      </c>
      <c r="G68" s="3" t="inlineStr">
        <is>
          <t>No</t>
        </is>
      </c>
      <c r="H68" s="3" t="inlineStr">
        <is>
          <t>—</t>
        </is>
      </c>
      <c r="I68" s="3" t="n">
        <v>0</v>
      </c>
      <c r="J68" s="3" t="inlineStr">
        <is>
          <t>None — no dependent function stands behind it</t>
        </is>
      </c>
      <c r="K68" s="3" t="inlineStr">
        <is>
          <t>No dependent function — it reads its inputs and answers</t>
        </is>
      </c>
      <c r="L68" s="3" t="inlineStr">
        <is>
          <t>—</t>
        </is>
      </c>
      <c r="M68" s="3" t="inlineStr">
        <is>
          <t>—</t>
        </is>
      </c>
    </row>
    <row r="69">
      <c r="A69" s="3" t="inlineStr">
        <is>
          <t>MK-PF-F-006</t>
        </is>
      </c>
      <c r="B69" s="3" t="inlineStr">
        <is>
          <t>capGains</t>
        </is>
      </c>
      <c r="C69" s="3" t="inlineStr">
        <is>
          <t>src/domain/performance/index.ts</t>
        </is>
      </c>
      <c r="D69" s="3" t="n">
        <v>63</v>
      </c>
      <c r="E69" s="3" t="inlineStr">
        <is>
          <t>2 · DISPLAYED</t>
        </is>
      </c>
      <c r="F69" s="3" t="inlineStr">
        <is>
          <t>A screen calls it directly, so its answer is on a screen.</t>
        </is>
      </c>
      <c r="G69" s="3" t="inlineStr">
        <is>
          <t>Yes</t>
        </is>
      </c>
      <c r="H69" s="3" t="inlineStr">
        <is>
          <t>MK-ST-F-055 round2</t>
        </is>
      </c>
      <c r="I69" s="3" t="n">
        <v>1</v>
      </c>
      <c r="J69" s="3" t="inlineStr">
        <is>
          <t>MK-ST-F-055 round2</t>
        </is>
      </c>
      <c r="K69" s="3" t="inlineStr">
        <is>
          <t>MK-ST-F-055 round2 → MK-PF-F-006 capGains</t>
        </is>
      </c>
      <c r="L69" s="3" t="inlineStr">
        <is>
          <t>MK-NW-M-036 · MK-NW-M-037</t>
        </is>
      </c>
      <c r="M69" s="3" t="inlineStr">
        <is>
          <t>HOLDING_CAP_GAINS</t>
        </is>
      </c>
    </row>
    <row r="70">
      <c r="A70" s="3" t="inlineStr">
        <is>
          <t>MK-PL-F-048</t>
        </is>
      </c>
      <c r="B70" s="3" t="inlineStr">
        <is>
          <t>capitalNeeded</t>
        </is>
      </c>
      <c r="C70" s="3" t="inlineStr">
        <is>
          <t>src/domain/retirement/index.ts</t>
        </is>
      </c>
      <c r="D70" s="3" t="n">
        <v>33</v>
      </c>
      <c r="E70" s="3" t="inlineStr">
        <is>
          <t>2 · DISPLAYED</t>
        </is>
      </c>
      <c r="F70" s="3" t="inlineStr">
        <is>
          <t>A screen calls it directly, so its answer is on a screen.</t>
        </is>
      </c>
      <c r="G70" s="3" t="inlineStr">
        <is>
          <t>Yes</t>
        </is>
      </c>
      <c r="H70" s="3" t="inlineStr">
        <is>
          <t>MK-ST-F-055 round2</t>
        </is>
      </c>
      <c r="I70" s="3" t="n">
        <v>1</v>
      </c>
      <c r="J70" s="3" t="inlineStr">
        <is>
          <t>MK-ST-F-055 round2</t>
        </is>
      </c>
      <c r="K70" s="3" t="inlineStr">
        <is>
          <t>MK-ST-F-055 round2 → MK-PL-F-048 capitalNeeded</t>
        </is>
      </c>
      <c r="L70" s="3" t="inlineStr">
        <is>
          <t>—</t>
        </is>
      </c>
      <c r="M70" s="3" t="inlineStr">
        <is>
          <t>—</t>
        </is>
      </c>
    </row>
    <row r="71">
      <c r="A71" s="3" t="inlineStr">
        <is>
          <t>MK-XS-F-037</t>
        </is>
      </c>
      <c r="B71" s="3" t="inlineStr">
        <is>
          <t>captureException</t>
        </is>
      </c>
      <c r="C71" s="3" t="inlineStr">
        <is>
          <t>src/services/crashReporter.ts</t>
        </is>
      </c>
      <c r="D71" s="3" t="n">
        <v>53</v>
      </c>
      <c r="E71" s="3" t="inlineStr">
        <is>
          <t>1 · ACTION</t>
        </is>
      </c>
      <c r="F71" s="3" t="inlineStr">
        <is>
          <t>Produces nothing that is displayed — it does something: saves, syncs or records.</t>
        </is>
      </c>
      <c r="G71" s="3" t="inlineStr">
        <is>
          <t>Yes</t>
        </is>
      </c>
      <c r="H71" s="3" t="inlineStr">
        <is>
          <t>—</t>
        </is>
      </c>
      <c r="I71" s="3" t="n">
        <v>0</v>
      </c>
      <c r="J71" s="3" t="inlineStr">
        <is>
          <t>None — no dependent function stands behind it</t>
        </is>
      </c>
      <c r="K71" s="3" t="inlineStr">
        <is>
          <t>No dependent function — it reads its inputs and answers</t>
        </is>
      </c>
      <c r="L71" s="3" t="inlineStr">
        <is>
          <t>—</t>
        </is>
      </c>
      <c r="M71" s="3" t="inlineStr">
        <is>
          <t>—</t>
        </is>
      </c>
    </row>
    <row r="72">
      <c r="A72" s="3" t="inlineStr">
        <is>
          <t>MK-CF-F-118</t>
        </is>
      </c>
      <c r="B72" s="3" t="inlineStr">
        <is>
          <t>cashEffect</t>
        </is>
      </c>
      <c r="C72" s="3" t="inlineStr">
        <is>
          <t>src/domain/transactions/index.ts</t>
        </is>
      </c>
      <c r="D72" s="3" t="n">
        <v>227</v>
      </c>
      <c r="E72" s="3" t="inlineStr">
        <is>
          <t>2 · DISPLAYED</t>
        </is>
      </c>
      <c r="F72" s="3" t="inlineStr">
        <is>
          <t>A screen calls it directly, so its answer is on a screen.</t>
        </is>
      </c>
      <c r="G72" s="3" t="inlineStr">
        <is>
          <t>Yes</t>
        </is>
      </c>
      <c r="H72" s="3" t="inlineStr">
        <is>
          <t>—</t>
        </is>
      </c>
      <c r="I72" s="3" t="n">
        <v>0</v>
      </c>
      <c r="J72" s="3" t="inlineStr">
        <is>
          <t>None — no dependent function stands behind it</t>
        </is>
      </c>
      <c r="K72" s="3" t="inlineStr">
        <is>
          <t>No dependent function — it reads its inputs and answers</t>
        </is>
      </c>
      <c r="L72" s="3" t="inlineStr">
        <is>
          <t>—</t>
        </is>
      </c>
      <c r="M72" s="3" t="inlineStr">
        <is>
          <t>CASH_EFFECT_OF_A_ROW</t>
        </is>
      </c>
    </row>
    <row r="73">
      <c r="A73" s="3" t="inlineStr">
        <is>
          <t>MK-NW-F-016</t>
        </is>
      </c>
      <c r="B73" s="3" t="inlineStr">
        <is>
          <t>cashTotal</t>
        </is>
      </c>
      <c r="C73" s="3" t="inlineStr">
        <is>
          <t>src/domain/assets/index.ts</t>
        </is>
      </c>
      <c r="D73" s="3" t="n">
        <v>271</v>
      </c>
      <c r="E73" s="3" t="inlineStr">
        <is>
          <t>2 · DISPLAYED</t>
        </is>
      </c>
      <c r="F73" s="3" t="inlineStr">
        <is>
          <t>A screen calls it directly, so its answer is on a screen.</t>
        </is>
      </c>
      <c r="G73" s="3" t="inlineStr">
        <is>
          <t>Yes</t>
        </is>
      </c>
      <c r="H73" s="3" t="inlineStr">
        <is>
          <t>MK-NW-F-027 accountClassBreakdown · MK-NW-F-011 assetClassOf · MK-ST-F-055 round2</t>
        </is>
      </c>
      <c r="I73" s="3" t="n">
        <v>5</v>
      </c>
      <c r="J73" s="3" t="inlineStr">
        <is>
          <t>MK-NW-F-027 accountClassBreakdown · MK-NW-F-011 assetClassOf · MK-ST-F-055 round2 · MK-NW-F-008 incomeBearingClassOf · MK-ST-F-010 nameEvidence</t>
        </is>
      </c>
      <c r="K73" s="3" t="inlineStr">
        <is>
          <t>MK-ST-F-010 nameEvidence → MK-NW-F-008 incomeBearingClassOf → MK-NW-F-011 assetClassOf → MK-NW-F-027 accountClassBreakdown → MK-NW-F-016 cashTotal
MK-ST-F-010 nameEvidence → MK-NW-F-008 incomeBearingClassOf → MK-NW-F-027 accountClassBreakdown → MK-NW-F-016 cashTotal
MK-ST-F-055 round2 → MK-NW-F-027 accountClassBreakdown → MK-NW-F-016 cashTotal
MK-ST-F-010 nameEvidence → MK-NW-F-008 incomeBearingClassOf → MK-NW-F-011 assetClassOf → MK-NW-F-016 cashTotal
MK-ST-F-055 round2 → MK-NW-F-016 cashTotal</t>
        </is>
      </c>
      <c r="L73" s="3" t="inlineStr">
        <is>
          <t>MK-NW-M-005</t>
        </is>
      </c>
      <c r="M73" s="3" t="inlineStr">
        <is>
          <t>TOTAL_CASH</t>
        </is>
      </c>
    </row>
    <row r="74">
      <c r="A74" s="3" t="inlineStr">
        <is>
          <t>MK-CF-F-020</t>
        </is>
      </c>
      <c r="B74" s="3" t="inlineStr">
        <is>
          <t>cashflowYear</t>
        </is>
      </c>
      <c r="C74" s="3" t="inlineStr">
        <is>
          <t>src/domain/cashflow/index.ts</t>
        </is>
      </c>
      <c r="D74" s="3" t="n">
        <v>147</v>
      </c>
      <c r="E74" s="3" t="inlineStr">
        <is>
          <t>3 · DEPENDENT (feeds an action only)</t>
        </is>
      </c>
      <c r="F74" s="3" t="inlineStr">
        <is>
          <t>Its answer feeds another function, but no chain from it reaches a screen.</t>
        </is>
      </c>
      <c r="G74" s="3" t="inlineStr">
        <is>
          <t>No</t>
        </is>
      </c>
      <c r="H74" s="3" t="inlineStr">
        <is>
          <t>MK-CF-F-069 benefitActiveMonths · MK-CF-F-072 currentRetirementIncomeMonthly · MK-CF-F-090 effectiveRate · MK-CF-F-018 equityByMonth · MK-CF-F-073 otherIncomeMonth · MK-CF-F-068 rentalNetAnnual · MK-ST-F-055 round2 · MK-CF-F-060 salaryGrossByMonth · MK-CF-F-008 spendByMonth · MK-ST-F-052 toNum</t>
        </is>
      </c>
      <c r="I74" s="3" t="n">
        <v>33</v>
      </c>
      <c r="J74" s="3" t="inlineStr">
        <is>
          <t>MK-CF-F-069 benefitActiveMonths · MK-CF-F-072 currentRetirementIncomeMonthly · MK-CF-F-090 effectiveRate · MK-CF-F-018 equityByMonth · MK-CF-F-073 otherIncomeMonth · MK-CF-F-068 rentalNetAnnual · MK-ST-F-055 round2 · MK-CF-F-060 salaryGrossByMonth · MK-CF-F-008 spendByMonth · MK-ST-F-052 toNum · MK-CF-F-075 retirementIncomeMonthly · MK-CF-F-102 effectiveRateOnGrossFor · MK-CF-F-085 filingStatusOf · MK-CF-F-089 over65CountOf · MK-CF-F-086 stateRateOf · MK-CF-F-084 taxableAnnual · MK-CF-F-062 equityRowValue · MK-CF-F-066 rsuAnnual · MK-CF-F-067 rentalList · MK-CF-F-097 grossFromNet · MK-CF-F-004 spendBuckets · MK-CF-F-101 taxOwedFor · MK-CF-F-071 extraIncome · MK-CF-F-082 salaryAnnual · MK-CF-F-074 tipsAnnual · MK-CF-F-063 rowVestYear · MK-CF-F-095 taxOwed · MK-CF-F-003 categoryMonthly · MK-CF-F-100 taxableIncomeFor · MK-CF-F-070 benefitAnnual · MK-CF-F-081 salaryActiveMonths · MK-CF-F-093 taxableIncome · MK-CF-F-099 deductionFor</t>
        </is>
      </c>
      <c r="K74" s="3" t="inlineStr">
        <is>
          <t>MK-CF-F-069 benefitActiveMonths → MK-CF-F-020 cashflowYear
MK-ST-F-052 toNum → MK-CF-F-075 retirementIncomeMonthly → MK-CF-F-072 currentRetirementIncomeMonthly → MK-CF-F-020 cashflowYear
MK-CF-F-099 deductionFor → MK-CF-F-100 taxableIncomeFor → MK-CF-F-101 taxOwedFor → MK-CF-F-102 effectiveRateOnGrossFor → MK-CF-F-090 effectiveRate → MK-CF-F-020 cashflowYear
MK-CF-F-085 filingStatusOf → MK-CF-F-090 effectiveRate → MK-CF-F-020 cashflowYear
MK-ST-F-052 toNum → MK-CF-F-089 over65CountOf → MK-CF-F-090 effectiveRate → MK-CF-F-020 cashflowYear
MK-ST-F-052 toNum → MK-CF-F-086 stateRateOf → MK-CF-F-090 effectiveRate → MK-CF-F-020 cashflowYear
MK-ST-F-052 toNum → MK-CF-F-075 retirementIncomeMonthly → MK-CF-F-072 currentRetirementIncomeMonthly → MK-CF-F-084 taxableAnnual → MK-CF-F-090 effectiveRate → MK-CF-F-020 cashflowYear
MK-CF-F-069 benefitActiveMonths → MK-CF-F-070 benefitAnnual → MK-CF-F-071 extraIncome → MK-CF-F-084 taxableAnnual → MK-CF-F-090 effectiveRate → MK-CF-F-020 cashflowYear
… and 29 more paths</t>
        </is>
      </c>
      <c r="L74" s="3" t="inlineStr">
        <is>
          <t>—</t>
        </is>
      </c>
      <c r="M74" s="3" t="inlineStr">
        <is>
          <t>—</t>
        </is>
      </c>
    </row>
    <row r="75">
      <c r="A75" s="3" t="inlineStr">
        <is>
          <t>MK-CF-F-003</t>
        </is>
      </c>
      <c r="B75" s="3" t="inlineStr">
        <is>
          <t>categoryMonthly</t>
        </is>
      </c>
      <c r="C75" s="3" t="inlineStr">
        <is>
          <t>src/domain/budget/index.ts</t>
        </is>
      </c>
      <c r="D75" s="3" t="n">
        <v>61</v>
      </c>
      <c r="E75" s="3" t="inlineStr">
        <is>
          <t>2 · DISPLAYED</t>
        </is>
      </c>
      <c r="F75" s="3" t="inlineStr">
        <is>
          <t>A screen calls it directly, so its answer is on a screen.</t>
        </is>
      </c>
      <c r="G75" s="3" t="inlineStr">
        <is>
          <t>Yes</t>
        </is>
      </c>
      <c r="H75" s="3" t="inlineStr">
        <is>
          <t>MK-ST-F-052 toNum</t>
        </is>
      </c>
      <c r="I75" s="3" t="n">
        <v>1</v>
      </c>
      <c r="J75" s="3" t="inlineStr">
        <is>
          <t>MK-ST-F-052 toNum</t>
        </is>
      </c>
      <c r="K75" s="3" t="inlineStr">
        <is>
          <t>MK-ST-F-052 toNum → MK-CF-F-003 categoryMonthly</t>
        </is>
      </c>
      <c r="L75" s="3" t="inlineStr">
        <is>
          <t>—</t>
        </is>
      </c>
      <c r="M75" s="3" t="inlineStr">
        <is>
          <t>—</t>
        </is>
      </c>
    </row>
    <row r="76">
      <c r="A76" s="3" t="inlineStr">
        <is>
          <t>MK-PL-F-064</t>
        </is>
      </c>
      <c r="B76" s="3" t="inlineStr">
        <is>
          <t>claimWindow</t>
        </is>
      </c>
      <c r="C76" s="3" t="inlineStr">
        <is>
          <t>src/domain/retirement/ssTiming.ts</t>
        </is>
      </c>
      <c r="D76" s="3" t="n">
        <v>77</v>
      </c>
      <c r="E76" s="3" t="inlineStr">
        <is>
          <t>2 · DISPLAYED</t>
        </is>
      </c>
      <c r="F76" s="3" t="inlineStr">
        <is>
          <t>A screen calls it directly, so its answer is on a screen.</t>
        </is>
      </c>
      <c r="G76" s="3" t="inlineStr">
        <is>
          <t>Yes</t>
        </is>
      </c>
      <c r="H76" s="3" t="inlineStr">
        <is>
          <t>—</t>
        </is>
      </c>
      <c r="I76" s="3" t="n">
        <v>0</v>
      </c>
      <c r="J76" s="3" t="inlineStr">
        <is>
          <t>None — no dependent function stands behind it</t>
        </is>
      </c>
      <c r="K76" s="3" t="inlineStr">
        <is>
          <t>No dependent function — it reads its inputs and answers</t>
        </is>
      </c>
      <c r="L76" s="3" t="inlineStr">
        <is>
          <t>—</t>
        </is>
      </c>
      <c r="M76" s="3" t="inlineStr">
        <is>
          <t>—</t>
        </is>
      </c>
    </row>
    <row r="77">
      <c r="A77" s="3" t="inlineStr">
        <is>
          <t>MK-NW-F-028</t>
        </is>
      </c>
      <c r="B77" s="3" t="inlineStr">
        <is>
          <t>classPortionLabel</t>
        </is>
      </c>
      <c r="C77" s="3" t="inlineStr">
        <is>
          <t>src/domain/assets/index.ts</t>
        </is>
      </c>
      <c r="D77" s="3" t="n">
        <v>465</v>
      </c>
      <c r="E77" s="3" t="inlineStr">
        <is>
          <t>2 · DISPLAYED</t>
        </is>
      </c>
      <c r="F77" s="3" t="inlineStr">
        <is>
          <t>A screen calls it directly, so its answer is on a screen.</t>
        </is>
      </c>
      <c r="G77" s="3" t="inlineStr">
        <is>
          <t>Yes</t>
        </is>
      </c>
      <c r="H77" s="3" t="inlineStr">
        <is>
          <t>—</t>
        </is>
      </c>
      <c r="I77" s="3" t="n">
        <v>0</v>
      </c>
      <c r="J77" s="3" t="inlineStr">
        <is>
          <t>None — no dependent function stands behind it</t>
        </is>
      </c>
      <c r="K77" s="3" t="inlineStr">
        <is>
          <t>No dependent function — it reads its inputs and answers</t>
        </is>
      </c>
      <c r="L77" s="3" t="inlineStr">
        <is>
          <t>—</t>
        </is>
      </c>
      <c r="M77" s="3" t="inlineStr">
        <is>
          <t>SLICE_WORDING</t>
        </is>
      </c>
    </row>
    <row r="78">
      <c r="A78" s="3" t="inlineStr">
        <is>
          <t>MK-ST-F-007</t>
        </is>
      </c>
      <c r="B78" s="3" t="inlineStr">
        <is>
          <t>classifyEvent</t>
        </is>
      </c>
      <c r="C78" s="3" t="inlineStr">
        <is>
          <t>Calculation Module code/engines/events.ts</t>
        </is>
      </c>
      <c r="D78" s="3" t="n">
        <v>178</v>
      </c>
      <c r="E78" s="3" t="inlineStr">
        <is>
          <t>3 · DEPENDENT (feeds an action only)</t>
        </is>
      </c>
      <c r="F78" s="3" t="inlineStr">
        <is>
          <t>Its answer feeds another function, but no chain from it reaches a screen.</t>
        </is>
      </c>
      <c r="G78" s="3" t="inlineStr">
        <is>
          <t>No</t>
        </is>
      </c>
      <c r="H78" s="3" t="inlineStr">
        <is>
          <t>—</t>
        </is>
      </c>
      <c r="I78" s="3" t="n">
        <v>0</v>
      </c>
      <c r="J78" s="3" t="inlineStr">
        <is>
          <t>None — no dependent function stands behind it</t>
        </is>
      </c>
      <c r="K78" s="3" t="inlineStr">
        <is>
          <t>No dependent function — it reads its inputs and answers</t>
        </is>
      </c>
      <c r="L78" s="3" t="inlineStr">
        <is>
          <t>—</t>
        </is>
      </c>
      <c r="M78" s="3" t="inlineStr">
        <is>
          <t>—</t>
        </is>
      </c>
    </row>
    <row r="79">
      <c r="A79" s="3" t="inlineStr">
        <is>
          <t>MK-XS-F-014</t>
        </is>
      </c>
      <c r="B79" s="3" t="inlineStr">
        <is>
          <t>classifyHolding</t>
        </is>
      </c>
      <c r="C79" s="3" t="inlineStr">
        <is>
          <t>src/domain/import/holdingsImport.ts</t>
        </is>
      </c>
      <c r="D79" s="3" t="n">
        <v>137</v>
      </c>
      <c r="E79" s="3" t="inlineStr">
        <is>
          <t>3 · DEPENDENT</t>
        </is>
      </c>
      <c r="F79" s="3" t="inlineStr">
        <is>
          <t>Its answer feeds another function, and that chain ends at a screen.</t>
        </is>
      </c>
      <c r="G79" s="3" t="inlineStr">
        <is>
          <t>Yes</t>
        </is>
      </c>
      <c r="H79" s="3" t="inlineStr">
        <is>
          <t>MK-ST-F-011 classifyHoldingClass</t>
        </is>
      </c>
      <c r="I79" s="3" t="n">
        <v>2</v>
      </c>
      <c r="J79" s="3" t="inlineStr">
        <is>
          <t>MK-ST-F-011 classifyHoldingClass · MK-ST-F-010 nameEvidence</t>
        </is>
      </c>
      <c r="K79" s="3" t="inlineStr">
        <is>
          <t>MK-ST-F-010 nameEvidence → MK-ST-F-011 classifyHoldingClass → MK-XS-F-014 classifyHolding</t>
        </is>
      </c>
      <c r="L79" s="3" t="inlineStr">
        <is>
          <t>—</t>
        </is>
      </c>
      <c r="M79" s="3" t="inlineStr">
        <is>
          <t>CLASS_FROM_FILE</t>
        </is>
      </c>
    </row>
    <row r="80">
      <c r="A80" s="3" t="inlineStr">
        <is>
          <t>MK-ST-F-011</t>
        </is>
      </c>
      <c r="B80" s="3" t="inlineStr">
        <is>
          <t>classifyHoldingClass</t>
        </is>
      </c>
      <c r="C80" s="3" t="inlineStr">
        <is>
          <t>Calculation Module code/engines/holding-class.ts</t>
        </is>
      </c>
      <c r="D80" s="3" t="n">
        <v>106</v>
      </c>
      <c r="E80" s="3" t="inlineStr">
        <is>
          <t>3 · DEPENDENT</t>
        </is>
      </c>
      <c r="F80" s="3" t="inlineStr">
        <is>
          <t>Its answer feeds another function, and that chain ends at a screen.</t>
        </is>
      </c>
      <c r="G80" s="3" t="inlineStr">
        <is>
          <t>Yes</t>
        </is>
      </c>
      <c r="H80" s="3" t="inlineStr">
        <is>
          <t>MK-ST-F-010 nameEvidence</t>
        </is>
      </c>
      <c r="I80" s="3" t="n">
        <v>1</v>
      </c>
      <c r="J80" s="3" t="inlineStr">
        <is>
          <t>MK-ST-F-010 nameEvidence</t>
        </is>
      </c>
      <c r="K80" s="3" t="inlineStr">
        <is>
          <t>MK-ST-F-010 nameEvidence → MK-ST-F-011 classifyHoldingClass</t>
        </is>
      </c>
      <c r="L80" s="3" t="inlineStr">
        <is>
          <t>—</t>
        </is>
      </c>
      <c r="M80" s="3" t="inlineStr">
        <is>
          <t>—</t>
        </is>
      </c>
    </row>
    <row r="81">
      <c r="A81" s="3" t="inlineStr">
        <is>
          <t>MK-XS-F-043</t>
        </is>
      </c>
      <c r="B81" s="3" t="inlineStr">
        <is>
          <t>clearDataKey</t>
        </is>
      </c>
      <c r="C81" s="3" t="inlineStr">
        <is>
          <t>src/services/dataCrypto.ts</t>
        </is>
      </c>
      <c r="D81" s="3" t="n">
        <v>52</v>
      </c>
      <c r="E81" s="3" t="inlineStr">
        <is>
          <t>1 · ACTION</t>
        </is>
      </c>
      <c r="F81" s="3" t="inlineStr">
        <is>
          <t>Produces nothing that is displayed — it does something: saves, syncs or records.</t>
        </is>
      </c>
      <c r="G81" s="3" t="inlineStr">
        <is>
          <t>Yes</t>
        </is>
      </c>
      <c r="H81" s="3" t="inlineStr">
        <is>
          <t>—</t>
        </is>
      </c>
      <c r="I81" s="3" t="n">
        <v>0</v>
      </c>
      <c r="J81" s="3" t="inlineStr">
        <is>
          <t>None — no dependent function stands behind it</t>
        </is>
      </c>
      <c r="K81" s="3" t="inlineStr">
        <is>
          <t>No dependent function — it reads its inputs and answers</t>
        </is>
      </c>
      <c r="L81" s="3" t="inlineStr">
        <is>
          <t>—</t>
        </is>
      </c>
      <c r="M81" s="3" t="inlineStr">
        <is>
          <t>—</t>
        </is>
      </c>
    </row>
    <row r="82">
      <c r="A82" s="3" t="inlineStr">
        <is>
          <t>MK-PL-F-047</t>
        </is>
      </c>
      <c r="B82" s="3" t="inlineStr">
        <is>
          <t>colFactor</t>
        </is>
      </c>
      <c r="C82" s="3" t="inlineStr">
        <is>
          <t>src/domain/retirement/col.ts</t>
        </is>
      </c>
      <c r="D82" s="3" t="n">
        <v>53</v>
      </c>
      <c r="E82" s="3" t="inlineStr">
        <is>
          <t>2 · DISPLAYED</t>
        </is>
      </c>
      <c r="F82" s="3" t="inlineStr">
        <is>
          <t>A screen calls it directly, so its answer is on a screen.</t>
        </is>
      </c>
      <c r="G82" s="3" t="inlineStr">
        <is>
          <t>Yes</t>
        </is>
      </c>
      <c r="H82" s="3" t="inlineStr">
        <is>
          <t>—</t>
        </is>
      </c>
      <c r="I82" s="3" t="n">
        <v>0</v>
      </c>
      <c r="J82" s="3" t="inlineStr">
        <is>
          <t>None — no dependent function stands behind it</t>
        </is>
      </c>
      <c r="K82" s="3" t="inlineStr">
        <is>
          <t>No dependent function — it reads its inputs and answers</t>
        </is>
      </c>
      <c r="L82" s="3" t="inlineStr">
        <is>
          <t>—</t>
        </is>
      </c>
      <c r="M82" s="3" t="inlineStr">
        <is>
          <t>COST_OF_LIVING</t>
        </is>
      </c>
    </row>
    <row r="83">
      <c r="A83" s="3" t="inlineStr">
        <is>
          <t>MK-CF-F-043</t>
        </is>
      </c>
      <c r="B83" s="3" t="inlineStr">
        <is>
          <t>compareMortgageToTreasury</t>
        </is>
      </c>
      <c r="C83" s="3" t="inlineStr">
        <is>
          <t>src/domain/debt/mortgageVsTreasury.ts</t>
        </is>
      </c>
      <c r="D83" s="3" t="n">
        <v>72</v>
      </c>
      <c r="E83" s="3" t="inlineStr">
        <is>
          <t>2 · DISPLAYED</t>
        </is>
      </c>
      <c r="F83" s="3" t="inlineStr">
        <is>
          <t>A screen calls it directly, so its answer is on a screen.</t>
        </is>
      </c>
      <c r="G83" s="3" t="inlineStr">
        <is>
          <t>Yes</t>
        </is>
      </c>
      <c r="H83" s="3" t="inlineStr">
        <is>
          <t>—</t>
        </is>
      </c>
      <c r="I83" s="3" t="n">
        <v>0</v>
      </c>
      <c r="J83" s="3" t="inlineStr">
        <is>
          <t>None — no dependent function stands behind it</t>
        </is>
      </c>
      <c r="K83" s="3" t="inlineStr">
        <is>
          <t>No dependent function — it reads its inputs and answers</t>
        </is>
      </c>
      <c r="L83" s="3" t="inlineStr">
        <is>
          <t>—</t>
        </is>
      </c>
      <c r="M83" s="3" t="inlineStr">
        <is>
          <t>—</t>
        </is>
      </c>
    </row>
    <row r="84">
      <c r="A84" s="3" t="inlineStr">
        <is>
          <t>MK-XS-F-103</t>
        </is>
      </c>
      <c r="B84" s="3" t="inlineStr">
        <is>
          <t>confirmWrapper</t>
        </is>
      </c>
      <c r="C84" s="3" t="inlineStr">
        <is>
          <t>src/services/sync/ingest.ts</t>
        </is>
      </c>
      <c r="D84" s="3" t="n">
        <v>227</v>
      </c>
      <c r="E84" s="3" t="inlineStr">
        <is>
          <t>3 · DEPENDENT (feeds an action only)</t>
        </is>
      </c>
      <c r="F84" s="3" t="inlineStr">
        <is>
          <t>Its answer feeds another function, but no chain from it reaches a screen.</t>
        </is>
      </c>
      <c r="G84" s="3" t="inlineStr">
        <is>
          <t>No</t>
        </is>
      </c>
      <c r="H84" s="3" t="inlineStr">
        <is>
          <t>—</t>
        </is>
      </c>
      <c r="I84" s="3" t="n">
        <v>0</v>
      </c>
      <c r="J84" s="3" t="inlineStr">
        <is>
          <t>None — no dependent function stands behind it</t>
        </is>
      </c>
      <c r="K84" s="3" t="inlineStr">
        <is>
          <t>No dependent function — it reads its inputs and answers</t>
        </is>
      </c>
      <c r="L84" s="3" t="inlineStr">
        <is>
          <t>—</t>
        </is>
      </c>
      <c r="M84" s="3" t="inlineStr">
        <is>
          <t>CONFIRM_TAX_TYPE</t>
        </is>
      </c>
    </row>
    <row r="85">
      <c r="A85" s="3" t="inlineStr">
        <is>
          <t>MK-XS-F-100</t>
        </is>
      </c>
      <c r="B85" s="3" t="inlineStr">
        <is>
          <t>connectionFreshness</t>
        </is>
      </c>
      <c r="C85" s="3" t="inlineStr">
        <is>
          <t>src/services/sync/index.ts</t>
        </is>
      </c>
      <c r="D85" s="3" t="n">
        <v>65</v>
      </c>
      <c r="E85" s="3" t="inlineStr">
        <is>
          <t>2 · DISPLAYED</t>
        </is>
      </c>
      <c r="F85" s="3" t="inlineStr">
        <is>
          <t>A screen calls it directly, so its answer is on a screen.</t>
        </is>
      </c>
      <c r="G85" s="3" t="inlineStr">
        <is>
          <t>Yes</t>
        </is>
      </c>
      <c r="H85" s="3" t="inlineStr">
        <is>
          <t>—</t>
        </is>
      </c>
      <c r="I85" s="3" t="n">
        <v>0</v>
      </c>
      <c r="J85" s="3" t="inlineStr">
        <is>
          <t>None — no dependent function stands behind it</t>
        </is>
      </c>
      <c r="K85" s="3" t="inlineStr">
        <is>
          <t>No dependent function — it reads its inputs and answers</t>
        </is>
      </c>
      <c r="L85" s="3" t="inlineStr">
        <is>
          <t>—</t>
        </is>
      </c>
      <c r="M85" s="3" t="inlineStr">
        <is>
          <t>—</t>
        </is>
      </c>
    </row>
    <row r="86">
      <c r="A86" s="3" t="inlineStr">
        <is>
          <t>MK-NW-F-053</t>
        </is>
      </c>
      <c r="B86" s="3" t="inlineStr">
        <is>
          <t>correctClassOf</t>
        </is>
      </c>
      <c r="C86" s="3" t="inlineStr">
        <is>
          <t>src/domain/assets/reclassify.ts</t>
        </is>
      </c>
      <c r="D86" s="3" t="n">
        <v>11</v>
      </c>
      <c r="E86" s="3" t="inlineStr">
        <is>
          <t>3 · DEPENDENT (feeds an action only)</t>
        </is>
      </c>
      <c r="F86" s="3" t="inlineStr">
        <is>
          <t>Its answer feeds another function, but no chain from it reaches a screen.</t>
        </is>
      </c>
      <c r="G86" s="3" t="inlineStr">
        <is>
          <t>No</t>
        </is>
      </c>
      <c r="H86" s="3" t="inlineStr">
        <is>
          <t>MK-NW-F-008 incomeBearingClassOf · MK-NW-F-009 maturityClass</t>
        </is>
      </c>
      <c r="I86" s="3" t="n">
        <v>3</v>
      </c>
      <c r="J86" s="3" t="inlineStr">
        <is>
          <t>MK-NW-F-008 incomeBearingClassOf · MK-NW-F-009 maturityClass · MK-ST-F-010 nameEvidence</t>
        </is>
      </c>
      <c r="K86" s="3" t="inlineStr">
        <is>
          <t>MK-ST-F-010 nameEvidence → MK-NW-F-008 incomeBearingClassOf → MK-NW-F-053 correctClassOf
MK-NW-F-009 maturityClass → MK-NW-F-053 correctClassOf</t>
        </is>
      </c>
      <c r="L86" s="3" t="inlineStr">
        <is>
          <t>—</t>
        </is>
      </c>
      <c r="M86" s="3" t="inlineStr">
        <is>
          <t>—</t>
        </is>
      </c>
    </row>
    <row r="87">
      <c r="A87" s="3" t="inlineStr">
        <is>
          <t>MK-PF-F-002</t>
        </is>
      </c>
      <c r="B87" s="3" t="inlineStr">
        <is>
          <t>costBasis</t>
        </is>
      </c>
      <c r="C87" s="3" t="inlineStr">
        <is>
          <t>src/domain/performance/index.ts</t>
        </is>
      </c>
      <c r="D87" s="3" t="n">
        <v>40</v>
      </c>
      <c r="E87" s="3" t="inlineStr">
        <is>
          <t>2 · DISPLAYED</t>
        </is>
      </c>
      <c r="F87" s="3" t="inlineStr">
        <is>
          <t>A screen calls it directly, so its answer is on a screen.</t>
        </is>
      </c>
      <c r="G87" s="3" t="inlineStr">
        <is>
          <t>Yes</t>
        </is>
      </c>
      <c r="H87" s="3" t="inlineStr">
        <is>
          <t>MK-ST-F-055 round2</t>
        </is>
      </c>
      <c r="I87" s="3" t="n">
        <v>1</v>
      </c>
      <c r="J87" s="3" t="inlineStr">
        <is>
          <t>MK-ST-F-055 round2</t>
        </is>
      </c>
      <c r="K87" s="3" t="inlineStr">
        <is>
          <t>MK-ST-F-055 round2 → MK-PF-F-002 costBasis</t>
        </is>
      </c>
      <c r="L87" s="3" t="inlineStr">
        <is>
          <t>MK-NW-M-032 · MK-NW-M-033</t>
        </is>
      </c>
      <c r="M87" s="3" t="inlineStr">
        <is>
          <t>HOLDING_COST_BASIS</t>
        </is>
      </c>
    </row>
    <row r="88">
      <c r="A88" s="3" t="inlineStr">
        <is>
          <t>MK-NW-F-062</t>
        </is>
      </c>
      <c r="B88" s="3" t="inlineStr">
        <is>
          <t>couponIncomeAnnual</t>
        </is>
      </c>
      <c r="C88" s="3" t="inlineStr">
        <is>
          <t>src/domain/bonds/index.ts</t>
        </is>
      </c>
      <c r="D88" s="3" t="n">
        <v>52</v>
      </c>
      <c r="E88" s="3" t="inlineStr">
        <is>
          <t>3 · DEPENDENT (feeds an action only)</t>
        </is>
      </c>
      <c r="F88" s="3" t="inlineStr">
        <is>
          <t>Its answer feeds another function, but no chain from it reaches a screen.</t>
        </is>
      </c>
      <c r="G88" s="3" t="inlineStr">
        <is>
          <t>No</t>
        </is>
      </c>
      <c r="H88" s="3" t="inlineStr">
        <is>
          <t>MK-NW-F-057 annualCoupon · MK-NW-F-056 bondInfo · MK-ST-F-055 round2</t>
        </is>
      </c>
      <c r="I88" s="3" t="n">
        <v>3</v>
      </c>
      <c r="J88" s="3" t="inlineStr">
        <is>
          <t>MK-NW-F-057 annualCoupon · MK-NW-F-056 bondInfo · MK-ST-F-055 round2</t>
        </is>
      </c>
      <c r="K88" s="3" t="inlineStr">
        <is>
          <t>MK-ST-F-055 round2 → MK-NW-F-057 annualCoupon → MK-NW-F-062 couponIncomeAnnual
MK-NW-F-056 bondInfo → MK-NW-F-062 couponIncomeAnnual
MK-ST-F-055 round2 → MK-NW-F-062 couponIncomeAnnual</t>
        </is>
      </c>
      <c r="L88" s="3" t="inlineStr">
        <is>
          <t>—</t>
        </is>
      </c>
      <c r="M88" s="3" t="inlineStr">
        <is>
          <t>—</t>
        </is>
      </c>
    </row>
    <row r="89">
      <c r="A89" s="3" t="inlineStr">
        <is>
          <t>MK-ST-F-004</t>
        </is>
      </c>
      <c r="B89" s="3" t="inlineStr">
        <is>
          <t>coverageFor</t>
        </is>
      </c>
      <c r="C89" s="3" t="inlineStr">
        <is>
          <t>Calculation Module code/engines/coverage.ts</t>
        </is>
      </c>
      <c r="D89" s="3" t="n">
        <v>60</v>
      </c>
      <c r="E89" s="3" t="inlineStr">
        <is>
          <t>2 · DISPLAYED</t>
        </is>
      </c>
      <c r="F89" s="3" t="inlineStr">
        <is>
          <t>A screen calls it directly, so its answer is on a screen.</t>
        </is>
      </c>
      <c r="G89" s="3" t="inlineStr">
        <is>
          <t>Yes</t>
        </is>
      </c>
      <c r="H89" s="3" t="inlineStr">
        <is>
          <t>MK-ST-F-003 dayWords · MK-ST-F-034 firstDate · MK-ST-F-002 monthWords</t>
        </is>
      </c>
      <c r="I89" s="3" t="n">
        <v>3</v>
      </c>
      <c r="J89" s="3" t="inlineStr">
        <is>
          <t>MK-ST-F-003 dayWords · MK-ST-F-034 firstDate · MK-ST-F-002 monthWords</t>
        </is>
      </c>
      <c r="K89" s="3" t="inlineStr">
        <is>
          <t>MK-ST-F-002 monthWords → MK-ST-F-003 dayWords → MK-ST-F-004 coverageFor
MK-ST-F-034 firstDate → MK-ST-F-004 coverageFor
MK-ST-F-002 monthWords → MK-ST-F-004 coverageFor</t>
        </is>
      </c>
      <c r="L89" s="3" t="inlineStr">
        <is>
          <t>—</t>
        </is>
      </c>
      <c r="M89" s="3" t="inlineStr">
        <is>
          <t>—</t>
        </is>
      </c>
    </row>
    <row r="90">
      <c r="A90" s="3" t="inlineStr">
        <is>
          <t>MK-ST-F-035</t>
        </is>
      </c>
      <c r="B90" s="3" t="inlineStr">
        <is>
          <t>covers</t>
        </is>
      </c>
      <c r="C90" s="3" t="inlineStr">
        <is>
          <t>Calculation Module code/engines/snapshots.ts</t>
        </is>
      </c>
      <c r="D90" s="3" t="n">
        <v>198</v>
      </c>
      <c r="E90" s="3" t="inlineStr">
        <is>
          <t>3 · DEPENDENT (feeds an action only)</t>
        </is>
      </c>
      <c r="F90" s="3" t="inlineStr">
        <is>
          <t>Its answer feeds another function, but no chain from it reaches a screen.</t>
        </is>
      </c>
      <c r="G90" s="3" t="inlineStr">
        <is>
          <t>No</t>
        </is>
      </c>
      <c r="H90" s="3" t="inlineStr">
        <is>
          <t>MK-ST-F-034 firstDate</t>
        </is>
      </c>
      <c r="I90" s="3" t="n">
        <v>1</v>
      </c>
      <c r="J90" s="3" t="inlineStr">
        <is>
          <t>MK-ST-F-034 firstDate</t>
        </is>
      </c>
      <c r="K90" s="3" t="inlineStr">
        <is>
          <t>MK-ST-F-034 firstDate → MK-ST-F-035 covers</t>
        </is>
      </c>
      <c r="L90" s="3" t="inlineStr">
        <is>
          <t>—</t>
        </is>
      </c>
      <c r="M90" s="3" t="inlineStr">
        <is>
          <t>—</t>
        </is>
      </c>
    </row>
    <row r="91">
      <c r="A91" s="3" t="inlineStr">
        <is>
          <t>MK-XS-F-039</t>
        </is>
      </c>
      <c r="B91" s="3" t="inlineStr">
        <is>
          <t>crashReportingEnabled</t>
        </is>
      </c>
      <c r="C91" s="3" t="inlineStr">
        <is>
          <t>src/services/crashReporter.ts</t>
        </is>
      </c>
      <c r="D91" s="3" t="n">
        <v>77</v>
      </c>
      <c r="E91" s="3" t="inlineStr">
        <is>
          <t>3 · DEPENDENT (feeds an action only)</t>
        </is>
      </c>
      <c r="F91" s="3" t="inlineStr">
        <is>
          <t>Its answer feeds another function, but no chain from it reaches a screen.</t>
        </is>
      </c>
      <c r="G91" s="3" t="inlineStr">
        <is>
          <t>No</t>
        </is>
      </c>
      <c r="H91" s="3" t="inlineStr">
        <is>
          <t>—</t>
        </is>
      </c>
      <c r="I91" s="3" t="n">
        <v>0</v>
      </c>
      <c r="J91" s="3" t="inlineStr">
        <is>
          <t>None — no dependent function stands behind it</t>
        </is>
      </c>
      <c r="K91" s="3" t="inlineStr">
        <is>
          <t>No dependent function — it reads its inputs and answers</t>
        </is>
      </c>
      <c r="L91" s="3" t="inlineStr">
        <is>
          <t>—</t>
        </is>
      </c>
      <c r="M91" s="3" t="inlineStr">
        <is>
          <t>—</t>
        </is>
      </c>
    </row>
    <row r="92">
      <c r="A92" s="3" t="inlineStr">
        <is>
          <t>MK-XS-F-075</t>
        </is>
      </c>
      <c r="B92" s="3" t="inlineStr">
        <is>
          <t>createInvite</t>
        </is>
      </c>
      <c r="C92" s="3" t="inlineStr">
        <is>
          <t>src/services/firebase.ts</t>
        </is>
      </c>
      <c r="D92" s="3" t="n">
        <v>245</v>
      </c>
      <c r="E92" s="3" t="inlineStr">
        <is>
          <t>2 · DISPLAYED (presentation only)</t>
        </is>
      </c>
      <c r="F92" s="3" t="inlineStr">
        <is>
          <t>A screen calls it, but it only changes how a value LOOKS — it does no arithmetic.</t>
        </is>
      </c>
      <c r="G92" s="3" t="inlineStr">
        <is>
          <t>Yes</t>
        </is>
      </c>
      <c r="H92" s="3" t="inlineStr">
        <is>
          <t>—</t>
        </is>
      </c>
      <c r="I92" s="3" t="n">
        <v>0</v>
      </c>
      <c r="J92" s="3" t="inlineStr">
        <is>
          <t>None — no dependent function stands behind it</t>
        </is>
      </c>
      <c r="K92" s="3" t="inlineStr">
        <is>
          <t>No dependent function — it reads its inputs and answers</t>
        </is>
      </c>
      <c r="L92" s="3" t="inlineStr">
        <is>
          <t>—</t>
        </is>
      </c>
      <c r="M92" s="3" t="inlineStr">
        <is>
          <t>—</t>
        </is>
      </c>
    </row>
    <row r="93">
      <c r="A93" s="3" t="inlineStr">
        <is>
          <t>MK-CF-F-032</t>
        </is>
      </c>
      <c r="B93" s="3" t="inlineStr">
        <is>
          <t>creditScoreBand</t>
        </is>
      </c>
      <c r="C93" s="3" t="inlineStr">
        <is>
          <t>src/domain/debt/index.ts</t>
        </is>
      </c>
      <c r="D93" s="3" t="n">
        <v>113</v>
      </c>
      <c r="E93" s="3" t="inlineStr">
        <is>
          <t>2 · DISPLAYED</t>
        </is>
      </c>
      <c r="F93" s="3" t="inlineStr">
        <is>
          <t>A screen calls it directly, so its answer is on a screen.</t>
        </is>
      </c>
      <c r="G93" s="3" t="inlineStr">
        <is>
          <t>Yes</t>
        </is>
      </c>
      <c r="H93" s="3" t="inlineStr">
        <is>
          <t>—</t>
        </is>
      </c>
      <c r="I93" s="3" t="n">
        <v>0</v>
      </c>
      <c r="J93" s="3" t="inlineStr">
        <is>
          <t>None — no dependent function stands behind it</t>
        </is>
      </c>
      <c r="K93" s="3" t="inlineStr">
        <is>
          <t>No dependent function — it reads its inputs and answers</t>
        </is>
      </c>
      <c r="L93" s="3" t="inlineStr">
        <is>
          <t>—</t>
        </is>
      </c>
      <c r="M93" s="3" t="inlineStr">
        <is>
          <t>—</t>
        </is>
      </c>
    </row>
    <row r="94">
      <c r="A94" s="3" t="inlineStr">
        <is>
          <t>MK-CF-F-031</t>
        </is>
      </c>
      <c r="B94" s="3" t="inlineStr">
        <is>
          <t>creditUtilization</t>
        </is>
      </c>
      <c r="C94" s="3" t="inlineStr">
        <is>
          <t>src/domain/debt/index.ts</t>
        </is>
      </c>
      <c r="D94" s="3" t="n">
        <v>108</v>
      </c>
      <c r="E94" s="3" t="inlineStr">
        <is>
          <t>2 · DISPLAYED</t>
        </is>
      </c>
      <c r="F94" s="3" t="inlineStr">
        <is>
          <t>A screen calls it directly, so its answer is on a screen.</t>
        </is>
      </c>
      <c r="G94" s="3" t="inlineStr">
        <is>
          <t>Yes</t>
        </is>
      </c>
      <c r="H94" s="3" t="inlineStr">
        <is>
          <t>—</t>
        </is>
      </c>
      <c r="I94" s="3" t="n">
        <v>0</v>
      </c>
      <c r="J94" s="3" t="inlineStr">
        <is>
          <t>None — no dependent function stands behind it</t>
        </is>
      </c>
      <c r="K94" s="3" t="inlineStr">
        <is>
          <t>No dependent function — it reads its inputs and answers</t>
        </is>
      </c>
      <c r="L94" s="3" t="inlineStr">
        <is>
          <t>—</t>
        </is>
      </c>
      <c r="M94" s="3" t="inlineStr">
        <is>
          <t>—</t>
        </is>
      </c>
    </row>
    <row r="95">
      <c r="A95" s="3" t="inlineStr">
        <is>
          <t>MK-ST-F-048</t>
        </is>
      </c>
      <c r="B95" s="3" t="inlineStr">
        <is>
          <t>currencySymbol</t>
        </is>
      </c>
      <c r="C95" s="3" t="inlineStr">
        <is>
          <t>src/domain/_shared/money.ts</t>
        </is>
      </c>
      <c r="D95" s="3" t="n">
        <v>52</v>
      </c>
      <c r="E95" s="3" t="inlineStr">
        <is>
          <t>2 · DISPLAYED</t>
        </is>
      </c>
      <c r="F95" s="3" t="inlineStr">
        <is>
          <t>A screen calls it directly, so its answer is on a screen.</t>
        </is>
      </c>
      <c r="G95" s="3" t="inlineStr">
        <is>
          <t>Yes</t>
        </is>
      </c>
      <c r="H95" s="3" t="inlineStr">
        <is>
          <t>MK-ST-F-047 activeCurrency</t>
        </is>
      </c>
      <c r="I95" s="3" t="n">
        <v>1</v>
      </c>
      <c r="J95" s="3" t="inlineStr">
        <is>
          <t>MK-ST-F-047 activeCurrency</t>
        </is>
      </c>
      <c r="K95" s="3" t="inlineStr">
        <is>
          <t>MK-ST-F-047 activeCurrency → MK-ST-F-048 currencySymbol</t>
        </is>
      </c>
      <c r="L95" s="3" t="inlineStr">
        <is>
          <t>—</t>
        </is>
      </c>
      <c r="M95" s="3" t="inlineStr">
        <is>
          <t>—</t>
        </is>
      </c>
    </row>
    <row r="96">
      <c r="A96" s="3" t="inlineStr">
        <is>
          <t>MK-XS-F-017</t>
        </is>
      </c>
      <c r="B96" s="3" t="inlineStr">
        <is>
          <t>currentAge</t>
        </is>
      </c>
      <c r="C96" s="3" t="inlineStr">
        <is>
          <t>src/domain/profile/calc.ts</t>
        </is>
      </c>
      <c r="D96" s="3" t="n">
        <v>5</v>
      </c>
      <c r="E96" s="3" t="inlineStr">
        <is>
          <t>2 · DISPLAYED</t>
        </is>
      </c>
      <c r="F96" s="3" t="inlineStr">
        <is>
          <t>A screen calls it directly, so its answer is on a screen.</t>
        </is>
      </c>
      <c r="G96" s="3" t="inlineStr">
        <is>
          <t>Yes</t>
        </is>
      </c>
      <c r="H96" s="3" t="inlineStr">
        <is>
          <t>—</t>
        </is>
      </c>
      <c r="I96" s="3" t="n">
        <v>0</v>
      </c>
      <c r="J96" s="3" t="inlineStr">
        <is>
          <t>None — no dependent function stands behind it</t>
        </is>
      </c>
      <c r="K96" s="3" t="inlineStr">
        <is>
          <t>No dependent function — it reads its inputs and answers</t>
        </is>
      </c>
      <c r="L96" s="3" t="inlineStr">
        <is>
          <t>—</t>
        </is>
      </c>
      <c r="M96" s="3" t="inlineStr">
        <is>
          <t>—</t>
        </is>
      </c>
    </row>
    <row r="97">
      <c r="A97" s="3" t="inlineStr">
        <is>
          <t>MK-XS-F-064</t>
        </is>
      </c>
      <c r="B97" s="3" t="inlineStr">
        <is>
          <t>currentIdToken</t>
        </is>
      </c>
      <c r="C97" s="3" t="inlineStr">
        <is>
          <t>src/services/firebase.ts</t>
        </is>
      </c>
      <c r="D97" s="3" t="n">
        <v>107</v>
      </c>
      <c r="E97" s="3" t="inlineStr">
        <is>
          <t>3 · DEPENDENT</t>
        </is>
      </c>
      <c r="F97" s="3" t="inlineStr">
        <is>
          <t>Its answer feeds another function, and that chain ends at a screen.</t>
        </is>
      </c>
      <c r="G97" s="3" t="inlineStr">
        <is>
          <t>Yes</t>
        </is>
      </c>
      <c r="H97" s="3" t="inlineStr">
        <is>
          <t>—</t>
        </is>
      </c>
      <c r="I97" s="3" t="n">
        <v>0</v>
      </c>
      <c r="J97" s="3" t="inlineStr">
        <is>
          <t>None — no dependent function stands behind it</t>
        </is>
      </c>
      <c r="K97" s="3" t="inlineStr">
        <is>
          <t>No dependent function — it reads its inputs and answers</t>
        </is>
      </c>
      <c r="L97" s="3" t="inlineStr">
        <is>
          <t>—</t>
        </is>
      </c>
      <c r="M97" s="3" t="inlineStr">
        <is>
          <t>—</t>
        </is>
      </c>
    </row>
    <row r="98">
      <c r="A98" s="3" t="inlineStr">
        <is>
          <t>MK-CF-F-072</t>
        </is>
      </c>
      <c r="B98" s="3" t="inlineStr">
        <is>
          <t>currentRetirementIncomeMonthly</t>
        </is>
      </c>
      <c r="C98" s="3" t="inlineStr">
        <is>
          <t>src/domain/income/onboarding.ts</t>
        </is>
      </c>
      <c r="D98" s="3" t="n">
        <v>191</v>
      </c>
      <c r="E98" s="3" t="inlineStr">
        <is>
          <t>2 · DISPLAYED</t>
        </is>
      </c>
      <c r="F98" s="3" t="inlineStr">
        <is>
          <t>A screen calls it directly, so its answer is on a screen.</t>
        </is>
      </c>
      <c r="G98" s="3" t="inlineStr">
        <is>
          <t>Yes</t>
        </is>
      </c>
      <c r="H98" s="3" t="inlineStr">
        <is>
          <t>MK-CF-F-075 retirementIncomeMonthly</t>
        </is>
      </c>
      <c r="I98" s="3" t="n">
        <v>2</v>
      </c>
      <c r="J98" s="3" t="inlineStr">
        <is>
          <t>MK-CF-F-075 retirementIncomeMonthly · MK-ST-F-052 toNum</t>
        </is>
      </c>
      <c r="K98" s="3" t="inlineStr">
        <is>
          <t>MK-ST-F-052 toNum → MK-CF-F-075 retirementIncomeMonthly → MK-CF-F-072 currentRetirementIncomeMonthly</t>
        </is>
      </c>
      <c r="L98" s="3" t="inlineStr">
        <is>
          <t>MK-CF-M-011 · MK-CF-M-024 · MK-PL-M-018 · MK-PL-M-032</t>
        </is>
      </c>
      <c r="M98" s="3" t="inlineStr">
        <is>
          <t>RETIREMENT_INCOME_NOW</t>
        </is>
      </c>
    </row>
    <row r="99">
      <c r="A99" s="3" t="inlineStr">
        <is>
          <t>MK-XS-F-065</t>
        </is>
      </c>
      <c r="B99" s="3" t="inlineStr">
        <is>
          <t>currentUserEmail</t>
        </is>
      </c>
      <c r="C99" s="3" t="inlineStr">
        <is>
          <t>src/services/firebase.ts</t>
        </is>
      </c>
      <c r="D99" s="3" t="n">
        <v>111</v>
      </c>
      <c r="E99" s="3" t="inlineStr">
        <is>
          <t>2 · DISPLAYED</t>
        </is>
      </c>
      <c r="F99" s="3" t="inlineStr">
        <is>
          <t>A screen calls it directly, so its answer is on a screen.</t>
        </is>
      </c>
      <c r="G99" s="3" t="inlineStr">
        <is>
          <t>Yes</t>
        </is>
      </c>
      <c r="H99" s="3" t="inlineStr">
        <is>
          <t>—</t>
        </is>
      </c>
      <c r="I99" s="3" t="n">
        <v>0</v>
      </c>
      <c r="J99" s="3" t="inlineStr">
        <is>
          <t>None — no dependent function stands behind it</t>
        </is>
      </c>
      <c r="K99" s="3" t="inlineStr">
        <is>
          <t>No dependent function — it reads its inputs and answers</t>
        </is>
      </c>
      <c r="L99" s="3" t="inlineStr">
        <is>
          <t>—</t>
        </is>
      </c>
      <c r="M99" s="3" t="inlineStr">
        <is>
          <t>—</t>
        </is>
      </c>
    </row>
    <row r="100">
      <c r="A100" s="3" t="inlineStr">
        <is>
          <t>MK-NW-F-059</t>
        </is>
      </c>
      <c r="B100" s="3" t="inlineStr">
        <is>
          <t>currentYield</t>
        </is>
      </c>
      <c r="C100" s="3" t="inlineStr">
        <is>
          <t>src/domain/bonds/index.ts</t>
        </is>
      </c>
      <c r="D100" s="3" t="n">
        <v>29</v>
      </c>
      <c r="E100" s="3" t="inlineStr">
        <is>
          <t>2 · DISPLAYED</t>
        </is>
      </c>
      <c r="F100" s="3" t="inlineStr">
        <is>
          <t>A screen calls it directly, so its answer is on a screen.</t>
        </is>
      </c>
      <c r="G100" s="3" t="inlineStr">
        <is>
          <t>Yes</t>
        </is>
      </c>
      <c r="H100" s="3" t="inlineStr">
        <is>
          <t>MK-NW-F-057 annualCoupon</t>
        </is>
      </c>
      <c r="I100" s="3" t="n">
        <v>2</v>
      </c>
      <c r="J100" s="3" t="inlineStr">
        <is>
          <t>MK-NW-F-057 annualCoupon · MK-ST-F-055 round2</t>
        </is>
      </c>
      <c r="K100" s="3" t="inlineStr">
        <is>
          <t>MK-ST-F-055 round2 → MK-NW-F-057 annualCoupon → MK-NW-F-059 currentYield</t>
        </is>
      </c>
      <c r="L100" s="3" t="inlineStr">
        <is>
          <t>MK-NW-M-027 · MK-NW-M-044</t>
        </is>
      </c>
      <c r="M100" s="3" t="inlineStr">
        <is>
          <t>BOND_CURRENT_YIELD</t>
        </is>
      </c>
    </row>
    <row r="101">
      <c r="A101" s="3" t="inlineStr">
        <is>
          <t>MK-XS-F-002</t>
        </is>
      </c>
      <c r="B101" s="3" t="inlineStr">
        <is>
          <t>dataGaps</t>
        </is>
      </c>
      <c r="C101" s="3" t="inlineStr">
        <is>
          <t>src/domain/gaps/index.ts</t>
        </is>
      </c>
      <c r="D101" s="3" t="n">
        <v>57</v>
      </c>
      <c r="E101" s="3" t="inlineStr">
        <is>
          <t>2 · DISPLAYED</t>
        </is>
      </c>
      <c r="F101" s="3" t="inlineStr">
        <is>
          <t>A screen calls it directly, so its answer is on a screen.</t>
        </is>
      </c>
      <c r="G101" s="3" t="inlineStr">
        <is>
          <t>Yes</t>
        </is>
      </c>
      <c r="H101" s="3" t="inlineStr">
        <is>
          <t>MK-NW-F-046 historyCoverage</t>
        </is>
      </c>
      <c r="I101" s="3" t="n">
        <v>1</v>
      </c>
      <c r="J101" s="3" t="inlineStr">
        <is>
          <t>MK-NW-F-046 historyCoverage</t>
        </is>
      </c>
      <c r="K101" s="3" t="inlineStr">
        <is>
          <t>MK-NW-F-046 historyCoverage → MK-XS-F-002 dataGaps</t>
        </is>
      </c>
      <c r="L101" s="3" t="inlineStr">
        <is>
          <t>—</t>
        </is>
      </c>
      <c r="M101" s="3" t="inlineStr">
        <is>
          <t>WHAT_IS_MISSING</t>
        </is>
      </c>
    </row>
    <row r="102">
      <c r="A102" s="3" t="inlineStr">
        <is>
          <t>MK-ST-F-003</t>
        </is>
      </c>
      <c r="B102" s="3" t="inlineStr">
        <is>
          <t>dayWords</t>
        </is>
      </c>
      <c r="C102" s="3" t="inlineStr">
        <is>
          <t>Calculation Module code/engines/coverage.ts</t>
        </is>
      </c>
      <c r="D102" s="3" t="n">
        <v>48</v>
      </c>
      <c r="E102" s="3" t="inlineStr">
        <is>
          <t>3 · DEPENDENT</t>
        </is>
      </c>
      <c r="F102" s="3" t="inlineStr">
        <is>
          <t>Its answer feeds another function, and that chain ends at a screen.</t>
        </is>
      </c>
      <c r="G102" s="3" t="inlineStr">
        <is>
          <t>Yes</t>
        </is>
      </c>
      <c r="H102" s="3" t="inlineStr">
        <is>
          <t>MK-ST-F-002 monthWords</t>
        </is>
      </c>
      <c r="I102" s="3" t="n">
        <v>1</v>
      </c>
      <c r="J102" s="3" t="inlineStr">
        <is>
          <t>MK-ST-F-002 monthWords</t>
        </is>
      </c>
      <c r="K102" s="3" t="inlineStr">
        <is>
          <t>MK-ST-F-002 monthWords → MK-ST-F-003 dayWords</t>
        </is>
      </c>
      <c r="L102" s="3" t="inlineStr">
        <is>
          <t>—</t>
        </is>
      </c>
      <c r="M102" s="3" t="inlineStr">
        <is>
          <t>—</t>
        </is>
      </c>
    </row>
    <row r="103">
      <c r="A103" s="3" t="inlineStr">
        <is>
          <t>MK-CF-F-035</t>
        </is>
      </c>
      <c r="B103" s="3" t="inlineStr">
        <is>
          <t>debtKind</t>
        </is>
      </c>
      <c r="C103" s="3" t="inlineStr">
        <is>
          <t>src/domain/debt/index.ts</t>
        </is>
      </c>
      <c r="D103" s="3" t="n">
        <v>197</v>
      </c>
      <c r="E103" s="3" t="inlineStr">
        <is>
          <t>2 · DISPLAYED</t>
        </is>
      </c>
      <c r="F103" s="3" t="inlineStr">
        <is>
          <t>A screen calls it directly, so its answer is on a screen.</t>
        </is>
      </c>
      <c r="G103" s="3" t="inlineStr">
        <is>
          <t>Yes</t>
        </is>
      </c>
      <c r="H103" s="3" t="inlineStr">
        <is>
          <t>—</t>
        </is>
      </c>
      <c r="I103" s="3" t="n">
        <v>0</v>
      </c>
      <c r="J103" s="3" t="inlineStr">
        <is>
          <t>None — no dependent function stands behind it</t>
        </is>
      </c>
      <c r="K103" s="3" t="inlineStr">
        <is>
          <t>No dependent function — it reads its inputs and answers</t>
        </is>
      </c>
      <c r="L103" s="3" t="inlineStr">
        <is>
          <t>—</t>
        </is>
      </c>
      <c r="M103" s="3" t="inlineStr">
        <is>
          <t>DEBT_TYPE_FACTS</t>
        </is>
      </c>
    </row>
    <row r="104">
      <c r="A104" s="3" t="inlineStr">
        <is>
          <t>MK-CF-F-033</t>
        </is>
      </c>
      <c r="B104" s="3" t="inlineStr">
        <is>
          <t>debtToIncome</t>
        </is>
      </c>
      <c r="C104" s="3" t="inlineStr">
        <is>
          <t>src/domain/debt/index.ts</t>
        </is>
      </c>
      <c r="D104" s="3" t="n">
        <v>123</v>
      </c>
      <c r="E104" s="3" t="inlineStr">
        <is>
          <t>2 · DISPLAYED</t>
        </is>
      </c>
      <c r="F104" s="3" t="inlineStr">
        <is>
          <t>A screen calls it directly, so its answer is on a screen.</t>
        </is>
      </c>
      <c r="G104" s="3" t="inlineStr">
        <is>
          <t>Yes</t>
        </is>
      </c>
      <c r="H104" s="3" t="inlineStr">
        <is>
          <t>MK-ST-F-055 round2</t>
        </is>
      </c>
      <c r="I104" s="3" t="n">
        <v>1</v>
      </c>
      <c r="J104" s="3" t="inlineStr">
        <is>
          <t>MK-ST-F-055 round2</t>
        </is>
      </c>
      <c r="K104" s="3" t="inlineStr">
        <is>
          <t>MK-ST-F-055 round2 → MK-CF-F-033 debtToIncome</t>
        </is>
      </c>
      <c r="L104" s="3" t="inlineStr">
        <is>
          <t>—</t>
        </is>
      </c>
      <c r="M104" s="3" t="inlineStr">
        <is>
          <t>—</t>
        </is>
      </c>
    </row>
    <row r="105">
      <c r="A105" s="3" t="inlineStr">
        <is>
          <t>MK-CF-F-038</t>
        </is>
      </c>
      <c r="B105" s="3" t="inlineStr">
        <is>
          <t>debtsFromOnboarding</t>
        </is>
      </c>
      <c r="C105" s="3" t="inlineStr">
        <is>
          <t>src/domain/debt/index.ts</t>
        </is>
      </c>
      <c r="D105" s="3" t="n">
        <v>240</v>
      </c>
      <c r="E105" s="3" t="inlineStr">
        <is>
          <t>3 · DEPENDENT</t>
        </is>
      </c>
      <c r="F105" s="3" t="inlineStr">
        <is>
          <t>Its answer feeds another function, and that chain ends at a screen.</t>
        </is>
      </c>
      <c r="G105" s="3" t="inlineStr">
        <is>
          <t>Yes</t>
        </is>
      </c>
      <c r="H105" s="3" t="inlineStr">
        <is>
          <t>MK-CF-F-037 inferDebtType · MK-ST-F-043 newEntityId · MK-ST-F-052 toNum</t>
        </is>
      </c>
      <c r="I105" s="3" t="n">
        <v>3</v>
      </c>
      <c r="J105" s="3" t="inlineStr">
        <is>
          <t>MK-CF-F-037 inferDebtType · MK-ST-F-043 newEntityId · MK-ST-F-052 toNum</t>
        </is>
      </c>
      <c r="K105" s="3" t="inlineStr">
        <is>
          <t>MK-CF-F-037 inferDebtType → MK-CF-F-038 debtsFromOnboarding
MK-ST-F-043 newEntityId → MK-CF-F-038 debtsFromOnboarding
MK-ST-F-052 toNum → MK-CF-F-038 debtsFromOnboarding</t>
        </is>
      </c>
      <c r="L105" s="3" t="inlineStr">
        <is>
          <t>—</t>
        </is>
      </c>
      <c r="M105" s="3" t="inlineStr">
        <is>
          <t>DEBTS_FROM_SETUP</t>
        </is>
      </c>
    </row>
    <row r="106">
      <c r="A106" s="3" t="inlineStr">
        <is>
          <t>MK-XS-F-012</t>
        </is>
      </c>
      <c r="B106" s="3" t="inlineStr">
        <is>
          <t>decodeCsvBase64</t>
        </is>
      </c>
      <c r="C106" s="3" t="inlineStr">
        <is>
          <t>src/domain/import/holdingsImport.ts</t>
        </is>
      </c>
      <c r="D106" s="3" t="n">
        <v>62</v>
      </c>
      <c r="E106" s="3" t="inlineStr">
        <is>
          <t>2 · DISPLAYED</t>
        </is>
      </c>
      <c r="F106" s="3" t="inlineStr">
        <is>
          <t>A screen calls it directly, so its answer is on a screen.</t>
        </is>
      </c>
      <c r="G106" s="3" t="inlineStr">
        <is>
          <t>Yes</t>
        </is>
      </c>
      <c r="H106" s="3" t="inlineStr">
        <is>
          <t>—</t>
        </is>
      </c>
      <c r="I106" s="3" t="n">
        <v>0</v>
      </c>
      <c r="J106" s="3" t="inlineStr">
        <is>
          <t>None — no dependent function stands behind it</t>
        </is>
      </c>
      <c r="K106" s="3" t="inlineStr">
        <is>
          <t>No dependent function — it reads its inputs and answers</t>
        </is>
      </c>
      <c r="L106" s="3" t="inlineStr">
        <is>
          <t>—</t>
        </is>
      </c>
      <c r="M106" s="3" t="inlineStr">
        <is>
          <t>FILE_DECODE</t>
        </is>
      </c>
    </row>
    <row r="107">
      <c r="A107" s="3" t="inlineStr">
        <is>
          <t>MK-XS-F-055</t>
        </is>
      </c>
      <c r="B107" s="3" t="inlineStr">
        <is>
          <t>decryptFromSync</t>
        </is>
      </c>
      <c r="C107" s="3" t="inlineStr">
        <is>
          <t>src/services/dataCrypto.ts</t>
        </is>
      </c>
      <c r="D107" s="3" t="n">
        <v>129</v>
      </c>
      <c r="E107" s="3" t="inlineStr">
        <is>
          <t>3 · DEPENDENT</t>
        </is>
      </c>
      <c r="F107" s="3" t="inlineStr">
        <is>
          <t>Its answer feeds another function, and that chain ends at a screen.</t>
        </is>
      </c>
      <c r="G107" s="3" t="inlineStr">
        <is>
          <t>Yes</t>
        </is>
      </c>
      <c r="H107" s="3" t="inlineStr">
        <is>
          <t>MK-XS-F-053 decryptWithKey · MK-XS-F-042 getDataKey · MK-XS-F-051 isEncrypted</t>
        </is>
      </c>
      <c r="I107" s="3" t="n">
        <v>3</v>
      </c>
      <c r="J107" s="3" t="inlineStr">
        <is>
          <t>MK-XS-F-053 decryptWithKey · MK-XS-F-042 getDataKey · MK-XS-F-051 isEncrypted</t>
        </is>
      </c>
      <c r="K107" s="3" t="inlineStr">
        <is>
          <t>MK-XS-F-051 isEncrypted → MK-XS-F-053 decryptWithKey → MK-XS-F-055 decryptFromSync
MK-XS-F-042 getDataKey → MK-XS-F-055 decryptFromSync
MK-XS-F-051 isEncrypted → MK-XS-F-055 decryptFromSync</t>
        </is>
      </c>
      <c r="L107" s="3" t="inlineStr">
        <is>
          <t>—</t>
        </is>
      </c>
      <c r="M107" s="3" t="inlineStr">
        <is>
          <t>—</t>
        </is>
      </c>
    </row>
    <row r="108">
      <c r="A108" s="3" t="inlineStr">
        <is>
          <t>MK-XS-F-053</t>
        </is>
      </c>
      <c r="B108" s="3" t="inlineStr">
        <is>
          <t>decryptWithKey</t>
        </is>
      </c>
      <c r="C108" s="3" t="inlineStr">
        <is>
          <t>src/services/dataCrypto.ts</t>
        </is>
      </c>
      <c r="D108" s="3" t="n">
        <v>110</v>
      </c>
      <c r="E108" s="3" t="inlineStr">
        <is>
          <t>3 · DEPENDENT</t>
        </is>
      </c>
      <c r="F108" s="3" t="inlineStr">
        <is>
          <t>Its answer feeds another function, and that chain ends at a screen.</t>
        </is>
      </c>
      <c r="G108" s="3" t="inlineStr">
        <is>
          <t>Yes</t>
        </is>
      </c>
      <c r="H108" s="3" t="inlineStr">
        <is>
          <t>MK-XS-F-051 isEncrypted</t>
        </is>
      </c>
      <c r="I108" s="3" t="n">
        <v>1</v>
      </c>
      <c r="J108" s="3" t="inlineStr">
        <is>
          <t>MK-XS-F-051 isEncrypted</t>
        </is>
      </c>
      <c r="K108" s="3" t="inlineStr">
        <is>
          <t>MK-XS-F-051 isEncrypted → MK-XS-F-053 decryptWithKey</t>
        </is>
      </c>
      <c r="L108" s="3" t="inlineStr">
        <is>
          <t>—</t>
        </is>
      </c>
      <c r="M108" s="3" t="inlineStr">
        <is>
          <t>—</t>
        </is>
      </c>
    </row>
    <row r="109">
      <c r="A109" s="3" t="inlineStr">
        <is>
          <t>MK-CF-F-099</t>
        </is>
      </c>
      <c r="B109" s="3" t="inlineStr">
        <is>
          <t>deductionFor</t>
        </is>
      </c>
      <c r="C109" s="3" t="inlineStr">
        <is>
          <t>src/domain/income/tax.ts</t>
        </is>
      </c>
      <c r="D109" s="3" t="n">
        <v>105</v>
      </c>
      <c r="E109" s="3" t="inlineStr">
        <is>
          <t>3 · DEPENDENT</t>
        </is>
      </c>
      <c r="F109" s="3" t="inlineStr">
        <is>
          <t>Its answer feeds another function, and that chain ends at a screen.</t>
        </is>
      </c>
      <c r="G109" s="3" t="inlineStr">
        <is>
          <t>Yes</t>
        </is>
      </c>
      <c r="H109" s="3" t="inlineStr">
        <is>
          <t>—</t>
        </is>
      </c>
      <c r="I109" s="3" t="n">
        <v>0</v>
      </c>
      <c r="J109" s="3" t="inlineStr">
        <is>
          <t>None — no dependent function stands behind it</t>
        </is>
      </c>
      <c r="K109" s="3" t="inlineStr">
        <is>
          <t>No dependent function — it reads its inputs and answers</t>
        </is>
      </c>
      <c r="L109" s="3" t="inlineStr">
        <is>
          <t>—</t>
        </is>
      </c>
      <c r="M109" s="3" t="inlineStr">
        <is>
          <t>TAX_DEDUCTION</t>
        </is>
      </c>
    </row>
    <row r="110">
      <c r="A110" s="3" t="inlineStr">
        <is>
          <t>MK-XS-F-109</t>
        </is>
      </c>
      <c r="B110" s="3" t="inlineStr">
        <is>
          <t>dedupeActivities</t>
        </is>
      </c>
      <c r="C110" s="3" t="inlineStr">
        <is>
          <t>src/services/sync/snaptrade.ts</t>
        </is>
      </c>
      <c r="D110" s="3" t="n">
        <v>257</v>
      </c>
      <c r="E110" s="3" t="inlineStr">
        <is>
          <t>3 · DEPENDENT (feeds an action only)</t>
        </is>
      </c>
      <c r="F110" s="3" t="inlineStr">
        <is>
          <t>Its answer feeds another function, but no chain from it reaches a screen.</t>
        </is>
      </c>
      <c r="G110" s="3" t="inlineStr">
        <is>
          <t>No</t>
        </is>
      </c>
      <c r="H110" s="3" t="inlineStr">
        <is>
          <t>MK-XS-F-108 activityKey</t>
        </is>
      </c>
      <c r="I110" s="3" t="n">
        <v>2</v>
      </c>
      <c r="J110" s="3" t="inlineStr">
        <is>
          <t>MK-XS-F-108 activityKey · MK-ST-F-014 importKey</t>
        </is>
      </c>
      <c r="K110" s="3" t="inlineStr">
        <is>
          <t>MK-ST-F-014 importKey → MK-XS-F-108 activityKey → MK-XS-F-109 dedupeActivities</t>
        </is>
      </c>
      <c r="L110" s="3" t="inlineStr">
        <is>
          <t>—</t>
        </is>
      </c>
      <c r="M110" s="3" t="inlineStr">
        <is>
          <t>ALREADY_SEEN_CHECK</t>
        </is>
      </c>
    </row>
    <row r="111">
      <c r="A111" s="3" t="inlineStr">
        <is>
          <t>MK-CF-F-021</t>
        </is>
      </c>
      <c r="B111" s="3" t="inlineStr">
        <is>
          <t>defaultPaymentType</t>
        </is>
      </c>
      <c r="C111" s="3" t="inlineStr">
        <is>
          <t>src/domain/debt/index.ts</t>
        </is>
      </c>
      <c r="D111" s="3" t="n">
        <v>35</v>
      </c>
      <c r="E111" s="3" t="inlineStr">
        <is>
          <t>2 · DISPLAYED</t>
        </is>
      </c>
      <c r="F111" s="3" t="inlineStr">
        <is>
          <t>A screen calls it directly, so its answer is on a screen.</t>
        </is>
      </c>
      <c r="G111" s="3" t="inlineStr">
        <is>
          <t>Yes</t>
        </is>
      </c>
      <c r="H111" s="3" t="inlineStr">
        <is>
          <t>—</t>
        </is>
      </c>
      <c r="I111" s="3" t="n">
        <v>0</v>
      </c>
      <c r="J111" s="3" t="inlineStr">
        <is>
          <t>None — no dependent function stands behind it</t>
        </is>
      </c>
      <c r="K111" s="3" t="inlineStr">
        <is>
          <t>No dependent function — it reads its inputs and answers</t>
        </is>
      </c>
      <c r="L111" s="3" t="inlineStr">
        <is>
          <t>—</t>
        </is>
      </c>
      <c r="M111" s="3" t="inlineStr">
        <is>
          <t>DEBT_SHAPE_DEFAULT</t>
        </is>
      </c>
    </row>
    <row r="112">
      <c r="A112" s="3" t="inlineStr">
        <is>
          <t>MK-XS-F-072</t>
        </is>
      </c>
      <c r="B112" s="3" t="inlineStr">
        <is>
          <t>deleteAccount</t>
        </is>
      </c>
      <c r="C112" s="3" t="inlineStr">
        <is>
          <t>src/services/firebase.ts</t>
        </is>
      </c>
      <c r="D112" s="3" t="n">
        <v>190</v>
      </c>
      <c r="E112" s="3" t="inlineStr">
        <is>
          <t>1 · ACTION</t>
        </is>
      </c>
      <c r="F112" s="3" t="inlineStr">
        <is>
          <t>Produces nothing that is displayed — it does something: saves, syncs or records.</t>
        </is>
      </c>
      <c r="G112" s="3" t="inlineStr">
        <is>
          <t>Yes</t>
        </is>
      </c>
      <c r="H112" s="3" t="inlineStr">
        <is>
          <t>MK-XS-F-035 authenticate · MK-XS-F-043 clearDataKey · MK-XS-F-079 loadUserRoot</t>
        </is>
      </c>
      <c r="I112" s="3" t="n">
        <v>7</v>
      </c>
      <c r="J112" s="3" t="inlineStr">
        <is>
          <t>MK-XS-F-035 authenticate · MK-XS-F-043 clearDataKey · MK-XS-F-079 loadUserRoot · MK-XS-F-055 decryptFromSync · MK-XS-F-053 decryptWithKey · MK-XS-F-042 getDataKey · MK-XS-F-051 isEncrypted</t>
        </is>
      </c>
      <c r="K112" s="3" t="inlineStr">
        <is>
          <t>MK-XS-F-035 authenticate → MK-XS-F-072 deleteAccount
MK-XS-F-043 clearDataKey → MK-XS-F-072 deleteAccount
MK-XS-F-051 isEncrypted → MK-XS-F-053 decryptWithKey → MK-XS-F-055 decryptFromSync → MK-XS-F-079 loadUserRoot → MK-XS-F-072 deleteAccount
MK-XS-F-042 getDataKey → MK-XS-F-055 decryptFromSync → MK-XS-F-079 loadUserRoot → MK-XS-F-072 deleteAccount
MK-XS-F-051 isEncrypted → MK-XS-F-055 decryptFromSync → MK-XS-F-079 loadUserRoot → MK-XS-F-072 deleteAccount</t>
        </is>
      </c>
      <c r="L112" s="3" t="inlineStr">
        <is>
          <t>—</t>
        </is>
      </c>
      <c r="M112" s="3" t="inlineStr">
        <is>
          <t>—</t>
        </is>
      </c>
    </row>
    <row r="113">
      <c r="A113" s="3" t="inlineStr">
        <is>
          <t>MK-PL-F-003</t>
        </is>
      </c>
      <c r="B113" s="3" t="inlineStr">
        <is>
          <t>depletionAge</t>
        </is>
      </c>
      <c r="C113" s="3" t="inlineStr">
        <is>
          <t>src/domain/decumulation/index.ts</t>
        </is>
      </c>
      <c r="D113" s="3" t="n">
        <v>49</v>
      </c>
      <c r="E113" s="3" t="inlineStr">
        <is>
          <t>2 · DISPLAYED</t>
        </is>
      </c>
      <c r="F113" s="3" t="inlineStr">
        <is>
          <t>A screen calls it directly, so its answer is on a screen.</t>
        </is>
      </c>
      <c r="G113" s="3" t="inlineStr">
        <is>
          <t>Yes</t>
        </is>
      </c>
      <c r="H113" s="3" t="inlineStr">
        <is>
          <t>MK-PL-F-007 rmdAtAge · MK-PL-F-005 rmdStartAgeFor</t>
        </is>
      </c>
      <c r="I113" s="3" t="n">
        <v>6</v>
      </c>
      <c r="J113" s="3" t="inlineStr">
        <is>
          <t>MK-PL-F-007 rmdAtAge · MK-PL-F-005 rmdStartAgeFor · MK-PL-F-006 rmdDivisor · MK-ST-F-055 round2 · MK-ST-F-025 rmdStartAgeFromAge · MK-ST-F-024 rmdStartAge</t>
        </is>
      </c>
      <c r="K113" s="3" t="inlineStr">
        <is>
          <t>MK-PL-F-006 rmdDivisor → MK-PL-F-007 rmdAtAge → MK-PL-F-003 depletionAge
MK-ST-F-055 round2 → MK-PL-F-007 rmdAtAge → MK-PL-F-003 depletionAge
MK-ST-F-024 rmdStartAge → MK-ST-F-025 rmdStartAgeFromAge → MK-PL-F-005 rmdStartAgeFor → MK-PL-F-003 depletionAge</t>
        </is>
      </c>
      <c r="L113" s="3" t="inlineStr">
        <is>
          <t>—</t>
        </is>
      </c>
      <c r="M113" s="3" t="inlineStr">
        <is>
          <t>—</t>
        </is>
      </c>
    </row>
    <row r="114">
      <c r="A114" s="3" t="inlineStr">
        <is>
          <t>MK-ST-F-009</t>
        </is>
      </c>
      <c r="B114" s="3" t="inlineStr">
        <is>
          <t>directionOf</t>
        </is>
      </c>
      <c r="C114" s="3" t="inlineStr">
        <is>
          <t>Calculation Module code/engines/events.ts</t>
        </is>
      </c>
      <c r="D114" s="3" t="n">
        <v>195</v>
      </c>
      <c r="E114" s="3" t="inlineStr">
        <is>
          <t>3 · DEPENDENT (feeds an action only)</t>
        </is>
      </c>
      <c r="F114" s="3" t="inlineStr">
        <is>
          <t>Its answer feeds another function, but no chain from it reaches a screen.</t>
        </is>
      </c>
      <c r="G114" s="3" t="inlineStr">
        <is>
          <t>No</t>
        </is>
      </c>
      <c r="H114" s="3" t="inlineStr">
        <is>
          <t>—</t>
        </is>
      </c>
      <c r="I114" s="3" t="n">
        <v>0</v>
      </c>
      <c r="J114" s="3" t="inlineStr">
        <is>
          <t>None — no dependent function stands behind it</t>
        </is>
      </c>
      <c r="K114" s="3" t="inlineStr">
        <is>
          <t>No dependent function — it reads its inputs and answers</t>
        </is>
      </c>
      <c r="L114" s="3" t="inlineStr">
        <is>
          <t>—</t>
        </is>
      </c>
      <c r="M114" s="3" t="inlineStr">
        <is>
          <t>—</t>
        </is>
      </c>
    </row>
    <row r="115">
      <c r="A115" s="3" t="inlineStr">
        <is>
          <t>MK-PL-F-066</t>
        </is>
      </c>
      <c r="B115" s="3" t="inlineStr">
        <is>
          <t>displayOdds</t>
        </is>
      </c>
      <c r="C115" s="3" t="inlineStr">
        <is>
          <t>src/domain/retirement/willItLast.ts</t>
        </is>
      </c>
      <c r="D115" s="3" t="n">
        <v>55</v>
      </c>
      <c r="E115" s="3" t="inlineStr">
        <is>
          <t>2 · DISPLAYED</t>
        </is>
      </c>
      <c r="F115" s="3" t="inlineStr">
        <is>
          <t>A screen calls it directly, so its answer is on a screen.</t>
        </is>
      </c>
      <c r="G115" s="3" t="inlineStr">
        <is>
          <t>Yes</t>
        </is>
      </c>
      <c r="H115" s="3" t="inlineStr">
        <is>
          <t>—</t>
        </is>
      </c>
      <c r="I115" s="3" t="n">
        <v>0</v>
      </c>
      <c r="J115" s="3" t="inlineStr">
        <is>
          <t>None — no dependent function stands behind it</t>
        </is>
      </c>
      <c r="K115" s="3" t="inlineStr">
        <is>
          <t>No dependent function — it reads its inputs and answers</t>
        </is>
      </c>
      <c r="L115" s="3" t="inlineStr">
        <is>
          <t>—</t>
        </is>
      </c>
      <c r="M115" s="3" t="inlineStr">
        <is>
          <t>ODDS_DISPLAY</t>
        </is>
      </c>
    </row>
    <row r="116">
      <c r="A116" s="3" t="inlineStr">
        <is>
          <t>MK-PL-F-010</t>
        </is>
      </c>
      <c r="B116" s="3" t="inlineStr">
        <is>
          <t>drawOrderOutcome</t>
        </is>
      </c>
      <c r="C116" s="3" t="inlineStr">
        <is>
          <t>src/domain/decumulation/index.ts</t>
        </is>
      </c>
      <c r="D116" s="3" t="n">
        <v>171</v>
      </c>
      <c r="E116" s="3" t="inlineStr">
        <is>
          <t>2 · DISPLAYED</t>
        </is>
      </c>
      <c r="F116" s="3" t="inlineStr">
        <is>
          <t>A screen calls it directly, so its answer is on a screen.</t>
        </is>
      </c>
      <c r="G116" s="3" t="inlineStr">
        <is>
          <t>Yes</t>
        </is>
      </c>
      <c r="H116" s="3" t="inlineStr">
        <is>
          <t>MK-PL-F-007 rmdAtAge · MK-PL-F-005 rmdStartAgeFor · MK-ST-F-055 round2</t>
        </is>
      </c>
      <c r="I116" s="3" t="n">
        <v>6</v>
      </c>
      <c r="J116" s="3" t="inlineStr">
        <is>
          <t>MK-PL-F-007 rmdAtAge · MK-PL-F-005 rmdStartAgeFor · MK-ST-F-055 round2 · MK-PL-F-006 rmdDivisor · MK-ST-F-025 rmdStartAgeFromAge · MK-ST-F-024 rmdStartAge</t>
        </is>
      </c>
      <c r="K116" s="3" t="inlineStr">
        <is>
          <t>MK-PL-F-006 rmdDivisor → MK-PL-F-007 rmdAtAge → MK-PL-F-010 drawOrderOutcome
MK-ST-F-055 round2 → MK-PL-F-007 rmdAtAge → MK-PL-F-010 drawOrderOutcome
MK-ST-F-024 rmdStartAge → MK-ST-F-025 rmdStartAgeFromAge → MK-PL-F-005 rmdStartAgeFor → MK-PL-F-010 drawOrderOutcome
MK-ST-F-055 round2 → MK-PL-F-010 drawOrderOutcome</t>
        </is>
      </c>
      <c r="L116" s="3" t="inlineStr">
        <is>
          <t>—</t>
        </is>
      </c>
      <c r="M116" s="3" t="inlineStr">
        <is>
          <t>—</t>
        </is>
      </c>
    </row>
    <row r="117">
      <c r="A117" s="3" t="inlineStr">
        <is>
          <t>MK-PF-F-012</t>
        </is>
      </c>
      <c r="B117" s="3" t="inlineStr">
        <is>
          <t>earliestPurchaseDate</t>
        </is>
      </c>
      <c r="C117" s="3" t="inlineStr">
        <is>
          <t>src/domain/performance/index.ts</t>
        </is>
      </c>
      <c r="D117" s="3" t="n">
        <v>146</v>
      </c>
      <c r="E117" s="3" t="inlineStr">
        <is>
          <t>3 · DEPENDENT</t>
        </is>
      </c>
      <c r="F117" s="3" t="inlineStr">
        <is>
          <t>Its answer feeds another function, and that chain ends at a screen.</t>
        </is>
      </c>
      <c r="G117" s="3" t="inlineStr">
        <is>
          <t>Yes</t>
        </is>
      </c>
      <c r="H117" s="3" t="inlineStr">
        <is>
          <t>—</t>
        </is>
      </c>
      <c r="I117" s="3" t="n">
        <v>0</v>
      </c>
      <c r="J117" s="3" t="inlineStr">
        <is>
          <t>None — no dependent function stands behind it</t>
        </is>
      </c>
      <c r="K117" s="3" t="inlineStr">
        <is>
          <t>No dependent function — it reads its inputs and answers</t>
        </is>
      </c>
      <c r="L117" s="3" t="inlineStr">
        <is>
          <t>—</t>
        </is>
      </c>
      <c r="M117" s="3" t="inlineStr">
        <is>
          <t>HOLDING_FIRST_BOUGHT</t>
        </is>
      </c>
    </row>
    <row r="118">
      <c r="A118" s="3" t="inlineStr">
        <is>
          <t>MK-NW-F-030</t>
        </is>
      </c>
      <c r="B118" s="3" t="inlineStr">
        <is>
          <t>earmarkDefault</t>
        </is>
      </c>
      <c r="C118" s="3" t="inlineStr">
        <is>
          <t>src/domain/assets/index.ts</t>
        </is>
      </c>
      <c r="D118" s="3" t="n">
        <v>528</v>
      </c>
      <c r="E118" s="3" t="inlineStr">
        <is>
          <t>2 · DISPLAYED</t>
        </is>
      </c>
      <c r="F118" s="3" t="inlineStr">
        <is>
          <t>A screen calls it directly, so its answer is on a screen.</t>
        </is>
      </c>
      <c r="G118" s="3" t="inlineStr">
        <is>
          <t>Yes</t>
        </is>
      </c>
      <c r="H118" s="3" t="inlineStr">
        <is>
          <t>MK-NW-F-011 assetClassOf · MK-NW-F-013 realEstateUseOf</t>
        </is>
      </c>
      <c r="I118" s="3" t="n">
        <v>4</v>
      </c>
      <c r="J118" s="3" t="inlineStr">
        <is>
          <t>MK-NW-F-011 assetClassOf · MK-NW-F-013 realEstateUseOf · MK-NW-F-008 incomeBearingClassOf · MK-ST-F-010 nameEvidence</t>
        </is>
      </c>
      <c r="K118" s="3" t="inlineStr">
        <is>
          <t>MK-ST-F-010 nameEvidence → MK-NW-F-008 incomeBearingClassOf → MK-NW-F-011 assetClassOf → MK-NW-F-030 earmarkDefault
MK-NW-F-013 realEstateUseOf → MK-NW-F-030 earmarkDefault</t>
        </is>
      </c>
      <c r="L118" s="3" t="inlineStr">
        <is>
          <t>—</t>
        </is>
      </c>
      <c r="M118" s="3" t="inlineStr">
        <is>
          <t>RETIREMENT_SHARE_DEFAULT</t>
        </is>
      </c>
    </row>
    <row r="119">
      <c r="A119" s="3" t="inlineStr">
        <is>
          <t>MK-NW-F-032</t>
        </is>
      </c>
      <c r="B119" s="3" t="inlineStr">
        <is>
          <t>earmarkedAmount</t>
        </is>
      </c>
      <c r="C119" s="3" t="inlineStr">
        <is>
          <t>src/domain/assets/index.ts</t>
        </is>
      </c>
      <c r="D119" s="3" t="n">
        <v>543</v>
      </c>
      <c r="E119" s="3" t="inlineStr">
        <is>
          <t>2 · DISPLAYED</t>
        </is>
      </c>
      <c r="F119" s="3" t="inlineStr">
        <is>
          <t>A screen calls it directly, so its answer is on a screen.</t>
        </is>
      </c>
      <c r="G119" s="3" t="inlineStr">
        <is>
          <t>Yes</t>
        </is>
      </c>
      <c r="H119" s="3" t="inlineStr">
        <is>
          <t>MK-NW-F-030 earmarkDefault · MK-ST-F-055 round2</t>
        </is>
      </c>
      <c r="I119" s="3" t="n">
        <v>6</v>
      </c>
      <c r="J119" s="3" t="inlineStr">
        <is>
          <t>MK-NW-F-030 earmarkDefault · MK-ST-F-055 round2 · MK-NW-F-011 assetClassOf · MK-NW-F-013 realEstateUseOf · MK-NW-F-008 incomeBearingClassOf · MK-ST-F-010 nameEvidence</t>
        </is>
      </c>
      <c r="K119" s="3" t="inlineStr">
        <is>
          <t>MK-ST-F-010 nameEvidence → MK-NW-F-008 incomeBearingClassOf → MK-NW-F-011 assetClassOf → MK-NW-F-030 earmarkDefault → MK-NW-F-032 earmarkedAmount
MK-NW-F-013 realEstateUseOf → MK-NW-F-030 earmarkDefault → MK-NW-F-032 earmarkedAmount
MK-ST-F-055 round2 → MK-NW-F-032 earmarkedAmount</t>
        </is>
      </c>
      <c r="L119" s="3" t="inlineStr">
        <is>
          <t>—</t>
        </is>
      </c>
      <c r="M119" s="3" t="inlineStr">
        <is>
          <t>RETIREMENT_SHARE_AMOUNT</t>
        </is>
      </c>
    </row>
    <row r="120">
      <c r="A120" s="3" t="inlineStr">
        <is>
          <t>MK-NW-F-038</t>
        </is>
      </c>
      <c r="B120" s="3" t="inlineStr">
        <is>
          <t>earmarkedKinds</t>
        </is>
      </c>
      <c r="C120" s="3" t="inlineStr">
        <is>
          <t>src/domain/assets/index.ts</t>
        </is>
      </c>
      <c r="D120" s="3" t="n">
        <v>647</v>
      </c>
      <c r="E120" s="3" t="inlineStr">
        <is>
          <t>3 · DEPENDENT (feeds an action only)</t>
        </is>
      </c>
      <c r="F120" s="3" t="inlineStr">
        <is>
          <t>Its answer feeds another function, but no chain from it reaches a screen.</t>
        </is>
      </c>
      <c r="G120" s="3" t="inlineStr">
        <is>
          <t>No</t>
        </is>
      </c>
      <c r="H120" s="3" t="inlineStr">
        <is>
          <t>MK-NW-F-032 earmarkedAmount</t>
        </is>
      </c>
      <c r="I120" s="3" t="n">
        <v>7</v>
      </c>
      <c r="J120" s="3" t="inlineStr">
        <is>
          <t>MK-NW-F-032 earmarkedAmount · MK-NW-F-030 earmarkDefault · MK-ST-F-055 round2 · MK-NW-F-011 assetClassOf · MK-NW-F-013 realEstateUseOf · MK-NW-F-008 incomeBearingClassOf · MK-ST-F-010 nameEvidence</t>
        </is>
      </c>
      <c r="K120" s="3" t="inlineStr">
        <is>
          <t>MK-ST-F-010 nameEvidence → MK-NW-F-008 incomeBearingClassOf → MK-NW-F-011 assetClassOf → MK-NW-F-030 earmarkDefault → MK-NW-F-032 earmarkedAmount → MK-NW-F-038 earmarkedKinds
MK-NW-F-013 realEstateUseOf → MK-NW-F-030 earmarkDefault → MK-NW-F-032 earmarkedAmount → MK-NW-F-038 earmarkedKinds
MK-ST-F-055 round2 → MK-NW-F-032 earmarkedAmount → MK-NW-F-038 earmarkedKinds</t>
        </is>
      </c>
      <c r="L120" s="3" t="inlineStr">
        <is>
          <t>—</t>
        </is>
      </c>
      <c r="M120" s="3" t="inlineStr">
        <is>
          <t>—</t>
        </is>
      </c>
    </row>
    <row r="121">
      <c r="A121" s="3" t="inlineStr">
        <is>
          <t>MK-PL-F-033</t>
        </is>
      </c>
      <c r="B121" s="3" t="inlineStr">
        <is>
          <t>educationPlan</t>
        </is>
      </c>
      <c r="C121" s="3" t="inlineStr">
        <is>
          <t>src/domain/planning/index.ts</t>
        </is>
      </c>
      <c r="D121" s="3" t="n">
        <v>105</v>
      </c>
      <c r="E121" s="3" t="inlineStr">
        <is>
          <t>2 · DISPLAYED</t>
        </is>
      </c>
      <c r="F121" s="3" t="inlineStr">
        <is>
          <t>A screen calls it directly, so its answer is on a screen.</t>
        </is>
      </c>
      <c r="G121" s="3" t="inlineStr">
        <is>
          <t>Yes</t>
        </is>
      </c>
      <c r="H121" s="3" t="inlineStr">
        <is>
          <t>MK-ST-F-055 round2</t>
        </is>
      </c>
      <c r="I121" s="3" t="n">
        <v>1</v>
      </c>
      <c r="J121" s="3" t="inlineStr">
        <is>
          <t>MK-ST-F-055 round2</t>
        </is>
      </c>
      <c r="K121" s="3" t="inlineStr">
        <is>
          <t>MK-ST-F-055 round2 → MK-PL-F-033 educationPlan</t>
        </is>
      </c>
      <c r="L121" s="3" t="inlineStr">
        <is>
          <t>—</t>
        </is>
      </c>
      <c r="M121" s="3" t="inlineStr">
        <is>
          <t>—</t>
        </is>
      </c>
    </row>
    <row r="122">
      <c r="A122" s="3" t="inlineStr">
        <is>
          <t>MK-XS-F-030</t>
        </is>
      </c>
      <c r="B122" s="3" t="inlineStr">
        <is>
          <t>effectiveAnnualContribution</t>
        </is>
      </c>
      <c r="C122" s="3" t="inlineStr">
        <is>
          <t>src/domain/snapshot.ts</t>
        </is>
      </c>
      <c r="D122" s="3" t="n">
        <v>35</v>
      </c>
      <c r="E122" s="3" t="inlineStr">
        <is>
          <t>3 · DEPENDENT</t>
        </is>
      </c>
      <c r="F122" s="3" t="inlineStr">
        <is>
          <t>Its answer feeds another function, and that chain ends at a screen.</t>
        </is>
      </c>
      <c r="G122" s="3" t="inlineStr">
        <is>
          <t>Yes</t>
        </is>
      </c>
      <c r="H122" s="3" t="inlineStr">
        <is>
          <t>MK-NW-F-041 monthlyContributionsFromOnboarding · MK-CF-F-011 savingsByMonth · MK-ST-F-052 toNum</t>
        </is>
      </c>
      <c r="I122" s="3" t="n">
        <v>41</v>
      </c>
      <c r="J122" s="3" t="inlineStr">
        <is>
          <t>MK-NW-F-041 monthlyContributionsFromOnboarding · MK-CF-F-011 savingsByMonth · MK-ST-F-052 toNum · MK-CF-F-078 employerMatchMonthly · 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K122" s="3" t="inlineStr">
        <is>
          <t>MK-ST-F-052 toNum → MK-CF-F-078 employerMatchMonthly → MK-NW-F-041 monthlyContributionsFromOnboarding → MK-XS-F-030 effectiveAnnualContribution
MK-ST-F-052 toNum → MK-NW-F-041 monthlyContributionsFromOnboarding → MK-XS-F-030 effectiveAnnualContribution
MK-CF-F-069 benefitActiveMonths → MK-CF-F-092 incomeMonthlyGrid → MK-CF-F-011 savingsByMonth → MK-XS-F-030 effectiveAnnualContribution
MK-ST-F-052 toNum → MK-CF-F-075 retirementIncomeMonthly → MK-CF-F-072 currentRetirementIncomeMonthly → MK-CF-F-092 incomeMonthlyGrid → MK-CF-F-011 savingsByMonth → MK-XS-F-030 effectiveAnnualContribution
MK-ST-F-052 toNum → MK-CF-F-062 equityRowValue → MK-CF-F-065 equityVestWeights → MK-CF-F-092 incomeMonthlyGrid → MK-CF-F-011 savingsByMonth → MK-XS-F-030 effectiveAnnualContribution
MK-CF-F-069 benefitActiveMonths → MK-CF-F-070 benefitAnnual → MK-CF-F-071 extraIncome → MK-CF-F-092 incomeMonthlyGrid → MK-CF-F-011 savingsByMonth → MK-XS-F-030 effectiveAnnualContribution
MK-ST-F-052 toNum → MK-CF-F-070 benefitAnnual → MK-CF-F-071 extraIncome → MK-CF-F-092 incomeMonthlyGrid → MK-CF-F-011 savingsByMonth → MK-XS-F-030 effectiveAnnualContribution
MK-ST-F-055 round2 → MK-CF-F-071 extraIncome → MK-CF-F-092 incomeMonthlyGrid → MK-CF-F-011 savingsByMonth → MK-XS-F-030 effectiveAnnualContribution
… and 37 more paths</t>
        </is>
      </c>
      <c r="L122" s="3" t="inlineStr">
        <is>
          <t>—</t>
        </is>
      </c>
      <c r="M122" s="3" t="inlineStr">
        <is>
          <t>—</t>
        </is>
      </c>
    </row>
    <row r="123">
      <c r="A123" s="3" t="inlineStr">
        <is>
          <t>MK-CF-F-090</t>
        </is>
      </c>
      <c r="B123" s="3" t="inlineStr">
        <is>
          <t>effectiveRate</t>
        </is>
      </c>
      <c r="C123" s="3" t="inlineStr">
        <is>
          <t>src/domain/income/onboarding.ts</t>
        </is>
      </c>
      <c r="D123" s="3" t="n">
        <v>411</v>
      </c>
      <c r="E123" s="3" t="inlineStr">
        <is>
          <t>3 · DEPENDENT</t>
        </is>
      </c>
      <c r="F123" s="3" t="inlineStr">
        <is>
          <t>Its answer feeds another function, and that chain ends at a screen.</t>
        </is>
      </c>
      <c r="G123" s="3" t="inlineStr">
        <is>
          <t>Yes</t>
        </is>
      </c>
      <c r="H123" s="3" t="inlineStr">
        <is>
          <t>MK-CF-F-102 effectiveRateOnGrossFor · MK-CF-F-085 filingStatusOf · MK-CF-F-089 over65CountOf · MK-CF-F-086 stateRateOf · MK-CF-F-084 taxableAnnual · MK-ST-F-052 toNum</t>
        </is>
      </c>
      <c r="I123" s="3" t="n">
        <v>27</v>
      </c>
      <c r="J123" s="3" t="inlineStr">
        <is>
          <t>MK-CF-F-102 effectiveRateOnGrossFor · MK-CF-F-085 filingStatusOf · MK-CF-F-089 over65CountOf · MK-CF-F-086 stateRateOf · MK-CF-F-084 taxableAnnual · MK-ST-F-052 toNum · MK-CF-F-101 taxOwedFor · MK-CF-F-072 currentRetirementIncomeMonthly · MK-CF-F-071 extraIncome · MK-CF-F-068 rentalNetAnnual · MK-CF-F-066 rsuAnnual · MK-CF-F-082 salaryAnnual · MK-CF-F-074 tipsAnnual · MK-CF-F-100 taxableIncomeFor · MK-CF-F-075 retirementIncomeMonthly · MK-CF-F-070 benefitAnnual · MK-ST-F-055 round2 · MK-CF-F-067 rentalList · MK-CF-F-062 equityRowValue · MK-CF-F-063 rowVestYear · MK-CF-F-060 salaryGrossByMonth · MK-CF-F-081 salaryActiveMonths · MK-CF-F-099 deductionFor · MK-CF-F-069 benefitActiveMonths · MK-CF-F-097 grossFromNet · MK-CF-F-095 taxOwed · MK-CF-F-093 taxableIncome</t>
        </is>
      </c>
      <c r="K123" s="3" t="inlineStr">
        <is>
          <t>MK-CF-F-099 deductionFor → MK-CF-F-100 taxableIncomeFor → MK-CF-F-101 taxOwedFor → MK-CF-F-102 effectiveRateOnGrossFor → MK-CF-F-090 effectiveRate
MK-CF-F-085 filingStatusOf → MK-CF-F-090 effectiveRate
MK-ST-F-052 toNum → MK-CF-F-089 over65CountOf → MK-CF-F-090 effectiveRate
MK-ST-F-052 toNum → MK-CF-F-086 stateRateOf → MK-CF-F-090 effectiveRate
MK-ST-F-052 toNum → MK-CF-F-075 retirementIncomeMonthly → MK-CF-F-072 currentRetirementIncomeMonthly → MK-CF-F-084 taxableAnnual → MK-CF-F-090 effectiveRate
MK-CF-F-069 benefitActiveMonths → MK-CF-F-070 benefitAnnual → MK-CF-F-071 extraIncome → MK-CF-F-084 taxableAnnual → MK-CF-F-090 effectiveRate
MK-ST-F-052 toNum → MK-CF-F-070 benefitAnnual → MK-CF-F-071 extraIncome → MK-CF-F-084 taxableAnnual → MK-CF-F-090 effectiveRate
MK-ST-F-055 round2 → MK-CF-F-071 extraIncome → MK-CF-F-084 taxableAnnual → MK-CF-F-090 effectiveRate
… and 14 more paths</t>
        </is>
      </c>
      <c r="L123" s="3" t="inlineStr">
        <is>
          <t>—</t>
        </is>
      </c>
      <c r="M123" s="3" t="inlineStr">
        <is>
          <t>—</t>
        </is>
      </c>
    </row>
    <row r="124">
      <c r="A124" s="3" t="inlineStr">
        <is>
          <t>MK-CF-F-096</t>
        </is>
      </c>
      <c r="B124" s="3" t="inlineStr">
        <is>
          <t>effectiveRateOnGross</t>
        </is>
      </c>
      <c r="C124" s="3" t="inlineStr">
        <is>
          <t>src/domain/income/tax.ts</t>
        </is>
      </c>
      <c r="D124" s="3" t="n">
        <v>42</v>
      </c>
      <c r="E124" s="3" t="inlineStr">
        <is>
          <t>3 · DEPENDENT</t>
        </is>
      </c>
      <c r="F124" s="3" t="inlineStr">
        <is>
          <t>Its answer feeds another function, and that chain ends at a screen.</t>
        </is>
      </c>
      <c r="G124" s="3" t="inlineStr">
        <is>
          <t>Yes</t>
        </is>
      </c>
      <c r="H124" s="3" t="inlineStr">
        <is>
          <t>MK-CF-F-095 taxOwed</t>
        </is>
      </c>
      <c r="I124" s="3" t="n">
        <v>2</v>
      </c>
      <c r="J124" s="3" t="inlineStr">
        <is>
          <t>MK-CF-F-095 taxOwed · MK-CF-F-093 taxableIncome</t>
        </is>
      </c>
      <c r="K124" s="3" t="inlineStr">
        <is>
          <t>MK-CF-F-093 taxableIncome → MK-CF-F-095 taxOwed → MK-CF-F-096 effectiveRateOnGross</t>
        </is>
      </c>
      <c r="L124" s="3" t="inlineStr">
        <is>
          <t>—</t>
        </is>
      </c>
      <c r="M124" s="3" t="inlineStr">
        <is>
          <t>—</t>
        </is>
      </c>
    </row>
    <row r="125">
      <c r="A125" s="3" t="inlineStr">
        <is>
          <t>MK-CF-F-102</t>
        </is>
      </c>
      <c r="B125" s="3" t="inlineStr">
        <is>
          <t>effectiveRateOnGrossFor</t>
        </is>
      </c>
      <c r="C125" s="3" t="inlineStr">
        <is>
          <t>src/domain/income/tax.ts</t>
        </is>
      </c>
      <c r="D125" s="3" t="n">
        <v>130</v>
      </c>
      <c r="E125" s="3" t="inlineStr">
        <is>
          <t>3 · DEPENDENT</t>
        </is>
      </c>
      <c r="F125" s="3" t="inlineStr">
        <is>
          <t>Its answer feeds another function, and that chain ends at a screen.</t>
        </is>
      </c>
      <c r="G125" s="3" t="inlineStr">
        <is>
          <t>Yes</t>
        </is>
      </c>
      <c r="H125" s="3" t="inlineStr">
        <is>
          <t>MK-CF-F-101 taxOwedFor</t>
        </is>
      </c>
      <c r="I125" s="3" t="n">
        <v>3</v>
      </c>
      <c r="J125" s="3" t="inlineStr">
        <is>
          <t>MK-CF-F-101 taxOwedFor · MK-CF-F-100 taxableIncomeFor · MK-CF-F-099 deductionFor</t>
        </is>
      </c>
      <c r="K125" s="3" t="inlineStr">
        <is>
          <t>MK-CF-F-099 deductionFor → MK-CF-F-100 taxableIncomeFor → MK-CF-F-101 taxOwedFor → MK-CF-F-102 effectiveRateOnGrossFor</t>
        </is>
      </c>
      <c r="L125" s="3" t="inlineStr">
        <is>
          <t>—</t>
        </is>
      </c>
      <c r="M125" s="3" t="inlineStr">
        <is>
          <t>EFFECTIVE_TAX_RATE</t>
        </is>
      </c>
    </row>
    <row r="126">
      <c r="A126" s="3" t="inlineStr">
        <is>
          <t>MK-CF-F-048</t>
        </is>
      </c>
      <c r="B126" s="3" t="inlineStr">
        <is>
          <t>effectiveTaxRate</t>
        </is>
      </c>
      <c r="C126" s="3" t="inlineStr">
        <is>
          <t>src/domain/income/calc.ts</t>
        </is>
      </c>
      <c r="D126" s="3" t="n">
        <v>34</v>
      </c>
      <c r="E126" s="3" t="inlineStr">
        <is>
          <t>3 · DEPENDENT</t>
        </is>
      </c>
      <c r="F126" s="3" t="inlineStr">
        <is>
          <t>Its answer feeds another function, and that chain ends at a screen.</t>
        </is>
      </c>
      <c r="G126" s="3" t="inlineStr">
        <is>
          <t>Yes</t>
        </is>
      </c>
      <c r="H126" s="3" t="inlineStr">
        <is>
          <t>MK-CF-F-047 estimateEffectiveTaxRate</t>
        </is>
      </c>
      <c r="I126" s="3" t="n">
        <v>4</v>
      </c>
      <c r="J126" s="3" t="inlineStr">
        <is>
          <t>MK-CF-F-047 estimateEffectiveTaxRate · MK-CF-F-096 effectiveRateOnGross · MK-CF-F-095 taxOwed · MK-CF-F-093 taxableIncome</t>
        </is>
      </c>
      <c r="K126" s="3" t="inlineStr">
        <is>
          <t>MK-CF-F-093 taxableIncome → MK-CF-F-095 taxOwed → MK-CF-F-096 effectiveRateOnGross → MK-CF-F-047 estimateEffectiveTaxRate → MK-CF-F-048 effectiveTaxRate</t>
        </is>
      </c>
      <c r="L126" s="3" t="inlineStr">
        <is>
          <t>—</t>
        </is>
      </c>
      <c r="M126" s="3" t="inlineStr">
        <is>
          <t>—</t>
        </is>
      </c>
    </row>
    <row r="127">
      <c r="A127" s="3" t="inlineStr">
        <is>
          <t>MK-CF-F-010</t>
        </is>
      </c>
      <c r="B127" s="3" t="inlineStr">
        <is>
          <t>emergencyTest</t>
        </is>
      </c>
      <c r="C127" s="3" t="inlineStr">
        <is>
          <t>src/domain/budget/index.ts</t>
        </is>
      </c>
      <c r="D127" s="3" t="n">
        <v>188</v>
      </c>
      <c r="E127" s="3" t="inlineStr">
        <is>
          <t>2 · DISPLAYED</t>
        </is>
      </c>
      <c r="F127" s="3" t="inlineStr">
        <is>
          <t>A screen calls it directly, so its answer is on a screen.</t>
        </is>
      </c>
      <c r="G127" s="3" t="inlineStr">
        <is>
          <t>Yes</t>
        </is>
      </c>
      <c r="H127" s="3" t="inlineStr">
        <is>
          <t>MK-CF-F-009 monthlyEssentials · MK-ST-F-055 round2</t>
        </is>
      </c>
      <c r="I127" s="3" t="n">
        <v>39</v>
      </c>
      <c r="J127" s="3" t="inlineStr">
        <is>
          <t>MK-CF-F-009 monthlyEssentials · MK-ST-F-055 round2 · MK-CF-F-002 plannedMonthlySpend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127" s="3" t="inlineStr">
        <is>
          <t>MK-CF-F-069 benefitActiveMonths → MK-CF-F-092 incomeMonthlyGrid → MK-CF-F-002 plannedMonthlySpend → MK-CF-F-009 monthlyEssentials → MK-CF-F-010 emergencyTest
MK-CF-F-075 retirementIncomeMonthly → MK-CF-F-072 currentRetirementIncomeMonthly → MK-CF-F-092 incomeMonthlyGrid → MK-CF-F-002 plannedMonthlySpend → MK-CF-F-009 monthlyEssentials → MK-CF-F-010 emergencyTest
MK-CF-F-062 equityRowValue → MK-CF-F-065 equityVestWeights → MK-CF-F-092 incomeMonthlyGrid → MK-CF-F-002 plannedMonthlySpend → MK-CF-F-009 monthlyEssentials → MK-CF-F-010 emergencyTest
MK-CF-F-070 benefitAnnual → MK-CF-F-071 extraIncome → MK-CF-F-092 incomeMonthlyGrid → MK-CF-F-002 plannedMonthlySpend → MK-CF-F-009 monthlyEssentials → MK-CF-F-010 emergencyTest
MK-ST-F-055 round2 → MK-CF-F-071 extraIncome → MK-CF-F-092 incomeMonthlyGrid → MK-CF-F-002 plannedMonthlySpend → MK-CF-F-009 monthlyEssentials → MK-CF-F-010 emergencyTest
MK-ST-F-052 toNum → MK-CF-F-071 extraIncome → MK-CF-F-092 incomeMonthlyGrid → MK-CF-F-002 plannedMonthlySpend → MK-CF-F-009 monthlyEssentials → MK-CF-F-010 emergencyTest
MK-CF-F-090 effectiveRate → MK-CF-F-087 monthlyTaxRates → MK-CF-F-092 incomeMonthlyGrid → MK-CF-F-002 plannedMonthlySpend → MK-CF-F-009 monthlyEssentials → MK-CF-F-010 emergencyTest
MK-CF-F-085 filingStatusOf → MK-CF-F-087 monthlyTaxRates → MK-CF-F-092 incomeMonthlyGrid → MK-CF-F-002 plannedMonthlySpend → MK-CF-F-009 monthlyEssentials → MK-CF-F-010 emergencyTest
… and 25 more paths</t>
        </is>
      </c>
      <c r="L127" s="3" t="inlineStr">
        <is>
          <t>—</t>
        </is>
      </c>
      <c r="M127" s="3" t="inlineStr">
        <is>
          <t>—</t>
        </is>
      </c>
    </row>
    <row r="128">
      <c r="A128" s="3" t="inlineStr">
        <is>
          <t>MK-ST-F-040</t>
        </is>
      </c>
      <c r="B128" s="3" t="inlineStr">
        <is>
          <t>emit</t>
        </is>
      </c>
      <c r="C128" s="3" t="inlineStr">
        <is>
          <t>src/domain/_shared/eventBus.ts</t>
        </is>
      </c>
      <c r="D128" s="3" t="n">
        <v>13</v>
      </c>
      <c r="E128" s="3" t="inlineStr">
        <is>
          <t>1 · ACTION</t>
        </is>
      </c>
      <c r="F128" s="3" t="inlineStr">
        <is>
          <t>Produces nothing that is displayed — it does something: saves, syncs or records.</t>
        </is>
      </c>
      <c r="G128" s="3" t="inlineStr">
        <is>
          <t>Yes</t>
        </is>
      </c>
      <c r="H128" s="3" t="inlineStr">
        <is>
          <t>—</t>
        </is>
      </c>
      <c r="I128" s="3" t="n">
        <v>0</v>
      </c>
      <c r="J128" s="3" t="inlineStr">
        <is>
          <t>None — no dependent function stands behind it</t>
        </is>
      </c>
      <c r="K128" s="3" t="inlineStr">
        <is>
          <t>No dependent function — it reads its inputs and answers</t>
        </is>
      </c>
      <c r="L128" s="3" t="inlineStr">
        <is>
          <t>—</t>
        </is>
      </c>
      <c r="M128" s="3" t="inlineStr">
        <is>
          <t>—</t>
        </is>
      </c>
    </row>
    <row r="129">
      <c r="A129" s="3" t="inlineStr">
        <is>
          <t>MK-CF-F-046</t>
        </is>
      </c>
      <c r="B129" s="3" t="inlineStr">
        <is>
          <t>employerMatchAnnual</t>
        </is>
      </c>
      <c r="C129" s="3" t="inlineStr">
        <is>
          <t>src/domain/income/calc.ts</t>
        </is>
      </c>
      <c r="D129" s="3" t="n">
        <v>21</v>
      </c>
      <c r="E129" s="3" t="inlineStr">
        <is>
          <t>3 · DEPENDENT</t>
        </is>
      </c>
      <c r="F129" s="3" t="inlineStr">
        <is>
          <t>Its answer feeds another function, and that chain ends at a screen.</t>
        </is>
      </c>
      <c r="G129" s="3" t="inlineStr">
        <is>
          <t>Yes</t>
        </is>
      </c>
      <c r="H129" s="3" t="inlineStr">
        <is>
          <t>—</t>
        </is>
      </c>
      <c r="I129" s="3" t="n">
        <v>0</v>
      </c>
      <c r="J129" s="3" t="inlineStr">
        <is>
          <t>None — no dependent function stands behind it</t>
        </is>
      </c>
      <c r="K129" s="3" t="inlineStr">
        <is>
          <t>No dependent function — it reads its inputs and answers</t>
        </is>
      </c>
      <c r="L129" s="3" t="inlineStr">
        <is>
          <t>—</t>
        </is>
      </c>
      <c r="M129" s="3" t="inlineStr">
        <is>
          <t>—</t>
        </is>
      </c>
    </row>
    <row r="130">
      <c r="A130" s="3" t="inlineStr">
        <is>
          <t>MK-CF-F-078</t>
        </is>
      </c>
      <c r="B130" s="3" t="inlineStr">
        <is>
          <t>employerMatchMonthly</t>
        </is>
      </c>
      <c r="C130" s="3" t="inlineStr">
        <is>
          <t>src/domain/income/onboarding.ts</t>
        </is>
      </c>
      <c r="D130" s="3" t="n">
        <v>263</v>
      </c>
      <c r="E130" s="3" t="inlineStr">
        <is>
          <t>2 · DISPLAYED</t>
        </is>
      </c>
      <c r="F130" s="3" t="inlineStr">
        <is>
          <t>A screen calls it directly, so its answer is on a screen.</t>
        </is>
      </c>
      <c r="G130" s="3" t="inlineStr">
        <is>
          <t>Yes</t>
        </is>
      </c>
      <c r="H130" s="3" t="inlineStr">
        <is>
          <t>MK-ST-F-052 toNum</t>
        </is>
      </c>
      <c r="I130" s="3" t="n">
        <v>1</v>
      </c>
      <c r="J130" s="3" t="inlineStr">
        <is>
          <t>MK-ST-F-052 toNum</t>
        </is>
      </c>
      <c r="K130" s="3" t="inlineStr">
        <is>
          <t>MK-ST-F-052 toNum → MK-CF-F-078 employerMatchMonthly</t>
        </is>
      </c>
      <c r="L130" s="3" t="inlineStr">
        <is>
          <t>MK-MN-M-014</t>
        </is>
      </c>
      <c r="M130" s="3" t="inlineStr">
        <is>
          <t>EMPLOYER_MATCH</t>
        </is>
      </c>
    </row>
    <row r="131">
      <c r="A131" s="3" t="inlineStr">
        <is>
          <t>MK-XS-F-054</t>
        </is>
      </c>
      <c r="B131" s="3" t="inlineStr">
        <is>
          <t>encryptForSync</t>
        </is>
      </c>
      <c r="C131" s="3" t="inlineStr">
        <is>
          <t>src/services/dataCrypto.ts</t>
        </is>
      </c>
      <c r="D131" s="3" t="n">
        <v>123</v>
      </c>
      <c r="E131" s="3" t="inlineStr">
        <is>
          <t>3 · DEPENDENT</t>
        </is>
      </c>
      <c r="F131" s="3" t="inlineStr">
        <is>
          <t>Its answer feeds another function, and that chain ends at a screen.</t>
        </is>
      </c>
      <c r="G131" s="3" t="inlineStr">
        <is>
          <t>Yes</t>
        </is>
      </c>
      <c r="H131" s="3" t="inlineStr">
        <is>
          <t>MK-XS-F-052 encryptWithKey · MK-XS-F-042 getDataKey</t>
        </is>
      </c>
      <c r="I131" s="3" t="n">
        <v>2</v>
      </c>
      <c r="J131" s="3" t="inlineStr">
        <is>
          <t>MK-XS-F-052 encryptWithKey · MK-XS-F-042 getDataKey</t>
        </is>
      </c>
      <c r="K131" s="3" t="inlineStr">
        <is>
          <t>MK-XS-F-052 encryptWithKey → MK-XS-F-054 encryptForSync
MK-XS-F-042 getDataKey → MK-XS-F-054 encryptForSync</t>
        </is>
      </c>
      <c r="L131" s="3" t="inlineStr">
        <is>
          <t>—</t>
        </is>
      </c>
      <c r="M131" s="3" t="inlineStr">
        <is>
          <t>—</t>
        </is>
      </c>
    </row>
    <row r="132">
      <c r="A132" s="3" t="inlineStr">
        <is>
          <t>MK-XS-F-052</t>
        </is>
      </c>
      <c r="B132" s="3" t="inlineStr">
        <is>
          <t>encryptWithKey</t>
        </is>
      </c>
      <c r="C132" s="3" t="inlineStr">
        <is>
          <t>src/services/dataCrypto.ts</t>
        </is>
      </c>
      <c r="D132" s="3" t="n">
        <v>106</v>
      </c>
      <c r="E132" s="3" t="inlineStr">
        <is>
          <t>3 · DEPENDENT</t>
        </is>
      </c>
      <c r="F132" s="3" t="inlineStr">
        <is>
          <t>Its answer feeds another function, and that chain ends at a screen.</t>
        </is>
      </c>
      <c r="G132" s="3" t="inlineStr">
        <is>
          <t>Yes</t>
        </is>
      </c>
      <c r="H132" s="3" t="inlineStr">
        <is>
          <t>—</t>
        </is>
      </c>
      <c r="I132" s="3" t="n">
        <v>0</v>
      </c>
      <c r="J132" s="3" t="inlineStr">
        <is>
          <t>None — no dependent function stands behind it</t>
        </is>
      </c>
      <c r="K132" s="3" t="inlineStr">
        <is>
          <t>No dependent function — it reads its inputs and answers</t>
        </is>
      </c>
      <c r="L132" s="3" t="inlineStr">
        <is>
          <t>—</t>
        </is>
      </c>
      <c r="M132" s="3" t="inlineStr">
        <is>
          <t>—</t>
        </is>
      </c>
    </row>
    <row r="133">
      <c r="A133" s="3" t="inlineStr">
        <is>
          <t>MK-NW-F-017</t>
        </is>
      </c>
      <c r="B133" s="3" t="inlineStr">
        <is>
          <t>equitiesTotal</t>
        </is>
      </c>
      <c r="C133" s="3" t="inlineStr">
        <is>
          <t>src/domain/assets/index.ts</t>
        </is>
      </c>
      <c r="D133" s="3" t="n">
        <v>277</v>
      </c>
      <c r="E133" s="3" t="inlineStr">
        <is>
          <t>3 · DEPENDENT (feeds an action only)</t>
        </is>
      </c>
      <c r="F133" s="3" t="inlineStr">
        <is>
          <t>Its answer feeds another function, but no chain from it reaches a screen.</t>
        </is>
      </c>
      <c r="G133" s="3" t="inlineStr">
        <is>
          <t>No</t>
        </is>
      </c>
      <c r="H133" s="3" t="inlineStr">
        <is>
          <t>MK-NW-F-011 assetClassOf</t>
        </is>
      </c>
      <c r="I133" s="3" t="n">
        <v>3</v>
      </c>
      <c r="J133" s="3" t="inlineStr">
        <is>
          <t>MK-NW-F-011 assetClassOf · MK-NW-F-008 incomeBearingClassOf · MK-ST-F-010 nameEvidence</t>
        </is>
      </c>
      <c r="K133" s="3" t="inlineStr">
        <is>
          <t>MK-ST-F-010 nameEvidence → MK-NW-F-008 incomeBearingClassOf → MK-NW-F-011 assetClassOf → MK-NW-F-017 equitiesTotal</t>
        </is>
      </c>
      <c r="L133" s="3" t="inlineStr">
        <is>
          <t>—</t>
        </is>
      </c>
      <c r="M133" s="3" t="inlineStr">
        <is>
          <t>—</t>
        </is>
      </c>
    </row>
    <row r="134">
      <c r="A134" s="3" t="inlineStr">
        <is>
          <t>MK-CF-F-018</t>
        </is>
      </c>
      <c r="B134" s="3" t="inlineStr">
        <is>
          <t>equityByMonth</t>
        </is>
      </c>
      <c r="C134" s="3" t="inlineStr">
        <is>
          <t>src/domain/cashflow/index.ts</t>
        </is>
      </c>
      <c r="D134" s="3" t="n">
        <v>18</v>
      </c>
      <c r="E134" s="3" t="inlineStr">
        <is>
          <t>3 · DEPENDENT</t>
        </is>
      </c>
      <c r="F134" s="3" t="inlineStr">
        <is>
          <t>Its answer feeds another function, and that chain ends at a screen.</t>
        </is>
      </c>
      <c r="G134" s="3" t="inlineStr">
        <is>
          <t>Yes</t>
        </is>
      </c>
      <c r="H134" s="3" t="inlineStr">
        <is>
          <t>MK-CF-F-062 equityRowValue · MK-CF-F-066 rsuAnnual</t>
        </is>
      </c>
      <c r="I134" s="3" t="n">
        <v>4</v>
      </c>
      <c r="J134" s="3" t="inlineStr">
        <is>
          <t>MK-CF-F-062 equityRowValue · MK-CF-F-066 rsuAnnual · MK-ST-F-052 toNum · MK-CF-F-063 rowVestYear</t>
        </is>
      </c>
      <c r="K134" s="3" t="inlineStr">
        <is>
          <t>MK-ST-F-052 toNum → MK-CF-F-062 equityRowValue → MK-CF-F-018 equityByMonth
MK-ST-F-052 toNum → MK-CF-F-062 equityRowValue → MK-CF-F-066 rsuAnnual → MK-CF-F-018 equityByMonth
MK-CF-F-063 rowVestYear → MK-CF-F-066 rsuAnnual → MK-CF-F-018 equityByMonth
MK-ST-F-052 toNum → MK-CF-F-066 rsuAnnual → MK-CF-F-018 equityByMonth</t>
        </is>
      </c>
      <c r="L134" s="3" t="inlineStr">
        <is>
          <t>—</t>
        </is>
      </c>
      <c r="M134" s="3" t="inlineStr">
        <is>
          <t>—</t>
        </is>
      </c>
    </row>
    <row r="135">
      <c r="A135" s="3" t="inlineStr">
        <is>
          <t>MK-CF-F-064</t>
        </is>
      </c>
      <c r="B135" s="3" t="inlineStr">
        <is>
          <t>equityCashFlow</t>
        </is>
      </c>
      <c r="C135" s="3" t="inlineStr">
        <is>
          <t>src/domain/income/onboarding.ts</t>
        </is>
      </c>
      <c r="D135" s="3" t="n">
        <v>80</v>
      </c>
      <c r="E135" s="3" t="inlineStr">
        <is>
          <t>2 · DISPLAYED</t>
        </is>
      </c>
      <c r="F135" s="3" t="inlineStr">
        <is>
          <t>A screen calls it directly, so its answer is on a screen.</t>
        </is>
      </c>
      <c r="G135" s="3" t="inlineStr">
        <is>
          <t>Yes</t>
        </is>
      </c>
      <c r="H135" s="3" t="inlineStr">
        <is>
          <t>MK-CF-F-062 equityRowValue · MK-CF-F-063 rowVestYear</t>
        </is>
      </c>
      <c r="I135" s="3" t="n">
        <v>3</v>
      </c>
      <c r="J135" s="3" t="inlineStr">
        <is>
          <t>MK-CF-F-062 equityRowValue · MK-CF-F-063 rowVestYear · MK-ST-F-052 toNum</t>
        </is>
      </c>
      <c r="K135" s="3" t="inlineStr">
        <is>
          <t>MK-ST-F-052 toNum → MK-CF-F-062 equityRowValue → MK-CF-F-064 equityCashFlow
MK-CF-F-063 rowVestYear → MK-CF-F-064 equityCashFlow</t>
        </is>
      </c>
      <c r="L135" s="3" t="inlineStr">
        <is>
          <t>—</t>
        </is>
      </c>
      <c r="M135" s="3" t="inlineStr">
        <is>
          <t>—</t>
        </is>
      </c>
    </row>
    <row r="136">
      <c r="A136" s="3" t="inlineStr">
        <is>
          <t>MK-CF-F-062</t>
        </is>
      </c>
      <c r="B136" s="3" t="inlineStr">
        <is>
          <t>equityRowValue</t>
        </is>
      </c>
      <c r="C136" s="3" t="inlineStr">
        <is>
          <t>src/domain/income/onboarding.ts</t>
        </is>
      </c>
      <c r="D136" s="3" t="n">
        <v>68</v>
      </c>
      <c r="E136" s="3" t="inlineStr">
        <is>
          <t>3 · DEPENDENT</t>
        </is>
      </c>
      <c r="F136" s="3" t="inlineStr">
        <is>
          <t>Its answer feeds another function, and that chain ends at a screen.</t>
        </is>
      </c>
      <c r="G136" s="3" t="inlineStr">
        <is>
          <t>Yes</t>
        </is>
      </c>
      <c r="H136" s="3" t="inlineStr">
        <is>
          <t>MK-ST-F-052 toNum</t>
        </is>
      </c>
      <c r="I136" s="3" t="n">
        <v>1</v>
      </c>
      <c r="J136" s="3" t="inlineStr">
        <is>
          <t>MK-ST-F-052 toNum</t>
        </is>
      </c>
      <c r="K136" s="3" t="inlineStr">
        <is>
          <t>MK-ST-F-052 toNum → MK-CF-F-062 equityRowValue</t>
        </is>
      </c>
      <c r="L136" s="3" t="inlineStr">
        <is>
          <t>—</t>
        </is>
      </c>
      <c r="M136" s="3" t="inlineStr">
        <is>
          <t>EQUITY_ROW_VALUE</t>
        </is>
      </c>
    </row>
    <row r="137">
      <c r="A137" s="3" t="inlineStr">
        <is>
          <t>MK-CF-F-065</t>
        </is>
      </c>
      <c r="B137" s="3" t="inlineStr">
        <is>
          <t>equityVestWeights</t>
        </is>
      </c>
      <c r="C137" s="3" t="inlineStr">
        <is>
          <t>src/domain/income/onboarding.ts</t>
        </is>
      </c>
      <c r="D137" s="3" t="n">
        <v>96</v>
      </c>
      <c r="E137" s="3" t="inlineStr">
        <is>
          <t>3 · DEPENDENT</t>
        </is>
      </c>
      <c r="F137" s="3" t="inlineStr">
        <is>
          <t>Its answer feeds another function, and that chain ends at a screen.</t>
        </is>
      </c>
      <c r="G137" s="3" t="inlineStr">
        <is>
          <t>Yes</t>
        </is>
      </c>
      <c r="H137" s="3" t="inlineStr">
        <is>
          <t>MK-CF-F-062 equityRowValue</t>
        </is>
      </c>
      <c r="I137" s="3" t="n">
        <v>2</v>
      </c>
      <c r="J137" s="3" t="inlineStr">
        <is>
          <t>MK-CF-F-062 equityRowValue · MK-ST-F-052 toNum</t>
        </is>
      </c>
      <c r="K137" s="3" t="inlineStr">
        <is>
          <t>MK-ST-F-052 toNum → MK-CF-F-062 equityRowValue → MK-CF-F-065 equityVestWeights</t>
        </is>
      </c>
      <c r="L137" s="3" t="inlineStr">
        <is>
          <t>—</t>
        </is>
      </c>
      <c r="M137" s="3" t="inlineStr">
        <is>
          <t>—</t>
        </is>
      </c>
    </row>
    <row r="138">
      <c r="A138" s="3" t="inlineStr">
        <is>
          <t>MK-CF-F-047</t>
        </is>
      </c>
      <c r="B138" s="3" t="inlineStr">
        <is>
          <t>estimateEffectiveTaxRate</t>
        </is>
      </c>
      <c r="C138" s="3" t="inlineStr">
        <is>
          <t>src/domain/income/calc.ts</t>
        </is>
      </c>
      <c r="D138" s="3" t="n">
        <v>30</v>
      </c>
      <c r="E138" s="3" t="inlineStr">
        <is>
          <t>2 · DISPLAYED</t>
        </is>
      </c>
      <c r="F138" s="3" t="inlineStr">
        <is>
          <t>A screen calls it directly, so its answer is on a screen.</t>
        </is>
      </c>
      <c r="G138" s="3" t="inlineStr">
        <is>
          <t>Yes</t>
        </is>
      </c>
      <c r="H138" s="3" t="inlineStr">
        <is>
          <t>MK-CF-F-096 effectiveRateOnGross</t>
        </is>
      </c>
      <c r="I138" s="3" t="n">
        <v>3</v>
      </c>
      <c r="J138" s="3" t="inlineStr">
        <is>
          <t>MK-CF-F-096 effectiveRateOnGross · MK-CF-F-095 taxOwed · MK-CF-F-093 taxableIncome</t>
        </is>
      </c>
      <c r="K138" s="3" t="inlineStr">
        <is>
          <t>MK-CF-F-093 taxableIncome → MK-CF-F-095 taxOwed → MK-CF-F-096 effectiveRateOnGross → MK-CF-F-047 estimateEffectiveTaxRate</t>
        </is>
      </c>
      <c r="L138" s="3" t="inlineStr">
        <is>
          <t>—</t>
        </is>
      </c>
      <c r="M138" s="3" t="inlineStr">
        <is>
          <t>—</t>
        </is>
      </c>
    </row>
    <row r="139">
      <c r="A139" s="3" t="inlineStr">
        <is>
          <t>MK-CF-F-071</t>
        </is>
      </c>
      <c r="B139" s="3" t="inlineStr">
        <is>
          <t>extraIncome</t>
        </is>
      </c>
      <c r="C139" s="3" t="inlineStr">
        <is>
          <t>src/domain/income/onboarding.ts</t>
        </is>
      </c>
      <c r="D139" s="3" t="n">
        <v>161</v>
      </c>
      <c r="E139" s="3" t="inlineStr">
        <is>
          <t>2 · DISPLAYED</t>
        </is>
      </c>
      <c r="F139" s="3" t="inlineStr">
        <is>
          <t>A screen calls it directly, so its answer is on a screen.</t>
        </is>
      </c>
      <c r="G139" s="3" t="inlineStr">
        <is>
          <t>Yes</t>
        </is>
      </c>
      <c r="H139" s="3" t="inlineStr">
        <is>
          <t>MK-CF-F-070 benefitAnnual · MK-ST-F-055 round2 · MK-ST-F-052 toNum</t>
        </is>
      </c>
      <c r="I139" s="3" t="n">
        <v>4</v>
      </c>
      <c r="J139" s="3" t="inlineStr">
        <is>
          <t>MK-CF-F-070 benefitAnnual · MK-ST-F-055 round2 · MK-ST-F-052 toNum · MK-CF-F-069 benefitActiveMonths</t>
        </is>
      </c>
      <c r="K139" s="3" t="inlineStr">
        <is>
          <t>MK-CF-F-069 benefitActiveMonths → MK-CF-F-070 benefitAnnual → MK-CF-F-071 extraIncome
MK-ST-F-052 toNum → MK-CF-F-070 benefitAnnual → MK-CF-F-071 extraIncome
MK-ST-F-055 round2 → MK-CF-F-071 extraIncome
MK-ST-F-052 toNum → MK-CF-F-071 extraIncome</t>
        </is>
      </c>
      <c r="L139" s="3" t="inlineStr">
        <is>
          <t>—</t>
        </is>
      </c>
      <c r="M139" s="3" t="inlineStr">
        <is>
          <t>OTHER_INCOME</t>
        </is>
      </c>
    </row>
    <row r="140">
      <c r="A140" s="3" t="inlineStr">
        <is>
          <t>MK-PF-F-022</t>
        </is>
      </c>
      <c r="B140" s="3" t="inlineStr">
        <is>
          <t>factorOverMonths</t>
        </is>
      </c>
      <c r="C140" s="3" t="inlineStr">
        <is>
          <t>src/domain/performance/lookBack.ts</t>
        </is>
      </c>
      <c r="D140" s="3" t="n">
        <v>19</v>
      </c>
      <c r="E140" s="3" t="inlineStr">
        <is>
          <t>3 · DEPENDENT</t>
        </is>
      </c>
      <c r="F140" s="3" t="inlineStr">
        <is>
          <t>Its answer feeds another function, and that chain ends at a screen.</t>
        </is>
      </c>
      <c r="G140" s="3" t="inlineStr">
        <is>
          <t>Yes</t>
        </is>
      </c>
      <c r="H140" s="3" t="inlineStr">
        <is>
          <t>—</t>
        </is>
      </c>
      <c r="I140" s="3" t="n">
        <v>0</v>
      </c>
      <c r="J140" s="3" t="inlineStr">
        <is>
          <t>None — no dependent function stands behind it</t>
        </is>
      </c>
      <c r="K140" s="3" t="inlineStr">
        <is>
          <t>No dependent function — it reads its inputs and answers</t>
        </is>
      </c>
      <c r="L140" s="3" t="inlineStr">
        <is>
          <t>—</t>
        </is>
      </c>
      <c r="M140" s="3" t="inlineStr">
        <is>
          <t>PRICE_FACTOR_OVER_WINDOW</t>
        </is>
      </c>
    </row>
    <row r="141">
      <c r="A141" s="3" t="inlineStr">
        <is>
          <t>MK-XS-F-056</t>
        </is>
      </c>
      <c r="B141" s="3" t="inlineStr">
        <is>
          <t>fetchEconomicData</t>
        </is>
      </c>
      <c r="C141" s="3" t="inlineStr">
        <is>
          <t>src/services/economicData.ts</t>
        </is>
      </c>
      <c r="D141" s="3" t="n">
        <v>47</v>
      </c>
      <c r="E141" s="3" t="inlineStr">
        <is>
          <t>4 · BRINGS DATA IN</t>
        </is>
      </c>
      <c r="F141" s="3" t="inlineStr">
        <is>
          <t>Reaches outside the app for its answer — a feed, a file or a stored record.</t>
        </is>
      </c>
      <c r="G141" s="3" t="inlineStr">
        <is>
          <t>No</t>
        </is>
      </c>
      <c r="H141" s="3" t="inlineStr">
        <is>
          <t>—</t>
        </is>
      </c>
      <c r="I141" s="3" t="n">
        <v>0</v>
      </c>
      <c r="J141" s="3" t="inlineStr">
        <is>
          <t>None — no dependent function stands behind it</t>
        </is>
      </c>
      <c r="K141" s="3" t="inlineStr">
        <is>
          <t>No dependent function — it reads its inputs and answers</t>
        </is>
      </c>
      <c r="L141" s="3" t="inlineStr">
        <is>
          <t>—</t>
        </is>
      </c>
      <c r="M141" s="3" t="inlineStr">
        <is>
          <t>ECONOMIC_FIGURES</t>
        </is>
      </c>
    </row>
    <row r="142">
      <c r="A142" s="3" t="inlineStr">
        <is>
          <t>MK-XS-F-083</t>
        </is>
      </c>
      <c r="B142" s="3" t="inlineStr">
        <is>
          <t>fetchPriceSeries</t>
        </is>
      </c>
      <c r="C142" s="3" t="inlineStr">
        <is>
          <t>src/services/marketData.ts</t>
        </is>
      </c>
      <c r="D142" s="3" t="n">
        <v>71</v>
      </c>
      <c r="E142" s="3" t="inlineStr">
        <is>
          <t>3 · DEPENDENT (feeds an action only)</t>
        </is>
      </c>
      <c r="F142" s="3" t="inlineStr">
        <is>
          <t>Its answer feeds another function, but no chain from it reaches a screen.</t>
        </is>
      </c>
      <c r="G142" s="3" t="inlineStr">
        <is>
          <t>No</t>
        </is>
      </c>
      <c r="H142" s="3" t="inlineStr">
        <is>
          <t>—</t>
        </is>
      </c>
      <c r="I142" s="3" t="n">
        <v>0</v>
      </c>
      <c r="J142" s="3" t="inlineStr">
        <is>
          <t>None — no dependent function stands behind it</t>
        </is>
      </c>
      <c r="K142" s="3" t="inlineStr">
        <is>
          <t>No dependent function — it reads its inputs and answers</t>
        </is>
      </c>
      <c r="L142" s="3" t="inlineStr">
        <is>
          <t>—</t>
        </is>
      </c>
      <c r="M142" s="3" t="inlineStr">
        <is>
          <t>FETCH_PRICES</t>
        </is>
      </c>
    </row>
    <row r="143">
      <c r="A143" s="3" t="inlineStr">
        <is>
          <t>MK-CF-F-085</t>
        </is>
      </c>
      <c r="B143" s="3" t="inlineStr">
        <is>
          <t>filingStatusOf</t>
        </is>
      </c>
      <c r="C143" s="3" t="inlineStr">
        <is>
          <t>src/domain/income/onboarding.ts</t>
        </is>
      </c>
      <c r="D143" s="3" t="n">
        <v>354</v>
      </c>
      <c r="E143" s="3" t="inlineStr">
        <is>
          <t>2 · DISPLAYED</t>
        </is>
      </c>
      <c r="F143" s="3" t="inlineStr">
        <is>
          <t>A screen calls it directly, so its answer is on a screen.</t>
        </is>
      </c>
      <c r="G143" s="3" t="inlineStr">
        <is>
          <t>Yes</t>
        </is>
      </c>
      <c r="H143" s="3" t="inlineStr">
        <is>
          <t>—</t>
        </is>
      </c>
      <c r="I143" s="3" t="n">
        <v>0</v>
      </c>
      <c r="J143" s="3" t="inlineStr">
        <is>
          <t>None — no dependent function stands behind it</t>
        </is>
      </c>
      <c r="K143" s="3" t="inlineStr">
        <is>
          <t>No dependent function — it reads its inputs and answers</t>
        </is>
      </c>
      <c r="L143" s="3" t="inlineStr">
        <is>
          <t>—</t>
        </is>
      </c>
      <c r="M143" s="3" t="inlineStr">
        <is>
          <t>FILING_STATUS</t>
        </is>
      </c>
    </row>
    <row r="144">
      <c r="A144" s="3" t="inlineStr">
        <is>
          <t>MK-ST-F-034</t>
        </is>
      </c>
      <c r="B144" s="3" t="inlineStr">
        <is>
          <t>firstDate</t>
        </is>
      </c>
      <c r="C144" s="3" t="inlineStr">
        <is>
          <t>Calculation Module code/engines/snapshots.ts</t>
        </is>
      </c>
      <c r="D144" s="3" t="n">
        <v>192</v>
      </c>
      <c r="E144" s="3" t="inlineStr">
        <is>
          <t>3 · DEPENDENT</t>
        </is>
      </c>
      <c r="F144" s="3" t="inlineStr">
        <is>
          <t>Its answer feeds another function, and that chain ends at a screen.</t>
        </is>
      </c>
      <c r="G144" s="3" t="inlineStr">
        <is>
          <t>Yes</t>
        </is>
      </c>
      <c r="H144" s="3" t="inlineStr">
        <is>
          <t>—</t>
        </is>
      </c>
      <c r="I144" s="3" t="n">
        <v>0</v>
      </c>
      <c r="J144" s="3" t="inlineStr">
        <is>
          <t>None — no dependent function stands behind it</t>
        </is>
      </c>
      <c r="K144" s="3" t="inlineStr">
        <is>
          <t>No dependent function — it reads its inputs and answers</t>
        </is>
      </c>
      <c r="L144" s="3" t="inlineStr">
        <is>
          <t>—</t>
        </is>
      </c>
      <c r="M144" s="3" t="inlineStr">
        <is>
          <t>—</t>
        </is>
      </c>
    </row>
    <row r="145">
      <c r="A145" s="3" t="inlineStr">
        <is>
          <t>MK-NW-F-018</t>
        </is>
      </c>
      <c r="B145" s="3" t="inlineStr">
        <is>
          <t>fixedIncomeTotal</t>
        </is>
      </c>
      <c r="C145" s="3" t="inlineStr">
        <is>
          <t>src/domain/assets/index.ts</t>
        </is>
      </c>
      <c r="D145" s="3" t="n">
        <v>280</v>
      </c>
      <c r="E145" s="3" t="inlineStr">
        <is>
          <t>3 · DEPENDENT (feeds an action only)</t>
        </is>
      </c>
      <c r="F145" s="3" t="inlineStr">
        <is>
          <t>Its answer feeds another function, but no chain from it reaches a screen.</t>
        </is>
      </c>
      <c r="G145" s="3" t="inlineStr">
        <is>
          <t>No</t>
        </is>
      </c>
      <c r="H145" s="3" t="inlineStr">
        <is>
          <t>MK-NW-F-011 assetClassOf</t>
        </is>
      </c>
      <c r="I145" s="3" t="n">
        <v>3</v>
      </c>
      <c r="J145" s="3" t="inlineStr">
        <is>
          <t>MK-NW-F-011 assetClassOf · MK-NW-F-008 incomeBearingClassOf · MK-ST-F-010 nameEvidence</t>
        </is>
      </c>
      <c r="K145" s="3" t="inlineStr">
        <is>
          <t>MK-ST-F-010 nameEvidence → MK-NW-F-008 incomeBearingClassOf → MK-NW-F-011 assetClassOf → MK-NW-F-018 fixedIncomeTotal</t>
        </is>
      </c>
      <c r="L145" s="3" t="inlineStr">
        <is>
          <t>—</t>
        </is>
      </c>
      <c r="M145" s="3" t="inlineStr">
        <is>
          <t>—</t>
        </is>
      </c>
    </row>
    <row r="146">
      <c r="A146" s="3" t="inlineStr">
        <is>
          <t>MK-CF-F-110</t>
        </is>
      </c>
      <c r="B146" s="3" t="inlineStr">
        <is>
          <t>flagComparisonText</t>
        </is>
      </c>
      <c r="C146" s="3" t="inlineStr">
        <is>
          <t>src/domain/transactions/flags.ts</t>
        </is>
      </c>
      <c r="D146" s="3" t="n">
        <v>170</v>
      </c>
      <c r="E146" s="3" t="inlineStr">
        <is>
          <t>2 · DISPLAYED</t>
        </is>
      </c>
      <c r="F146" s="3" t="inlineStr">
        <is>
          <t>A screen calls it directly, so its answer is on a screen.</t>
        </is>
      </c>
      <c r="G146" s="3" t="inlineStr">
        <is>
          <t>Yes</t>
        </is>
      </c>
      <c r="H146" s="3" t="inlineStr">
        <is>
          <t>—</t>
        </is>
      </c>
      <c r="I146" s="3" t="n">
        <v>0</v>
      </c>
      <c r="J146" s="3" t="inlineStr">
        <is>
          <t>None — no dependent function stands behind it</t>
        </is>
      </c>
      <c r="K146" s="3" t="inlineStr">
        <is>
          <t>No dependent function — it reads its inputs and answers</t>
        </is>
      </c>
      <c r="L146" s="3" t="inlineStr">
        <is>
          <t>—</t>
        </is>
      </c>
      <c r="M146" s="3" t="inlineStr">
        <is>
          <t>—</t>
        </is>
      </c>
    </row>
    <row r="147">
      <c r="A147" s="3" t="inlineStr">
        <is>
          <t>MK-ST-F-049</t>
        </is>
      </c>
      <c r="B147" s="3" t="inlineStr">
        <is>
          <t>formatMoney</t>
        </is>
      </c>
      <c r="C147" s="3" t="inlineStr">
        <is>
          <t>src/domain/_shared/money.ts</t>
        </is>
      </c>
      <c r="D147" s="3" t="n">
        <v>58</v>
      </c>
      <c r="E147" s="3" t="inlineStr">
        <is>
          <t>2 · DISPLAYED</t>
        </is>
      </c>
      <c r="F147" s="3" t="inlineStr">
        <is>
          <t>A screen calls it directly, so its answer is on a screen.</t>
        </is>
      </c>
      <c r="G147" s="3" t="inlineStr">
        <is>
          <t>Yes</t>
        </is>
      </c>
      <c r="H147" s="3" t="inlineStr">
        <is>
          <t>MK-ST-F-048 currencySymbol</t>
        </is>
      </c>
      <c r="I147" s="3" t="n">
        <v>2</v>
      </c>
      <c r="J147" s="3" t="inlineStr">
        <is>
          <t>MK-ST-F-048 currencySymbol · MK-ST-F-047 activeCurrency</t>
        </is>
      </c>
      <c r="K147" s="3" t="inlineStr">
        <is>
          <t>MK-ST-F-047 activeCurrency → MK-ST-F-048 currencySymbol → MK-ST-F-049 formatMoney</t>
        </is>
      </c>
      <c r="L147" s="3" t="inlineStr">
        <is>
          <t>—</t>
        </is>
      </c>
      <c r="M147" s="3" t="inlineStr">
        <is>
          <t>MONEY_IN_WORDS</t>
        </is>
      </c>
    </row>
    <row r="148">
      <c r="A148" s="3" t="inlineStr">
        <is>
          <t>MK-ST-F-050</t>
        </is>
      </c>
      <c r="B148" s="3" t="inlineStr">
        <is>
          <t>formatMoneyCents</t>
        </is>
      </c>
      <c r="C148" s="3" t="inlineStr">
        <is>
          <t>src/domain/_shared/money.ts</t>
        </is>
      </c>
      <c r="D148" s="3" t="n">
        <v>74</v>
      </c>
      <c r="E148" s="3" t="inlineStr">
        <is>
          <t>3 · DEPENDENT</t>
        </is>
      </c>
      <c r="F148" s="3" t="inlineStr">
        <is>
          <t>Its answer feeds another function, and that chain ends at a screen.</t>
        </is>
      </c>
      <c r="G148" s="3" t="inlineStr">
        <is>
          <t>Yes</t>
        </is>
      </c>
      <c r="H148" s="3" t="inlineStr">
        <is>
          <t>MK-ST-F-048 currencySymbol</t>
        </is>
      </c>
      <c r="I148" s="3" t="n">
        <v>2</v>
      </c>
      <c r="J148" s="3" t="inlineStr">
        <is>
          <t>MK-ST-F-048 currencySymbol · MK-ST-F-047 activeCurrency</t>
        </is>
      </c>
      <c r="K148" s="3" t="inlineStr">
        <is>
          <t>MK-ST-F-047 activeCurrency → MK-ST-F-048 currencySymbol → MK-ST-F-050 formatMoneyCents</t>
        </is>
      </c>
      <c r="L148" s="3" t="inlineStr">
        <is>
          <t>—</t>
        </is>
      </c>
      <c r="M148" s="3" t="inlineStr">
        <is>
          <t>MONEY_IN_WORDS_WITH_CENTS</t>
        </is>
      </c>
    </row>
    <row r="149">
      <c r="A149" s="3" t="inlineStr">
        <is>
          <t>MK-PL-F-063</t>
        </is>
      </c>
      <c r="B149" s="3" t="inlineStr">
        <is>
          <t>fraLabel</t>
        </is>
      </c>
      <c r="C149" s="3" t="inlineStr">
        <is>
          <t>src/domain/retirement/ssTiming.ts</t>
        </is>
      </c>
      <c r="D149" s="3" t="n">
        <v>69</v>
      </c>
      <c r="E149" s="3" t="inlineStr">
        <is>
          <t>2 · DISPLAYED</t>
        </is>
      </c>
      <c r="F149" s="3" t="inlineStr">
        <is>
          <t>A screen calls it directly, so its answer is on a screen.</t>
        </is>
      </c>
      <c r="G149" s="3" t="inlineStr">
        <is>
          <t>Yes</t>
        </is>
      </c>
      <c r="H149" s="3" t="inlineStr">
        <is>
          <t>MK-PL-F-057 fullRetirementAge</t>
        </is>
      </c>
      <c r="I149" s="3" t="n">
        <v>1</v>
      </c>
      <c r="J149" s="3" t="inlineStr">
        <is>
          <t>MK-PL-F-057 fullRetirementAge</t>
        </is>
      </c>
      <c r="K149" s="3" t="inlineStr">
        <is>
          <t>MK-PL-F-057 fullRetirementAge → MK-PL-F-063 fraLabel</t>
        </is>
      </c>
      <c r="L149" s="3" t="inlineStr">
        <is>
          <t>—</t>
        </is>
      </c>
      <c r="M149" s="3" t="inlineStr">
        <is>
          <t>—</t>
        </is>
      </c>
    </row>
    <row r="150">
      <c r="A150" s="3" t="inlineStr">
        <is>
          <t>MK-PL-F-057</t>
        </is>
      </c>
      <c r="B150" s="3" t="inlineStr">
        <is>
          <t>fullRetirementAge</t>
        </is>
      </c>
      <c r="C150" s="3" t="inlineStr">
        <is>
          <t>src/domain/retirement/ssTiming.ts</t>
        </is>
      </c>
      <c r="D150" s="3" t="n">
        <v>23</v>
      </c>
      <c r="E150" s="3" t="inlineStr">
        <is>
          <t>3 · DEPENDENT</t>
        </is>
      </c>
      <c r="F150" s="3" t="inlineStr">
        <is>
          <t>Its answer feeds another function, and that chain ends at a screen.</t>
        </is>
      </c>
      <c r="G150" s="3" t="inlineStr">
        <is>
          <t>Yes</t>
        </is>
      </c>
      <c r="H150" s="3" t="inlineStr">
        <is>
          <t>—</t>
        </is>
      </c>
      <c r="I150" s="3" t="n">
        <v>0</v>
      </c>
      <c r="J150" s="3" t="inlineStr">
        <is>
          <t>None — no dependent function stands behind it</t>
        </is>
      </c>
      <c r="K150" s="3" t="inlineStr">
        <is>
          <t>No dependent function — it reads its inputs and answers</t>
        </is>
      </c>
      <c r="L150" s="3" t="inlineStr">
        <is>
          <t>—</t>
        </is>
      </c>
      <c r="M150" s="3" t="inlineStr">
        <is>
          <t>SS_FULL_RETIREMENT_AGE</t>
        </is>
      </c>
    </row>
    <row r="151">
      <c r="A151" s="3" t="inlineStr">
        <is>
          <t>MK-XS-F-003</t>
        </is>
      </c>
      <c r="B151" s="3" t="inlineStr">
        <is>
          <t>gapsHeadline</t>
        </is>
      </c>
      <c r="C151" s="3" t="inlineStr">
        <is>
          <t>src/domain/gaps/index.ts</t>
        </is>
      </c>
      <c r="D151" s="3" t="n">
        <v>153</v>
      </c>
      <c r="E151" s="3" t="inlineStr">
        <is>
          <t>2 · DISPLAYED (presentation only)</t>
        </is>
      </c>
      <c r="F151" s="3" t="inlineStr">
        <is>
          <t>A screen calls it, but it only changes how a value LOOKS — it does no arithmetic.</t>
        </is>
      </c>
      <c r="G151" s="3" t="inlineStr">
        <is>
          <t>Yes</t>
        </is>
      </c>
      <c r="H151" s="3" t="inlineStr">
        <is>
          <t>—</t>
        </is>
      </c>
      <c r="I151" s="3" t="n">
        <v>0</v>
      </c>
      <c r="J151" s="3" t="inlineStr">
        <is>
          <t>None — no dependent function stands behind it</t>
        </is>
      </c>
      <c r="K151" s="3" t="inlineStr">
        <is>
          <t>No dependent function — it reads its inputs and answers</t>
        </is>
      </c>
      <c r="L151" s="3" t="inlineStr">
        <is>
          <t>—</t>
        </is>
      </c>
      <c r="M151" s="3" t="inlineStr">
        <is>
          <t>—</t>
        </is>
      </c>
    </row>
    <row r="152">
      <c r="A152" s="3" t="inlineStr">
        <is>
          <t>MK-XS-F-044</t>
        </is>
      </c>
      <c r="B152" s="3" t="inlineStr">
        <is>
          <t>generateDataKey</t>
        </is>
      </c>
      <c r="C152" s="3" t="inlineStr">
        <is>
          <t>src/services/dataCrypto.ts</t>
        </is>
      </c>
      <c r="D152" s="3" t="n">
        <v>59</v>
      </c>
      <c r="E152" s="3" t="inlineStr">
        <is>
          <t>3 · DEPENDENT</t>
        </is>
      </c>
      <c r="F152" s="3" t="inlineStr">
        <is>
          <t>Its answer feeds another function, and that chain ends at a screen.</t>
        </is>
      </c>
      <c r="G152" s="3" t="inlineStr">
        <is>
          <t>Yes</t>
        </is>
      </c>
      <c r="H152" s="3" t="inlineStr">
        <is>
          <t>—</t>
        </is>
      </c>
      <c r="I152" s="3" t="n">
        <v>0</v>
      </c>
      <c r="J152" s="3" t="inlineStr">
        <is>
          <t>None — no dependent function stands behind it</t>
        </is>
      </c>
      <c r="K152" s="3" t="inlineStr">
        <is>
          <t>No dependent function — it reads its inputs and answers</t>
        </is>
      </c>
      <c r="L152" s="3" t="inlineStr">
        <is>
          <t>—</t>
        </is>
      </c>
      <c r="M152" s="3" t="inlineStr">
        <is>
          <t>—</t>
        </is>
      </c>
    </row>
    <row r="153">
      <c r="A153" s="3" t="inlineStr">
        <is>
          <t>MK-XS-F-045</t>
        </is>
      </c>
      <c r="B153" s="3" t="inlineStr">
        <is>
          <t>generateRecoveryCode</t>
        </is>
      </c>
      <c r="C153" s="3" t="inlineStr">
        <is>
          <t>src/services/dataCrypto.ts</t>
        </is>
      </c>
      <c r="D153" s="3" t="n">
        <v>63</v>
      </c>
      <c r="E153" s="3" t="inlineStr">
        <is>
          <t>3 · DEPENDENT</t>
        </is>
      </c>
      <c r="F153" s="3" t="inlineStr">
        <is>
          <t>Its answer feeds another function, and that chain ends at a screen.</t>
        </is>
      </c>
      <c r="G153" s="3" t="inlineStr">
        <is>
          <t>Yes</t>
        </is>
      </c>
      <c r="H153" s="3" t="inlineStr">
        <is>
          <t>MK-XS-F-052 encryptWithKey</t>
        </is>
      </c>
      <c r="I153" s="3" t="n">
        <v>1</v>
      </c>
      <c r="J153" s="3" t="inlineStr">
        <is>
          <t>MK-XS-F-052 encryptWithKey</t>
        </is>
      </c>
      <c r="K153" s="3" t="inlineStr">
        <is>
          <t>MK-XS-F-052 encryptWithKey → MK-XS-F-045 generateRecoveryCode</t>
        </is>
      </c>
      <c r="L153" s="3" t="inlineStr">
        <is>
          <t>—</t>
        </is>
      </c>
      <c r="M153" s="3" t="inlineStr">
        <is>
          <t>—</t>
        </is>
      </c>
    </row>
    <row r="154">
      <c r="A154" s="3" t="inlineStr">
        <is>
          <t>MK-NW-F-044</t>
        </is>
      </c>
      <c r="B154" s="3" t="inlineStr">
        <is>
          <t>getAssetsState</t>
        </is>
      </c>
      <c r="C154" s="3" t="inlineStr">
        <is>
          <t>src/domain/assets/index.ts</t>
        </is>
      </c>
      <c r="D154" s="3" t="n">
        <v>704</v>
      </c>
      <c r="E154" s="3" t="inlineStr">
        <is>
          <t>3 · DEPENDENT (feeds an action only)</t>
        </is>
      </c>
      <c r="F154" s="3" t="inlineStr">
        <is>
          <t>Its answer feeds another function, but no chain from it reaches a screen.</t>
        </is>
      </c>
      <c r="G154" s="3" t="inlineStr">
        <is>
          <t>No</t>
        </is>
      </c>
      <c r="H154" s="3" t="inlineStr">
        <is>
          <t>MK-NW-F-039 buildAssetsState · MK-NW-F-042 loadAssets</t>
        </is>
      </c>
      <c r="I154" s="3" t="n">
        <v>3</v>
      </c>
      <c r="J154" s="3" t="inlineStr">
        <is>
          <t>MK-NW-F-039 buildAssetsState · MK-NW-F-042 loadAssets · MK-ST-F-055 round2</t>
        </is>
      </c>
      <c r="K154" s="3" t="inlineStr">
        <is>
          <t>MK-ST-F-055 round2 → MK-NW-F-039 buildAssetsState → MK-NW-F-044 getAssetsState
MK-NW-F-042 loadAssets → MK-NW-F-044 getAssetsState</t>
        </is>
      </c>
      <c r="L154" s="3" t="inlineStr">
        <is>
          <t>—</t>
        </is>
      </c>
      <c r="M154" s="3" t="inlineStr">
        <is>
          <t>—</t>
        </is>
      </c>
    </row>
    <row r="155">
      <c r="A155" s="3" t="inlineStr">
        <is>
          <t>MK-XS-F-042</t>
        </is>
      </c>
      <c r="B155" s="3" t="inlineStr">
        <is>
          <t>getDataKey</t>
        </is>
      </c>
      <c r="C155" s="3" t="inlineStr">
        <is>
          <t>src/services/dataCrypto.ts</t>
        </is>
      </c>
      <c r="D155" s="3" t="n">
        <v>46</v>
      </c>
      <c r="E155" s="3" t="inlineStr">
        <is>
          <t>3 · DEPENDENT</t>
        </is>
      </c>
      <c r="F155" s="3" t="inlineStr">
        <is>
          <t>Its answer feeds another function, and that chain ends at a screen.</t>
        </is>
      </c>
      <c r="G155" s="3" t="inlineStr">
        <is>
          <t>Yes</t>
        </is>
      </c>
      <c r="H155" s="3" t="inlineStr">
        <is>
          <t>—</t>
        </is>
      </c>
      <c r="I155" s="3" t="n">
        <v>0</v>
      </c>
      <c r="J155" s="3" t="inlineStr">
        <is>
          <t>None — no dependent function stands behind it</t>
        </is>
      </c>
      <c r="K155" s="3" t="inlineStr">
        <is>
          <t>No dependent function — it reads its inputs and answers</t>
        </is>
      </c>
      <c r="L155" s="3" t="inlineStr">
        <is>
          <t>—</t>
        </is>
      </c>
      <c r="M155" s="3" t="inlineStr">
        <is>
          <t>—</t>
        </is>
      </c>
    </row>
    <row r="156">
      <c r="A156" s="3" t="inlineStr">
        <is>
          <t>MK-CF-F-041</t>
        </is>
      </c>
      <c r="B156" s="3" t="inlineStr">
        <is>
          <t>getDebtState</t>
        </is>
      </c>
      <c r="C156" s="3" t="inlineStr">
        <is>
          <t>src/domain/debt/index.ts</t>
        </is>
      </c>
      <c r="D156" s="3" t="n">
        <v>259</v>
      </c>
      <c r="E156" s="3" t="inlineStr">
        <is>
          <t>3 · DEPENDENT (feeds an action only)</t>
        </is>
      </c>
      <c r="F156" s="3" t="inlineStr">
        <is>
          <t>Its answer feeds another function, but no chain from it reaches a screen.</t>
        </is>
      </c>
      <c r="G156" s="3" t="inlineStr">
        <is>
          <t>No</t>
        </is>
      </c>
      <c r="H156" s="3" t="inlineStr">
        <is>
          <t>MK-CF-F-036 buildDebtState · MK-CF-F-039 loadDebt</t>
        </is>
      </c>
      <c r="I156" s="3" t="n">
        <v>9</v>
      </c>
      <c r="J156" s="3" t="inlineStr">
        <is>
          <t>MK-CF-F-036 buildDebtState · MK-CF-F-039 loadDebt · MK-CF-F-026 actualDebtPayment · MK-CF-F-025 minimumDebtService · MK-ST-F-055 round2 · MK-CF-F-024 totalDebtMonthly · MK-CF-F-022 paymentShape · MK-CF-F-023 requiredPayment · MK-CF-F-021 defaultPaymentType</t>
        </is>
      </c>
      <c r="K156" s="3" t="inlineStr">
        <is>
          <t>MK-ST-F-055 round2 → MK-CF-F-026 actualDebtPayment → MK-CF-F-036 buildDebtState → MK-CF-F-041 getDebtState
MK-CF-F-022 paymentShape → MK-CF-F-023 requiredPayment → MK-CF-F-024 totalDebtMonthly → MK-CF-F-026 actualDebtPayment → MK-CF-F-036 buildDebtState → MK-CF-F-041 getDebtState
MK-CF-F-021 defaultPaymentType → MK-CF-F-022 paymentShape → MK-CF-F-025 minimumDebtService → MK-CF-F-036 buildDebtState → MK-CF-F-041 getDebtState
MK-ST-F-055 round2 → MK-CF-F-025 minimumDebtService → MK-CF-F-036 buildDebtState → MK-CF-F-041 getDebtState
MK-ST-F-055 round2 → MK-CF-F-036 buildDebtState → MK-CF-F-041 getDebtState
MK-CF-F-039 loadDebt → MK-CF-F-041 getDebtState</t>
        </is>
      </c>
      <c r="L156" s="3" t="inlineStr">
        <is>
          <t>—</t>
        </is>
      </c>
      <c r="M156" s="3" t="inlineStr">
        <is>
          <t>—</t>
        </is>
      </c>
    </row>
    <row r="157">
      <c r="A157" s="3" t="inlineStr">
        <is>
          <t>MK-CF-F-052</t>
        </is>
      </c>
      <c r="B157" s="3" t="inlineStr">
        <is>
          <t>getIncomeState</t>
        </is>
      </c>
      <c r="C157" s="3" t="inlineStr">
        <is>
          <t>src/domain/income/index.ts</t>
        </is>
      </c>
      <c r="D157" s="3" t="n">
        <v>29</v>
      </c>
      <c r="E157" s="3" t="inlineStr">
        <is>
          <t>3 · DEPENDENT (feeds an action only)</t>
        </is>
      </c>
      <c r="F157" s="3" t="inlineStr">
        <is>
          <t>Its answer feeds another function, but no chain from it reaches a screen.</t>
        </is>
      </c>
      <c r="G157" s="3" t="inlineStr">
        <is>
          <t>No</t>
        </is>
      </c>
      <c r="H157" s="3" t="inlineStr">
        <is>
          <t>MK-CF-F-049 buildIncomeState · MK-CF-F-050 loadIncome</t>
        </is>
      </c>
      <c r="I157" s="3" t="n">
        <v>15</v>
      </c>
      <c r="J157" s="3" t="inlineStr">
        <is>
          <t>MK-CF-F-049 buildIncomeState · MK-CF-F-050 loadIncome · MK-CF-F-048 effectiveTaxRate · MK-CF-F-046 employerMatchAnnual · MK-CF-F-045 grossAnnualBaseline · MK-CF-F-098 progressiveMonthlyTax · MK-ST-F-055 round2 · MK-CF-F-047 estimateEffectiveTaxRate · MK-CF-F-044 annualNet · MK-CF-F-101 taxOwedFor · MK-CF-F-100 taxableIncomeFor · MK-CF-F-096 effectiveRateOnGross · MK-CF-F-099 deductionFor · MK-CF-F-095 taxOwed · MK-CF-F-093 taxableIncome</t>
        </is>
      </c>
      <c r="K157" s="3" t="inlineStr">
        <is>
          <t>MK-CF-F-095 taxOwed → MK-CF-F-096 effectiveRateOnGross → MK-CF-F-047 estimateEffectiveTaxRate → MK-CF-F-048 effectiveTaxRate → MK-CF-F-049 buildIncomeState → MK-CF-F-052 getIncomeState
MK-CF-F-046 employerMatchAnnual → MK-CF-F-049 buildIncomeState → MK-CF-F-052 getIncomeState
MK-CF-F-044 annualNet → MK-CF-F-045 grossAnnualBaseline → MK-CF-F-049 buildIncomeState → MK-CF-F-052 getIncomeState
MK-CF-F-099 deductionFor → MK-CF-F-100 taxableIncomeFor → MK-CF-F-101 taxOwedFor → MK-CF-F-098 progressiveMonthlyTax → MK-CF-F-049 buildIncomeState → MK-CF-F-052 getIncomeState
MK-CF-F-099 deductionFor → MK-CF-F-100 taxableIncomeFor → MK-CF-F-098 progressiveMonthlyTax → MK-CF-F-049 buildIncomeState → MK-CF-F-052 getIncomeState
MK-ST-F-055 round2 → MK-CF-F-049 buildIncomeState → MK-CF-F-052 getIncomeState
MK-CF-F-050 loadIncome → MK-CF-F-052 getIncomeState</t>
        </is>
      </c>
      <c r="L157" s="3" t="inlineStr">
        <is>
          <t>—</t>
        </is>
      </c>
      <c r="M157" s="3" t="inlineStr">
        <is>
          <t>—</t>
        </is>
      </c>
    </row>
    <row r="158">
      <c r="A158" s="3" t="inlineStr">
        <is>
          <t>MK-XS-F-023</t>
        </is>
      </c>
      <c r="B158" s="3" t="inlineStr">
        <is>
          <t>getProfileReadModel</t>
        </is>
      </c>
      <c r="C158" s="3" t="inlineStr">
        <is>
          <t>src/domain/profile/index.ts</t>
        </is>
      </c>
      <c r="D158" s="3" t="n">
        <v>27</v>
      </c>
      <c r="E158" s="3" t="inlineStr">
        <is>
          <t>3 · DEPENDENT (feeds an action only)</t>
        </is>
      </c>
      <c r="F158" s="3" t="inlineStr">
        <is>
          <t>Its answer feeds another function, but no chain from it reaches a screen.</t>
        </is>
      </c>
      <c r="G158" s="3" t="inlineStr">
        <is>
          <t>No</t>
        </is>
      </c>
      <c r="H158" s="3" t="inlineStr">
        <is>
          <t>MK-XS-F-021 loadProfile · MK-XS-F-020 toReadModel</t>
        </is>
      </c>
      <c r="I158" s="3" t="n">
        <v>5</v>
      </c>
      <c r="J158" s="3" t="inlineStr">
        <is>
          <t>MK-XS-F-021 loadProfile · MK-XS-F-020 toReadModel · MK-XS-F-017 currentAge · MK-XS-F-019 retirementHorizonYears · MK-XS-F-018 yearsToRetirement</t>
        </is>
      </c>
      <c r="K158" s="3" t="inlineStr">
        <is>
          <t>MK-XS-F-021 loadProfile → MK-XS-F-023 getProfileReadModel
MK-XS-F-017 currentAge → MK-XS-F-020 toReadModel → MK-XS-F-023 getProfileReadModel
MK-XS-F-019 retirementHorizonYears → MK-XS-F-020 toReadModel → MK-XS-F-023 getProfileReadModel
MK-XS-F-018 yearsToRetirement → MK-XS-F-020 toReadModel → MK-XS-F-023 getProfileReadModel</t>
        </is>
      </c>
      <c r="L158" s="3" t="inlineStr">
        <is>
          <t>—</t>
        </is>
      </c>
      <c r="M158" s="3" t="inlineStr">
        <is>
          <t>—</t>
        </is>
      </c>
    </row>
    <row r="159">
      <c r="A159" s="3" t="inlineStr">
        <is>
          <t>MK-ST-F-041</t>
        </is>
      </c>
      <c r="B159" s="3" t="inlineStr">
        <is>
          <t>getUserDoc</t>
        </is>
      </c>
      <c r="C159" s="3" t="inlineStr">
        <is>
          <t>src/domain/_shared/firestore.ts</t>
        </is>
      </c>
      <c r="D159" s="3" t="n">
        <v>9</v>
      </c>
      <c r="E159" s="3" t="inlineStr">
        <is>
          <t>4 · BRINGS DATA IN</t>
        </is>
      </c>
      <c r="F159" s="3" t="inlineStr">
        <is>
          <t>Reaches outside the app for its answer — a feed, a file or a stored record.</t>
        </is>
      </c>
      <c r="G159" s="3" t="inlineStr">
        <is>
          <t>No</t>
        </is>
      </c>
      <c r="H159" s="3" t="inlineStr">
        <is>
          <t>—</t>
        </is>
      </c>
      <c r="I159" s="3" t="n">
        <v>0</v>
      </c>
      <c r="J159" s="3" t="inlineStr">
        <is>
          <t>None — no dependent function stands behind it</t>
        </is>
      </c>
      <c r="K159" s="3" t="inlineStr">
        <is>
          <t>No dependent function — it reads its inputs and answers</t>
        </is>
      </c>
      <c r="L159" s="3" t="inlineStr">
        <is>
          <t>—</t>
        </is>
      </c>
      <c r="M159" s="3" t="inlineStr">
        <is>
          <t>—</t>
        </is>
      </c>
    </row>
    <row r="160">
      <c r="A160" s="3" t="inlineStr">
        <is>
          <t>MK-PL-F-019</t>
        </is>
      </c>
      <c r="B160" s="3" t="inlineStr">
        <is>
          <t>goalMonthsRemaining</t>
        </is>
      </c>
      <c r="C160" s="3" t="inlineStr">
        <is>
          <t>src/domain/goals/index.ts</t>
        </is>
      </c>
      <c r="D160" s="3" t="n">
        <v>100</v>
      </c>
      <c r="E160" s="3" t="inlineStr">
        <is>
          <t>3 · DEPENDENT</t>
        </is>
      </c>
      <c r="F160" s="3" t="inlineStr">
        <is>
          <t>Its answer feeds another function, and that chain ends at a screen.</t>
        </is>
      </c>
      <c r="G160" s="3" t="inlineStr">
        <is>
          <t>Yes</t>
        </is>
      </c>
      <c r="H160" s="3" t="inlineStr">
        <is>
          <t>MK-PL-F-018 monthsUntil</t>
        </is>
      </c>
      <c r="I160" s="3" t="n">
        <v>1</v>
      </c>
      <c r="J160" s="3" t="inlineStr">
        <is>
          <t>MK-PL-F-018 monthsUntil</t>
        </is>
      </c>
      <c r="K160" s="3" t="inlineStr">
        <is>
          <t>MK-PL-F-018 monthsUntil → MK-PL-F-019 goalMonthsRemaining</t>
        </is>
      </c>
      <c r="L160" s="3" t="inlineStr">
        <is>
          <t>—</t>
        </is>
      </c>
      <c r="M160" s="3" t="inlineStr">
        <is>
          <t>—</t>
        </is>
      </c>
    </row>
    <row r="161">
      <c r="A161" s="3" t="inlineStr">
        <is>
          <t>MK-PL-F-022</t>
        </is>
      </c>
      <c r="B161" s="3" t="inlineStr">
        <is>
          <t>goalProgressPct</t>
        </is>
      </c>
      <c r="C161" s="3" t="inlineStr">
        <is>
          <t>src/domain/goals/index.ts</t>
        </is>
      </c>
      <c r="D161" s="3" t="n">
        <v>123</v>
      </c>
      <c r="E161" s="3" t="inlineStr">
        <is>
          <t>3 · DEPENDENT (feeds an action only)</t>
        </is>
      </c>
      <c r="F161" s="3" t="inlineStr">
        <is>
          <t>Its answer feeds another function, but no chain from it reaches a screen.</t>
        </is>
      </c>
      <c r="G161" s="3" t="inlineStr">
        <is>
          <t>No</t>
        </is>
      </c>
      <c r="H161" s="3" t="inlineStr">
        <is>
          <t>—</t>
        </is>
      </c>
      <c r="I161" s="3" t="n">
        <v>0</v>
      </c>
      <c r="J161" s="3" t="inlineStr">
        <is>
          <t>None — no dependent function stands behind it</t>
        </is>
      </c>
      <c r="K161" s="3" t="inlineStr">
        <is>
          <t>No dependent function — it reads its inputs and answers</t>
        </is>
      </c>
      <c r="L161" s="3" t="inlineStr">
        <is>
          <t>—</t>
        </is>
      </c>
      <c r="M161" s="3" t="inlineStr">
        <is>
          <t>—</t>
        </is>
      </c>
    </row>
    <row r="162">
      <c r="A162" s="3" t="inlineStr">
        <is>
          <t>MK-PL-F-023</t>
        </is>
      </c>
      <c r="B162" s="3" t="inlineStr">
        <is>
          <t>goalStatus</t>
        </is>
      </c>
      <c r="C162" s="3" t="inlineStr">
        <is>
          <t>src/domain/goals/index.ts</t>
        </is>
      </c>
      <c r="D162" s="3" t="n">
        <v>136</v>
      </c>
      <c r="E162" s="3" t="inlineStr">
        <is>
          <t>2 · DISPLAYED</t>
        </is>
      </c>
      <c r="F162" s="3" t="inlineStr">
        <is>
          <t>A screen calls it directly, so its answer is on a screen.</t>
        </is>
      </c>
      <c r="G162" s="3" t="inlineStr">
        <is>
          <t>Yes</t>
        </is>
      </c>
      <c r="H162" s="3" t="inlineStr">
        <is>
          <t>MK-PL-F-020 requiredMonthly</t>
        </is>
      </c>
      <c r="I162" s="3" t="n">
        <v>4</v>
      </c>
      <c r="J162" s="3" t="inlineStr">
        <is>
          <t>MK-PL-F-020 requiredMonthly · MK-PL-F-019 goalMonthsRemaining · MK-ST-F-055 round2 · MK-PL-F-018 monthsUntil</t>
        </is>
      </c>
      <c r="K162" s="3" t="inlineStr">
        <is>
          <t>MK-PL-F-018 monthsUntil → MK-PL-F-019 goalMonthsRemaining → MK-PL-F-020 requiredMonthly → MK-PL-F-023 goalStatus
MK-ST-F-055 round2 → MK-PL-F-020 requiredMonthly → MK-PL-F-023 goalStatus</t>
        </is>
      </c>
      <c r="L162" s="3" t="inlineStr">
        <is>
          <t>—</t>
        </is>
      </c>
      <c r="M162" s="3" t="inlineStr">
        <is>
          <t>—</t>
        </is>
      </c>
    </row>
    <row r="163">
      <c r="A163" s="3" t="inlineStr">
        <is>
          <t>MK-PL-F-013</t>
        </is>
      </c>
      <c r="B163" s="3" t="inlineStr">
        <is>
          <t>goalsFromOnboarding</t>
        </is>
      </c>
      <c r="C163" s="3" t="inlineStr">
        <is>
          <t>src/domain/goals/index.ts</t>
        </is>
      </c>
      <c r="D163" s="3" t="n">
        <v>51</v>
      </c>
      <c r="E163" s="3" t="inlineStr">
        <is>
          <t>3 · DEPENDENT</t>
        </is>
      </c>
      <c r="F163" s="3" t="inlineStr">
        <is>
          <t>Its answer feeds another function, and that chain ends at a screen.</t>
        </is>
      </c>
      <c r="G163" s="3" t="inlineStr">
        <is>
          <t>Yes</t>
        </is>
      </c>
      <c r="H163" s="3" t="inlineStr">
        <is>
          <t>MK-ST-F-043 newEntityId · MK-ST-F-052 toNum</t>
        </is>
      </c>
      <c r="I163" s="3" t="n">
        <v>2</v>
      </c>
      <c r="J163" s="3" t="inlineStr">
        <is>
          <t>MK-ST-F-043 newEntityId · MK-ST-F-052 toNum</t>
        </is>
      </c>
      <c r="K163" s="3" t="inlineStr">
        <is>
          <t>MK-ST-F-043 newEntityId → MK-PL-F-013 goalsFromOnboarding
MK-ST-F-052 toNum → MK-PL-F-013 goalsFromOnboarding</t>
        </is>
      </c>
      <c r="L163" s="3" t="inlineStr">
        <is>
          <t>—</t>
        </is>
      </c>
      <c r="M163" s="3" t="inlineStr">
        <is>
          <t>—</t>
        </is>
      </c>
    </row>
    <row r="164">
      <c r="A164" s="3" t="inlineStr">
        <is>
          <t>MK-CF-F-045</t>
        </is>
      </c>
      <c r="B164" s="3" t="inlineStr">
        <is>
          <t>grossAnnualBaseline</t>
        </is>
      </c>
      <c r="C164" s="3" t="inlineStr">
        <is>
          <t>src/domain/income/calc.ts</t>
        </is>
      </c>
      <c r="D164" s="3" t="n">
        <v>17</v>
      </c>
      <c r="E164" s="3" t="inlineStr">
        <is>
          <t>3 · DEPENDENT</t>
        </is>
      </c>
      <c r="F164" s="3" t="inlineStr">
        <is>
          <t>Its answer feeds another function, and that chain ends at a screen.</t>
        </is>
      </c>
      <c r="G164" s="3" t="inlineStr">
        <is>
          <t>Yes</t>
        </is>
      </c>
      <c r="H164" s="3" t="inlineStr">
        <is>
          <t>MK-CF-F-044 annualNet</t>
        </is>
      </c>
      <c r="I164" s="3" t="n">
        <v>1</v>
      </c>
      <c r="J164" s="3" t="inlineStr">
        <is>
          <t>MK-CF-F-044 annualNet</t>
        </is>
      </c>
      <c r="K164" s="3" t="inlineStr">
        <is>
          <t>MK-CF-F-044 annualNet → MK-CF-F-045 grossAnnualBaseline</t>
        </is>
      </c>
      <c r="L164" s="3" t="inlineStr">
        <is>
          <t>—</t>
        </is>
      </c>
      <c r="M164" s="3" t="inlineStr">
        <is>
          <t>—</t>
        </is>
      </c>
    </row>
    <row r="165">
      <c r="A165" s="3" t="inlineStr">
        <is>
          <t>MK-CF-F-097</t>
        </is>
      </c>
      <c r="B165" s="3" t="inlineStr">
        <is>
          <t>grossFromNet</t>
        </is>
      </c>
      <c r="C165" s="3" t="inlineStr">
        <is>
          <t>src/domain/income/tax.ts</t>
        </is>
      </c>
      <c r="D165" s="3" t="n">
        <v>47</v>
      </c>
      <c r="E165" s="3" t="inlineStr">
        <is>
          <t>3 · DEPENDENT</t>
        </is>
      </c>
      <c r="F165" s="3" t="inlineStr">
        <is>
          <t>Its answer feeds another function, and that chain ends at a screen.</t>
        </is>
      </c>
      <c r="G165" s="3" t="inlineStr">
        <is>
          <t>Yes</t>
        </is>
      </c>
      <c r="H165" s="3" t="inlineStr">
        <is>
          <t>MK-CF-F-095 taxOwed</t>
        </is>
      </c>
      <c r="I165" s="3" t="n">
        <v>2</v>
      </c>
      <c r="J165" s="3" t="inlineStr">
        <is>
          <t>MK-CF-F-095 taxOwed · MK-CF-F-093 taxableIncome</t>
        </is>
      </c>
      <c r="K165" s="3" t="inlineStr">
        <is>
          <t>MK-CF-F-093 taxableIncome → MK-CF-F-095 taxOwed → MK-CF-F-097 grossFromNet</t>
        </is>
      </c>
      <c r="L165" s="3" t="inlineStr">
        <is>
          <t>—</t>
        </is>
      </c>
      <c r="M165" s="3" t="inlineStr">
        <is>
          <t>GROSS_FROM_TAKE_HOME</t>
        </is>
      </c>
    </row>
    <row r="166">
      <c r="A166" s="3" t="inlineStr">
        <is>
          <t>MK-CF-F-061</t>
        </is>
      </c>
      <c r="B166" s="3" t="inlineStr">
        <is>
          <t>grossSalaryMonthly</t>
        </is>
      </c>
      <c r="C166" s="3" t="inlineStr">
        <is>
          <t>src/domain/income/onboarding.ts</t>
        </is>
      </c>
      <c r="D166" s="3" t="n">
        <v>60</v>
      </c>
      <c r="E166" s="3" t="inlineStr">
        <is>
          <t>3 · DEPENDENT</t>
        </is>
      </c>
      <c r="F166" s="3" t="inlineStr">
        <is>
          <t>Its answer feeds another function, and that chain ends at a screen.</t>
        </is>
      </c>
      <c r="G166" s="3" t="inlineStr">
        <is>
          <t>Yes</t>
        </is>
      </c>
      <c r="H166" s="3" t="inlineStr">
        <is>
          <t>MK-CF-F-060 salaryGrossByMonth</t>
        </is>
      </c>
      <c r="I166" s="3" t="n">
        <v>6</v>
      </c>
      <c r="J166" s="3" t="inlineStr">
        <is>
          <t>MK-CF-F-060 salaryGrossByMonth · MK-CF-F-097 grossFromNet · MK-ST-F-055 round2 · MK-ST-F-052 toNum · MK-CF-F-095 taxOwed · MK-CF-F-093 taxableIncome</t>
        </is>
      </c>
      <c r="K166" s="3" t="inlineStr">
        <is>
          <t>MK-CF-F-093 taxableIncome → MK-CF-F-095 taxOwed → MK-CF-F-097 grossFromNet → MK-CF-F-060 salaryGrossByMonth → MK-CF-F-061 grossSalaryMonthly
MK-ST-F-055 round2 → MK-CF-F-060 salaryGrossByMonth → MK-CF-F-061 grossSalaryMonthly
MK-ST-F-052 toNum → MK-CF-F-060 salaryGrossByMonth → MK-CF-F-061 grossSalaryMonthly</t>
        </is>
      </c>
      <c r="L166" s="3" t="inlineStr">
        <is>
          <t>—</t>
        </is>
      </c>
      <c r="M166" s="3" t="inlineStr">
        <is>
          <t>—</t>
        </is>
      </c>
    </row>
    <row r="167">
      <c r="A167" s="3" t="inlineStr">
        <is>
          <t>MK-PL-F-054</t>
        </is>
      </c>
      <c r="B167" s="3" t="inlineStr">
        <is>
          <t>growOneYear</t>
        </is>
      </c>
      <c r="C167" s="3" t="inlineStr">
        <is>
          <t>src/domain/retirement/index.ts</t>
        </is>
      </c>
      <c r="D167" s="3" t="n">
        <v>314</v>
      </c>
      <c r="E167" s="3" t="inlineStr">
        <is>
          <t>3 · DEPENDENT</t>
        </is>
      </c>
      <c r="F167" s="3" t="inlineStr">
        <is>
          <t>Its answer feeds another function, and that chain ends at a screen.</t>
        </is>
      </c>
      <c r="G167" s="3" t="inlineStr">
        <is>
          <t>Yes</t>
        </is>
      </c>
      <c r="H167" s="3" t="inlineStr">
        <is>
          <t>—</t>
        </is>
      </c>
      <c r="I167" s="3" t="n">
        <v>0</v>
      </c>
      <c r="J167" s="3" t="inlineStr">
        <is>
          <t>None — no dependent function stands behind it</t>
        </is>
      </c>
      <c r="K167" s="3" t="inlineStr">
        <is>
          <t>No dependent function — it reads its inputs and answers</t>
        </is>
      </c>
      <c r="L167" s="3" t="inlineStr">
        <is>
          <t>—</t>
        </is>
      </c>
      <c r="M167" s="3" t="inlineStr">
        <is>
          <t>—</t>
        </is>
      </c>
    </row>
    <row r="168">
      <c r="A168" s="3" t="inlineStr">
        <is>
          <t>MK-CF-F-076</t>
        </is>
      </c>
      <c r="B168" s="3" t="inlineStr">
        <is>
          <t>guaranteedOutsideStreams</t>
        </is>
      </c>
      <c r="C168" s="3" t="inlineStr">
        <is>
          <t>src/domain/income/onboarding.ts</t>
        </is>
      </c>
      <c r="D168" s="3" t="n">
        <v>227</v>
      </c>
      <c r="E168" s="3" t="inlineStr">
        <is>
          <t>2 · DISPLAYED</t>
        </is>
      </c>
      <c r="F168" s="3" t="inlineStr">
        <is>
          <t>A screen calls it directly, so its answer is on a screen.</t>
        </is>
      </c>
      <c r="G168" s="3" t="inlineStr">
        <is>
          <t>Yes</t>
        </is>
      </c>
      <c r="H168" s="3" t="inlineStr">
        <is>
          <t>MK-ST-F-052 toNum</t>
        </is>
      </c>
      <c r="I168" s="3" t="n">
        <v>1</v>
      </c>
      <c r="J168" s="3" t="inlineStr">
        <is>
          <t>MK-ST-F-052 toNum</t>
        </is>
      </c>
      <c r="K168" s="3" t="inlineStr">
        <is>
          <t>MK-ST-F-052 toNum → MK-CF-F-076 guaranteedOutsideStreams</t>
        </is>
      </c>
      <c r="L168" s="3" t="inlineStr">
        <is>
          <t>—</t>
        </is>
      </c>
      <c r="M168" s="3" t="inlineStr">
        <is>
          <t>GUARANTEED_OUTSIDE_STREAMS</t>
        </is>
      </c>
    </row>
    <row r="169">
      <c r="A169" s="3" t="inlineStr">
        <is>
          <t>MK-CF-F-105</t>
        </is>
      </c>
      <c r="B169" s="3" t="inlineStr">
        <is>
          <t>guaranteedRows</t>
        </is>
      </c>
      <c r="C169" s="3" t="inlineStr">
        <is>
          <t>src/domain/paycheck/index.ts</t>
        </is>
      </c>
      <c r="D169" s="3" t="n">
        <v>74</v>
      </c>
      <c r="E169" s="3" t="inlineStr">
        <is>
          <t>3 · DEPENDENT</t>
        </is>
      </c>
      <c r="F169" s="3" t="inlineStr">
        <is>
          <t>Its answer feeds another function, and that chain ends at a screen.</t>
        </is>
      </c>
      <c r="G169" s="3" t="inlineStr">
        <is>
          <t>Yes</t>
        </is>
      </c>
      <c r="H169" s="3" t="inlineStr">
        <is>
          <t>MK-ST-F-052 toNum</t>
        </is>
      </c>
      <c r="I169" s="3" t="n">
        <v>1</v>
      </c>
      <c r="J169" s="3" t="inlineStr">
        <is>
          <t>MK-ST-F-052 toNum</t>
        </is>
      </c>
      <c r="K169" s="3" t="inlineStr">
        <is>
          <t>MK-ST-F-052 toNum → MK-CF-F-105 guaranteedRows</t>
        </is>
      </c>
      <c r="L169" s="3" t="inlineStr">
        <is>
          <t>—</t>
        </is>
      </c>
      <c r="M169" s="3" t="inlineStr">
        <is>
          <t>—</t>
        </is>
      </c>
    </row>
    <row r="170">
      <c r="A170" s="3" t="inlineStr">
        <is>
          <t>MK-NW-F-046</t>
        </is>
      </c>
      <c r="B170" s="3" t="inlineStr">
        <is>
          <t>historyCoverage</t>
        </is>
      </c>
      <c r="C170" s="3" t="inlineStr">
        <is>
          <t>src/domain/assets/index.ts</t>
        </is>
      </c>
      <c r="D170" s="3" t="n">
        <v>729</v>
      </c>
      <c r="E170" s="3" t="inlineStr">
        <is>
          <t>2 · DISPLAYED</t>
        </is>
      </c>
      <c r="F170" s="3" t="inlineStr">
        <is>
          <t>A screen calls it directly, so its answer is on a screen.</t>
        </is>
      </c>
      <c r="G170" s="3" t="inlineStr">
        <is>
          <t>Yes</t>
        </is>
      </c>
      <c r="H170" s="3" t="inlineStr">
        <is>
          <t>—</t>
        </is>
      </c>
      <c r="I170" s="3" t="n">
        <v>0</v>
      </c>
      <c r="J170" s="3" t="inlineStr">
        <is>
          <t>None — no dependent function stands behind it</t>
        </is>
      </c>
      <c r="K170" s="3" t="inlineStr">
        <is>
          <t>No dependent function — it reads its inputs and answers</t>
        </is>
      </c>
      <c r="L170" s="3" t="inlineStr">
        <is>
          <t>—</t>
        </is>
      </c>
      <c r="M170" s="3" t="inlineStr">
        <is>
          <t>—</t>
        </is>
      </c>
    </row>
    <row r="171">
      <c r="A171" s="3" t="inlineStr">
        <is>
          <t>MK-PF-F-025</t>
        </is>
      </c>
      <c r="B171" s="3" t="inlineStr">
        <is>
          <t>historyIsComplete</t>
        </is>
      </c>
      <c r="C171" s="3" t="inlineStr">
        <is>
          <t>src/domain/performance/moneyWeighted.ts</t>
        </is>
      </c>
      <c r="D171" s="3" t="n">
        <v>60</v>
      </c>
      <c r="E171" s="3" t="inlineStr">
        <is>
          <t>3 · DEPENDENT</t>
        </is>
      </c>
      <c r="F171" s="3" t="inlineStr">
        <is>
          <t>Its answer feeds another function, and that chain ends at a screen.</t>
        </is>
      </c>
      <c r="G171" s="3" t="inlineStr">
        <is>
          <t>Yes</t>
        </is>
      </c>
      <c r="H171" s="3" t="inlineStr">
        <is>
          <t>—</t>
        </is>
      </c>
      <c r="I171" s="3" t="n">
        <v>0</v>
      </c>
      <c r="J171" s="3" t="inlineStr">
        <is>
          <t>None — no dependent function stands behind it</t>
        </is>
      </c>
      <c r="K171" s="3" t="inlineStr">
        <is>
          <t>No dependent function — it reads its inputs and answers</t>
        </is>
      </c>
      <c r="L171" s="3" t="inlineStr">
        <is>
          <t>—</t>
        </is>
      </c>
      <c r="M171" s="3" t="inlineStr">
        <is>
          <t>PERSONAL_RETURN_POSSIBLE</t>
        </is>
      </c>
    </row>
    <row r="172">
      <c r="A172" s="3" t="inlineStr">
        <is>
          <t>MK-ST-F-026</t>
        </is>
      </c>
      <c r="B172" s="3" t="inlineStr">
        <is>
          <t>holdingId</t>
        </is>
      </c>
      <c r="C172" s="3" t="inlineStr">
        <is>
          <t>Calculation Module code/engines/snapshots.ts</t>
        </is>
      </c>
      <c r="D172" s="3" t="n">
        <v>66</v>
      </c>
      <c r="E172" s="3" t="inlineStr">
        <is>
          <t>1 · ACTION</t>
        </is>
      </c>
      <c r="F172" s="3" t="inlineStr">
        <is>
          <t>Produces nothing that is displayed — it does something: saves, syncs or records.</t>
        </is>
      </c>
      <c r="G172" s="3" t="inlineStr">
        <is>
          <t>No</t>
        </is>
      </c>
      <c r="H172" s="3" t="inlineStr">
        <is>
          <t>—</t>
        </is>
      </c>
      <c r="I172" s="3" t="n">
        <v>0</v>
      </c>
      <c r="J172" s="3" t="inlineStr">
        <is>
          <t>None — no dependent function stands behind it</t>
        </is>
      </c>
      <c r="K172" s="3" t="inlineStr">
        <is>
          <t>No dependent function — it reads its inputs and answers</t>
        </is>
      </c>
      <c r="L172" s="3" t="inlineStr">
        <is>
          <t>—</t>
        </is>
      </c>
      <c r="M172" s="3" t="inlineStr">
        <is>
          <t>—</t>
        </is>
      </c>
    </row>
    <row r="173">
      <c r="A173" s="3" t="inlineStr">
        <is>
          <t>MK-PL-F-043</t>
        </is>
      </c>
      <c r="B173" s="3" t="inlineStr">
        <is>
          <t>howTheGapCloses</t>
        </is>
      </c>
      <c r="C173" s="3" t="inlineStr">
        <is>
          <t>src/domain/planning/target.ts</t>
        </is>
      </c>
      <c r="D173" s="3" t="n">
        <v>103</v>
      </c>
      <c r="E173" s="3" t="inlineStr">
        <is>
          <t>2 · DISPLAYED</t>
        </is>
      </c>
      <c r="F173" s="3" t="inlineStr">
        <is>
          <t>A screen calls it directly, so its answer is on a screen.</t>
        </is>
      </c>
      <c r="G173" s="3" t="inlineStr">
        <is>
          <t>Yes</t>
        </is>
      </c>
      <c r="H173" s="3" t="inlineStr">
        <is>
          <t>MK-PL-F-050 simulate</t>
        </is>
      </c>
      <c r="I173" s="3" t="n">
        <v>4</v>
      </c>
      <c r="J173" s="3" t="inlineStr">
        <is>
          <t>MK-PL-F-050 simulate · MK-ST-F-025 rmdStartAgeFromAge · MK-ST-F-055 round2 · MK-ST-F-024 rmdStartAge</t>
        </is>
      </c>
      <c r="K173" s="3" t="inlineStr">
        <is>
          <t>MK-ST-F-024 rmdStartAge → MK-ST-F-025 rmdStartAgeFromAge → MK-PL-F-050 simulate → MK-PL-F-043 howTheGapCloses
MK-ST-F-055 round2 → MK-PL-F-050 simulate → MK-PL-F-043 howTheGapCloses</t>
        </is>
      </c>
      <c r="L173" s="3" t="inlineStr">
        <is>
          <t>—</t>
        </is>
      </c>
      <c r="M173" s="3" t="inlineStr">
        <is>
          <t>—</t>
        </is>
      </c>
    </row>
    <row r="174">
      <c r="A174" s="3" t="inlineStr">
        <is>
          <t>MK-XS-F-015</t>
        </is>
      </c>
      <c r="B174" s="3" t="inlineStr">
        <is>
          <t>importHoldings</t>
        </is>
      </c>
      <c r="C174" s="3" t="inlineStr">
        <is>
          <t>src/domain/import/holdingsImport.ts</t>
        </is>
      </c>
      <c r="D174" s="3" t="n">
        <v>153</v>
      </c>
      <c r="E174" s="3" t="inlineStr">
        <is>
          <t>2 · DISPLAYED</t>
        </is>
      </c>
      <c r="F174" s="3" t="inlineStr">
        <is>
          <t>A screen calls it directly, so its answer is on a screen.</t>
        </is>
      </c>
      <c r="G174" s="3" t="inlineStr">
        <is>
          <t>Yes</t>
        </is>
      </c>
      <c r="H174" s="3" t="inlineStr">
        <is>
          <t>MK-XS-F-014 classifyHolding · MK-XS-F-013 parseCsv</t>
        </is>
      </c>
      <c r="I174" s="3" t="n">
        <v>4</v>
      </c>
      <c r="J174" s="3" t="inlineStr">
        <is>
          <t>MK-XS-F-014 classifyHolding · MK-XS-F-013 parseCsv · MK-ST-F-011 classifyHoldingClass · MK-ST-F-010 nameEvidence</t>
        </is>
      </c>
      <c r="K174" s="3" t="inlineStr">
        <is>
          <t>MK-ST-F-010 nameEvidence → MK-ST-F-011 classifyHoldingClass → MK-XS-F-014 classifyHolding → MK-XS-F-015 importHoldings
MK-XS-F-013 parseCsv → MK-XS-F-015 importHoldings</t>
        </is>
      </c>
      <c r="L174" s="3" t="inlineStr">
        <is>
          <t>—</t>
        </is>
      </c>
      <c r="M174" s="3" t="inlineStr">
        <is>
          <t>FILE_IMPORT</t>
        </is>
      </c>
    </row>
    <row r="175">
      <c r="A175" s="3" t="inlineStr">
        <is>
          <t>MK-ST-F-014</t>
        </is>
      </c>
      <c r="B175" s="3" t="inlineStr">
        <is>
          <t>importKey</t>
        </is>
      </c>
      <c r="C175" s="3" t="inlineStr">
        <is>
          <t>Calculation Module code/engines/ledger.ts</t>
        </is>
      </c>
      <c r="D175" s="3" t="n">
        <v>210</v>
      </c>
      <c r="E175" s="3" t="inlineStr">
        <is>
          <t>3 · DEPENDENT (feeds an action only)</t>
        </is>
      </c>
      <c r="F175" s="3" t="inlineStr">
        <is>
          <t>Its answer feeds another function, but no chain from it reaches a screen.</t>
        </is>
      </c>
      <c r="G175" s="3" t="inlineStr">
        <is>
          <t>No</t>
        </is>
      </c>
      <c r="H175" s="3" t="inlineStr">
        <is>
          <t>—</t>
        </is>
      </c>
      <c r="I175" s="3" t="n">
        <v>0</v>
      </c>
      <c r="J175" s="3" t="inlineStr">
        <is>
          <t>None — no dependent function stands behind it</t>
        </is>
      </c>
      <c r="K175" s="3" t="inlineStr">
        <is>
          <t>No dependent function — it reads its inputs and answers</t>
        </is>
      </c>
      <c r="L175" s="3" t="inlineStr">
        <is>
          <t>—</t>
        </is>
      </c>
      <c r="M175" s="3" t="inlineStr">
        <is>
          <t>—</t>
        </is>
      </c>
    </row>
    <row r="176">
      <c r="A176" s="3" t="inlineStr">
        <is>
          <t>MK-NW-F-008</t>
        </is>
      </c>
      <c r="B176" s="3" t="inlineStr">
        <is>
          <t>incomeBearingClassOf</t>
        </is>
      </c>
      <c r="C176" s="3" t="inlineStr">
        <is>
          <t>src/domain/assets/index.ts</t>
        </is>
      </c>
      <c r="D176" s="3" t="n">
        <v>193</v>
      </c>
      <c r="E176" s="3" t="inlineStr">
        <is>
          <t>3 · DEPENDENT</t>
        </is>
      </c>
      <c r="F176" s="3" t="inlineStr">
        <is>
          <t>Its answer feeds another function, and that chain ends at a screen.</t>
        </is>
      </c>
      <c r="G176" s="3" t="inlineStr">
        <is>
          <t>Yes</t>
        </is>
      </c>
      <c r="H176" s="3" t="inlineStr">
        <is>
          <t>MK-ST-F-010 nameEvidence</t>
        </is>
      </c>
      <c r="I176" s="3" t="n">
        <v>1</v>
      </c>
      <c r="J176" s="3" t="inlineStr">
        <is>
          <t>MK-ST-F-010 nameEvidence</t>
        </is>
      </c>
      <c r="K176" s="3" t="inlineStr">
        <is>
          <t>MK-ST-F-010 nameEvidence → MK-NW-F-008 incomeBearingClassOf</t>
        </is>
      </c>
      <c r="L176" s="3" t="inlineStr">
        <is>
          <t>—</t>
        </is>
      </c>
      <c r="M176" s="3" t="inlineStr">
        <is>
          <t>CLASS_FROM_NAME_TEXT</t>
        </is>
      </c>
    </row>
    <row r="177">
      <c r="A177" s="3" t="inlineStr">
        <is>
          <t>MK-CF-F-079</t>
        </is>
      </c>
      <c r="B177" s="3" t="inlineStr">
        <is>
          <t>incomeFromOnboarding</t>
        </is>
      </c>
      <c r="C177" s="3" t="inlineStr">
        <is>
          <t>src/domain/income/onboarding.ts</t>
        </is>
      </c>
      <c r="D177" s="3" t="n">
        <v>269</v>
      </c>
      <c r="E177" s="3" t="inlineStr">
        <is>
          <t>2 · DISPLAYED</t>
        </is>
      </c>
      <c r="F177" s="3" t="inlineStr">
        <is>
          <t>A screen calls it directly, so its answer is on a screen.</t>
        </is>
      </c>
      <c r="G177" s="3" t="inlineStr">
        <is>
          <t>Yes</t>
        </is>
      </c>
      <c r="H177" s="3" t="inlineStr">
        <is>
          <t>MK-CF-F-070 benefitAnnual · MK-CF-F-072 currentRetirementIncomeMonthly · MK-CF-F-078 employerMatchMonthly · MK-CF-F-065 equityVestWeights · MK-ST-F-043 newEntityId · MK-CF-F-067 rentalList · MK-CF-F-066 rsuAnnual · MK-CF-F-082 salaryAnnual · MK-CF-F-074 tipsAnnual · MK-ST-F-052 toNum</t>
        </is>
      </c>
      <c r="I177" s="3" t="n">
        <v>20</v>
      </c>
      <c r="J177" s="3" t="inlineStr">
        <is>
          <t>MK-CF-F-070 benefitAnnual · MK-CF-F-072 currentRetirementIncomeMonthly · MK-CF-F-078 employerMatchMonthly · MK-CF-F-065 equityVestWeights · MK-ST-F-043 newEntityId · MK-CF-F-067 rentalList · MK-CF-F-066 rsuAnnual · MK-CF-F-082 salaryAnnual · MK-CF-F-074 tipsAnnual · MK-ST-F-052 toNum · MK-CF-F-069 benefitActiveMonths · MK-CF-F-075 retirementIncomeMonthly · MK-CF-F-062 equityRowValue · MK-CF-F-063 rowVestYear · MK-CF-F-060 salaryGrossByMonth · MK-CF-F-081 salaryActiveMonths · MK-CF-F-097 grossFromNet · MK-ST-F-055 round2 · MK-CF-F-095 taxOwed · MK-CF-F-093 taxableIncome</t>
        </is>
      </c>
      <c r="K177" s="3" t="inlineStr">
        <is>
          <t>MK-CF-F-069 benefitActiveMonths → MK-CF-F-070 benefitAnnual → MK-CF-F-079 incomeFromOnboarding
MK-ST-F-052 toNum → MK-CF-F-070 benefitAnnual → MK-CF-F-079 incomeFromOnboarding
MK-ST-F-052 toNum → MK-CF-F-075 retirementIncomeMonthly → MK-CF-F-072 currentRetirementIncomeMonthly → MK-CF-F-079 incomeFromOnboarding
MK-ST-F-052 toNum → MK-CF-F-078 employerMatchMonthly → MK-CF-F-079 incomeFromOnboarding
MK-ST-F-052 toNum → MK-CF-F-062 equityRowValue → MK-CF-F-065 equityVestWeights → MK-CF-F-079 incomeFromOnboarding
MK-ST-F-043 newEntityId → MK-CF-F-079 incomeFromOnboarding
MK-ST-F-052 toNum → MK-CF-F-067 rentalList → MK-CF-F-079 incomeFromOnboarding
MK-ST-F-052 toNum → MK-CF-F-062 equityRowValue → MK-CF-F-066 rsuAnnual → MK-CF-F-079 incomeFromOnboarding
… and 10 more paths</t>
        </is>
      </c>
      <c r="L177" s="3" t="inlineStr">
        <is>
          <t>—</t>
        </is>
      </c>
      <c r="M177" s="3" t="inlineStr">
        <is>
          <t>—</t>
        </is>
      </c>
    </row>
    <row r="178">
      <c r="A178" s="3" t="inlineStr">
        <is>
          <t>MK-CF-F-092</t>
        </is>
      </c>
      <c r="B178" s="3" t="inlineStr">
        <is>
          <t>incomeMonthlyGrid</t>
        </is>
      </c>
      <c r="C178" s="3" t="inlineStr">
        <is>
          <t>src/domain/income/onboarding.ts</t>
        </is>
      </c>
      <c r="D178" s="3" t="n">
        <v>434</v>
      </c>
      <c r="E178" s="3" t="inlineStr">
        <is>
          <t>2 · DISPLAYED</t>
        </is>
      </c>
      <c r="F178" s="3" t="inlineStr">
        <is>
          <t>A screen calls it directly, so its answer is on a screen.</t>
        </is>
      </c>
      <c r="G178" s="3" t="inlineStr">
        <is>
          <t>Yes</t>
        </is>
      </c>
      <c r="H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t>
        </is>
      </c>
      <c r="I178" s="3" t="n">
        <v>34</v>
      </c>
      <c r="J178" s="3" t="inlineStr">
        <is>
          <t>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178" s="3" t="inlineStr">
        <is>
          <t>MK-CF-F-069 benefitActiveMonths → MK-CF-F-092 incomeMonthlyGrid
MK-ST-F-052 toNum → MK-CF-F-075 retirementIncomeMonthly → MK-CF-F-072 currentRetirementIncomeMonthly → MK-CF-F-092 incomeMonthlyGrid
MK-ST-F-052 toNum → MK-CF-F-062 equityRowValue → MK-CF-F-065 equityVestWeights → MK-CF-F-092 incomeMonthlyGrid
MK-CF-F-069 benefitActiveMonths → MK-CF-F-070 benefitAnnual → MK-CF-F-071 extraIncome → MK-CF-F-092 incomeMonthlyGrid
MK-ST-F-052 toNum → MK-CF-F-070 benefitAnnual → MK-CF-F-071 extraIncome → MK-CF-F-092 incomeMonthlyGrid
MK-ST-F-055 round2 → MK-CF-F-071 extraIncome → MK-CF-F-092 incomeMonthlyGrid
MK-ST-F-052 toNum → MK-CF-F-071 extraIncome → MK-CF-F-092 incomeMonthlyGrid
MK-CF-F-100 taxableIncomeFor → MK-CF-F-101 taxOwedFor → MK-CF-F-102 effectiveRateOnGrossFor → MK-CF-F-090 effectiveRate → MK-CF-F-087 monthlyTaxRates → MK-CF-F-092 incomeMonthlyGrid
… and 47 more paths</t>
        </is>
      </c>
      <c r="L178" s="3" t="inlineStr">
        <is>
          <t>—</t>
        </is>
      </c>
      <c r="M178" s="3" t="inlineStr">
        <is>
          <t>—</t>
        </is>
      </c>
    </row>
    <row r="179">
      <c r="A179" s="3" t="inlineStr">
        <is>
          <t>MK-CF-F-037</t>
        </is>
      </c>
      <c r="B179" s="3" t="inlineStr">
        <is>
          <t>inferDebtType</t>
        </is>
      </c>
      <c r="C179" s="3" t="inlineStr">
        <is>
          <t>src/domain/debt/index.ts</t>
        </is>
      </c>
      <c r="D179" s="3" t="n">
        <v>228</v>
      </c>
      <c r="E179" s="3" t="inlineStr">
        <is>
          <t>3 · DEPENDENT</t>
        </is>
      </c>
      <c r="F179" s="3" t="inlineStr">
        <is>
          <t>Its answer feeds another function, and that chain ends at a screen.</t>
        </is>
      </c>
      <c r="G179" s="3" t="inlineStr">
        <is>
          <t>Yes</t>
        </is>
      </c>
      <c r="H179" s="3" t="inlineStr">
        <is>
          <t>—</t>
        </is>
      </c>
      <c r="I179" s="3" t="n">
        <v>0</v>
      </c>
      <c r="J179" s="3" t="inlineStr">
        <is>
          <t>None — no dependent function stands behind it</t>
        </is>
      </c>
      <c r="K179" s="3" t="inlineStr">
        <is>
          <t>No dependent function — it reads its inputs and answers</t>
        </is>
      </c>
      <c r="L179" s="3" t="inlineStr">
        <is>
          <t>—</t>
        </is>
      </c>
      <c r="M179" s="3" t="inlineStr">
        <is>
          <t>DEBT_TYPE_FROM_NAME</t>
        </is>
      </c>
    </row>
    <row r="180">
      <c r="A180" s="3" t="inlineStr">
        <is>
          <t>MK-XS-F-102</t>
        </is>
      </c>
      <c r="B180" s="3" t="inlineStr">
        <is>
          <t>ingestSync</t>
        </is>
      </c>
      <c r="C180" s="3" t="inlineStr">
        <is>
          <t>src/services/sync/ingest.ts</t>
        </is>
      </c>
      <c r="D180" s="3" t="n">
        <v>38</v>
      </c>
      <c r="E180" s="3" t="inlineStr">
        <is>
          <t>3 · DEPENDENT (feeds an action only)</t>
        </is>
      </c>
      <c r="F180" s="3" t="inlineStr">
        <is>
          <t>Its answer feeds another function, but no chain from it reaches a screen.</t>
        </is>
      </c>
      <c r="G180" s="3" t="inlineStr">
        <is>
          <t>No</t>
        </is>
      </c>
      <c r="H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t>
        </is>
      </c>
      <c r="I180" s="3" t="n">
        <v>16</v>
      </c>
      <c r="J180" s="3" t="inlineStr">
        <is>
          <t>MK-XS-F-108 activityKey · MK-ST-F-011 classifyHoldingClass · MK-XS-F-104 mapAccountType · MK-XS-F-106 mapOptionHolding · MK-XS-F-111 mergeHistoryFrom · MK-XS-F-110 netCashSleeve · MK-ST-F-043 newEntityId · MK-ST-F-022 reconcileAccountTotal · MK-XS-F-101 stAssetId · MK-ST-F-012 toLedgerRow · MK-ST-F-021 toNumber · MK-ST-F-014 importKey · MK-ST-F-010 nameEvidence · MK-ST-F-007 classifyEvent · MK-ST-F-018 readMoney · MK-ST-F-019 signed</t>
        </is>
      </c>
      <c r="K180" s="3" t="inlineStr">
        <is>
          <t>MK-ST-F-014 importKey → MK-XS-F-108 activityKey → MK-XS-F-102 ingestSync
MK-ST-F-010 nameEvidence → MK-ST-F-011 classifyHoldingClass → MK-XS-F-102 ingestSync
MK-XS-F-104 mapAccountType → MK-XS-F-102 ingestSync
MK-XS-F-106 mapOptionHolding → MK-XS-F-102 ingestSync
MK-XS-F-111 mergeHistoryFrom → MK-XS-F-102 ingestSync
MK-XS-F-110 netCashSleeve → MK-XS-F-102 ingestSync
MK-ST-F-043 newEntityId → MK-XS-F-102 ingestSync
MK-ST-F-022 reconcileAccountTotal → MK-XS-F-102 ingestSync
… and 6 more paths</t>
        </is>
      </c>
      <c r="L180" s="3" t="inlineStr">
        <is>
          <t>—</t>
        </is>
      </c>
      <c r="M180" s="3" t="inlineStr">
        <is>
          <t>SYNC_ONE_ACCOUNT</t>
        </is>
      </c>
    </row>
    <row r="181">
      <c r="A181" s="3" t="inlineStr">
        <is>
          <t>MK-XS-F-036</t>
        </is>
      </c>
      <c r="B181" s="3" t="inlineStr">
        <is>
          <t>initCrashReporting</t>
        </is>
      </c>
      <c r="C181" s="3" t="inlineStr">
        <is>
          <t>src/services/crashReporter.ts</t>
        </is>
      </c>
      <c r="D181" s="3" t="n">
        <v>23</v>
      </c>
      <c r="E181" s="3" t="inlineStr">
        <is>
          <t>1 · ACTION</t>
        </is>
      </c>
      <c r="F181" s="3" t="inlineStr">
        <is>
          <t>Produces nothing that is displayed — it does something: saves, syncs or records.</t>
        </is>
      </c>
      <c r="G181" s="3" t="inlineStr">
        <is>
          <t>Yes</t>
        </is>
      </c>
      <c r="H181" s="3" t="inlineStr">
        <is>
          <t>MK-XS-F-037 captureException</t>
        </is>
      </c>
      <c r="I181" s="3" t="n">
        <v>1</v>
      </c>
      <c r="J181" s="3" t="inlineStr">
        <is>
          <t>MK-XS-F-037 captureException</t>
        </is>
      </c>
      <c r="K181" s="3" t="inlineStr">
        <is>
          <t>MK-XS-F-037 captureException → MK-XS-F-036 initCrashReporting</t>
        </is>
      </c>
      <c r="L181" s="3" t="inlineStr">
        <is>
          <t>—</t>
        </is>
      </c>
      <c r="M181" s="3" t="inlineStr">
        <is>
          <t>—</t>
        </is>
      </c>
    </row>
    <row r="182">
      <c r="A182" s="3" t="inlineStr">
        <is>
          <t>MK-NW-F-063</t>
        </is>
      </c>
      <c r="B182" s="3" t="inlineStr">
        <is>
          <t>interestIncomeAnnual</t>
        </is>
      </c>
      <c r="C182" s="3" t="inlineStr">
        <is>
          <t>src/domain/bonds/index.ts</t>
        </is>
      </c>
      <c r="D182" s="3" t="n">
        <v>62</v>
      </c>
      <c r="E182" s="3" t="inlineStr">
        <is>
          <t>2 · DISPLAYED</t>
        </is>
      </c>
      <c r="F182" s="3" t="inlineStr">
        <is>
          <t>A screen calls it directly, so its answer is on a screen.</t>
        </is>
      </c>
      <c r="G182" s="3" t="inlineStr">
        <is>
          <t>Yes</t>
        </is>
      </c>
      <c r="H182" s="3" t="inlineStr">
        <is>
          <t>MK-NW-F-057 annualCoupon · MK-NW-F-011 assetClassOf · MK-ST-F-055 round2 · MK-NW-F-058 yearsToMaturity</t>
        </is>
      </c>
      <c r="I182" s="3" t="n">
        <v>6</v>
      </c>
      <c r="J182" s="3" t="inlineStr">
        <is>
          <t>MK-NW-F-057 annualCoupon · MK-NW-F-011 assetClassOf · MK-ST-F-055 round2 · MK-NW-F-058 yearsToMaturity · MK-NW-F-008 incomeBearingClassOf · MK-ST-F-010 nameEvidence</t>
        </is>
      </c>
      <c r="K182" s="3" t="inlineStr">
        <is>
          <t>MK-ST-F-055 round2 → MK-NW-F-057 annualCoupon → MK-NW-F-063 interestIncomeAnnual
MK-ST-F-010 nameEvidence → MK-NW-F-008 incomeBearingClassOf → MK-NW-F-011 assetClassOf → MK-NW-F-063 interestIncomeAnnual
MK-ST-F-055 round2 → MK-NW-F-063 interestIncomeAnnual
MK-NW-F-058 yearsToMaturity → MK-NW-F-063 interestIncomeAnnual</t>
        </is>
      </c>
      <c r="L182" s="3" t="inlineStr">
        <is>
          <t>—</t>
        </is>
      </c>
      <c r="M182" s="3" t="inlineStr">
        <is>
          <t>—</t>
        </is>
      </c>
    </row>
    <row r="183">
      <c r="A183" s="3" t="inlineStr">
        <is>
          <t>MK-CF-F-116</t>
        </is>
      </c>
      <c r="B183" s="3" t="inlineStr">
        <is>
          <t>inverseOf</t>
        </is>
      </c>
      <c r="C183" s="3" t="inlineStr">
        <is>
          <t>src/domain/transactions/index.ts</t>
        </is>
      </c>
      <c r="D183" s="3" t="n">
        <v>199</v>
      </c>
      <c r="E183" s="3" t="inlineStr">
        <is>
          <t>3 · DEPENDENT (feeds an action only)</t>
        </is>
      </c>
      <c r="F183" s="3" t="inlineStr">
        <is>
          <t>Its answer feeds another function, but no chain from it reaches a screen.</t>
        </is>
      </c>
      <c r="G183" s="3" t="inlineStr">
        <is>
          <t>No</t>
        </is>
      </c>
      <c r="H183" s="3" t="inlineStr">
        <is>
          <t>MK-ST-F-043 newEntityId</t>
        </is>
      </c>
      <c r="I183" s="3" t="n">
        <v>1</v>
      </c>
      <c r="J183" s="3" t="inlineStr">
        <is>
          <t>MK-ST-F-043 newEntityId</t>
        </is>
      </c>
      <c r="K183" s="3" t="inlineStr">
        <is>
          <t>MK-ST-F-043 newEntityId → MK-CF-F-116 inverseOf</t>
        </is>
      </c>
      <c r="L183" s="3" t="inlineStr">
        <is>
          <t>—</t>
        </is>
      </c>
      <c r="M183" s="3" t="inlineStr">
        <is>
          <t>—</t>
        </is>
      </c>
    </row>
    <row r="184">
      <c r="A184" s="3" t="inlineStr">
        <is>
          <t>MK-NW-F-022</t>
        </is>
      </c>
      <c r="B184" s="3" t="inlineStr">
        <is>
          <t>investableAssets</t>
        </is>
      </c>
      <c r="C184" s="3" t="inlineStr">
        <is>
          <t>src/domain/assets/index.ts</t>
        </is>
      </c>
      <c r="D184" s="3" t="n">
        <v>296</v>
      </c>
      <c r="E184" s="3" t="inlineStr">
        <is>
          <t>2 · DISPLAYED</t>
        </is>
      </c>
      <c r="F184" s="3" t="inlineStr">
        <is>
          <t>A screen calls it directly, so its answer is on a screen.</t>
        </is>
      </c>
      <c r="G184" s="3" t="inlineStr">
        <is>
          <t>Yes</t>
        </is>
      </c>
      <c r="H184" s="3" t="inlineStr">
        <is>
          <t>MK-NW-F-014 isRealAsset · MK-NW-F-015 totalAssets</t>
        </is>
      </c>
      <c r="I184" s="3" t="n">
        <v>6</v>
      </c>
      <c r="J184" s="3" t="inlineStr">
        <is>
          <t>MK-NW-F-014 isRealAsset · MK-NW-F-015 totalAssets · MK-NW-F-011 assetClassOf · MK-ST-F-055 round2 · MK-NW-F-008 incomeBearingClassOf · MK-ST-F-010 nameEvidence</t>
        </is>
      </c>
      <c r="K184" s="3" t="inlineStr">
        <is>
          <t>MK-ST-F-010 nameEvidence → MK-NW-F-008 incomeBearingClassOf → MK-NW-F-011 assetClassOf → MK-NW-F-014 isRealAsset → MK-NW-F-022 investableAssets
MK-ST-F-055 round2 → MK-NW-F-014 isRealAsset → MK-NW-F-022 investableAssets
MK-ST-F-055 round2 → MK-NW-F-015 totalAssets → MK-NW-F-022 investableAssets</t>
        </is>
      </c>
      <c r="L184" s="3" t="inlineStr">
        <is>
          <t>—</t>
        </is>
      </c>
      <c r="M184" s="3" t="inlineStr">
        <is>
          <t>TOTAL_INVESTABLE</t>
        </is>
      </c>
    </row>
    <row r="185">
      <c r="A185" s="3" t="inlineStr">
        <is>
          <t>MK-XS-F-010</t>
        </is>
      </c>
      <c r="B185" s="3" t="inlineStr">
        <is>
          <t>investableChangePct</t>
        </is>
      </c>
      <c r="C185" s="3" t="inlineStr">
        <is>
          <t>src/domain/history.ts</t>
        </is>
      </c>
      <c r="D185" s="3" t="n">
        <v>118</v>
      </c>
      <c r="E185" s="3" t="inlineStr">
        <is>
          <t>2 · DISPLAYED</t>
        </is>
      </c>
      <c r="F185" s="3" t="inlineStr">
        <is>
          <t>A screen calls it directly, so its answer is on a screen.</t>
        </is>
      </c>
      <c r="G185" s="3" t="inlineStr">
        <is>
          <t>Yes</t>
        </is>
      </c>
      <c r="H185" s="3" t="inlineStr">
        <is>
          <t>—</t>
        </is>
      </c>
      <c r="I185" s="3" t="n">
        <v>0</v>
      </c>
      <c r="J185" s="3" t="inlineStr">
        <is>
          <t>None — no dependent function stands behind it</t>
        </is>
      </c>
      <c r="K185" s="3" t="inlineStr">
        <is>
          <t>No dependent function — it reads its inputs and answers</t>
        </is>
      </c>
      <c r="L185" s="3" t="inlineStr">
        <is>
          <t>MK-NW-M-002</t>
        </is>
      </c>
      <c r="M185" s="3" t="inlineStr">
        <is>
          <t>NW_CHANGE_PCT</t>
        </is>
      </c>
    </row>
    <row r="186">
      <c r="A186" s="3" t="inlineStr">
        <is>
          <t>MK-CF-F-119</t>
        </is>
      </c>
      <c r="B186" s="3" t="inlineStr">
        <is>
          <t>investmentIncomeAnnual</t>
        </is>
      </c>
      <c r="C186" s="3" t="inlineStr">
        <is>
          <t>src/domain/transactions/index.ts</t>
        </is>
      </c>
      <c r="D186" s="3" t="n">
        <v>240</v>
      </c>
      <c r="E186" s="3" t="inlineStr">
        <is>
          <t>2 · DISPLAYED</t>
        </is>
      </c>
      <c r="F186" s="3" t="inlineStr">
        <is>
          <t>A screen calls it directly, so its answer is on a screen.</t>
        </is>
      </c>
      <c r="G186" s="3" t="inlineStr">
        <is>
          <t>Yes</t>
        </is>
      </c>
      <c r="H186" s="3" t="inlineStr">
        <is>
          <t>MK-ST-F-055 round2</t>
        </is>
      </c>
      <c r="I186" s="3" t="n">
        <v>1</v>
      </c>
      <c r="J186" s="3" t="inlineStr">
        <is>
          <t>MK-ST-F-055 round2</t>
        </is>
      </c>
      <c r="K186" s="3" t="inlineStr">
        <is>
          <t>MK-ST-F-055 round2 → MK-CF-F-119 investmentIncomeAnnual</t>
        </is>
      </c>
      <c r="L186" s="3" t="inlineStr">
        <is>
          <t>—</t>
        </is>
      </c>
      <c r="M186" s="3" t="inlineStr">
        <is>
          <t>—</t>
        </is>
      </c>
    </row>
    <row r="187">
      <c r="A187" s="3" t="inlineStr">
        <is>
          <t>MK-NW-F-021</t>
        </is>
      </c>
      <c r="B187" s="3" t="inlineStr">
        <is>
          <t>investmentsTotal</t>
        </is>
      </c>
      <c r="C187" s="3" t="inlineStr">
        <is>
          <t>src/domain/assets/index.ts</t>
        </is>
      </c>
      <c r="D187" s="3" t="n">
        <v>291</v>
      </c>
      <c r="E187" s="3" t="inlineStr">
        <is>
          <t>2 · DISPLAYED</t>
        </is>
      </c>
      <c r="F187" s="3" t="inlineStr">
        <is>
          <t>A screen calls it directly, so its answer is on a screen.</t>
        </is>
      </c>
      <c r="G187" s="3" t="inlineStr">
        <is>
          <t>Yes</t>
        </is>
      </c>
      <c r="H187" s="3" t="inlineStr">
        <is>
          <t>MK-NW-F-011 assetClassOf</t>
        </is>
      </c>
      <c r="I187" s="3" t="n">
        <v>3</v>
      </c>
      <c r="J187" s="3" t="inlineStr">
        <is>
          <t>MK-NW-F-011 assetClassOf · MK-NW-F-008 incomeBearingClassOf · MK-ST-F-010 nameEvidence</t>
        </is>
      </c>
      <c r="K187" s="3" t="inlineStr">
        <is>
          <t>MK-ST-F-010 nameEvidence → MK-NW-F-008 incomeBearingClassOf → MK-NW-F-011 assetClassOf → MK-NW-F-021 investmentsTotal</t>
        </is>
      </c>
      <c r="L187" s="3" t="inlineStr">
        <is>
          <t>MK-XS-M-003</t>
        </is>
      </c>
      <c r="M187" s="3" t="inlineStr">
        <is>
          <t>TOTAL_INVESTMENTS</t>
        </is>
      </c>
    </row>
    <row r="188">
      <c r="A188" s="3" t="inlineStr">
        <is>
          <t>MK-NW-F-001</t>
        </is>
      </c>
      <c r="B188" s="3" t="inlineStr">
        <is>
          <t>isAlternative</t>
        </is>
      </c>
      <c r="C188" s="3" t="inlineStr">
        <is>
          <t>src/domain/alternatives/index.ts</t>
        </is>
      </c>
      <c r="D188" s="3" t="n">
        <v>15</v>
      </c>
      <c r="E188" s="3" t="inlineStr">
        <is>
          <t>2 · DISPLAYED</t>
        </is>
      </c>
      <c r="F188" s="3" t="inlineStr">
        <is>
          <t>A screen calls it directly, so its answer is on a screen.</t>
        </is>
      </c>
      <c r="G188" s="3" t="inlineStr">
        <is>
          <t>Yes</t>
        </is>
      </c>
      <c r="H188" s="3" t="inlineStr">
        <is>
          <t>—</t>
        </is>
      </c>
      <c r="I188" s="3" t="n">
        <v>0</v>
      </c>
      <c r="J188" s="3" t="inlineStr">
        <is>
          <t>None — no dependent function stands behind it</t>
        </is>
      </c>
      <c r="K188" s="3" t="inlineStr">
        <is>
          <t>No dependent function — it reads its inputs and answers</t>
        </is>
      </c>
      <c r="L188" s="3" t="inlineStr">
        <is>
          <t>—</t>
        </is>
      </c>
      <c r="M188" s="3" t="inlineStr">
        <is>
          <t>IS_ALTERNATIVE</t>
        </is>
      </c>
    </row>
    <row r="189">
      <c r="A189" s="3" t="inlineStr">
        <is>
          <t>MK-NW-F-055</t>
        </is>
      </c>
      <c r="B189" s="3" t="inlineStr">
        <is>
          <t>isBond</t>
        </is>
      </c>
      <c r="C189" s="3" t="inlineStr">
        <is>
          <t>src/domain/bonds/index.ts</t>
        </is>
      </c>
      <c r="D189" s="3" t="n">
        <v>13</v>
      </c>
      <c r="E189" s="3" t="inlineStr">
        <is>
          <t>2 · DISPLAYED</t>
        </is>
      </c>
      <c r="F189" s="3" t="inlineStr">
        <is>
          <t>A screen calls it directly, so its answer is on a screen.</t>
        </is>
      </c>
      <c r="G189" s="3" t="inlineStr">
        <is>
          <t>Yes</t>
        </is>
      </c>
      <c r="H189" s="3" t="inlineStr">
        <is>
          <t>MK-NW-F-011 assetClassOf</t>
        </is>
      </c>
      <c r="I189" s="3" t="n">
        <v>3</v>
      </c>
      <c r="J189" s="3" t="inlineStr">
        <is>
          <t>MK-NW-F-011 assetClassOf · MK-NW-F-008 incomeBearingClassOf · MK-ST-F-010 nameEvidence</t>
        </is>
      </c>
      <c r="K189" s="3" t="inlineStr">
        <is>
          <t>MK-ST-F-010 nameEvidence → MK-NW-F-008 incomeBearingClassOf → MK-NW-F-011 assetClassOf → MK-NW-F-055 isBond</t>
        </is>
      </c>
      <c r="L189" s="3" t="inlineStr">
        <is>
          <t>—</t>
        </is>
      </c>
      <c r="M189" s="3" t="inlineStr">
        <is>
          <t>IS_BOND</t>
        </is>
      </c>
    </row>
    <row r="190">
      <c r="A190" s="3" t="inlineStr">
        <is>
          <t>MK-NW-F-006</t>
        </is>
      </c>
      <c r="B190" s="3" t="inlineStr">
        <is>
          <t>isCashKind</t>
        </is>
      </c>
      <c r="C190" s="3" t="inlineStr">
        <is>
          <t>src/domain/assets/index.ts</t>
        </is>
      </c>
      <c r="D190" s="3" t="n">
        <v>166</v>
      </c>
      <c r="E190" s="3" t="inlineStr">
        <is>
          <t>1 · ACTION</t>
        </is>
      </c>
      <c r="F190" s="3" t="inlineStr">
        <is>
          <t>Produces nothing that is displayed — it does something: saves, syncs or records.</t>
        </is>
      </c>
      <c r="G190" s="3" t="inlineStr">
        <is>
          <t>No</t>
        </is>
      </c>
      <c r="H190" s="3" t="inlineStr">
        <is>
          <t>MK-NW-F-007 assetKind</t>
        </is>
      </c>
      <c r="I190" s="3" t="n">
        <v>4</v>
      </c>
      <c r="J190" s="3" t="inlineStr">
        <is>
          <t>MK-NW-F-007 assetKind · MK-NW-F-011 assetClassOf · MK-NW-F-008 incomeBearingClassOf · MK-ST-F-010 nameEvidence</t>
        </is>
      </c>
      <c r="K190" s="3" t="inlineStr">
        <is>
          <t>MK-ST-F-010 nameEvidence → MK-NW-F-008 incomeBearingClassOf → MK-NW-F-011 assetClassOf → MK-NW-F-007 assetKind → MK-NW-F-006 isCashKind</t>
        </is>
      </c>
      <c r="L190" s="3" t="inlineStr">
        <is>
          <t>—</t>
        </is>
      </c>
      <c r="M190" s="3" t="inlineStr">
        <is>
          <t>KIND_IS_CASH</t>
        </is>
      </c>
    </row>
    <row r="191">
      <c r="A191" s="3" t="inlineStr">
        <is>
          <t>MK-XS-F-063</t>
        </is>
      </c>
      <c r="B191" s="3" t="inlineStr">
        <is>
          <t>isEmailVerified</t>
        </is>
      </c>
      <c r="C191" s="3" t="inlineStr">
        <is>
          <t>src/services/firebase.ts</t>
        </is>
      </c>
      <c r="D191" s="3" t="n">
        <v>100</v>
      </c>
      <c r="E191" s="3" t="inlineStr">
        <is>
          <t>2 · DISPLAYED</t>
        </is>
      </c>
      <c r="F191" s="3" t="inlineStr">
        <is>
          <t>A screen calls it directly, so its answer is on a screen.</t>
        </is>
      </c>
      <c r="G191" s="3" t="inlineStr">
        <is>
          <t>Yes</t>
        </is>
      </c>
      <c r="H191" s="3" t="inlineStr">
        <is>
          <t>—</t>
        </is>
      </c>
      <c r="I191" s="3" t="n">
        <v>0</v>
      </c>
      <c r="J191" s="3" t="inlineStr">
        <is>
          <t>None — no dependent function stands behind it</t>
        </is>
      </c>
      <c r="K191" s="3" t="inlineStr">
        <is>
          <t>No dependent function — it reads its inputs and answers</t>
        </is>
      </c>
      <c r="L191" s="3" t="inlineStr">
        <is>
          <t>—</t>
        </is>
      </c>
      <c r="M191" s="3" t="inlineStr">
        <is>
          <t>—</t>
        </is>
      </c>
    </row>
    <row r="192">
      <c r="A192" s="3" t="inlineStr">
        <is>
          <t>MK-XS-F-051</t>
        </is>
      </c>
      <c r="B192" s="3" t="inlineStr">
        <is>
          <t>isEncrypted</t>
        </is>
      </c>
      <c r="C192" s="3" t="inlineStr">
        <is>
          <t>src/services/dataCrypto.ts</t>
        </is>
      </c>
      <c r="D192" s="3" t="n">
        <v>103</v>
      </c>
      <c r="E192" s="3" t="inlineStr">
        <is>
          <t>3 · DEPENDENT</t>
        </is>
      </c>
      <c r="F192" s="3" t="inlineStr">
        <is>
          <t>Its answer feeds another function, and that chain ends at a screen.</t>
        </is>
      </c>
      <c r="G192" s="3" t="inlineStr">
        <is>
          <t>Yes</t>
        </is>
      </c>
      <c r="H192" s="3" t="inlineStr">
        <is>
          <t>—</t>
        </is>
      </c>
      <c r="I192" s="3" t="n">
        <v>0</v>
      </c>
      <c r="J192" s="3" t="inlineStr">
        <is>
          <t>None — no dependent function stands behind it</t>
        </is>
      </c>
      <c r="K192" s="3" t="inlineStr">
        <is>
          <t>No dependent function — it reads its inputs and answers</t>
        </is>
      </c>
      <c r="L192" s="3" t="inlineStr">
        <is>
          <t>—</t>
        </is>
      </c>
      <c r="M192" s="3" t="inlineStr">
        <is>
          <t>—</t>
        </is>
      </c>
    </row>
    <row r="193">
      <c r="A193" s="3" t="inlineStr">
        <is>
          <t>MK-XS-F-034</t>
        </is>
      </c>
      <c r="B193" s="3" t="inlineStr">
        <is>
          <t>isLockAvailable</t>
        </is>
      </c>
      <c r="C193" s="3" t="inlineStr">
        <is>
          <t>src/services/appLock.ts</t>
        </is>
      </c>
      <c r="D193" s="3" t="n">
        <v>17</v>
      </c>
      <c r="E193" s="3" t="inlineStr">
        <is>
          <t>2 · DISPLAYED</t>
        </is>
      </c>
      <c r="F193" s="3" t="inlineStr">
        <is>
          <t>A screen calls it directly, so its answer is on a screen.</t>
        </is>
      </c>
      <c r="G193" s="3" t="inlineStr">
        <is>
          <t>Yes</t>
        </is>
      </c>
      <c r="H193" s="3" t="inlineStr">
        <is>
          <t>—</t>
        </is>
      </c>
      <c r="I193" s="3" t="n">
        <v>0</v>
      </c>
      <c r="J193" s="3" t="inlineStr">
        <is>
          <t>None — no dependent function stands behind it</t>
        </is>
      </c>
      <c r="K193" s="3" t="inlineStr">
        <is>
          <t>No dependent function — it reads its inputs and answers</t>
        </is>
      </c>
      <c r="L193" s="3" t="inlineStr">
        <is>
          <t>—</t>
        </is>
      </c>
      <c r="M193" s="3" t="inlineStr">
        <is>
          <t>—</t>
        </is>
      </c>
    </row>
    <row r="194">
      <c r="A194" s="3" t="inlineStr">
        <is>
          <t>MK-CF-F-108</t>
        </is>
      </c>
      <c r="B194" s="3" t="inlineStr">
        <is>
          <t>isMoneyOut</t>
        </is>
      </c>
      <c r="C194" s="3" t="inlineStr">
        <is>
          <t>src/domain/transactions/flags.ts</t>
        </is>
      </c>
      <c r="D194" s="3" t="n">
        <v>29</v>
      </c>
      <c r="E194" s="3" t="inlineStr">
        <is>
          <t>3 · DEPENDENT (feeds an action only)</t>
        </is>
      </c>
      <c r="F194" s="3" t="inlineStr">
        <is>
          <t>Its answer feeds another function, but no chain from it reaches a screen.</t>
        </is>
      </c>
      <c r="G194" s="3" t="inlineStr">
        <is>
          <t>No</t>
        </is>
      </c>
      <c r="H194" s="3" t="inlineStr">
        <is>
          <t>—</t>
        </is>
      </c>
      <c r="I194" s="3" t="n">
        <v>0</v>
      </c>
      <c r="J194" s="3" t="inlineStr">
        <is>
          <t>None — no dependent function stands behind it</t>
        </is>
      </c>
      <c r="K194" s="3" t="inlineStr">
        <is>
          <t>No dependent function — it reads its inputs and answers</t>
        </is>
      </c>
      <c r="L194" s="3" t="inlineStr">
        <is>
          <t>—</t>
        </is>
      </c>
      <c r="M194" s="3" t="inlineStr">
        <is>
          <t>—</t>
        </is>
      </c>
    </row>
    <row r="195">
      <c r="A195" s="3" t="inlineStr">
        <is>
          <t>MK-PF-F-027</t>
        </is>
      </c>
      <c r="B195" s="3" t="inlineStr">
        <is>
          <t>isMoneyWeighted</t>
        </is>
      </c>
      <c r="C195" s="3" t="inlineStr">
        <is>
          <t>src/domain/performance/moneyWeighted.ts</t>
        </is>
      </c>
      <c r="D195" s="3" t="n">
        <v>110</v>
      </c>
      <c r="E195" s="3" t="inlineStr">
        <is>
          <t>2 · DISPLAYED</t>
        </is>
      </c>
      <c r="F195" s="3" t="inlineStr">
        <is>
          <t>A screen calls it directly, so its answer is on a screen.</t>
        </is>
      </c>
      <c r="G195" s="3" t="inlineStr">
        <is>
          <t>Yes</t>
        </is>
      </c>
      <c r="H195" s="3" t="inlineStr">
        <is>
          <t>—</t>
        </is>
      </c>
      <c r="I195" s="3" t="n">
        <v>0</v>
      </c>
      <c r="J195" s="3" t="inlineStr">
        <is>
          <t>None — no dependent function stands behind it</t>
        </is>
      </c>
      <c r="K195" s="3" t="inlineStr">
        <is>
          <t>No dependent function — it reads its inputs and answers</t>
        </is>
      </c>
      <c r="L195" s="3" t="inlineStr">
        <is>
          <t>—</t>
        </is>
      </c>
      <c r="M195" s="3" t="inlineStr">
        <is>
          <t>PERSONAL_RETURN_ANSWERED</t>
        </is>
      </c>
    </row>
    <row r="196">
      <c r="A196" s="3" t="inlineStr">
        <is>
          <t>MK-XS-F-081</t>
        </is>
      </c>
      <c r="B196" s="3" t="inlineStr">
        <is>
          <t>isPlausibleTicker</t>
        </is>
      </c>
      <c r="C196" s="3" t="inlineStr">
        <is>
          <t>src/services/marketData.ts</t>
        </is>
      </c>
      <c r="D196" s="3" t="n">
        <v>53</v>
      </c>
      <c r="E196" s="3" t="inlineStr">
        <is>
          <t>2 · DISPLAYED</t>
        </is>
      </c>
      <c r="F196" s="3" t="inlineStr">
        <is>
          <t>A screen calls it directly, so its answer is on a screen.</t>
        </is>
      </c>
      <c r="G196" s="3" t="inlineStr">
        <is>
          <t>Yes</t>
        </is>
      </c>
      <c r="H196" s="3" t="inlineStr">
        <is>
          <t>—</t>
        </is>
      </c>
      <c r="I196" s="3" t="n">
        <v>0</v>
      </c>
      <c r="J196" s="3" t="inlineStr">
        <is>
          <t>None — no dependent function stands behind it</t>
        </is>
      </c>
      <c r="K196" s="3" t="inlineStr">
        <is>
          <t>No dependent function — it reads its inputs and answers</t>
        </is>
      </c>
      <c r="L196" s="3" t="inlineStr">
        <is>
          <t>—</t>
        </is>
      </c>
      <c r="M196" s="3" t="inlineStr">
        <is>
          <t>TICKER_PLAUSIBLE</t>
        </is>
      </c>
    </row>
    <row r="197">
      <c r="A197" s="3" t="inlineStr">
        <is>
          <t>MK-NW-F-014</t>
        </is>
      </c>
      <c r="B197" s="3" t="inlineStr">
        <is>
          <t>isRealAsset</t>
        </is>
      </c>
      <c r="C197" s="3" t="inlineStr">
        <is>
          <t>src/domain/assets/index.ts</t>
        </is>
      </c>
      <c r="D197" s="3" t="n">
        <v>253</v>
      </c>
      <c r="E197" s="3" t="inlineStr">
        <is>
          <t>3 · DEPENDENT</t>
        </is>
      </c>
      <c r="F197" s="3" t="inlineStr">
        <is>
          <t>Its answer feeds another function, and that chain ends at a screen.</t>
        </is>
      </c>
      <c r="G197" s="3" t="inlineStr">
        <is>
          <t>Yes</t>
        </is>
      </c>
      <c r="H197" s="3" t="inlineStr">
        <is>
          <t>MK-NW-F-011 assetClassOf · MK-ST-F-055 round2</t>
        </is>
      </c>
      <c r="I197" s="3" t="n">
        <v>4</v>
      </c>
      <c r="J197" s="3" t="inlineStr">
        <is>
          <t>MK-NW-F-011 assetClassOf · MK-ST-F-055 round2 · MK-NW-F-008 incomeBearingClassOf · MK-ST-F-010 nameEvidence</t>
        </is>
      </c>
      <c r="K197" s="3" t="inlineStr">
        <is>
          <t>MK-ST-F-010 nameEvidence → MK-NW-F-008 incomeBearingClassOf → MK-NW-F-011 assetClassOf → MK-NW-F-014 isRealAsset
MK-ST-F-055 round2 → MK-NW-F-014 isRealAsset</t>
        </is>
      </c>
      <c r="L197" s="3" t="inlineStr">
        <is>
          <t>—</t>
        </is>
      </c>
      <c r="M197" s="3" t="inlineStr">
        <is>
          <t>IS_PHYSICAL_ASSET</t>
        </is>
      </c>
    </row>
    <row r="198">
      <c r="A198" s="3" t="inlineStr">
        <is>
          <t>MK-NW-F-050</t>
        </is>
      </c>
      <c r="B198" s="3" t="inlineStr">
        <is>
          <t>itemizeRemainder</t>
        </is>
      </c>
      <c r="C198" s="3" t="inlineStr">
        <is>
          <t>src/domain/assets/itemize.ts</t>
        </is>
      </c>
      <c r="D198" s="3" t="n">
        <v>32</v>
      </c>
      <c r="E198" s="3" t="inlineStr">
        <is>
          <t>1 · ACTION</t>
        </is>
      </c>
      <c r="F198" s="3" t="inlineStr">
        <is>
          <t>Produces nothing that is displayed — it does something: saves, syncs or records.</t>
        </is>
      </c>
      <c r="G198" s="3" t="inlineStr">
        <is>
          <t>Yes</t>
        </is>
      </c>
      <c r="H198" s="3" t="inlineStr">
        <is>
          <t>MK-NW-F-049 itemizedTotal · MK-ST-F-055 round2</t>
        </is>
      </c>
      <c r="I198" s="3" t="n">
        <v>2</v>
      </c>
      <c r="J198" s="3" t="inlineStr">
        <is>
          <t>MK-NW-F-049 itemizedTotal · MK-ST-F-055 round2</t>
        </is>
      </c>
      <c r="K198" s="3" t="inlineStr">
        <is>
          <t>MK-ST-F-055 round2 → MK-NW-F-049 itemizedTotal → MK-NW-F-050 itemizeRemainder
MK-ST-F-055 round2 → MK-NW-F-050 itemizeRemainder</t>
        </is>
      </c>
      <c r="L198" s="3" t="inlineStr">
        <is>
          <t>—</t>
        </is>
      </c>
      <c r="M198" s="3" t="inlineStr">
        <is>
          <t>ITEMISED_REMAINDER</t>
        </is>
      </c>
    </row>
    <row r="199">
      <c r="A199" s="3" t="inlineStr">
        <is>
          <t>MK-NW-F-051</t>
        </is>
      </c>
      <c r="B199" s="3" t="inlineStr">
        <is>
          <t>itemizedResultTotal</t>
        </is>
      </c>
      <c r="C199" s="3" t="inlineStr">
        <is>
          <t>src/domain/assets/itemize.ts</t>
        </is>
      </c>
      <c r="D199" s="3" t="n">
        <v>37</v>
      </c>
      <c r="E199" s="3" t="inlineStr">
        <is>
          <t>2 · DISPLAYED</t>
        </is>
      </c>
      <c r="F199" s="3" t="inlineStr">
        <is>
          <t>A screen calls it directly, so its answer is on a screen.</t>
        </is>
      </c>
      <c r="G199" s="3" t="inlineStr">
        <is>
          <t>Yes</t>
        </is>
      </c>
      <c r="H199" s="3" t="inlineStr">
        <is>
          <t>MK-NW-F-050 itemizeRemainder · MK-NW-F-049 itemizedTotal · MK-ST-F-055 round2</t>
        </is>
      </c>
      <c r="I199" s="3" t="n">
        <v>3</v>
      </c>
      <c r="J199" s="3" t="inlineStr">
        <is>
          <t>MK-NW-F-050 itemizeRemainder · MK-NW-F-049 itemizedTotal · MK-ST-F-055 round2</t>
        </is>
      </c>
      <c r="K199" s="3" t="inlineStr">
        <is>
          <t>MK-ST-F-055 round2 → MK-NW-F-049 itemizedTotal → MK-NW-F-050 itemizeRemainder → MK-NW-F-051 itemizedResultTotal
MK-ST-F-055 round2 → MK-NW-F-050 itemizeRemainder → MK-NW-F-051 itemizedResultTotal
MK-ST-F-055 round2 → MK-NW-F-049 itemizedTotal → MK-NW-F-051 itemizedResultTotal
MK-ST-F-055 round2 → MK-NW-F-051 itemizedResultTotal</t>
        </is>
      </c>
      <c r="L199" s="3" t="inlineStr">
        <is>
          <t>—</t>
        </is>
      </c>
      <c r="M199" s="3" t="inlineStr">
        <is>
          <t>—</t>
        </is>
      </c>
    </row>
    <row r="200">
      <c r="A200" s="3" t="inlineStr">
        <is>
          <t>MK-NW-F-049</t>
        </is>
      </c>
      <c r="B200" s="3" t="inlineStr">
        <is>
          <t>itemizedTotal</t>
        </is>
      </c>
      <c r="C200" s="3" t="inlineStr">
        <is>
          <t>src/domain/assets/itemize.ts</t>
        </is>
      </c>
      <c r="D200" s="3" t="n">
        <v>28</v>
      </c>
      <c r="E200" s="3" t="inlineStr">
        <is>
          <t>1 · ACTION</t>
        </is>
      </c>
      <c r="F200" s="3" t="inlineStr">
        <is>
          <t>Produces nothing that is displayed — it does something: saves, syncs or records.</t>
        </is>
      </c>
      <c r="G200" s="3" t="inlineStr">
        <is>
          <t>Yes</t>
        </is>
      </c>
      <c r="H200" s="3" t="inlineStr">
        <is>
          <t>MK-ST-F-055 round2</t>
        </is>
      </c>
      <c r="I200" s="3" t="n">
        <v>1</v>
      </c>
      <c r="J200" s="3" t="inlineStr">
        <is>
          <t>MK-ST-F-055 round2</t>
        </is>
      </c>
      <c r="K200" s="3" t="inlineStr">
        <is>
          <t>MK-ST-F-055 round2 → MK-NW-F-049 itemizedTotal</t>
        </is>
      </c>
      <c r="L200" s="3" t="inlineStr">
        <is>
          <t>—</t>
        </is>
      </c>
      <c r="M200" s="3" t="inlineStr">
        <is>
          <t>ITEMISED_TOTAL</t>
        </is>
      </c>
    </row>
    <row r="201">
      <c r="A201" s="3" t="inlineStr">
        <is>
          <t>MK-CF-F-080</t>
        </is>
      </c>
      <c r="B201" s="3" t="inlineStr">
        <is>
          <t>jobActiveMonth</t>
        </is>
      </c>
      <c r="C201" s="3" t="inlineStr">
        <is>
          <t>src/domain/income/onboarding.ts</t>
        </is>
      </c>
      <c r="D201" s="3" t="n">
        <v>323</v>
      </c>
      <c r="E201" s="3" t="inlineStr">
        <is>
          <t>3 · DEPENDENT (feeds an action only)</t>
        </is>
      </c>
      <c r="F201" s="3" t="inlineStr">
        <is>
          <t>Its answer feeds another function, but no chain from it reaches a screen.</t>
        </is>
      </c>
      <c r="G201" s="3" t="inlineStr">
        <is>
          <t>No</t>
        </is>
      </c>
      <c r="H201" s="3" t="inlineStr">
        <is>
          <t>MK-CF-F-060 salaryGrossByMonth</t>
        </is>
      </c>
      <c r="I201" s="3" t="n">
        <v>6</v>
      </c>
      <c r="J201" s="3" t="inlineStr">
        <is>
          <t>MK-CF-F-060 salaryGrossByMonth · MK-CF-F-097 grossFromNet · MK-ST-F-055 round2 · MK-ST-F-052 toNum · MK-CF-F-095 taxOwed · MK-CF-F-093 taxableIncome</t>
        </is>
      </c>
      <c r="K201" s="3" t="inlineStr">
        <is>
          <t>MK-CF-F-093 taxableIncome → MK-CF-F-095 taxOwed → MK-CF-F-097 grossFromNet → MK-CF-F-060 salaryGrossByMonth → MK-CF-F-080 jobActiveMonth
MK-ST-F-055 round2 → MK-CF-F-060 salaryGrossByMonth → MK-CF-F-080 jobActiveMonth
MK-ST-F-052 toNum → MK-CF-F-060 salaryGrossByMonth → MK-CF-F-080 jobActiveMonth</t>
        </is>
      </c>
      <c r="L201" s="3" t="inlineStr">
        <is>
          <t>—</t>
        </is>
      </c>
      <c r="M201" s="3" t="inlineStr">
        <is>
          <t>—</t>
        </is>
      </c>
    </row>
    <row r="202">
      <c r="A202" s="3" t="inlineStr">
        <is>
          <t>MK-XS-F-078</t>
        </is>
      </c>
      <c r="B202" s="3" t="inlineStr">
        <is>
          <t>joinHouseholdMembership</t>
        </is>
      </c>
      <c r="C202" s="3" t="inlineStr">
        <is>
          <t>src/services/firebase.ts</t>
        </is>
      </c>
      <c r="D202" s="3" t="n">
        <v>273</v>
      </c>
      <c r="E202" s="3" t="inlineStr">
        <is>
          <t>1 · ACTION</t>
        </is>
      </c>
      <c r="F202" s="3" t="inlineStr">
        <is>
          <t>Produces nothing that is displayed — it does something: saves, syncs or records.</t>
        </is>
      </c>
      <c r="G202" s="3" t="inlineStr">
        <is>
          <t>Yes</t>
        </is>
      </c>
      <c r="H202" s="3" t="inlineStr">
        <is>
          <t>—</t>
        </is>
      </c>
      <c r="I202" s="3" t="n">
        <v>0</v>
      </c>
      <c r="J202" s="3" t="inlineStr">
        <is>
          <t>None — no dependent function stands behind it</t>
        </is>
      </c>
      <c r="K202" s="3" t="inlineStr">
        <is>
          <t>No dependent function — it reads its inputs and answers</t>
        </is>
      </c>
      <c r="L202" s="3" t="inlineStr">
        <is>
          <t>—</t>
        </is>
      </c>
      <c r="M202" s="3" t="inlineStr">
        <is>
          <t>—</t>
        </is>
      </c>
    </row>
    <row r="203">
      <c r="A203" s="3" t="inlineStr">
        <is>
          <t>MK-CF-F-056</t>
        </is>
      </c>
      <c r="B203" s="3" t="inlineStr">
        <is>
          <t>k401Headroom</t>
        </is>
      </c>
      <c r="C203" s="3" t="inlineStr">
        <is>
          <t>src/domain/income/limits.ts</t>
        </is>
      </c>
      <c r="D203" s="3" t="n">
        <v>27</v>
      </c>
      <c r="E203" s="3" t="inlineStr">
        <is>
          <t>2 · DISPLAYED</t>
        </is>
      </c>
      <c r="F203" s="3" t="inlineStr">
        <is>
          <t>A screen calls it directly, so its answer is on a screen.</t>
        </is>
      </c>
      <c r="G203" s="3" t="inlineStr">
        <is>
          <t>Yes</t>
        </is>
      </c>
      <c r="H203" s="3" t="inlineStr">
        <is>
          <t>MK-CF-F-053 annual401kLimit</t>
        </is>
      </c>
      <c r="I203" s="3" t="n">
        <v>1</v>
      </c>
      <c r="J203" s="3" t="inlineStr">
        <is>
          <t>MK-CF-F-053 annual401kLimit</t>
        </is>
      </c>
      <c r="K203" s="3" t="inlineStr">
        <is>
          <t>MK-CF-F-053 annual401kLimit → MK-CF-F-056 k401Headroom</t>
        </is>
      </c>
      <c r="L203" s="3" t="inlineStr">
        <is>
          <t>—</t>
        </is>
      </c>
      <c r="M203" s="3" t="inlineStr">
        <is>
          <t>—</t>
        </is>
      </c>
    </row>
    <row r="204">
      <c r="A204" s="3" t="inlineStr">
        <is>
          <t>MK-PF-F-009</t>
        </is>
      </c>
      <c r="B204" s="3" t="inlineStr">
        <is>
          <t>latestClose</t>
        </is>
      </c>
      <c r="C204" s="3" t="inlineStr">
        <is>
          <t>src/domain/performance/index.ts</t>
        </is>
      </c>
      <c r="D204" s="3" t="n">
        <v>117</v>
      </c>
      <c r="E204" s="3" t="inlineStr">
        <is>
          <t>3 · DEPENDENT</t>
        </is>
      </c>
      <c r="F204" s="3" t="inlineStr">
        <is>
          <t>Its answer feeds another function, and that chain ends at a screen.</t>
        </is>
      </c>
      <c r="G204" s="3" t="inlineStr">
        <is>
          <t>Yes</t>
        </is>
      </c>
      <c r="H204" s="3" t="inlineStr">
        <is>
          <t>—</t>
        </is>
      </c>
      <c r="I204" s="3" t="n">
        <v>0</v>
      </c>
      <c r="J204" s="3" t="inlineStr">
        <is>
          <t>None — no dependent function stands behind it</t>
        </is>
      </c>
      <c r="K204" s="3" t="inlineStr">
        <is>
          <t>No dependent function — it reads its inputs and answers</t>
        </is>
      </c>
      <c r="L204" s="3" t="inlineStr">
        <is>
          <t>—</t>
        </is>
      </c>
      <c r="M204" s="3" t="inlineStr">
        <is>
          <t>PRICE_LATEST</t>
        </is>
      </c>
    </row>
    <row r="205">
      <c r="A205" s="3" t="inlineStr">
        <is>
          <t>MK-PL-F-046</t>
        </is>
      </c>
      <c r="B205" s="3" t="inlineStr">
        <is>
          <t>leverDeltas</t>
        </is>
      </c>
      <c r="C205" s="3" t="inlineStr">
        <is>
          <t>src/domain/planning/target.ts</t>
        </is>
      </c>
      <c r="D205" s="3" t="n">
        <v>184</v>
      </c>
      <c r="E205" s="3" t="inlineStr">
        <is>
          <t>2 · DISPLAYED</t>
        </is>
      </c>
      <c r="F205" s="3" t="inlineStr">
        <is>
          <t>A screen calls it directly, so its answer is on a screen.</t>
        </is>
      </c>
      <c r="G205" s="3" t="inlineStr">
        <is>
          <t>Yes</t>
        </is>
      </c>
      <c r="H205" s="3" t="inlineStr">
        <is>
          <t>MK-PL-F-051 ssStreamOf · MK-PL-F-045 ssUpliftFactor · MK-PL-F-052 withSsStream</t>
        </is>
      </c>
      <c r="I205" s="3" t="n">
        <v>3</v>
      </c>
      <c r="J205" s="3" t="inlineStr">
        <is>
          <t>MK-PL-F-051 ssStreamOf · MK-PL-F-045 ssUpliftFactor · MK-PL-F-052 withSsStream</t>
        </is>
      </c>
      <c r="K205" s="3" t="inlineStr">
        <is>
          <t>MK-PL-F-051 ssStreamOf → MK-PL-F-046 leverDeltas
MK-PL-F-045 ssUpliftFactor → MK-PL-F-046 leverDeltas
MK-PL-F-052 withSsStream → MK-PL-F-046 leverDeltas</t>
        </is>
      </c>
      <c r="L205" s="3" t="inlineStr">
        <is>
          <t>—</t>
        </is>
      </c>
      <c r="M205" s="3" t="inlineStr">
        <is>
          <t>—</t>
        </is>
      </c>
    </row>
    <row r="206">
      <c r="A206" s="3" t="inlineStr">
        <is>
          <t>MK-PL-F-034</t>
        </is>
      </c>
      <c r="B206" s="3" t="inlineStr">
        <is>
          <t>lifeInsuranceNeed</t>
        </is>
      </c>
      <c r="C206" s="3" t="inlineStr">
        <is>
          <t>src/domain/planning/index.ts</t>
        </is>
      </c>
      <c r="D206" s="3" t="n">
        <v>142</v>
      </c>
      <c r="E206" s="3" t="inlineStr">
        <is>
          <t>2 · DISPLAYED</t>
        </is>
      </c>
      <c r="F206" s="3" t="inlineStr">
        <is>
          <t>A screen calls it directly, so its answer is on a screen.</t>
        </is>
      </c>
      <c r="G206" s="3" t="inlineStr">
        <is>
          <t>Yes</t>
        </is>
      </c>
      <c r="H206" s="3" t="inlineStr">
        <is>
          <t>MK-ST-F-055 round2</t>
        </is>
      </c>
      <c r="I206" s="3" t="n">
        <v>1</v>
      </c>
      <c r="J206" s="3" t="inlineStr">
        <is>
          <t>MK-ST-F-055 round2</t>
        </is>
      </c>
      <c r="K206" s="3" t="inlineStr">
        <is>
          <t>MK-ST-F-055 round2 → MK-PL-F-034 lifeInsuranceNeed</t>
        </is>
      </c>
      <c r="L206" s="3" t="inlineStr">
        <is>
          <t>—</t>
        </is>
      </c>
      <c r="M206" s="3" t="inlineStr">
        <is>
          <t>—</t>
        </is>
      </c>
    </row>
    <row r="207">
      <c r="A207" s="3" t="inlineStr">
        <is>
          <t>MK-NW-F-042</t>
        </is>
      </c>
      <c r="B207" s="3" t="inlineStr">
        <is>
          <t>loadAssets</t>
        </is>
      </c>
      <c r="C207" s="3" t="inlineStr">
        <is>
          <t>src/domain/assets/index.ts</t>
        </is>
      </c>
      <c r="D207" s="3" t="n">
        <v>702</v>
      </c>
      <c r="E207" s="3" t="inlineStr">
        <is>
          <t>3 · DEPENDENT (feeds an action only)</t>
        </is>
      </c>
      <c r="F207" s="3" t="inlineStr">
        <is>
          <t>Its answer feeds another function, but no chain from it reaches a screen.</t>
        </is>
      </c>
      <c r="G207" s="3" t="inlineStr">
        <is>
          <t>No</t>
        </is>
      </c>
      <c r="H207" s="3" t="inlineStr">
        <is>
          <t>—</t>
        </is>
      </c>
      <c r="I207" s="3" t="n">
        <v>0</v>
      </c>
      <c r="J207" s="3" t="inlineStr">
        <is>
          <t>None — no dependent function stands behind it</t>
        </is>
      </c>
      <c r="K207" s="3" t="inlineStr">
        <is>
          <t>No dependent function — it reads its inputs and answers</t>
        </is>
      </c>
      <c r="L207" s="3" t="inlineStr">
        <is>
          <t>—</t>
        </is>
      </c>
      <c r="M207" s="3" t="inlineStr">
        <is>
          <t>—</t>
        </is>
      </c>
    </row>
    <row r="208">
      <c r="A208" s="3" t="inlineStr">
        <is>
          <t>MK-CF-F-015</t>
        </is>
      </c>
      <c r="B208" s="3" t="inlineStr">
        <is>
          <t>loadBudget</t>
        </is>
      </c>
      <c r="C208" s="3" t="inlineStr">
        <is>
          <t>src/domain/budget/index.ts</t>
        </is>
      </c>
      <c r="D208" s="3" t="n">
        <v>284</v>
      </c>
      <c r="E208" s="3" t="inlineStr">
        <is>
          <t>3 · DEPENDENT (feeds an action only)</t>
        </is>
      </c>
      <c r="F208" s="3" t="inlineStr">
        <is>
          <t>Its answer feeds another function, but no chain from it reaches a screen.</t>
        </is>
      </c>
      <c r="G208" s="3" t="inlineStr">
        <is>
          <t>No</t>
        </is>
      </c>
      <c r="H208" s="3" t="inlineStr">
        <is>
          <t>—</t>
        </is>
      </c>
      <c r="I208" s="3" t="n">
        <v>0</v>
      </c>
      <c r="J208" s="3" t="inlineStr">
        <is>
          <t>None — no dependent function stands behind it</t>
        </is>
      </c>
      <c r="K208" s="3" t="inlineStr">
        <is>
          <t>No dependent function — it reads its inputs and answers</t>
        </is>
      </c>
      <c r="L208" s="3" t="inlineStr">
        <is>
          <t>—</t>
        </is>
      </c>
      <c r="M208" s="3" t="inlineStr">
        <is>
          <t>—</t>
        </is>
      </c>
    </row>
    <row r="209">
      <c r="A209" s="3" t="inlineStr">
        <is>
          <t>MK-CF-F-039</t>
        </is>
      </c>
      <c r="B209" s="3" t="inlineStr">
        <is>
          <t>loadDebt</t>
        </is>
      </c>
      <c r="C209" s="3" t="inlineStr">
        <is>
          <t>src/domain/debt/index.ts</t>
        </is>
      </c>
      <c r="D209" s="3" t="n">
        <v>257</v>
      </c>
      <c r="E209" s="3" t="inlineStr">
        <is>
          <t>3 · DEPENDENT (feeds an action only)</t>
        </is>
      </c>
      <c r="F209" s="3" t="inlineStr">
        <is>
          <t>Its answer feeds another function, but no chain from it reaches a screen.</t>
        </is>
      </c>
      <c r="G209" s="3" t="inlineStr">
        <is>
          <t>No</t>
        </is>
      </c>
      <c r="H209" s="3" t="inlineStr">
        <is>
          <t>—</t>
        </is>
      </c>
      <c r="I209" s="3" t="n">
        <v>0</v>
      </c>
      <c r="J209" s="3" t="inlineStr">
        <is>
          <t>None — no dependent function stands behind it</t>
        </is>
      </c>
      <c r="K209" s="3" t="inlineStr">
        <is>
          <t>No dependent function — it reads its inputs and answers</t>
        </is>
      </c>
      <c r="L209" s="3" t="inlineStr">
        <is>
          <t>—</t>
        </is>
      </c>
      <c r="M209" s="3" t="inlineStr">
        <is>
          <t>—</t>
        </is>
      </c>
    </row>
    <row r="210">
      <c r="A210" s="3" t="inlineStr">
        <is>
          <t>MK-PL-F-014</t>
        </is>
      </c>
      <c r="B210" s="3" t="inlineStr">
        <is>
          <t>loadGoals</t>
        </is>
      </c>
      <c r="C210" s="3" t="inlineStr">
        <is>
          <t>src/domain/goals/index.ts</t>
        </is>
      </c>
      <c r="D210" s="3" t="n">
        <v>64</v>
      </c>
      <c r="E210" s="3" t="inlineStr">
        <is>
          <t>3 · DEPENDENT (feeds an action only)</t>
        </is>
      </c>
      <c r="F210" s="3" t="inlineStr">
        <is>
          <t>Its answer feeds another function, but no chain from it reaches a screen.</t>
        </is>
      </c>
      <c r="G210" s="3" t="inlineStr">
        <is>
          <t>No</t>
        </is>
      </c>
      <c r="H210" s="3" t="inlineStr">
        <is>
          <t>—</t>
        </is>
      </c>
      <c r="I210" s="3" t="n">
        <v>0</v>
      </c>
      <c r="J210" s="3" t="inlineStr">
        <is>
          <t>None — no dependent function stands behind it</t>
        </is>
      </c>
      <c r="K210" s="3" t="inlineStr">
        <is>
          <t>No dependent function — it reads its inputs and answers</t>
        </is>
      </c>
      <c r="L210" s="3" t="inlineStr">
        <is>
          <t>—</t>
        </is>
      </c>
      <c r="M210" s="3" t="inlineStr">
        <is>
          <t>—</t>
        </is>
      </c>
    </row>
    <row r="211">
      <c r="A211" s="3" t="inlineStr">
        <is>
          <t>MK-CF-F-050</t>
        </is>
      </c>
      <c r="B211" s="3" t="inlineStr">
        <is>
          <t>loadIncome</t>
        </is>
      </c>
      <c r="C211" s="3" t="inlineStr">
        <is>
          <t>src/domain/income/index.ts</t>
        </is>
      </c>
      <c r="D211" s="3" t="n">
        <v>19</v>
      </c>
      <c r="E211" s="3" t="inlineStr">
        <is>
          <t>3 · DEPENDENT (feeds an action only)</t>
        </is>
      </c>
      <c r="F211" s="3" t="inlineStr">
        <is>
          <t>Its answer feeds another function, but no chain from it reaches a screen.</t>
        </is>
      </c>
      <c r="G211" s="3" t="inlineStr">
        <is>
          <t>No</t>
        </is>
      </c>
      <c r="H211" s="3" t="inlineStr">
        <is>
          <t>—</t>
        </is>
      </c>
      <c r="I211" s="3" t="n">
        <v>0</v>
      </c>
      <c r="J211" s="3" t="inlineStr">
        <is>
          <t>None — no dependent function stands behind it</t>
        </is>
      </c>
      <c r="K211" s="3" t="inlineStr">
        <is>
          <t>No dependent function — it reads its inputs and answers</t>
        </is>
      </c>
      <c r="L211" s="3" t="inlineStr">
        <is>
          <t>—</t>
        </is>
      </c>
      <c r="M211" s="3" t="inlineStr">
        <is>
          <t>—</t>
        </is>
      </c>
    </row>
    <row r="212">
      <c r="A212" s="3" t="inlineStr">
        <is>
          <t>MK-XS-F-021</t>
        </is>
      </c>
      <c r="B212" s="3" t="inlineStr">
        <is>
          <t>loadProfile</t>
        </is>
      </c>
      <c r="C212" s="3" t="inlineStr">
        <is>
          <t>src/domain/profile/index.ts</t>
        </is>
      </c>
      <c r="D212" s="3" t="n">
        <v>17</v>
      </c>
      <c r="E212" s="3" t="inlineStr">
        <is>
          <t>3 · DEPENDENT (feeds an action only)</t>
        </is>
      </c>
      <c r="F212" s="3" t="inlineStr">
        <is>
          <t>Its answer feeds another function, but no chain from it reaches a screen.</t>
        </is>
      </c>
      <c r="G212" s="3" t="inlineStr">
        <is>
          <t>No</t>
        </is>
      </c>
      <c r="H212" s="3" t="inlineStr">
        <is>
          <t>—</t>
        </is>
      </c>
      <c r="I212" s="3" t="n">
        <v>0</v>
      </c>
      <c r="J212" s="3" t="inlineStr">
        <is>
          <t>None — no dependent function stands behind it</t>
        </is>
      </c>
      <c r="K212" s="3" t="inlineStr">
        <is>
          <t>No dependent function — it reads its inputs and answers</t>
        </is>
      </c>
      <c r="L212" s="3" t="inlineStr">
        <is>
          <t>—</t>
        </is>
      </c>
      <c r="M212" s="3" t="inlineStr">
        <is>
          <t>—</t>
        </is>
      </c>
    </row>
    <row r="213">
      <c r="A213" s="3" t="inlineStr">
        <is>
          <t>MK-XS-F-074</t>
        </is>
      </c>
      <c r="B213" s="3" t="inlineStr">
        <is>
          <t>loadUserData</t>
        </is>
      </c>
      <c r="C213" s="3" t="inlineStr">
        <is>
          <t>src/services/firebase.ts</t>
        </is>
      </c>
      <c r="D213" s="3" t="n">
        <v>224</v>
      </c>
      <c r="E213" s="3" t="inlineStr">
        <is>
          <t>4 · BRINGS DATA IN</t>
        </is>
      </c>
      <c r="F213" s="3" t="inlineStr">
        <is>
          <t>Reaches outside the app for its answer — a feed, a file or a stored record.</t>
        </is>
      </c>
      <c r="G213" s="3" t="inlineStr">
        <is>
          <t>Yes</t>
        </is>
      </c>
      <c r="H213" s="3" t="inlineStr">
        <is>
          <t>MK-XS-F-055 decryptFromSync</t>
        </is>
      </c>
      <c r="I213" s="3" t="n">
        <v>4</v>
      </c>
      <c r="J213" s="3" t="inlineStr">
        <is>
          <t>MK-XS-F-055 decryptFromSync · MK-XS-F-053 decryptWithKey · MK-XS-F-042 getDataKey · MK-XS-F-051 isEncrypted</t>
        </is>
      </c>
      <c r="K213" s="3" t="inlineStr">
        <is>
          <t>MK-XS-F-051 isEncrypted → MK-XS-F-053 decryptWithKey → MK-XS-F-055 decryptFromSync → MK-XS-F-074 loadUserData
MK-XS-F-042 getDataKey → MK-XS-F-055 decryptFromSync → MK-XS-F-074 loadUserData
MK-XS-F-051 isEncrypted → MK-XS-F-055 decryptFromSync → MK-XS-F-074 loadUserData</t>
        </is>
      </c>
      <c r="L213" s="3" t="inlineStr">
        <is>
          <t>—</t>
        </is>
      </c>
      <c r="M213" s="3" t="inlineStr">
        <is>
          <t>—</t>
        </is>
      </c>
    </row>
    <row r="214">
      <c r="A214" s="3" t="inlineStr">
        <is>
          <t>MK-XS-F-079</t>
        </is>
      </c>
      <c r="B214" s="3" t="inlineStr">
        <is>
          <t>loadUserRoot</t>
        </is>
      </c>
      <c r="C214" s="3" t="inlineStr">
        <is>
          <t>src/services/firebase.ts</t>
        </is>
      </c>
      <c r="D214" s="3" t="n">
        <v>281</v>
      </c>
      <c r="E214" s="3" t="inlineStr">
        <is>
          <t>4 · BRINGS DATA IN</t>
        </is>
      </c>
      <c r="F214" s="3" t="inlineStr">
        <is>
          <t>Reaches outside the app for its answer — a feed, a file or a stored record.</t>
        </is>
      </c>
      <c r="G214" s="3" t="inlineStr">
        <is>
          <t>Yes</t>
        </is>
      </c>
      <c r="H214" s="3" t="inlineStr">
        <is>
          <t>MK-XS-F-055 decryptFromSync</t>
        </is>
      </c>
      <c r="I214" s="3" t="n">
        <v>4</v>
      </c>
      <c r="J214" s="3" t="inlineStr">
        <is>
          <t>MK-XS-F-055 decryptFromSync · MK-XS-F-053 decryptWithKey · MK-XS-F-042 getDataKey · MK-XS-F-051 isEncrypted</t>
        </is>
      </c>
      <c r="K214" s="3" t="inlineStr">
        <is>
          <t>MK-XS-F-051 isEncrypted → MK-XS-F-053 decryptWithKey → MK-XS-F-055 decryptFromSync → MK-XS-F-079 loadUserRoot
MK-XS-F-042 getDataKey → MK-XS-F-055 decryptFromSync → MK-XS-F-079 loadUserRoot
MK-XS-F-051 isEncrypted → MK-XS-F-055 decryptFromSync → MK-XS-F-079 loadUserRoot</t>
        </is>
      </c>
      <c r="L214" s="3" t="inlineStr">
        <is>
          <t>—</t>
        </is>
      </c>
      <c r="M214" s="3" t="inlineStr">
        <is>
          <t>—</t>
        </is>
      </c>
    </row>
    <row r="215">
      <c r="A215" s="3" t="inlineStr">
        <is>
          <t>MK-CF-F-028</t>
        </is>
      </c>
      <c r="B215" s="3" t="inlineStr">
        <is>
          <t>loanPayment</t>
        </is>
      </c>
      <c r="C215" s="3" t="inlineStr">
        <is>
          <t>src/domain/debt/index.ts</t>
        </is>
      </c>
      <c r="D215" s="3" t="n">
        <v>74</v>
      </c>
      <c r="E215" s="3" t="inlineStr">
        <is>
          <t>2 · DISPLAYED</t>
        </is>
      </c>
      <c r="F215" s="3" t="inlineStr">
        <is>
          <t>A screen calls it directly, so its answer is on a screen.</t>
        </is>
      </c>
      <c r="G215" s="3" t="inlineStr">
        <is>
          <t>Yes</t>
        </is>
      </c>
      <c r="H215" s="3" t="inlineStr">
        <is>
          <t>MK-ST-F-055 round2</t>
        </is>
      </c>
      <c r="I215" s="3" t="n">
        <v>1</v>
      </c>
      <c r="J215" s="3" t="inlineStr">
        <is>
          <t>MK-ST-F-055 round2</t>
        </is>
      </c>
      <c r="K215" s="3" t="inlineStr">
        <is>
          <t>MK-ST-F-055 round2 → MK-CF-F-028 loanPayment</t>
        </is>
      </c>
      <c r="L215" s="3" t="inlineStr">
        <is>
          <t>—</t>
        </is>
      </c>
      <c r="M215" s="3" t="inlineStr">
        <is>
          <t>—</t>
        </is>
      </c>
    </row>
    <row r="216">
      <c r="A216" s="3" t="inlineStr">
        <is>
          <t>MK-XS-F-066</t>
        </is>
      </c>
      <c r="B216" s="3" t="inlineStr">
        <is>
          <t>loginUser</t>
        </is>
      </c>
      <c r="C216" s="3" t="inlineStr">
        <is>
          <t>src/services/firebase.ts</t>
        </is>
      </c>
      <c r="D216" s="3" t="n">
        <v>118</v>
      </c>
      <c r="E216" s="3" t="inlineStr">
        <is>
          <t>4 · BRINGS DATA IN</t>
        </is>
      </c>
      <c r="F216" s="3" t="inlineStr">
        <is>
          <t>Reaches outside the app for its answer — a feed, a file or a stored record.</t>
        </is>
      </c>
      <c r="G216" s="3" t="inlineStr">
        <is>
          <t>Yes</t>
        </is>
      </c>
      <c r="H216" s="3" t="inlineStr">
        <is>
          <t>MK-XS-F-041 cacheDataKey · MK-XS-F-044 generateDataKey · MK-XS-F-045 generateRecoveryCode · MK-XS-F-046 makeEnvelope · MK-XS-F-047 unwrapWithPassword</t>
        </is>
      </c>
      <c r="I216" s="3" t="n">
        <v>8</v>
      </c>
      <c r="J216" s="3" t="inlineStr">
        <is>
          <t>MK-XS-F-041 cacheDataKey · MK-XS-F-044 generateDataKey · MK-XS-F-045 generateRecoveryCode · MK-XS-F-046 makeEnvelope · MK-XS-F-047 unwrapWithPassword · MK-XS-F-052 encryptWithKey · MK-XS-F-053 decryptWithKey · MK-XS-F-051 isEncrypted</t>
        </is>
      </c>
      <c r="K216" s="3" t="inlineStr">
        <is>
          <t>MK-XS-F-041 cacheDataKey → MK-XS-F-066 loginUser
MK-XS-F-044 generateDataKey → MK-XS-F-066 loginUser
MK-XS-F-052 encryptWithKey → MK-XS-F-045 generateRecoveryCode → MK-XS-F-066 loginUser
MK-XS-F-046 makeEnvelope → MK-XS-F-066 loginUser
MK-XS-F-051 isEncrypted → MK-XS-F-053 decryptWithKey → MK-XS-F-047 unwrapWithPassword → MK-XS-F-066 loginUser</t>
        </is>
      </c>
      <c r="L216" s="3" t="inlineStr">
        <is>
          <t>—</t>
        </is>
      </c>
      <c r="M216" s="3" t="inlineStr">
        <is>
          <t>—</t>
        </is>
      </c>
    </row>
    <row r="217">
      <c r="A217" s="3" t="inlineStr">
        <is>
          <t>MK-XS-F-069</t>
        </is>
      </c>
      <c r="B217" s="3" t="inlineStr">
        <is>
          <t>logoutUser</t>
        </is>
      </c>
      <c r="C217" s="3" t="inlineStr">
        <is>
          <t>src/services/firebase.ts</t>
        </is>
      </c>
      <c r="D217" s="3" t="n">
        <v>173</v>
      </c>
      <c r="E217" s="3" t="inlineStr">
        <is>
          <t>1 · ACTION</t>
        </is>
      </c>
      <c r="F217" s="3" t="inlineStr">
        <is>
          <t>Produces nothing that is displayed — it does something: saves, syncs or records.</t>
        </is>
      </c>
      <c r="G217" s="3" t="inlineStr">
        <is>
          <t>Yes</t>
        </is>
      </c>
      <c r="H217" s="3" t="inlineStr">
        <is>
          <t>MK-XS-F-043 clearDataKey</t>
        </is>
      </c>
      <c r="I217" s="3" t="n">
        <v>1</v>
      </c>
      <c r="J217" s="3" t="inlineStr">
        <is>
          <t>MK-XS-F-043 clearDataKey</t>
        </is>
      </c>
      <c r="K217" s="3" t="inlineStr">
        <is>
          <t>MK-XS-F-043 clearDataKey → MK-XS-F-069 logoutUser</t>
        </is>
      </c>
      <c r="L217" s="3" t="inlineStr">
        <is>
          <t>—</t>
        </is>
      </c>
      <c r="M217" s="3" t="inlineStr">
        <is>
          <t>—</t>
        </is>
      </c>
    </row>
    <row r="218">
      <c r="A218" s="3" t="inlineStr">
        <is>
          <t>MK-PF-F-023</t>
        </is>
      </c>
      <c r="B218" s="3" t="inlineStr">
        <is>
          <t>lookBack</t>
        </is>
      </c>
      <c r="C218" s="3" t="inlineStr">
        <is>
          <t>src/domain/performance/lookBack.ts</t>
        </is>
      </c>
      <c r="D218" s="3" t="n">
        <v>32</v>
      </c>
      <c r="E218" s="3" t="inlineStr">
        <is>
          <t>2 · DISPLAYED</t>
        </is>
      </c>
      <c r="F218" s="3" t="inlineStr">
        <is>
          <t>A screen calls it directly, so its answer is on a screen.</t>
        </is>
      </c>
      <c r="G218" s="3" t="inlineStr">
        <is>
          <t>Yes</t>
        </is>
      </c>
      <c r="H218" s="3" t="inlineStr">
        <is>
          <t>MK-PF-F-022 factorOverMonths · MK-ST-F-055 round2</t>
        </is>
      </c>
      <c r="I218" s="3" t="n">
        <v>2</v>
      </c>
      <c r="J218" s="3" t="inlineStr">
        <is>
          <t>MK-PF-F-022 factorOverMonths · MK-ST-F-055 round2</t>
        </is>
      </c>
      <c r="K218" s="3" t="inlineStr">
        <is>
          <t>MK-PF-F-022 factorOverMonths → MK-PF-F-023 lookBack
MK-ST-F-055 round2 → MK-PF-F-023 lookBack</t>
        </is>
      </c>
      <c r="L218" s="3" t="inlineStr">
        <is>
          <t>MK-PF-M-010 · MK-PF-M-011 · MK-PF-M-012</t>
        </is>
      </c>
      <c r="M218" s="3" t="inlineStr">
        <is>
          <t>LOOK_BACK</t>
        </is>
      </c>
    </row>
    <row r="219">
      <c r="A219" s="3" t="inlineStr">
        <is>
          <t>MK-ST-F-001</t>
        </is>
      </c>
      <c r="B219" s="3" t="inlineStr">
        <is>
          <t>looksFixedIncome</t>
        </is>
      </c>
      <c r="C219" s="3" t="inlineStr">
        <is>
          <t>Calculation Module code/engines/classify.ts</t>
        </is>
      </c>
      <c r="D219" s="3" t="n">
        <v>175</v>
      </c>
      <c r="E219" s="3" t="inlineStr">
        <is>
          <t>3 · DEPENDENT (feeds an action only)</t>
        </is>
      </c>
      <c r="F219" s="3" t="inlineStr">
        <is>
          <t>Its answer feeds another function, but no chain from it reaches a screen.</t>
        </is>
      </c>
      <c r="G219" s="3" t="inlineStr">
        <is>
          <t>No</t>
        </is>
      </c>
      <c r="H219" s="3" t="inlineStr">
        <is>
          <t>—</t>
        </is>
      </c>
      <c r="I219" s="3" t="n">
        <v>0</v>
      </c>
      <c r="J219" s="3" t="inlineStr">
        <is>
          <t>None — no dependent function stands behind it</t>
        </is>
      </c>
      <c r="K219" s="3" t="inlineStr">
        <is>
          <t>No dependent function — it reads its inputs and answers</t>
        </is>
      </c>
      <c r="L219" s="3" t="inlineStr">
        <is>
          <t>—</t>
        </is>
      </c>
      <c r="M219" s="3" t="inlineStr">
        <is>
          <t>—</t>
        </is>
      </c>
    </row>
    <row r="220">
      <c r="A220" s="3" t="inlineStr">
        <is>
          <t>MK-XS-F-076</t>
        </is>
      </c>
      <c r="B220" s="3" t="inlineStr">
        <is>
          <t>lookupInvite</t>
        </is>
      </c>
      <c r="C220" s="3" t="inlineStr">
        <is>
          <t>src/services/firebase.ts</t>
        </is>
      </c>
      <c r="D220" s="3" t="n">
        <v>255</v>
      </c>
      <c r="E220" s="3" t="inlineStr">
        <is>
          <t>4 · BRINGS DATA IN</t>
        </is>
      </c>
      <c r="F220" s="3" t="inlineStr">
        <is>
          <t>Reaches outside the app for its answer — a feed, a file or a stored record.</t>
        </is>
      </c>
      <c r="G220" s="3" t="inlineStr">
        <is>
          <t>Yes</t>
        </is>
      </c>
      <c r="H220" s="3" t="inlineStr">
        <is>
          <t>—</t>
        </is>
      </c>
      <c r="I220" s="3" t="n">
        <v>0</v>
      </c>
      <c r="J220" s="3" t="inlineStr">
        <is>
          <t>None — no dependent function stands behind it</t>
        </is>
      </c>
      <c r="K220" s="3" t="inlineStr">
        <is>
          <t>No dependent function — it reads its inputs and answers</t>
        </is>
      </c>
      <c r="L220" s="3" t="inlineStr">
        <is>
          <t>—</t>
        </is>
      </c>
      <c r="M220" s="3" t="inlineStr">
        <is>
          <t>—</t>
        </is>
      </c>
    </row>
    <row r="221">
      <c r="A221" s="3" t="inlineStr">
        <is>
          <t>MK-CF-F-104</t>
        </is>
      </c>
      <c r="B221" s="3" t="inlineStr">
        <is>
          <t>ltcgRateFor</t>
        </is>
      </c>
      <c r="C221" s="3" t="inlineStr">
        <is>
          <t>src/domain/income/tax.ts</t>
        </is>
      </c>
      <c r="D221" s="3" t="n">
        <v>147</v>
      </c>
      <c r="E221" s="3" t="inlineStr">
        <is>
          <t>3 · DEPENDENT (feeds an action only)</t>
        </is>
      </c>
      <c r="F221" s="3" t="inlineStr">
        <is>
          <t>Its answer feeds another function, but no chain from it reaches a screen.</t>
        </is>
      </c>
      <c r="G221" s="3" t="inlineStr">
        <is>
          <t>No</t>
        </is>
      </c>
      <c r="H221" s="3" t="inlineStr">
        <is>
          <t>MK-CF-F-100 taxableIncomeFor</t>
        </is>
      </c>
      <c r="I221" s="3" t="n">
        <v>2</v>
      </c>
      <c r="J221" s="3" t="inlineStr">
        <is>
          <t>MK-CF-F-100 taxableIncomeFor · MK-CF-F-099 deductionFor</t>
        </is>
      </c>
      <c r="K221" s="3" t="inlineStr">
        <is>
          <t>MK-CF-F-099 deductionFor → MK-CF-F-100 taxableIncomeFor → MK-CF-F-104 ltcgRateFor</t>
        </is>
      </c>
      <c r="L221" s="3" t="inlineStr">
        <is>
          <t>—</t>
        </is>
      </c>
      <c r="M221" s="3" t="inlineStr">
        <is>
          <t>—</t>
        </is>
      </c>
    </row>
    <row r="222">
      <c r="A222" s="3" t="inlineStr">
        <is>
          <t>MK-XS-F-046</t>
        </is>
      </c>
      <c r="B222" s="3" t="inlineStr">
        <is>
          <t>makeEnvelope</t>
        </is>
      </c>
      <c r="C222" s="3" t="inlineStr">
        <is>
          <t>src/services/dataCrypto.ts</t>
        </is>
      </c>
      <c r="D222" s="3" t="n">
        <v>82</v>
      </c>
      <c r="E222" s="3" t="inlineStr">
        <is>
          <t>3 · DEPENDENT</t>
        </is>
      </c>
      <c r="F222" s="3" t="inlineStr">
        <is>
          <t>Its answer feeds another function, and that chain ends at a screen.</t>
        </is>
      </c>
      <c r="G222" s="3" t="inlineStr">
        <is>
          <t>Yes</t>
        </is>
      </c>
      <c r="H222" s="3" t="inlineStr">
        <is>
          <t>—</t>
        </is>
      </c>
      <c r="I222" s="3" t="n">
        <v>0</v>
      </c>
      <c r="J222" s="3" t="inlineStr">
        <is>
          <t>None — no dependent function stands behind it</t>
        </is>
      </c>
      <c r="K222" s="3" t="inlineStr">
        <is>
          <t>No dependent function — it reads its inputs and answers</t>
        </is>
      </c>
      <c r="L222" s="3" t="inlineStr">
        <is>
          <t>—</t>
        </is>
      </c>
      <c r="M222" s="3" t="inlineStr">
        <is>
          <t>—</t>
        </is>
      </c>
    </row>
    <row r="223">
      <c r="A223" s="3" t="inlineStr">
        <is>
          <t>MK-XS-F-007</t>
        </is>
      </c>
      <c r="B223" s="3" t="inlineStr">
        <is>
          <t>makeMonthlySnapshot</t>
        </is>
      </c>
      <c r="C223" s="3" t="inlineStr">
        <is>
          <t>src/domain/history.ts</t>
        </is>
      </c>
      <c r="D223" s="3" t="n">
        <v>66</v>
      </c>
      <c r="E223" s="3" t="inlineStr">
        <is>
          <t>2 · DISPLAYED</t>
        </is>
      </c>
      <c r="F223" s="3" t="inlineStr">
        <is>
          <t>A screen calls it directly, so its answer is on a screen.</t>
        </is>
      </c>
      <c r="G223" s="3" t="inlineStr">
        <is>
          <t>Yes</t>
        </is>
      </c>
      <c r="H223" s="3" t="inlineStr">
        <is>
          <t>MK-ST-F-055 round2</t>
        </is>
      </c>
      <c r="I223" s="3" t="n">
        <v>1</v>
      </c>
      <c r="J223" s="3" t="inlineStr">
        <is>
          <t>MK-ST-F-055 round2</t>
        </is>
      </c>
      <c r="K223" s="3" t="inlineStr">
        <is>
          <t>MK-ST-F-055 round2 → MK-XS-F-007 makeMonthlySnapshot</t>
        </is>
      </c>
      <c r="L223" s="3" t="inlineStr">
        <is>
          <t>—</t>
        </is>
      </c>
      <c r="M223" s="3" t="inlineStr">
        <is>
          <t>—</t>
        </is>
      </c>
    </row>
    <row r="224">
      <c r="A224" s="3" t="inlineStr">
        <is>
          <t>MK-CF-F-112</t>
        </is>
      </c>
      <c r="B224" s="3" t="inlineStr">
        <is>
          <t>makeTransaction</t>
        </is>
      </c>
      <c r="C224" s="3" t="inlineStr">
        <is>
          <t>src/domain/transactions/index.ts</t>
        </is>
      </c>
      <c r="D224" s="3" t="n">
        <v>169</v>
      </c>
      <c r="E224" s="3" t="inlineStr">
        <is>
          <t>3 · DEPENDENT (feeds an action only)</t>
        </is>
      </c>
      <c r="F224" s="3" t="inlineStr">
        <is>
          <t>Its answer feeds another function, but no chain from it reaches a screen.</t>
        </is>
      </c>
      <c r="G224" s="3" t="inlineStr">
        <is>
          <t>No</t>
        </is>
      </c>
      <c r="H224" s="3" t="inlineStr">
        <is>
          <t>MK-ST-F-043 newEntityId</t>
        </is>
      </c>
      <c r="I224" s="3" t="n">
        <v>1</v>
      </c>
      <c r="J224" s="3" t="inlineStr">
        <is>
          <t>MK-ST-F-043 newEntityId</t>
        </is>
      </c>
      <c r="K224" s="3" t="inlineStr">
        <is>
          <t>MK-ST-F-043 newEntityId → MK-CF-F-112 makeTransaction</t>
        </is>
      </c>
      <c r="L224" s="3" t="inlineStr">
        <is>
          <t>—</t>
        </is>
      </c>
      <c r="M224" s="3" t="inlineStr">
        <is>
          <t>—</t>
        </is>
      </c>
    </row>
    <row r="225">
      <c r="A225" s="3" t="inlineStr">
        <is>
          <t>MK-XS-F-104</t>
        </is>
      </c>
      <c r="B225" s="3" t="inlineStr">
        <is>
          <t>mapAccountType</t>
        </is>
      </c>
      <c r="C225" s="3" t="inlineStr">
        <is>
          <t>src/services/sync/snaptrade.ts</t>
        </is>
      </c>
      <c r="D225" s="3" t="n">
        <v>73</v>
      </c>
      <c r="E225" s="3" t="inlineStr">
        <is>
          <t>3 · DEPENDENT (feeds an action only)</t>
        </is>
      </c>
      <c r="F225" s="3" t="inlineStr">
        <is>
          <t>Its answer feeds another function, but no chain from it reaches a screen.</t>
        </is>
      </c>
      <c r="G225" s="3" t="inlineStr">
        <is>
          <t>No</t>
        </is>
      </c>
      <c r="H225" s="3" t="inlineStr">
        <is>
          <t>—</t>
        </is>
      </c>
      <c r="I225" s="3" t="n">
        <v>0</v>
      </c>
      <c r="J225" s="3" t="inlineStr">
        <is>
          <t>None — no dependent function stands behind it</t>
        </is>
      </c>
      <c r="K225" s="3" t="inlineStr">
        <is>
          <t>No dependent function — it reads its inputs and answers</t>
        </is>
      </c>
      <c r="L225" s="3" t="inlineStr">
        <is>
          <t>—</t>
        </is>
      </c>
      <c r="M225" s="3" t="inlineStr">
        <is>
          <t>ACCOUNT_TAX_TYPE_GUESS</t>
        </is>
      </c>
    </row>
    <row r="226">
      <c r="A226" s="3" t="inlineStr">
        <is>
          <t>MK-XS-F-107</t>
        </is>
      </c>
      <c r="B226" s="3" t="inlineStr">
        <is>
          <t>mapActivityType</t>
        </is>
      </c>
      <c r="C226" s="3" t="inlineStr">
        <is>
          <t>src/services/sync/snaptrade.ts</t>
        </is>
      </c>
      <c r="D226" s="3" t="n">
        <v>183</v>
      </c>
      <c r="E226" s="3" t="inlineStr">
        <is>
          <t>3 · DEPENDENT (feeds an action only)</t>
        </is>
      </c>
      <c r="F226" s="3" t="inlineStr">
        <is>
          <t>Its answer feeds another function, but no chain from it reaches a screen.</t>
        </is>
      </c>
      <c r="G226" s="3" t="inlineStr">
        <is>
          <t>No</t>
        </is>
      </c>
      <c r="H226" s="3" t="inlineStr">
        <is>
          <t>—</t>
        </is>
      </c>
      <c r="I226" s="3" t="n">
        <v>0</v>
      </c>
      <c r="J226" s="3" t="inlineStr">
        <is>
          <t>None — no dependent function stands behind it</t>
        </is>
      </c>
      <c r="K226" s="3" t="inlineStr">
        <is>
          <t>No dependent function — it reads its inputs and answers</t>
        </is>
      </c>
      <c r="L226" s="3" t="inlineStr">
        <is>
          <t>—</t>
        </is>
      </c>
      <c r="M226" s="3" t="inlineStr">
        <is>
          <t>TRANSLATE_BROKER_WORD</t>
        </is>
      </c>
    </row>
    <row r="227">
      <c r="A227" s="3" t="inlineStr">
        <is>
          <t>MK-XS-F-106</t>
        </is>
      </c>
      <c r="B227" s="3" t="inlineStr">
        <is>
          <t>mapOptionHolding</t>
        </is>
      </c>
      <c r="C227" s="3" t="inlineStr">
        <is>
          <t>src/services/sync/snaptrade.ts</t>
        </is>
      </c>
      <c r="D227" s="3" t="n">
        <v>152</v>
      </c>
      <c r="E227" s="3" t="inlineStr">
        <is>
          <t>3 · DEPENDENT (feeds an action only)</t>
        </is>
      </c>
      <c r="F227" s="3" t="inlineStr">
        <is>
          <t>Its answer feeds another function, but no chain from it reaches a screen.</t>
        </is>
      </c>
      <c r="G227" s="3" t="inlineStr">
        <is>
          <t>No</t>
        </is>
      </c>
      <c r="H227" s="3" t="inlineStr">
        <is>
          <t>—</t>
        </is>
      </c>
      <c r="I227" s="3" t="n">
        <v>0</v>
      </c>
      <c r="J227" s="3" t="inlineStr">
        <is>
          <t>None — no dependent function stands behind it</t>
        </is>
      </c>
      <c r="K227" s="3" t="inlineStr">
        <is>
          <t>No dependent function — it reads its inputs and answers</t>
        </is>
      </c>
      <c r="L227" s="3" t="inlineStr">
        <is>
          <t>—</t>
        </is>
      </c>
      <c r="M227" s="3" t="inlineStr">
        <is>
          <t>OPTION_HOLDING</t>
        </is>
      </c>
    </row>
    <row r="228">
      <c r="A228" s="3" t="inlineStr">
        <is>
          <t>MK-XS-F-105</t>
        </is>
      </c>
      <c r="B228" s="3" t="inlineStr">
        <is>
          <t>mapPosition</t>
        </is>
      </c>
      <c r="C228" s="3" t="inlineStr">
        <is>
          <t>src/services/sync/snaptrade.ts</t>
        </is>
      </c>
      <c r="D228" s="3" t="n">
        <v>116</v>
      </c>
      <c r="E228" s="3" t="inlineStr">
        <is>
          <t>3 · DEPENDENT (feeds an action only)</t>
        </is>
      </c>
      <c r="F228" s="3" t="inlineStr">
        <is>
          <t>Its answer feeds another function, but no chain from it reaches a screen.</t>
        </is>
      </c>
      <c r="G228" s="3" t="inlineStr">
        <is>
          <t>No</t>
        </is>
      </c>
      <c r="H228" s="3" t="inlineStr">
        <is>
          <t>MK-ST-F-011 classifyHoldingClass</t>
        </is>
      </c>
      <c r="I228" s="3" t="n">
        <v>2</v>
      </c>
      <c r="J228" s="3" t="inlineStr">
        <is>
          <t>MK-ST-F-011 classifyHoldingClass · MK-ST-F-010 nameEvidence</t>
        </is>
      </c>
      <c r="K228" s="3" t="inlineStr">
        <is>
          <t>MK-ST-F-010 nameEvidence → MK-ST-F-011 classifyHoldingClass → MK-XS-F-105 mapPosition</t>
        </is>
      </c>
      <c r="L228" s="3" t="inlineStr">
        <is>
          <t>—</t>
        </is>
      </c>
      <c r="M228" s="3" t="inlineStr">
        <is>
          <t>CLASS_FROM_BROKER</t>
        </is>
      </c>
    </row>
    <row r="229">
      <c r="A229" s="3" t="inlineStr">
        <is>
          <t>MK-CF-F-094</t>
        </is>
      </c>
      <c r="B229" s="3" t="inlineStr">
        <is>
          <t>marginalBracket</t>
        </is>
      </c>
      <c r="C229" s="3" t="inlineStr">
        <is>
          <t>src/domain/income/tax.ts</t>
        </is>
      </c>
      <c r="D229" s="3" t="n">
        <v>22</v>
      </c>
      <c r="E229" s="3" t="inlineStr">
        <is>
          <t>2 · DISPLAYED</t>
        </is>
      </c>
      <c r="F229" s="3" t="inlineStr">
        <is>
          <t>A screen calls it directly, so its answer is on a screen.</t>
        </is>
      </c>
      <c r="G229" s="3" t="inlineStr">
        <is>
          <t>Yes</t>
        </is>
      </c>
      <c r="H229" s="3" t="inlineStr">
        <is>
          <t>MK-CF-F-093 taxableIncome</t>
        </is>
      </c>
      <c r="I229" s="3" t="n">
        <v>1</v>
      </c>
      <c r="J229" s="3" t="inlineStr">
        <is>
          <t>MK-CF-F-093 taxableIncome</t>
        </is>
      </c>
      <c r="K229" s="3" t="inlineStr">
        <is>
          <t>MK-CF-F-093 taxableIncome → MK-CF-F-094 marginalBracket</t>
        </is>
      </c>
      <c r="L229" s="3" t="inlineStr">
        <is>
          <t>—</t>
        </is>
      </c>
      <c r="M229" s="3" t="inlineStr">
        <is>
          <t>—</t>
        </is>
      </c>
    </row>
    <row r="230">
      <c r="A230" s="3" t="inlineStr">
        <is>
          <t>MK-CF-F-103</t>
        </is>
      </c>
      <c r="B230" s="3" t="inlineStr">
        <is>
          <t>marginalBracketFor</t>
        </is>
      </c>
      <c r="C230" s="3" t="inlineStr">
        <is>
          <t>src/domain/income/tax.ts</t>
        </is>
      </c>
      <c r="D230" s="3" t="n">
        <v>134</v>
      </c>
      <c r="E230" s="3" t="inlineStr">
        <is>
          <t>3 · DEPENDENT (feeds an action only)</t>
        </is>
      </c>
      <c r="F230" s="3" t="inlineStr">
        <is>
          <t>Its answer feeds another function, but no chain from it reaches a screen.</t>
        </is>
      </c>
      <c r="G230" s="3" t="inlineStr">
        <is>
          <t>No</t>
        </is>
      </c>
      <c r="H230" s="3" t="inlineStr">
        <is>
          <t>MK-CF-F-100 taxableIncomeFor</t>
        </is>
      </c>
      <c r="I230" s="3" t="n">
        <v>2</v>
      </c>
      <c r="J230" s="3" t="inlineStr">
        <is>
          <t>MK-CF-F-100 taxableIncomeFor · MK-CF-F-099 deductionFor</t>
        </is>
      </c>
      <c r="K230" s="3" t="inlineStr">
        <is>
          <t>MK-CF-F-099 deductionFor → MK-CF-F-100 taxableIncomeFor → MK-CF-F-103 marginalBracketFor</t>
        </is>
      </c>
      <c r="L230" s="3" t="inlineStr">
        <is>
          <t>—</t>
        </is>
      </c>
      <c r="M230" s="3" t="inlineStr">
        <is>
          <t>—</t>
        </is>
      </c>
    </row>
    <row r="231">
      <c r="A231" s="3" t="inlineStr">
        <is>
          <t>MK-PF-F-004</t>
        </is>
      </c>
      <c r="B231" s="3" t="inlineStr">
        <is>
          <t>marketValue</t>
        </is>
      </c>
      <c r="C231" s="3" t="inlineStr">
        <is>
          <t>src/domain/performance/index.ts</t>
        </is>
      </c>
      <c r="D231" s="3" t="n">
        <v>47</v>
      </c>
      <c r="E231" s="3" t="inlineStr">
        <is>
          <t>3 · DEPENDENT</t>
        </is>
      </c>
      <c r="F231" s="3" t="inlineStr">
        <is>
          <t>Its answer feeds another function, and that chain ends at a screen.</t>
        </is>
      </c>
      <c r="G231" s="3" t="inlineStr">
        <is>
          <t>Yes</t>
        </is>
      </c>
      <c r="H231" s="3" t="inlineStr">
        <is>
          <t>MK-ST-F-055 round2 · MK-PF-F-001 totalShares</t>
        </is>
      </c>
      <c r="I231" s="3" t="n">
        <v>2</v>
      </c>
      <c r="J231" s="3" t="inlineStr">
        <is>
          <t>MK-ST-F-055 round2 · MK-PF-F-001 totalShares</t>
        </is>
      </c>
      <c r="K231" s="3" t="inlineStr">
        <is>
          <t>MK-ST-F-055 round2 → MK-PF-F-004 marketValue
MK-PF-F-001 totalShares → MK-PF-F-004 marketValue</t>
        </is>
      </c>
      <c r="L231" s="3" t="inlineStr">
        <is>
          <t>MK-NW-M-030 · MK-NW-M-040</t>
        </is>
      </c>
      <c r="M231" s="3" t="inlineStr">
        <is>
          <t>HOLDING_MARKET_VALUE</t>
        </is>
      </c>
    </row>
    <row r="232">
      <c r="A232" s="3" t="inlineStr">
        <is>
          <t>MK-XS-F-016</t>
        </is>
      </c>
      <c r="B232" s="3" t="inlineStr">
        <is>
          <t>matchImportAccount</t>
        </is>
      </c>
      <c r="C232" s="3" t="inlineStr">
        <is>
          <t>src/domain/import/holdingsImport.ts</t>
        </is>
      </c>
      <c r="D232" s="3" t="n">
        <v>224</v>
      </c>
      <c r="E232" s="3" t="inlineStr">
        <is>
          <t>2 · DISPLAYED</t>
        </is>
      </c>
      <c r="F232" s="3" t="inlineStr">
        <is>
          <t>A screen calls it directly, so its answer is on a screen.</t>
        </is>
      </c>
      <c r="G232" s="3" t="inlineStr">
        <is>
          <t>Yes</t>
        </is>
      </c>
      <c r="H232" s="3" t="inlineStr">
        <is>
          <t>—</t>
        </is>
      </c>
      <c r="I232" s="3" t="n">
        <v>0</v>
      </c>
      <c r="J232" s="3" t="inlineStr">
        <is>
          <t>None — no dependent function stands behind it</t>
        </is>
      </c>
      <c r="K232" s="3" t="inlineStr">
        <is>
          <t>No dependent function — it reads its inputs and answers</t>
        </is>
      </c>
      <c r="L232" s="3" t="inlineStr">
        <is>
          <t>—</t>
        </is>
      </c>
      <c r="M232" s="3" t="inlineStr">
        <is>
          <t>IMPORT_ACCOUNT_MATCH</t>
        </is>
      </c>
    </row>
    <row r="233">
      <c r="A233" s="3" t="inlineStr">
        <is>
          <t>MK-NW-F-009</t>
        </is>
      </c>
      <c r="B233" s="3" t="inlineStr">
        <is>
          <t>maturityClass</t>
        </is>
      </c>
      <c r="C233" s="3" t="inlineStr">
        <is>
          <t>src/domain/assets/index.ts</t>
        </is>
      </c>
      <c r="D233" s="3" t="n">
        <v>200</v>
      </c>
      <c r="E233" s="3" t="inlineStr">
        <is>
          <t>2 · DISPLAYED</t>
        </is>
      </c>
      <c r="F233" s="3" t="inlineStr">
        <is>
          <t>A screen calls it directly, so its answer is on a screen.</t>
        </is>
      </c>
      <c r="G233" s="3" t="inlineStr">
        <is>
          <t>Yes</t>
        </is>
      </c>
      <c r="H233" s="3" t="inlineStr">
        <is>
          <t>—</t>
        </is>
      </c>
      <c r="I233" s="3" t="n">
        <v>0</v>
      </c>
      <c r="J233" s="3" t="inlineStr">
        <is>
          <t>None — no dependent function stands behind it</t>
        </is>
      </c>
      <c r="K233" s="3" t="inlineStr">
        <is>
          <t>No dependent function — it reads its inputs and answers</t>
        </is>
      </c>
      <c r="L233" s="3" t="inlineStr">
        <is>
          <t>—</t>
        </is>
      </c>
      <c r="M233" s="3" t="inlineStr">
        <is>
          <t>MATURITY_MEANS_BOND</t>
        </is>
      </c>
    </row>
    <row r="234">
      <c r="A234" s="3" t="inlineStr">
        <is>
          <t>MK-ST-F-005</t>
        </is>
      </c>
      <c r="B234" s="3" t="inlineStr">
        <is>
          <t>measuredFromLabel</t>
        </is>
      </c>
      <c r="C234" s="3" t="inlineStr">
        <is>
          <t>Calculation Module code/engines/coverage.ts</t>
        </is>
      </c>
      <c r="D234" s="3" t="n">
        <v>90</v>
      </c>
      <c r="E234" s="3" t="inlineStr">
        <is>
          <t>2 · DISPLAYED</t>
        </is>
      </c>
      <c r="F234" s="3" t="inlineStr">
        <is>
          <t>A screen calls it directly, so its answer is on a screen.</t>
        </is>
      </c>
      <c r="G234" s="3" t="inlineStr">
        <is>
          <t>Yes</t>
        </is>
      </c>
      <c r="H234" s="3" t="inlineStr">
        <is>
          <t>MK-ST-F-003 dayWords · MK-ST-F-034 firstDate</t>
        </is>
      </c>
      <c r="I234" s="3" t="n">
        <v>3</v>
      </c>
      <c r="J234" s="3" t="inlineStr">
        <is>
          <t>MK-ST-F-003 dayWords · MK-ST-F-034 firstDate · MK-ST-F-002 monthWords</t>
        </is>
      </c>
      <c r="K234" s="3" t="inlineStr">
        <is>
          <t>MK-ST-F-002 monthWords → MK-ST-F-003 dayWords → MK-ST-F-005 measuredFromLabel
MK-ST-F-034 firstDate → MK-ST-F-005 measuredFromLabel</t>
        </is>
      </c>
      <c r="L234" s="3" t="inlineStr">
        <is>
          <t>—</t>
        </is>
      </c>
      <c r="M234" s="3" t="inlineStr">
        <is>
          <t>—</t>
        </is>
      </c>
    </row>
    <row r="235">
      <c r="A235" s="3" t="inlineStr">
        <is>
          <t>MK-XS-F-111</t>
        </is>
      </c>
      <c r="B235" s="3" t="inlineStr">
        <is>
          <t>mergeHistoryFrom</t>
        </is>
      </c>
      <c r="C235" s="3" t="inlineStr">
        <is>
          <t>src/services/sync/snaptrade.ts</t>
        </is>
      </c>
      <c r="D235" s="3" t="n">
        <v>284</v>
      </c>
      <c r="E235" s="3" t="inlineStr">
        <is>
          <t>3 · DEPENDENT (feeds an action only)</t>
        </is>
      </c>
      <c r="F235" s="3" t="inlineStr">
        <is>
          <t>Its answer feeds another function, but no chain from it reaches a screen.</t>
        </is>
      </c>
      <c r="G235" s="3" t="inlineStr">
        <is>
          <t>No</t>
        </is>
      </c>
      <c r="H235" s="3" t="inlineStr">
        <is>
          <t>—</t>
        </is>
      </c>
      <c r="I235" s="3" t="n">
        <v>0</v>
      </c>
      <c r="J235" s="3" t="inlineStr">
        <is>
          <t>None — no dependent function stands behind it</t>
        </is>
      </c>
      <c r="K235" s="3" t="inlineStr">
        <is>
          <t>No dependent function — it reads its inputs and answers</t>
        </is>
      </c>
      <c r="L235" s="3" t="inlineStr">
        <is>
          <t>MK-NW-M-022</t>
        </is>
      </c>
      <c r="M235" s="3" t="inlineStr">
        <is>
          <t>HISTORY_DEPTH</t>
        </is>
      </c>
    </row>
    <row r="236">
      <c r="A236" s="3" t="inlineStr">
        <is>
          <t>MK-HM-F-004</t>
        </is>
      </c>
      <c r="B236" s="3" t="inlineStr">
        <is>
          <t>milestoneCrossed</t>
        </is>
      </c>
      <c r="C236" s="3" t="inlineStr">
        <is>
          <t>src/domain/milestones.ts</t>
        </is>
      </c>
      <c r="D236" s="3" t="n">
        <v>34</v>
      </c>
      <c r="E236" s="3" t="inlineStr">
        <is>
          <t>2 · DISPLAYED</t>
        </is>
      </c>
      <c r="F236" s="3" t="inlineStr">
        <is>
          <t>A screen calls it directly, so its answer is on a screen.</t>
        </is>
      </c>
      <c r="G236" s="3" t="inlineStr">
        <is>
          <t>Yes</t>
        </is>
      </c>
      <c r="H236" s="3" t="inlineStr">
        <is>
          <t>MK-HM-F-003 milestoneFloor</t>
        </is>
      </c>
      <c r="I236" s="3" t="n">
        <v>1</v>
      </c>
      <c r="J236" s="3" t="inlineStr">
        <is>
          <t>MK-HM-F-003 milestoneFloor</t>
        </is>
      </c>
      <c r="K236" s="3" t="inlineStr">
        <is>
          <t>MK-HM-F-003 milestoneFloor → MK-HM-F-004 milestoneCrossed</t>
        </is>
      </c>
      <c r="L236" s="3" t="inlineStr">
        <is>
          <t>—</t>
        </is>
      </c>
      <c r="M236" s="3" t="inlineStr">
        <is>
          <t>—</t>
        </is>
      </c>
    </row>
    <row r="237">
      <c r="A237" s="3" t="inlineStr">
        <is>
          <t>MK-HM-F-003</t>
        </is>
      </c>
      <c r="B237" s="3" t="inlineStr">
        <is>
          <t>milestoneFloor</t>
        </is>
      </c>
      <c r="C237" s="3" t="inlineStr">
        <is>
          <t>src/domain/milestones.ts</t>
        </is>
      </c>
      <c r="D237" s="3" t="n">
        <v>23</v>
      </c>
      <c r="E237" s="3" t="inlineStr">
        <is>
          <t>2 · DISPLAYED</t>
        </is>
      </c>
      <c r="F237" s="3" t="inlineStr">
        <is>
          <t>A screen calls it directly, so its answer is on a screen.</t>
        </is>
      </c>
      <c r="G237" s="3" t="inlineStr">
        <is>
          <t>Yes</t>
        </is>
      </c>
      <c r="H237" s="3" t="inlineStr">
        <is>
          <t>—</t>
        </is>
      </c>
      <c r="I237" s="3" t="n">
        <v>0</v>
      </c>
      <c r="J237" s="3" t="inlineStr">
        <is>
          <t>None — no dependent function stands behind it</t>
        </is>
      </c>
      <c r="K237" s="3" t="inlineStr">
        <is>
          <t>No dependent function — it reads its inputs and answers</t>
        </is>
      </c>
      <c r="L237" s="3" t="inlineStr">
        <is>
          <t>—</t>
        </is>
      </c>
      <c r="M237" s="3" t="inlineStr">
        <is>
          <t>—</t>
        </is>
      </c>
    </row>
    <row r="238">
      <c r="A238" s="3" t="inlineStr">
        <is>
          <t>MK-HM-F-002</t>
        </is>
      </c>
      <c r="B238" s="3" t="inlineStr">
        <is>
          <t>milestoneLabel</t>
        </is>
      </c>
      <c r="C238" s="3" t="inlineStr">
        <is>
          <t>src/domain/milestones.ts</t>
        </is>
      </c>
      <c r="D238" s="3" t="n">
        <v>14</v>
      </c>
      <c r="E238" s="3" t="inlineStr">
        <is>
          <t>2 · DISPLAYED</t>
        </is>
      </c>
      <c r="F238" s="3" t="inlineStr">
        <is>
          <t>A screen calls it directly, so its answer is on a screen.</t>
        </is>
      </c>
      <c r="G238" s="3" t="inlineStr">
        <is>
          <t>Yes</t>
        </is>
      </c>
      <c r="H238" s="3" t="inlineStr">
        <is>
          <t>—</t>
        </is>
      </c>
      <c r="I238" s="3" t="n">
        <v>0</v>
      </c>
      <c r="J238" s="3" t="inlineStr">
        <is>
          <t>None — no dependent function stands behind it</t>
        </is>
      </c>
      <c r="K238" s="3" t="inlineStr">
        <is>
          <t>No dependent function — it reads its inputs and answers</t>
        </is>
      </c>
      <c r="L238" s="3" t="inlineStr">
        <is>
          <t>—</t>
        </is>
      </c>
      <c r="M238" s="3" t="inlineStr">
        <is>
          <t>—</t>
        </is>
      </c>
    </row>
    <row r="239">
      <c r="A239" s="3" t="inlineStr">
        <is>
          <t>MK-CF-F-025</t>
        </is>
      </c>
      <c r="B239" s="3" t="inlineStr">
        <is>
          <t>minimumDebtService</t>
        </is>
      </c>
      <c r="C239" s="3" t="inlineStr">
        <is>
          <t>src/domain/debt/index.ts</t>
        </is>
      </c>
      <c r="D239" s="3" t="n">
        <v>55</v>
      </c>
      <c r="E239" s="3" t="inlineStr">
        <is>
          <t>2 · DISPLAYED</t>
        </is>
      </c>
      <c r="F239" s="3" t="inlineStr">
        <is>
          <t>A screen calls it directly, so its answer is on a screen.</t>
        </is>
      </c>
      <c r="G239" s="3" t="inlineStr">
        <is>
          <t>Yes</t>
        </is>
      </c>
      <c r="H239" s="3" t="inlineStr">
        <is>
          <t>MK-CF-F-022 paymentShape · MK-ST-F-055 round2</t>
        </is>
      </c>
      <c r="I239" s="3" t="n">
        <v>3</v>
      </c>
      <c r="J239" s="3" t="inlineStr">
        <is>
          <t>MK-CF-F-022 paymentShape · MK-ST-F-055 round2 · MK-CF-F-021 defaultPaymentType</t>
        </is>
      </c>
      <c r="K239" s="3" t="inlineStr">
        <is>
          <t>MK-CF-F-021 defaultPaymentType → MK-CF-F-022 paymentShape → MK-CF-F-025 minimumDebtService
MK-ST-F-055 round2 → MK-CF-F-025 minimumDebtService</t>
        </is>
      </c>
      <c r="L239" s="3" t="inlineStr">
        <is>
          <t>—</t>
        </is>
      </c>
      <c r="M239" s="3" t="inlineStr">
        <is>
          <t>DEBT_MINIMUM_TOTAL</t>
        </is>
      </c>
    </row>
    <row r="240">
      <c r="A240" s="3" t="inlineStr">
        <is>
          <t>MK-ST-F-053</t>
        </is>
      </c>
      <c r="B240" s="3" t="inlineStr">
        <is>
          <t>money</t>
        </is>
      </c>
      <c r="C240" s="3" t="inlineStr">
        <is>
          <t>src/domain/_shared/num.ts</t>
        </is>
      </c>
      <c r="D240" s="3" t="n">
        <v>9</v>
      </c>
      <c r="E240" s="3" t="inlineStr">
        <is>
          <t>1 · ACTION</t>
        </is>
      </c>
      <c r="F240" s="3" t="inlineStr">
        <is>
          <t>Produces nothing that is displayed — it does something: saves, syncs or records.</t>
        </is>
      </c>
      <c r="G240" s="3" t="inlineStr">
        <is>
          <t>Yes</t>
        </is>
      </c>
      <c r="H240" s="3" t="inlineStr">
        <is>
          <t>MK-ST-F-049 formatMoney</t>
        </is>
      </c>
      <c r="I240" s="3" t="n">
        <v>3</v>
      </c>
      <c r="J240" s="3" t="inlineStr">
        <is>
          <t>MK-ST-F-049 formatMoney · MK-ST-F-048 currencySymbol · MK-ST-F-047 activeCurrency</t>
        </is>
      </c>
      <c r="K240" s="3" t="inlineStr">
        <is>
          <t>MK-ST-F-047 activeCurrency → MK-ST-F-048 currencySymbol → MK-ST-F-049 formatMoney → MK-ST-F-053 money</t>
        </is>
      </c>
      <c r="L240" s="3" t="inlineStr">
        <is>
          <t>—</t>
        </is>
      </c>
      <c r="M240" s="3" t="inlineStr">
        <is>
          <t>—</t>
        </is>
      </c>
    </row>
    <row r="241">
      <c r="A241" s="3" t="inlineStr">
        <is>
          <t>MK-ST-F-054</t>
        </is>
      </c>
      <c r="B241" s="3" t="inlineStr">
        <is>
          <t>money2</t>
        </is>
      </c>
      <c r="C241" s="3" t="inlineStr">
        <is>
          <t>src/domain/_shared/num.ts</t>
        </is>
      </c>
      <c r="D241" s="3" t="n">
        <v>11</v>
      </c>
      <c r="E241" s="3" t="inlineStr">
        <is>
          <t>1 · ACTION</t>
        </is>
      </c>
      <c r="F241" s="3" t="inlineStr">
        <is>
          <t>Produces nothing that is displayed — it does something: saves, syncs or records.</t>
        </is>
      </c>
      <c r="G241" s="3" t="inlineStr">
        <is>
          <t>Yes</t>
        </is>
      </c>
      <c r="H241" s="3" t="inlineStr">
        <is>
          <t>MK-ST-F-050 formatMoneyCents</t>
        </is>
      </c>
      <c r="I241" s="3" t="n">
        <v>3</v>
      </c>
      <c r="J241" s="3" t="inlineStr">
        <is>
          <t>MK-ST-F-050 formatMoneyCents · MK-ST-F-048 currencySymbol · MK-ST-F-047 activeCurrency</t>
        </is>
      </c>
      <c r="K241" s="3" t="inlineStr">
        <is>
          <t>MK-ST-F-047 activeCurrency → MK-ST-F-048 currencySymbol → MK-ST-F-050 formatMoneyCents → MK-ST-F-054 money2</t>
        </is>
      </c>
      <c r="L241" s="3" t="inlineStr">
        <is>
          <t>—</t>
        </is>
      </c>
      <c r="M241" s="3" t="inlineStr">
        <is>
          <t>—</t>
        </is>
      </c>
    </row>
    <row r="242">
      <c r="A242" s="3" t="inlineStr">
        <is>
          <t>MK-ST-F-051</t>
        </is>
      </c>
      <c r="B242" s="3" t="inlineStr">
        <is>
          <t>moneyCompact</t>
        </is>
      </c>
      <c r="C242" s="3" t="inlineStr">
        <is>
          <t>src/domain/_shared/money.ts</t>
        </is>
      </c>
      <c r="D242" s="3" t="n">
        <v>88</v>
      </c>
      <c r="E242" s="3" t="inlineStr">
        <is>
          <t>2 · DISPLAYED</t>
        </is>
      </c>
      <c r="F242" s="3" t="inlineStr">
        <is>
          <t>A screen calls it directly, so its answer is on a screen.</t>
        </is>
      </c>
      <c r="G242" s="3" t="inlineStr">
        <is>
          <t>Yes</t>
        </is>
      </c>
      <c r="H242" s="3" t="inlineStr">
        <is>
          <t>MK-ST-F-048 currencySymbol</t>
        </is>
      </c>
      <c r="I242" s="3" t="n">
        <v>2</v>
      </c>
      <c r="J242" s="3" t="inlineStr">
        <is>
          <t>MK-ST-F-048 currencySymbol · MK-ST-F-047 activeCurrency</t>
        </is>
      </c>
      <c r="K242" s="3" t="inlineStr">
        <is>
          <t>MK-ST-F-047 activeCurrency → MK-ST-F-048 currencySymbol → MK-ST-F-051 moneyCompact</t>
        </is>
      </c>
      <c r="L242" s="3" t="inlineStr">
        <is>
          <t>—</t>
        </is>
      </c>
      <c r="M242" s="3" t="inlineStr">
        <is>
          <t>—</t>
        </is>
      </c>
    </row>
    <row r="243">
      <c r="A243" s="3" t="inlineStr">
        <is>
          <t>MK-PF-F-026</t>
        </is>
      </c>
      <c r="B243" s="3" t="inlineStr">
        <is>
          <t>moneyWeightedReturn</t>
        </is>
      </c>
      <c r="C243" s="3" t="inlineStr">
        <is>
          <t>src/domain/performance/moneyWeighted.ts</t>
        </is>
      </c>
      <c r="D243" s="3" t="n">
        <v>80</v>
      </c>
      <c r="E243" s="3" t="inlineStr">
        <is>
          <t>2 · DISPLAYED</t>
        </is>
      </c>
      <c r="F243" s="3" t="inlineStr">
        <is>
          <t>A screen calls it directly, so its answer is on a screen.</t>
        </is>
      </c>
      <c r="G243" s="3" t="inlineStr">
        <is>
          <t>Yes</t>
        </is>
      </c>
      <c r="H243" s="3" t="inlineStr">
        <is>
          <t>MK-PF-F-025 historyIsComplete · MK-PF-F-024 userFlows</t>
        </is>
      </c>
      <c r="I243" s="3" t="n">
        <v>2</v>
      </c>
      <c r="J243" s="3" t="inlineStr">
        <is>
          <t>MK-PF-F-025 historyIsComplete · MK-PF-F-024 userFlows</t>
        </is>
      </c>
      <c r="K243" s="3" t="inlineStr">
        <is>
          <t>MK-PF-F-025 historyIsComplete → MK-PF-F-026 moneyWeightedReturn
MK-PF-F-024 userFlows → MK-PF-F-026 moneyWeightedReturn</t>
        </is>
      </c>
      <c r="L243" s="3" t="inlineStr">
        <is>
          <t>—</t>
        </is>
      </c>
      <c r="M243" s="3" t="inlineStr">
        <is>
          <t>PERSONAL_RETURN</t>
        </is>
      </c>
    </row>
    <row r="244">
      <c r="A244" s="3" t="inlineStr">
        <is>
          <t>MK-ST-F-002</t>
        </is>
      </c>
      <c r="B244" s="3" t="inlineStr">
        <is>
          <t>monthWords</t>
        </is>
      </c>
      <c r="C244" s="3" t="inlineStr">
        <is>
          <t>Calculation Module code/engines/coverage.ts</t>
        </is>
      </c>
      <c r="D244" s="3" t="n">
        <v>41</v>
      </c>
      <c r="E244" s="3" t="inlineStr">
        <is>
          <t>3 · DEPENDENT</t>
        </is>
      </c>
      <c r="F244" s="3" t="inlineStr">
        <is>
          <t>Its answer feeds another function, and that chain ends at a screen.</t>
        </is>
      </c>
      <c r="G244" s="3" t="inlineStr">
        <is>
          <t>Yes</t>
        </is>
      </c>
      <c r="H244" s="3" t="inlineStr">
        <is>
          <t>—</t>
        </is>
      </c>
      <c r="I244" s="3" t="n">
        <v>0</v>
      </c>
      <c r="J244" s="3" t="inlineStr">
        <is>
          <t>None — no dependent function stands behind it</t>
        </is>
      </c>
      <c r="K244" s="3" t="inlineStr">
        <is>
          <t>No dependent function — it reads its inputs and answers</t>
        </is>
      </c>
      <c r="L244" s="3" t="inlineStr">
        <is>
          <t>—</t>
        </is>
      </c>
      <c r="M244" s="3" t="inlineStr">
        <is>
          <t>—</t>
        </is>
      </c>
    </row>
    <row r="245">
      <c r="A245" s="3" t="inlineStr">
        <is>
          <t>MK-NW-F-041</t>
        </is>
      </c>
      <c r="B245" s="3" t="inlineStr">
        <is>
          <t>monthlyContributionsFromOnboarding</t>
        </is>
      </c>
      <c r="C245" s="3" t="inlineStr">
        <is>
          <t>src/domain/assets/index.ts</t>
        </is>
      </c>
      <c r="D245" s="3" t="n">
        <v>695</v>
      </c>
      <c r="E245" s="3" t="inlineStr">
        <is>
          <t>2 · DISPLAYED</t>
        </is>
      </c>
      <c r="F245" s="3" t="inlineStr">
        <is>
          <t>A screen calls it directly, so its answer is on a screen.</t>
        </is>
      </c>
      <c r="G245" s="3" t="inlineStr">
        <is>
          <t>Yes</t>
        </is>
      </c>
      <c r="H245" s="3" t="inlineStr">
        <is>
          <t>MK-CF-F-078 employerMatchMonthly · MK-ST-F-052 toNum</t>
        </is>
      </c>
      <c r="I245" s="3" t="n">
        <v>2</v>
      </c>
      <c r="J245" s="3" t="inlineStr">
        <is>
          <t>MK-CF-F-078 employerMatchMonthly · MK-ST-F-052 toNum</t>
        </is>
      </c>
      <c r="K245" s="3" t="inlineStr">
        <is>
          <t>MK-ST-F-052 toNum → MK-CF-F-078 employerMatchMonthly → MK-NW-F-041 monthlyContributionsFromOnboarding
MK-ST-F-052 toNum → MK-NW-F-041 monthlyContributionsFromOnboarding</t>
        </is>
      </c>
      <c r="L245" s="3" t="inlineStr">
        <is>
          <t>—</t>
        </is>
      </c>
      <c r="M245" s="3" t="inlineStr">
        <is>
          <t>MONTHLY_SAVING</t>
        </is>
      </c>
    </row>
    <row r="246">
      <c r="A246" s="3" t="inlineStr">
        <is>
          <t>MK-CF-F-009</t>
        </is>
      </c>
      <c r="B246" s="3" t="inlineStr">
        <is>
          <t>monthlyEssentials</t>
        </is>
      </c>
      <c r="C246" s="3" t="inlineStr">
        <is>
          <t>src/domain/budget/index.ts</t>
        </is>
      </c>
      <c r="D246" s="3" t="n">
        <v>158</v>
      </c>
      <c r="E246" s="3" t="inlineStr">
        <is>
          <t>2 · DISPLAYED</t>
        </is>
      </c>
      <c r="F246" s="3" t="inlineStr">
        <is>
          <t>A screen calls it directly, so its answer is on a screen.</t>
        </is>
      </c>
      <c r="G246" s="3" t="inlineStr">
        <is>
          <t>Yes</t>
        </is>
      </c>
      <c r="H246" s="3" t="inlineStr">
        <is>
          <t>MK-CF-F-002 plannedMonthlySpend · MK-ST-F-055 round2 · MK-CF-F-004 spendBuckets · MK-ST-F-052 toNum</t>
        </is>
      </c>
      <c r="I246" s="3" t="n">
        <v>38</v>
      </c>
      <c r="J246" s="3" t="inlineStr">
        <is>
          <t>MK-CF-F-002 plannedMonthlySpend · MK-ST-F-055 round2 · MK-CF-F-004 spendBuckets · MK-ST-F-052 toNum · MK-CF-F-092 incomeMonthlyGrid · MK-CF-F-003 categoryMonthly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246" s="3" t="inlineStr">
        <is>
          <t>MK-CF-F-069 benefitActiveMonths → MK-CF-F-092 incomeMonthlyGrid → MK-CF-F-002 plannedMonthlySpend → MK-CF-F-009 monthlyEssentials
MK-ST-F-052 toNum → MK-CF-F-075 retirementIncomeMonthly → MK-CF-F-072 currentRetirementIncomeMonthly → MK-CF-F-092 incomeMonthlyGrid → MK-CF-F-002 plannedMonthlySpend → MK-CF-F-009 monthlyEssentials
MK-ST-F-052 toNum → MK-CF-F-062 equityRowValue → MK-CF-F-065 equityVestWeights → MK-CF-F-092 incomeMonthlyGrid → MK-CF-F-002 plannedMonthlySpend → MK-CF-F-009 monthlyEssentials
MK-CF-F-069 benefitActiveMonths → MK-CF-F-070 benefitAnnual → MK-CF-F-071 extraIncome → MK-CF-F-092 incomeMonthlyGrid → MK-CF-F-002 plannedMonthlySpend → MK-CF-F-009 monthlyEssentials
MK-ST-F-052 toNum → MK-CF-F-070 benefitAnnual → MK-CF-F-071 extraIncome → MK-CF-F-092 incomeMonthlyGrid → MK-CF-F-002 plannedMonthlySpend → MK-CF-F-009 monthlyEssentials
MK-ST-F-055 round2 → MK-CF-F-071 extraIncome → MK-CF-F-092 incomeMonthlyGrid → MK-CF-F-002 plannedMonthlySpend → MK-CF-F-009 monthlyEssentials
MK-ST-F-052 toNum → MK-CF-F-071 extraIncome → MK-CF-F-092 incomeMonthlyGrid → MK-CF-F-002 plannedMonthlySpend → MK-CF-F-009 monthlyEssentials
MK-CF-F-102 effectiveRateOnGrossFor → MK-CF-F-090 effectiveRate → MK-CF-F-087 monthlyTaxRates → MK-CF-F-092 incomeMonthlyGrid → MK-CF-F-002 plannedMonthlySpend → MK-CF-F-009 monthlyEssentials
… and 38 more paths</t>
        </is>
      </c>
      <c r="L246" s="3" t="inlineStr">
        <is>
          <t>—</t>
        </is>
      </c>
      <c r="M246" s="3" t="inlineStr">
        <is>
          <t>—</t>
        </is>
      </c>
    </row>
    <row r="247">
      <c r="A247" s="3" t="inlineStr">
        <is>
          <t>MK-XS-F-029</t>
        </is>
      </c>
      <c r="B247" s="3" t="inlineStr">
        <is>
          <t>monthlySavings</t>
        </is>
      </c>
      <c r="C247" s="3" t="inlineStr">
        <is>
          <t>src/domain/savings/index.ts</t>
        </is>
      </c>
      <c r="D247" s="3" t="n">
        <v>29</v>
      </c>
      <c r="E247" s="3" t="inlineStr">
        <is>
          <t>2 · DISPLAYED</t>
        </is>
      </c>
      <c r="F247" s="3" t="inlineStr">
        <is>
          <t>A screen calls it directly, so its answer is on a screen.</t>
        </is>
      </c>
      <c r="G247" s="3" t="inlineStr">
        <is>
          <t>Yes</t>
        </is>
      </c>
      <c r="H247" s="3" t="inlineStr">
        <is>
          <t>MK-ST-F-055 round2 · MK-XS-F-028 surplusByMonth</t>
        </is>
      </c>
      <c r="I247" s="3" t="n">
        <v>45</v>
      </c>
      <c r="J247" s="3" t="inlineStr">
        <is>
          <t>MK-ST-F-055 round2 · MK-XS-F-028 surplusByMonth · MK-CF-F-026 actualDebtPayment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K247" s="3" t="inlineStr">
        <is>
          <t>MK-ST-F-055 round2 → MK-XS-F-029 monthlySavings
MK-ST-F-055 round2 → MK-CF-F-026 actualDebtPayment → MK-XS-F-028 surplusByMonth → MK-XS-F-029 monthlySavings
MK-CF-F-022 paymentShape → MK-CF-F-023 requiredPayment → MK-CF-F-024 totalDebtMonthly → MK-CF-F-026 actualDebtPayment → MK-XS-F-028 surplusByMonth → MK-XS-F-029 monthlySavings
MK-ST-F-055 round2 → MK-XS-F-028 surplusByMonth → MK-XS-F-029 monthlySavings
MK-CF-F-069 benefitActiveMonths → MK-CF-F-092 incomeMonthlyGrid → MK-CF-F-011 savingsByMonth → MK-XS-F-028 surplusByMonth → MK-XS-F-029 monthlySavings
MK-CF-F-075 retirementIncomeMonthly → MK-CF-F-072 currentRetirementIncomeMonthly → MK-CF-F-092 incomeMonthlyGrid → MK-CF-F-011 savingsByMonth → MK-XS-F-028 surplusByMonth → MK-XS-F-029 monthlySavings
MK-CF-F-062 equityRowValue → MK-CF-F-065 equityVestWeights → MK-CF-F-092 incomeMonthlyGrid → MK-CF-F-011 savingsByMonth → MK-XS-F-028 surplusByMonth → MK-XS-F-029 monthlySavings
MK-CF-F-070 benefitAnnual → MK-CF-F-071 extraIncome → MK-CF-F-092 incomeMonthlyGrid → MK-CF-F-011 savingsByMonth → MK-XS-F-028 surplusByMonth → MK-XS-F-029 monthlySavings
… and 24 more paths</t>
        </is>
      </c>
      <c r="L247" s="3" t="inlineStr">
        <is>
          <t>—</t>
        </is>
      </c>
      <c r="M247" s="3" t="inlineStr">
        <is>
          <t>—</t>
        </is>
      </c>
    </row>
    <row r="248">
      <c r="A248" s="3" t="inlineStr">
        <is>
          <t>MK-CF-F-087</t>
        </is>
      </c>
      <c r="B248" s="3" t="inlineStr">
        <is>
          <t>monthlyTaxRates</t>
        </is>
      </c>
      <c r="C248" s="3" t="inlineStr">
        <is>
          <t>src/domain/income/onboarding.ts</t>
        </is>
      </c>
      <c r="D248" s="3" t="n">
        <v>367</v>
      </c>
      <c r="E248" s="3" t="inlineStr">
        <is>
          <t>2 · DISPLAYED</t>
        </is>
      </c>
      <c r="F248" s="3" t="inlineStr">
        <is>
          <t>A screen calls it directly, so its answer is on a screen.</t>
        </is>
      </c>
      <c r="G248" s="3" t="inlineStr">
        <is>
          <t>Yes</t>
        </is>
      </c>
      <c r="H248" s="3" t="inlineStr">
        <is>
          <t>MK-CF-F-090 effectiveRate · MK-CF-F-085 filingStatusOf · MK-CF-F-089 over65CountOf · MK-CF-F-098 progressiveMonthlyTax · MK-CF-F-086 stateRateOf · MK-CF-F-088 taxableByCalendarMonth</t>
        </is>
      </c>
      <c r="I248" s="3" t="n">
        <v>32</v>
      </c>
      <c r="J248" s="3" t="inlineStr">
        <is>
          <t>MK-CF-F-090 effectiveRate · MK-CF-F-085 filingStatusOf · MK-CF-F-089 over65CountOf · MK-CF-F-098 progressiveMonthlyTax · MK-CF-F-086 stateRateOf · MK-CF-F-088 taxableByCalendarMonth · MK-CF-F-102 effectiveRateOnGrossFor · MK-CF-F-084 taxableAnnual · MK-ST-F-052 toNum · MK-CF-F-101 taxOwedFor · MK-CF-F-100 taxableIncomeFor · MK-CF-F-072 currentRetirementIncomeMonthly · MK-CF-F-065 equityVestWeights · MK-CF-F-071 extraIncome · MK-CF-F-073 otherIncomeMonth · MK-CF-F-068 rentalNetAnnual · MK-CF-F-066 rsuAnnual · MK-CF-F-060 salaryGrossByMonth · MK-CF-F-082 salaryAnnual · MK-CF-F-074 tipsAnnual · MK-CF-F-099 deductionFor · MK-CF-F-075 retirementIncomeMonthly · MK-CF-F-062 equityRowValue · MK-CF-F-070 benefitAnnual · MK-ST-F-055 round2 · MK-CF-F-067 rentalList · MK-CF-F-063 rowVestYear · MK-CF-F-097 grossFromNet · MK-CF-F-081 salaryActiveMonths · MK-CF-F-069 benefitActiveMonths · MK-CF-F-095 taxOwed · MK-CF-F-093 taxableIncome</t>
        </is>
      </c>
      <c r="K248" s="3" t="inlineStr">
        <is>
          <t>MK-CF-F-099 deductionFor → MK-CF-F-100 taxableIncomeFor → MK-CF-F-101 taxOwedFor → MK-CF-F-102 effectiveRateOnGrossFor → MK-CF-F-090 effectiveRate → MK-CF-F-087 monthlyTaxRates
MK-CF-F-085 filingStatusOf → MK-CF-F-090 effectiveRate → MK-CF-F-087 monthlyTaxRates
MK-ST-F-052 toNum → MK-CF-F-089 over65CountOf → MK-CF-F-090 effectiveRate → MK-CF-F-087 monthlyTaxRates
MK-ST-F-052 toNum → MK-CF-F-086 stateRateOf → MK-CF-F-090 effectiveRate → MK-CF-F-087 monthlyTaxRates
MK-ST-F-052 toNum → MK-CF-F-075 retirementIncomeMonthly → MK-CF-F-072 currentRetirementIncomeMonthly → MK-CF-F-084 taxableAnnual → MK-CF-F-090 effectiveRate → MK-CF-F-087 monthlyTaxRates
MK-CF-F-069 benefitActiveMonths → MK-CF-F-070 benefitAnnual → MK-CF-F-071 extraIncome → MK-CF-F-084 taxableAnnual → MK-CF-F-090 effectiveRate → MK-CF-F-087 monthlyTaxRates
MK-ST-F-052 toNum → MK-CF-F-070 benefitAnnual → MK-CF-F-071 extraIncome → MK-CF-F-084 taxableAnnual → MK-CF-F-090 effectiveRate → MK-CF-F-087 monthlyTaxRates
MK-ST-F-055 round2 → MK-CF-F-071 extraIncome → MK-CF-F-084 taxableAnnual → MK-CF-F-090 effectiveRate → MK-CF-F-087 monthlyTaxRates
… and 32 more paths</t>
        </is>
      </c>
      <c r="L248" s="3" t="inlineStr">
        <is>
          <t>—</t>
        </is>
      </c>
      <c r="M248" s="3" t="inlineStr">
        <is>
          <t>—</t>
        </is>
      </c>
    </row>
    <row r="249">
      <c r="A249" s="3" t="inlineStr">
        <is>
          <t>MK-CF-F-029</t>
        </is>
      </c>
      <c r="B249" s="3" t="inlineStr">
        <is>
          <t>monthsToClear</t>
        </is>
      </c>
      <c r="C249" s="3" t="inlineStr">
        <is>
          <t>src/domain/debt/index.ts</t>
        </is>
      </c>
      <c r="D249" s="3" t="n">
        <v>89</v>
      </c>
      <c r="E249" s="3" t="inlineStr">
        <is>
          <t>2 · DISPLAYED</t>
        </is>
      </c>
      <c r="F249" s="3" t="inlineStr">
        <is>
          <t>A screen calls it directly, so its answer is on a screen.</t>
        </is>
      </c>
      <c r="G249" s="3" t="inlineStr">
        <is>
          <t>Yes</t>
        </is>
      </c>
      <c r="H249" s="3" t="inlineStr">
        <is>
          <t>—</t>
        </is>
      </c>
      <c r="I249" s="3" t="n">
        <v>0</v>
      </c>
      <c r="J249" s="3" t="inlineStr">
        <is>
          <t>None — no dependent function stands behind it</t>
        </is>
      </c>
      <c r="K249" s="3" t="inlineStr">
        <is>
          <t>No dependent function — it reads its inputs and answers</t>
        </is>
      </c>
      <c r="L249" s="3" t="inlineStr">
        <is>
          <t>—</t>
        </is>
      </c>
      <c r="M249" s="3" t="inlineStr">
        <is>
          <t>—</t>
        </is>
      </c>
    </row>
    <row r="250">
      <c r="A250" s="3" t="inlineStr">
        <is>
          <t>MK-PL-F-021</t>
        </is>
      </c>
      <c r="B250" s="3" t="inlineStr">
        <is>
          <t>monthsToGoal</t>
        </is>
      </c>
      <c r="C250" s="3" t="inlineStr">
        <is>
          <t>src/domain/goals/index.ts</t>
        </is>
      </c>
      <c r="D250" s="3" t="n">
        <v>116</v>
      </c>
      <c r="E250" s="3" t="inlineStr">
        <is>
          <t>2 · DISPLAYED</t>
        </is>
      </c>
      <c r="F250" s="3" t="inlineStr">
        <is>
          <t>A screen calls it directly, so its answer is on a screen.</t>
        </is>
      </c>
      <c r="G250" s="3" t="inlineStr">
        <is>
          <t>Yes</t>
        </is>
      </c>
      <c r="H250" s="3" t="inlineStr">
        <is>
          <t>—</t>
        </is>
      </c>
      <c r="I250" s="3" t="n">
        <v>0</v>
      </c>
      <c r="J250" s="3" t="inlineStr">
        <is>
          <t>None — no dependent function stands behind it</t>
        </is>
      </c>
      <c r="K250" s="3" t="inlineStr">
        <is>
          <t>No dependent function — it reads its inputs and answers</t>
        </is>
      </c>
      <c r="L250" s="3" t="inlineStr">
        <is>
          <t>—</t>
        </is>
      </c>
      <c r="M250" s="3" t="inlineStr">
        <is>
          <t>—</t>
        </is>
      </c>
    </row>
    <row r="251">
      <c r="A251" s="3" t="inlineStr">
        <is>
          <t>MK-PL-F-018</t>
        </is>
      </c>
      <c r="B251" s="3" t="inlineStr">
        <is>
          <t>monthsUntil</t>
        </is>
      </c>
      <c r="C251" s="3" t="inlineStr">
        <is>
          <t>src/domain/goals/index.ts</t>
        </is>
      </c>
      <c r="D251" s="3" t="n">
        <v>92</v>
      </c>
      <c r="E251" s="3" t="inlineStr">
        <is>
          <t>2 · DISPLAYED</t>
        </is>
      </c>
      <c r="F251" s="3" t="inlineStr">
        <is>
          <t>A screen calls it directly, so its answer is on a screen.</t>
        </is>
      </c>
      <c r="G251" s="3" t="inlineStr">
        <is>
          <t>Yes</t>
        </is>
      </c>
      <c r="H251" s="3" t="inlineStr">
        <is>
          <t>—</t>
        </is>
      </c>
      <c r="I251" s="3" t="n">
        <v>0</v>
      </c>
      <c r="J251" s="3" t="inlineStr">
        <is>
          <t>None — no dependent function stands behind it</t>
        </is>
      </c>
      <c r="K251" s="3" t="inlineStr">
        <is>
          <t>No dependent function — it reads its inputs and answers</t>
        </is>
      </c>
      <c r="L251" s="3" t="inlineStr">
        <is>
          <t>—</t>
        </is>
      </c>
      <c r="M251" s="3" t="inlineStr">
        <is>
          <t>—</t>
        </is>
      </c>
    </row>
    <row r="252">
      <c r="A252" s="3" t="inlineStr">
        <is>
          <t>MK-CF-F-042</t>
        </is>
      </c>
      <c r="B252" s="3" t="inlineStr">
        <is>
          <t>mortgageOddsEffect</t>
        </is>
      </c>
      <c r="C252" s="3" t="inlineStr">
        <is>
          <t>src/domain/debt/mortgageOdds.ts</t>
        </is>
      </c>
      <c r="D252" s="3" t="n">
        <v>44</v>
      </c>
      <c r="E252" s="3" t="inlineStr">
        <is>
          <t>2 · DISPLAYED</t>
        </is>
      </c>
      <c r="F252" s="3" t="inlineStr">
        <is>
          <t>A screen calls it directly, so its answer is on a screen.</t>
        </is>
      </c>
      <c r="G252" s="3" t="inlineStr">
        <is>
          <t>Yes</t>
        </is>
      </c>
      <c r="H252" s="3" t="inlineStr">
        <is>
          <t>MK-CF-F-029 monthsToClear · MK-PL-F-050 simulate</t>
        </is>
      </c>
      <c r="I252" s="3" t="n">
        <v>5</v>
      </c>
      <c r="J252" s="3" t="inlineStr">
        <is>
          <t>MK-CF-F-029 monthsToClear · MK-PL-F-050 simulate · MK-ST-F-025 rmdStartAgeFromAge · MK-ST-F-055 round2 · MK-ST-F-024 rmdStartAge</t>
        </is>
      </c>
      <c r="K252" s="3" t="inlineStr">
        <is>
          <t>MK-CF-F-029 monthsToClear → MK-CF-F-042 mortgageOddsEffect
MK-ST-F-024 rmdStartAge → MK-ST-F-025 rmdStartAgeFromAge → MK-PL-F-050 simulate → MK-CF-F-042 mortgageOddsEffect
MK-ST-F-055 round2 → MK-PL-F-050 simulate → MK-CF-F-042 mortgageOddsEffect</t>
        </is>
      </c>
      <c r="L252" s="3" t="inlineStr">
        <is>
          <t>—</t>
        </is>
      </c>
      <c r="M252" s="3" t="inlineStr">
        <is>
          <t>—</t>
        </is>
      </c>
    </row>
    <row r="253">
      <c r="A253" s="3" t="inlineStr">
        <is>
          <t>MK-ST-F-010</t>
        </is>
      </c>
      <c r="B253" s="3" t="inlineStr">
        <is>
          <t>nameEvidence</t>
        </is>
      </c>
      <c r="C253" s="3" t="inlineStr">
        <is>
          <t>Calculation Module code/engines/holding-class.ts</t>
        </is>
      </c>
      <c r="D253" s="3" t="n">
        <v>52</v>
      </c>
      <c r="E253" s="3" t="inlineStr">
        <is>
          <t>3 · DEPENDENT</t>
        </is>
      </c>
      <c r="F253" s="3" t="inlineStr">
        <is>
          <t>Its answer feeds another function, and that chain ends at a screen.</t>
        </is>
      </c>
      <c r="G253" s="3" t="inlineStr">
        <is>
          <t>Yes</t>
        </is>
      </c>
      <c r="H253" s="3" t="inlineStr">
        <is>
          <t>—</t>
        </is>
      </c>
      <c r="I253" s="3" t="n">
        <v>0</v>
      </c>
      <c r="J253" s="3" t="inlineStr">
        <is>
          <t>None — no dependent function stands behind it</t>
        </is>
      </c>
      <c r="K253" s="3" t="inlineStr">
        <is>
          <t>No dependent function — it reads its inputs and answers</t>
        </is>
      </c>
      <c r="L253" s="3" t="inlineStr">
        <is>
          <t>—</t>
        </is>
      </c>
      <c r="M253" s="3" t="inlineStr">
        <is>
          <t>—</t>
        </is>
      </c>
    </row>
    <row r="254">
      <c r="A254" s="3" t="inlineStr">
        <is>
          <t>MK-XS-F-110</t>
        </is>
      </c>
      <c r="B254" s="3" t="inlineStr">
        <is>
          <t>netCashSleeve</t>
        </is>
      </c>
      <c r="C254" s="3" t="inlineStr">
        <is>
          <t>src/services/sync/snaptrade.ts</t>
        </is>
      </c>
      <c r="D254" s="3" t="n">
        <v>271</v>
      </c>
      <c r="E254" s="3" t="inlineStr">
        <is>
          <t>3 · DEPENDENT (feeds an action only)</t>
        </is>
      </c>
      <c r="F254" s="3" t="inlineStr">
        <is>
          <t>Its answer feeds another function, but no chain from it reaches a screen.</t>
        </is>
      </c>
      <c r="G254" s="3" t="inlineStr">
        <is>
          <t>No</t>
        </is>
      </c>
      <c r="H254" s="3" t="inlineStr">
        <is>
          <t>—</t>
        </is>
      </c>
      <c r="I254" s="3" t="n">
        <v>0</v>
      </c>
      <c r="J254" s="3" t="inlineStr">
        <is>
          <t>None — no dependent function stands behind it</t>
        </is>
      </c>
      <c r="K254" s="3" t="inlineStr">
        <is>
          <t>No dependent function — it reads its inputs and answers</t>
        </is>
      </c>
      <c r="L254" s="3" t="inlineStr">
        <is>
          <t>—</t>
        </is>
      </c>
      <c r="M254" s="3" t="inlineStr">
        <is>
          <t>UNINVESTED_CASH</t>
        </is>
      </c>
    </row>
    <row r="255">
      <c r="A255" s="3" t="inlineStr">
        <is>
          <t>MK-ST-F-043</t>
        </is>
      </c>
      <c r="B255" s="3" t="inlineStr">
        <is>
          <t>newEntityId</t>
        </is>
      </c>
      <c r="C255" s="3" t="inlineStr">
        <is>
          <t>src/domain/_shared/ids.ts</t>
        </is>
      </c>
      <c r="D255" s="3" t="n">
        <v>6</v>
      </c>
      <c r="E255" s="3" t="inlineStr">
        <is>
          <t>2 · DISPLAYED</t>
        </is>
      </c>
      <c r="F255" s="3" t="inlineStr">
        <is>
          <t>A screen calls it directly, so its answer is on a screen.</t>
        </is>
      </c>
      <c r="G255" s="3" t="inlineStr">
        <is>
          <t>Yes</t>
        </is>
      </c>
      <c r="H255" s="3" t="inlineStr">
        <is>
          <t>—</t>
        </is>
      </c>
      <c r="I255" s="3" t="n">
        <v>0</v>
      </c>
      <c r="J255" s="3" t="inlineStr">
        <is>
          <t>None — no dependent function stands behind it</t>
        </is>
      </c>
      <c r="K255" s="3" t="inlineStr">
        <is>
          <t>No dependent function — it reads its inputs and answers</t>
        </is>
      </c>
      <c r="L255" s="3" t="inlineStr">
        <is>
          <t>—</t>
        </is>
      </c>
      <c r="M255" s="3" t="inlineStr">
        <is>
          <t>NEW_ID</t>
        </is>
      </c>
    </row>
    <row r="256">
      <c r="A256" s="3" t="inlineStr">
        <is>
          <t>MK-PL-F-027</t>
        </is>
      </c>
      <c r="B256" s="3" t="inlineStr">
        <is>
          <t>nextDecision</t>
        </is>
      </c>
      <c r="C256" s="3" t="inlineStr">
        <is>
          <t>src/domain/planning/hub.ts</t>
        </is>
      </c>
      <c r="D256" s="3" t="n">
        <v>78</v>
      </c>
      <c r="E256" s="3" t="inlineStr">
        <is>
          <t>2 · DISPLAYED</t>
        </is>
      </c>
      <c r="F256" s="3" t="inlineStr">
        <is>
          <t>A screen calls it directly, so its answer is on a screen.</t>
        </is>
      </c>
      <c r="G256" s="3" t="inlineStr">
        <is>
          <t>Yes</t>
        </is>
      </c>
      <c r="H256" s="3" t="inlineStr">
        <is>
          <t>MK-PL-F-007 rmdAtAge · MK-PL-F-005 rmdStartAgeFor · MK-PL-F-009 rmdTakenThisYear</t>
        </is>
      </c>
      <c r="I256" s="3" t="n">
        <v>7</v>
      </c>
      <c r="J256" s="3" t="inlineStr">
        <is>
          <t>MK-PL-F-007 rmdAtAge · MK-PL-F-005 rmdStartAgeFor · MK-PL-F-009 rmdTakenThisYear · MK-PL-F-006 rmdDivisor · MK-ST-F-055 round2 · MK-ST-F-025 rmdStartAgeFromAge · MK-ST-F-024 rmdStartAge</t>
        </is>
      </c>
      <c r="K256" s="3" t="inlineStr">
        <is>
          <t>MK-PL-F-006 rmdDivisor → MK-PL-F-007 rmdAtAge → MK-PL-F-027 nextDecision
MK-ST-F-055 round2 → MK-PL-F-007 rmdAtAge → MK-PL-F-027 nextDecision
MK-ST-F-024 rmdStartAge → MK-ST-F-025 rmdStartAgeFromAge → MK-PL-F-005 rmdStartAgeFor → MK-PL-F-027 nextDecision
MK-ST-F-055 round2 → MK-PL-F-009 rmdTakenThisYear → MK-PL-F-027 nextDecision</t>
        </is>
      </c>
      <c r="L256" s="3" t="inlineStr">
        <is>
          <t>—</t>
        </is>
      </c>
      <c r="M256" s="3" t="inlineStr">
        <is>
          <t>—</t>
        </is>
      </c>
    </row>
    <row r="257">
      <c r="A257" s="3" t="inlineStr">
        <is>
          <t>MK-CF-F-007</t>
        </is>
      </c>
      <c r="B257" s="3" t="inlineStr">
        <is>
          <t>nonMonthlyBasis</t>
        </is>
      </c>
      <c r="C257" s="3" t="inlineStr">
        <is>
          <t>src/domain/budget/index.ts</t>
        </is>
      </c>
      <c r="D257" s="3" t="n">
        <v>117</v>
      </c>
      <c r="E257" s="3" t="inlineStr">
        <is>
          <t>2 · DISPLAYED</t>
        </is>
      </c>
      <c r="F257" s="3" t="inlineStr">
        <is>
          <t>A screen calls it directly, so its answer is on a screen.</t>
        </is>
      </c>
      <c r="G257" s="3" t="inlineStr">
        <is>
          <t>Yes</t>
        </is>
      </c>
      <c r="H257" s="3" t="inlineStr">
        <is>
          <t>MK-ST-F-052 toNum</t>
        </is>
      </c>
      <c r="I257" s="3" t="n">
        <v>1</v>
      </c>
      <c r="J257" s="3" t="inlineStr">
        <is>
          <t>MK-ST-F-052 toNum</t>
        </is>
      </c>
      <c r="K257" s="3" t="inlineStr">
        <is>
          <t>MK-ST-F-052 toNum → MK-CF-F-007 nonMonthlyBasis</t>
        </is>
      </c>
      <c r="L257" s="3" t="inlineStr">
        <is>
          <t>—</t>
        </is>
      </c>
      <c r="M257" s="3" t="inlineStr">
        <is>
          <t>—</t>
        </is>
      </c>
    </row>
    <row r="258">
      <c r="A258" s="3" t="inlineStr">
        <is>
          <t>MK-XS-F-008</t>
        </is>
      </c>
      <c r="B258" s="3" t="inlineStr">
        <is>
          <t>normalizeSnapshot</t>
        </is>
      </c>
      <c r="C258" s="3" t="inlineStr">
        <is>
          <t>src/domain/history.ts</t>
        </is>
      </c>
      <c r="D258" s="3" t="n">
        <v>77</v>
      </c>
      <c r="E258" s="3" t="inlineStr">
        <is>
          <t>3 · DEPENDENT</t>
        </is>
      </c>
      <c r="F258" s="3" t="inlineStr">
        <is>
          <t>Its answer feeds another function, and that chain ends at a screen.</t>
        </is>
      </c>
      <c r="G258" s="3" t="inlineStr">
        <is>
          <t>Yes</t>
        </is>
      </c>
      <c r="H258" s="3" t="inlineStr">
        <is>
          <t>MK-ST-F-055 round2</t>
        </is>
      </c>
      <c r="I258" s="3" t="n">
        <v>1</v>
      </c>
      <c r="J258" s="3" t="inlineStr">
        <is>
          <t>MK-ST-F-055 round2</t>
        </is>
      </c>
      <c r="K258" s="3" t="inlineStr">
        <is>
          <t>MK-ST-F-055 round2 → MK-XS-F-008 normalizeSnapshot</t>
        </is>
      </c>
      <c r="L258" s="3" t="inlineStr">
        <is>
          <t>—</t>
        </is>
      </c>
      <c r="M258" s="3" t="inlineStr">
        <is>
          <t>SNAPSHOT_READ_ONE</t>
        </is>
      </c>
    </row>
    <row r="259">
      <c r="A259" s="3" t="inlineStr">
        <is>
          <t>MK-XS-F-095</t>
        </is>
      </c>
      <c r="B259" s="3" t="inlineStr">
        <is>
          <t>ocrAvailable</t>
        </is>
      </c>
      <c r="C259" s="3" t="inlineStr">
        <is>
          <t>src/services/receiptScan.ts</t>
        </is>
      </c>
      <c r="D259" s="3" t="n">
        <v>9</v>
      </c>
      <c r="E259" s="3" t="inlineStr">
        <is>
          <t>2 · DISPLAYED</t>
        </is>
      </c>
      <c r="F259" s="3" t="inlineStr">
        <is>
          <t>A screen calls it directly, so its answer is on a screen.</t>
        </is>
      </c>
      <c r="G259" s="3" t="inlineStr">
        <is>
          <t>Yes</t>
        </is>
      </c>
      <c r="H259" s="3" t="inlineStr">
        <is>
          <t>—</t>
        </is>
      </c>
      <c r="I259" s="3" t="n">
        <v>0</v>
      </c>
      <c r="J259" s="3" t="inlineStr">
        <is>
          <t>None — no dependent function stands behind it</t>
        </is>
      </c>
      <c r="K259" s="3" t="inlineStr">
        <is>
          <t>No dependent function — it reads its inputs and answers</t>
        </is>
      </c>
      <c r="L259" s="3" t="inlineStr">
        <is>
          <t>—</t>
        </is>
      </c>
      <c r="M259" s="3" t="inlineStr">
        <is>
          <t>—</t>
        </is>
      </c>
    </row>
    <row r="260">
      <c r="A260" s="3" t="inlineStr">
        <is>
          <t>MK-XS-F-097</t>
        </is>
      </c>
      <c r="B260" s="3" t="inlineStr">
        <is>
          <t>ocrReceipt</t>
        </is>
      </c>
      <c r="C260" s="3" t="inlineStr">
        <is>
          <t>src/services/receiptScan.ts</t>
        </is>
      </c>
      <c r="D260" s="3" t="n">
        <v>78</v>
      </c>
      <c r="E260" s="3" t="inlineStr">
        <is>
          <t>2 · DISPLAYED (presentation only)</t>
        </is>
      </c>
      <c r="F260" s="3" t="inlineStr">
        <is>
          <t>A screen calls it, but it only changes how a value LOOKS — it does no arithmetic.</t>
        </is>
      </c>
      <c r="G260" s="3" t="inlineStr">
        <is>
          <t>Yes</t>
        </is>
      </c>
      <c r="H260" s="3" t="inlineStr">
        <is>
          <t>MK-XS-F-095 ocrAvailable · MK-XS-F-058 parseReceipt</t>
        </is>
      </c>
      <c r="I260" s="3" t="n">
        <v>2</v>
      </c>
      <c r="J260" s="3" t="inlineStr">
        <is>
          <t>MK-XS-F-095 ocrAvailable · MK-XS-F-058 parseReceipt</t>
        </is>
      </c>
      <c r="K260" s="3" t="inlineStr">
        <is>
          <t>MK-XS-F-095 ocrAvailable → MK-XS-F-097 ocrReceipt
MK-XS-F-058 parseReceipt → MK-XS-F-097 ocrReceipt</t>
        </is>
      </c>
      <c r="L260" s="3" t="inlineStr">
        <is>
          <t>—</t>
        </is>
      </c>
      <c r="M260" s="3" t="inlineStr">
        <is>
          <t>—</t>
        </is>
      </c>
    </row>
    <row r="261">
      <c r="A261" s="3" t="inlineStr">
        <is>
          <t>MK-PL-F-024</t>
        </is>
      </c>
      <c r="B261" s="3" t="inlineStr">
        <is>
          <t>oddsLine</t>
        </is>
      </c>
      <c r="C261" s="3" t="inlineStr">
        <is>
          <t>src/domain/planning/hub.ts</t>
        </is>
      </c>
      <c r="D261" s="3" t="n">
        <v>30</v>
      </c>
      <c r="E261" s="3" t="inlineStr">
        <is>
          <t>2 · DISPLAYED</t>
        </is>
      </c>
      <c r="F261" s="3" t="inlineStr">
        <is>
          <t>A screen calls it directly, so its answer is on a screen.</t>
        </is>
      </c>
      <c r="G261" s="3" t="inlineStr">
        <is>
          <t>Yes</t>
        </is>
      </c>
      <c r="H261" s="3" t="inlineStr">
        <is>
          <t>—</t>
        </is>
      </c>
      <c r="I261" s="3" t="n">
        <v>0</v>
      </c>
      <c r="J261" s="3" t="inlineStr">
        <is>
          <t>None — no dependent function stands behind it</t>
        </is>
      </c>
      <c r="K261" s="3" t="inlineStr">
        <is>
          <t>No dependent function — it reads its inputs and answers</t>
        </is>
      </c>
      <c r="L261" s="3" t="inlineStr">
        <is>
          <t>—</t>
        </is>
      </c>
      <c r="M261" s="3" t="inlineStr">
        <is>
          <t>ODDS_SENTENCE</t>
        </is>
      </c>
    </row>
    <row r="262">
      <c r="A262" s="3" t="inlineStr">
        <is>
          <t>MK-ST-F-039</t>
        </is>
      </c>
      <c r="B262" s="3" t="inlineStr">
        <is>
          <t>on</t>
        </is>
      </c>
      <c r="C262" s="3" t="inlineStr">
        <is>
          <t>src/domain/_shared/eventBus.ts</t>
        </is>
      </c>
      <c r="D262" s="3" t="n">
        <v>8</v>
      </c>
      <c r="E262" s="3" t="inlineStr">
        <is>
          <t>2 · DISPLAYED</t>
        </is>
      </c>
      <c r="F262" s="3" t="inlineStr">
        <is>
          <t>A screen calls it directly, so its answer is on a screen.</t>
        </is>
      </c>
      <c r="G262" s="3" t="inlineStr">
        <is>
          <t>Yes</t>
        </is>
      </c>
      <c r="H262" s="3" t="inlineStr">
        <is>
          <t>—</t>
        </is>
      </c>
      <c r="I262" s="3" t="n">
        <v>0</v>
      </c>
      <c r="J262" s="3" t="inlineStr">
        <is>
          <t>None — no dependent function stands behind it</t>
        </is>
      </c>
      <c r="K262" s="3" t="inlineStr">
        <is>
          <t>No dependent function — it reads its inputs and answers</t>
        </is>
      </c>
      <c r="L262" s="3" t="inlineStr">
        <is>
          <t>—</t>
        </is>
      </c>
      <c r="M262" s="3" t="inlineStr">
        <is>
          <t>—</t>
        </is>
      </c>
    </row>
    <row r="263">
      <c r="A263" s="3" t="inlineStr">
        <is>
          <t>MK-XS-F-071</t>
        </is>
      </c>
      <c r="B263" s="3" t="inlineStr">
        <is>
          <t>onAuthChange</t>
        </is>
      </c>
      <c r="C263" s="3" t="inlineStr">
        <is>
          <t>src/services/firebase.ts</t>
        </is>
      </c>
      <c r="D263" s="3" t="n">
        <v>182</v>
      </c>
      <c r="E263" s="3" t="inlineStr">
        <is>
          <t>2 · DISPLAYED</t>
        </is>
      </c>
      <c r="F263" s="3" t="inlineStr">
        <is>
          <t>A screen calls it directly, so its answer is on a screen.</t>
        </is>
      </c>
      <c r="G263" s="3" t="inlineStr">
        <is>
          <t>Yes</t>
        </is>
      </c>
      <c r="H263" s="3" t="inlineStr">
        <is>
          <t>—</t>
        </is>
      </c>
      <c r="I263" s="3" t="n">
        <v>0</v>
      </c>
      <c r="J263" s="3" t="inlineStr">
        <is>
          <t>None — no dependent function stands behind it</t>
        </is>
      </c>
      <c r="K263" s="3" t="inlineStr">
        <is>
          <t>No dependent function — it reads its inputs and answers</t>
        </is>
      </c>
      <c r="L263" s="3" t="inlineStr">
        <is>
          <t>—</t>
        </is>
      </c>
      <c r="M263" s="3" t="inlineStr">
        <is>
          <t>—</t>
        </is>
      </c>
    </row>
    <row r="264">
      <c r="A264" s="3" t="inlineStr">
        <is>
          <t>MK-PL-F-030</t>
        </is>
      </c>
      <c r="B264" s="3" t="inlineStr">
        <is>
          <t>onCourseSentence</t>
        </is>
      </c>
      <c r="C264" s="3" t="inlineStr">
        <is>
          <t>src/domain/planning/hub.ts</t>
        </is>
      </c>
      <c r="D264" s="3" t="n">
        <v>165</v>
      </c>
      <c r="E264" s="3" t="inlineStr">
        <is>
          <t>2 · DISPLAYED</t>
        </is>
      </c>
      <c r="F264" s="3" t="inlineStr">
        <is>
          <t>A screen calls it directly, so its answer is on a screen.</t>
        </is>
      </c>
      <c r="G264" s="3" t="inlineStr">
        <is>
          <t>Yes</t>
        </is>
      </c>
      <c r="H264" s="3" t="inlineStr">
        <is>
          <t>MK-ST-F-053 money</t>
        </is>
      </c>
      <c r="I264" s="3" t="n">
        <v>4</v>
      </c>
      <c r="J264" s="3" t="inlineStr">
        <is>
          <t>MK-ST-F-053 money · MK-ST-F-049 formatMoney · MK-ST-F-048 currencySymbol · MK-ST-F-047 activeCurrency</t>
        </is>
      </c>
      <c r="K264" s="3" t="inlineStr">
        <is>
          <t>MK-ST-F-047 activeCurrency → MK-ST-F-048 currencySymbol → MK-ST-F-049 formatMoney → MK-ST-F-053 money → MK-PL-F-030 onCourseSentence</t>
        </is>
      </c>
      <c r="L264" s="3" t="inlineStr">
        <is>
          <t>—</t>
        </is>
      </c>
      <c r="M264" s="3" t="inlineStr">
        <is>
          <t>ARE_YOU_ON_COURSE</t>
        </is>
      </c>
    </row>
    <row r="265">
      <c r="A265" s="3" t="inlineStr">
        <is>
          <t>MK-ST-F-033</t>
        </is>
      </c>
      <c r="B265" s="3" t="inlineStr">
        <is>
          <t>onOrBefore</t>
        </is>
      </c>
      <c r="C265" s="3" t="inlineStr">
        <is>
          <t>Calculation Module code/engines/snapshots.ts</t>
        </is>
      </c>
      <c r="D265" s="3" t="n">
        <v>184</v>
      </c>
      <c r="E265" s="3" t="inlineStr">
        <is>
          <t>3 · DEPENDENT</t>
        </is>
      </c>
      <c r="F265" s="3" t="inlineStr">
        <is>
          <t>Its answer feeds another function, and that chain ends at a screen.</t>
        </is>
      </c>
      <c r="G265" s="3" t="inlineStr">
        <is>
          <t>Yes</t>
        </is>
      </c>
      <c r="H265" s="3" t="inlineStr">
        <is>
          <t>—</t>
        </is>
      </c>
      <c r="I265" s="3" t="n">
        <v>0</v>
      </c>
      <c r="J265" s="3" t="inlineStr">
        <is>
          <t>None — no dependent function stands behind it</t>
        </is>
      </c>
      <c r="K265" s="3" t="inlineStr">
        <is>
          <t>No dependent function — it reads its inputs and answers</t>
        </is>
      </c>
      <c r="L265" s="3" t="inlineStr">
        <is>
          <t>—</t>
        </is>
      </c>
      <c r="M265" s="3" t="inlineStr">
        <is>
          <t>—</t>
        </is>
      </c>
    </row>
    <row r="266">
      <c r="A266" s="3" t="inlineStr">
        <is>
          <t>MK-CF-F-073</t>
        </is>
      </c>
      <c r="B266" s="3" t="inlineStr">
        <is>
          <t>otherIncomeMonth</t>
        </is>
      </c>
      <c r="C266" s="3" t="inlineStr">
        <is>
          <t>src/domain/income/onboarding.ts</t>
        </is>
      </c>
      <c r="D266" s="3" t="n">
        <v>198</v>
      </c>
      <c r="E266" s="3" t="inlineStr">
        <is>
          <t>3 · DEPENDENT</t>
        </is>
      </c>
      <c r="F266" s="3" t="inlineStr">
        <is>
          <t>Its answer feeds another function, and that chain ends at a screen.</t>
        </is>
      </c>
      <c r="G266" s="3" t="inlineStr">
        <is>
          <t>Yes</t>
        </is>
      </c>
      <c r="H266" s="3" t="inlineStr">
        <is>
          <t>MK-ST-F-052 toNum</t>
        </is>
      </c>
      <c r="I266" s="3" t="n">
        <v>1</v>
      </c>
      <c r="J266" s="3" t="inlineStr">
        <is>
          <t>MK-ST-F-052 toNum</t>
        </is>
      </c>
      <c r="K266" s="3" t="inlineStr">
        <is>
          <t>MK-ST-F-052 toNum → MK-CF-F-073 otherIncomeMonth</t>
        </is>
      </c>
      <c r="L266" s="3" t="inlineStr">
        <is>
          <t>—</t>
        </is>
      </c>
      <c r="M266" s="3" t="inlineStr">
        <is>
          <t>—</t>
        </is>
      </c>
    </row>
    <row r="267">
      <c r="A267" s="3" t="inlineStr">
        <is>
          <t>MK-CF-F-089</t>
        </is>
      </c>
      <c r="B267" s="3" t="inlineStr">
        <is>
          <t>over65CountOf</t>
        </is>
      </c>
      <c r="C267" s="3" t="inlineStr">
        <is>
          <t>src/domain/income/onboarding.ts</t>
        </is>
      </c>
      <c r="D267" s="3" t="n">
        <v>405</v>
      </c>
      <c r="E267" s="3" t="inlineStr">
        <is>
          <t>3 · DEPENDENT</t>
        </is>
      </c>
      <c r="F267" s="3" t="inlineStr">
        <is>
          <t>Its answer feeds another function, and that chain ends at a screen.</t>
        </is>
      </c>
      <c r="G267" s="3" t="inlineStr">
        <is>
          <t>Yes</t>
        </is>
      </c>
      <c r="H267" s="3" t="inlineStr">
        <is>
          <t>MK-ST-F-052 toNum</t>
        </is>
      </c>
      <c r="I267" s="3" t="n">
        <v>1</v>
      </c>
      <c r="J267" s="3" t="inlineStr">
        <is>
          <t>MK-ST-F-052 toNum</t>
        </is>
      </c>
      <c r="K267" s="3" t="inlineStr">
        <is>
          <t>MK-ST-F-052 toNum → MK-CF-F-089 over65CountOf</t>
        </is>
      </c>
      <c r="L267" s="3" t="inlineStr">
        <is>
          <t>—</t>
        </is>
      </c>
      <c r="M267" s="3" t="inlineStr">
        <is>
          <t>TAX_OVER65_COUNT</t>
        </is>
      </c>
    </row>
    <row r="268">
      <c r="A268" s="3" t="inlineStr">
        <is>
          <t>MK-XS-F-013</t>
        </is>
      </c>
      <c r="B268" s="3" t="inlineStr">
        <is>
          <t>parseCsv</t>
        </is>
      </c>
      <c r="C268" s="3" t="inlineStr">
        <is>
          <t>src/domain/import/holdingsImport.ts</t>
        </is>
      </c>
      <c r="D268" s="3" t="n">
        <v>75</v>
      </c>
      <c r="E268" s="3" t="inlineStr">
        <is>
          <t>3 · DEPENDENT</t>
        </is>
      </c>
      <c r="F268" s="3" t="inlineStr">
        <is>
          <t>Its answer feeds another function, and that chain ends at a screen.</t>
        </is>
      </c>
      <c r="G268" s="3" t="inlineStr">
        <is>
          <t>Yes</t>
        </is>
      </c>
      <c r="H268" s="3" t="inlineStr">
        <is>
          <t>—</t>
        </is>
      </c>
      <c r="I268" s="3" t="n">
        <v>0</v>
      </c>
      <c r="J268" s="3" t="inlineStr">
        <is>
          <t>None — no dependent function stands behind it</t>
        </is>
      </c>
      <c r="K268" s="3" t="inlineStr">
        <is>
          <t>No dependent function — it reads its inputs and answers</t>
        </is>
      </c>
      <c r="L268" s="3" t="inlineStr">
        <is>
          <t>—</t>
        </is>
      </c>
      <c r="M268" s="3" t="inlineStr">
        <is>
          <t>FILE_PARSE</t>
        </is>
      </c>
    </row>
    <row r="269">
      <c r="A269" s="3" t="inlineStr">
        <is>
          <t>MK-XS-F-058</t>
        </is>
      </c>
      <c r="B269" s="3" t="inlineStr">
        <is>
          <t>parseReceipt</t>
        </is>
      </c>
      <c r="C269" s="3" t="inlineStr">
        <is>
          <t>src/services/economicData.ts</t>
        </is>
      </c>
      <c r="D269" s="3" t="n">
        <v>158</v>
      </c>
      <c r="E269" s="3" t="inlineStr">
        <is>
          <t>4 · BRINGS DATA IN</t>
        </is>
      </c>
      <c r="F269" s="3" t="inlineStr">
        <is>
          <t>Reaches outside the app for its answer — a feed, a file or a stored record.</t>
        </is>
      </c>
      <c r="G269" s="3" t="inlineStr">
        <is>
          <t>Yes</t>
        </is>
      </c>
      <c r="H269" s="3" t="inlineStr">
        <is>
          <t>—</t>
        </is>
      </c>
      <c r="I269" s="3" t="n">
        <v>0</v>
      </c>
      <c r="J269" s="3" t="inlineStr">
        <is>
          <t>None — no dependent function stands behind it</t>
        </is>
      </c>
      <c r="K269" s="3" t="inlineStr">
        <is>
          <t>No dependent function — it reads its inputs and answers</t>
        </is>
      </c>
      <c r="L269" s="3" t="inlineStr">
        <is>
          <t>—</t>
        </is>
      </c>
      <c r="M269" s="3" t="inlineStr">
        <is>
          <t>READ_A_RECEIPT</t>
        </is>
      </c>
    </row>
    <row r="270">
      <c r="A270" s="3" t="inlineStr">
        <is>
          <t>MK-XS-F-094</t>
        </is>
      </c>
      <c r="B270" s="3" t="inlineStr">
        <is>
          <t>parseReceiptText</t>
        </is>
      </c>
      <c r="C270" s="3" t="inlineStr">
        <is>
          <t>src/services/receiptOCR.ts</t>
        </is>
      </c>
      <c r="D270" s="3" t="n">
        <v>78</v>
      </c>
      <c r="E270" s="3" t="inlineStr">
        <is>
          <t>3 · DEPENDENT (feeds an action only)</t>
        </is>
      </c>
      <c r="F270" s="3" t="inlineStr">
        <is>
          <t>Its answer feeds another function, but no chain from it reaches a screen.</t>
        </is>
      </c>
      <c r="G270" s="3" t="inlineStr">
        <is>
          <t>No</t>
        </is>
      </c>
      <c r="H270" s="3" t="inlineStr">
        <is>
          <t>MK-XS-F-093 stripNonMoney</t>
        </is>
      </c>
      <c r="I270" s="3" t="n">
        <v>1</v>
      </c>
      <c r="J270" s="3" t="inlineStr">
        <is>
          <t>MK-XS-F-093 stripNonMoney</t>
        </is>
      </c>
      <c r="K270" s="3" t="inlineStr">
        <is>
          <t>MK-XS-F-093 stripNonMoney → MK-XS-F-094 parseReceiptText</t>
        </is>
      </c>
      <c r="L270" s="3" t="inlineStr">
        <is>
          <t>—</t>
        </is>
      </c>
      <c r="M270" s="3" t="inlineStr">
        <is>
          <t>—</t>
        </is>
      </c>
    </row>
    <row r="271">
      <c r="A271" s="3" t="inlineStr">
        <is>
          <t>MK-XS-F-092</t>
        </is>
      </c>
      <c r="B271" s="3" t="inlineStr">
        <is>
          <t>parseReceiptWithOCR</t>
        </is>
      </c>
      <c r="C271" s="3" t="inlineStr">
        <is>
          <t>src/services/receiptOCR.ts</t>
        </is>
      </c>
      <c r="D271" s="3" t="n">
        <v>22</v>
      </c>
      <c r="E271" s="3" t="inlineStr">
        <is>
          <t>4 · BRINGS DATA IN</t>
        </is>
      </c>
      <c r="F271" s="3" t="inlineStr">
        <is>
          <t>Reaches outside the app for its answer — a feed, a file or a stored record.</t>
        </is>
      </c>
      <c r="G271" s="3" t="inlineStr">
        <is>
          <t>No</t>
        </is>
      </c>
      <c r="H271" s="3" t="inlineStr">
        <is>
          <t>MK-XS-F-094 parseReceiptText</t>
        </is>
      </c>
      <c r="I271" s="3" t="n">
        <v>2</v>
      </c>
      <c r="J271" s="3" t="inlineStr">
        <is>
          <t>MK-XS-F-094 parseReceiptText · MK-XS-F-093 stripNonMoney</t>
        </is>
      </c>
      <c r="K271" s="3" t="inlineStr">
        <is>
          <t>MK-XS-F-093 stripNonMoney → MK-XS-F-094 parseReceiptText → MK-XS-F-092 parseReceiptWithOCR</t>
        </is>
      </c>
      <c r="L271" s="3" t="inlineStr">
        <is>
          <t>—</t>
        </is>
      </c>
      <c r="M271" s="3" t="inlineStr">
        <is>
          <t>—</t>
        </is>
      </c>
    </row>
    <row r="272">
      <c r="A272" s="3" t="inlineStr">
        <is>
          <t>MK-CF-F-022</t>
        </is>
      </c>
      <c r="B272" s="3" t="inlineStr">
        <is>
          <t>paymentShape</t>
        </is>
      </c>
      <c r="C272" s="3" t="inlineStr">
        <is>
          <t>src/domain/debt/index.ts</t>
        </is>
      </c>
      <c r="D272" s="3" t="n">
        <v>38</v>
      </c>
      <c r="E272" s="3" t="inlineStr">
        <is>
          <t>2 · DISPLAYED</t>
        </is>
      </c>
      <c r="F272" s="3" t="inlineStr">
        <is>
          <t>A screen calls it directly, so its answer is on a screen.</t>
        </is>
      </c>
      <c r="G272" s="3" t="inlineStr">
        <is>
          <t>Yes</t>
        </is>
      </c>
      <c r="H272" s="3" t="inlineStr">
        <is>
          <t>MK-CF-F-021 defaultPaymentType</t>
        </is>
      </c>
      <c r="I272" s="3" t="n">
        <v>1</v>
      </c>
      <c r="J272" s="3" t="inlineStr">
        <is>
          <t>MK-CF-F-021 defaultPaymentType</t>
        </is>
      </c>
      <c r="K272" s="3" t="inlineStr">
        <is>
          <t>MK-CF-F-021 defaultPaymentType → MK-CF-F-022 paymentShape</t>
        </is>
      </c>
      <c r="L272" s="3" t="inlineStr">
        <is>
          <t>—</t>
        </is>
      </c>
      <c r="M272" s="3" t="inlineStr">
        <is>
          <t>DEBT_SHAPE</t>
        </is>
      </c>
    </row>
    <row r="273">
      <c r="A273" s="3" t="inlineStr">
        <is>
          <t>MK-CF-F-030</t>
        </is>
      </c>
      <c r="B273" s="3" t="inlineStr">
        <is>
          <t>paymentToClearBy</t>
        </is>
      </c>
      <c r="C273" s="3" t="inlineStr">
        <is>
          <t>src/domain/debt/index.ts</t>
        </is>
      </c>
      <c r="D273" s="3" t="n">
        <v>99</v>
      </c>
      <c r="E273" s="3" t="inlineStr">
        <is>
          <t>2 · DISPLAYED</t>
        </is>
      </c>
      <c r="F273" s="3" t="inlineStr">
        <is>
          <t>A screen calls it directly, so its answer is on a screen.</t>
        </is>
      </c>
      <c r="G273" s="3" t="inlineStr">
        <is>
          <t>Yes</t>
        </is>
      </c>
      <c r="H273" s="3" t="inlineStr">
        <is>
          <t>—</t>
        </is>
      </c>
      <c r="I273" s="3" t="n">
        <v>0</v>
      </c>
      <c r="J273" s="3" t="inlineStr">
        <is>
          <t>None — no dependent function stands behind it</t>
        </is>
      </c>
      <c r="K273" s="3" t="inlineStr">
        <is>
          <t>No dependent function — it reads its inputs and answers</t>
        </is>
      </c>
      <c r="L273" s="3" t="inlineStr">
        <is>
          <t>—</t>
        </is>
      </c>
      <c r="M273" s="3" t="inlineStr">
        <is>
          <t>—</t>
        </is>
      </c>
    </row>
    <row r="274">
      <c r="A274" s="3" t="inlineStr">
        <is>
          <t>MK-CF-F-034</t>
        </is>
      </c>
      <c r="B274" s="3" t="inlineStr">
        <is>
          <t>payoffPlan</t>
        </is>
      </c>
      <c r="C274" s="3" t="inlineStr">
        <is>
          <t>src/domain/debt/index.ts</t>
        </is>
      </c>
      <c r="D274" s="3" t="n">
        <v>140</v>
      </c>
      <c r="E274" s="3" t="inlineStr">
        <is>
          <t>2 · DISPLAYED</t>
        </is>
      </c>
      <c r="F274" s="3" t="inlineStr">
        <is>
          <t>A screen calls it directly, so its answer is on a screen.</t>
        </is>
      </c>
      <c r="G274" s="3" t="inlineStr">
        <is>
          <t>Yes</t>
        </is>
      </c>
      <c r="H274" s="3" t="inlineStr">
        <is>
          <t>MK-CF-F-022 paymentShape · MK-ST-F-055 round2</t>
        </is>
      </c>
      <c r="I274" s="3" t="n">
        <v>3</v>
      </c>
      <c r="J274" s="3" t="inlineStr">
        <is>
          <t>MK-CF-F-022 paymentShape · MK-ST-F-055 round2 · MK-CF-F-021 defaultPaymentType</t>
        </is>
      </c>
      <c r="K274" s="3" t="inlineStr">
        <is>
          <t>MK-CF-F-021 defaultPaymentType → MK-CF-F-022 paymentShape → MK-CF-F-034 payoffPlan
MK-ST-F-055 round2 → MK-CF-F-034 payoffPlan</t>
        </is>
      </c>
      <c r="L274" s="3" t="inlineStr">
        <is>
          <t>—</t>
        </is>
      </c>
      <c r="M274" s="3" t="inlineStr">
        <is>
          <t>—</t>
        </is>
      </c>
    </row>
    <row r="275">
      <c r="A275" s="3" t="inlineStr">
        <is>
          <t>MK-ST-F-037</t>
        </is>
      </c>
      <c r="B275" s="3" t="inlineStr">
        <is>
          <t>pendingUpload</t>
        </is>
      </c>
      <c r="C275" s="3" t="inlineStr">
        <is>
          <t>Calculation Module code/engines/snapshots.ts</t>
        </is>
      </c>
      <c r="D275" s="3" t="n">
        <v>218</v>
      </c>
      <c r="E275" s="3" t="inlineStr">
        <is>
          <t>3 · DEPENDENT (feeds an action only)</t>
        </is>
      </c>
      <c r="F275" s="3" t="inlineStr">
        <is>
          <t>Its answer feeds another function, but no chain from it reaches a screen.</t>
        </is>
      </c>
      <c r="G275" s="3" t="inlineStr">
        <is>
          <t>No</t>
        </is>
      </c>
      <c r="H275" s="3" t="inlineStr">
        <is>
          <t>—</t>
        </is>
      </c>
      <c r="I275" s="3" t="n">
        <v>0</v>
      </c>
      <c r="J275" s="3" t="inlineStr">
        <is>
          <t>None — no dependent function stands behind it</t>
        </is>
      </c>
      <c r="K275" s="3" t="inlineStr">
        <is>
          <t>No dependent function — it reads its inputs and answers</t>
        </is>
      </c>
      <c r="L275" s="3" t="inlineStr">
        <is>
          <t>—</t>
        </is>
      </c>
      <c r="M275" s="3" t="inlineStr">
        <is>
          <t>—</t>
        </is>
      </c>
    </row>
    <row r="276">
      <c r="A276" s="3" t="inlineStr">
        <is>
          <t>MK-PF-F-021</t>
        </is>
      </c>
      <c r="B276" s="3" t="inlineStr">
        <is>
          <t>periodDollarDelta</t>
        </is>
      </c>
      <c r="C276" s="3" t="inlineStr">
        <is>
          <t>src/domain/performance/index.ts</t>
        </is>
      </c>
      <c r="D276" s="3" t="n">
        <v>304</v>
      </c>
      <c r="E276" s="3" t="inlineStr">
        <is>
          <t>2 · DISPLAYED</t>
        </is>
      </c>
      <c r="F276" s="3" t="inlineStr">
        <is>
          <t>A screen calls it directly, so its answer is on a screen.</t>
        </is>
      </c>
      <c r="G276" s="3" t="inlineStr">
        <is>
          <t>Yes</t>
        </is>
      </c>
      <c r="H276" s="3" t="inlineStr">
        <is>
          <t>—</t>
        </is>
      </c>
      <c r="I276" s="3" t="n">
        <v>0</v>
      </c>
      <c r="J276" s="3" t="inlineStr">
        <is>
          <t>None — no dependent function stands behind it</t>
        </is>
      </c>
      <c r="K276" s="3" t="inlineStr">
        <is>
          <t>No dependent function — it reads its inputs and answers</t>
        </is>
      </c>
      <c r="L276" s="3" t="inlineStr">
        <is>
          <t>—</t>
        </is>
      </c>
      <c r="M276" s="3" t="inlineStr">
        <is>
          <t>—</t>
        </is>
      </c>
    </row>
    <row r="277">
      <c r="A277" s="3" t="inlineStr">
        <is>
          <t>MK-PF-F-010</t>
        </is>
      </c>
      <c r="B277" s="3" t="inlineStr">
        <is>
          <t>periodReturn</t>
        </is>
      </c>
      <c r="C277" s="3" t="inlineStr">
        <is>
          <t>src/domain/performance/index.ts</t>
        </is>
      </c>
      <c r="D277" s="3" t="n">
        <v>122</v>
      </c>
      <c r="E277" s="3" t="inlineStr">
        <is>
          <t>3 · DEPENDENT</t>
        </is>
      </c>
      <c r="F277" s="3" t="inlineStr">
        <is>
          <t>Its answer feeds another function, and that chain ends at a screen.</t>
        </is>
      </c>
      <c r="G277" s="3" t="inlineStr">
        <is>
          <t>Yes</t>
        </is>
      </c>
      <c r="H277" s="3" t="inlineStr">
        <is>
          <t>MK-PF-F-009 latestClose · MK-PF-F-008 startDateFor</t>
        </is>
      </c>
      <c r="I277" s="3" t="n">
        <v>2</v>
      </c>
      <c r="J277" s="3" t="inlineStr">
        <is>
          <t>MK-PF-F-009 latestClose · MK-PF-F-008 startDateFor</t>
        </is>
      </c>
      <c r="K277" s="3" t="inlineStr">
        <is>
          <t>MK-PF-F-009 latestClose → MK-PF-F-010 periodReturn
MK-PF-F-008 startDateFor → MK-PF-F-010 periodReturn</t>
        </is>
      </c>
      <c r="L277" s="3" t="inlineStr">
        <is>
          <t>—</t>
        </is>
      </c>
      <c r="M277" s="3" t="inlineStr">
        <is>
          <t>PERIOD_RETURN</t>
        </is>
      </c>
    </row>
    <row r="278">
      <c r="A278" s="3" t="inlineStr">
        <is>
          <t>MK-PF-F-011</t>
        </is>
      </c>
      <c r="B278" s="3" t="inlineStr">
        <is>
          <t>periodReturnSince</t>
        </is>
      </c>
      <c r="C278" s="3" t="inlineStr">
        <is>
          <t>src/domain/performance/index.ts</t>
        </is>
      </c>
      <c r="D278" s="3" t="n">
        <v>137</v>
      </c>
      <c r="E278" s="3" t="inlineStr">
        <is>
          <t>3 · DEPENDENT</t>
        </is>
      </c>
      <c r="F278" s="3" t="inlineStr">
        <is>
          <t>Its answer feeds another function, and that chain ends at a screen.</t>
        </is>
      </c>
      <c r="G278" s="3" t="inlineStr">
        <is>
          <t>Yes</t>
        </is>
      </c>
      <c r="H278" s="3" t="inlineStr">
        <is>
          <t>MK-PF-F-009 latestClose</t>
        </is>
      </c>
      <c r="I278" s="3" t="n">
        <v>1</v>
      </c>
      <c r="J278" s="3" t="inlineStr">
        <is>
          <t>MK-PF-F-009 latestClose</t>
        </is>
      </c>
      <c r="K278" s="3" t="inlineStr">
        <is>
          <t>MK-PF-F-009 latestClose → MK-PF-F-011 periodReturnSince</t>
        </is>
      </c>
      <c r="L278" s="3" t="inlineStr">
        <is>
          <t>—</t>
        </is>
      </c>
      <c r="M278" s="3" t="inlineStr">
        <is>
          <t>RETURN_SINCE_A_DATE</t>
        </is>
      </c>
    </row>
    <row r="279">
      <c r="A279" s="3" t="inlineStr">
        <is>
          <t>MK-ST-F-013</t>
        </is>
      </c>
      <c r="B279" s="3" t="inlineStr">
        <is>
          <t>personalFlowTotals</t>
        </is>
      </c>
      <c r="C279" s="3" t="inlineStr">
        <is>
          <t>Calculation Module code/engines/ledger.ts</t>
        </is>
      </c>
      <c r="D279" s="3" t="n">
        <v>178</v>
      </c>
      <c r="E279" s="3" t="inlineStr">
        <is>
          <t>2 · DISPLAYED</t>
        </is>
      </c>
      <c r="F279" s="3" t="inlineStr">
        <is>
          <t>A screen calls it directly, so its answer is on a screen.</t>
        </is>
      </c>
      <c r="G279" s="3" t="inlineStr">
        <is>
          <t>Yes</t>
        </is>
      </c>
      <c r="H279" s="3" t="inlineStr">
        <is>
          <t>—</t>
        </is>
      </c>
      <c r="I279" s="3" t="n">
        <v>0</v>
      </c>
      <c r="J279" s="3" t="inlineStr">
        <is>
          <t>None — no dependent function stands behind it</t>
        </is>
      </c>
      <c r="K279" s="3" t="inlineStr">
        <is>
          <t>No dependent function — it reads its inputs and answers</t>
        </is>
      </c>
      <c r="L279" s="3" t="inlineStr">
        <is>
          <t>—</t>
        </is>
      </c>
      <c r="M279" s="3" t="inlineStr">
        <is>
          <t>—</t>
        </is>
      </c>
    </row>
    <row r="280">
      <c r="A280" s="3" t="inlineStr">
        <is>
          <t>MK-XS-F-096</t>
        </is>
      </c>
      <c r="B280" s="3" t="inlineStr">
        <is>
          <t>pickReceipt</t>
        </is>
      </c>
      <c r="C280" s="3" t="inlineStr">
        <is>
          <t>src/services/receiptScan.ts</t>
        </is>
      </c>
      <c r="D280" s="3" t="n">
        <v>14</v>
      </c>
      <c r="E280" s="3" t="inlineStr">
        <is>
          <t>2 · DISPLAYED</t>
        </is>
      </c>
      <c r="F280" s="3" t="inlineStr">
        <is>
          <t>A screen calls it directly, so its answer is on a screen.</t>
        </is>
      </c>
      <c r="G280" s="3" t="inlineStr">
        <is>
          <t>Yes</t>
        </is>
      </c>
      <c r="H280" s="3" t="inlineStr">
        <is>
          <t>—</t>
        </is>
      </c>
      <c r="I280" s="3" t="n">
        <v>0</v>
      </c>
      <c r="J280" s="3" t="inlineStr">
        <is>
          <t>None — no dependent function stands behind it</t>
        </is>
      </c>
      <c r="K280" s="3" t="inlineStr">
        <is>
          <t>No dependent function — it reads its inputs and answers</t>
        </is>
      </c>
      <c r="L280" s="3" t="inlineStr">
        <is>
          <t>—</t>
        </is>
      </c>
      <c r="M280" s="3" t="inlineStr">
        <is>
          <t>—</t>
        </is>
      </c>
    </row>
    <row r="281">
      <c r="A281" s="3" t="inlineStr">
        <is>
          <t>MK-XS-F-001</t>
        </is>
      </c>
      <c r="B281" s="3" t="inlineStr">
        <is>
          <t>planCompleteness</t>
        </is>
      </c>
      <c r="C281" s="3" t="inlineStr">
        <is>
          <t>src/domain/completeness/index.ts</t>
        </is>
      </c>
      <c r="D281" s="3" t="n">
        <v>15</v>
      </c>
      <c r="E281" s="3" t="inlineStr">
        <is>
          <t>2 · DISPLAYED</t>
        </is>
      </c>
      <c r="F281" s="3" t="inlineStr">
        <is>
          <t>A screen calls it directly, so its answer is on a screen.</t>
        </is>
      </c>
      <c r="G281" s="3" t="inlineStr">
        <is>
          <t>Yes</t>
        </is>
      </c>
      <c r="H281" s="3" t="inlineStr">
        <is>
          <t>—</t>
        </is>
      </c>
      <c r="I281" s="3" t="n">
        <v>0</v>
      </c>
      <c r="J281" s="3" t="inlineStr">
        <is>
          <t>None — no dependent function stands behind it</t>
        </is>
      </c>
      <c r="K281" s="3" t="inlineStr">
        <is>
          <t>No dependent function — it reads its inputs and answers</t>
        </is>
      </c>
      <c r="L281" s="3" t="inlineStr">
        <is>
          <t>—</t>
        </is>
      </c>
      <c r="M281" s="3" t="inlineStr">
        <is>
          <t>—</t>
        </is>
      </c>
    </row>
    <row r="282">
      <c r="A282" s="3" t="inlineStr">
        <is>
          <t>MK-PL-F-026</t>
        </is>
      </c>
      <c r="B282" s="3" t="inlineStr">
        <is>
          <t>planDoor</t>
        </is>
      </c>
      <c r="C282" s="3" t="inlineStr">
        <is>
          <t>src/domain/planning/hub.ts</t>
        </is>
      </c>
      <c r="D282" s="3" t="n">
        <v>44</v>
      </c>
      <c r="E282" s="3" t="inlineStr">
        <is>
          <t>2 · DISPLAYED</t>
        </is>
      </c>
      <c r="F282" s="3" t="inlineStr">
        <is>
          <t>A screen calls it directly, so its answer is on a screen.</t>
        </is>
      </c>
      <c r="G282" s="3" t="inlineStr">
        <is>
          <t>Yes</t>
        </is>
      </c>
      <c r="H282" s="3" t="inlineStr">
        <is>
          <t>MK-NW-F-033 retirementEarmarkedValue · MK-ST-F-055 round2</t>
        </is>
      </c>
      <c r="I282" s="3" t="n">
        <v>9</v>
      </c>
      <c r="J282" s="3" t="inlineStr">
        <is>
          <t>MK-NW-F-033 retirementEarmarkedValue · MK-ST-F-055 round2 · MK-NW-F-032 earmarkedAmount · MK-NW-F-031 primaryCarIdOf · MK-NW-F-030 earmarkDefault · MK-NW-F-011 assetClassOf · MK-NW-F-013 realEstateUseOf · MK-NW-F-008 incomeBearingClassOf · MK-ST-F-010 nameEvidence</t>
        </is>
      </c>
      <c r="K282" s="3" t="inlineStr">
        <is>
          <t>MK-NW-F-008 incomeBearingClassOf → MK-NW-F-011 assetClassOf → MK-NW-F-030 earmarkDefault → MK-NW-F-032 earmarkedAmount → MK-NW-F-033 retirementEarmarkedValue → MK-PL-F-026 planDoor
MK-NW-F-013 realEstateUseOf → MK-NW-F-030 earmarkDefault → MK-NW-F-032 earmarkedAmount → MK-NW-F-033 retirementEarmarkedValue → MK-PL-F-026 planDoor
MK-ST-F-055 round2 → MK-NW-F-032 earmarkedAmount → MK-NW-F-033 retirementEarmarkedValue → MK-PL-F-026 planDoor
MK-ST-F-010 nameEvidence → MK-NW-F-008 incomeBearingClassOf → MK-NW-F-011 assetClassOf → MK-NW-F-031 primaryCarIdOf → MK-NW-F-033 retirementEarmarkedValue → MK-PL-F-026 planDoor
MK-ST-F-055 round2 → MK-NW-F-033 retirementEarmarkedValue → MK-PL-F-026 planDoor
MK-ST-F-055 round2 → MK-PL-F-026 planDoor</t>
        </is>
      </c>
      <c r="L282" s="3" t="inlineStr">
        <is>
          <t>MK-PL-M-001 · MK-PL-M-002</t>
        </is>
      </c>
      <c r="M282" s="3" t="inlineStr">
        <is>
          <t>WHAT_THE_PLAN_STILL_NEEDS</t>
        </is>
      </c>
    </row>
    <row r="283">
      <c r="A283" s="3" t="inlineStr">
        <is>
          <t>MK-PL-F-044</t>
        </is>
      </c>
      <c r="B283" s="3" t="inlineStr">
        <is>
          <t>planTarget</t>
        </is>
      </c>
      <c r="C283" s="3" t="inlineStr">
        <is>
          <t>src/domain/planning/target.ts</t>
        </is>
      </c>
      <c r="D283" s="3" t="n">
        <v>139</v>
      </c>
      <c r="E283" s="3" t="inlineStr">
        <is>
          <t>2 · DISPLAYED</t>
        </is>
      </c>
      <c r="F283" s="3" t="inlineStr">
        <is>
          <t>A screen calls it directly, so its answer is on a screen.</t>
        </is>
      </c>
      <c r="G283" s="3" t="inlineStr">
        <is>
          <t>Yes</t>
        </is>
      </c>
      <c r="H283" s="3" t="inlineStr">
        <is>
          <t>MK-PL-F-041 requiredAnnualSaving · MK-PL-F-042 savingToReachTarget · MK-PL-F-050 simulate · MK-PL-F-040 targetAtRetirement</t>
        </is>
      </c>
      <c r="I283" s="3" t="n">
        <v>7</v>
      </c>
      <c r="J283" s="3" t="inlineStr">
        <is>
          <t>MK-PL-F-041 requiredAnnualSaving · MK-PL-F-042 savingToReachTarget · MK-PL-F-050 simulate · MK-PL-F-040 targetAtRetirement · MK-ST-F-025 rmdStartAgeFromAge · MK-ST-F-055 round2 · MK-ST-F-024 rmdStartAge</t>
        </is>
      </c>
      <c r="K283" s="3" t="inlineStr">
        <is>
          <t>MK-PL-F-041 requiredAnnualSaving → MK-PL-F-044 planTarget
MK-ST-F-024 rmdStartAge → MK-ST-F-025 rmdStartAgeFromAge → MK-PL-F-050 simulate → MK-PL-F-042 savingToReachTarget → MK-PL-F-044 planTarget
MK-ST-F-055 round2 → MK-PL-F-050 simulate → MK-PL-F-042 savingToReachTarget → MK-PL-F-044 planTarget
MK-ST-F-024 rmdStartAge → MK-ST-F-025 rmdStartAgeFromAge → MK-PL-F-050 simulate → MK-PL-F-044 planTarget
MK-ST-F-055 round2 → MK-PL-F-050 simulate → MK-PL-F-044 planTarget
MK-PL-F-040 targetAtRetirement → MK-PL-F-044 planTarget</t>
        </is>
      </c>
      <c r="L283" s="3" t="inlineStr">
        <is>
          <t>—</t>
        </is>
      </c>
      <c r="M283" s="3" t="inlineStr">
        <is>
          <t>—</t>
        </is>
      </c>
    </row>
    <row r="284">
      <c r="A284" s="3" t="inlineStr">
        <is>
          <t>MK-CF-F-002</t>
        </is>
      </c>
      <c r="B284" s="3" t="inlineStr">
        <is>
          <t>plannedMonthlySpend</t>
        </is>
      </c>
      <c r="C284" s="3" t="inlineStr">
        <is>
          <t>src/domain/budget/index.ts</t>
        </is>
      </c>
      <c r="D284" s="3" t="n">
        <v>45</v>
      </c>
      <c r="E284" s="3" t="inlineStr">
        <is>
          <t>2 · DISPLAYED</t>
        </is>
      </c>
      <c r="F284" s="3" t="inlineStr">
        <is>
          <t>A screen calls it directly, so its answer is on a screen.</t>
        </is>
      </c>
      <c r="G284" s="3" t="inlineStr">
        <is>
          <t>Yes</t>
        </is>
      </c>
      <c r="H284" s="3" t="inlineStr">
        <is>
          <t>MK-CF-F-092 incomeMonthlyGrid · MK-CF-F-004 spendBuckets · MK-ST-F-052 toNum</t>
        </is>
      </c>
      <c r="I284" s="3" t="n">
        <v>37</v>
      </c>
      <c r="J284" s="3" t="inlineStr">
        <is>
          <t>MK-CF-F-092 incomeMonthlyGrid · MK-CF-F-004 spendBuckets · MK-ST-F-052 toNum · MK-CF-F-069 benefitActiveMonths · MK-CF-F-072 currentRetirementIncomeMonthly · MK-CF-F-065 equityVestWeights · MK-CF-F-071 extraIncome · MK-CF-F-087 monthlyTaxRates · MK-CF-F-073 otherIncomeMonth · MK-CF-F-068 rentalNetAnnual · MK-ST-F-055 round2 · MK-CF-F-066 rsuAnnual · MK-CF-F-060 salaryGrossByMonth · MK-CF-F-077 scholarshipByCalendarMonth · MK-CF-F-003 categoryMonthly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284" s="3" t="inlineStr">
        <is>
          <t>MK-CF-F-069 benefitActiveMonths → MK-CF-F-092 incomeMonthlyGrid → MK-CF-F-002 plannedMonthlySpend
MK-ST-F-052 toNum → MK-CF-F-075 retirementIncomeMonthly → MK-CF-F-072 currentRetirementIncomeMonthly → MK-CF-F-092 incomeMonthlyGrid → MK-CF-F-002 plannedMonthlySpend
MK-ST-F-052 toNum → MK-CF-F-062 equityRowValue → MK-CF-F-065 equityVestWeights → MK-CF-F-092 incomeMonthlyGrid → MK-CF-F-002 plannedMonthlySpend
MK-CF-F-069 benefitActiveMonths → MK-CF-F-070 benefitAnnual → MK-CF-F-071 extraIncome → MK-CF-F-092 incomeMonthlyGrid → MK-CF-F-002 plannedMonthlySpend
MK-ST-F-052 toNum → MK-CF-F-070 benefitAnnual → MK-CF-F-071 extraIncome → MK-CF-F-092 incomeMonthlyGrid → MK-CF-F-002 plannedMonthlySpend
MK-ST-F-055 round2 → MK-CF-F-071 extraIncome → MK-CF-F-092 incomeMonthlyGrid → MK-CF-F-002 plannedMonthlySpend
MK-ST-F-052 toNum → MK-CF-F-071 extraIncome → MK-CF-F-092 incomeMonthlyGrid → MK-CF-F-002 plannedMonthlySpend
MK-CF-F-101 taxOwedFor → MK-CF-F-102 effectiveRateOnGrossFor → MK-CF-F-090 effectiveRate → MK-CF-F-087 monthlyTaxRates → MK-CF-F-092 incomeMonthlyGrid → MK-CF-F-002 plannedMonthlySpend
… and 45 more paths</t>
        </is>
      </c>
      <c r="L284" s="3" t="inlineStr">
        <is>
          <t>MK-CF-M-015 · MK-MN-M-007 · MK-MN-M-026</t>
        </is>
      </c>
      <c r="M284" s="3" t="inlineStr">
        <is>
          <t>PLANNED_SPENDING</t>
        </is>
      </c>
    </row>
    <row r="285">
      <c r="A285" s="3" t="inlineStr">
        <is>
          <t>MK-NW-F-004</t>
        </is>
      </c>
      <c r="B285" s="3" t="inlineStr">
        <is>
          <t>portfolioActualReturn</t>
        </is>
      </c>
      <c r="C285" s="3" t="inlineStr">
        <is>
          <t>src/domain/assets/index.ts</t>
        </is>
      </c>
      <c r="D285" s="3" t="n">
        <v>108</v>
      </c>
      <c r="E285" s="3" t="inlineStr">
        <is>
          <t>2 · DISPLAYED</t>
        </is>
      </c>
      <c r="F285" s="3" t="inlineStr">
        <is>
          <t>A screen calls it directly, so its answer is on a screen.</t>
        </is>
      </c>
      <c r="G285" s="3" t="inlineStr">
        <is>
          <t>Yes</t>
        </is>
      </c>
      <c r="H285" s="3" t="inlineStr">
        <is>
          <t>MK-NW-F-032 earmarkedAmount</t>
        </is>
      </c>
      <c r="I285" s="3" t="n">
        <v>7</v>
      </c>
      <c r="J285" s="3" t="inlineStr">
        <is>
          <t>MK-NW-F-032 earmarkedAmount · MK-NW-F-030 earmarkDefault · MK-ST-F-055 round2 · MK-NW-F-011 assetClassOf · MK-NW-F-013 realEstateUseOf · MK-NW-F-008 incomeBearingClassOf · MK-ST-F-010 nameEvidence</t>
        </is>
      </c>
      <c r="K285" s="3" t="inlineStr">
        <is>
          <t>MK-ST-F-010 nameEvidence → MK-NW-F-008 incomeBearingClassOf → MK-NW-F-011 assetClassOf → MK-NW-F-030 earmarkDefault → MK-NW-F-032 earmarkedAmount → MK-NW-F-004 portfolioActualReturn
MK-NW-F-013 realEstateUseOf → MK-NW-F-030 earmarkDefault → MK-NW-F-032 earmarkedAmount → MK-NW-F-004 portfolioActualReturn
MK-ST-F-055 round2 → MK-NW-F-032 earmarkedAmount → MK-NW-F-004 portfolioActualReturn</t>
        </is>
      </c>
      <c r="L285" s="3" t="inlineStr">
        <is>
          <t>—</t>
        </is>
      </c>
      <c r="M285" s="3" t="inlineStr">
        <is>
          <t>REPORTED_RETURN</t>
        </is>
      </c>
    </row>
    <row r="286">
      <c r="A286" s="3" t="inlineStr">
        <is>
          <t>MK-PF-F-020</t>
        </is>
      </c>
      <c r="B286" s="3" t="inlineStr">
        <is>
          <t>portfolioBenchReturn</t>
        </is>
      </c>
      <c r="C286" s="3" t="inlineStr">
        <is>
          <t>src/domain/performance/index.ts</t>
        </is>
      </c>
      <c r="D286" s="3" t="n">
        <v>293</v>
      </c>
      <c r="E286" s="3" t="inlineStr">
        <is>
          <t>2 · DISPLAYED</t>
        </is>
      </c>
      <c r="F286" s="3" t="inlineStr">
        <is>
          <t>A screen calls it directly, so its answer is on a screen.</t>
        </is>
      </c>
      <c r="G286" s="3" t="inlineStr">
        <is>
          <t>Yes</t>
        </is>
      </c>
      <c r="H286" s="3" t="inlineStr">
        <is>
          <t>—</t>
        </is>
      </c>
      <c r="I286" s="3" t="n">
        <v>0</v>
      </c>
      <c r="J286" s="3" t="inlineStr">
        <is>
          <t>None — no dependent function stands behind it</t>
        </is>
      </c>
      <c r="K286" s="3" t="inlineStr">
        <is>
          <t>No dependent function — it reads its inputs and answers</t>
        </is>
      </c>
      <c r="L286" s="3" t="inlineStr">
        <is>
          <t>MK-PF-M-008</t>
        </is>
      </c>
      <c r="M286" s="3" t="inlineStr">
        <is>
          <t>BENCHMARK_RETURN_BLENDED</t>
        </is>
      </c>
    </row>
    <row r="287">
      <c r="A287" s="3" t="inlineStr">
        <is>
          <t>MK-PF-F-019</t>
        </is>
      </c>
      <c r="B287" s="3" t="inlineStr">
        <is>
          <t>portfolioPeriodReturn</t>
        </is>
      </c>
      <c r="C287" s="3" t="inlineStr">
        <is>
          <t>src/domain/performance/index.ts</t>
        </is>
      </c>
      <c r="D287" s="3" t="n">
        <v>283</v>
      </c>
      <c r="E287" s="3" t="inlineStr">
        <is>
          <t>2 · DISPLAYED</t>
        </is>
      </c>
      <c r="F287" s="3" t="inlineStr">
        <is>
          <t>A screen calls it directly, so its answer is on a screen.</t>
        </is>
      </c>
      <c r="G287" s="3" t="inlineStr">
        <is>
          <t>Yes</t>
        </is>
      </c>
      <c r="H287" s="3" t="inlineStr">
        <is>
          <t>—</t>
        </is>
      </c>
      <c r="I287" s="3" t="n">
        <v>0</v>
      </c>
      <c r="J287" s="3" t="inlineStr">
        <is>
          <t>None — no dependent function stands behind it</t>
        </is>
      </c>
      <c r="K287" s="3" t="inlineStr">
        <is>
          <t>No dependent function — it reads its inputs and answers</t>
        </is>
      </c>
      <c r="L287" s="3" t="inlineStr">
        <is>
          <t>MK-XS-M-004</t>
        </is>
      </c>
      <c r="M287" s="3" t="inlineStr">
        <is>
          <t>VALUE_WEIGHTED_RETURN</t>
        </is>
      </c>
    </row>
    <row r="288">
      <c r="A288" s="3" t="inlineStr">
        <is>
          <t>MK-PF-F-018</t>
        </is>
      </c>
      <c r="B288" s="3" t="inlineStr">
        <is>
          <t>portfolioTrend</t>
        </is>
      </c>
      <c r="C288" s="3" t="inlineStr">
        <is>
          <t>src/domain/performance/index.ts</t>
        </is>
      </c>
      <c r="D288" s="3" t="n">
        <v>257</v>
      </c>
      <c r="E288" s="3" t="inlineStr">
        <is>
          <t>2 · DISPLAYED</t>
        </is>
      </c>
      <c r="F288" s="3" t="inlineStr">
        <is>
          <t>A screen calls it directly, so its answer is on a screen.</t>
        </is>
      </c>
      <c r="G288" s="3" t="inlineStr">
        <is>
          <t>Yes</t>
        </is>
      </c>
      <c r="H288" s="3" t="inlineStr">
        <is>
          <t>MK-PF-F-008 startDateFor · MK-PF-F-001 totalShares</t>
        </is>
      </c>
      <c r="I288" s="3" t="n">
        <v>2</v>
      </c>
      <c r="J288" s="3" t="inlineStr">
        <is>
          <t>MK-PF-F-008 startDateFor · MK-PF-F-001 totalShares</t>
        </is>
      </c>
      <c r="K288" s="3" t="inlineStr">
        <is>
          <t>MK-PF-F-008 startDateFor → MK-PF-F-018 portfolioTrend
MK-PF-F-001 totalShares → MK-PF-F-018 portfolioTrend</t>
        </is>
      </c>
      <c r="L288" s="3" t="inlineStr">
        <is>
          <t>—</t>
        </is>
      </c>
      <c r="M288" s="3" t="inlineStr">
        <is>
          <t>PORTFOLIO_TREND_LINE</t>
        </is>
      </c>
    </row>
    <row r="289">
      <c r="A289" s="3" t="inlineStr">
        <is>
          <t>MK-XS-F-082</t>
        </is>
      </c>
      <c r="B289" s="3" t="inlineStr">
        <is>
          <t>priceFreshness</t>
        </is>
      </c>
      <c r="C289" s="3" t="inlineStr">
        <is>
          <t>src/services/marketData.ts</t>
        </is>
      </c>
      <c r="D289" s="3" t="n">
        <v>60</v>
      </c>
      <c r="E289" s="3" t="inlineStr">
        <is>
          <t>2 · DISPLAYED</t>
        </is>
      </c>
      <c r="F289" s="3" t="inlineStr">
        <is>
          <t>A screen calls it directly, so its answer is on a screen.</t>
        </is>
      </c>
      <c r="G289" s="3" t="inlineStr">
        <is>
          <t>Yes</t>
        </is>
      </c>
      <c r="H289" s="3" t="inlineStr">
        <is>
          <t>—</t>
        </is>
      </c>
      <c r="I289" s="3" t="n">
        <v>0</v>
      </c>
      <c r="J289" s="3" t="inlineStr">
        <is>
          <t>None — no dependent function stands behind it</t>
        </is>
      </c>
      <c r="K289" s="3" t="inlineStr">
        <is>
          <t>No dependent function — it reads its inputs and answers</t>
        </is>
      </c>
      <c r="L289" s="3" t="inlineStr">
        <is>
          <t>MK-HM-M-001</t>
        </is>
      </c>
      <c r="M289" s="3" t="inlineStr">
        <is>
          <t>PRICE_FRESHNESS</t>
        </is>
      </c>
    </row>
    <row r="290">
      <c r="A290" s="3" t="inlineStr">
        <is>
          <t>MK-NW-F-031</t>
        </is>
      </c>
      <c r="B290" s="3" t="inlineStr">
        <is>
          <t>primaryCarIdOf</t>
        </is>
      </c>
      <c r="C290" s="3" t="inlineStr">
        <is>
          <t>src/domain/assets/index.ts</t>
        </is>
      </c>
      <c r="D290" s="3" t="n">
        <v>537</v>
      </c>
      <c r="E290" s="3" t="inlineStr">
        <is>
          <t>2 · DISPLAYED</t>
        </is>
      </c>
      <c r="F290" s="3" t="inlineStr">
        <is>
          <t>A screen calls it directly, so its answer is on a screen.</t>
        </is>
      </c>
      <c r="G290" s="3" t="inlineStr">
        <is>
          <t>Yes</t>
        </is>
      </c>
      <c r="H290" s="3" t="inlineStr">
        <is>
          <t>MK-NW-F-011 assetClassOf</t>
        </is>
      </c>
      <c r="I290" s="3" t="n">
        <v>3</v>
      </c>
      <c r="J290" s="3" t="inlineStr">
        <is>
          <t>MK-NW-F-011 assetClassOf · MK-NW-F-008 incomeBearingClassOf · MK-ST-F-010 nameEvidence</t>
        </is>
      </c>
      <c r="K290" s="3" t="inlineStr">
        <is>
          <t>MK-ST-F-010 nameEvidence → MK-NW-F-008 incomeBearingClassOf → MK-NW-F-011 assetClassOf → MK-NW-F-031 primaryCarIdOf</t>
        </is>
      </c>
      <c r="L290" s="3" t="inlineStr">
        <is>
          <t>—</t>
        </is>
      </c>
      <c r="M290" s="3" t="inlineStr">
        <is>
          <t>PRIMARY_CAR</t>
        </is>
      </c>
    </row>
    <row r="291">
      <c r="A291" s="3" t="inlineStr">
        <is>
          <t>MK-XS-F-026</t>
        </is>
      </c>
      <c r="B291" s="3" t="inlineStr">
        <is>
          <t>profileFromOnboarding</t>
        </is>
      </c>
      <c r="C291" s="3" t="inlineStr">
        <is>
          <t>src/domain/profile/onboarding.ts</t>
        </is>
      </c>
      <c r="D291" s="3" t="n">
        <v>12</v>
      </c>
      <c r="E291" s="3" t="inlineStr">
        <is>
          <t>2 · DISPLAYED</t>
        </is>
      </c>
      <c r="F291" s="3" t="inlineStr">
        <is>
          <t>A screen calls it directly, so its answer is on a screen.</t>
        </is>
      </c>
      <c r="G291" s="3" t="inlineStr">
        <is>
          <t>Yes</t>
        </is>
      </c>
      <c r="H291" s="3" t="inlineStr">
        <is>
          <t>—</t>
        </is>
      </c>
      <c r="I291" s="3" t="n">
        <v>0</v>
      </c>
      <c r="J291" s="3" t="inlineStr">
        <is>
          <t>None — no dependent function stands behind it</t>
        </is>
      </c>
      <c r="K291" s="3" t="inlineStr">
        <is>
          <t>No dependent function — it reads its inputs and answers</t>
        </is>
      </c>
      <c r="L291" s="3" t="inlineStr">
        <is>
          <t>—</t>
        </is>
      </c>
      <c r="M291" s="3" t="inlineStr">
        <is>
          <t>—</t>
        </is>
      </c>
    </row>
    <row r="292">
      <c r="A292" s="3" t="inlineStr">
        <is>
          <t>MK-CF-F-098</t>
        </is>
      </c>
      <c r="B292" s="3" t="inlineStr">
        <is>
          <t>progressiveMonthlyTax</t>
        </is>
      </c>
      <c r="C292" s="3" t="inlineStr">
        <is>
          <t>src/domain/income/tax.ts</t>
        </is>
      </c>
      <c r="D292" s="3" t="n">
        <v>61</v>
      </c>
      <c r="E292" s="3" t="inlineStr">
        <is>
          <t>3 · DEPENDENT</t>
        </is>
      </c>
      <c r="F292" s="3" t="inlineStr">
        <is>
          <t>Its answer feeds another function, and that chain ends at a screen.</t>
        </is>
      </c>
      <c r="G292" s="3" t="inlineStr">
        <is>
          <t>Yes</t>
        </is>
      </c>
      <c r="H292" s="3" t="inlineStr">
        <is>
          <t>MK-CF-F-101 taxOwedFor · MK-CF-F-100 taxableIncomeFor</t>
        </is>
      </c>
      <c r="I292" s="3" t="n">
        <v>3</v>
      </c>
      <c r="J292" s="3" t="inlineStr">
        <is>
          <t>MK-CF-F-101 taxOwedFor · MK-CF-F-100 taxableIncomeFor · MK-CF-F-099 deductionFor</t>
        </is>
      </c>
      <c r="K292" s="3" t="inlineStr">
        <is>
          <t>MK-CF-F-099 deductionFor → MK-CF-F-100 taxableIncomeFor → MK-CF-F-101 taxOwedFor → MK-CF-F-098 progressiveMonthlyTax
MK-CF-F-099 deductionFor → MK-CF-F-100 taxableIncomeFor → MK-CF-F-098 progressiveMonthlyTax</t>
        </is>
      </c>
      <c r="L292" s="3" t="inlineStr">
        <is>
          <t>—</t>
        </is>
      </c>
      <c r="M292" s="3" t="inlineStr">
        <is>
          <t>—</t>
        </is>
      </c>
    </row>
    <row r="293">
      <c r="A293" s="3" t="inlineStr">
        <is>
          <t>MK-PL-F-055</t>
        </is>
      </c>
      <c r="B293" s="3" t="inlineStr">
        <is>
          <t>projectNestEgg</t>
        </is>
      </c>
      <c r="C293" s="3" t="inlineStr">
        <is>
          <t>src/domain/retirement/index.ts</t>
        </is>
      </c>
      <c r="D293" s="3" t="n">
        <v>324</v>
      </c>
      <c r="E293" s="3" t="inlineStr">
        <is>
          <t>2 · DISPLAYED</t>
        </is>
      </c>
      <c r="F293" s="3" t="inlineStr">
        <is>
          <t>A screen calls it directly, so its answer is on a screen.</t>
        </is>
      </c>
      <c r="G293" s="3" t="inlineStr">
        <is>
          <t>Yes</t>
        </is>
      </c>
      <c r="H293" s="3" t="inlineStr">
        <is>
          <t>MK-ST-F-055 round2 · MK-PL-F-050 simulate</t>
        </is>
      </c>
      <c r="I293" s="3" t="n">
        <v>4</v>
      </c>
      <c r="J293" s="3" t="inlineStr">
        <is>
          <t>MK-ST-F-055 round2 · MK-PL-F-050 simulate · MK-ST-F-025 rmdStartAgeFromAge · MK-ST-F-024 rmdStartAge</t>
        </is>
      </c>
      <c r="K293" s="3" t="inlineStr">
        <is>
          <t>MK-ST-F-055 round2 → MK-PL-F-055 projectNestEgg
MK-ST-F-024 rmdStartAge → MK-ST-F-025 rmdStartAgeFromAge → MK-PL-F-050 simulate → MK-PL-F-055 projectNestEgg
MK-ST-F-055 round2 → MK-PL-F-050 simulate → MK-PL-F-055 projectNestEgg</t>
        </is>
      </c>
      <c r="L293" s="3" t="inlineStr">
        <is>
          <t>MK-CF-M-022 · MK-NW-M-015 · MK-PL-M-026 · MK-PL-M-033</t>
        </is>
      </c>
      <c r="M293" s="3" t="inlineStr">
        <is>
          <t>POT_AT_RETIREMENT</t>
        </is>
      </c>
    </row>
    <row r="294">
      <c r="A294" s="3" t="inlineStr">
        <is>
          <t>MK-ST-F-029</t>
        </is>
      </c>
      <c r="B294" s="3" t="inlineStr">
        <is>
          <t>prune</t>
        </is>
      </c>
      <c r="C294" s="3" t="inlineStr">
        <is>
          <t>Calculation Module code/engines/snapshots.ts</t>
        </is>
      </c>
      <c r="D294" s="3" t="n">
        <v>145</v>
      </c>
      <c r="E294" s="3" t="inlineStr">
        <is>
          <t>3 · DEPENDENT (feeds an action only)</t>
        </is>
      </c>
      <c r="F294" s="3" t="inlineStr">
        <is>
          <t>Its answer feeds another function, but no chain from it reaches a screen.</t>
        </is>
      </c>
      <c r="G294" s="3" t="inlineStr">
        <is>
          <t>No</t>
        </is>
      </c>
      <c r="H294" s="3" t="inlineStr">
        <is>
          <t>—</t>
        </is>
      </c>
      <c r="I294" s="3" t="n">
        <v>0</v>
      </c>
      <c r="J294" s="3" t="inlineStr">
        <is>
          <t>None — no dependent function stands behind it</t>
        </is>
      </c>
      <c r="K294" s="3" t="inlineStr">
        <is>
          <t>No dependent function — it reads its inputs and answers</t>
        </is>
      </c>
      <c r="L294" s="3" t="inlineStr">
        <is>
          <t>—</t>
        </is>
      </c>
      <c r="M294" s="3" t="inlineStr">
        <is>
          <t>—</t>
        </is>
      </c>
    </row>
    <row r="295">
      <c r="A295" s="3" t="inlineStr">
        <is>
          <t>MK-XS-F-006</t>
        </is>
      </c>
      <c r="B295" s="3" t="inlineStr">
        <is>
          <t>pruneDaily</t>
        </is>
      </c>
      <c r="C295" s="3" t="inlineStr">
        <is>
          <t>src/domain/history.ts</t>
        </is>
      </c>
      <c r="D295" s="3" t="n">
        <v>55</v>
      </c>
      <c r="E295" s="3" t="inlineStr">
        <is>
          <t>3 · DEPENDENT (feeds an action only)</t>
        </is>
      </c>
      <c r="F295" s="3" t="inlineStr">
        <is>
          <t>Its answer feeds another function, but no chain from it reaches a screen.</t>
        </is>
      </c>
      <c r="G295" s="3" t="inlineStr">
        <is>
          <t>No</t>
        </is>
      </c>
      <c r="H295" s="3" t="inlineStr">
        <is>
          <t>—</t>
        </is>
      </c>
      <c r="I295" s="3" t="n">
        <v>0</v>
      </c>
      <c r="J295" s="3" t="inlineStr">
        <is>
          <t>None — no dependent function stands behind it</t>
        </is>
      </c>
      <c r="K295" s="3" t="inlineStr">
        <is>
          <t>No dependent function — it reads its inputs and answers</t>
        </is>
      </c>
      <c r="L295" s="3" t="inlineStr">
        <is>
          <t>—</t>
        </is>
      </c>
      <c r="M295" s="3" t="inlineStr">
        <is>
          <t>—</t>
        </is>
      </c>
    </row>
    <row r="296">
      <c r="A296" s="3" t="inlineStr">
        <is>
          <t>MK-CF-F-017</t>
        </is>
      </c>
      <c r="B296" s="3" t="inlineStr">
        <is>
          <t>publishSurplus</t>
        </is>
      </c>
      <c r="C296" s="3" t="inlineStr">
        <is>
          <t>src/domain/budget/index.ts</t>
        </is>
      </c>
      <c r="D296" s="3" t="n">
        <v>287</v>
      </c>
      <c r="E296" s="3" t="inlineStr">
        <is>
          <t>1 · ACTION</t>
        </is>
      </c>
      <c r="F296" s="3" t="inlineStr">
        <is>
          <t>Produces nothing that is displayed — it does something: saves, syncs or records.</t>
        </is>
      </c>
      <c r="G296" s="3" t="inlineStr">
        <is>
          <t>No</t>
        </is>
      </c>
      <c r="H296" s="3" t="inlineStr">
        <is>
          <t>MK-ST-F-040 emit</t>
        </is>
      </c>
      <c r="I296" s="3" t="n">
        <v>1</v>
      </c>
      <c r="J296" s="3" t="inlineStr">
        <is>
          <t>MK-ST-F-040 emit</t>
        </is>
      </c>
      <c r="K296" s="3" t="inlineStr">
        <is>
          <t>MK-ST-F-040 emit → MK-CF-F-017 publishSurplus</t>
        </is>
      </c>
      <c r="L296" s="3" t="inlineStr">
        <is>
          <t>—</t>
        </is>
      </c>
      <c r="M296" s="3" t="inlineStr">
        <is>
          <t>—</t>
        </is>
      </c>
    </row>
    <row r="297">
      <c r="A297" s="3" t="inlineStr">
        <is>
          <t>MK-XS-F-059</t>
        </is>
      </c>
      <c r="B297" s="3" t="inlineStr">
        <is>
          <t>readFileString</t>
        </is>
      </c>
      <c r="C297" s="3" t="inlineStr">
        <is>
          <t>src/services/fileRead.ts</t>
        </is>
      </c>
      <c r="D297" s="3" t="n">
        <v>7</v>
      </c>
      <c r="E297" s="3" t="inlineStr">
        <is>
          <t>4 · BRINGS DATA IN</t>
        </is>
      </c>
      <c r="F297" s="3" t="inlineStr">
        <is>
          <t>Reaches outside the app for its answer — a feed, a file or a stored record.</t>
        </is>
      </c>
      <c r="G297" s="3" t="inlineStr">
        <is>
          <t>Yes</t>
        </is>
      </c>
      <c r="H297" s="3" t="inlineStr">
        <is>
          <t>—</t>
        </is>
      </c>
      <c r="I297" s="3" t="n">
        <v>0</v>
      </c>
      <c r="J297" s="3" t="inlineStr">
        <is>
          <t>None — no dependent function stands behind it</t>
        </is>
      </c>
      <c r="K297" s="3" t="inlineStr">
        <is>
          <t>No dependent function — it reads its inputs and answers</t>
        </is>
      </c>
      <c r="L297" s="3" t="inlineStr">
        <is>
          <t>—</t>
        </is>
      </c>
      <c r="M297" s="3" t="inlineStr">
        <is>
          <t>—</t>
        </is>
      </c>
    </row>
    <row r="298">
      <c r="A298" s="3" t="inlineStr">
        <is>
          <t>MK-XS-F-009</t>
        </is>
      </c>
      <c r="B298" s="3" t="inlineStr">
        <is>
          <t>readHistory</t>
        </is>
      </c>
      <c r="C298" s="3" t="inlineStr">
        <is>
          <t>src/domain/history.ts</t>
        </is>
      </c>
      <c r="D298" s="3" t="n">
        <v>107</v>
      </c>
      <c r="E298" s="3" t="inlineStr">
        <is>
          <t>2 · DISPLAYED</t>
        </is>
      </c>
      <c r="F298" s="3" t="inlineStr">
        <is>
          <t>A screen calls it directly, so its answer is on a screen.</t>
        </is>
      </c>
      <c r="G298" s="3" t="inlineStr">
        <is>
          <t>Yes</t>
        </is>
      </c>
      <c r="H298" s="3" t="inlineStr">
        <is>
          <t>MK-XS-F-008 normalizeSnapshot</t>
        </is>
      </c>
      <c r="I298" s="3" t="n">
        <v>2</v>
      </c>
      <c r="J298" s="3" t="inlineStr">
        <is>
          <t>MK-XS-F-008 normalizeSnapshot · MK-ST-F-055 round2</t>
        </is>
      </c>
      <c r="K298" s="3" t="inlineStr">
        <is>
          <t>MK-ST-F-055 round2 → MK-XS-F-008 normalizeSnapshot → MK-XS-F-009 readHistory</t>
        </is>
      </c>
      <c r="L298" s="3" t="inlineStr">
        <is>
          <t>—</t>
        </is>
      </c>
      <c r="M298" s="3" t="inlineStr">
        <is>
          <t>SNAPSHOT_READ_ALL</t>
        </is>
      </c>
    </row>
    <row r="299">
      <c r="A299" s="3" t="inlineStr">
        <is>
          <t>MK-ST-F-018</t>
        </is>
      </c>
      <c r="B299" s="3" t="inlineStr">
        <is>
          <t>readMoney</t>
        </is>
      </c>
      <c r="C299" s="3" t="inlineStr">
        <is>
          <t>Calculation Module code/engines/money.ts</t>
        </is>
      </c>
      <c r="D299" s="3" t="n">
        <v>36</v>
      </c>
      <c r="E299" s="3" t="inlineStr">
        <is>
          <t>3 · DEPENDENT (feeds an action only)</t>
        </is>
      </c>
      <c r="F299" s="3" t="inlineStr">
        <is>
          <t>Its answer feeds another function, but no chain from it reaches a screen.</t>
        </is>
      </c>
      <c r="G299" s="3" t="inlineStr">
        <is>
          <t>No</t>
        </is>
      </c>
      <c r="H299" s="3" t="inlineStr">
        <is>
          <t>—</t>
        </is>
      </c>
      <c r="I299" s="3" t="n">
        <v>0</v>
      </c>
      <c r="J299" s="3" t="inlineStr">
        <is>
          <t>None — no dependent function stands behind it</t>
        </is>
      </c>
      <c r="K299" s="3" t="inlineStr">
        <is>
          <t>No dependent function — it reads its inputs and answers</t>
        </is>
      </c>
      <c r="L299" s="3" t="inlineStr">
        <is>
          <t>—</t>
        </is>
      </c>
      <c r="M299" s="3" t="inlineStr">
        <is>
          <t>—</t>
        </is>
      </c>
    </row>
    <row r="300">
      <c r="A300" s="3" t="inlineStr">
        <is>
          <t>MK-NW-F-020</t>
        </is>
      </c>
      <c r="B300" s="3" t="inlineStr">
        <is>
          <t>realEstateTotal</t>
        </is>
      </c>
      <c r="C300" s="3" t="inlineStr">
        <is>
          <t>src/domain/assets/index.ts</t>
        </is>
      </c>
      <c r="D300" s="3" t="n">
        <v>286</v>
      </c>
      <c r="E300" s="3" t="inlineStr">
        <is>
          <t>3 · DEPENDENT (feeds an action only)</t>
        </is>
      </c>
      <c r="F300" s="3" t="inlineStr">
        <is>
          <t>Its answer feeds another function, but no chain from it reaches a screen.</t>
        </is>
      </c>
      <c r="G300" s="3" t="inlineStr">
        <is>
          <t>No</t>
        </is>
      </c>
      <c r="H300" s="3" t="inlineStr">
        <is>
          <t>MK-NW-F-011 assetClassOf</t>
        </is>
      </c>
      <c r="I300" s="3" t="n">
        <v>3</v>
      </c>
      <c r="J300" s="3" t="inlineStr">
        <is>
          <t>MK-NW-F-011 assetClassOf · MK-NW-F-008 incomeBearingClassOf · MK-ST-F-010 nameEvidence</t>
        </is>
      </c>
      <c r="K300" s="3" t="inlineStr">
        <is>
          <t>MK-ST-F-010 nameEvidence → MK-NW-F-008 incomeBearingClassOf → MK-NW-F-011 assetClassOf → MK-NW-F-020 realEstateTotal</t>
        </is>
      </c>
      <c r="L300" s="3" t="inlineStr">
        <is>
          <t>—</t>
        </is>
      </c>
      <c r="M300" s="3" t="inlineStr">
        <is>
          <t>—</t>
        </is>
      </c>
    </row>
    <row r="301">
      <c r="A301" s="3" t="inlineStr">
        <is>
          <t>MK-NW-F-013</t>
        </is>
      </c>
      <c r="B301" s="3" t="inlineStr">
        <is>
          <t>realEstateUseOf</t>
        </is>
      </c>
      <c r="C301" s="3" t="inlineStr">
        <is>
          <t>src/domain/assets/index.ts</t>
        </is>
      </c>
      <c r="D301" s="3" t="n">
        <v>247</v>
      </c>
      <c r="E301" s="3" t="inlineStr">
        <is>
          <t>3 · DEPENDENT</t>
        </is>
      </c>
      <c r="F301" s="3" t="inlineStr">
        <is>
          <t>Its answer feeds another function, and that chain ends at a screen.</t>
        </is>
      </c>
      <c r="G301" s="3" t="inlineStr">
        <is>
          <t>Yes</t>
        </is>
      </c>
      <c r="H301" s="3" t="inlineStr">
        <is>
          <t>—</t>
        </is>
      </c>
      <c r="I301" s="3" t="n">
        <v>0</v>
      </c>
      <c r="J301" s="3" t="inlineStr">
        <is>
          <t>None — no dependent function stands behind it</t>
        </is>
      </c>
      <c r="K301" s="3" t="inlineStr">
        <is>
          <t>No dependent function — it reads its inputs and answers</t>
        </is>
      </c>
      <c r="L301" s="3" t="inlineStr">
        <is>
          <t>—</t>
        </is>
      </c>
      <c r="M301" s="3" t="inlineStr">
        <is>
          <t>HOW_A_HOME_IS_USED</t>
        </is>
      </c>
    </row>
    <row r="302">
      <c r="A302" s="3" t="inlineStr">
        <is>
          <t>MK-PF-F-028</t>
        </is>
      </c>
      <c r="B302" s="3" t="inlineStr">
        <is>
          <t>realizedFromLedger</t>
        </is>
      </c>
      <c r="C302" s="3" t="inlineStr">
        <is>
          <t>src/domain/performance/realized.ts</t>
        </is>
      </c>
      <c r="D302" s="3" t="n">
        <v>14</v>
      </c>
      <c r="E302" s="3" t="inlineStr">
        <is>
          <t>2 · DISPLAYED</t>
        </is>
      </c>
      <c r="F302" s="3" t="inlineStr">
        <is>
          <t>A screen calls it directly, so its answer is on a screen.</t>
        </is>
      </c>
      <c r="G302" s="3" t="inlineStr">
        <is>
          <t>Yes</t>
        </is>
      </c>
      <c r="H302" s="3" t="inlineStr">
        <is>
          <t>—</t>
        </is>
      </c>
      <c r="I302" s="3" t="n">
        <v>0</v>
      </c>
      <c r="J302" s="3" t="inlineStr">
        <is>
          <t>None — no dependent function stands behind it</t>
        </is>
      </c>
      <c r="K302" s="3" t="inlineStr">
        <is>
          <t>No dependent function — it reads its inputs and answers</t>
        </is>
      </c>
      <c r="L302" s="3" t="inlineStr">
        <is>
          <t>MK-NW-M-035</t>
        </is>
      </c>
      <c r="M302" s="3" t="inlineStr">
        <is>
          <t>REALISED_GAIN</t>
        </is>
      </c>
    </row>
    <row r="303">
      <c r="A303" s="3" t="inlineStr">
        <is>
          <t>MK-NW-F-054</t>
        </is>
      </c>
      <c r="B303" s="3" t="inlineStr">
        <is>
          <t>reclassifyAccounts</t>
        </is>
      </c>
      <c r="C303" s="3" t="inlineStr">
        <is>
          <t>src/domain/assets/reclassify.ts</t>
        </is>
      </c>
      <c r="D303" s="3" t="n">
        <v>20</v>
      </c>
      <c r="E303" s="3" t="inlineStr">
        <is>
          <t>3 · DEPENDENT (feeds an action only)</t>
        </is>
      </c>
      <c r="F303" s="3" t="inlineStr">
        <is>
          <t>Its answer feeds another function, but no chain from it reaches a screen.</t>
        </is>
      </c>
      <c r="G303" s="3" t="inlineStr">
        <is>
          <t>No</t>
        </is>
      </c>
      <c r="H303" s="3" t="inlineStr">
        <is>
          <t>MK-NW-F-053 correctClassOf · MK-NW-F-008 incomeBearingClassOf</t>
        </is>
      </c>
      <c r="I303" s="3" t="n">
        <v>4</v>
      </c>
      <c r="J303" s="3" t="inlineStr">
        <is>
          <t>MK-NW-F-053 correctClassOf · MK-NW-F-008 incomeBearingClassOf · MK-NW-F-009 maturityClass · MK-ST-F-010 nameEvidence</t>
        </is>
      </c>
      <c r="K303" s="3" t="inlineStr">
        <is>
          <t>MK-ST-F-010 nameEvidence → MK-NW-F-008 incomeBearingClassOf → MK-NW-F-053 correctClassOf → MK-NW-F-054 reclassifyAccounts
MK-NW-F-009 maturityClass → MK-NW-F-053 correctClassOf → MK-NW-F-054 reclassifyAccounts
MK-ST-F-010 nameEvidence → MK-NW-F-008 incomeBearingClassOf → MK-NW-F-054 reclassifyAccounts</t>
        </is>
      </c>
      <c r="L303" s="3" t="inlineStr">
        <is>
          <t>—</t>
        </is>
      </c>
      <c r="M303" s="3" t="inlineStr">
        <is>
          <t>—</t>
        </is>
      </c>
    </row>
    <row r="304">
      <c r="A304" s="3" t="inlineStr">
        <is>
          <t>MK-ST-F-036</t>
        </is>
      </c>
      <c r="B304" s="3" t="inlineStr">
        <is>
          <t>reconcile</t>
        </is>
      </c>
      <c r="C304" s="3" t="inlineStr">
        <is>
          <t>Calculation Module code/engines/snapshots.ts</t>
        </is>
      </c>
      <c r="D304" s="3" t="n">
        <v>206</v>
      </c>
      <c r="E304" s="3" t="inlineStr">
        <is>
          <t>3 · DEPENDENT (feeds an action only)</t>
        </is>
      </c>
      <c r="F304" s="3" t="inlineStr">
        <is>
          <t>Its answer feeds another function, but no chain from it reaches a screen.</t>
        </is>
      </c>
      <c r="G304" s="3" t="inlineStr">
        <is>
          <t>No</t>
        </is>
      </c>
      <c r="H304" s="3" t="inlineStr">
        <is>
          <t>MK-ST-F-055 round2</t>
        </is>
      </c>
      <c r="I304" s="3" t="n">
        <v>1</v>
      </c>
      <c r="J304" s="3" t="inlineStr">
        <is>
          <t>MK-ST-F-055 round2</t>
        </is>
      </c>
      <c r="K304" s="3" t="inlineStr">
        <is>
          <t>MK-ST-F-055 round2 → MK-ST-F-036 reconcile</t>
        </is>
      </c>
      <c r="L304" s="3" t="inlineStr">
        <is>
          <t>—</t>
        </is>
      </c>
      <c r="M304" s="3" t="inlineStr">
        <is>
          <t>—</t>
        </is>
      </c>
    </row>
    <row r="305">
      <c r="A305" s="3" t="inlineStr">
        <is>
          <t>MK-ST-F-022</t>
        </is>
      </c>
      <c r="B305" s="3" t="inlineStr">
        <is>
          <t>reconcileAccountTotal</t>
        </is>
      </c>
      <c r="C305" s="3" t="inlineStr">
        <is>
          <t>Calculation Module code/engines/reconcile.ts</t>
        </is>
      </c>
      <c r="D305" s="3" t="n">
        <v>38</v>
      </c>
      <c r="E305" s="3" t="inlineStr">
        <is>
          <t>3 · DEPENDENT (feeds an action only)</t>
        </is>
      </c>
      <c r="F305" s="3" t="inlineStr">
        <is>
          <t>Its answer feeds another function, but no chain from it reaches a screen.</t>
        </is>
      </c>
      <c r="G305" s="3" t="inlineStr">
        <is>
          <t>No</t>
        </is>
      </c>
      <c r="H305" s="3" t="inlineStr">
        <is>
          <t>—</t>
        </is>
      </c>
      <c r="I305" s="3" t="n">
        <v>0</v>
      </c>
      <c r="J305" s="3" t="inlineStr">
        <is>
          <t>None — no dependent function stands behind it</t>
        </is>
      </c>
      <c r="K305" s="3" t="inlineStr">
        <is>
          <t>No dependent function — it reads its inputs and answers</t>
        </is>
      </c>
      <c r="L305" s="3" t="inlineStr">
        <is>
          <t>—</t>
        </is>
      </c>
      <c r="M305" s="3" t="inlineStr">
        <is>
          <t>—</t>
        </is>
      </c>
    </row>
    <row r="306">
      <c r="A306" s="3" t="inlineStr">
        <is>
          <t>MK-ST-F-023</t>
        </is>
      </c>
      <c r="B306" s="3" t="inlineStr">
        <is>
          <t>reconcileLedgerIdentity</t>
        </is>
      </c>
      <c r="C306" s="3" t="inlineStr">
        <is>
          <t>Calculation Module code/engines/reconcile.ts</t>
        </is>
      </c>
      <c r="D306" s="3" t="n">
        <v>50</v>
      </c>
      <c r="E306" s="3" t="inlineStr">
        <is>
          <t>3 · DEPENDENT (feeds an action only)</t>
        </is>
      </c>
      <c r="F306" s="3" t="inlineStr">
        <is>
          <t>Its answer feeds another function, but no chain from it reaches a screen.</t>
        </is>
      </c>
      <c r="G306" s="3" t="inlineStr">
        <is>
          <t>No</t>
        </is>
      </c>
      <c r="H306" s="3" t="inlineStr">
        <is>
          <t>—</t>
        </is>
      </c>
      <c r="I306" s="3" t="n">
        <v>0</v>
      </c>
      <c r="J306" s="3" t="inlineStr">
        <is>
          <t>None — no dependent function stands behind it</t>
        </is>
      </c>
      <c r="K306" s="3" t="inlineStr">
        <is>
          <t>No dependent function — it reads its inputs and answers</t>
        </is>
      </c>
      <c r="L306" s="3" t="inlineStr">
        <is>
          <t>—</t>
        </is>
      </c>
      <c r="M306" s="3" t="inlineStr">
        <is>
          <t>—</t>
        </is>
      </c>
    </row>
    <row r="307">
      <c r="A307" s="3" t="inlineStr">
        <is>
          <t>MK-ST-F-030</t>
        </is>
      </c>
      <c r="B307" s="3" t="inlineStr">
        <is>
          <t>record</t>
        </is>
      </c>
      <c r="C307" s="3" t="inlineStr">
        <is>
          <t>Calculation Module code/engines/snapshots.ts</t>
        </is>
      </c>
      <c r="D307" s="3" t="n">
        <v>156</v>
      </c>
      <c r="E307" s="3" t="inlineStr">
        <is>
          <t>3 · DEPENDENT (feeds an action only)</t>
        </is>
      </c>
      <c r="F307" s="3" t="inlineStr">
        <is>
          <t>Its answer feeds another function, but no chain from it reaches a screen.</t>
        </is>
      </c>
      <c r="G307" s="3" t="inlineStr">
        <is>
          <t>No</t>
        </is>
      </c>
      <c r="H307" s="3" t="inlineStr">
        <is>
          <t>—</t>
        </is>
      </c>
      <c r="I307" s="3" t="n">
        <v>0</v>
      </c>
      <c r="J307" s="3" t="inlineStr">
        <is>
          <t>None — no dependent function stands behind it</t>
        </is>
      </c>
      <c r="K307" s="3" t="inlineStr">
        <is>
          <t>No dependent function — it reads its inputs and answers</t>
        </is>
      </c>
      <c r="L307" s="3" t="inlineStr">
        <is>
          <t>—</t>
        </is>
      </c>
      <c r="M307" s="3" t="inlineStr">
        <is>
          <t>—</t>
        </is>
      </c>
    </row>
    <row r="308">
      <c r="A308" s="3" t="inlineStr">
        <is>
          <t>MK-XS-F-062</t>
        </is>
      </c>
      <c r="B308" s="3" t="inlineStr">
        <is>
          <t>refreshEmailVerified</t>
        </is>
      </c>
      <c r="C308" s="3" t="inlineStr">
        <is>
          <t>src/services/firebase.ts</t>
        </is>
      </c>
      <c r="D308" s="3" t="n">
        <v>95</v>
      </c>
      <c r="E308" s="3" t="inlineStr">
        <is>
          <t>2 · DISPLAYED</t>
        </is>
      </c>
      <c r="F308" s="3" t="inlineStr">
        <is>
          <t>A screen calls it directly, so its answer is on a screen.</t>
        </is>
      </c>
      <c r="G308" s="3" t="inlineStr">
        <is>
          <t>Yes</t>
        </is>
      </c>
      <c r="H308" s="3" t="inlineStr">
        <is>
          <t>—</t>
        </is>
      </c>
      <c r="I308" s="3" t="n">
        <v>0</v>
      </c>
      <c r="J308" s="3" t="inlineStr">
        <is>
          <t>None — no dependent function stands behind it</t>
        </is>
      </c>
      <c r="K308" s="3" t="inlineStr">
        <is>
          <t>No dependent function — it reads its inputs and answers</t>
        </is>
      </c>
      <c r="L308" s="3" t="inlineStr">
        <is>
          <t>—</t>
        </is>
      </c>
      <c r="M308" s="3" t="inlineStr">
        <is>
          <t>—</t>
        </is>
      </c>
    </row>
    <row r="309">
      <c r="A309" s="3" t="inlineStr">
        <is>
          <t>MK-XS-F-068</t>
        </is>
      </c>
      <c r="B309" s="3" t="inlineStr">
        <is>
          <t>regenerateRecoveryCode</t>
        </is>
      </c>
      <c r="C309" s="3" t="inlineStr">
        <is>
          <t>src/services/firebase.ts</t>
        </is>
      </c>
      <c r="D309" s="3" t="n">
        <v>161</v>
      </c>
      <c r="E309" s="3" t="inlineStr">
        <is>
          <t>4 · BRINGS DATA IN</t>
        </is>
      </c>
      <c r="F309" s="3" t="inlineStr">
        <is>
          <t>Reaches outside the app for its answer — a feed, a file or a stored record.</t>
        </is>
      </c>
      <c r="G309" s="3" t="inlineStr">
        <is>
          <t>Yes</t>
        </is>
      </c>
      <c r="H309" s="3" t="inlineStr">
        <is>
          <t>MK-XS-F-045 generateRecoveryCode · MK-XS-F-042 getDataKey · MK-XS-F-050 rewrapRecovery</t>
        </is>
      </c>
      <c r="I309" s="3" t="n">
        <v>4</v>
      </c>
      <c r="J309" s="3" t="inlineStr">
        <is>
          <t>MK-XS-F-045 generateRecoveryCode · MK-XS-F-042 getDataKey · MK-XS-F-050 rewrapRecovery · MK-XS-F-052 encryptWithKey</t>
        </is>
      </c>
      <c r="K309" s="3" t="inlineStr">
        <is>
          <t>MK-XS-F-052 encryptWithKey → MK-XS-F-045 generateRecoveryCode → MK-XS-F-068 regenerateRecoveryCode
MK-XS-F-042 getDataKey → MK-XS-F-068 regenerateRecoveryCode
MK-XS-F-050 rewrapRecovery → MK-XS-F-068 regenerateRecoveryCode</t>
        </is>
      </c>
      <c r="L309" s="3" t="inlineStr">
        <is>
          <t>—</t>
        </is>
      </c>
      <c r="M309" s="3" t="inlineStr">
        <is>
          <t>—</t>
        </is>
      </c>
    </row>
    <row r="310">
      <c r="A310" s="3" t="inlineStr">
        <is>
          <t>MK-XS-F-060</t>
        </is>
      </c>
      <c r="B310" s="3" t="inlineStr">
        <is>
          <t>registerUser</t>
        </is>
      </c>
      <c r="C310" s="3" t="inlineStr">
        <is>
          <t>src/services/firebase.ts</t>
        </is>
      </c>
      <c r="D310" s="3" t="n">
        <v>64</v>
      </c>
      <c r="E310" s="3" t="inlineStr">
        <is>
          <t>2 · DISPLAYED</t>
        </is>
      </c>
      <c r="F310" s="3" t="inlineStr">
        <is>
          <t>A screen calls it directly, so its answer is on a screen.</t>
        </is>
      </c>
      <c r="G310" s="3" t="inlineStr">
        <is>
          <t>Yes</t>
        </is>
      </c>
      <c r="H310" s="3" t="inlineStr">
        <is>
          <t>MK-XS-F-041 cacheDataKey · MK-XS-F-044 generateDataKey · MK-XS-F-045 generateRecoveryCode · MK-XS-F-046 makeEnvelope</t>
        </is>
      </c>
      <c r="I310" s="3" t="n">
        <v>5</v>
      </c>
      <c r="J310" s="3" t="inlineStr">
        <is>
          <t>MK-XS-F-041 cacheDataKey · MK-XS-F-044 generateDataKey · MK-XS-F-045 generateRecoveryCode · MK-XS-F-046 makeEnvelope · MK-XS-F-052 encryptWithKey</t>
        </is>
      </c>
      <c r="K310" s="3" t="inlineStr">
        <is>
          <t>MK-XS-F-041 cacheDataKey → MK-XS-F-060 registerUser
MK-XS-F-044 generateDataKey → MK-XS-F-060 registerUser
MK-XS-F-052 encryptWithKey → MK-XS-F-045 generateRecoveryCode → MK-XS-F-060 registerUser
MK-XS-F-046 makeEnvelope → MK-XS-F-060 registerUser</t>
        </is>
      </c>
      <c r="L310" s="3" t="inlineStr">
        <is>
          <t>—</t>
        </is>
      </c>
      <c r="M310" s="3" t="inlineStr">
        <is>
          <t>—</t>
        </is>
      </c>
    </row>
    <row r="311">
      <c r="A311" s="3" t="inlineStr">
        <is>
          <t>MK-XS-F-112</t>
        </is>
      </c>
      <c r="B311" s="3" t="inlineStr">
        <is>
          <t>relayUrl</t>
        </is>
      </c>
      <c r="C311" s="3" t="inlineStr">
        <is>
          <t>src/services/sync/snaptradeClient.ts</t>
        </is>
      </c>
      <c r="D311" s="3" t="n">
        <v>8</v>
      </c>
      <c r="E311" s="3" t="inlineStr">
        <is>
          <t>3 · DEPENDENT</t>
        </is>
      </c>
      <c r="F311" s="3" t="inlineStr">
        <is>
          <t>Its answer feeds another function, and that chain ends at a screen.</t>
        </is>
      </c>
      <c r="G311" s="3" t="inlineStr">
        <is>
          <t>Yes</t>
        </is>
      </c>
      <c r="H311" s="3" t="inlineStr">
        <is>
          <t>—</t>
        </is>
      </c>
      <c r="I311" s="3" t="n">
        <v>0</v>
      </c>
      <c r="J311" s="3" t="inlineStr">
        <is>
          <t>None — no dependent function stands behind it</t>
        </is>
      </c>
      <c r="K311" s="3" t="inlineStr">
        <is>
          <t>No dependent function — it reads its inputs and answers</t>
        </is>
      </c>
      <c r="L311" s="3" t="inlineStr">
        <is>
          <t>—</t>
        </is>
      </c>
      <c r="M311" s="3" t="inlineStr">
        <is>
          <t>—</t>
        </is>
      </c>
    </row>
    <row r="312">
      <c r="A312" s="3" t="inlineStr">
        <is>
          <t>MK-CF-F-067</t>
        </is>
      </c>
      <c r="B312" s="3" t="inlineStr">
        <is>
          <t>rentalList</t>
        </is>
      </c>
      <c r="C312" s="3" t="inlineStr">
        <is>
          <t>src/domain/income/onboarding.ts</t>
        </is>
      </c>
      <c r="D312" s="3" t="n">
        <v>129</v>
      </c>
      <c r="E312" s="3" t="inlineStr">
        <is>
          <t>3 · DEPENDENT</t>
        </is>
      </c>
      <c r="F312" s="3" t="inlineStr">
        <is>
          <t>Its answer feeds another function, and that chain ends at a screen.</t>
        </is>
      </c>
      <c r="G312" s="3" t="inlineStr">
        <is>
          <t>Yes</t>
        </is>
      </c>
      <c r="H312" s="3" t="inlineStr">
        <is>
          <t>MK-ST-F-052 toNum</t>
        </is>
      </c>
      <c r="I312" s="3" t="n">
        <v>1</v>
      </c>
      <c r="J312" s="3" t="inlineStr">
        <is>
          <t>MK-ST-F-052 toNum</t>
        </is>
      </c>
      <c r="K312" s="3" t="inlineStr">
        <is>
          <t>MK-ST-F-052 toNum → MK-CF-F-067 rentalList</t>
        </is>
      </c>
      <c r="L312" s="3" t="inlineStr">
        <is>
          <t>—</t>
        </is>
      </c>
      <c r="M312" s="3" t="inlineStr">
        <is>
          <t>RENTALS</t>
        </is>
      </c>
    </row>
    <row r="313">
      <c r="A313" s="3" t="inlineStr">
        <is>
          <t>MK-CF-F-068</t>
        </is>
      </c>
      <c r="B313" s="3" t="inlineStr">
        <is>
          <t>rentalNetAnnual</t>
        </is>
      </c>
      <c r="C313" s="3" t="inlineStr">
        <is>
          <t>src/domain/income/onboarding.ts</t>
        </is>
      </c>
      <c r="D313" s="3" t="n">
        <v>142</v>
      </c>
      <c r="E313" s="3" t="inlineStr">
        <is>
          <t>2 · DISPLAYED</t>
        </is>
      </c>
      <c r="F313" s="3" t="inlineStr">
        <is>
          <t>A screen calls it directly, so its answer is on a screen.</t>
        </is>
      </c>
      <c r="G313" s="3" t="inlineStr">
        <is>
          <t>Yes</t>
        </is>
      </c>
      <c r="H313" s="3" t="inlineStr">
        <is>
          <t>MK-CF-F-067 rentalList</t>
        </is>
      </c>
      <c r="I313" s="3" t="n">
        <v>2</v>
      </c>
      <c r="J313" s="3" t="inlineStr">
        <is>
          <t>MK-CF-F-067 rentalList · MK-ST-F-052 toNum</t>
        </is>
      </c>
      <c r="K313" s="3" t="inlineStr">
        <is>
          <t>MK-ST-F-052 toNum → MK-CF-F-067 rentalList → MK-CF-F-068 rentalNetAnnual</t>
        </is>
      </c>
      <c r="L313" s="3" t="inlineStr">
        <is>
          <t>MK-CF-M-010</t>
        </is>
      </c>
      <c r="M313" s="3" t="inlineStr">
        <is>
          <t>RENTAL_INCOME_A_YEAR</t>
        </is>
      </c>
    </row>
    <row r="314">
      <c r="A314" s="3" t="inlineStr">
        <is>
          <t>MK-XS-F-084</t>
        </is>
      </c>
      <c r="B314" s="3" t="inlineStr">
        <is>
          <t>requestNotificationPermission</t>
        </is>
      </c>
      <c r="C314" s="3" t="inlineStr">
        <is>
          <t>src/services/notifications.ts</t>
        </is>
      </c>
      <c r="D314" s="3" t="n">
        <v>17</v>
      </c>
      <c r="E314" s="3" t="inlineStr">
        <is>
          <t>2 · DISPLAYED</t>
        </is>
      </c>
      <c r="F314" s="3" t="inlineStr">
        <is>
          <t>A screen calls it directly, so its answer is on a screen.</t>
        </is>
      </c>
      <c r="G314" s="3" t="inlineStr">
        <is>
          <t>Yes</t>
        </is>
      </c>
      <c r="H314" s="3" t="inlineStr">
        <is>
          <t>—</t>
        </is>
      </c>
      <c r="I314" s="3" t="n">
        <v>0</v>
      </c>
      <c r="J314" s="3" t="inlineStr">
        <is>
          <t>None — no dependent function stands behind it</t>
        </is>
      </c>
      <c r="K314" s="3" t="inlineStr">
        <is>
          <t>No dependent function — it reads its inputs and answers</t>
        </is>
      </c>
      <c r="L314" s="3" t="inlineStr">
        <is>
          <t>—</t>
        </is>
      </c>
      <c r="M314" s="3" t="inlineStr">
        <is>
          <t>—</t>
        </is>
      </c>
    </row>
    <row r="315">
      <c r="A315" s="3" t="inlineStr">
        <is>
          <t>MK-PL-F-041</t>
        </is>
      </c>
      <c r="B315" s="3" t="inlineStr">
        <is>
          <t>requiredAnnualSaving</t>
        </is>
      </c>
      <c r="C315" s="3" t="inlineStr">
        <is>
          <t>src/domain/planning/target.ts</t>
        </is>
      </c>
      <c r="D315" s="3" t="n">
        <v>59</v>
      </c>
      <c r="E315" s="3" t="inlineStr">
        <is>
          <t>3 · DEPENDENT</t>
        </is>
      </c>
      <c r="F315" s="3" t="inlineStr">
        <is>
          <t>Its answer feeds another function, and that chain ends at a screen.</t>
        </is>
      </c>
      <c r="G315" s="3" t="inlineStr">
        <is>
          <t>Yes</t>
        </is>
      </c>
      <c r="H315" s="3" t="inlineStr">
        <is>
          <t>—</t>
        </is>
      </c>
      <c r="I315" s="3" t="n">
        <v>0</v>
      </c>
      <c r="J315" s="3" t="inlineStr">
        <is>
          <t>None — no dependent function stands behind it</t>
        </is>
      </c>
      <c r="K315" s="3" t="inlineStr">
        <is>
          <t>No dependent function — it reads its inputs and answers</t>
        </is>
      </c>
      <c r="L315" s="3" t="inlineStr">
        <is>
          <t>—</t>
        </is>
      </c>
      <c r="M315" s="3" t="inlineStr">
        <is>
          <t>—</t>
        </is>
      </c>
    </row>
    <row r="316">
      <c r="A316" s="3" t="inlineStr">
        <is>
          <t>MK-PL-F-020</t>
        </is>
      </c>
      <c r="B316" s="3" t="inlineStr">
        <is>
          <t>requiredMonthly</t>
        </is>
      </c>
      <c r="C316" s="3" t="inlineStr">
        <is>
          <t>src/domain/goals/index.ts</t>
        </is>
      </c>
      <c r="D316" s="3" t="n">
        <v>108</v>
      </c>
      <c r="E316" s="3" t="inlineStr">
        <is>
          <t>2 · DISPLAYED</t>
        </is>
      </c>
      <c r="F316" s="3" t="inlineStr">
        <is>
          <t>A screen calls it directly, so its answer is on a screen.</t>
        </is>
      </c>
      <c r="G316" s="3" t="inlineStr">
        <is>
          <t>Yes</t>
        </is>
      </c>
      <c r="H316" s="3" t="inlineStr">
        <is>
          <t>MK-PL-F-019 goalMonthsRemaining · MK-ST-F-055 round2</t>
        </is>
      </c>
      <c r="I316" s="3" t="n">
        <v>3</v>
      </c>
      <c r="J316" s="3" t="inlineStr">
        <is>
          <t>MK-PL-F-019 goalMonthsRemaining · MK-ST-F-055 round2 · MK-PL-F-018 monthsUntil</t>
        </is>
      </c>
      <c r="K316" s="3" t="inlineStr">
        <is>
          <t>MK-PL-F-018 monthsUntil → MK-PL-F-019 goalMonthsRemaining → MK-PL-F-020 requiredMonthly
MK-ST-F-055 round2 → MK-PL-F-020 requiredMonthly</t>
        </is>
      </c>
      <c r="L316" s="3" t="inlineStr">
        <is>
          <t>—</t>
        </is>
      </c>
      <c r="M316" s="3" t="inlineStr">
        <is>
          <t>—</t>
        </is>
      </c>
    </row>
    <row r="317">
      <c r="A317" s="3" t="inlineStr">
        <is>
          <t>MK-CF-F-023</t>
        </is>
      </c>
      <c r="B317" s="3" t="inlineStr">
        <is>
          <t>requiredPayment</t>
        </is>
      </c>
      <c r="C317" s="3" t="inlineStr">
        <is>
          <t>src/domain/debt/index.ts</t>
        </is>
      </c>
      <c r="D317" s="3" t="n">
        <v>44</v>
      </c>
      <c r="E317" s="3" t="inlineStr">
        <is>
          <t>2 · DISPLAYED</t>
        </is>
      </c>
      <c r="F317" s="3" t="inlineStr">
        <is>
          <t>A screen calls it directly, so its answer is on a screen.</t>
        </is>
      </c>
      <c r="G317" s="3" t="inlineStr">
        <is>
          <t>Yes</t>
        </is>
      </c>
      <c r="H317" s="3" t="inlineStr">
        <is>
          <t>MK-CF-F-022 paymentShape</t>
        </is>
      </c>
      <c r="I317" s="3" t="n">
        <v>2</v>
      </c>
      <c r="J317" s="3" t="inlineStr">
        <is>
          <t>MK-CF-F-022 paymentShape · MK-CF-F-021 defaultPaymentType</t>
        </is>
      </c>
      <c r="K317" s="3" t="inlineStr">
        <is>
          <t>MK-CF-F-021 defaultPaymentType → MK-CF-F-022 paymentShape → MK-CF-F-023 requiredPayment</t>
        </is>
      </c>
      <c r="L317" s="3" t="inlineStr">
        <is>
          <t>MK-NW-M-011</t>
        </is>
      </c>
      <c r="M317" s="3" t="inlineStr">
        <is>
          <t>DEBT_REQUIRED_PAYMENT</t>
        </is>
      </c>
    </row>
    <row r="318">
      <c r="A318" s="3" t="inlineStr">
        <is>
          <t>MK-XS-F-061</t>
        </is>
      </c>
      <c r="B318" s="3" t="inlineStr">
        <is>
          <t>resendVerification</t>
        </is>
      </c>
      <c r="C318" s="3" t="inlineStr">
        <is>
          <t>src/services/firebase.ts</t>
        </is>
      </c>
      <c r="D318" s="3" t="n">
        <v>91</v>
      </c>
      <c r="E318" s="3" t="inlineStr">
        <is>
          <t>1 · ACTION</t>
        </is>
      </c>
      <c r="F318" s="3" t="inlineStr">
        <is>
          <t>Produces nothing that is displayed — it does something: saves, syncs or records.</t>
        </is>
      </c>
      <c r="G318" s="3" t="inlineStr">
        <is>
          <t>Yes</t>
        </is>
      </c>
      <c r="H318" s="3" t="inlineStr">
        <is>
          <t>—</t>
        </is>
      </c>
      <c r="I318" s="3" t="n">
        <v>0</v>
      </c>
      <c r="J318" s="3" t="inlineStr">
        <is>
          <t>None — no dependent function stands behind it</t>
        </is>
      </c>
      <c r="K318" s="3" t="inlineStr">
        <is>
          <t>No dependent function — it reads its inputs and answers</t>
        </is>
      </c>
      <c r="L318" s="3" t="inlineStr">
        <is>
          <t>—</t>
        </is>
      </c>
      <c r="M318" s="3" t="inlineStr">
        <is>
          <t>—</t>
        </is>
      </c>
    </row>
    <row r="319">
      <c r="A319" s="3" t="inlineStr">
        <is>
          <t>MK-XS-F-070</t>
        </is>
      </c>
      <c r="B319" s="3" t="inlineStr">
        <is>
          <t>resetPassword</t>
        </is>
      </c>
      <c r="C319" s="3" t="inlineStr">
        <is>
          <t>src/services/firebase.ts</t>
        </is>
      </c>
      <c r="D319" s="3" t="n">
        <v>178</v>
      </c>
      <c r="E319" s="3" t="inlineStr">
        <is>
          <t>1 · ACTION</t>
        </is>
      </c>
      <c r="F319" s="3" t="inlineStr">
        <is>
          <t>Produces nothing that is displayed — it does something: saves, syncs or records.</t>
        </is>
      </c>
      <c r="G319" s="3" t="inlineStr">
        <is>
          <t>Yes</t>
        </is>
      </c>
      <c r="H319" s="3" t="inlineStr">
        <is>
          <t>—</t>
        </is>
      </c>
      <c r="I319" s="3" t="n">
        <v>0</v>
      </c>
      <c r="J319" s="3" t="inlineStr">
        <is>
          <t>None — no dependent function stands behind it</t>
        </is>
      </c>
      <c r="K319" s="3" t="inlineStr">
        <is>
          <t>No dependent function — it reads its inputs and answers</t>
        </is>
      </c>
      <c r="L319" s="3" t="inlineStr">
        <is>
          <t>—</t>
        </is>
      </c>
      <c r="M319" s="3" t="inlineStr">
        <is>
          <t>—</t>
        </is>
      </c>
    </row>
    <row r="320">
      <c r="A320" s="3" t="inlineStr">
        <is>
          <t>MK-XS-F-024</t>
        </is>
      </c>
      <c r="B320" s="3" t="inlineStr">
        <is>
          <t>resolveLens</t>
        </is>
      </c>
      <c r="C320" s="3" t="inlineStr">
        <is>
          <t>src/domain/profile/lens.ts</t>
        </is>
      </c>
      <c r="D320" s="3" t="n">
        <v>17</v>
      </c>
      <c r="E320" s="3" t="inlineStr">
        <is>
          <t>2 · DISPLAYED</t>
        </is>
      </c>
      <c r="F320" s="3" t="inlineStr">
        <is>
          <t>A screen calls it directly, so its answer is on a screen.</t>
        </is>
      </c>
      <c r="G320" s="3" t="inlineStr">
        <is>
          <t>Yes</t>
        </is>
      </c>
      <c r="H320" s="3" t="inlineStr">
        <is>
          <t>MK-CF-F-072 currentRetirementIncomeMonthly</t>
        </is>
      </c>
      <c r="I320" s="3" t="n">
        <v>3</v>
      </c>
      <c r="J320" s="3" t="inlineStr">
        <is>
          <t>MK-CF-F-072 currentRetirementIncomeMonthly · MK-CF-F-075 retirementIncomeMonthly · MK-ST-F-052 toNum</t>
        </is>
      </c>
      <c r="K320" s="3" t="inlineStr">
        <is>
          <t>MK-ST-F-052 toNum → MK-CF-F-075 retirementIncomeMonthly → MK-CF-F-072 currentRetirementIncomeMonthly → MK-XS-F-024 resolveLens</t>
        </is>
      </c>
      <c r="L320" s="3" t="inlineStr">
        <is>
          <t>—</t>
        </is>
      </c>
      <c r="M320" s="3" t="inlineStr">
        <is>
          <t>WHICH_VIEW</t>
        </is>
      </c>
    </row>
    <row r="321">
      <c r="A321" s="3" t="inlineStr">
        <is>
          <t>MK-XS-F-033</t>
        </is>
      </c>
      <c r="B321" s="3" t="inlineStr">
        <is>
          <t>resolveNetWorthRows</t>
        </is>
      </c>
      <c r="C321" s="3" t="inlineStr">
        <is>
          <t>src/domain/snapshot.ts</t>
        </is>
      </c>
      <c r="D321" s="3" t="n">
        <v>124</v>
      </c>
      <c r="E321" s="3" t="inlineStr">
        <is>
          <t>2 · DISPLAYED</t>
        </is>
      </c>
      <c r="F321" s="3" t="inlineStr">
        <is>
          <t>A screen calls it directly, so its answer is on a screen.</t>
        </is>
      </c>
      <c r="G321" s="3" t="inlineStr">
        <is>
          <t>Yes</t>
        </is>
      </c>
      <c r="H321" s="3" t="inlineStr">
        <is>
          <t>MK-NW-F-040 assetsFromOnboarding · MK-CF-F-038 debtsFromOnboarding</t>
        </is>
      </c>
      <c r="I321" s="3" t="n">
        <v>5</v>
      </c>
      <c r="J321" s="3" t="inlineStr">
        <is>
          <t>MK-NW-F-040 assetsFromOnboarding · MK-CF-F-038 debtsFromOnboarding · MK-ST-F-043 newEntityId · MK-ST-F-052 toNum · MK-CF-F-037 inferDebtType</t>
        </is>
      </c>
      <c r="K321" s="3" t="inlineStr">
        <is>
          <t>MK-ST-F-043 newEntityId → MK-NW-F-040 assetsFromOnboarding → MK-XS-F-033 resolveNetWorthRows
MK-ST-F-052 toNum → MK-NW-F-040 assetsFromOnboarding → MK-XS-F-033 resolveNetWorthRows
MK-CF-F-037 inferDebtType → MK-CF-F-038 debtsFromOnboarding → MK-XS-F-033 resolveNetWorthRows
MK-ST-F-043 newEntityId → MK-CF-F-038 debtsFromOnboarding → MK-XS-F-033 resolveNetWorthRows
MK-ST-F-052 toNum → MK-CF-F-038 debtsFromOnboarding → MK-XS-F-033 resolveNetWorthRows</t>
        </is>
      </c>
      <c r="L321" s="3" t="inlineStr">
        <is>
          <t>—</t>
        </is>
      </c>
      <c r="M321" s="3" t="inlineStr">
        <is>
          <t>NET_WORTH_ROWS</t>
        </is>
      </c>
    </row>
    <row r="322">
      <c r="A322" s="3" t="inlineStr">
        <is>
          <t>MK-CF-F-115</t>
        </is>
      </c>
      <c r="B322" s="3" t="inlineStr">
        <is>
          <t>restoreUndo</t>
        </is>
      </c>
      <c r="C322" s="3" t="inlineStr">
        <is>
          <t>src/domain/transactions/index.ts</t>
        </is>
      </c>
      <c r="D322" s="3" t="n">
        <v>191</v>
      </c>
      <c r="E322" s="3" t="inlineStr">
        <is>
          <t>3 · DEPENDENT (feeds an action only)</t>
        </is>
      </c>
      <c r="F322" s="3" t="inlineStr">
        <is>
          <t>Its answer feeds another function, but no chain from it reaches a screen.</t>
        </is>
      </c>
      <c r="G322" s="3" t="inlineStr">
        <is>
          <t>No</t>
        </is>
      </c>
      <c r="H322" s="3" t="inlineStr">
        <is>
          <t>—</t>
        </is>
      </c>
      <c r="I322" s="3" t="n">
        <v>0</v>
      </c>
      <c r="J322" s="3" t="inlineStr">
        <is>
          <t>None — no dependent function stands behind it</t>
        </is>
      </c>
      <c r="K322" s="3" t="inlineStr">
        <is>
          <t>No dependent function — it reads its inputs and answers</t>
        </is>
      </c>
      <c r="L322" s="3" t="inlineStr">
        <is>
          <t>—</t>
        </is>
      </c>
      <c r="M322" s="3" t="inlineStr">
        <is>
          <t>—</t>
        </is>
      </c>
    </row>
    <row r="323">
      <c r="A323" s="3" t="inlineStr">
        <is>
          <t>MK-XS-F-067</t>
        </is>
      </c>
      <c r="B323" s="3" t="inlineStr">
        <is>
          <t>restoreWithRecoveryCode</t>
        </is>
      </c>
      <c r="C323" s="3" t="inlineStr">
        <is>
          <t>src/services/firebase.ts</t>
        </is>
      </c>
      <c r="D323" s="3" t="n">
        <v>147</v>
      </c>
      <c r="E323" s="3" t="inlineStr">
        <is>
          <t>4 · BRINGS DATA IN</t>
        </is>
      </c>
      <c r="F323" s="3" t="inlineStr">
        <is>
          <t>Reaches outside the app for its answer — a feed, a file or a stored record.</t>
        </is>
      </c>
      <c r="G323" s="3" t="inlineStr">
        <is>
          <t>Yes</t>
        </is>
      </c>
      <c r="H323" s="3" t="inlineStr">
        <is>
          <t>MK-XS-F-041 cacheDataKey · MK-XS-F-049 rewrapPassword · MK-XS-F-048 unwrapWithRecovery</t>
        </is>
      </c>
      <c r="I323" s="3" t="n">
        <v>5</v>
      </c>
      <c r="J323" s="3" t="inlineStr">
        <is>
          <t>MK-XS-F-041 cacheDataKey · MK-XS-F-049 rewrapPassword · MK-XS-F-048 unwrapWithRecovery · MK-XS-F-053 decryptWithKey · MK-XS-F-051 isEncrypted</t>
        </is>
      </c>
      <c r="K323" s="3" t="inlineStr">
        <is>
          <t>MK-XS-F-041 cacheDataKey → MK-XS-F-067 restoreWithRecoveryCode
MK-XS-F-049 rewrapPassword → MK-XS-F-067 restoreWithRecoveryCode
MK-XS-F-051 isEncrypted → MK-XS-F-053 decryptWithKey → MK-XS-F-048 unwrapWithRecovery → MK-XS-F-067 restoreWithRecoveryCode</t>
        </is>
      </c>
      <c r="L323" s="3" t="inlineStr">
        <is>
          <t>—</t>
        </is>
      </c>
      <c r="M323" s="3" t="inlineStr">
        <is>
          <t>—</t>
        </is>
      </c>
    </row>
    <row r="324">
      <c r="A324" s="3" t="inlineStr">
        <is>
          <t>MK-PL-F-035</t>
        </is>
      </c>
      <c r="B324" s="3" t="inlineStr">
        <is>
          <t>retireAgeWithContribution</t>
        </is>
      </c>
      <c r="C324" s="3" t="inlineStr">
        <is>
          <t>src/domain/planning/multiGoal.ts</t>
        </is>
      </c>
      <c r="D324" s="3" t="n">
        <v>43</v>
      </c>
      <c r="E324" s="3" t="inlineStr">
        <is>
          <t>2 · DISPLAYED</t>
        </is>
      </c>
      <c r="F324" s="3" t="inlineStr">
        <is>
          <t>A screen calls it directly, so its answer is on a screen.</t>
        </is>
      </c>
      <c r="G324" s="3" t="inlineStr">
        <is>
          <t>Yes</t>
        </is>
      </c>
      <c r="H324" s="3" t="inlineStr">
        <is>
          <t>MK-PL-F-055 projectNestEgg</t>
        </is>
      </c>
      <c r="I324" s="3" t="n">
        <v>5</v>
      </c>
      <c r="J324" s="3" t="inlineStr">
        <is>
          <t>MK-PL-F-055 projectNestEgg · MK-ST-F-055 round2 · MK-PL-F-050 simulate · MK-ST-F-025 rmdStartAgeFromAge · MK-ST-F-024 rmdStartAge</t>
        </is>
      </c>
      <c r="K324" s="3" t="inlineStr">
        <is>
          <t>MK-ST-F-055 round2 → MK-PL-F-055 projectNestEgg → MK-PL-F-035 retireAgeWithContribution
MK-ST-F-024 rmdStartAge → MK-ST-F-025 rmdStartAgeFromAge → MK-PL-F-050 simulate → MK-PL-F-055 projectNestEgg → MK-PL-F-035 retireAgeWithContribution
MK-ST-F-055 round2 → MK-PL-F-050 simulate → MK-PL-F-055 projectNestEgg → MK-PL-F-035 retireAgeWithContribution</t>
        </is>
      </c>
      <c r="L324" s="3" t="inlineStr">
        <is>
          <t>—</t>
        </is>
      </c>
      <c r="M324" s="3" t="inlineStr">
        <is>
          <t>—</t>
        </is>
      </c>
    </row>
    <row r="325">
      <c r="A325" s="3" t="inlineStr">
        <is>
          <t>MK-NW-F-033</t>
        </is>
      </c>
      <c r="B325" s="3" t="inlineStr">
        <is>
          <t>retirementEarmarkedValue</t>
        </is>
      </c>
      <c r="C325" s="3" t="inlineStr">
        <is>
          <t>src/domain/assets/index.ts</t>
        </is>
      </c>
      <c r="D325" s="3" t="n">
        <v>548</v>
      </c>
      <c r="E325" s="3" t="inlineStr">
        <is>
          <t>2 · DISPLAYED</t>
        </is>
      </c>
      <c r="F325" s="3" t="inlineStr">
        <is>
          <t>A screen calls it directly, so its answer is on a screen.</t>
        </is>
      </c>
      <c r="G325" s="3" t="inlineStr">
        <is>
          <t>Yes</t>
        </is>
      </c>
      <c r="H325" s="3" t="inlineStr">
        <is>
          <t>MK-NW-F-032 earmarkedAmount · MK-NW-F-031 primaryCarIdOf · MK-ST-F-055 round2</t>
        </is>
      </c>
      <c r="I325" s="3" t="n">
        <v>8</v>
      </c>
      <c r="J325" s="3" t="inlineStr">
        <is>
          <t>MK-NW-F-032 earmarkedAmount · MK-NW-F-031 primaryCarIdOf · MK-ST-F-055 round2 · MK-NW-F-030 earmarkDefault · MK-NW-F-011 assetClassOf · MK-NW-F-013 realEstateUseOf · MK-NW-F-008 incomeBearingClassOf · MK-ST-F-010 nameEvidence</t>
        </is>
      </c>
      <c r="K325" s="3" t="inlineStr">
        <is>
          <t>MK-ST-F-010 nameEvidence → MK-NW-F-008 incomeBearingClassOf → MK-NW-F-011 assetClassOf → MK-NW-F-030 earmarkDefault → MK-NW-F-032 earmarkedAmount → MK-NW-F-033 retirementEarmarkedValue
MK-NW-F-013 realEstateUseOf → MK-NW-F-030 earmarkDefault → MK-NW-F-032 earmarkedAmount → MK-NW-F-033 retirementEarmarkedValue
MK-ST-F-055 round2 → MK-NW-F-032 earmarkedAmount → MK-NW-F-033 retirementEarmarkedValue
MK-ST-F-010 nameEvidence → MK-NW-F-008 incomeBearingClassOf → MK-NW-F-011 assetClassOf → MK-NW-F-031 primaryCarIdOf → MK-NW-F-033 retirementEarmarkedValue
MK-ST-F-055 round2 → MK-NW-F-033 retirementEarmarkedValue</t>
        </is>
      </c>
      <c r="L325" s="3" t="inlineStr">
        <is>
          <t>—</t>
        </is>
      </c>
      <c r="M325" s="3" t="inlineStr">
        <is>
          <t>NEST_EGG</t>
        </is>
      </c>
    </row>
    <row r="326">
      <c r="A326" s="3" t="inlineStr">
        <is>
          <t>MK-XS-F-019</t>
        </is>
      </c>
      <c r="B326" s="3" t="inlineStr">
        <is>
          <t>retirementHorizonYears</t>
        </is>
      </c>
      <c r="C326" s="3" t="inlineStr">
        <is>
          <t>src/domain/profile/calc.ts</t>
        </is>
      </c>
      <c r="D326" s="3" t="n">
        <v>24</v>
      </c>
      <c r="E326" s="3" t="inlineStr">
        <is>
          <t>3 · DEPENDENT</t>
        </is>
      </c>
      <c r="F326" s="3" t="inlineStr">
        <is>
          <t>Its answer feeds another function, and that chain ends at a screen.</t>
        </is>
      </c>
      <c r="G326" s="3" t="inlineStr">
        <is>
          <t>Yes</t>
        </is>
      </c>
      <c r="H326" s="3" t="inlineStr">
        <is>
          <t>—</t>
        </is>
      </c>
      <c r="I326" s="3" t="n">
        <v>0</v>
      </c>
      <c r="J326" s="3" t="inlineStr">
        <is>
          <t>None — no dependent function stands behind it</t>
        </is>
      </c>
      <c r="K326" s="3" t="inlineStr">
        <is>
          <t>No dependent function — it reads its inputs and answers</t>
        </is>
      </c>
      <c r="L326" s="3" t="inlineStr">
        <is>
          <t>—</t>
        </is>
      </c>
      <c r="M326" s="3" t="inlineStr">
        <is>
          <t>—</t>
        </is>
      </c>
    </row>
    <row r="327">
      <c r="A327" s="3" t="inlineStr">
        <is>
          <t>MK-CF-F-075</t>
        </is>
      </c>
      <c r="B327" s="3" t="inlineStr">
        <is>
          <t>retirementIncomeMonthly</t>
        </is>
      </c>
      <c r="C327" s="3" t="inlineStr">
        <is>
          <t>src/domain/income/onboarding.ts</t>
        </is>
      </c>
      <c r="D327" s="3" t="n">
        <v>213</v>
      </c>
      <c r="E327" s="3" t="inlineStr">
        <is>
          <t>2 · DISPLAYED</t>
        </is>
      </c>
      <c r="F327" s="3" t="inlineStr">
        <is>
          <t>A screen calls it directly, so its answer is on a screen.</t>
        </is>
      </c>
      <c r="G327" s="3" t="inlineStr">
        <is>
          <t>Yes</t>
        </is>
      </c>
      <c r="H327" s="3" t="inlineStr">
        <is>
          <t>MK-ST-F-052 toNum</t>
        </is>
      </c>
      <c r="I327" s="3" t="n">
        <v>1</v>
      </c>
      <c r="J327" s="3" t="inlineStr">
        <is>
          <t>MK-ST-F-052 toNum</t>
        </is>
      </c>
      <c r="K327" s="3" t="inlineStr">
        <is>
          <t>MK-ST-F-052 toNum → MK-CF-F-075 retirementIncomeMonthly</t>
        </is>
      </c>
      <c r="L327" s="3" t="inlineStr">
        <is>
          <t>MK-CF-M-023</t>
        </is>
      </c>
      <c r="M327" s="3" t="inlineStr">
        <is>
          <t>RETIREMENT_INCOME</t>
        </is>
      </c>
    </row>
    <row r="328">
      <c r="A328" s="3" t="inlineStr">
        <is>
          <t>MK-PL-F-049</t>
        </is>
      </c>
      <c r="B328" s="3" t="inlineStr">
        <is>
          <t>retirementSpendMonthly</t>
        </is>
      </c>
      <c r="C328" s="3" t="inlineStr">
        <is>
          <t>src/domain/retirement/index.ts</t>
        </is>
      </c>
      <c r="D328" s="3" t="n">
        <v>49</v>
      </c>
      <c r="E328" s="3" t="inlineStr">
        <is>
          <t>2 · DISPLAYED</t>
        </is>
      </c>
      <c r="F328" s="3" t="inlineStr">
        <is>
          <t>A screen calls it directly, so its answer is on a screen.</t>
        </is>
      </c>
      <c r="G328" s="3" t="inlineStr">
        <is>
          <t>Yes</t>
        </is>
      </c>
      <c r="H328" s="3" t="inlineStr">
        <is>
          <t>MK-PL-F-047 colFactor · MK-ST-F-055 round2 · MK-ST-F-052 toNum</t>
        </is>
      </c>
      <c r="I328" s="3" t="n">
        <v>3</v>
      </c>
      <c r="J328" s="3" t="inlineStr">
        <is>
          <t>MK-PL-F-047 colFactor · MK-ST-F-055 round2 · MK-ST-F-052 toNum</t>
        </is>
      </c>
      <c r="K328" s="3" t="inlineStr">
        <is>
          <t>MK-PL-F-047 colFactor → MK-PL-F-049 retirementSpendMonthly
MK-ST-F-055 round2 → MK-PL-F-049 retirementSpendMonthly
MK-ST-F-052 toNum → MK-PL-F-049 retirementSpendMonthly</t>
        </is>
      </c>
      <c r="L328" s="3" t="inlineStr">
        <is>
          <t>MK-PL-M-009</t>
        </is>
      </c>
      <c r="M328" s="3" t="inlineStr">
        <is>
          <t>RETIREMENT_SPENDING</t>
        </is>
      </c>
    </row>
    <row r="329">
      <c r="A329" s="3" t="inlineStr">
        <is>
          <t>MK-CF-F-109</t>
        </is>
      </c>
      <c r="B329" s="3" t="inlineStr">
        <is>
          <t>reviewTransactions</t>
        </is>
      </c>
      <c r="C329" s="3" t="inlineStr">
        <is>
          <t>src/domain/transactions/flags.ts</t>
        </is>
      </c>
      <c r="D329" s="3" t="n">
        <v>69</v>
      </c>
      <c r="E329" s="3" t="inlineStr">
        <is>
          <t>3 · DEPENDENT (feeds an action only)</t>
        </is>
      </c>
      <c r="F329" s="3" t="inlineStr">
        <is>
          <t>Its answer feeds another function, but no chain from it reaches a screen.</t>
        </is>
      </c>
      <c r="G329" s="3" t="inlineStr">
        <is>
          <t>No</t>
        </is>
      </c>
      <c r="H329" s="3" t="inlineStr">
        <is>
          <t>MK-CF-F-108 isMoneyOut</t>
        </is>
      </c>
      <c r="I329" s="3" t="n">
        <v>1</v>
      </c>
      <c r="J329" s="3" t="inlineStr">
        <is>
          <t>MK-CF-F-108 isMoneyOut</t>
        </is>
      </c>
      <c r="K329" s="3" t="inlineStr">
        <is>
          <t>MK-CF-F-108 isMoneyOut → MK-CF-F-109 reviewTransactions</t>
        </is>
      </c>
      <c r="L329" s="3" t="inlineStr">
        <is>
          <t>—</t>
        </is>
      </c>
      <c r="M329" s="3" t="inlineStr">
        <is>
          <t>—</t>
        </is>
      </c>
    </row>
    <row r="330">
      <c r="A330" s="3" t="inlineStr">
        <is>
          <t>MK-XS-F-049</t>
        </is>
      </c>
      <c r="B330" s="3" t="inlineStr">
        <is>
          <t>rewrapPassword</t>
        </is>
      </c>
      <c r="C330" s="3" t="inlineStr">
        <is>
          <t>src/services/dataCrypto.ts</t>
        </is>
      </c>
      <c r="D330" s="3" t="n">
        <v>94</v>
      </c>
      <c r="E330" s="3" t="inlineStr">
        <is>
          <t>3 · DEPENDENT</t>
        </is>
      </c>
      <c r="F330" s="3" t="inlineStr">
        <is>
          <t>Its answer feeds another function, and that chain ends at a screen.</t>
        </is>
      </c>
      <c r="G330" s="3" t="inlineStr">
        <is>
          <t>Yes</t>
        </is>
      </c>
      <c r="H330" s="3" t="inlineStr">
        <is>
          <t>—</t>
        </is>
      </c>
      <c r="I330" s="3" t="n">
        <v>0</v>
      </c>
      <c r="J330" s="3" t="inlineStr">
        <is>
          <t>None — no dependent function stands behind it</t>
        </is>
      </c>
      <c r="K330" s="3" t="inlineStr">
        <is>
          <t>No dependent function — it reads its inputs and answers</t>
        </is>
      </c>
      <c r="L330" s="3" t="inlineStr">
        <is>
          <t>—</t>
        </is>
      </c>
      <c r="M330" s="3" t="inlineStr">
        <is>
          <t>—</t>
        </is>
      </c>
    </row>
    <row r="331">
      <c r="A331" s="3" t="inlineStr">
        <is>
          <t>MK-XS-F-050</t>
        </is>
      </c>
      <c r="B331" s="3" t="inlineStr">
        <is>
          <t>rewrapRecovery</t>
        </is>
      </c>
      <c r="C331" s="3" t="inlineStr">
        <is>
          <t>src/services/dataCrypto.ts</t>
        </is>
      </c>
      <c r="D331" s="3" t="n">
        <v>98</v>
      </c>
      <c r="E331" s="3" t="inlineStr">
        <is>
          <t>3 · DEPENDENT</t>
        </is>
      </c>
      <c r="F331" s="3" t="inlineStr">
        <is>
          <t>Its answer feeds another function, and that chain ends at a screen.</t>
        </is>
      </c>
      <c r="G331" s="3" t="inlineStr">
        <is>
          <t>Yes</t>
        </is>
      </c>
      <c r="H331" s="3" t="inlineStr">
        <is>
          <t>—</t>
        </is>
      </c>
      <c r="I331" s="3" t="n">
        <v>0</v>
      </c>
      <c r="J331" s="3" t="inlineStr">
        <is>
          <t>None — no dependent function stands behind it</t>
        </is>
      </c>
      <c r="K331" s="3" t="inlineStr">
        <is>
          <t>No dependent function — it reads its inputs and answers</t>
        </is>
      </c>
      <c r="L331" s="3" t="inlineStr">
        <is>
          <t>—</t>
        </is>
      </c>
      <c r="M331" s="3" t="inlineStr">
        <is>
          <t>—</t>
        </is>
      </c>
    </row>
    <row r="332">
      <c r="A332" s="3" t="inlineStr">
        <is>
          <t>MK-PL-F-007</t>
        </is>
      </c>
      <c r="B332" s="3" t="inlineStr">
        <is>
          <t>rmdAtAge</t>
        </is>
      </c>
      <c r="C332" s="3" t="inlineStr">
        <is>
          <t>src/domain/decumulation/index.ts</t>
        </is>
      </c>
      <c r="D332" s="3" t="n">
        <v>116</v>
      </c>
      <c r="E332" s="3" t="inlineStr">
        <is>
          <t>2 · DISPLAYED</t>
        </is>
      </c>
      <c r="F332" s="3" t="inlineStr">
        <is>
          <t>A screen calls it directly, so its answer is on a screen.</t>
        </is>
      </c>
      <c r="G332" s="3" t="inlineStr">
        <is>
          <t>Yes</t>
        </is>
      </c>
      <c r="H332" s="3" t="inlineStr">
        <is>
          <t>MK-PL-F-006 rmdDivisor · MK-ST-F-055 round2</t>
        </is>
      </c>
      <c r="I332" s="3" t="n">
        <v>2</v>
      </c>
      <c r="J332" s="3" t="inlineStr">
        <is>
          <t>MK-PL-F-006 rmdDivisor · MK-ST-F-055 round2</t>
        </is>
      </c>
      <c r="K332" s="3" t="inlineStr">
        <is>
          <t>MK-PL-F-006 rmdDivisor → MK-PL-F-007 rmdAtAge
MK-ST-F-055 round2 → MK-PL-F-007 rmdAtAge</t>
        </is>
      </c>
      <c r="L332" s="3" t="inlineStr">
        <is>
          <t>—</t>
        </is>
      </c>
      <c r="M332" s="3" t="inlineStr">
        <is>
          <t>—</t>
        </is>
      </c>
    </row>
    <row r="333">
      <c r="A333" s="3" t="inlineStr">
        <is>
          <t>MK-PL-F-006</t>
        </is>
      </c>
      <c r="B333" s="3" t="inlineStr">
        <is>
          <t>rmdDivisor</t>
        </is>
      </c>
      <c r="C333" s="3" t="inlineStr">
        <is>
          <t>src/domain/decumulation/index.ts</t>
        </is>
      </c>
      <c r="D333" s="3" t="n">
        <v>112</v>
      </c>
      <c r="E333" s="3" t="inlineStr">
        <is>
          <t>2 · DISPLAYED</t>
        </is>
      </c>
      <c r="F333" s="3" t="inlineStr">
        <is>
          <t>A screen calls it directly, so its answer is on a screen.</t>
        </is>
      </c>
      <c r="G333" s="3" t="inlineStr">
        <is>
          <t>Yes</t>
        </is>
      </c>
      <c r="H333" s="3" t="inlineStr">
        <is>
          <t>—</t>
        </is>
      </c>
      <c r="I333" s="3" t="n">
        <v>0</v>
      </c>
      <c r="J333" s="3" t="inlineStr">
        <is>
          <t>None — no dependent function stands behind it</t>
        </is>
      </c>
      <c r="K333" s="3" t="inlineStr">
        <is>
          <t>No dependent function — it reads its inputs and answers</t>
        </is>
      </c>
      <c r="L333" s="3" t="inlineStr">
        <is>
          <t>—</t>
        </is>
      </c>
      <c r="M333" s="3" t="inlineStr">
        <is>
          <t>—</t>
        </is>
      </c>
    </row>
    <row r="334">
      <c r="A334" s="3" t="inlineStr">
        <is>
          <t>MK-PL-F-008</t>
        </is>
      </c>
      <c r="B334" s="3" t="inlineStr">
        <is>
          <t>rmdSchedule</t>
        </is>
      </c>
      <c r="C334" s="3" t="inlineStr">
        <is>
          <t>src/domain/decumulation/index.ts</t>
        </is>
      </c>
      <c r="D334" s="3" t="n">
        <v>136</v>
      </c>
      <c r="E334" s="3" t="inlineStr">
        <is>
          <t>2 · DISPLAYED</t>
        </is>
      </c>
      <c r="F334" s="3" t="inlineStr">
        <is>
          <t>A screen calls it directly, so its answer is on a screen.</t>
        </is>
      </c>
      <c r="G334" s="3" t="inlineStr">
        <is>
          <t>Yes</t>
        </is>
      </c>
      <c r="H334" s="3" t="inlineStr">
        <is>
          <t>MK-PL-F-054 growOneYear · MK-PL-F-007 rmdAtAge · MK-PL-F-006 rmdDivisor · MK-PL-F-005 rmdStartAgeFor</t>
        </is>
      </c>
      <c r="I334" s="3" t="n">
        <v>7</v>
      </c>
      <c r="J334" s="3" t="inlineStr">
        <is>
          <t>MK-PL-F-054 growOneYear · MK-PL-F-007 rmdAtAge · MK-PL-F-006 rmdDivisor · MK-PL-F-005 rmdStartAgeFor · MK-ST-F-055 round2 · MK-ST-F-025 rmdStartAgeFromAge · MK-ST-F-024 rmdStartAge</t>
        </is>
      </c>
      <c r="K334" s="3" t="inlineStr">
        <is>
          <t>MK-PL-F-054 growOneYear → MK-PL-F-008 rmdSchedule
MK-PL-F-006 rmdDivisor → MK-PL-F-007 rmdAtAge → MK-PL-F-008 rmdSchedule
MK-ST-F-055 round2 → MK-PL-F-007 rmdAtAge → MK-PL-F-008 rmdSchedule
MK-PL-F-006 rmdDivisor → MK-PL-F-008 rmdSchedule
MK-ST-F-024 rmdStartAge → MK-ST-F-025 rmdStartAgeFromAge → MK-PL-F-005 rmdStartAgeFor → MK-PL-F-008 rmdSchedule</t>
        </is>
      </c>
      <c r="L334" s="3" t="inlineStr">
        <is>
          <t>—</t>
        </is>
      </c>
      <c r="M334" s="3" t="inlineStr">
        <is>
          <t>—</t>
        </is>
      </c>
    </row>
    <row r="335">
      <c r="A335" s="3" t="inlineStr">
        <is>
          <t>MK-ST-F-024</t>
        </is>
      </c>
      <c r="B335" s="3" t="inlineStr">
        <is>
          <t>rmdStartAge</t>
        </is>
      </c>
      <c r="C335" s="3" t="inlineStr">
        <is>
          <t>Calculation Module code/engines/rmd.ts</t>
        </is>
      </c>
      <c r="D335" s="3" t="n">
        <v>23</v>
      </c>
      <c r="E335" s="3" t="inlineStr">
        <is>
          <t>2 · DISPLAYED</t>
        </is>
      </c>
      <c r="F335" s="3" t="inlineStr">
        <is>
          <t>A screen calls it directly, so its answer is on a screen.</t>
        </is>
      </c>
      <c r="G335" s="3" t="inlineStr">
        <is>
          <t>Yes</t>
        </is>
      </c>
      <c r="H335" s="3" t="inlineStr">
        <is>
          <t>—</t>
        </is>
      </c>
      <c r="I335" s="3" t="n">
        <v>0</v>
      </c>
      <c r="J335" s="3" t="inlineStr">
        <is>
          <t>None — no dependent function stands behind it</t>
        </is>
      </c>
      <c r="K335" s="3" t="inlineStr">
        <is>
          <t>No dependent function — it reads its inputs and answers</t>
        </is>
      </c>
      <c r="L335" s="3" t="inlineStr">
        <is>
          <t>—</t>
        </is>
      </c>
      <c r="M335" s="3" t="inlineStr">
        <is>
          <t>—</t>
        </is>
      </c>
    </row>
    <row r="336">
      <c r="A336" s="3" t="inlineStr">
        <is>
          <t>MK-PL-F-005</t>
        </is>
      </c>
      <c r="B336" s="3" t="inlineStr">
        <is>
          <t>rmdStartAgeFor</t>
        </is>
      </c>
      <c r="C336" s="3" t="inlineStr">
        <is>
          <t>src/domain/decumulation/index.ts</t>
        </is>
      </c>
      <c r="D336" s="3" t="n">
        <v>109</v>
      </c>
      <c r="E336" s="3" t="inlineStr">
        <is>
          <t>2 · DISPLAYED</t>
        </is>
      </c>
      <c r="F336" s="3" t="inlineStr">
        <is>
          <t>A screen calls it directly, so its answer is on a screen.</t>
        </is>
      </c>
      <c r="G336" s="3" t="inlineStr">
        <is>
          <t>Yes</t>
        </is>
      </c>
      <c r="H336" s="3" t="inlineStr">
        <is>
          <t>MK-ST-F-025 rmdStartAgeFromAge</t>
        </is>
      </c>
      <c r="I336" s="3" t="n">
        <v>2</v>
      </c>
      <c r="J336" s="3" t="inlineStr">
        <is>
          <t>MK-ST-F-025 rmdStartAgeFromAge · MK-ST-F-024 rmdStartAge</t>
        </is>
      </c>
      <c r="K336" s="3" t="inlineStr">
        <is>
          <t>MK-ST-F-024 rmdStartAge → MK-ST-F-025 rmdStartAgeFromAge → MK-PL-F-005 rmdStartAgeFor</t>
        </is>
      </c>
      <c r="L336" s="3" t="inlineStr">
        <is>
          <t>—</t>
        </is>
      </c>
      <c r="M336" s="3" t="inlineStr">
        <is>
          <t>—</t>
        </is>
      </c>
    </row>
    <row r="337">
      <c r="A337" s="3" t="inlineStr">
        <is>
          <t>MK-ST-F-025</t>
        </is>
      </c>
      <c r="B337" s="3" t="inlineStr">
        <is>
          <t>rmdStartAgeFromAge</t>
        </is>
      </c>
      <c r="C337" s="3" t="inlineStr">
        <is>
          <t>Calculation Module code/engines/rmd.ts</t>
        </is>
      </c>
      <c r="D337" s="3" t="n">
        <v>31</v>
      </c>
      <c r="E337" s="3" t="inlineStr">
        <is>
          <t>3 · DEPENDENT</t>
        </is>
      </c>
      <c r="F337" s="3" t="inlineStr">
        <is>
          <t>Its answer feeds another function, and that chain ends at a screen.</t>
        </is>
      </c>
      <c r="G337" s="3" t="inlineStr">
        <is>
          <t>Yes</t>
        </is>
      </c>
      <c r="H337" s="3" t="inlineStr">
        <is>
          <t>MK-ST-F-024 rmdStartAge</t>
        </is>
      </c>
      <c r="I337" s="3" t="n">
        <v>1</v>
      </c>
      <c r="J337" s="3" t="inlineStr">
        <is>
          <t>MK-ST-F-024 rmdStartAge</t>
        </is>
      </c>
      <c r="K337" s="3" t="inlineStr">
        <is>
          <t>MK-ST-F-024 rmdStartAge → MK-ST-F-025 rmdStartAgeFromAge</t>
        </is>
      </c>
      <c r="L337" s="3" t="inlineStr">
        <is>
          <t>—</t>
        </is>
      </c>
      <c r="M337" s="3" t="inlineStr">
        <is>
          <t>—</t>
        </is>
      </c>
    </row>
    <row r="338">
      <c r="A338" s="3" t="inlineStr">
        <is>
          <t>MK-PL-F-009</t>
        </is>
      </c>
      <c r="B338" s="3" t="inlineStr">
        <is>
          <t>rmdTakenThisYear</t>
        </is>
      </c>
      <c r="C338" s="3" t="inlineStr">
        <is>
          <t>src/domain/decumulation/index.ts</t>
        </is>
      </c>
      <c r="D338" s="3" t="n">
        <v>156</v>
      </c>
      <c r="E338" s="3" t="inlineStr">
        <is>
          <t>2 · DISPLAYED</t>
        </is>
      </c>
      <c r="F338" s="3" t="inlineStr">
        <is>
          <t>A screen calls it directly, so its answer is on a screen.</t>
        </is>
      </c>
      <c r="G338" s="3" t="inlineStr">
        <is>
          <t>Yes</t>
        </is>
      </c>
      <c r="H338" s="3" t="inlineStr">
        <is>
          <t>MK-ST-F-055 round2</t>
        </is>
      </c>
      <c r="I338" s="3" t="n">
        <v>1</v>
      </c>
      <c r="J338" s="3" t="inlineStr">
        <is>
          <t>MK-ST-F-055 round2</t>
        </is>
      </c>
      <c r="K338" s="3" t="inlineStr">
        <is>
          <t>MK-ST-F-055 round2 → MK-PL-F-009 rmdTakenThisYear</t>
        </is>
      </c>
      <c r="L338" s="3" t="inlineStr">
        <is>
          <t>—</t>
        </is>
      </c>
      <c r="M338" s="3" t="inlineStr">
        <is>
          <t>—</t>
        </is>
      </c>
    </row>
    <row r="339">
      <c r="A339" s="3" t="inlineStr">
        <is>
          <t>MK-PL-F-032</t>
        </is>
      </c>
      <c r="B339" s="3" t="inlineStr">
        <is>
          <t>rothConversionCost</t>
        </is>
      </c>
      <c r="C339" s="3" t="inlineStr">
        <is>
          <t>src/domain/planning/index.ts</t>
        </is>
      </c>
      <c r="D339" s="3" t="n">
        <v>84</v>
      </c>
      <c r="E339" s="3" t="inlineStr">
        <is>
          <t>2 · DISPLAYED</t>
        </is>
      </c>
      <c r="F339" s="3" t="inlineStr">
        <is>
          <t>A screen calls it directly, so its answer is on a screen.</t>
        </is>
      </c>
      <c r="G339" s="3" t="inlineStr">
        <is>
          <t>Yes</t>
        </is>
      </c>
      <c r="H339" s="3" t="inlineStr">
        <is>
          <t>MK-ST-F-055 round2 · MK-CF-F-101 taxOwedFor</t>
        </is>
      </c>
      <c r="I339" s="3" t="n">
        <v>4</v>
      </c>
      <c r="J339" s="3" t="inlineStr">
        <is>
          <t>MK-ST-F-055 round2 · MK-CF-F-101 taxOwedFor · MK-CF-F-100 taxableIncomeFor · MK-CF-F-099 deductionFor</t>
        </is>
      </c>
      <c r="K339" s="3" t="inlineStr">
        <is>
          <t>MK-ST-F-055 round2 → MK-PL-F-032 rothConversionCost
MK-CF-F-099 deductionFor → MK-CF-F-100 taxableIncomeFor → MK-CF-F-101 taxOwedFor → MK-PL-F-032 rothConversionCost</t>
        </is>
      </c>
      <c r="L339" s="3" t="inlineStr">
        <is>
          <t>—</t>
        </is>
      </c>
      <c r="M339" s="3" t="inlineStr">
        <is>
          <t>—</t>
        </is>
      </c>
    </row>
    <row r="340">
      <c r="A340" s="3" t="inlineStr">
        <is>
          <t>MK-CF-F-058</t>
        </is>
      </c>
      <c r="B340" s="3" t="inlineStr">
        <is>
          <t>rothConversionWindow</t>
        </is>
      </c>
      <c r="C340" s="3" t="inlineStr">
        <is>
          <t>src/domain/income/limits.ts</t>
        </is>
      </c>
      <c r="D340" s="3" t="n">
        <v>41</v>
      </c>
      <c r="E340" s="3" t="inlineStr">
        <is>
          <t>2 · DISPLAYED</t>
        </is>
      </c>
      <c r="F340" s="3" t="inlineStr">
        <is>
          <t>A screen calls it directly, so its answer is on a screen.</t>
        </is>
      </c>
      <c r="G340" s="3" t="inlineStr">
        <is>
          <t>Yes</t>
        </is>
      </c>
      <c r="H340" s="3" t="inlineStr">
        <is>
          <t>—</t>
        </is>
      </c>
      <c r="I340" s="3" t="n">
        <v>0</v>
      </c>
      <c r="J340" s="3" t="inlineStr">
        <is>
          <t>None — no dependent function stands behind it</t>
        </is>
      </c>
      <c r="K340" s="3" t="inlineStr">
        <is>
          <t>No dependent function — it reads its inputs and answers</t>
        </is>
      </c>
      <c r="L340" s="3" t="inlineStr">
        <is>
          <t>—</t>
        </is>
      </c>
      <c r="M340" s="3" t="inlineStr">
        <is>
          <t>—</t>
        </is>
      </c>
    </row>
    <row r="341">
      <c r="A341" s="3" t="inlineStr">
        <is>
          <t>MK-CF-F-057</t>
        </is>
      </c>
      <c r="B341" s="3" t="inlineStr">
        <is>
          <t>rothVsTraditional</t>
        </is>
      </c>
      <c r="C341" s="3" t="inlineStr">
        <is>
          <t>src/domain/income/limits.ts</t>
        </is>
      </c>
      <c r="D341" s="3" t="n">
        <v>34</v>
      </c>
      <c r="E341" s="3" t="inlineStr">
        <is>
          <t>2 · DISPLAYED</t>
        </is>
      </c>
      <c r="F341" s="3" t="inlineStr">
        <is>
          <t>A screen calls it directly, so its answer is on a screen.</t>
        </is>
      </c>
      <c r="G341" s="3" t="inlineStr">
        <is>
          <t>Yes</t>
        </is>
      </c>
      <c r="H341" s="3" t="inlineStr">
        <is>
          <t>—</t>
        </is>
      </c>
      <c r="I341" s="3" t="n">
        <v>0</v>
      </c>
      <c r="J341" s="3" t="inlineStr">
        <is>
          <t>None — no dependent function stands behind it</t>
        </is>
      </c>
      <c r="K341" s="3" t="inlineStr">
        <is>
          <t>No dependent function — it reads its inputs and answers</t>
        </is>
      </c>
      <c r="L341" s="3" t="inlineStr">
        <is>
          <t>—</t>
        </is>
      </c>
      <c r="M341" s="3" t="inlineStr">
        <is>
          <t>—</t>
        </is>
      </c>
    </row>
    <row r="342">
      <c r="A342" s="3" t="inlineStr">
        <is>
          <t>MK-ST-F-055</t>
        </is>
      </c>
      <c r="B342" s="3" t="inlineStr">
        <is>
          <t>round2</t>
        </is>
      </c>
      <c r="C342" s="3" t="inlineStr">
        <is>
          <t>src/domain/_shared/num.ts</t>
        </is>
      </c>
      <c r="D342" s="3" t="n">
        <v>12</v>
      </c>
      <c r="E342" s="3" t="inlineStr">
        <is>
          <t>1 · ACTION</t>
        </is>
      </c>
      <c r="F342" s="3" t="inlineStr">
        <is>
          <t>Produces nothing that is displayed — it does something: saves, syncs or records.</t>
        </is>
      </c>
      <c r="G342" s="3" t="inlineStr">
        <is>
          <t>Yes</t>
        </is>
      </c>
      <c r="H342" s="3" t="inlineStr">
        <is>
          <t>—</t>
        </is>
      </c>
      <c r="I342" s="3" t="n">
        <v>0</v>
      </c>
      <c r="J342" s="3" t="inlineStr">
        <is>
          <t>None — no dependent function stands behind it</t>
        </is>
      </c>
      <c r="K342" s="3" t="inlineStr">
        <is>
          <t>No dependent function — it reads its inputs and answers</t>
        </is>
      </c>
      <c r="L342" s="3" t="inlineStr">
        <is>
          <t>—</t>
        </is>
      </c>
      <c r="M342" s="3" t="inlineStr">
        <is>
          <t>—</t>
        </is>
      </c>
    </row>
    <row r="343">
      <c r="A343" s="3" t="inlineStr">
        <is>
          <t>MK-CF-F-063</t>
        </is>
      </c>
      <c r="B343" s="3" t="inlineStr">
        <is>
          <t>rowVestYear</t>
        </is>
      </c>
      <c r="C343" s="3" t="inlineStr">
        <is>
          <t>src/domain/income/onboarding.ts</t>
        </is>
      </c>
      <c r="D343" s="3" t="n">
        <v>74</v>
      </c>
      <c r="E343" s="3" t="inlineStr">
        <is>
          <t>3 · DEPENDENT</t>
        </is>
      </c>
      <c r="F343" s="3" t="inlineStr">
        <is>
          <t>Its answer feeds another function, and that chain ends at a screen.</t>
        </is>
      </c>
      <c r="G343" s="3" t="inlineStr">
        <is>
          <t>Yes</t>
        </is>
      </c>
      <c r="H343" s="3" t="inlineStr">
        <is>
          <t>—</t>
        </is>
      </c>
      <c r="I343" s="3" t="n">
        <v>0</v>
      </c>
      <c r="J343" s="3" t="inlineStr">
        <is>
          <t>None — no dependent function stands behind it</t>
        </is>
      </c>
      <c r="K343" s="3" t="inlineStr">
        <is>
          <t>No dependent function — it reads its inputs and answers</t>
        </is>
      </c>
      <c r="L343" s="3" t="inlineStr">
        <is>
          <t>—</t>
        </is>
      </c>
      <c r="M343" s="3" t="inlineStr">
        <is>
          <t>VESTING_YEAR</t>
        </is>
      </c>
    </row>
    <row r="344">
      <c r="A344" s="3" t="inlineStr">
        <is>
          <t>MK-ST-F-015</t>
        </is>
      </c>
      <c r="B344" s="3" t="inlineStr">
        <is>
          <t>rowsFor</t>
        </is>
      </c>
      <c r="C344" s="3" t="inlineStr">
        <is>
          <t>Calculation Module code/engines/ledger.ts</t>
        </is>
      </c>
      <c r="D344" s="3" t="n">
        <v>223</v>
      </c>
      <c r="E344" s="3" t="inlineStr">
        <is>
          <t>3 · DEPENDENT (feeds an action only)</t>
        </is>
      </c>
      <c r="F344" s="3" t="inlineStr">
        <is>
          <t>Its answer feeds another function, but no chain from it reaches a screen.</t>
        </is>
      </c>
      <c r="G344" s="3" t="inlineStr">
        <is>
          <t>No</t>
        </is>
      </c>
      <c r="H344" s="3" t="inlineStr">
        <is>
          <t>—</t>
        </is>
      </c>
      <c r="I344" s="3" t="n">
        <v>0</v>
      </c>
      <c r="J344" s="3" t="inlineStr">
        <is>
          <t>None — no dependent function stands behind it</t>
        </is>
      </c>
      <c r="K344" s="3" t="inlineStr">
        <is>
          <t>No dependent function — it reads its inputs and answers</t>
        </is>
      </c>
      <c r="L344" s="3" t="inlineStr">
        <is>
          <t>—</t>
        </is>
      </c>
      <c r="M344" s="3" t="inlineStr">
        <is>
          <t>—</t>
        </is>
      </c>
    </row>
    <row r="345">
      <c r="A345" s="3" t="inlineStr">
        <is>
          <t>MK-CF-F-066</t>
        </is>
      </c>
      <c r="B345" s="3" t="inlineStr">
        <is>
          <t>rsuAnnual</t>
        </is>
      </c>
      <c r="C345" s="3" t="inlineStr">
        <is>
          <t>src/domain/income/onboarding.ts</t>
        </is>
      </c>
      <c r="D345" s="3" t="n">
        <v>114</v>
      </c>
      <c r="E345" s="3" t="inlineStr">
        <is>
          <t>2 · DISPLAYED</t>
        </is>
      </c>
      <c r="F345" s="3" t="inlineStr">
        <is>
          <t>A screen calls it directly, so its answer is on a screen.</t>
        </is>
      </c>
      <c r="G345" s="3" t="inlineStr">
        <is>
          <t>Yes</t>
        </is>
      </c>
      <c r="H345" s="3" t="inlineStr">
        <is>
          <t>MK-CF-F-062 equityRowValue · MK-CF-F-063 rowVestYear · MK-ST-F-052 toNum</t>
        </is>
      </c>
      <c r="I345" s="3" t="n">
        <v>3</v>
      </c>
      <c r="J345" s="3" t="inlineStr">
        <is>
          <t>MK-CF-F-062 equityRowValue · MK-CF-F-063 rowVestYear · MK-ST-F-052 toNum</t>
        </is>
      </c>
      <c r="K345" s="3" t="inlineStr">
        <is>
          <t>MK-ST-F-052 toNum → MK-CF-F-062 equityRowValue → MK-CF-F-066 rsuAnnual
MK-CF-F-063 rowVestYear → MK-CF-F-066 rsuAnnual
MK-ST-F-052 toNum → MK-CF-F-066 rsuAnnual</t>
        </is>
      </c>
      <c r="L345" s="3" t="inlineStr">
        <is>
          <t>—</t>
        </is>
      </c>
      <c r="M345" s="3" t="inlineStr">
        <is>
          <t>EQUITY_THIS_YEAR</t>
        </is>
      </c>
    </row>
    <row r="346">
      <c r="A346" s="3" t="inlineStr">
        <is>
          <t>MK-XS-F-116</t>
        </is>
      </c>
      <c r="B346" s="3" t="inlineStr">
        <is>
          <t>runSnapTradeSync</t>
        </is>
      </c>
      <c r="C346" s="3" t="inlineStr">
        <is>
          <t>src/services/sync/snaptradeSync.ts</t>
        </is>
      </c>
      <c r="D346" s="3" t="n">
        <v>43</v>
      </c>
      <c r="E346" s="3" t="inlineStr">
        <is>
          <t>2 · DISPLAYED</t>
        </is>
      </c>
      <c r="F346" s="3" t="inlineStr">
        <is>
          <t>A screen calls it directly, so its answer is on a screen.</t>
        </is>
      </c>
      <c r="G346" s="3" t="inlineStr">
        <is>
          <t>Yes</t>
        </is>
      </c>
      <c r="H346" s="3" t="inlineStr">
        <is>
          <t>MK-XS-F-115 shouldDailySync · MK-XS-F-113 snaptradeConfigured · MK-XS-F-101 stAssetId · MK-XS-F-114 usdCash</t>
        </is>
      </c>
      <c r="I346" s="3" t="n">
        <v>6</v>
      </c>
      <c r="J346" s="3" t="inlineStr">
        <is>
          <t>MK-XS-F-115 shouldDailySync · MK-XS-F-113 snaptradeConfigured · MK-XS-F-101 stAssetId · MK-XS-F-114 usdCash · MK-XS-F-064 currentIdToken · MK-XS-F-112 relayUrl</t>
        </is>
      </c>
      <c r="K346" s="3" t="inlineStr">
        <is>
          <t>MK-XS-F-115 shouldDailySync → MK-XS-F-116 runSnapTradeSync
MK-XS-F-064 currentIdToken → MK-XS-F-113 snaptradeConfigured → MK-XS-F-116 runSnapTradeSync
MK-XS-F-112 relayUrl → MK-XS-F-113 snaptradeConfigured → MK-XS-F-116 runSnapTradeSync
MK-XS-F-101 stAssetId → MK-XS-F-116 runSnapTradeSync
MK-XS-F-114 usdCash → MK-XS-F-116 runSnapTradeSync</t>
        </is>
      </c>
      <c r="L346" s="3" t="inlineStr">
        <is>
          <t>—</t>
        </is>
      </c>
      <c r="M346" s="3" t="inlineStr">
        <is>
          <t>—</t>
        </is>
      </c>
    </row>
    <row r="347">
      <c r="A347" s="3" t="inlineStr">
        <is>
          <t>MK-CF-F-081</t>
        </is>
      </c>
      <c r="B347" s="3" t="inlineStr">
        <is>
          <t>salaryActiveMonths</t>
        </is>
      </c>
      <c r="C347" s="3" t="inlineStr">
        <is>
          <t>src/domain/income/onboarding.ts</t>
        </is>
      </c>
      <c r="D347" s="3" t="n">
        <v>327</v>
      </c>
      <c r="E347" s="3" t="inlineStr">
        <is>
          <t>2 · DISPLAYED</t>
        </is>
      </c>
      <c r="F347" s="3" t="inlineStr">
        <is>
          <t>A screen calls it directly, so its answer is on a screen.</t>
        </is>
      </c>
      <c r="G347" s="3" t="inlineStr">
        <is>
          <t>Yes</t>
        </is>
      </c>
      <c r="H347" s="3" t="inlineStr">
        <is>
          <t>MK-CF-F-060 salaryGrossByMonth</t>
        </is>
      </c>
      <c r="I347" s="3" t="n">
        <v>6</v>
      </c>
      <c r="J347" s="3" t="inlineStr">
        <is>
          <t>MK-CF-F-060 salaryGrossByMonth · MK-CF-F-097 grossFromNet · MK-ST-F-055 round2 · MK-ST-F-052 toNum · MK-CF-F-095 taxOwed · MK-CF-F-093 taxableIncome</t>
        </is>
      </c>
      <c r="K347" s="3" t="inlineStr">
        <is>
          <t>MK-CF-F-093 taxableIncome → MK-CF-F-095 taxOwed → MK-CF-F-097 grossFromNet → MK-CF-F-060 salaryGrossByMonth → MK-CF-F-081 salaryActiveMonths
MK-ST-F-055 round2 → MK-CF-F-060 salaryGrossByMonth → MK-CF-F-081 salaryActiveMonths
MK-ST-F-052 toNum → MK-CF-F-060 salaryGrossByMonth → MK-CF-F-081 salaryActiveMonths</t>
        </is>
      </c>
      <c r="L347" s="3" t="inlineStr">
        <is>
          <t>—</t>
        </is>
      </c>
      <c r="M347" s="3" t="inlineStr">
        <is>
          <t>MONTHS_WORKED</t>
        </is>
      </c>
    </row>
    <row r="348">
      <c r="A348" s="3" t="inlineStr">
        <is>
          <t>MK-CF-F-082</t>
        </is>
      </c>
      <c r="B348" s="3" t="inlineStr">
        <is>
          <t>salaryAnnual</t>
        </is>
      </c>
      <c r="C348" s="3" t="inlineStr">
        <is>
          <t>src/domain/income/onboarding.ts</t>
        </is>
      </c>
      <c r="D348" s="3" t="n">
        <v>331</v>
      </c>
      <c r="E348" s="3" t="inlineStr">
        <is>
          <t>2 · DISPLAYED</t>
        </is>
      </c>
      <c r="F348" s="3" t="inlineStr">
        <is>
          <t>A screen calls it directly, so its answer is on a screen.</t>
        </is>
      </c>
      <c r="G348" s="3" t="inlineStr">
        <is>
          <t>Yes</t>
        </is>
      </c>
      <c r="H348" s="3" t="inlineStr">
        <is>
          <t>MK-CF-F-060 salaryGrossByMonth</t>
        </is>
      </c>
      <c r="I348" s="3" t="n">
        <v>6</v>
      </c>
      <c r="J348" s="3" t="inlineStr">
        <is>
          <t>MK-CF-F-060 salaryGrossByMonth · MK-CF-F-097 grossFromNet · MK-ST-F-055 round2 · MK-ST-F-052 toNum · MK-CF-F-095 taxOwed · MK-CF-F-093 taxableIncome</t>
        </is>
      </c>
      <c r="K348" s="3" t="inlineStr">
        <is>
          <t>MK-CF-F-093 taxableIncome → MK-CF-F-095 taxOwed → MK-CF-F-097 grossFromNet → MK-CF-F-060 salaryGrossByMonth → MK-CF-F-082 salaryAnnual
MK-ST-F-055 round2 → MK-CF-F-060 salaryGrossByMonth → MK-CF-F-082 salaryAnnual
MK-ST-F-052 toNum → MK-CF-F-060 salaryGrossByMonth → MK-CF-F-082 salaryAnnual</t>
        </is>
      </c>
      <c r="L348" s="3" t="inlineStr">
        <is>
          <t>—</t>
        </is>
      </c>
      <c r="M348" s="3" t="inlineStr">
        <is>
          <t>SALARY_A_YEAR</t>
        </is>
      </c>
    </row>
    <row r="349">
      <c r="A349" s="3" t="inlineStr">
        <is>
          <t>MK-CF-F-060</t>
        </is>
      </c>
      <c r="B349" s="3" t="inlineStr">
        <is>
          <t>salaryGrossByMonth</t>
        </is>
      </c>
      <c r="C349" s="3" t="inlineStr">
        <is>
          <t>src/domain/income/onboarding.ts</t>
        </is>
      </c>
      <c r="D349" s="3" t="n">
        <v>46</v>
      </c>
      <c r="E349" s="3" t="inlineStr">
        <is>
          <t>2 · DISPLAYED</t>
        </is>
      </c>
      <c r="F349" s="3" t="inlineStr">
        <is>
          <t>A screen calls it directly, so its answer is on a screen.</t>
        </is>
      </c>
      <c r="G349" s="3" t="inlineStr">
        <is>
          <t>Yes</t>
        </is>
      </c>
      <c r="H349" s="3" t="inlineStr">
        <is>
          <t>MK-CF-F-097 grossFromNet · MK-ST-F-055 round2 · MK-ST-F-052 toNum</t>
        </is>
      </c>
      <c r="I349" s="3" t="n">
        <v>5</v>
      </c>
      <c r="J349" s="3" t="inlineStr">
        <is>
          <t>MK-CF-F-097 grossFromNet · MK-ST-F-055 round2 · MK-ST-F-052 toNum · MK-CF-F-095 taxOwed · MK-CF-F-093 taxableIncome</t>
        </is>
      </c>
      <c r="K349" s="3" t="inlineStr">
        <is>
          <t>MK-CF-F-093 taxableIncome → MK-CF-F-095 taxOwed → MK-CF-F-097 grossFromNet → MK-CF-F-060 salaryGrossByMonth
MK-ST-F-055 round2 → MK-CF-F-060 salaryGrossByMonth
MK-ST-F-052 toNum → MK-CF-F-060 salaryGrossByMonth</t>
        </is>
      </c>
      <c r="L349" s="3" t="inlineStr">
        <is>
          <t>—</t>
        </is>
      </c>
      <c r="M349" s="3" t="inlineStr">
        <is>
          <t>SALARY_BY_MONTH</t>
        </is>
      </c>
    </row>
    <row r="350">
      <c r="A350" s="3" t="inlineStr">
        <is>
          <t>MK-PL-F-028</t>
        </is>
      </c>
      <c r="B350" s="3" t="inlineStr">
        <is>
          <t>sampleAskLine</t>
        </is>
      </c>
      <c r="C350" s="3" t="inlineStr">
        <is>
          <t>src/domain/planning/hub.ts</t>
        </is>
      </c>
      <c r="D350" s="3" t="n">
        <v>152</v>
      </c>
      <c r="E350" s="3" t="inlineStr">
        <is>
          <t>2 · DISPLAYED</t>
        </is>
      </c>
      <c r="F350" s="3" t="inlineStr">
        <is>
          <t>A screen calls it directly, so its answer is on a screen.</t>
        </is>
      </c>
      <c r="G350" s="3" t="inlineStr">
        <is>
          <t>Yes</t>
        </is>
      </c>
      <c r="H350" s="3" t="inlineStr">
        <is>
          <t>—</t>
        </is>
      </c>
      <c r="I350" s="3" t="n">
        <v>0</v>
      </c>
      <c r="J350" s="3" t="inlineStr">
        <is>
          <t>None — no dependent function stands behind it</t>
        </is>
      </c>
      <c r="K350" s="3" t="inlineStr">
        <is>
          <t>No dependent function — it reads its inputs and answers</t>
        </is>
      </c>
      <c r="L350" s="3" t="inlineStr">
        <is>
          <t>—</t>
        </is>
      </c>
      <c r="M350" s="3" t="inlineStr">
        <is>
          <t>SAMPLE_ASK_SENTENCE</t>
        </is>
      </c>
    </row>
    <row r="351">
      <c r="A351" s="3" t="inlineStr">
        <is>
          <t>MK-PL-F-025</t>
        </is>
      </c>
      <c r="B351" s="3" t="inlineStr">
        <is>
          <t>sampleOddsLine</t>
        </is>
      </c>
      <c r="C351" s="3" t="inlineStr">
        <is>
          <t>src/domain/planning/hub.ts</t>
        </is>
      </c>
      <c r="D351" s="3" t="n">
        <v>34</v>
      </c>
      <c r="E351" s="3" t="inlineStr">
        <is>
          <t>2 · DISPLAYED</t>
        </is>
      </c>
      <c r="F351" s="3" t="inlineStr">
        <is>
          <t>A screen calls it directly, so its answer is on a screen.</t>
        </is>
      </c>
      <c r="G351" s="3" t="inlineStr">
        <is>
          <t>Yes</t>
        </is>
      </c>
      <c r="H351" s="3" t="inlineStr">
        <is>
          <t>—</t>
        </is>
      </c>
      <c r="I351" s="3" t="n">
        <v>0</v>
      </c>
      <c r="J351" s="3" t="inlineStr">
        <is>
          <t>None — no dependent function stands behind it</t>
        </is>
      </c>
      <c r="K351" s="3" t="inlineStr">
        <is>
          <t>No dependent function — it reads its inputs and answers</t>
        </is>
      </c>
      <c r="L351" s="3" t="inlineStr">
        <is>
          <t>—</t>
        </is>
      </c>
      <c r="M351" s="3" t="inlineStr">
        <is>
          <t>SAMPLE_ODDS_SENTENCE</t>
        </is>
      </c>
    </row>
    <row r="352">
      <c r="A352" s="3" t="inlineStr">
        <is>
          <t>MK-NW-F-043</t>
        </is>
      </c>
      <c r="B352" s="3" t="inlineStr">
        <is>
          <t>saveAssets</t>
        </is>
      </c>
      <c r="C352" s="3" t="inlineStr">
        <is>
          <t>src/domain/assets/index.ts</t>
        </is>
      </c>
      <c r="D352" s="3" t="n">
        <v>703</v>
      </c>
      <c r="E352" s="3" t="inlineStr">
        <is>
          <t>1 · ACTION</t>
        </is>
      </c>
      <c r="F352" s="3" t="inlineStr">
        <is>
          <t>Produces nothing that is displayed — it does something: saves, syncs or records.</t>
        </is>
      </c>
      <c r="G352" s="3" t="inlineStr">
        <is>
          <t>No</t>
        </is>
      </c>
      <c r="H352" s="3" t="inlineStr">
        <is>
          <t>MK-ST-F-040 emit · MK-ST-F-042 setUserDoc</t>
        </is>
      </c>
      <c r="I352" s="3" t="n">
        <v>2</v>
      </c>
      <c r="J352" s="3" t="inlineStr">
        <is>
          <t>MK-ST-F-040 emit · MK-ST-F-042 setUserDoc</t>
        </is>
      </c>
      <c r="K352" s="3" t="inlineStr">
        <is>
          <t>MK-ST-F-040 emit → MK-NW-F-043 saveAssets
MK-ST-F-042 setUserDoc → MK-NW-F-043 saveAssets</t>
        </is>
      </c>
      <c r="L352" s="3" t="inlineStr">
        <is>
          <t>—</t>
        </is>
      </c>
      <c r="M352" s="3" t="inlineStr">
        <is>
          <t>—</t>
        </is>
      </c>
    </row>
    <row r="353">
      <c r="A353" s="3" t="inlineStr">
        <is>
          <t>MK-CF-F-016</t>
        </is>
      </c>
      <c r="B353" s="3" t="inlineStr">
        <is>
          <t>saveBudget</t>
        </is>
      </c>
      <c r="C353" s="3" t="inlineStr">
        <is>
          <t>src/domain/budget/index.ts</t>
        </is>
      </c>
      <c r="D353" s="3" t="n">
        <v>285</v>
      </c>
      <c r="E353" s="3" t="inlineStr">
        <is>
          <t>1 · ACTION</t>
        </is>
      </c>
      <c r="F353" s="3" t="inlineStr">
        <is>
          <t>Produces nothing that is displayed — it does something: saves, syncs or records.</t>
        </is>
      </c>
      <c r="G353" s="3" t="inlineStr">
        <is>
          <t>No</t>
        </is>
      </c>
      <c r="H353" s="3" t="inlineStr">
        <is>
          <t>MK-ST-F-042 setUserDoc</t>
        </is>
      </c>
      <c r="I353" s="3" t="n">
        <v>1</v>
      </c>
      <c r="J353" s="3" t="inlineStr">
        <is>
          <t>MK-ST-F-042 setUserDoc</t>
        </is>
      </c>
      <c r="K353" s="3" t="inlineStr">
        <is>
          <t>MK-ST-F-042 setUserDoc → MK-CF-F-016 saveBudget</t>
        </is>
      </c>
      <c r="L353" s="3" t="inlineStr">
        <is>
          <t>—</t>
        </is>
      </c>
      <c r="M353" s="3" t="inlineStr">
        <is>
          <t>—</t>
        </is>
      </c>
    </row>
    <row r="354">
      <c r="A354" s="3" t="inlineStr">
        <is>
          <t>MK-CF-F-040</t>
        </is>
      </c>
      <c r="B354" s="3" t="inlineStr">
        <is>
          <t>saveDebt</t>
        </is>
      </c>
      <c r="C354" s="3" t="inlineStr">
        <is>
          <t>src/domain/debt/index.ts</t>
        </is>
      </c>
      <c r="D354" s="3" t="n">
        <v>258</v>
      </c>
      <c r="E354" s="3" t="inlineStr">
        <is>
          <t>1 · ACTION</t>
        </is>
      </c>
      <c r="F354" s="3" t="inlineStr">
        <is>
          <t>Produces nothing that is displayed — it does something: saves, syncs or records.</t>
        </is>
      </c>
      <c r="G354" s="3" t="inlineStr">
        <is>
          <t>No</t>
        </is>
      </c>
      <c r="H354" s="3" t="inlineStr">
        <is>
          <t>MK-ST-F-040 emit · MK-ST-F-042 setUserDoc</t>
        </is>
      </c>
      <c r="I354" s="3" t="n">
        <v>2</v>
      </c>
      <c r="J354" s="3" t="inlineStr">
        <is>
          <t>MK-ST-F-040 emit · MK-ST-F-042 setUserDoc</t>
        </is>
      </c>
      <c r="K354" s="3" t="inlineStr">
        <is>
          <t>MK-ST-F-040 emit → MK-CF-F-040 saveDebt
MK-ST-F-042 setUserDoc → MK-CF-F-040 saveDebt</t>
        </is>
      </c>
      <c r="L354" s="3" t="inlineStr">
        <is>
          <t>—</t>
        </is>
      </c>
      <c r="M354" s="3" t="inlineStr">
        <is>
          <t>—</t>
        </is>
      </c>
    </row>
    <row r="355">
      <c r="A355" s="3" t="inlineStr">
        <is>
          <t>MK-PL-F-015</t>
        </is>
      </c>
      <c r="B355" s="3" t="inlineStr">
        <is>
          <t>saveGoals</t>
        </is>
      </c>
      <c r="C355" s="3" t="inlineStr">
        <is>
          <t>src/domain/goals/index.ts</t>
        </is>
      </c>
      <c r="D355" s="3" t="n">
        <v>65</v>
      </c>
      <c r="E355" s="3" t="inlineStr">
        <is>
          <t>1 · ACTION</t>
        </is>
      </c>
      <c r="F355" s="3" t="inlineStr">
        <is>
          <t>Produces nothing that is displayed — it does something: saves, syncs or records.</t>
        </is>
      </c>
      <c r="G355" s="3" t="inlineStr">
        <is>
          <t>No</t>
        </is>
      </c>
      <c r="H355" s="3" t="inlineStr">
        <is>
          <t>MK-ST-F-042 setUserDoc</t>
        </is>
      </c>
      <c r="I355" s="3" t="n">
        <v>1</v>
      </c>
      <c r="J355" s="3" t="inlineStr">
        <is>
          <t>MK-ST-F-042 setUserDoc</t>
        </is>
      </c>
      <c r="K355" s="3" t="inlineStr">
        <is>
          <t>MK-ST-F-042 setUserDoc → MK-PL-F-015 saveGoals</t>
        </is>
      </c>
      <c r="L355" s="3" t="inlineStr">
        <is>
          <t>—</t>
        </is>
      </c>
      <c r="M355" s="3" t="inlineStr">
        <is>
          <t>—</t>
        </is>
      </c>
    </row>
    <row r="356">
      <c r="A356" s="3" t="inlineStr">
        <is>
          <t>MK-CF-F-051</t>
        </is>
      </c>
      <c r="B356" s="3" t="inlineStr">
        <is>
          <t>saveIncome</t>
        </is>
      </c>
      <c r="C356" s="3" t="inlineStr">
        <is>
          <t>src/domain/income/index.ts</t>
        </is>
      </c>
      <c r="D356" s="3" t="n">
        <v>23</v>
      </c>
      <c r="E356" s="3" t="inlineStr">
        <is>
          <t>1 · ACTION</t>
        </is>
      </c>
      <c r="F356" s="3" t="inlineStr">
        <is>
          <t>Produces nothing that is displayed — it does something: saves, syncs or records.</t>
        </is>
      </c>
      <c r="G356" s="3" t="inlineStr">
        <is>
          <t>Yes</t>
        </is>
      </c>
      <c r="H356" s="3" t="inlineStr">
        <is>
          <t>MK-ST-F-040 emit · MK-ST-F-042 setUserDoc</t>
        </is>
      </c>
      <c r="I356" s="3" t="n">
        <v>2</v>
      </c>
      <c r="J356" s="3" t="inlineStr">
        <is>
          <t>MK-ST-F-040 emit · MK-ST-F-042 setUserDoc</t>
        </is>
      </c>
      <c r="K356" s="3" t="inlineStr">
        <is>
          <t>MK-ST-F-040 emit → MK-CF-F-051 saveIncome
MK-ST-F-042 setUserDoc → MK-CF-F-051 saveIncome</t>
        </is>
      </c>
      <c r="L356" s="3" t="inlineStr">
        <is>
          <t>—</t>
        </is>
      </c>
      <c r="M356" s="3" t="inlineStr">
        <is>
          <t>—</t>
        </is>
      </c>
    </row>
    <row r="357">
      <c r="A357" s="3" t="inlineStr">
        <is>
          <t>MK-XS-F-022</t>
        </is>
      </c>
      <c r="B357" s="3" t="inlineStr">
        <is>
          <t>saveProfile</t>
        </is>
      </c>
      <c r="C357" s="3" t="inlineStr">
        <is>
          <t>src/domain/profile/index.ts</t>
        </is>
      </c>
      <c r="D357" s="3" t="n">
        <v>21</v>
      </c>
      <c r="E357" s="3" t="inlineStr">
        <is>
          <t>1 · ACTION</t>
        </is>
      </c>
      <c r="F357" s="3" t="inlineStr">
        <is>
          <t>Produces nothing that is displayed — it does something: saves, syncs or records.</t>
        </is>
      </c>
      <c r="G357" s="3" t="inlineStr">
        <is>
          <t>Yes</t>
        </is>
      </c>
      <c r="H357" s="3" t="inlineStr">
        <is>
          <t>MK-ST-F-040 emit · MK-ST-F-042 setUserDoc</t>
        </is>
      </c>
      <c r="I357" s="3" t="n">
        <v>2</v>
      </c>
      <c r="J357" s="3" t="inlineStr">
        <is>
          <t>MK-ST-F-040 emit · MK-ST-F-042 setUserDoc</t>
        </is>
      </c>
      <c r="K357" s="3" t="inlineStr">
        <is>
          <t>MK-ST-F-040 emit → MK-XS-F-022 saveProfile
MK-ST-F-042 setUserDoc → MK-XS-F-022 saveProfile</t>
        </is>
      </c>
      <c r="L357" s="3" t="inlineStr">
        <is>
          <t>—</t>
        </is>
      </c>
      <c r="M357" s="3" t="inlineStr">
        <is>
          <t>—</t>
        </is>
      </c>
    </row>
    <row r="358">
      <c r="A358" s="3" t="inlineStr">
        <is>
          <t>MK-XS-F-073</t>
        </is>
      </c>
      <c r="B358" s="3" t="inlineStr">
        <is>
          <t>saveUserData</t>
        </is>
      </c>
      <c r="C358" s="3" t="inlineStr">
        <is>
          <t>src/services/firebase.ts</t>
        </is>
      </c>
      <c r="D358" s="3" t="n">
        <v>216</v>
      </c>
      <c r="E358" s="3" t="inlineStr">
        <is>
          <t>1 · ACTION</t>
        </is>
      </c>
      <c r="F358" s="3" t="inlineStr">
        <is>
          <t>Produces nothing that is displayed — it does something: saves, syncs or records.</t>
        </is>
      </c>
      <c r="G358" s="3" t="inlineStr">
        <is>
          <t>Yes</t>
        </is>
      </c>
      <c r="H358" s="3" t="inlineStr">
        <is>
          <t>MK-XS-F-054 encryptForSync</t>
        </is>
      </c>
      <c r="I358" s="3" t="n">
        <v>3</v>
      </c>
      <c r="J358" s="3" t="inlineStr">
        <is>
          <t>MK-XS-F-054 encryptForSync · MK-XS-F-052 encryptWithKey · MK-XS-F-042 getDataKey</t>
        </is>
      </c>
      <c r="K358" s="3" t="inlineStr">
        <is>
          <t>MK-XS-F-052 encryptWithKey → MK-XS-F-054 encryptForSync → MK-XS-F-073 saveUserData
MK-XS-F-042 getDataKey → MK-XS-F-054 encryptForSync → MK-XS-F-073 saveUserData</t>
        </is>
      </c>
      <c r="L358" s="3" t="inlineStr">
        <is>
          <t>—</t>
        </is>
      </c>
      <c r="M358" s="3" t="inlineStr">
        <is>
          <t>—</t>
        </is>
      </c>
    </row>
    <row r="359">
      <c r="A359" s="3" t="inlineStr">
        <is>
          <t>MK-PL-F-042</t>
        </is>
      </c>
      <c r="B359" s="3" t="inlineStr">
        <is>
          <t>savingToReachTarget</t>
        </is>
      </c>
      <c r="C359" s="3" t="inlineStr">
        <is>
          <t>src/domain/planning/target.ts</t>
        </is>
      </c>
      <c r="D359" s="3" t="n">
        <v>89</v>
      </c>
      <c r="E359" s="3" t="inlineStr">
        <is>
          <t>3 · DEPENDENT</t>
        </is>
      </c>
      <c r="F359" s="3" t="inlineStr">
        <is>
          <t>Its answer feeds another function, and that chain ends at a screen.</t>
        </is>
      </c>
      <c r="G359" s="3" t="inlineStr">
        <is>
          <t>Yes</t>
        </is>
      </c>
      <c r="H359" s="3" t="inlineStr">
        <is>
          <t>MK-PL-F-050 simulate</t>
        </is>
      </c>
      <c r="I359" s="3" t="n">
        <v>4</v>
      </c>
      <c r="J359" s="3" t="inlineStr">
        <is>
          <t>MK-PL-F-050 simulate · MK-ST-F-025 rmdStartAgeFromAge · MK-ST-F-055 round2 · MK-ST-F-024 rmdStartAge</t>
        </is>
      </c>
      <c r="K359" s="3" t="inlineStr">
        <is>
          <t>MK-ST-F-024 rmdStartAge → MK-ST-F-025 rmdStartAgeFromAge → MK-PL-F-050 simulate → MK-PL-F-042 savingToReachTarget
MK-ST-F-055 round2 → MK-PL-F-050 simulate → MK-PL-F-042 savingToReachTarget</t>
        </is>
      </c>
      <c r="L359" s="3" t="inlineStr">
        <is>
          <t>—</t>
        </is>
      </c>
      <c r="M359" s="3" t="inlineStr">
        <is>
          <t>—</t>
        </is>
      </c>
    </row>
    <row r="360">
      <c r="A360" s="3" t="inlineStr">
        <is>
          <t>MK-CF-F-011</t>
        </is>
      </c>
      <c r="B360" s="3" t="inlineStr">
        <is>
          <t>savingsByMonth</t>
        </is>
      </c>
      <c r="C360" s="3" t="inlineStr">
        <is>
          <t>src/domain/budget/index.ts</t>
        </is>
      </c>
      <c r="D360" s="3" t="n">
        <v>208</v>
      </c>
      <c r="E360" s="3" t="inlineStr">
        <is>
          <t>2 · DISPLAYED</t>
        </is>
      </c>
      <c r="F360" s="3" t="inlineStr">
        <is>
          <t>A screen calls it directly, so its answer is on a screen.</t>
        </is>
      </c>
      <c r="G360" s="3" t="inlineStr">
        <is>
          <t>Yes</t>
        </is>
      </c>
      <c r="H360" s="3" t="inlineStr">
        <is>
          <t>MK-CF-F-092 incomeMonthlyGrid · MK-ST-F-055 round2 · MK-CF-F-008 spendByMonth</t>
        </is>
      </c>
      <c r="I360" s="3" t="n">
        <v>38</v>
      </c>
      <c r="J360" s="3" t="inlineStr">
        <is>
          <t>MK-CF-F-092 incomeMonthlyGrid · MK-ST-F-055 round2 · MK-CF-F-008 spendByMonth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MK-CF-F-102 effectiveRateOnGrossFor · MK-CF-F-084 taxableAnnual · MK-CF-F-101 taxOwedFor · MK-CF-F-100 taxableIncomeFor · MK-CF-F-095 taxOwed · MK-CF-F-082 salaryAnnual · MK-CF-F-074 tipsAnnual · MK-CF-F-099 deductionFor · MK-CF-F-093 taxableIncome · MK-CF-F-081 salaryActiveMonths</t>
        </is>
      </c>
      <c r="K360" s="3" t="inlineStr">
        <is>
          <t>MK-CF-F-069 benefitActiveMonths → MK-CF-F-092 incomeMonthlyGrid → MK-CF-F-011 savingsByMonth
MK-ST-F-052 toNum → MK-CF-F-075 retirementIncomeMonthly → MK-CF-F-072 currentRetirementIncomeMonthly → MK-CF-F-092 incomeMonthlyGrid → MK-CF-F-011 savingsByMonth
MK-ST-F-052 toNum → MK-CF-F-062 equityRowValue → MK-CF-F-065 equityVestWeights → MK-CF-F-092 incomeMonthlyGrid → MK-CF-F-011 savingsByMonth
MK-CF-F-069 benefitActiveMonths → MK-CF-F-070 benefitAnnual → MK-CF-F-071 extraIncome → MK-CF-F-092 incomeMonthlyGrid → MK-CF-F-011 savingsByMonth
MK-ST-F-052 toNum → MK-CF-F-070 benefitAnnual → MK-CF-F-071 extraIncome → MK-CF-F-092 incomeMonthlyGrid → MK-CF-F-011 savingsByMonth
MK-ST-F-055 round2 → MK-CF-F-071 extraIncome → MK-CF-F-092 incomeMonthlyGrid → MK-CF-F-011 savingsByMonth
MK-ST-F-052 toNum → MK-CF-F-071 extraIncome → MK-CF-F-092 incomeMonthlyGrid → MK-CF-F-011 savingsByMonth
MK-CF-F-101 taxOwedFor → MK-CF-F-102 effectiveRateOnGrossFor → MK-CF-F-090 effectiveRate → MK-CF-F-087 monthlyTaxRates → MK-CF-F-092 incomeMonthlyGrid → MK-CF-F-011 savingsByMonth
… and 46 more paths</t>
        </is>
      </c>
      <c r="L360" s="3" t="inlineStr">
        <is>
          <t>—</t>
        </is>
      </c>
      <c r="M360" s="3" t="inlineStr">
        <is>
          <t>—</t>
        </is>
      </c>
    </row>
    <row r="361">
      <c r="A361" s="3" t="inlineStr">
        <is>
          <t>MK-XS-F-087</t>
        </is>
      </c>
      <c r="B361" s="3" t="inlineStr">
        <is>
          <t>scheduleRmdReminder</t>
        </is>
      </c>
      <c r="C361" s="3" t="inlineStr">
        <is>
          <t>src/services/notifications.ts</t>
        </is>
      </c>
      <c r="D361" s="3" t="n">
        <v>53</v>
      </c>
      <c r="E361" s="3" t="inlineStr">
        <is>
          <t>2 · DISPLAYED</t>
        </is>
      </c>
      <c r="F361" s="3" t="inlineStr">
        <is>
          <t>A screen calls it directly, so its answer is on a screen.</t>
        </is>
      </c>
      <c r="G361" s="3" t="inlineStr">
        <is>
          <t>Yes</t>
        </is>
      </c>
      <c r="H361" s="3" t="inlineStr">
        <is>
          <t>—</t>
        </is>
      </c>
      <c r="I361" s="3" t="n">
        <v>0</v>
      </c>
      <c r="J361" s="3" t="inlineStr">
        <is>
          <t>None — no dependent function stands behind it</t>
        </is>
      </c>
      <c r="K361" s="3" t="inlineStr">
        <is>
          <t>No dependent function — it reads its inputs and answers</t>
        </is>
      </c>
      <c r="L361" s="3" t="inlineStr">
        <is>
          <t>—</t>
        </is>
      </c>
      <c r="M361" s="3" t="inlineStr">
        <is>
          <t>—</t>
        </is>
      </c>
    </row>
    <row r="362">
      <c r="A362" s="3" t="inlineStr">
        <is>
          <t>MK-XS-F-091</t>
        </is>
      </c>
      <c r="B362" s="3" t="inlineStr">
        <is>
          <t>scheduleSsWindowReminder</t>
        </is>
      </c>
      <c r="C362" s="3" t="inlineStr">
        <is>
          <t>src/services/notifications.ts</t>
        </is>
      </c>
      <c r="D362" s="3" t="n">
        <v>114</v>
      </c>
      <c r="E362" s="3" t="inlineStr">
        <is>
          <t>2 · DISPLAYED</t>
        </is>
      </c>
      <c r="F362" s="3" t="inlineStr">
        <is>
          <t>A screen calls it directly, so its answer is on a screen.</t>
        </is>
      </c>
      <c r="G362" s="3" t="inlineStr">
        <is>
          <t>Yes</t>
        </is>
      </c>
      <c r="H362" s="3" t="inlineStr">
        <is>
          <t>—</t>
        </is>
      </c>
      <c r="I362" s="3" t="n">
        <v>0</v>
      </c>
      <c r="J362" s="3" t="inlineStr">
        <is>
          <t>None — no dependent function stands behind it</t>
        </is>
      </c>
      <c r="K362" s="3" t="inlineStr">
        <is>
          <t>No dependent function — it reads its inputs and answers</t>
        </is>
      </c>
      <c r="L362" s="3" t="inlineStr">
        <is>
          <t>—</t>
        </is>
      </c>
      <c r="M362" s="3" t="inlineStr">
        <is>
          <t>—</t>
        </is>
      </c>
    </row>
    <row r="363">
      <c r="A363" s="3" t="inlineStr">
        <is>
          <t>MK-XS-F-085</t>
        </is>
      </c>
      <c r="B363" s="3" t="inlineStr">
        <is>
          <t>scheduleStreakReminder</t>
        </is>
      </c>
      <c r="C363" s="3" t="inlineStr">
        <is>
          <t>src/services/notifications.ts</t>
        </is>
      </c>
      <c r="D363" s="3" t="n">
        <v>28</v>
      </c>
      <c r="E363" s="3" t="inlineStr">
        <is>
          <t>1 · ACTION</t>
        </is>
      </c>
      <c r="F363" s="3" t="inlineStr">
        <is>
          <t>Produces nothing that is displayed — it does something: saves, syncs or records.</t>
        </is>
      </c>
      <c r="G363" s="3" t="inlineStr">
        <is>
          <t>No</t>
        </is>
      </c>
      <c r="H363" s="3" t="inlineStr">
        <is>
          <t>—</t>
        </is>
      </c>
      <c r="I363" s="3" t="n">
        <v>0</v>
      </c>
      <c r="J363" s="3" t="inlineStr">
        <is>
          <t>None — no dependent function stands behind it</t>
        </is>
      </c>
      <c r="K363" s="3" t="inlineStr">
        <is>
          <t>No dependent function — it reads its inputs and answers</t>
        </is>
      </c>
      <c r="L363" s="3" t="inlineStr">
        <is>
          <t>—</t>
        </is>
      </c>
      <c r="M363" s="3" t="inlineStr">
        <is>
          <t>—</t>
        </is>
      </c>
    </row>
    <row r="364">
      <c r="A364" s="3" t="inlineStr">
        <is>
          <t>MK-XS-F-089</t>
        </is>
      </c>
      <c r="B364" s="3" t="inlineStr">
        <is>
          <t>scheduleWeeklySummary</t>
        </is>
      </c>
      <c r="C364" s="3" t="inlineStr">
        <is>
          <t>src/services/notifications.ts</t>
        </is>
      </c>
      <c r="D364" s="3" t="n">
        <v>83</v>
      </c>
      <c r="E364" s="3" t="inlineStr">
        <is>
          <t>1 · ACTION</t>
        </is>
      </c>
      <c r="F364" s="3" t="inlineStr">
        <is>
          <t>Produces nothing that is displayed — it does something: saves, syncs or records.</t>
        </is>
      </c>
      <c r="G364" s="3" t="inlineStr">
        <is>
          <t>No</t>
        </is>
      </c>
      <c r="H364" s="3" t="inlineStr">
        <is>
          <t>—</t>
        </is>
      </c>
      <c r="I364" s="3" t="n">
        <v>0</v>
      </c>
      <c r="J364" s="3" t="inlineStr">
        <is>
          <t>None — no dependent function stands behind it</t>
        </is>
      </c>
      <c r="K364" s="3" t="inlineStr">
        <is>
          <t>No dependent function — it reads its inputs and answers</t>
        </is>
      </c>
      <c r="L364" s="3" t="inlineStr">
        <is>
          <t>—</t>
        </is>
      </c>
      <c r="M364" s="3" t="inlineStr">
        <is>
          <t>—</t>
        </is>
      </c>
    </row>
    <row r="365">
      <c r="A365" s="3" t="inlineStr">
        <is>
          <t>MK-CF-F-077</t>
        </is>
      </c>
      <c r="B365" s="3" t="inlineStr">
        <is>
          <t>scholarshipByCalendarMonth</t>
        </is>
      </c>
      <c r="C365" s="3" t="inlineStr">
        <is>
          <t>src/domain/income/onboarding.ts</t>
        </is>
      </c>
      <c r="D365" s="3" t="n">
        <v>242</v>
      </c>
      <c r="E365" s="3" t="inlineStr">
        <is>
          <t>3 · DEPENDENT</t>
        </is>
      </c>
      <c r="F365" s="3" t="inlineStr">
        <is>
          <t>Its answer feeds another function, and that chain ends at a screen.</t>
        </is>
      </c>
      <c r="G365" s="3" t="inlineStr">
        <is>
          <t>Yes</t>
        </is>
      </c>
      <c r="H365" s="3" t="inlineStr">
        <is>
          <t>MK-ST-F-052 toNum</t>
        </is>
      </c>
      <c r="I365" s="3" t="n">
        <v>1</v>
      </c>
      <c r="J365" s="3" t="inlineStr">
        <is>
          <t>MK-ST-F-052 toNum</t>
        </is>
      </c>
      <c r="K365" s="3" t="inlineStr">
        <is>
          <t>MK-ST-F-052 toNum → MK-CF-F-077 scholarshipByCalendarMonth</t>
        </is>
      </c>
      <c r="L365" s="3" t="inlineStr">
        <is>
          <t>—</t>
        </is>
      </c>
      <c r="M365" s="3" t="inlineStr">
        <is>
          <t>—</t>
        </is>
      </c>
    </row>
    <row r="366">
      <c r="A366" s="3" t="inlineStr">
        <is>
          <t>MK-PL-F-068</t>
        </is>
      </c>
      <c r="B366" s="3" t="inlineStr">
        <is>
          <t>selectWillItLast</t>
        </is>
      </c>
      <c r="C366" s="3" t="inlineStr">
        <is>
          <t>src/domain/retirement/willItLast.ts</t>
        </is>
      </c>
      <c r="D366" s="3" t="n">
        <v>149</v>
      </c>
      <c r="E366" s="3" t="inlineStr">
        <is>
          <t>2 · DISPLAYED</t>
        </is>
      </c>
      <c r="F366" s="3" t="inlineStr">
        <is>
          <t>A screen calls it directly, so its answer is on a screen.</t>
        </is>
      </c>
      <c r="G366" s="3" t="inlineStr">
        <is>
          <t>Yes</t>
        </is>
      </c>
      <c r="H366" s="3" t="inlineStr">
        <is>
          <t>MK-PL-F-066 displayOdds · MK-NW-F-033 retirementEarmarkedValue · MK-PL-F-049 retirementSpendMonthly · MK-PL-F-050 simulate · MK-PL-F-067 willItLastInputs</t>
        </is>
      </c>
      <c r="I366" s="3" t="n">
        <v>55</v>
      </c>
      <c r="J366" s="3" t="inlineStr">
        <is>
          <t>MK-PL-F-066 displayOdds · MK-NW-F-033 retirementEarmarkedValue · MK-PL-F-049 retirementSpendMonthly · MK-PL-F-050 simulate · MK-PL-F-067 willItLastInputs · MK-NW-F-032 earmarkedAmount · MK-NW-F-031 primaryCarIdOf · MK-ST-F-055 round2 · MK-PL-F-047 colFactor · MK-ST-F-052 toNum · MK-ST-F-025 rmdStartAgeFromAge · MK-NW-F-037 blendedReturn · MK-NW-F-035 blendedVolatility · MK-CF-F-102 effectiveRateOnGrossFor · MK-CF-F-085 filingStatusOf · MK-CF-F-076 guaranteedOutsideStreams · MK-NW-F-041 monthlyContributionsFromOnboarding · MK-CF-F-089 over65CountOf · MK-NW-F-004 portfolioActualReturn · MK-PL-F-060 ssBenefitAt · MK-CF-F-086 stateRateOf · MK-PL-F-001 taxBucketSplit · MK-CF-F-083 totalGrossAnnual · MK-PL-F-065 volOf · MK-NW-F-030 earmarkDefault · MK-NW-F-011 assetClassOf · MK-ST-F-024 rmdStartAge · MK-NW-F-034 benchmarkReturn · MK-CF-F-101 taxOwedFor · MK-CF-F-078 employerMatchMonthly · MK-PL-F-058 ssClaimFactorFor · MK-CF-F-072 currentRetirementIncomeMonthly · MK-CF-F-071 extraIncome · MK-CF-F-068 rentalNetAnnual · MK-CF-F-066 rsuAnnual · MK-CF-F-082 salaryAnnual · MK-CF-F-074 tipsAnnual · MK-NW-F-013 realEstateUseOf · MK-NW-F-008 incomeBearingClassOf · MK-NW-F-007 assetKind · MK-CF-F-100 taxableIncomeFor · MK-PL-F-057 fullRetirementAge · MK-CF-F-075 retirementIncomeMonthly · MK-CF-F-070 benefitAnnual · MK-CF-F-067 rentalList · MK-CF-F-062 equityRowValue · MK-CF-F-063 rowVestYear · MK-CF-F-060 salaryGrossByMonth · MK-CF-F-081 salaryActiveMonths · MK-ST-F-010 nameEvidence · MK-CF-F-099 deductionFor · MK-CF-F-069 benefitActiveMonths · MK-CF-F-097 grossFromNet · MK-CF-F-095 taxOwed · MK-CF-F-093 taxableIncome</t>
        </is>
      </c>
      <c r="K366" s="3" t="inlineStr">
        <is>
          <t>MK-PL-F-066 displayOdds → MK-PL-F-068 selectWillItLast
MK-NW-F-008 incomeBearingClassOf → MK-NW-F-011 assetClassOf → MK-NW-F-030 earmarkDefault → MK-NW-F-032 earmarkedAmount → MK-NW-F-033 retirementEarmarkedValue → MK-PL-F-068 selectWillItLast
MK-NW-F-013 realEstateUseOf → MK-NW-F-030 earmarkDefault → MK-NW-F-032 earmarkedAmount → MK-NW-F-033 retirementEarmarkedValue → MK-PL-F-068 selectWillItLast
MK-ST-F-055 round2 → MK-NW-F-032 earmarkedAmount → MK-NW-F-033 retirementEarmarkedValue → MK-PL-F-068 selectWillItLast
MK-ST-F-010 nameEvidence → MK-NW-F-008 incomeBearingClassOf → MK-NW-F-011 assetClassOf → MK-NW-F-031 primaryCarIdOf → MK-NW-F-033 retirementEarmarkedValue → MK-PL-F-068 selectWillItLast
MK-ST-F-055 round2 → MK-NW-F-033 retirementEarmarkedValue → MK-PL-F-068 selectWillItLast
MK-PL-F-047 colFactor → MK-PL-F-049 retirementSpendMonthly → MK-PL-F-068 selectWillItLast
MK-ST-F-055 round2 → MK-PL-F-049 retirementSpendMonthly → MK-PL-F-068 selectWillItLast
… and 52 more paths</t>
        </is>
      </c>
      <c r="L366" s="3" t="inlineStr">
        <is>
          <t>MK-PL-M-034 · MK-XS-M-002</t>
        </is>
      </c>
      <c r="M366" s="3" t="inlineStr">
        <is>
          <t>WILL_IT_LAST_RESULT</t>
        </is>
      </c>
    </row>
    <row r="367">
      <c r="A367" s="3" t="inlineStr">
        <is>
          <t>MK-XS-F-088</t>
        </is>
      </c>
      <c r="B367" s="3" t="inlineStr">
        <is>
          <t>sendBudgetAlert</t>
        </is>
      </c>
      <c r="C367" s="3" t="inlineStr">
        <is>
          <t>src/services/notifications.ts</t>
        </is>
      </c>
      <c r="D367" s="3" t="n">
        <v>71</v>
      </c>
      <c r="E367" s="3" t="inlineStr">
        <is>
          <t>1 · ACTION</t>
        </is>
      </c>
      <c r="F367" s="3" t="inlineStr">
        <is>
          <t>Produces nothing that is displayed — it does something: saves, syncs or records.</t>
        </is>
      </c>
      <c r="G367" s="3" t="inlineStr">
        <is>
          <t>No</t>
        </is>
      </c>
      <c r="H367" s="3" t="inlineStr">
        <is>
          <t>—</t>
        </is>
      </c>
      <c r="I367" s="3" t="n">
        <v>0</v>
      </c>
      <c r="J367" s="3" t="inlineStr">
        <is>
          <t>None — no dependent function stands behind it</t>
        </is>
      </c>
      <c r="K367" s="3" t="inlineStr">
        <is>
          <t>No dependent function — it reads its inputs and answers</t>
        </is>
      </c>
      <c r="L367" s="3" t="inlineStr">
        <is>
          <t>—</t>
        </is>
      </c>
      <c r="M367" s="3" t="inlineStr">
        <is>
          <t>—</t>
        </is>
      </c>
    </row>
    <row r="368">
      <c r="A368" s="3" t="inlineStr">
        <is>
          <t>MK-XS-F-040</t>
        </is>
      </c>
      <c r="B368" s="3" t="inlineStr">
        <is>
          <t>sendTestReport</t>
        </is>
      </c>
      <c r="C368" s="3" t="inlineStr">
        <is>
          <t>src/services/crashReporter.ts</t>
        </is>
      </c>
      <c r="D368" s="3" t="n">
        <v>83</v>
      </c>
      <c r="E368" s="3" t="inlineStr">
        <is>
          <t>2 · DISPLAYED</t>
        </is>
      </c>
      <c r="F368" s="3" t="inlineStr">
        <is>
          <t>A screen calls it directly, so its answer is on a screen.</t>
        </is>
      </c>
      <c r="G368" s="3" t="inlineStr">
        <is>
          <t>Yes</t>
        </is>
      </c>
      <c r="H368" s="3" t="inlineStr">
        <is>
          <t>MK-XS-F-037 captureException</t>
        </is>
      </c>
      <c r="I368" s="3" t="n">
        <v>1</v>
      </c>
      <c r="J368" s="3" t="inlineStr">
        <is>
          <t>MK-XS-F-037 captureException</t>
        </is>
      </c>
      <c r="K368" s="3" t="inlineStr">
        <is>
          <t>MK-XS-F-037 captureException → MK-XS-F-040 sendTestReport</t>
        </is>
      </c>
      <c r="L368" s="3" t="inlineStr">
        <is>
          <t>—</t>
        </is>
      </c>
      <c r="M368" s="3" t="inlineStr">
        <is>
          <t>—</t>
        </is>
      </c>
    </row>
    <row r="369">
      <c r="A369" s="3" t="inlineStr">
        <is>
          <t>MK-ST-F-045</t>
        </is>
      </c>
      <c r="B369" s="3" t="inlineStr">
        <is>
          <t>setHideBalances</t>
        </is>
      </c>
      <c r="C369" s="3" t="inlineStr">
        <is>
          <t>src/domain/_shared/money.ts</t>
        </is>
      </c>
      <c r="D369" s="3" t="n">
        <v>46</v>
      </c>
      <c r="E369" s="3" t="inlineStr">
        <is>
          <t>1 · ACTION</t>
        </is>
      </c>
      <c r="F369" s="3" t="inlineStr">
        <is>
          <t>Produces nothing that is displayed — it does something: saves, syncs or records.</t>
        </is>
      </c>
      <c r="G369" s="3" t="inlineStr">
        <is>
          <t>Yes</t>
        </is>
      </c>
      <c r="H369" s="3" t="inlineStr">
        <is>
          <t>—</t>
        </is>
      </c>
      <c r="I369" s="3" t="n">
        <v>0</v>
      </c>
      <c r="J369" s="3" t="inlineStr">
        <is>
          <t>None — no dependent function stands behind it</t>
        </is>
      </c>
      <c r="K369" s="3" t="inlineStr">
        <is>
          <t>No dependent function — it reads its inputs and answers</t>
        </is>
      </c>
      <c r="L369" s="3" t="inlineStr">
        <is>
          <t>—</t>
        </is>
      </c>
      <c r="M369" s="3" t="inlineStr">
        <is>
          <t>—</t>
        </is>
      </c>
    </row>
    <row r="370">
      <c r="A370" s="3" t="inlineStr">
        <is>
          <t>MK-ST-F-044</t>
        </is>
      </c>
      <c r="B370" s="3" t="inlineStr">
        <is>
          <t>setMoneyFormat</t>
        </is>
      </c>
      <c r="C370" s="3" t="inlineStr">
        <is>
          <t>src/domain/_shared/money.ts</t>
        </is>
      </c>
      <c r="D370" s="3" t="n">
        <v>29</v>
      </c>
      <c r="E370" s="3" t="inlineStr">
        <is>
          <t>1 · ACTION</t>
        </is>
      </c>
      <c r="F370" s="3" t="inlineStr">
        <is>
          <t>Produces nothing that is displayed — it does something: saves, syncs or records.</t>
        </is>
      </c>
      <c r="G370" s="3" t="inlineStr">
        <is>
          <t>Yes</t>
        </is>
      </c>
      <c r="H370" s="3" t="inlineStr">
        <is>
          <t>MK-ST-F-053 money</t>
        </is>
      </c>
      <c r="I370" s="3" t="n">
        <v>4</v>
      </c>
      <c r="J370" s="3" t="inlineStr">
        <is>
          <t>MK-ST-F-053 money · MK-ST-F-049 formatMoney · MK-ST-F-048 currencySymbol · MK-ST-F-047 activeCurrency</t>
        </is>
      </c>
      <c r="K370" s="3" t="inlineStr">
        <is>
          <t>MK-ST-F-047 activeCurrency → MK-ST-F-048 currencySymbol → MK-ST-F-049 formatMoney → MK-ST-F-053 money → MK-ST-F-044 setMoneyFormat</t>
        </is>
      </c>
      <c r="L370" s="3" t="inlineStr">
        <is>
          <t>—</t>
        </is>
      </c>
      <c r="M370" s="3" t="inlineStr">
        <is>
          <t>—</t>
        </is>
      </c>
    </row>
    <row r="371">
      <c r="A371" s="3" t="inlineStr">
        <is>
          <t>MK-XS-F-098</t>
        </is>
      </c>
      <c r="B371" s="3" t="inlineStr">
        <is>
          <t>setSyncProviderForTesting</t>
        </is>
      </c>
      <c r="C371" s="3" t="inlineStr">
        <is>
          <t>src/services/sync/index.ts</t>
        </is>
      </c>
      <c r="D371" s="3" t="n">
        <v>51</v>
      </c>
      <c r="E371" s="3" t="inlineStr">
        <is>
          <t>1 · ACTION</t>
        </is>
      </c>
      <c r="F371" s="3" t="inlineStr">
        <is>
          <t>Produces nothing that is displayed — it does something: saves, syncs or records.</t>
        </is>
      </c>
      <c r="G371" s="3" t="inlineStr">
        <is>
          <t>No</t>
        </is>
      </c>
      <c r="H371" s="3" t="inlineStr">
        <is>
          <t>—</t>
        </is>
      </c>
      <c r="I371" s="3" t="n">
        <v>0</v>
      </c>
      <c r="J371" s="3" t="inlineStr">
        <is>
          <t>None — no dependent function stands behind it</t>
        </is>
      </c>
      <c r="K371" s="3" t="inlineStr">
        <is>
          <t>No dependent function — it reads its inputs and answers</t>
        </is>
      </c>
      <c r="L371" s="3" t="inlineStr">
        <is>
          <t>—</t>
        </is>
      </c>
      <c r="M371" s="3" t="inlineStr">
        <is>
          <t>—</t>
        </is>
      </c>
    </row>
    <row r="372">
      <c r="A372" s="3" t="inlineStr">
        <is>
          <t>MK-ST-F-042</t>
        </is>
      </c>
      <c r="B372" s="3" t="inlineStr">
        <is>
          <t>setUserDoc</t>
        </is>
      </c>
      <c r="C372" s="3" t="inlineStr">
        <is>
          <t>src/domain/_shared/firestore.ts</t>
        </is>
      </c>
      <c r="D372" s="3" t="n">
        <v>15</v>
      </c>
      <c r="E372" s="3" t="inlineStr">
        <is>
          <t>1 · ACTION</t>
        </is>
      </c>
      <c r="F372" s="3" t="inlineStr">
        <is>
          <t>Produces nothing that is displayed — it does something: saves, syncs or records.</t>
        </is>
      </c>
      <c r="G372" s="3" t="inlineStr">
        <is>
          <t>Yes</t>
        </is>
      </c>
      <c r="H372" s="3" t="inlineStr">
        <is>
          <t>—</t>
        </is>
      </c>
      <c r="I372" s="3" t="n">
        <v>0</v>
      </c>
      <c r="J372" s="3" t="inlineStr">
        <is>
          <t>None — no dependent function stands behind it</t>
        </is>
      </c>
      <c r="K372" s="3" t="inlineStr">
        <is>
          <t>No dependent function — it reads its inputs and answers</t>
        </is>
      </c>
      <c r="L372" s="3" t="inlineStr">
        <is>
          <t>—</t>
        </is>
      </c>
      <c r="M372" s="3" t="inlineStr">
        <is>
          <t>—</t>
        </is>
      </c>
    </row>
    <row r="373">
      <c r="A373" s="3" t="inlineStr">
        <is>
          <t>MK-XS-F-077</t>
        </is>
      </c>
      <c r="B373" s="3" t="inlineStr">
        <is>
          <t>setUserHousehold</t>
        </is>
      </c>
      <c r="C373" s="3" t="inlineStr">
        <is>
          <t>src/services/firebase.ts</t>
        </is>
      </c>
      <c r="D373" s="3" t="n">
        <v>263</v>
      </c>
      <c r="E373" s="3" t="inlineStr">
        <is>
          <t>1 · ACTION</t>
        </is>
      </c>
      <c r="F373" s="3" t="inlineStr">
        <is>
          <t>Produces nothing that is displayed — it does something: saves, syncs or records.</t>
        </is>
      </c>
      <c r="G373" s="3" t="inlineStr">
        <is>
          <t>Yes</t>
        </is>
      </c>
      <c r="H373" s="3" t="inlineStr">
        <is>
          <t>—</t>
        </is>
      </c>
      <c r="I373" s="3" t="n">
        <v>0</v>
      </c>
      <c r="J373" s="3" t="inlineStr">
        <is>
          <t>None — no dependent function stands behind it</t>
        </is>
      </c>
      <c r="K373" s="3" t="inlineStr">
        <is>
          <t>No dependent function — it reads its inputs and answers</t>
        </is>
      </c>
      <c r="L373" s="3" t="inlineStr">
        <is>
          <t>—</t>
        </is>
      </c>
      <c r="M373" s="3" t="inlineStr">
        <is>
          <t>—</t>
        </is>
      </c>
    </row>
    <row r="374">
      <c r="A374" s="3" t="inlineStr">
        <is>
          <t>MK-XS-F-038</t>
        </is>
      </c>
      <c r="B374" s="3" t="inlineStr">
        <is>
          <t>setUserScope</t>
        </is>
      </c>
      <c r="C374" s="3" t="inlineStr">
        <is>
          <t>src/services/crashReporter.ts</t>
        </is>
      </c>
      <c r="D374" s="3" t="n">
        <v>66</v>
      </c>
      <c r="E374" s="3" t="inlineStr">
        <is>
          <t>1 · ACTION</t>
        </is>
      </c>
      <c r="F374" s="3" t="inlineStr">
        <is>
          <t>Produces nothing that is displayed — it does something: saves, syncs or records.</t>
        </is>
      </c>
      <c r="G374" s="3" t="inlineStr">
        <is>
          <t>Yes</t>
        </is>
      </c>
      <c r="H374" s="3" t="inlineStr">
        <is>
          <t>—</t>
        </is>
      </c>
      <c r="I374" s="3" t="n">
        <v>0</v>
      </c>
      <c r="J374" s="3" t="inlineStr">
        <is>
          <t>None — no dependent function stands behind it</t>
        </is>
      </c>
      <c r="K374" s="3" t="inlineStr">
        <is>
          <t>No dependent function — it reads its inputs and answers</t>
        </is>
      </c>
      <c r="L374" s="3" t="inlineStr">
        <is>
          <t>—</t>
        </is>
      </c>
      <c r="M374" s="3" t="inlineStr">
        <is>
          <t>—</t>
        </is>
      </c>
    </row>
    <row r="375">
      <c r="A375" s="3" t="inlineStr">
        <is>
          <t>MK-PL-F-029</t>
        </is>
      </c>
      <c r="B375" s="3" t="inlineStr">
        <is>
          <t>shortfallAgeFromBand</t>
        </is>
      </c>
      <c r="C375" s="3" t="inlineStr">
        <is>
          <t>src/domain/planning/hub.ts</t>
        </is>
      </c>
      <c r="D375" s="3" t="n">
        <v>162</v>
      </c>
      <c r="E375" s="3" t="inlineStr">
        <is>
          <t>2 · DISPLAYED</t>
        </is>
      </c>
      <c r="F375" s="3" t="inlineStr">
        <is>
          <t>A screen calls it directly, so its answer is on a screen.</t>
        </is>
      </c>
      <c r="G375" s="3" t="inlineStr">
        <is>
          <t>Yes</t>
        </is>
      </c>
      <c r="H375" s="3" t="inlineStr">
        <is>
          <t>—</t>
        </is>
      </c>
      <c r="I375" s="3" t="n">
        <v>0</v>
      </c>
      <c r="J375" s="3" t="inlineStr">
        <is>
          <t>None — no dependent function stands behind it</t>
        </is>
      </c>
      <c r="K375" s="3" t="inlineStr">
        <is>
          <t>No dependent function — it reads its inputs and answers</t>
        </is>
      </c>
      <c r="L375" s="3" t="inlineStr">
        <is>
          <t>—</t>
        </is>
      </c>
      <c r="M375" s="3" t="inlineStr">
        <is>
          <t>AGE_THE_MONEY_RUNS_OUT</t>
        </is>
      </c>
    </row>
    <row r="376">
      <c r="A376" s="3" t="inlineStr">
        <is>
          <t>MK-XS-F-115</t>
        </is>
      </c>
      <c r="B376" s="3" t="inlineStr">
        <is>
          <t>shouldDailySync</t>
        </is>
      </c>
      <c r="C376" s="3" t="inlineStr">
        <is>
          <t>src/services/sync/snaptradeSync.ts</t>
        </is>
      </c>
      <c r="D376" s="3" t="n">
        <v>15</v>
      </c>
      <c r="E376" s="3" t="inlineStr">
        <is>
          <t>3 · DEPENDENT</t>
        </is>
      </c>
      <c r="F376" s="3" t="inlineStr">
        <is>
          <t>Its answer feeds another function, and that chain ends at a screen.</t>
        </is>
      </c>
      <c r="G376" s="3" t="inlineStr">
        <is>
          <t>Yes</t>
        </is>
      </c>
      <c r="H376" s="3" t="inlineStr">
        <is>
          <t>—</t>
        </is>
      </c>
      <c r="I376" s="3" t="n">
        <v>0</v>
      </c>
      <c r="J376" s="3" t="inlineStr">
        <is>
          <t>None — no dependent function stands behind it</t>
        </is>
      </c>
      <c r="K376" s="3" t="inlineStr">
        <is>
          <t>No dependent function — it reads its inputs and answers</t>
        </is>
      </c>
      <c r="L376" s="3" t="inlineStr">
        <is>
          <t>—</t>
        </is>
      </c>
      <c r="M376" s="3" t="inlineStr">
        <is>
          <t>—</t>
        </is>
      </c>
    </row>
    <row r="377">
      <c r="A377" s="3" t="inlineStr">
        <is>
          <t>MK-ST-F-019</t>
        </is>
      </c>
      <c r="B377" s="3" t="inlineStr">
        <is>
          <t>signed</t>
        </is>
      </c>
      <c r="C377" s="3" t="inlineStr">
        <is>
          <t>Calculation Module code/engines/money.ts</t>
        </is>
      </c>
      <c r="D377" s="3" t="n">
        <v>58</v>
      </c>
      <c r="E377" s="3" t="inlineStr">
        <is>
          <t>3 · DEPENDENT (feeds an action only)</t>
        </is>
      </c>
      <c r="F377" s="3" t="inlineStr">
        <is>
          <t>Its answer feeds another function, but no chain from it reaches a screen.</t>
        </is>
      </c>
      <c r="G377" s="3" t="inlineStr">
        <is>
          <t>No</t>
        </is>
      </c>
      <c r="H377" s="3" t="inlineStr">
        <is>
          <t>—</t>
        </is>
      </c>
      <c r="I377" s="3" t="n">
        <v>0</v>
      </c>
      <c r="J377" s="3" t="inlineStr">
        <is>
          <t>None — no dependent function stands behind it</t>
        </is>
      </c>
      <c r="K377" s="3" t="inlineStr">
        <is>
          <t>No dependent function — it reads its inputs and answers</t>
        </is>
      </c>
      <c r="L377" s="3" t="inlineStr">
        <is>
          <t>—</t>
        </is>
      </c>
      <c r="M377" s="3" t="inlineStr">
        <is>
          <t>—</t>
        </is>
      </c>
    </row>
    <row r="378">
      <c r="A378" s="3" t="inlineStr">
        <is>
          <t>MK-PL-F-050</t>
        </is>
      </c>
      <c r="B378" s="3" t="inlineStr">
        <is>
          <t>simulate</t>
        </is>
      </c>
      <c r="C378" s="3" t="inlineStr">
        <is>
          <t>src/domain/retirement/index.ts</t>
        </is>
      </c>
      <c r="D378" s="3" t="n">
        <v>156</v>
      </c>
      <c r="E378" s="3" t="inlineStr">
        <is>
          <t>2 · DISPLAYED</t>
        </is>
      </c>
      <c r="F378" s="3" t="inlineStr">
        <is>
          <t>A screen calls it directly, so its answer is on a screen.</t>
        </is>
      </c>
      <c r="G378" s="3" t="inlineStr">
        <is>
          <t>Yes</t>
        </is>
      </c>
      <c r="H378" s="3" t="inlineStr">
        <is>
          <t>MK-ST-F-025 rmdStartAgeFromAge · MK-ST-F-055 round2</t>
        </is>
      </c>
      <c r="I378" s="3" t="n">
        <v>3</v>
      </c>
      <c r="J378" s="3" t="inlineStr">
        <is>
          <t>MK-ST-F-025 rmdStartAgeFromAge · MK-ST-F-055 round2 · MK-ST-F-024 rmdStartAge</t>
        </is>
      </c>
      <c r="K378" s="3" t="inlineStr">
        <is>
          <t>MK-ST-F-024 rmdStartAge → MK-ST-F-025 rmdStartAgeFromAge → MK-PL-F-050 simulate
MK-ST-F-055 round2 → MK-PL-F-050 simulate</t>
        </is>
      </c>
      <c r="L378" s="3" t="inlineStr">
        <is>
          <t>—</t>
        </is>
      </c>
      <c r="M378" s="3" t="inlineStr">
        <is>
          <t>WILL_IT_LAST</t>
        </is>
      </c>
    </row>
    <row r="379">
      <c r="A379" s="3" t="inlineStr">
        <is>
          <t>MK-PL-F-017</t>
        </is>
      </c>
      <c r="B379" s="3" t="inlineStr">
        <is>
          <t>sinkingFund</t>
        </is>
      </c>
      <c r="C379" s="3" t="inlineStr">
        <is>
          <t>src/domain/goals/index.ts</t>
        </is>
      </c>
      <c r="D379" s="3" t="n">
        <v>81</v>
      </c>
      <c r="E379" s="3" t="inlineStr">
        <is>
          <t>2 · DISPLAYED</t>
        </is>
      </c>
      <c r="F379" s="3" t="inlineStr">
        <is>
          <t>A screen calls it directly, so its answer is on a screen.</t>
        </is>
      </c>
      <c r="G379" s="3" t="inlineStr">
        <is>
          <t>Yes</t>
        </is>
      </c>
      <c r="H379" s="3" t="inlineStr">
        <is>
          <t>—</t>
        </is>
      </c>
      <c r="I379" s="3" t="n">
        <v>0</v>
      </c>
      <c r="J379" s="3" t="inlineStr">
        <is>
          <t>None — no dependent function stands behind it</t>
        </is>
      </c>
      <c r="K379" s="3" t="inlineStr">
        <is>
          <t>No dependent function — it reads its inputs and answers</t>
        </is>
      </c>
      <c r="L379" s="3" t="inlineStr">
        <is>
          <t>—</t>
        </is>
      </c>
      <c r="M379" s="3" t="inlineStr">
        <is>
          <t>—</t>
        </is>
      </c>
    </row>
    <row r="380">
      <c r="A380" s="3" t="inlineStr">
        <is>
          <t>MK-XS-F-032</t>
        </is>
      </c>
      <c r="B380" s="3" t="inlineStr">
        <is>
          <t>snapshotFromOnboarding</t>
        </is>
      </c>
      <c r="C380" s="3" t="inlineStr">
        <is>
          <t>src/domain/snapshot.ts</t>
        </is>
      </c>
      <c r="D380" s="3" t="n">
        <v>111</v>
      </c>
      <c r="E380" s="3" t="inlineStr">
        <is>
          <t>3 · DEPENDENT (feeds an action only)</t>
        </is>
      </c>
      <c r="F380" s="3" t="inlineStr">
        <is>
          <t>Its answer feeds another function, but no chain from it reaches a screen.</t>
        </is>
      </c>
      <c r="G380" s="3" t="inlineStr">
        <is>
          <t>No</t>
        </is>
      </c>
      <c r="H380" s="3" t="inlineStr">
        <is>
          <t>MK-NW-F-040 assetsFromOnboarding · MK-XS-F-031 buildSnapshot · MK-CF-F-038 debtsFromOnboarding</t>
        </is>
      </c>
      <c r="I380" s="3" t="n">
        <v>93</v>
      </c>
      <c r="J380" s="3" t="inlineStr">
        <is>
          <t>MK-NW-F-040 assetsFromOnboarding · MK-XS-F-031 buildSnapshot · MK-CF-F-038 debtsFromOnboarding · MK-ST-F-043 newEntityId · MK-ST-F-052 toNum · MK-NW-F-037 blendedReturn · MK-CF-F-013 budgetFromOnboarding · MK-NW-F-039 buildAssetsState · MK-CF-F-001 buildBudgetState · MK-CF-F-036 buildDebtState · MK-PL-F-011 buildGoalsState · MK-CF-F-049 buildIncomeState · MK-NW-F-065 buildNetWorth · MK-PL-F-053 buildRetirementState · MK-XS-F-030 effectiveAnnualContribution · MK-PL-F-013 goalsFromOnboarding · MK-CF-F-076 guaranteedOutsideStreams · MK-CF-F-079 incomeFromOnboarding · MK-XS-F-026 profileFromOnboarding · MK-NW-F-033 retirementEarmarkedValue · MK-PL-F-049 retirementSpendMonthly · MK-XS-F-020 toReadModel · MK-CF-F-037 inferDebtType · MK-NW-F-034 benchmarkReturn · MK-NW-F-032 earmarkedAmount · MK-NW-F-031 primaryCarIdOf · MK-CF-F-002 plannedMonthlySpend · MK-CF-F-004 spendBuckets · MK-ST-F-055 round2 · MK-CF-F-026 actualDebtPayment · MK-CF-F-025 minimumDebtService · MK-PL-F-012 waterfall · MK-CF-F-048 effectiveTaxRate · MK-CF-F-046 employerMatchAnnual · MK-CF-F-045 grossAnnualBaseline · MK-CF-F-098 progressiveMonthlyTax · MK-PL-F-050 simulate · MK-NW-F-041 monthlyContributionsFromOnboarding · MK-CF-F-011 savingsByMonth · MK-CF-F-070 benefitAnnual · MK-CF-F-072 currentRetirementIncomeMonthly · MK-CF-F-078 employerMatchMonthly · MK-CF-F-065 equityVestWeights · MK-CF-F-067 rentalList · MK-CF-F-066 rsuAnnual · MK-CF-F-082 salaryAnnual · MK-CF-F-074 tipsAnnual · MK-PL-F-047 colFactor · MK-XS-F-017 currentAge · MK-XS-F-019 retirementHorizonYears · MK-XS-F-018 yearsToRetirement · MK-NW-F-007 assetKind · MK-NW-F-030 earmarkDefault · MK-NW-F-011 assetClassOf · MK-CF-F-092 incomeMonthlyGrid · MK-CF-F-003 categoryMonthly · MK-CF-F-024 totalDebtMonthly · MK-CF-F-022 paymentShape · MK-CF-F-047 estimateEffectiveTaxRate · MK-CF-F-044 annualNet · MK-CF-F-101 taxOwedFor · MK-CF-F-100 taxableIncomeFor · MK-ST-F-025 rmdStartAgeFromAge · MK-CF-F-008 spendByMonth · MK-CF-F-069 benefitActiveMonths · MK-CF-F-075 retirementIncomeMonthly · MK-CF-F-062 equityRowValue · MK-CF-F-063 rowVestYear · MK-CF-F-060 salaryGrossByMonth · MK-CF-F-081 salaryActiveMonths · MK-NW-F-013 realEstateUseOf · MK-NW-F-008 incomeBearingClassOf · MK-CF-F-071 extraIncome · MK-CF-F-087 monthlyTaxRates · MK-CF-F-073 otherIncomeMonth · MK-CF-F-068 rentalNetAnnual · MK-CF-F-077 scholarshipByCalendarMonth · MK-CF-F-023 requiredPayment · MK-CF-F-021 defaultPaymentType · MK-CF-F-096 effectiveRateOnGross · MK-CF-F-099 deductionFor · MK-ST-F-024 rmdStartAge · MK-CF-F-097 grossFromNet · MK-ST-F-010 nameEvidence · MK-CF-F-090 effectiveRate · MK-CF-F-085 filingStatusOf · MK-CF-F-089 over65CountOf · MK-CF-F-086 stateRateOf · MK-CF-F-088 taxableByCalendarMonth · MK-CF-F-095 taxOwed · MK-CF-F-102 effectiveRateOnGrossFor · MK-CF-F-084 taxableAnnual · MK-CF-F-093 taxableIncome</t>
        </is>
      </c>
      <c r="K380" s="3" t="inlineStr">
        <is>
          <t>MK-ST-F-043 newEntityId → MK-NW-F-040 assetsFromOnboarding → MK-XS-F-032 snapshotFromOnboarding
MK-ST-F-052 toNum → MK-NW-F-040 assetsFromOnboarding → MK-XS-F-032 snapshotFromOnboarding
MK-NW-F-011 assetClassOf → MK-NW-F-007 assetKind → MK-NW-F-034 benchmarkReturn → MK-NW-F-037 blendedReturn → MK-XS-F-031 buildSnapshot → MK-XS-F-032 snapshotFromOnboarding
MK-NW-F-011 assetClassOf → MK-NW-F-030 earmarkDefault → MK-NW-F-032 earmarkedAmount → MK-NW-F-037 blendedReturn → MK-XS-F-031 buildSnapshot → MK-XS-F-032 snapshotFromOnboarding
MK-NW-F-013 realEstateUseOf → MK-NW-F-030 earmarkDefault → MK-NW-F-032 earmarkedAmount → MK-NW-F-037 blendedReturn → MK-XS-F-031 buildSnapshot → MK-XS-F-032 snapshotFromOnboarding
MK-ST-F-055 round2 → MK-NW-F-032 earmarkedAmount → MK-NW-F-037 blendedReturn → MK-XS-F-031 buildSnapshot → MK-XS-F-032 snapshotFromOnboarding
MK-NW-F-008 incomeBearingClassOf → MK-NW-F-011 assetClassOf → MK-NW-F-031 primaryCarIdOf → MK-NW-F-037 blendedReturn → MK-XS-F-031 buildSnapshot → MK-XS-F-032 snapshotFromOnboarding
MK-CF-F-069 benefitActiveMonths → MK-CF-F-092 incomeMonthlyGrid → MK-CF-F-002 plannedMonthlySpend → MK-CF-F-013 budgetFromOnboarding → MK-XS-F-031 buildSnapshot → MK-XS-F-032 snapshotFromOnboarding
… and 89 more paths</t>
        </is>
      </c>
      <c r="L380" s="3" t="inlineStr">
        <is>
          <t>—</t>
        </is>
      </c>
      <c r="M380" s="3" t="inlineStr">
        <is>
          <t>—</t>
        </is>
      </c>
    </row>
    <row r="381">
      <c r="A381" s="3" t="inlineStr">
        <is>
          <t>MK-XS-F-113</t>
        </is>
      </c>
      <c r="B381" s="3" t="inlineStr">
        <is>
          <t>snaptradeConfigured</t>
        </is>
      </c>
      <c r="C381" s="3" t="inlineStr">
        <is>
          <t>src/services/sync/snaptradeClient.ts</t>
        </is>
      </c>
      <c r="D381" s="3" t="n">
        <v>15</v>
      </c>
      <c r="E381" s="3" t="inlineStr">
        <is>
          <t>4 · BRINGS DATA IN</t>
        </is>
      </c>
      <c r="F381" s="3" t="inlineStr">
        <is>
          <t>Reaches outside the app for its answer — a feed, a file or a stored record.</t>
        </is>
      </c>
      <c r="G381" s="3" t="inlineStr">
        <is>
          <t>Yes</t>
        </is>
      </c>
      <c r="H381" s="3" t="inlineStr">
        <is>
          <t>MK-XS-F-064 currentIdToken · MK-XS-F-112 relayUrl</t>
        </is>
      </c>
      <c r="I381" s="3" t="n">
        <v>2</v>
      </c>
      <c r="J381" s="3" t="inlineStr">
        <is>
          <t>MK-XS-F-064 currentIdToken · MK-XS-F-112 relayUrl</t>
        </is>
      </c>
      <c r="K381" s="3" t="inlineStr">
        <is>
          <t>MK-XS-F-064 currentIdToken → MK-XS-F-113 snaptradeConfigured
MK-XS-F-112 relayUrl → MK-XS-F-113 snaptradeConfigured</t>
        </is>
      </c>
      <c r="L381" s="3" t="inlineStr">
        <is>
          <t>—</t>
        </is>
      </c>
      <c r="M381" s="3" t="inlineStr">
        <is>
          <t>—</t>
        </is>
      </c>
    </row>
    <row r="382">
      <c r="A382" s="3" t="inlineStr">
        <is>
          <t>MK-PL-F-056</t>
        </is>
      </c>
      <c r="B382" s="3" t="inlineStr">
        <is>
          <t>solveRetireAge</t>
        </is>
      </c>
      <c r="C382" s="3" t="inlineStr">
        <is>
          <t>src/domain/retirement/index.ts</t>
        </is>
      </c>
      <c r="D382" s="3" t="n">
        <v>359</v>
      </c>
      <c r="E382" s="3" t="inlineStr">
        <is>
          <t>2 · DISPLAYED</t>
        </is>
      </c>
      <c r="F382" s="3" t="inlineStr">
        <is>
          <t>A screen calls it directly, so its answer is on a screen.</t>
        </is>
      </c>
      <c r="G382" s="3" t="inlineStr">
        <is>
          <t>Yes</t>
        </is>
      </c>
      <c r="H382" s="3" t="inlineStr">
        <is>
          <t>MK-PL-F-055 projectNestEgg</t>
        </is>
      </c>
      <c r="I382" s="3" t="n">
        <v>5</v>
      </c>
      <c r="J382" s="3" t="inlineStr">
        <is>
          <t>MK-PL-F-055 projectNestEgg · MK-ST-F-055 round2 · MK-PL-F-050 simulate · MK-ST-F-025 rmdStartAgeFromAge · MK-ST-F-024 rmdStartAge</t>
        </is>
      </c>
      <c r="K382" s="3" t="inlineStr">
        <is>
          <t>MK-ST-F-055 round2 → MK-PL-F-055 projectNestEgg → MK-PL-F-056 solveRetireAge
MK-ST-F-024 rmdStartAge → MK-ST-F-025 rmdStartAgeFromAge → MK-PL-F-050 simulate → MK-PL-F-055 projectNestEgg → MK-PL-F-056 solveRetireAge
MK-ST-F-055 round2 → MK-PL-F-050 simulate → MK-PL-F-055 projectNestEgg → MK-PL-F-056 solveRetireAge</t>
        </is>
      </c>
      <c r="L382" s="3" t="inlineStr">
        <is>
          <t>—</t>
        </is>
      </c>
      <c r="M382" s="3" t="inlineStr">
        <is>
          <t>—</t>
        </is>
      </c>
    </row>
    <row r="383">
      <c r="A383" s="3" t="inlineStr">
        <is>
          <t>MK-CF-F-106</t>
        </is>
      </c>
      <c r="B383" s="3" t="inlineStr">
        <is>
          <t>solveSafeDraw</t>
        </is>
      </c>
      <c r="C383" s="3" t="inlineStr">
        <is>
          <t>src/domain/paycheck/index.ts</t>
        </is>
      </c>
      <c r="D383" s="3" t="n">
        <v>98</v>
      </c>
      <c r="E383" s="3" t="inlineStr">
        <is>
          <t>3 · DEPENDENT</t>
        </is>
      </c>
      <c r="F383" s="3" t="inlineStr">
        <is>
          <t>Its answer feeds another function, and that chain ends at a screen.</t>
        </is>
      </c>
      <c r="G383" s="3" t="inlineStr">
        <is>
          <t>Yes</t>
        </is>
      </c>
      <c r="H383" s="3" t="inlineStr">
        <is>
          <t>MK-ST-F-055 round2 · MK-PL-F-050 simulate</t>
        </is>
      </c>
      <c r="I383" s="3" t="n">
        <v>4</v>
      </c>
      <c r="J383" s="3" t="inlineStr">
        <is>
          <t>MK-ST-F-055 round2 · MK-PL-F-050 simulate · MK-ST-F-025 rmdStartAgeFromAge · MK-ST-F-024 rmdStartAge</t>
        </is>
      </c>
      <c r="K383" s="3" t="inlineStr">
        <is>
          <t>MK-ST-F-055 round2 → MK-CF-F-106 solveSafeDraw
MK-ST-F-024 rmdStartAge → MK-ST-F-025 rmdStartAgeFromAge → MK-PL-F-050 simulate → MK-CF-F-106 solveSafeDraw
MK-ST-F-055 round2 → MK-PL-F-050 simulate → MK-CF-F-106 solveSafeDraw</t>
        </is>
      </c>
      <c r="L383" s="3" t="inlineStr">
        <is>
          <t>—</t>
        </is>
      </c>
      <c r="M383" s="3" t="inlineStr">
        <is>
          <t>—</t>
        </is>
      </c>
    </row>
    <row r="384">
      <c r="A384" s="3" t="inlineStr">
        <is>
          <t>MK-NW-F-045</t>
        </is>
      </c>
      <c r="B384" s="3" t="inlineStr">
        <is>
          <t>sourceWording</t>
        </is>
      </c>
      <c r="C384" s="3" t="inlineStr">
        <is>
          <t>src/domain/assets/index.ts</t>
        </is>
      </c>
      <c r="D384" s="3" t="n">
        <v>711</v>
      </c>
      <c r="E384" s="3" t="inlineStr">
        <is>
          <t>2 · DISPLAYED</t>
        </is>
      </c>
      <c r="F384" s="3" t="inlineStr">
        <is>
          <t>A screen calls it directly, so its answer is on a screen.</t>
        </is>
      </c>
      <c r="G384" s="3" t="inlineStr">
        <is>
          <t>Yes</t>
        </is>
      </c>
      <c r="H384" s="3" t="inlineStr">
        <is>
          <t>—</t>
        </is>
      </c>
      <c r="I384" s="3" t="n">
        <v>0</v>
      </c>
      <c r="J384" s="3" t="inlineStr">
        <is>
          <t>None — no dependent function stands behind it</t>
        </is>
      </c>
      <c r="K384" s="3" t="inlineStr">
        <is>
          <t>No dependent function — it reads its inputs and answers</t>
        </is>
      </c>
      <c r="L384" s="3" t="inlineStr">
        <is>
          <t>—</t>
        </is>
      </c>
      <c r="M384" s="3" t="inlineStr">
        <is>
          <t>WHERE_THE_VALUE_CAME_FROM</t>
        </is>
      </c>
    </row>
    <row r="385">
      <c r="A385" s="3" t="inlineStr">
        <is>
          <t>MK-CF-F-004</t>
        </is>
      </c>
      <c r="B385" s="3" t="inlineStr">
        <is>
          <t>spendBuckets</t>
        </is>
      </c>
      <c r="C385" s="3" t="inlineStr">
        <is>
          <t>src/domain/budget/index.ts</t>
        </is>
      </c>
      <c r="D385" s="3" t="n">
        <v>72</v>
      </c>
      <c r="E385" s="3" t="inlineStr">
        <is>
          <t>2 · DISPLAYED</t>
        </is>
      </c>
      <c r="F385" s="3" t="inlineStr">
        <is>
          <t>A screen calls it directly, so its answer is on a screen.</t>
        </is>
      </c>
      <c r="G385" s="3" t="inlineStr">
        <is>
          <t>Yes</t>
        </is>
      </c>
      <c r="H385" s="3" t="inlineStr">
        <is>
          <t>MK-CF-F-003 categoryMonthly · MK-ST-F-055 round2 · MK-ST-F-052 toNum</t>
        </is>
      </c>
      <c r="I385" s="3" t="n">
        <v>3</v>
      </c>
      <c r="J385" s="3" t="inlineStr">
        <is>
          <t>MK-CF-F-003 categoryMonthly · MK-ST-F-055 round2 · MK-ST-F-052 toNum</t>
        </is>
      </c>
      <c r="K385" s="3" t="inlineStr">
        <is>
          <t>MK-ST-F-052 toNum → MK-CF-F-003 categoryMonthly → MK-CF-F-004 spendBuckets
MK-ST-F-055 round2 → MK-CF-F-004 spendBuckets
MK-ST-F-052 toNum → MK-CF-F-004 spendBuckets</t>
        </is>
      </c>
      <c r="L385" s="3" t="inlineStr">
        <is>
          <t>MK-CF-M-013 · MK-CF-M-014 · MK-MN-M-021</t>
        </is>
      </c>
      <c r="M385" s="3" t="inlineStr">
        <is>
          <t>SPENDING_BY_KIND</t>
        </is>
      </c>
    </row>
    <row r="386">
      <c r="A386" s="3" t="inlineStr">
        <is>
          <t>MK-CF-F-008</t>
        </is>
      </c>
      <c r="B386" s="3" t="inlineStr">
        <is>
          <t>spendByMonth</t>
        </is>
      </c>
      <c r="C386" s="3" t="inlineStr">
        <is>
          <t>src/domain/budget/index.ts</t>
        </is>
      </c>
      <c r="D386" s="3" t="n">
        <v>128</v>
      </c>
      <c r="E386" s="3" t="inlineStr">
        <is>
          <t>3 · DEPENDENT</t>
        </is>
      </c>
      <c r="F386" s="3" t="inlineStr">
        <is>
          <t>Its answer feeds another function, and that chain ends at a screen.</t>
        </is>
      </c>
      <c r="G386" s="3" t="inlineStr">
        <is>
          <t>Yes</t>
        </is>
      </c>
      <c r="H386" s="3" t="inlineStr">
        <is>
          <t>MK-CF-F-004 spendBuckets · MK-ST-F-052 toNum</t>
        </is>
      </c>
      <c r="I386" s="3" t="n">
        <v>4</v>
      </c>
      <c r="J386" s="3" t="inlineStr">
        <is>
          <t>MK-CF-F-004 spendBuckets · MK-ST-F-052 toNum · MK-CF-F-003 categoryMonthly · MK-ST-F-055 round2</t>
        </is>
      </c>
      <c r="K386" s="3" t="inlineStr">
        <is>
          <t>MK-ST-F-052 toNum → MK-CF-F-003 categoryMonthly → MK-CF-F-004 spendBuckets → MK-CF-F-008 spendByMonth
MK-ST-F-055 round2 → MK-CF-F-004 spendBuckets → MK-CF-F-008 spendByMonth
MK-ST-F-052 toNum → MK-CF-F-004 spendBuckets → MK-CF-F-008 spendByMonth
MK-ST-F-052 toNum → MK-CF-F-008 spendByMonth</t>
        </is>
      </c>
      <c r="L386" s="3" t="inlineStr">
        <is>
          <t>—</t>
        </is>
      </c>
      <c r="M386" s="3" t="inlineStr">
        <is>
          <t>—</t>
        </is>
      </c>
    </row>
    <row r="387">
      <c r="A387" s="3" t="inlineStr">
        <is>
          <t>MK-PL-F-039</t>
        </is>
      </c>
      <c r="B387" s="3" t="inlineStr">
        <is>
          <t>spendMoreSentence</t>
        </is>
      </c>
      <c r="C387" s="3" t="inlineStr">
        <is>
          <t>src/domain/planning/spendMore.ts</t>
        </is>
      </c>
      <c r="D387" s="3" t="n">
        <v>54</v>
      </c>
      <c r="E387" s="3" t="inlineStr">
        <is>
          <t>2 · DISPLAYED</t>
        </is>
      </c>
      <c r="F387" s="3" t="inlineStr">
        <is>
          <t>A screen calls it directly, so its answer is on a screen.</t>
        </is>
      </c>
      <c r="G387" s="3" t="inlineStr">
        <is>
          <t>Yes</t>
        </is>
      </c>
      <c r="H387" s="3" t="inlineStr">
        <is>
          <t>—</t>
        </is>
      </c>
      <c r="I387" s="3" t="n">
        <v>0</v>
      </c>
      <c r="J387" s="3" t="inlineStr">
        <is>
          <t>None — no dependent function stands behind it</t>
        </is>
      </c>
      <c r="K387" s="3" t="inlineStr">
        <is>
          <t>No dependent function — it reads its inputs and answers</t>
        </is>
      </c>
      <c r="L387" s="3" t="inlineStr">
        <is>
          <t>—</t>
        </is>
      </c>
      <c r="M387" s="3" t="inlineStr">
        <is>
          <t>—</t>
        </is>
      </c>
    </row>
    <row r="388">
      <c r="A388" s="3" t="inlineStr">
        <is>
          <t>MK-PL-F-038</t>
        </is>
      </c>
      <c r="B388" s="3" t="inlineStr">
        <is>
          <t>spendMoreState</t>
        </is>
      </c>
      <c r="C388" s="3" t="inlineStr">
        <is>
          <t>src/domain/planning/spendMore.ts</t>
        </is>
      </c>
      <c r="D388" s="3" t="n">
        <v>36</v>
      </c>
      <c r="E388" s="3" t="inlineStr">
        <is>
          <t>2 · DISPLAYED</t>
        </is>
      </c>
      <c r="F388" s="3" t="inlineStr">
        <is>
          <t>A screen calls it directly, so its answer is on a screen.</t>
        </is>
      </c>
      <c r="G388" s="3" t="inlineStr">
        <is>
          <t>Yes</t>
        </is>
      </c>
      <c r="H388" s="3" t="inlineStr">
        <is>
          <t>—</t>
        </is>
      </c>
      <c r="I388" s="3" t="n">
        <v>0</v>
      </c>
      <c r="J388" s="3" t="inlineStr">
        <is>
          <t>None — no dependent function stands behind it</t>
        </is>
      </c>
      <c r="K388" s="3" t="inlineStr">
        <is>
          <t>No dependent function — it reads its inputs and answers</t>
        </is>
      </c>
      <c r="L388" s="3" t="inlineStr">
        <is>
          <t>—</t>
        </is>
      </c>
      <c r="M388" s="3" t="inlineStr">
        <is>
          <t>—</t>
        </is>
      </c>
    </row>
    <row r="389">
      <c r="A389" s="3" t="inlineStr">
        <is>
          <t>MK-PL-F-060</t>
        </is>
      </c>
      <c r="B389" s="3" t="inlineStr">
        <is>
          <t>ssBenefitAt</t>
        </is>
      </c>
      <c r="C389" s="3" t="inlineStr">
        <is>
          <t>src/domain/retirement/ssTiming.ts</t>
        </is>
      </c>
      <c r="D389" s="3" t="n">
        <v>54</v>
      </c>
      <c r="E389" s="3" t="inlineStr">
        <is>
          <t>2 · DISPLAYED</t>
        </is>
      </c>
      <c r="F389" s="3" t="inlineStr">
        <is>
          <t>A screen calls it directly, so its answer is on a screen.</t>
        </is>
      </c>
      <c r="G389" s="3" t="inlineStr">
        <is>
          <t>Yes</t>
        </is>
      </c>
      <c r="H389" s="3" t="inlineStr">
        <is>
          <t>MK-PL-F-058 ssClaimFactorFor</t>
        </is>
      </c>
      <c r="I389" s="3" t="n">
        <v>2</v>
      </c>
      <c r="J389" s="3" t="inlineStr">
        <is>
          <t>MK-PL-F-058 ssClaimFactorFor · MK-PL-F-057 fullRetirementAge</t>
        </is>
      </c>
      <c r="K389" s="3" t="inlineStr">
        <is>
          <t>MK-PL-F-057 fullRetirementAge → MK-PL-F-058 ssClaimFactorFor → MK-PL-F-060 ssBenefitAt</t>
        </is>
      </c>
      <c r="L389" s="3" t="inlineStr">
        <is>
          <t>MK-PL-M-017</t>
        </is>
      </c>
      <c r="M389" s="3" t="inlineStr">
        <is>
          <t>SS_BENEFIT_AT_AGE</t>
        </is>
      </c>
    </row>
    <row r="390">
      <c r="A390" s="3" t="inlineStr">
        <is>
          <t>MK-PL-F-061</t>
        </is>
      </c>
      <c r="B390" s="3" t="inlineStr">
        <is>
          <t>ssBenefitAtClaimAge</t>
        </is>
      </c>
      <c r="C390" s="3" t="inlineStr">
        <is>
          <t>src/domain/retirement/ssTiming.ts</t>
        </is>
      </c>
      <c r="D390" s="3" t="n">
        <v>58</v>
      </c>
      <c r="E390" s="3" t="inlineStr">
        <is>
          <t>2 · DISPLAYED</t>
        </is>
      </c>
      <c r="F390" s="3" t="inlineStr">
        <is>
          <t>A screen calls it directly, so its answer is on a screen.</t>
        </is>
      </c>
      <c r="G390" s="3" t="inlineStr">
        <is>
          <t>Yes</t>
        </is>
      </c>
      <c r="H390" s="3" t="inlineStr">
        <is>
          <t>MK-PL-F-060 ssBenefitAt</t>
        </is>
      </c>
      <c r="I390" s="3" t="n">
        <v>3</v>
      </c>
      <c r="J390" s="3" t="inlineStr">
        <is>
          <t>MK-PL-F-060 ssBenefitAt · MK-PL-F-058 ssClaimFactorFor · MK-PL-F-057 fullRetirementAge</t>
        </is>
      </c>
      <c r="K390" s="3" t="inlineStr">
        <is>
          <t>MK-PL-F-057 fullRetirementAge → MK-PL-F-058 ssClaimFactorFor → MK-PL-F-060 ssBenefitAt → MK-PL-F-061 ssBenefitAtClaimAge</t>
        </is>
      </c>
      <c r="L390" s="3" t="inlineStr">
        <is>
          <t>—</t>
        </is>
      </c>
      <c r="M390" s="3" t="inlineStr">
        <is>
          <t>—</t>
        </is>
      </c>
    </row>
    <row r="391">
      <c r="A391" s="3" t="inlineStr">
        <is>
          <t>MK-PL-F-059</t>
        </is>
      </c>
      <c r="B391" s="3" t="inlineStr">
        <is>
          <t>ssClaimFactor</t>
        </is>
      </c>
      <c r="C391" s="3" t="inlineStr">
        <is>
          <t>src/domain/retirement/ssTiming.ts</t>
        </is>
      </c>
      <c r="D391" s="3" t="n">
        <v>49</v>
      </c>
      <c r="E391" s="3" t="inlineStr">
        <is>
          <t>3 · DEPENDENT (feeds an action only)</t>
        </is>
      </c>
      <c r="F391" s="3" t="inlineStr">
        <is>
          <t>Its answer feeds another function, but no chain from it reaches a screen.</t>
        </is>
      </c>
      <c r="G391" s="3" t="inlineStr">
        <is>
          <t>No</t>
        </is>
      </c>
      <c r="H391" s="3" t="inlineStr">
        <is>
          <t>MK-PL-F-058 ssClaimFactorFor</t>
        </is>
      </c>
      <c r="I391" s="3" t="n">
        <v>2</v>
      </c>
      <c r="J391" s="3" t="inlineStr">
        <is>
          <t>MK-PL-F-058 ssClaimFactorFor · MK-PL-F-057 fullRetirementAge</t>
        </is>
      </c>
      <c r="K391" s="3" t="inlineStr">
        <is>
          <t>MK-PL-F-057 fullRetirementAge → MK-PL-F-058 ssClaimFactorFor → MK-PL-F-059 ssClaimFactor</t>
        </is>
      </c>
      <c r="L391" s="3" t="inlineStr">
        <is>
          <t>—</t>
        </is>
      </c>
      <c r="M391" s="3" t="inlineStr">
        <is>
          <t>—</t>
        </is>
      </c>
    </row>
    <row r="392">
      <c r="A392" s="3" t="inlineStr">
        <is>
          <t>MK-PL-F-058</t>
        </is>
      </c>
      <c r="B392" s="3" t="inlineStr">
        <is>
          <t>ssClaimFactorFor</t>
        </is>
      </c>
      <c r="C392" s="3" t="inlineStr">
        <is>
          <t>src/domain/retirement/ssTiming.ts</t>
        </is>
      </c>
      <c r="D392" s="3" t="n">
        <v>34</v>
      </c>
      <c r="E392" s="3" t="inlineStr">
        <is>
          <t>3 · DEPENDENT</t>
        </is>
      </c>
      <c r="F392" s="3" t="inlineStr">
        <is>
          <t>Its answer feeds another function, and that chain ends at a screen.</t>
        </is>
      </c>
      <c r="G392" s="3" t="inlineStr">
        <is>
          <t>Yes</t>
        </is>
      </c>
      <c r="H392" s="3" t="inlineStr">
        <is>
          <t>MK-PL-F-057 fullRetirementAge</t>
        </is>
      </c>
      <c r="I392" s="3" t="n">
        <v>1</v>
      </c>
      <c r="J392" s="3" t="inlineStr">
        <is>
          <t>MK-PL-F-057 fullRetirementAge</t>
        </is>
      </c>
      <c r="K392" s="3" t="inlineStr">
        <is>
          <t>MK-PL-F-057 fullRetirementAge → MK-PL-F-058 ssClaimFactorFor</t>
        </is>
      </c>
      <c r="L392" s="3" t="inlineStr">
        <is>
          <t>—</t>
        </is>
      </c>
      <c r="M392" s="3" t="inlineStr">
        <is>
          <t>SS_CLAIM_FACTOR</t>
        </is>
      </c>
    </row>
    <row r="393">
      <c r="A393" s="3" t="inlineStr">
        <is>
          <t>MK-PL-F-062</t>
        </is>
      </c>
      <c r="B393" s="3" t="inlineStr">
        <is>
          <t>ssLifetimeTotal</t>
        </is>
      </c>
      <c r="C393" s="3" t="inlineStr">
        <is>
          <t>src/domain/retirement/ssTiming.ts</t>
        </is>
      </c>
      <c r="D393" s="3" t="n">
        <v>63</v>
      </c>
      <c r="E393" s="3" t="inlineStr">
        <is>
          <t>2 · DISPLAYED</t>
        </is>
      </c>
      <c r="F393" s="3" t="inlineStr">
        <is>
          <t>A screen calls it directly, so its answer is on a screen.</t>
        </is>
      </c>
      <c r="G393" s="3" t="inlineStr">
        <is>
          <t>Yes</t>
        </is>
      </c>
      <c r="H393" s="3" t="inlineStr">
        <is>
          <t>MK-PL-F-060 ssBenefitAt</t>
        </is>
      </c>
      <c r="I393" s="3" t="n">
        <v>3</v>
      </c>
      <c r="J393" s="3" t="inlineStr">
        <is>
          <t>MK-PL-F-060 ssBenefitAt · MK-PL-F-058 ssClaimFactorFor · MK-PL-F-057 fullRetirementAge</t>
        </is>
      </c>
      <c r="K393" s="3" t="inlineStr">
        <is>
          <t>MK-PL-F-057 fullRetirementAge → MK-PL-F-058 ssClaimFactorFor → MK-PL-F-060 ssBenefitAt → MK-PL-F-062 ssLifetimeTotal</t>
        </is>
      </c>
      <c r="L393" s="3" t="inlineStr">
        <is>
          <t>—</t>
        </is>
      </c>
      <c r="M393" s="3" t="inlineStr">
        <is>
          <t>—</t>
        </is>
      </c>
    </row>
    <row r="394">
      <c r="A394" s="3" t="inlineStr">
        <is>
          <t>MK-PL-F-051</t>
        </is>
      </c>
      <c r="B394" s="3" t="inlineStr">
        <is>
          <t>ssStreamOf</t>
        </is>
      </c>
      <c r="C394" s="3" t="inlineStr">
        <is>
          <t>src/domain/retirement/index.ts</t>
        </is>
      </c>
      <c r="D394" s="3" t="n">
        <v>279</v>
      </c>
      <c r="E394" s="3" t="inlineStr">
        <is>
          <t>3 · DEPENDENT</t>
        </is>
      </c>
      <c r="F394" s="3" t="inlineStr">
        <is>
          <t>Its answer feeds another function, and that chain ends at a screen.</t>
        </is>
      </c>
      <c r="G394" s="3" t="inlineStr">
        <is>
          <t>Yes</t>
        </is>
      </c>
      <c r="H394" s="3" t="inlineStr">
        <is>
          <t>—</t>
        </is>
      </c>
      <c r="I394" s="3" t="n">
        <v>0</v>
      </c>
      <c r="J394" s="3" t="inlineStr">
        <is>
          <t>None — no dependent function stands behind it</t>
        </is>
      </c>
      <c r="K394" s="3" t="inlineStr">
        <is>
          <t>No dependent function — it reads its inputs and answers</t>
        </is>
      </c>
      <c r="L394" s="3" t="inlineStr">
        <is>
          <t>—</t>
        </is>
      </c>
      <c r="M394" s="3" t="inlineStr">
        <is>
          <t>—</t>
        </is>
      </c>
    </row>
    <row r="395">
      <c r="A395" s="3" t="inlineStr">
        <is>
          <t>MK-PL-F-045</t>
        </is>
      </c>
      <c r="B395" s="3" t="inlineStr">
        <is>
          <t>ssUpliftFactor</t>
        </is>
      </c>
      <c r="C395" s="3" t="inlineStr">
        <is>
          <t>src/domain/planning/target.ts</t>
        </is>
      </c>
      <c r="D395" s="3" t="n">
        <v>180</v>
      </c>
      <c r="E395" s="3" t="inlineStr">
        <is>
          <t>3 · DEPENDENT</t>
        </is>
      </c>
      <c r="F395" s="3" t="inlineStr">
        <is>
          <t>Its answer feeds another function, and that chain ends at a screen.</t>
        </is>
      </c>
      <c r="G395" s="3" t="inlineStr">
        <is>
          <t>Yes</t>
        </is>
      </c>
      <c r="H395" s="3" t="inlineStr">
        <is>
          <t>—</t>
        </is>
      </c>
      <c r="I395" s="3" t="n">
        <v>0</v>
      </c>
      <c r="J395" s="3" t="inlineStr">
        <is>
          <t>None — no dependent function stands behind it</t>
        </is>
      </c>
      <c r="K395" s="3" t="inlineStr">
        <is>
          <t>No dependent function — it reads its inputs and answers</t>
        </is>
      </c>
      <c r="L395" s="3" t="inlineStr">
        <is>
          <t>—</t>
        </is>
      </c>
      <c r="M395" s="3" t="inlineStr">
        <is>
          <t>—</t>
        </is>
      </c>
    </row>
    <row r="396">
      <c r="A396" s="3" t="inlineStr">
        <is>
          <t>MK-XS-F-101</t>
        </is>
      </c>
      <c r="B396" s="3" t="inlineStr">
        <is>
          <t>stAssetId</t>
        </is>
      </c>
      <c r="C396" s="3" t="inlineStr">
        <is>
          <t>src/services/sync/ingest.ts</t>
        </is>
      </c>
      <c r="D396" s="3" t="n">
        <v>36</v>
      </c>
      <c r="E396" s="3" t="inlineStr">
        <is>
          <t>1 · ACTION</t>
        </is>
      </c>
      <c r="F396" s="3" t="inlineStr">
        <is>
          <t>Produces nothing that is displayed — it does something: saves, syncs or records.</t>
        </is>
      </c>
      <c r="G396" s="3" t="inlineStr">
        <is>
          <t>Yes</t>
        </is>
      </c>
      <c r="H396" s="3" t="inlineStr">
        <is>
          <t>—</t>
        </is>
      </c>
      <c r="I396" s="3" t="n">
        <v>0</v>
      </c>
      <c r="J396" s="3" t="inlineStr">
        <is>
          <t>None — no dependent function stands behind it</t>
        </is>
      </c>
      <c r="K396" s="3" t="inlineStr">
        <is>
          <t>No dependent function — it reads its inputs and answers</t>
        </is>
      </c>
      <c r="L396" s="3" t="inlineStr">
        <is>
          <t>—</t>
        </is>
      </c>
      <c r="M396" s="3" t="inlineStr">
        <is>
          <t>ACCOUNT_IDENTITY</t>
        </is>
      </c>
    </row>
    <row r="397">
      <c r="A397" s="3" t="inlineStr">
        <is>
          <t>MK-PF-F-008</t>
        </is>
      </c>
      <c r="B397" s="3" t="inlineStr">
        <is>
          <t>startDateFor</t>
        </is>
      </c>
      <c r="C397" s="3" t="inlineStr">
        <is>
          <t>src/domain/performance/index.ts</t>
        </is>
      </c>
      <c r="D397" s="3" t="n">
        <v>96</v>
      </c>
      <c r="E397" s="3" t="inlineStr">
        <is>
          <t>2 · DISPLAYED</t>
        </is>
      </c>
      <c r="F397" s="3" t="inlineStr">
        <is>
          <t>A screen calls it directly, so its answer is on a screen.</t>
        </is>
      </c>
      <c r="G397" s="3" t="inlineStr">
        <is>
          <t>Yes</t>
        </is>
      </c>
      <c r="H397" s="3" t="inlineStr">
        <is>
          <t>—</t>
        </is>
      </c>
      <c r="I397" s="3" t="n">
        <v>0</v>
      </c>
      <c r="J397" s="3" t="inlineStr">
        <is>
          <t>None — no dependent function stands behind it</t>
        </is>
      </c>
      <c r="K397" s="3" t="inlineStr">
        <is>
          <t>No dependent function — it reads its inputs and answers</t>
        </is>
      </c>
      <c r="L397" s="3" t="inlineStr">
        <is>
          <t>—</t>
        </is>
      </c>
      <c r="M397" s="3" t="inlineStr">
        <is>
          <t>PERIOD_START_DATE</t>
        </is>
      </c>
    </row>
    <row r="398">
      <c r="A398" s="3" t="inlineStr">
        <is>
          <t>MK-CF-F-086</t>
        </is>
      </c>
      <c r="B398" s="3" t="inlineStr">
        <is>
          <t>stateRateOf</t>
        </is>
      </c>
      <c r="C398" s="3" t="inlineStr">
        <is>
          <t>src/domain/income/onboarding.ts</t>
        </is>
      </c>
      <c r="D398" s="3" t="n">
        <v>358</v>
      </c>
      <c r="E398" s="3" t="inlineStr">
        <is>
          <t>2 · DISPLAYED</t>
        </is>
      </c>
      <c r="F398" s="3" t="inlineStr">
        <is>
          <t>A screen calls it directly, so its answer is on a screen.</t>
        </is>
      </c>
      <c r="G398" s="3" t="inlineStr">
        <is>
          <t>Yes</t>
        </is>
      </c>
      <c r="H398" s="3" t="inlineStr">
        <is>
          <t>MK-ST-F-052 toNum</t>
        </is>
      </c>
      <c r="I398" s="3" t="n">
        <v>1</v>
      </c>
      <c r="J398" s="3" t="inlineStr">
        <is>
          <t>MK-ST-F-052 toNum</t>
        </is>
      </c>
      <c r="K398" s="3" t="inlineStr">
        <is>
          <t>MK-ST-F-052 toNum → MK-CF-F-086 stateRateOf</t>
        </is>
      </c>
      <c r="L398" s="3" t="inlineStr">
        <is>
          <t>—</t>
        </is>
      </c>
      <c r="M398" s="3" t="inlineStr">
        <is>
          <t>STATE_TAX_RATE</t>
        </is>
      </c>
    </row>
    <row r="399">
      <c r="A399" s="3" t="inlineStr">
        <is>
          <t>MK-XS-F-093</t>
        </is>
      </c>
      <c r="B399" s="3" t="inlineStr">
        <is>
          <t>stripNonMoney</t>
        </is>
      </c>
      <c r="C399" s="3" t="inlineStr">
        <is>
          <t>src/services/receiptOCR.ts</t>
        </is>
      </c>
      <c r="D399" s="3" t="n">
        <v>72</v>
      </c>
      <c r="E399" s="3" t="inlineStr">
        <is>
          <t>3 · DEPENDENT (feeds an action only)</t>
        </is>
      </c>
      <c r="F399" s="3" t="inlineStr">
        <is>
          <t>Its answer feeds another function, but no chain from it reaches a screen.</t>
        </is>
      </c>
      <c r="G399" s="3" t="inlineStr">
        <is>
          <t>No</t>
        </is>
      </c>
      <c r="H399" s="3" t="inlineStr">
        <is>
          <t>—</t>
        </is>
      </c>
      <c r="I399" s="3" t="n">
        <v>0</v>
      </c>
      <c r="J399" s="3" t="inlineStr">
        <is>
          <t>None — no dependent function stands behind it</t>
        </is>
      </c>
      <c r="K399" s="3" t="inlineStr">
        <is>
          <t>No dependent function — it reads its inputs and answers</t>
        </is>
      </c>
      <c r="L399" s="3" t="inlineStr">
        <is>
          <t>—</t>
        </is>
      </c>
      <c r="M399" s="3" t="inlineStr">
        <is>
          <t>—</t>
        </is>
      </c>
    </row>
    <row r="400">
      <c r="A400" s="3" t="inlineStr">
        <is>
          <t>MK-XS-F-080</t>
        </is>
      </c>
      <c r="B400" s="3" t="inlineStr">
        <is>
          <t>submitFeedback</t>
        </is>
      </c>
      <c r="C400" s="3" t="inlineStr">
        <is>
          <t>src/services/firebase.ts</t>
        </is>
      </c>
      <c r="D400" s="3" t="n">
        <v>289</v>
      </c>
      <c r="E400" s="3" t="inlineStr">
        <is>
          <t>1 · ACTION</t>
        </is>
      </c>
      <c r="F400" s="3" t="inlineStr">
        <is>
          <t>Produces nothing that is displayed — it does something: saves, syncs or records.</t>
        </is>
      </c>
      <c r="G400" s="3" t="inlineStr">
        <is>
          <t>Yes</t>
        </is>
      </c>
      <c r="H400" s="3" t="inlineStr">
        <is>
          <t>—</t>
        </is>
      </c>
      <c r="I400" s="3" t="n">
        <v>0</v>
      </c>
      <c r="J400" s="3" t="inlineStr">
        <is>
          <t>None — no dependent function stands behind it</t>
        </is>
      </c>
      <c r="K400" s="3" t="inlineStr">
        <is>
          <t>No dependent function — it reads its inputs and answers</t>
        </is>
      </c>
      <c r="L400" s="3" t="inlineStr">
        <is>
          <t>—</t>
        </is>
      </c>
      <c r="M400" s="3" t="inlineStr">
        <is>
          <t>—</t>
        </is>
      </c>
    </row>
    <row r="401">
      <c r="A401" s="3" t="inlineStr">
        <is>
          <t>MK-ST-F-020</t>
        </is>
      </c>
      <c r="B401" s="3" t="inlineStr">
        <is>
          <t>sumSigned</t>
        </is>
      </c>
      <c r="C401" s="3" t="inlineStr">
        <is>
          <t>Calculation Module code/engines/money.ts</t>
        </is>
      </c>
      <c r="D401" s="3" t="n">
        <v>64</v>
      </c>
      <c r="E401" s="3" t="inlineStr">
        <is>
          <t>3 · DEPENDENT (feeds an action only)</t>
        </is>
      </c>
      <c r="F401" s="3" t="inlineStr">
        <is>
          <t>Its answer feeds another function, but no chain from it reaches a screen.</t>
        </is>
      </c>
      <c r="G401" s="3" t="inlineStr">
        <is>
          <t>No</t>
        </is>
      </c>
      <c r="H401" s="3" t="inlineStr">
        <is>
          <t>—</t>
        </is>
      </c>
      <c r="I401" s="3" t="n">
        <v>0</v>
      </c>
      <c r="J401" s="3" t="inlineStr">
        <is>
          <t>None — no dependent function stands behind it</t>
        </is>
      </c>
      <c r="K401" s="3" t="inlineStr">
        <is>
          <t>No dependent function — it reads its inputs and answers</t>
        </is>
      </c>
      <c r="L401" s="3" t="inlineStr">
        <is>
          <t>—</t>
        </is>
      </c>
      <c r="M401" s="3" t="inlineStr">
        <is>
          <t>—</t>
        </is>
      </c>
    </row>
    <row r="402">
      <c r="A402" s="3" t="inlineStr">
        <is>
          <t>MK-XS-F-028</t>
        </is>
      </c>
      <c r="B402" s="3" t="inlineStr">
        <is>
          <t>surplusByMonth</t>
        </is>
      </c>
      <c r="C402" s="3" t="inlineStr">
        <is>
          <t>src/domain/savings/index.ts</t>
        </is>
      </c>
      <c r="D402" s="3" t="n">
        <v>21</v>
      </c>
      <c r="E402" s="3" t="inlineStr">
        <is>
          <t>2 · DISPLAYED</t>
        </is>
      </c>
      <c r="F402" s="3" t="inlineStr">
        <is>
          <t>A screen calls it directly, so its answer is on a screen.</t>
        </is>
      </c>
      <c r="G402" s="3" t="inlineStr">
        <is>
          <t>Yes</t>
        </is>
      </c>
      <c r="H402" s="3" t="inlineStr">
        <is>
          <t>MK-CF-F-026 actualDebtPayment · MK-ST-F-055 round2 · MK-CF-F-011 savingsByMonth</t>
        </is>
      </c>
      <c r="I402" s="3" t="n">
        <v>44</v>
      </c>
      <c r="J402" s="3" t="inlineStr">
        <is>
          <t>MK-CF-F-026 actualDebtPayment · MK-ST-F-055 round2 · MK-CF-F-011 savingsByMonth · MK-CF-F-024 totalDebtMonthly · MK-CF-F-092 incomeMonthlyGrid · MK-CF-F-008 spendByMonth · MK-CF-F-023 requiredPayment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MK-CF-F-004 spendBuckets · MK-CF-F-022 paymentShape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MK-CF-F-003 categoryMonthly · MK-CF-F-021 defaultPaymentType · MK-CF-F-102 effectiveRateOnGrossFor · MK-CF-F-084 taxableAnnual · MK-CF-F-101 taxOwedFor · MK-CF-F-100 taxableIncomeFor · MK-CF-F-095 taxOwed · MK-CF-F-082 salaryAnnual · MK-CF-F-074 tipsAnnual · MK-CF-F-099 deductionFor · MK-CF-F-093 taxableIncome · MK-CF-F-081 salaryActiveMonths</t>
        </is>
      </c>
      <c r="K402" s="3" t="inlineStr">
        <is>
          <t>MK-ST-F-055 round2 → MK-CF-F-026 actualDebtPayment → MK-XS-F-028 surplusByMonth
MK-CF-F-021 defaultPaymentType → MK-CF-F-022 paymentShape → MK-CF-F-023 requiredPayment → MK-CF-F-024 totalDebtMonthly → MK-CF-F-026 actualDebtPayment → MK-XS-F-028 surplusByMonth
MK-ST-F-055 round2 → MK-XS-F-028 surplusByMonth
MK-CF-F-069 benefitActiveMonths → MK-CF-F-092 incomeMonthlyGrid → MK-CF-F-011 savingsByMonth → MK-XS-F-028 surplusByMonth
MK-ST-F-052 toNum → MK-CF-F-075 retirementIncomeMonthly → MK-CF-F-072 currentRetirementIncomeMonthly → MK-CF-F-092 incomeMonthlyGrid → MK-CF-F-011 savingsByMonth → MK-XS-F-028 surplusByMonth
MK-ST-F-052 toNum → MK-CF-F-062 equityRowValue → MK-CF-F-065 equityVestWeights → MK-CF-F-092 incomeMonthlyGrid → MK-CF-F-011 savingsByMonth → MK-XS-F-028 surplusByMonth
MK-CF-F-069 benefitActiveMonths → MK-CF-F-070 benefitAnnual → MK-CF-F-071 extraIncome → MK-CF-F-092 incomeMonthlyGrid → MK-CF-F-011 savingsByMonth → MK-XS-F-028 surplusByMonth
MK-ST-F-052 toNum → MK-CF-F-070 benefitAnnual → MK-CF-F-071 extraIncome → MK-CF-F-092 incomeMonthlyGrid → MK-CF-F-011 savingsByMonth → MK-XS-F-028 surplusByMonth
… and 37 more paths</t>
        </is>
      </c>
      <c r="L402" s="3" t="inlineStr">
        <is>
          <t>—</t>
        </is>
      </c>
      <c r="M402" s="3" t="inlineStr">
        <is>
          <t>—</t>
        </is>
      </c>
    </row>
    <row r="403">
      <c r="A403" s="3" t="inlineStr">
        <is>
          <t>MK-XS-F-025</t>
        </is>
      </c>
      <c r="B403" s="3" t="inlineStr">
        <is>
          <t>tabOrder</t>
        </is>
      </c>
      <c r="C403" s="3" t="inlineStr">
        <is>
          <t>src/domain/profile/lens.ts</t>
        </is>
      </c>
      <c r="D403" s="3" t="n">
        <v>30</v>
      </c>
      <c r="E403" s="3" t="inlineStr">
        <is>
          <t>2 · DISPLAYED</t>
        </is>
      </c>
      <c r="F403" s="3" t="inlineStr">
        <is>
          <t>A screen calls it directly, so its answer is on a screen.</t>
        </is>
      </c>
      <c r="G403" s="3" t="inlineStr">
        <is>
          <t>Yes</t>
        </is>
      </c>
      <c r="H403" s="3" t="inlineStr">
        <is>
          <t>—</t>
        </is>
      </c>
      <c r="I403" s="3" t="n">
        <v>0</v>
      </c>
      <c r="J403" s="3" t="inlineStr">
        <is>
          <t>None — no dependent function stands behind it</t>
        </is>
      </c>
      <c r="K403" s="3" t="inlineStr">
        <is>
          <t>No dependent function — it reads its inputs and answers</t>
        </is>
      </c>
      <c r="L403" s="3" t="inlineStr">
        <is>
          <t>—</t>
        </is>
      </c>
      <c r="M403" s="3" t="inlineStr">
        <is>
          <t>—</t>
        </is>
      </c>
    </row>
    <row r="404">
      <c r="A404" s="3" t="inlineStr">
        <is>
          <t>MK-XS-F-027</t>
        </is>
      </c>
      <c r="B404" s="3" t="inlineStr">
        <is>
          <t>takeHomeMonthly</t>
        </is>
      </c>
      <c r="C404" s="3" t="inlineStr">
        <is>
          <t>src/domain/savings/index.ts</t>
        </is>
      </c>
      <c r="D404" s="3" t="n">
        <v>13</v>
      </c>
      <c r="E404" s="3" t="inlineStr">
        <is>
          <t>2 · DISPLAYED</t>
        </is>
      </c>
      <c r="F404" s="3" t="inlineStr">
        <is>
          <t>A screen calls it directly, so its answer is on a screen.</t>
        </is>
      </c>
      <c r="G404" s="3" t="inlineStr">
        <is>
          <t>Yes</t>
        </is>
      </c>
      <c r="H404" s="3" t="inlineStr">
        <is>
          <t>MK-CF-F-092 incomeMonthlyGrid · MK-ST-F-055 round2</t>
        </is>
      </c>
      <c r="I404" s="3" t="n">
        <v>35</v>
      </c>
      <c r="J404" s="3" t="inlineStr">
        <is>
          <t>MK-CF-F-092 incomeMonthlyGrid · MK-ST-F-055 round2 · MK-CF-F-069 benefitActiveMonths · MK-CF-F-072 currentRetirementIncomeMonthly · MK-CF-F-065 equityVestWeights · MK-CF-F-071 extraIncome · MK-CF-F-087 monthlyTaxRates · MK-CF-F-073 otherIncomeMonth · MK-CF-F-068 rentalNetAnnual · MK-CF-F-066 rsuAnnual · MK-CF-F-060 salaryGrossByMonth · MK-CF-F-077 scholarshipByCalendarMonth · MK-ST-F-052 toNum · MK-CF-F-075 retirementIncomeMonthly · MK-CF-F-062 equityRowValue · MK-CF-F-070 benefitAnnual · MK-CF-F-090 effectiveRate · MK-CF-F-085 filingStatusOf · MK-CF-F-089 over65CountOf · MK-CF-F-098 progressiveMonthlyTax · MK-CF-F-086 stateRateOf · MK-CF-F-088 taxableByCalendarMonth · MK-CF-F-067 rentalList · MK-CF-F-063 rowVestYear · MK-CF-F-097 grossFromNet · MK-CF-F-102 effectiveRateOnGrossFor · MK-CF-F-084 taxableAnnual · MK-CF-F-101 taxOwedFor · MK-CF-F-100 taxableIncomeFor · MK-CF-F-095 taxOwed · MK-CF-F-082 salaryAnnual · MK-CF-F-074 tipsAnnual · MK-CF-F-099 deductionFor · MK-CF-F-093 taxableIncome · MK-CF-F-081 salaryActiveMonths</t>
        </is>
      </c>
      <c r="K404" s="3" t="inlineStr">
        <is>
          <t>MK-CF-F-069 benefitActiveMonths → MK-CF-F-092 incomeMonthlyGrid → MK-XS-F-027 takeHomeMonthly
MK-ST-F-052 toNum → MK-CF-F-075 retirementIncomeMonthly → MK-CF-F-072 currentRetirementIncomeMonthly → MK-CF-F-092 incomeMonthlyGrid → MK-XS-F-027 takeHomeMonthly
MK-ST-F-052 toNum → MK-CF-F-062 equityRowValue → MK-CF-F-065 equityVestWeights → MK-CF-F-092 incomeMonthlyGrid → MK-XS-F-027 takeHomeMonthly
MK-CF-F-069 benefitActiveMonths → MK-CF-F-070 benefitAnnual → MK-CF-F-071 extraIncome → MK-CF-F-092 incomeMonthlyGrid → MK-XS-F-027 takeHomeMonthly
MK-ST-F-052 toNum → MK-CF-F-070 benefitAnnual → MK-CF-F-071 extraIncome → MK-CF-F-092 incomeMonthlyGrid → MK-XS-F-027 takeHomeMonthly
MK-ST-F-055 round2 → MK-CF-F-071 extraIncome → MK-CF-F-092 incomeMonthlyGrid → MK-XS-F-027 takeHomeMonthly
MK-ST-F-052 toNum → MK-CF-F-071 extraIncome → MK-CF-F-092 incomeMonthlyGrid → MK-XS-F-027 takeHomeMonthly
MK-CF-F-101 taxOwedFor → MK-CF-F-102 effectiveRateOnGrossFor → MK-CF-F-090 effectiveRate → MK-CF-F-087 monthlyTaxRates → MK-CF-F-092 incomeMonthlyGrid → MK-XS-F-027 takeHomeMonthly
… and 42 more paths</t>
        </is>
      </c>
      <c r="L404" s="3" t="inlineStr">
        <is>
          <t>—</t>
        </is>
      </c>
      <c r="M404" s="3" t="inlineStr">
        <is>
          <t>—</t>
        </is>
      </c>
    </row>
    <row r="405">
      <c r="A405" s="3" t="inlineStr">
        <is>
          <t>MK-PL-F-040</t>
        </is>
      </c>
      <c r="B405" s="3" t="inlineStr">
        <is>
          <t>targetAtRetirement</t>
        </is>
      </c>
      <c r="C405" s="3" t="inlineStr">
        <is>
          <t>src/domain/planning/target.ts</t>
        </is>
      </c>
      <c r="D405" s="3" t="n">
        <v>40</v>
      </c>
      <c r="E405" s="3" t="inlineStr">
        <is>
          <t>2 · DISPLAYED</t>
        </is>
      </c>
      <c r="F405" s="3" t="inlineStr">
        <is>
          <t>A screen calls it directly, so its answer is on a screen.</t>
        </is>
      </c>
      <c r="G405" s="3" t="inlineStr">
        <is>
          <t>Yes</t>
        </is>
      </c>
      <c r="H405" s="3" t="inlineStr">
        <is>
          <t>—</t>
        </is>
      </c>
      <c r="I405" s="3" t="n">
        <v>0</v>
      </c>
      <c r="J405" s="3" t="inlineStr">
        <is>
          <t>None — no dependent function stands behind it</t>
        </is>
      </c>
      <c r="K405" s="3" t="inlineStr">
        <is>
          <t>No dependent function — it reads its inputs and answers</t>
        </is>
      </c>
      <c r="L405" s="3" t="inlineStr">
        <is>
          <t>—</t>
        </is>
      </c>
      <c r="M405" s="3" t="inlineStr">
        <is>
          <t>—</t>
        </is>
      </c>
    </row>
    <row r="406">
      <c r="A406" s="3" t="inlineStr">
        <is>
          <t>MK-PL-F-001</t>
        </is>
      </c>
      <c r="B406" s="3" t="inlineStr">
        <is>
          <t>taxBucketSplit</t>
        </is>
      </c>
      <c r="C406" s="3" t="inlineStr">
        <is>
          <t>src/domain/decumulation/index.ts</t>
        </is>
      </c>
      <c r="D406" s="3" t="n">
        <v>11</v>
      </c>
      <c r="E406" s="3" t="inlineStr">
        <is>
          <t>2 · DISPLAYED</t>
        </is>
      </c>
      <c r="F406" s="3" t="inlineStr">
        <is>
          <t>A screen calls it directly, so its answer is on a screen.</t>
        </is>
      </c>
      <c r="G406" s="3" t="inlineStr">
        <is>
          <t>Yes</t>
        </is>
      </c>
      <c r="H406" s="3" t="inlineStr">
        <is>
          <t>MK-NW-F-032 earmarkedAmount · MK-ST-F-055 round2</t>
        </is>
      </c>
      <c r="I406" s="3" t="n">
        <v>7</v>
      </c>
      <c r="J406" s="3" t="inlineStr">
        <is>
          <t>MK-NW-F-032 earmarkedAmount · MK-ST-F-055 round2 · MK-NW-F-030 earmarkDefault · MK-NW-F-011 assetClassOf · MK-NW-F-013 realEstateUseOf · MK-NW-F-008 incomeBearingClassOf · MK-ST-F-010 nameEvidence</t>
        </is>
      </c>
      <c r="K406" s="3" t="inlineStr">
        <is>
          <t>MK-ST-F-010 nameEvidence → MK-NW-F-008 incomeBearingClassOf → MK-NW-F-011 assetClassOf → MK-NW-F-030 earmarkDefault → MK-NW-F-032 earmarkedAmount → MK-PL-F-001 taxBucketSplit
MK-NW-F-013 realEstateUseOf → MK-NW-F-030 earmarkDefault → MK-NW-F-032 earmarkedAmount → MK-PL-F-001 taxBucketSplit
MK-ST-F-055 round2 → MK-NW-F-032 earmarkedAmount → MK-PL-F-001 taxBucketSplit
MK-ST-F-055 round2 → MK-PL-F-001 taxBucketSplit</t>
        </is>
      </c>
      <c r="L406" s="3" t="inlineStr">
        <is>
          <t>—</t>
        </is>
      </c>
      <c r="M406" s="3" t="inlineStr">
        <is>
          <t>SPLIT_BY_HOW_IT_IS_TAXED</t>
        </is>
      </c>
    </row>
    <row r="407">
      <c r="A407" s="3" t="inlineStr">
        <is>
          <t>MK-PL-F-031</t>
        </is>
      </c>
      <c r="B407" s="3" t="inlineStr">
        <is>
          <t>taxOrganizer</t>
        </is>
      </c>
      <c r="C407" s="3" t="inlineStr">
        <is>
          <t>src/domain/planning/index.ts</t>
        </is>
      </c>
      <c r="D407" s="3" t="n">
        <v>22</v>
      </c>
      <c r="E407" s="3" t="inlineStr">
        <is>
          <t>2 · DISPLAYED</t>
        </is>
      </c>
      <c r="F407" s="3" t="inlineStr">
        <is>
          <t>A screen calls it directly, so its answer is on a screen.</t>
        </is>
      </c>
      <c r="G407" s="3" t="inlineStr">
        <is>
          <t>Yes</t>
        </is>
      </c>
      <c r="H407" s="3" t="inlineStr">
        <is>
          <t>MK-CF-F-070 benefitAnnual · MK-CF-F-072 currentRetirementIncomeMonthly · MK-CF-F-090 effectiveRate · MK-CF-F-068 rentalNetAnnual · MK-ST-F-055 round2 · MK-CF-F-066 rsuAnnual · MK-CF-F-082 salaryAnnual · MK-CF-F-074 tipsAnnual · MK-ST-F-052 toNum</t>
        </is>
      </c>
      <c r="I407" s="3" t="n">
        <v>28</v>
      </c>
      <c r="J407" s="3" t="inlineStr">
        <is>
          <t>MK-CF-F-070 benefitAnnual · MK-CF-F-072 currentRetirementIncomeMonthly · MK-CF-F-090 effectiveRate · MK-CF-F-068 rentalNetAnnual · MK-ST-F-055 round2 · MK-CF-F-066 rsuAnnual · MK-CF-F-082 salaryAnnual · MK-CF-F-074 tipsAnnual · MK-ST-F-052 toNum · MK-CF-F-069 benefitActiveMonths · MK-CF-F-075 retirementIncomeMonthly · MK-CF-F-102 effectiveRateOnGrossFor · MK-CF-F-085 filingStatusOf · MK-CF-F-089 over65CountOf · MK-CF-F-086 stateRateOf · MK-CF-F-084 taxableAnnual · MK-CF-F-067 rentalList · MK-CF-F-062 equityRowValue · MK-CF-F-063 rowVestYear · MK-CF-F-060 salaryGrossByMonth · MK-CF-F-081 salaryActiveMonths · MK-CF-F-101 taxOwedFor · MK-CF-F-071 extraIncome · MK-CF-F-097 grossFromNet · MK-CF-F-100 taxableIncomeFor · MK-CF-F-095 taxOwed · MK-CF-F-099 deductionFor · MK-CF-F-093 taxableIncome</t>
        </is>
      </c>
      <c r="K407" s="3" t="inlineStr">
        <is>
          <t>MK-CF-F-069 benefitActiveMonths → MK-CF-F-070 benefitAnnual → MK-PL-F-031 taxOrganizer
MK-ST-F-052 toNum → MK-CF-F-070 benefitAnnual → MK-PL-F-031 taxOrganizer
MK-ST-F-052 toNum → MK-CF-F-075 retirementIncomeMonthly → MK-CF-F-072 currentRetirementIncomeMonthly → MK-PL-F-031 taxOrganizer
MK-CF-F-099 deductionFor → MK-CF-F-100 taxableIncomeFor → MK-CF-F-101 taxOwedFor → MK-CF-F-102 effectiveRateOnGrossFor → MK-CF-F-090 effectiveRate → MK-PL-F-031 taxOrganizer
MK-CF-F-085 filingStatusOf → MK-CF-F-090 effectiveRate → MK-PL-F-031 taxOrganizer
MK-ST-F-052 toNum → MK-CF-F-089 over65CountOf → MK-CF-F-090 effectiveRate → MK-PL-F-031 taxOrganizer
MK-ST-F-052 toNum → MK-CF-F-086 stateRateOf → MK-CF-F-090 effectiveRate → MK-PL-F-031 taxOrganizer
MK-ST-F-052 toNum → MK-CF-F-075 retirementIncomeMonthly → MK-CF-F-072 currentRetirementIncomeMonthly → MK-CF-F-084 taxableAnnual → MK-CF-F-090 effectiveRate → MK-PL-F-031 taxOrganizer
… and 28 more paths</t>
        </is>
      </c>
      <c r="L407" s="3" t="inlineStr">
        <is>
          <t>—</t>
        </is>
      </c>
      <c r="M407" s="3" t="inlineStr">
        <is>
          <t>—</t>
        </is>
      </c>
    </row>
    <row r="408">
      <c r="A408" s="3" t="inlineStr">
        <is>
          <t>MK-CF-F-095</t>
        </is>
      </c>
      <c r="B408" s="3" t="inlineStr">
        <is>
          <t>taxOwed</t>
        </is>
      </c>
      <c r="C408" s="3" t="inlineStr">
        <is>
          <t>src/domain/income/tax.ts</t>
        </is>
      </c>
      <c r="D408" s="3" t="n">
        <v>29</v>
      </c>
      <c r="E408" s="3" t="inlineStr">
        <is>
          <t>3 · DEPENDENT</t>
        </is>
      </c>
      <c r="F408" s="3" t="inlineStr">
        <is>
          <t>Its answer feeds another function, and that chain ends at a screen.</t>
        </is>
      </c>
      <c r="G408" s="3" t="inlineStr">
        <is>
          <t>Yes</t>
        </is>
      </c>
      <c r="H408" s="3" t="inlineStr">
        <is>
          <t>MK-CF-F-093 taxableIncome</t>
        </is>
      </c>
      <c r="I408" s="3" t="n">
        <v>1</v>
      </c>
      <c r="J408" s="3" t="inlineStr">
        <is>
          <t>MK-CF-F-093 taxableIncome</t>
        </is>
      </c>
      <c r="K408" s="3" t="inlineStr">
        <is>
          <t>MK-CF-F-093 taxableIncome → MK-CF-F-095 taxOwed</t>
        </is>
      </c>
      <c r="L408" s="3" t="inlineStr">
        <is>
          <t>—</t>
        </is>
      </c>
      <c r="M408" s="3" t="inlineStr">
        <is>
          <t>TAX_OWED_SINGLE</t>
        </is>
      </c>
    </row>
    <row r="409">
      <c r="A409" s="3" t="inlineStr">
        <is>
          <t>MK-CF-F-101</t>
        </is>
      </c>
      <c r="B409" s="3" t="inlineStr">
        <is>
          <t>taxOwedFor</t>
        </is>
      </c>
      <c r="C409" s="3" t="inlineStr">
        <is>
          <t>src/domain/income/tax.ts</t>
        </is>
      </c>
      <c r="D409" s="3" t="n">
        <v>117</v>
      </c>
      <c r="E409" s="3" t="inlineStr">
        <is>
          <t>3 · DEPENDENT</t>
        </is>
      </c>
      <c r="F409" s="3" t="inlineStr">
        <is>
          <t>Its answer feeds another function, and that chain ends at a screen.</t>
        </is>
      </c>
      <c r="G409" s="3" t="inlineStr">
        <is>
          <t>Yes</t>
        </is>
      </c>
      <c r="H409" s="3" t="inlineStr">
        <is>
          <t>MK-CF-F-100 taxableIncomeFor</t>
        </is>
      </c>
      <c r="I409" s="3" t="n">
        <v>2</v>
      </c>
      <c r="J409" s="3" t="inlineStr">
        <is>
          <t>MK-CF-F-100 taxableIncomeFor · MK-CF-F-099 deductionFor</t>
        </is>
      </c>
      <c r="K409" s="3" t="inlineStr">
        <is>
          <t>MK-CF-F-099 deductionFor → MK-CF-F-100 taxableIncomeFor → MK-CF-F-101 taxOwedFor</t>
        </is>
      </c>
      <c r="L409" s="3" t="inlineStr">
        <is>
          <t>—</t>
        </is>
      </c>
      <c r="M409" s="3" t="inlineStr">
        <is>
          <t>TAX_OWED</t>
        </is>
      </c>
    </row>
    <row r="410">
      <c r="A410" s="3" t="inlineStr">
        <is>
          <t>MK-NW-F-012</t>
        </is>
      </c>
      <c r="B410" s="3" t="inlineStr">
        <is>
          <t>taxTreatmentOf</t>
        </is>
      </c>
      <c r="C410" s="3" t="inlineStr">
        <is>
          <t>src/domain/assets/index.ts</t>
        </is>
      </c>
      <c r="D410" s="3" t="n">
        <v>238</v>
      </c>
      <c r="E410" s="3" t="inlineStr">
        <is>
          <t>2 · DISPLAYED</t>
        </is>
      </c>
      <c r="F410" s="3" t="inlineStr">
        <is>
          <t>A screen calls it directly, so its answer is on a screen.</t>
        </is>
      </c>
      <c r="G410" s="3" t="inlineStr">
        <is>
          <t>Yes</t>
        </is>
      </c>
      <c r="H410" s="3" t="inlineStr">
        <is>
          <t>—</t>
        </is>
      </c>
      <c r="I410" s="3" t="n">
        <v>0</v>
      </c>
      <c r="J410" s="3" t="inlineStr">
        <is>
          <t>None — no dependent function stands behind it</t>
        </is>
      </c>
      <c r="K410" s="3" t="inlineStr">
        <is>
          <t>No dependent function — it reads its inputs and answers</t>
        </is>
      </c>
      <c r="L410" s="3" t="inlineStr">
        <is>
          <t>—</t>
        </is>
      </c>
      <c r="M410" s="3" t="inlineStr">
        <is>
          <t>TAX_TREATMENT</t>
        </is>
      </c>
    </row>
    <row r="411">
      <c r="A411" s="3" t="inlineStr">
        <is>
          <t>MK-CF-F-084</t>
        </is>
      </c>
      <c r="B411" s="3" t="inlineStr">
        <is>
          <t>taxableAnnual</t>
        </is>
      </c>
      <c r="C411" s="3" t="inlineStr">
        <is>
          <t>src/domain/income/onboarding.ts</t>
        </is>
      </c>
      <c r="D411" s="3" t="n">
        <v>345</v>
      </c>
      <c r="E411" s="3" t="inlineStr">
        <is>
          <t>2 · DISPLAYED</t>
        </is>
      </c>
      <c r="F411" s="3" t="inlineStr">
        <is>
          <t>A screen calls it directly, so its answer is on a screen.</t>
        </is>
      </c>
      <c r="G411" s="3" t="inlineStr">
        <is>
          <t>Yes</t>
        </is>
      </c>
      <c r="H411" s="3" t="inlineStr">
        <is>
          <t>MK-CF-F-072 currentRetirementIncomeMonthly · MK-CF-F-071 extraIncome · MK-CF-F-068 rentalNetAnnual · MK-CF-F-066 rsuAnnual · MK-CF-F-082 salaryAnnual · MK-CF-F-074 tipsAnnual · MK-ST-F-052 toNum</t>
        </is>
      </c>
      <c r="I411" s="3" t="n">
        <v>19</v>
      </c>
      <c r="J411"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K411" s="3" t="inlineStr">
        <is>
          <t>MK-ST-F-052 toNum → MK-CF-F-075 retirementIncomeMonthly → MK-CF-F-072 currentRetirementIncomeMonthly → MK-CF-F-084 taxableAnnual
MK-CF-F-069 benefitActiveMonths → MK-CF-F-070 benefitAnnual → MK-CF-F-071 extraIncome → MK-CF-F-084 taxableAnnual
MK-ST-F-052 toNum → MK-CF-F-070 benefitAnnual → MK-CF-F-071 extraIncome → MK-CF-F-084 taxableAnnual
MK-ST-F-055 round2 → MK-CF-F-071 extraIncome → MK-CF-F-084 taxableAnnual
MK-ST-F-052 toNum → MK-CF-F-071 extraIncome → MK-CF-F-084 taxableAnnual
MK-ST-F-052 toNum → MK-CF-F-067 rentalList → MK-CF-F-068 rentalNetAnnual → MK-CF-F-084 taxableAnnual
MK-ST-F-052 toNum → MK-CF-F-062 equityRowValue → MK-CF-F-066 rsuAnnual → MK-CF-F-084 taxableAnnual
MK-CF-F-063 rowVestYear → MK-CF-F-066 rsuAnnual → MK-CF-F-084 taxableAnnual
… and 9 more paths</t>
        </is>
      </c>
      <c r="L411" s="3" t="inlineStr">
        <is>
          <t>—</t>
        </is>
      </c>
      <c r="M411" s="3" t="inlineStr">
        <is>
          <t>—</t>
        </is>
      </c>
    </row>
    <row r="412">
      <c r="A412" s="3" t="inlineStr">
        <is>
          <t>MK-CF-F-088</t>
        </is>
      </c>
      <c r="B412" s="3" t="inlineStr">
        <is>
          <t>taxableByCalendarMonth</t>
        </is>
      </c>
      <c r="C412" s="3" t="inlineStr">
        <is>
          <t>src/domain/income/onboarding.ts</t>
        </is>
      </c>
      <c r="D412" s="3" t="n">
        <v>381</v>
      </c>
      <c r="E412" s="3" t="inlineStr">
        <is>
          <t>3 · DEPENDENT</t>
        </is>
      </c>
      <c r="F412" s="3" t="inlineStr">
        <is>
          <t>Its answer feeds another function, and that chain ends at a screen.</t>
        </is>
      </c>
      <c r="G412" s="3" t="inlineStr">
        <is>
          <t>Yes</t>
        </is>
      </c>
      <c r="H412" s="3" t="inlineStr">
        <is>
          <t>MK-CF-F-072 currentRetirementIncomeMonthly · MK-CF-F-065 equityVestWeights · MK-CF-F-071 extraIncome · MK-CF-F-073 otherIncomeMonth · MK-CF-F-068 rentalNetAnnual · MK-CF-F-066 rsuAnnual · MK-CF-F-060 salaryGrossByMonth · MK-ST-F-052 toNum</t>
        </is>
      </c>
      <c r="I412" s="3" t="n">
        <v>18</v>
      </c>
      <c r="J412" s="3" t="inlineStr">
        <is>
          <t>MK-CF-F-072 currentRetirementIncomeMonthly · MK-CF-F-065 equityVestWeights · MK-CF-F-071 extraIncome · MK-CF-F-073 otherIncomeMonth · MK-CF-F-068 rentalNetAnnual · MK-CF-F-066 rsuAnnual · MK-CF-F-060 salaryGrossByMonth · MK-ST-F-052 toNum · MK-CF-F-075 retirementIncomeMonthly · MK-CF-F-062 equityRowValue · MK-CF-F-070 benefitAnnual · MK-ST-F-055 round2 · MK-CF-F-067 rentalList · MK-CF-F-063 rowVestYear · MK-CF-F-097 grossFromNet · MK-CF-F-069 benefitActiveMonths · MK-CF-F-095 taxOwed · MK-CF-F-093 taxableIncome</t>
        </is>
      </c>
      <c r="K412" s="3" t="inlineStr">
        <is>
          <t>MK-ST-F-052 toNum → MK-CF-F-075 retirementIncomeMonthly → MK-CF-F-072 currentRetirementIncomeMonthly → MK-CF-F-088 taxableByCalendarMonth
MK-ST-F-052 toNum → MK-CF-F-062 equityRowValue → MK-CF-F-065 equityVestWeights → MK-CF-F-088 taxableByCalendarMonth
MK-CF-F-069 benefitActiveMonths → MK-CF-F-070 benefitAnnual → MK-CF-F-071 extraIncome → MK-CF-F-088 taxableByCalendarMonth
MK-ST-F-052 toNum → MK-CF-F-070 benefitAnnual → MK-CF-F-071 extraIncome → MK-CF-F-088 taxableByCalendarMonth
MK-ST-F-055 round2 → MK-CF-F-071 extraIncome → MK-CF-F-088 taxableByCalendarMonth
MK-ST-F-052 toNum → MK-CF-F-071 extraIncome → MK-CF-F-088 taxableByCalendarMonth
MK-ST-F-052 toNum → MK-CF-F-073 otherIncomeMonth → MK-CF-F-088 taxableByCalendarMonth
MK-ST-F-052 toNum → MK-CF-F-067 rentalList → MK-CF-F-068 rentalNetAnnual → MK-CF-F-088 taxableByCalendarMonth
… and 7 more paths</t>
        </is>
      </c>
      <c r="L412" s="3" t="inlineStr">
        <is>
          <t>—</t>
        </is>
      </c>
      <c r="M412" s="3" t="inlineStr">
        <is>
          <t>—</t>
        </is>
      </c>
    </row>
    <row r="413">
      <c r="A413" s="3" t="inlineStr">
        <is>
          <t>MK-CF-F-093</t>
        </is>
      </c>
      <c r="B413" s="3" t="inlineStr">
        <is>
          <t>taxableIncome</t>
        </is>
      </c>
      <c r="C413" s="3" t="inlineStr">
        <is>
          <t>src/domain/income/tax.ts</t>
        </is>
      </c>
      <c r="D413" s="3" t="n">
        <v>17</v>
      </c>
      <c r="E413" s="3" t="inlineStr">
        <is>
          <t>3 · DEPENDENT</t>
        </is>
      </c>
      <c r="F413" s="3" t="inlineStr">
        <is>
          <t>Its answer feeds another function, and that chain ends at a screen.</t>
        </is>
      </c>
      <c r="G413" s="3" t="inlineStr">
        <is>
          <t>Yes</t>
        </is>
      </c>
      <c r="H413" s="3" t="inlineStr">
        <is>
          <t>—</t>
        </is>
      </c>
      <c r="I413" s="3" t="n">
        <v>0</v>
      </c>
      <c r="J413" s="3" t="inlineStr">
        <is>
          <t>None — no dependent function stands behind it</t>
        </is>
      </c>
      <c r="K413" s="3" t="inlineStr">
        <is>
          <t>No dependent function — it reads its inputs and answers</t>
        </is>
      </c>
      <c r="L413" s="3" t="inlineStr">
        <is>
          <t>—</t>
        </is>
      </c>
      <c r="M413" s="3" t="inlineStr">
        <is>
          <t>TAXABLE_INCOME_SINGLE</t>
        </is>
      </c>
    </row>
    <row r="414">
      <c r="A414" s="3" t="inlineStr">
        <is>
          <t>MK-CF-F-100</t>
        </is>
      </c>
      <c r="B414" s="3" t="inlineStr">
        <is>
          <t>taxableIncomeFor</t>
        </is>
      </c>
      <c r="C414" s="3" t="inlineStr">
        <is>
          <t>src/domain/income/tax.ts</t>
        </is>
      </c>
      <c r="D414" s="3" t="n">
        <v>110</v>
      </c>
      <c r="E414" s="3" t="inlineStr">
        <is>
          <t>3 · DEPENDENT</t>
        </is>
      </c>
      <c r="F414" s="3" t="inlineStr">
        <is>
          <t>Its answer feeds another function, and that chain ends at a screen.</t>
        </is>
      </c>
      <c r="G414" s="3" t="inlineStr">
        <is>
          <t>Yes</t>
        </is>
      </c>
      <c r="H414" s="3" t="inlineStr">
        <is>
          <t>MK-CF-F-099 deductionFor</t>
        </is>
      </c>
      <c r="I414" s="3" t="n">
        <v>1</v>
      </c>
      <c r="J414" s="3" t="inlineStr">
        <is>
          <t>MK-CF-F-099 deductionFor</t>
        </is>
      </c>
      <c r="K414" s="3" t="inlineStr">
        <is>
          <t>MK-CF-F-099 deductionFor → MK-CF-F-100 taxableIncomeFor</t>
        </is>
      </c>
      <c r="L414" s="3" t="inlineStr">
        <is>
          <t>MK-MN-M-027 · MK-MN-M-028</t>
        </is>
      </c>
      <c r="M414" s="3" t="inlineStr">
        <is>
          <t>TAXABLE_INCOME</t>
        </is>
      </c>
    </row>
    <row r="415">
      <c r="A415" s="3" t="inlineStr">
        <is>
          <t>MK-CF-F-074</t>
        </is>
      </c>
      <c r="B415" s="3" t="inlineStr">
        <is>
          <t>tipsAnnual</t>
        </is>
      </c>
      <c r="C415" s="3" t="inlineStr">
        <is>
          <t>src/domain/income/onboarding.ts</t>
        </is>
      </c>
      <c r="D415" s="3" t="n">
        <v>204</v>
      </c>
      <c r="E415" s="3" t="inlineStr">
        <is>
          <t>3 · DEPENDENT</t>
        </is>
      </c>
      <c r="F415" s="3" t="inlineStr">
        <is>
          <t>Its answer feeds another function, and that chain ends at a screen.</t>
        </is>
      </c>
      <c r="G415" s="3" t="inlineStr">
        <is>
          <t>Yes</t>
        </is>
      </c>
      <c r="H415" s="3" t="inlineStr">
        <is>
          <t>MK-CF-F-081 salaryActiveMonths · MK-ST-F-052 toNum</t>
        </is>
      </c>
      <c r="I415" s="3" t="n">
        <v>7</v>
      </c>
      <c r="J415" s="3" t="inlineStr">
        <is>
          <t>MK-CF-F-081 salaryActiveMonths · MK-ST-F-052 toNum · MK-CF-F-060 salaryGrossByMonth · MK-CF-F-097 grossFromNet · MK-ST-F-055 round2 · MK-CF-F-095 taxOwed · MK-CF-F-093 taxableIncome</t>
        </is>
      </c>
      <c r="K415" s="3" t="inlineStr">
        <is>
          <t>MK-CF-F-093 taxableIncome → MK-CF-F-095 taxOwed → MK-CF-F-097 grossFromNet → MK-CF-F-060 salaryGrossByMonth → MK-CF-F-081 salaryActiveMonths → MK-CF-F-074 tipsAnnual
MK-ST-F-055 round2 → MK-CF-F-060 salaryGrossByMonth → MK-CF-F-081 salaryActiveMonths → MK-CF-F-074 tipsAnnual
MK-ST-F-052 toNum → MK-CF-F-060 salaryGrossByMonth → MK-CF-F-081 salaryActiveMonths → MK-CF-F-074 tipsAnnual
MK-ST-F-052 toNum → MK-CF-F-074 tipsAnnual</t>
        </is>
      </c>
      <c r="L415" s="3" t="inlineStr">
        <is>
          <t>—</t>
        </is>
      </c>
      <c r="M415" s="3" t="inlineStr">
        <is>
          <t>TIPS_A_YEAR</t>
        </is>
      </c>
    </row>
    <row r="416">
      <c r="A416" s="3" t="inlineStr">
        <is>
          <t>MK-ST-F-012</t>
        </is>
      </c>
      <c r="B416" s="3" t="inlineStr">
        <is>
          <t>toLedgerRow</t>
        </is>
      </c>
      <c r="C416" s="3" t="inlineStr">
        <is>
          <t>Calculation Module code/engines/ledger.ts</t>
        </is>
      </c>
      <c r="D416" s="3" t="n">
        <v>106</v>
      </c>
      <c r="E416" s="3" t="inlineStr">
        <is>
          <t>3 · DEPENDENT (feeds an action only)</t>
        </is>
      </c>
      <c r="F416" s="3" t="inlineStr">
        <is>
          <t>Its answer feeds another function, but no chain from it reaches a screen.</t>
        </is>
      </c>
      <c r="G416" s="3" t="inlineStr">
        <is>
          <t>No</t>
        </is>
      </c>
      <c r="H416" s="3" t="inlineStr">
        <is>
          <t>MK-ST-F-007 classifyEvent · MK-ST-F-018 readMoney · MK-ST-F-019 signed · MK-ST-F-021 toNumber</t>
        </is>
      </c>
      <c r="I416" s="3" t="n">
        <v>4</v>
      </c>
      <c r="J416" s="3" t="inlineStr">
        <is>
          <t>MK-ST-F-007 classifyEvent · MK-ST-F-018 readMoney · MK-ST-F-019 signed · MK-ST-F-021 toNumber</t>
        </is>
      </c>
      <c r="K416" s="3" t="inlineStr">
        <is>
          <t>MK-ST-F-007 classifyEvent → MK-ST-F-012 toLedgerRow
MK-ST-F-018 readMoney → MK-ST-F-012 toLedgerRow
MK-ST-F-019 signed → MK-ST-F-012 toLedgerRow
MK-ST-F-021 toNumber → MK-ST-F-012 toLedgerRow</t>
        </is>
      </c>
      <c r="L416" s="3" t="inlineStr">
        <is>
          <t>—</t>
        </is>
      </c>
      <c r="M416" s="3" t="inlineStr">
        <is>
          <t>—</t>
        </is>
      </c>
    </row>
    <row r="417">
      <c r="A417" s="3" t="inlineStr">
        <is>
          <t>MK-ST-F-052</t>
        </is>
      </c>
      <c r="B417" s="3" t="inlineStr">
        <is>
          <t>toNum</t>
        </is>
      </c>
      <c r="C417" s="3" t="inlineStr">
        <is>
          <t>src/domain/_shared/num.ts</t>
        </is>
      </c>
      <c r="D417" s="3" t="n">
        <v>4</v>
      </c>
      <c r="E417" s="3" t="inlineStr">
        <is>
          <t>3 · DEPENDENT</t>
        </is>
      </c>
      <c r="F417" s="3" t="inlineStr">
        <is>
          <t>Its answer feeds another function, and that chain ends at a screen.</t>
        </is>
      </c>
      <c r="G417" s="3" t="inlineStr">
        <is>
          <t>Yes</t>
        </is>
      </c>
      <c r="H417" s="3" t="inlineStr">
        <is>
          <t>—</t>
        </is>
      </c>
      <c r="I417" s="3" t="n">
        <v>0</v>
      </c>
      <c r="J417" s="3" t="inlineStr">
        <is>
          <t>None — no dependent function stands behind it</t>
        </is>
      </c>
      <c r="K417" s="3" t="inlineStr">
        <is>
          <t>No dependent function — it reads its inputs and answers</t>
        </is>
      </c>
      <c r="L417" s="3" t="inlineStr">
        <is>
          <t>—</t>
        </is>
      </c>
      <c r="M417" s="3" t="inlineStr">
        <is>
          <t>READ_A_NUMBER</t>
        </is>
      </c>
    </row>
    <row r="418">
      <c r="A418" s="3" t="inlineStr">
        <is>
          <t>MK-ST-F-021</t>
        </is>
      </c>
      <c r="B418" s="3" t="inlineStr">
        <is>
          <t>toNumber</t>
        </is>
      </c>
      <c r="C418" s="3" t="inlineStr">
        <is>
          <t>Calculation Module code/engines/money.ts</t>
        </is>
      </c>
      <c r="D418" s="3" t="n">
        <v>73</v>
      </c>
      <c r="E418" s="3" t="inlineStr">
        <is>
          <t>2 · DISPLAYED</t>
        </is>
      </c>
      <c r="F418" s="3" t="inlineStr">
        <is>
          <t>A screen calls it directly, so its answer is on a screen.</t>
        </is>
      </c>
      <c r="G418" s="3" t="inlineStr">
        <is>
          <t>Yes</t>
        </is>
      </c>
      <c r="H418" s="3" t="inlineStr">
        <is>
          <t>—</t>
        </is>
      </c>
      <c r="I418" s="3" t="n">
        <v>0</v>
      </c>
      <c r="J418" s="3" t="inlineStr">
        <is>
          <t>None — no dependent function stands behind it</t>
        </is>
      </c>
      <c r="K418" s="3" t="inlineStr">
        <is>
          <t>No dependent function — it reads its inputs and answers</t>
        </is>
      </c>
      <c r="L418" s="3" t="inlineStr">
        <is>
          <t>—</t>
        </is>
      </c>
      <c r="M418" s="3" t="inlineStr">
        <is>
          <t>—</t>
        </is>
      </c>
    </row>
    <row r="419">
      <c r="A419" s="3" t="inlineStr">
        <is>
          <t>MK-XS-F-020</t>
        </is>
      </c>
      <c r="B419" s="3" t="inlineStr">
        <is>
          <t>toReadModel</t>
        </is>
      </c>
      <c r="C419" s="3" t="inlineStr">
        <is>
          <t>src/domain/profile/calc.ts</t>
        </is>
      </c>
      <c r="D419" s="3" t="n">
        <v>31</v>
      </c>
      <c r="E419" s="3" t="inlineStr">
        <is>
          <t>3 · DEPENDENT</t>
        </is>
      </c>
      <c r="F419" s="3" t="inlineStr">
        <is>
          <t>Its answer feeds another function, and that chain ends at a screen.</t>
        </is>
      </c>
      <c r="G419" s="3" t="inlineStr">
        <is>
          <t>Yes</t>
        </is>
      </c>
      <c r="H419" s="3" t="inlineStr">
        <is>
          <t>MK-XS-F-017 currentAge · MK-XS-F-019 retirementHorizonYears · MK-XS-F-018 yearsToRetirement</t>
        </is>
      </c>
      <c r="I419" s="3" t="n">
        <v>3</v>
      </c>
      <c r="J419" s="3" t="inlineStr">
        <is>
          <t>MK-XS-F-017 currentAge · MK-XS-F-019 retirementHorizonYears · MK-XS-F-018 yearsToRetirement</t>
        </is>
      </c>
      <c r="K419" s="3" t="inlineStr">
        <is>
          <t>MK-XS-F-017 currentAge → MK-XS-F-020 toReadModel
MK-XS-F-019 retirementHorizonYears → MK-XS-F-020 toReadModel
MK-XS-F-018 yearsToRetirement → MK-XS-F-020 toReadModel</t>
        </is>
      </c>
      <c r="L419" s="3" t="inlineStr">
        <is>
          <t>—</t>
        </is>
      </c>
      <c r="M419" s="3" t="inlineStr">
        <is>
          <t>—</t>
        </is>
      </c>
    </row>
    <row r="420">
      <c r="A420" s="3" t="inlineStr">
        <is>
          <t>MK-PF-F-015</t>
        </is>
      </c>
      <c r="B420" s="3" t="inlineStr">
        <is>
          <t>topHoldingConcentration</t>
        </is>
      </c>
      <c r="C420" s="3" t="inlineStr">
        <is>
          <t>src/domain/performance/index.ts</t>
        </is>
      </c>
      <c r="D420" s="3" t="n">
        <v>223</v>
      </c>
      <c r="E420" s="3" t="inlineStr">
        <is>
          <t>2 · DISPLAYED</t>
        </is>
      </c>
      <c r="F420" s="3" t="inlineStr">
        <is>
          <t>A screen calls it directly, so its answer is on a screen.</t>
        </is>
      </c>
      <c r="G420" s="3" t="inlineStr">
        <is>
          <t>Yes</t>
        </is>
      </c>
      <c r="H420" s="3" t="inlineStr">
        <is>
          <t>—</t>
        </is>
      </c>
      <c r="I420" s="3" t="n">
        <v>0</v>
      </c>
      <c r="J420" s="3" t="inlineStr">
        <is>
          <t>None — no dependent function stands behind it</t>
        </is>
      </c>
      <c r="K420" s="3" t="inlineStr">
        <is>
          <t>No dependent function — it reads its inputs and answers</t>
        </is>
      </c>
      <c r="L420" s="3" t="inlineStr">
        <is>
          <t>—</t>
        </is>
      </c>
      <c r="M420" s="3" t="inlineStr">
        <is>
          <t>CONCENTRATION</t>
        </is>
      </c>
    </row>
    <row r="421">
      <c r="A421" s="3" t="inlineStr">
        <is>
          <t>MK-NW-F-015</t>
        </is>
      </c>
      <c r="B421" s="3" t="inlineStr">
        <is>
          <t>totalAssets</t>
        </is>
      </c>
      <c r="C421" s="3" t="inlineStr">
        <is>
          <t>src/domain/assets/index.ts</t>
        </is>
      </c>
      <c r="D421" s="3" t="n">
        <v>264</v>
      </c>
      <c r="E421" s="3" t="inlineStr">
        <is>
          <t>3 · DEPENDENT</t>
        </is>
      </c>
      <c r="F421" s="3" t="inlineStr">
        <is>
          <t>Its answer feeds another function, and that chain ends at a screen.</t>
        </is>
      </c>
      <c r="G421" s="3" t="inlineStr">
        <is>
          <t>Yes</t>
        </is>
      </c>
      <c r="H421" s="3" t="inlineStr">
        <is>
          <t>MK-ST-F-055 round2</t>
        </is>
      </c>
      <c r="I421" s="3" t="n">
        <v>1</v>
      </c>
      <c r="J421" s="3" t="inlineStr">
        <is>
          <t>MK-ST-F-055 round2</t>
        </is>
      </c>
      <c r="K421" s="3" t="inlineStr">
        <is>
          <t>MK-ST-F-055 round2 → MK-NW-F-015 totalAssets</t>
        </is>
      </c>
      <c r="L421" s="3" t="inlineStr">
        <is>
          <t>—</t>
        </is>
      </c>
      <c r="M421" s="3" t="inlineStr">
        <is>
          <t>—</t>
        </is>
      </c>
    </row>
    <row r="422">
      <c r="A422" s="3" t="inlineStr">
        <is>
          <t>MK-CF-F-027</t>
        </is>
      </c>
      <c r="B422" s="3" t="inlineStr">
        <is>
          <t>totalDebtBalance</t>
        </is>
      </c>
      <c r="C422" s="3" t="inlineStr">
        <is>
          <t>src/domain/debt/index.ts</t>
        </is>
      </c>
      <c r="D422" s="3" t="n">
        <v>64</v>
      </c>
      <c r="E422" s="3" t="inlineStr">
        <is>
          <t>2 · DISPLAYED</t>
        </is>
      </c>
      <c r="F422" s="3" t="inlineStr">
        <is>
          <t>A screen calls it directly, so its answer is on a screen.</t>
        </is>
      </c>
      <c r="G422" s="3" t="inlineStr">
        <is>
          <t>Yes</t>
        </is>
      </c>
      <c r="H422" s="3" t="inlineStr">
        <is>
          <t>MK-ST-F-055 round2</t>
        </is>
      </c>
      <c r="I422" s="3" t="n">
        <v>1</v>
      </c>
      <c r="J422" s="3" t="inlineStr">
        <is>
          <t>MK-ST-F-055 round2</t>
        </is>
      </c>
      <c r="K422" s="3" t="inlineStr">
        <is>
          <t>MK-ST-F-055 round2 → MK-CF-F-027 totalDebtBalance</t>
        </is>
      </c>
      <c r="L422" s="3" t="inlineStr">
        <is>
          <t>—</t>
        </is>
      </c>
      <c r="M422" s="3" t="inlineStr">
        <is>
          <t>—</t>
        </is>
      </c>
    </row>
    <row r="423">
      <c r="A423" s="3" t="inlineStr">
        <is>
          <t>MK-CF-F-024</t>
        </is>
      </c>
      <c r="B423" s="3" t="inlineStr">
        <is>
          <t>totalDebtMonthly</t>
        </is>
      </c>
      <c r="C423" s="3" t="inlineStr">
        <is>
          <t>src/domain/debt/index.ts</t>
        </is>
      </c>
      <c r="D423" s="3" t="n">
        <v>49</v>
      </c>
      <c r="E423" s="3" t="inlineStr">
        <is>
          <t>2 · DISPLAYED</t>
        </is>
      </c>
      <c r="F423" s="3" t="inlineStr">
        <is>
          <t>A screen calls it directly, so its answer is on a screen.</t>
        </is>
      </c>
      <c r="G423" s="3" t="inlineStr">
        <is>
          <t>Yes</t>
        </is>
      </c>
      <c r="H423" s="3" t="inlineStr">
        <is>
          <t>MK-CF-F-023 requiredPayment</t>
        </is>
      </c>
      <c r="I423" s="3" t="n">
        <v>3</v>
      </c>
      <c r="J423" s="3" t="inlineStr">
        <is>
          <t>MK-CF-F-023 requiredPayment · MK-CF-F-022 paymentShape · MK-CF-F-021 defaultPaymentType</t>
        </is>
      </c>
      <c r="K423" s="3" t="inlineStr">
        <is>
          <t>MK-CF-F-021 defaultPaymentType → MK-CF-F-022 paymentShape → MK-CF-F-023 requiredPayment → MK-CF-F-024 totalDebtMonthly</t>
        </is>
      </c>
      <c r="L423" s="3" t="inlineStr">
        <is>
          <t>—</t>
        </is>
      </c>
      <c r="M423" s="3" t="inlineStr">
        <is>
          <t>DEBT_ACTUAL_TOTAL</t>
        </is>
      </c>
    </row>
    <row r="424">
      <c r="A424" s="3" t="inlineStr">
        <is>
          <t>MK-CF-F-083</t>
        </is>
      </c>
      <c r="B424" s="3" t="inlineStr">
        <is>
          <t>totalGrossAnnual</t>
        </is>
      </c>
      <c r="C424" s="3" t="inlineStr">
        <is>
          <t>src/domain/income/onboarding.ts</t>
        </is>
      </c>
      <c r="D424" s="3" t="n">
        <v>337</v>
      </c>
      <c r="E424" s="3" t="inlineStr">
        <is>
          <t>2 · DISPLAYED</t>
        </is>
      </c>
      <c r="F424" s="3" t="inlineStr">
        <is>
          <t>A screen calls it directly, so its answer is on a screen.</t>
        </is>
      </c>
      <c r="G424" s="3" t="inlineStr">
        <is>
          <t>Yes</t>
        </is>
      </c>
      <c r="H424" s="3" t="inlineStr">
        <is>
          <t>MK-CF-F-072 currentRetirementIncomeMonthly · MK-CF-F-071 extraIncome · MK-CF-F-068 rentalNetAnnual · MK-CF-F-066 rsuAnnual · MK-CF-F-082 salaryAnnual · MK-CF-F-074 tipsAnnual · MK-ST-F-052 toNum</t>
        </is>
      </c>
      <c r="I424" s="3" t="n">
        <v>19</v>
      </c>
      <c r="J424" s="3" t="inlineStr">
        <is>
          <t>MK-CF-F-072 currentRetirementIncomeMonthly · MK-CF-F-071 extraIncome · MK-CF-F-068 rentalNetAnnual · MK-CF-F-066 rsuAnnual · MK-CF-F-082 salaryAnnual · MK-CF-F-074 tipsAnnual · MK-ST-F-052 toNum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K424" s="3" t="inlineStr">
        <is>
          <t>MK-ST-F-052 toNum → MK-CF-F-075 retirementIncomeMonthly → MK-CF-F-072 currentRetirementIncomeMonthly → MK-CF-F-083 totalGrossAnnual
MK-CF-F-069 benefitActiveMonths → MK-CF-F-070 benefitAnnual → MK-CF-F-071 extraIncome → MK-CF-F-083 totalGrossAnnual
MK-ST-F-052 toNum → MK-CF-F-070 benefitAnnual → MK-CF-F-071 extraIncome → MK-CF-F-083 totalGrossAnnual
MK-ST-F-055 round2 → MK-CF-F-071 extraIncome → MK-CF-F-083 totalGrossAnnual
MK-ST-F-052 toNum → MK-CF-F-071 extraIncome → MK-CF-F-083 totalGrossAnnual
MK-ST-F-052 toNum → MK-CF-F-067 rentalList → MK-CF-F-068 rentalNetAnnual → MK-CF-F-083 totalGrossAnnual
MK-ST-F-052 toNum → MK-CF-F-062 equityRowValue → MK-CF-F-066 rsuAnnual → MK-CF-F-083 totalGrossAnnual
MK-CF-F-063 rowVestYear → MK-CF-F-066 rsuAnnual → MK-CF-F-083 totalGrossAnnual
… and 9 more paths</t>
        </is>
      </c>
      <c r="L424" s="3" t="inlineStr">
        <is>
          <t>MK-CF-M-006 · MK-CF-M-007 · MK-CF-M-008 · MK-CF-M-027 · MK-MN-M-011 · MK-MN-M-012 · MK-MN-M-013</t>
        </is>
      </c>
      <c r="M424" s="3" t="inlineStr">
        <is>
          <t>TOTAL_INCOME</t>
        </is>
      </c>
    </row>
    <row r="425">
      <c r="A425" s="3" t="inlineStr">
        <is>
          <t>MK-ST-F-016</t>
        </is>
      </c>
      <c r="B425" s="3" t="inlineStr">
        <is>
          <t>totalOf</t>
        </is>
      </c>
      <c r="C425" s="3" t="inlineStr">
        <is>
          <t>Calculation Module code/engines/ledger.ts</t>
        </is>
      </c>
      <c r="D425" s="3" t="n">
        <v>232</v>
      </c>
      <c r="E425" s="3" t="inlineStr">
        <is>
          <t>3 · DEPENDENT (feeds an action only)</t>
        </is>
      </c>
      <c r="F425" s="3" t="inlineStr">
        <is>
          <t>Its answer feeds another function, but no chain from it reaches a screen.</t>
        </is>
      </c>
      <c r="G425" s="3" t="inlineStr">
        <is>
          <t>No</t>
        </is>
      </c>
      <c r="H425" s="3" t="inlineStr">
        <is>
          <t>MK-ST-F-015 rowsFor</t>
        </is>
      </c>
      <c r="I425" s="3" t="n">
        <v>1</v>
      </c>
      <c r="J425" s="3" t="inlineStr">
        <is>
          <t>MK-ST-F-015 rowsFor</t>
        </is>
      </c>
      <c r="K425" s="3" t="inlineStr">
        <is>
          <t>MK-ST-F-015 rowsFor → MK-ST-F-016 totalOf</t>
        </is>
      </c>
      <c r="L425" s="3" t="inlineStr">
        <is>
          <t>—</t>
        </is>
      </c>
      <c r="M425" s="3" t="inlineStr">
        <is>
          <t>—</t>
        </is>
      </c>
    </row>
    <row r="426">
      <c r="A426" s="3" t="inlineStr">
        <is>
          <t>MK-PF-F-007</t>
        </is>
      </c>
      <c r="B426" s="3" t="inlineStr">
        <is>
          <t>totalROI</t>
        </is>
      </c>
      <c r="C426" s="3" t="inlineStr">
        <is>
          <t>src/domain/performance/index.ts</t>
        </is>
      </c>
      <c r="D426" s="3" t="n">
        <v>89</v>
      </c>
      <c r="E426" s="3" t="inlineStr">
        <is>
          <t>3 · DEPENDENT</t>
        </is>
      </c>
      <c r="F426" s="3" t="inlineStr">
        <is>
          <t>Its answer feeds another function, and that chain ends at a screen.</t>
        </is>
      </c>
      <c r="G426" s="3" t="inlineStr">
        <is>
          <t>Yes</t>
        </is>
      </c>
      <c r="H426" s="3" t="inlineStr">
        <is>
          <t>MK-PF-F-002 costBasis · MK-PF-F-005 unrealizedGain</t>
        </is>
      </c>
      <c r="I426" s="3" t="n">
        <v>5</v>
      </c>
      <c r="J426" s="3" t="inlineStr">
        <is>
          <t>MK-PF-F-002 costBasis · MK-PF-F-005 unrealizedGain · MK-ST-F-055 round2 · MK-PF-F-004 marketValue · MK-PF-F-001 totalShares</t>
        </is>
      </c>
      <c r="K426" s="3" t="inlineStr">
        <is>
          <t>MK-ST-F-055 round2 → MK-PF-F-002 costBasis → MK-PF-F-007 totalROI
MK-ST-F-055 round2 → MK-PF-F-002 costBasis → MK-PF-F-005 unrealizedGain → MK-PF-F-007 totalROI
MK-ST-F-055 round2 → MK-PF-F-004 marketValue → MK-PF-F-005 unrealizedGain → MK-PF-F-007 totalROI
MK-PF-F-001 totalShares → MK-PF-F-004 marketValue → MK-PF-F-005 unrealizedGain → MK-PF-F-007 totalROI
MK-ST-F-055 round2 → MK-PF-F-005 unrealizedGain → MK-PF-F-007 totalROI</t>
        </is>
      </c>
      <c r="L426" s="3" t="inlineStr">
        <is>
          <t>—</t>
        </is>
      </c>
      <c r="M426" s="3" t="inlineStr">
        <is>
          <t>HOLDING_TOTAL_ROI</t>
        </is>
      </c>
    </row>
    <row r="427">
      <c r="A427" s="3" t="inlineStr">
        <is>
          <t>MK-PF-F-001</t>
        </is>
      </c>
      <c r="B427" s="3" t="inlineStr">
        <is>
          <t>totalShares</t>
        </is>
      </c>
      <c r="C427" s="3" t="inlineStr">
        <is>
          <t>src/domain/performance/index.ts</t>
        </is>
      </c>
      <c r="D427" s="3" t="n">
        <v>37</v>
      </c>
      <c r="E427" s="3" t="inlineStr">
        <is>
          <t>2 · DISPLAYED</t>
        </is>
      </c>
      <c r="F427" s="3" t="inlineStr">
        <is>
          <t>A screen calls it directly, so its answer is on a screen.</t>
        </is>
      </c>
      <c r="G427" s="3" t="inlineStr">
        <is>
          <t>Yes</t>
        </is>
      </c>
      <c r="H427" s="3" t="inlineStr">
        <is>
          <t>—</t>
        </is>
      </c>
      <c r="I427" s="3" t="n">
        <v>0</v>
      </c>
      <c r="J427" s="3" t="inlineStr">
        <is>
          <t>None — no dependent function stands behind it</t>
        </is>
      </c>
      <c r="K427" s="3" t="inlineStr">
        <is>
          <t>No dependent function — it reads its inputs and answers</t>
        </is>
      </c>
      <c r="L427" s="3" t="inlineStr">
        <is>
          <t>MK-NW-M-031</t>
        </is>
      </c>
      <c r="M427" s="3" t="inlineStr">
        <is>
          <t>HOLDING_SHARES</t>
        </is>
      </c>
    </row>
    <row r="428">
      <c r="A428" s="3" t="inlineStr">
        <is>
          <t>MK-ST-F-008</t>
        </is>
      </c>
      <c r="B428" s="3" t="inlineStr">
        <is>
          <t>touches</t>
        </is>
      </c>
      <c r="C428" s="3" t="inlineStr">
        <is>
          <t>Calculation Module code/engines/events.ts</t>
        </is>
      </c>
      <c r="D428" s="3" t="n">
        <v>190</v>
      </c>
      <c r="E428" s="3" t="inlineStr">
        <is>
          <t>3 · DEPENDENT (feeds an action only)</t>
        </is>
      </c>
      <c r="F428" s="3" t="inlineStr">
        <is>
          <t>Its answer feeds another function, but no chain from it reaches a screen.</t>
        </is>
      </c>
      <c r="G428" s="3" t="inlineStr">
        <is>
          <t>No</t>
        </is>
      </c>
      <c r="H428" s="3" t="inlineStr">
        <is>
          <t>—</t>
        </is>
      </c>
      <c r="I428" s="3" t="n">
        <v>0</v>
      </c>
      <c r="J428" s="3" t="inlineStr">
        <is>
          <t>None — no dependent function stands behind it</t>
        </is>
      </c>
      <c r="K428" s="3" t="inlineStr">
        <is>
          <t>No dependent function — it reads its inputs and answers</t>
        </is>
      </c>
      <c r="L428" s="3" t="inlineStr">
        <is>
          <t>—</t>
        </is>
      </c>
      <c r="M428" s="3" t="inlineStr">
        <is>
          <t>—</t>
        </is>
      </c>
    </row>
    <row r="429">
      <c r="A429" s="3" t="inlineStr">
        <is>
          <t>MK-XS-F-005</t>
        </is>
      </c>
      <c r="B429" s="3" t="inlineStr">
        <is>
          <t>trendPoints</t>
        </is>
      </c>
      <c r="C429" s="3" t="inlineStr">
        <is>
          <t>src/domain/history.ts</t>
        </is>
      </c>
      <c r="D429" s="3" t="n">
        <v>43</v>
      </c>
      <c r="E429" s="3" t="inlineStr">
        <is>
          <t>2 · DISPLAYED</t>
        </is>
      </c>
      <c r="F429" s="3" t="inlineStr">
        <is>
          <t>A screen calls it directly, so its answer is on a screen.</t>
        </is>
      </c>
      <c r="G429" s="3" t="inlineStr">
        <is>
          <t>Yes</t>
        </is>
      </c>
      <c r="H429" s="3" t="inlineStr">
        <is>
          <t>MK-XS-F-009 readHistory · MK-ST-F-055 round2</t>
        </is>
      </c>
      <c r="I429" s="3" t="n">
        <v>3</v>
      </c>
      <c r="J429" s="3" t="inlineStr">
        <is>
          <t>MK-XS-F-009 readHistory · MK-ST-F-055 round2 · MK-XS-F-008 normalizeSnapshot</t>
        </is>
      </c>
      <c r="K429" s="3" t="inlineStr">
        <is>
          <t>MK-ST-F-055 round2 → MK-XS-F-008 normalizeSnapshot → MK-XS-F-009 readHistory → MK-XS-F-005 trendPoints
MK-ST-F-055 round2 → MK-XS-F-005 trendPoints</t>
        </is>
      </c>
      <c r="L429" s="3" t="inlineStr">
        <is>
          <t>MK-NW-M-001 · MK-NW-M-003</t>
        </is>
      </c>
      <c r="M429" s="3" t="inlineStr">
        <is>
          <t>TREND_SERIES</t>
        </is>
      </c>
    </row>
    <row r="430">
      <c r="A430" s="3" t="inlineStr">
        <is>
          <t>MK-PL-F-037</t>
        </is>
      </c>
      <c r="B430" s="3" t="inlineStr">
        <is>
          <t>trimHints</t>
        </is>
      </c>
      <c r="C430" s="3" t="inlineStr">
        <is>
          <t>src/domain/planning/multiGoal.ts</t>
        </is>
      </c>
      <c r="D430" s="3" t="n">
        <v>103</v>
      </c>
      <c r="E430" s="3" t="inlineStr">
        <is>
          <t>2 · DISPLAYED</t>
        </is>
      </c>
      <c r="F430" s="3" t="inlineStr">
        <is>
          <t>A screen calls it directly, so its answer is on a screen.</t>
        </is>
      </c>
      <c r="G430" s="3" t="inlineStr">
        <is>
          <t>Yes</t>
        </is>
      </c>
      <c r="H430" s="3" t="inlineStr">
        <is>
          <t>MK-PL-F-036 weighGoals</t>
        </is>
      </c>
      <c r="I430" s="3" t="n">
        <v>11</v>
      </c>
      <c r="J430" s="3" t="inlineStr">
        <is>
          <t>MK-PL-F-036 weighGoals · MK-PL-F-021 monthsToGoal · MK-CF-F-034 payoffPlan · MK-PL-F-035 retireAgeWithContribution · MK-ST-F-055 round2 · MK-PL-F-050 simulate · MK-CF-F-022 paymentShape · MK-PL-F-055 projectNestEgg · MK-ST-F-025 rmdStartAgeFromAge · MK-CF-F-021 defaultPaymentType · MK-ST-F-024 rmdStartAge</t>
        </is>
      </c>
      <c r="K430" s="3" t="inlineStr">
        <is>
          <t>MK-PL-F-021 monthsToGoal → MK-PL-F-036 weighGoals → MK-PL-F-037 trimHints
MK-CF-F-021 defaultPaymentType → MK-CF-F-022 paymentShape → MK-CF-F-034 payoffPlan → MK-PL-F-036 weighGoals → MK-PL-F-037 trimHints
MK-ST-F-055 round2 → MK-CF-F-034 payoffPlan → MK-PL-F-036 weighGoals → MK-PL-F-037 trimHints
MK-ST-F-055 round2 → MK-PL-F-055 projectNestEgg → MK-PL-F-035 retireAgeWithContribution → MK-PL-F-036 weighGoals → MK-PL-F-037 trimHints
MK-ST-F-025 rmdStartAgeFromAge → MK-PL-F-050 simulate → MK-PL-F-055 projectNestEgg → MK-PL-F-035 retireAgeWithContribution → MK-PL-F-036 weighGoals → MK-PL-F-037 trimHints
MK-ST-F-055 round2 → MK-PL-F-050 simulate → MK-PL-F-055 projectNestEgg → MK-PL-F-035 retireAgeWithContribution → MK-PL-F-036 weighGoals → MK-PL-F-037 trimHints
MK-ST-F-055 round2 → MK-PL-F-036 weighGoals → MK-PL-F-037 trimHints
MK-ST-F-024 rmdStartAge → MK-ST-F-025 rmdStartAgeFromAge → MK-PL-F-050 simulate → MK-PL-F-036 weighGoals → MK-PL-F-037 trimHints
… and 1 more paths</t>
        </is>
      </c>
      <c r="L430" s="3" t="inlineStr">
        <is>
          <t>—</t>
        </is>
      </c>
      <c r="M430" s="3" t="inlineStr">
        <is>
          <t>—</t>
        </is>
      </c>
    </row>
    <row r="431">
      <c r="A431" s="3" t="inlineStr">
        <is>
          <t>MK-CF-F-117</t>
        </is>
      </c>
      <c r="B431" s="3" t="inlineStr">
        <is>
          <t>txnLabel</t>
        </is>
      </c>
      <c r="C431" s="3" t="inlineStr">
        <is>
          <t>src/domain/transactions/index.ts</t>
        </is>
      </c>
      <c r="D431" s="3" t="n">
        <v>224</v>
      </c>
      <c r="E431" s="3" t="inlineStr">
        <is>
          <t>2 · DISPLAYED</t>
        </is>
      </c>
      <c r="F431" s="3" t="inlineStr">
        <is>
          <t>A screen calls it directly, so its answer is on a screen.</t>
        </is>
      </c>
      <c r="G431" s="3" t="inlineStr">
        <is>
          <t>Yes</t>
        </is>
      </c>
      <c r="H431" s="3" t="inlineStr">
        <is>
          <t>—</t>
        </is>
      </c>
      <c r="I431" s="3" t="n">
        <v>0</v>
      </c>
      <c r="J431" s="3" t="inlineStr">
        <is>
          <t>None — no dependent function stands behind it</t>
        </is>
      </c>
      <c r="K431" s="3" t="inlineStr">
        <is>
          <t>No dependent function — it reads its inputs and answers</t>
        </is>
      </c>
      <c r="L431" s="3" t="inlineStr">
        <is>
          <t>—</t>
        </is>
      </c>
      <c r="M431" s="3" t="inlineStr">
        <is>
          <t>LEDGER_ROW_NAME</t>
        </is>
      </c>
    </row>
    <row r="432">
      <c r="A432" s="3" t="inlineStr">
        <is>
          <t>MK-NW-F-047</t>
        </is>
      </c>
      <c r="B432" s="3" t="inlineStr">
        <is>
          <t>uberGroupOf</t>
        </is>
      </c>
      <c r="C432" s="3" t="inlineStr">
        <is>
          <t>src/domain/assets/index.ts</t>
        </is>
      </c>
      <c r="D432" s="3" t="n">
        <v>776</v>
      </c>
      <c r="E432" s="3" t="inlineStr">
        <is>
          <t>1 · ACTION</t>
        </is>
      </c>
      <c r="F432" s="3" t="inlineStr">
        <is>
          <t>Produces nothing that is displayed — it does something: saves, syncs or records.</t>
        </is>
      </c>
      <c r="G432" s="3" t="inlineStr">
        <is>
          <t>Yes</t>
        </is>
      </c>
      <c r="H432" s="3" t="inlineStr">
        <is>
          <t>—</t>
        </is>
      </c>
      <c r="I432" s="3" t="n">
        <v>0</v>
      </c>
      <c r="J432" s="3" t="inlineStr">
        <is>
          <t>None — no dependent function stands behind it</t>
        </is>
      </c>
      <c r="K432" s="3" t="inlineStr">
        <is>
          <t>No dependent function — it reads its inputs and answers</t>
        </is>
      </c>
      <c r="L432" s="3" t="inlineStr">
        <is>
          <t>—</t>
        </is>
      </c>
      <c r="M432" s="3" t="inlineStr">
        <is>
          <t>—</t>
        </is>
      </c>
    </row>
    <row r="433">
      <c r="A433" s="3" t="inlineStr">
        <is>
          <t>MK-NW-F-048</t>
        </is>
      </c>
      <c r="B433" s="3" t="inlineStr">
        <is>
          <t>uberGroupRows</t>
        </is>
      </c>
      <c r="C433" s="3" t="inlineStr">
        <is>
          <t>src/domain/assets/index.ts</t>
        </is>
      </c>
      <c r="D433" s="3" t="n">
        <v>779</v>
      </c>
      <c r="E433" s="3" t="inlineStr">
        <is>
          <t>2 · DISPLAYED</t>
        </is>
      </c>
      <c r="F433" s="3" t="inlineStr">
        <is>
          <t>A screen calls it directly, so its answer is on a screen.</t>
        </is>
      </c>
      <c r="G433" s="3" t="inlineStr">
        <is>
          <t>Yes</t>
        </is>
      </c>
      <c r="H433" s="3" t="inlineStr">
        <is>
          <t>MK-ST-F-055 round2 · MK-NW-F-047 uberGroupOf</t>
        </is>
      </c>
      <c r="I433" s="3" t="n">
        <v>2</v>
      </c>
      <c r="J433" s="3" t="inlineStr">
        <is>
          <t>MK-ST-F-055 round2 · MK-NW-F-047 uberGroupOf</t>
        </is>
      </c>
      <c r="K433" s="3" t="inlineStr">
        <is>
          <t>MK-ST-F-055 round2 → MK-NW-F-048 uberGroupRows
MK-NW-F-047 uberGroupOf → MK-NW-F-048 uberGroupRows</t>
        </is>
      </c>
      <c r="L433" s="3" t="inlineStr">
        <is>
          <t>—</t>
        </is>
      </c>
      <c r="M433" s="3" t="inlineStr">
        <is>
          <t>NET_WORTH_GROUPING</t>
        </is>
      </c>
    </row>
    <row r="434">
      <c r="A434" s="3" t="inlineStr">
        <is>
          <t>MK-ST-F-017</t>
        </is>
      </c>
      <c r="B434" s="3" t="inlineStr">
        <is>
          <t>unclassified</t>
        </is>
      </c>
      <c r="C434" s="3" t="inlineStr">
        <is>
          <t>Calculation Module code/engines/ledger.ts</t>
        </is>
      </c>
      <c r="D434" s="3" t="n">
        <v>237</v>
      </c>
      <c r="E434" s="3" t="inlineStr">
        <is>
          <t>3 · DEPENDENT (feeds an action only)</t>
        </is>
      </c>
      <c r="F434" s="3" t="inlineStr">
        <is>
          <t>Its answer feeds another function, but no chain from it reaches a screen.</t>
        </is>
      </c>
      <c r="G434" s="3" t="inlineStr">
        <is>
          <t>No</t>
        </is>
      </c>
      <c r="H434" s="3" t="inlineStr">
        <is>
          <t>—</t>
        </is>
      </c>
      <c r="I434" s="3" t="n">
        <v>0</v>
      </c>
      <c r="J434" s="3" t="inlineStr">
        <is>
          <t>None — no dependent function stands behind it</t>
        </is>
      </c>
      <c r="K434" s="3" t="inlineStr">
        <is>
          <t>No dependent function — it reads its inputs and answers</t>
        </is>
      </c>
      <c r="L434" s="3" t="inlineStr">
        <is>
          <t>—</t>
        </is>
      </c>
      <c r="M434" s="3" t="inlineStr">
        <is>
          <t>—</t>
        </is>
      </c>
    </row>
    <row r="435">
      <c r="A435" s="3" t="inlineStr">
        <is>
          <t>MK-CF-F-114</t>
        </is>
      </c>
      <c r="B435" s="3" t="inlineStr">
        <is>
          <t>undoSnapshot</t>
        </is>
      </c>
      <c r="C435" s="3" t="inlineStr">
        <is>
          <t>src/domain/transactions/index.ts</t>
        </is>
      </c>
      <c r="D435" s="3" t="n">
        <v>185</v>
      </c>
      <c r="E435" s="3" t="inlineStr">
        <is>
          <t>3 · DEPENDENT (feeds an action only)</t>
        </is>
      </c>
      <c r="F435" s="3" t="inlineStr">
        <is>
          <t>Its answer feeds another function, but no chain from it reaches a screen.</t>
        </is>
      </c>
      <c r="G435" s="3" t="inlineStr">
        <is>
          <t>No</t>
        </is>
      </c>
      <c r="H435" s="3" t="inlineStr">
        <is>
          <t>MK-CF-F-113 affectedAccountIds</t>
        </is>
      </c>
      <c r="I435" s="3" t="n">
        <v>1</v>
      </c>
      <c r="J435" s="3" t="inlineStr">
        <is>
          <t>MK-CF-F-113 affectedAccountIds</t>
        </is>
      </c>
      <c r="K435" s="3" t="inlineStr">
        <is>
          <t>MK-CF-F-113 affectedAccountIds → MK-CF-F-114 undoSnapshot</t>
        </is>
      </c>
      <c r="L435" s="3" t="inlineStr">
        <is>
          <t>—</t>
        </is>
      </c>
      <c r="M435" s="3" t="inlineStr">
        <is>
          <t>—</t>
        </is>
      </c>
    </row>
    <row r="436">
      <c r="A436" s="3" t="inlineStr">
        <is>
          <t>MK-ST-F-032</t>
        </is>
      </c>
      <c r="B436" s="3" t="inlineStr">
        <is>
          <t>unitsOn</t>
        </is>
      </c>
      <c r="C436" s="3" t="inlineStr">
        <is>
          <t>Calculation Module code/engines/snapshots.ts</t>
        </is>
      </c>
      <c r="D436" s="3" t="n">
        <v>177</v>
      </c>
      <c r="E436" s="3" t="inlineStr">
        <is>
          <t>3 · DEPENDENT (feeds an action only)</t>
        </is>
      </c>
      <c r="F436" s="3" t="inlineStr">
        <is>
          <t>Its answer feeds another function, but no chain from it reaches a screen.</t>
        </is>
      </c>
      <c r="G436" s="3" t="inlineStr">
        <is>
          <t>No</t>
        </is>
      </c>
      <c r="H436" s="3" t="inlineStr">
        <is>
          <t>MK-ST-F-033 onOrBefore</t>
        </is>
      </c>
      <c r="I436" s="3" t="n">
        <v>1</v>
      </c>
      <c r="J436" s="3" t="inlineStr">
        <is>
          <t>MK-ST-F-033 onOrBefore</t>
        </is>
      </c>
      <c r="K436" s="3" t="inlineStr">
        <is>
          <t>MK-ST-F-033 onOrBefore → MK-ST-F-032 unitsOn</t>
        </is>
      </c>
      <c r="L436" s="3" t="inlineStr">
        <is>
          <t>—</t>
        </is>
      </c>
      <c r="M436" s="3" t="inlineStr">
        <is>
          <t>—</t>
        </is>
      </c>
    </row>
    <row r="437">
      <c r="A437" s="3" t="inlineStr">
        <is>
          <t>MK-PF-F-005</t>
        </is>
      </c>
      <c r="B437" s="3" t="inlineStr">
        <is>
          <t>unrealizedGain</t>
        </is>
      </c>
      <c r="C437" s="3" t="inlineStr">
        <is>
          <t>src/domain/performance/index.ts</t>
        </is>
      </c>
      <c r="D437" s="3" t="n">
        <v>51</v>
      </c>
      <c r="E437" s="3" t="inlineStr">
        <is>
          <t>3 · DEPENDENT</t>
        </is>
      </c>
      <c r="F437" s="3" t="inlineStr">
        <is>
          <t>Its answer feeds another function, and that chain ends at a screen.</t>
        </is>
      </c>
      <c r="G437" s="3" t="inlineStr">
        <is>
          <t>Yes</t>
        </is>
      </c>
      <c r="H437" s="3" t="inlineStr">
        <is>
          <t>MK-PF-F-002 costBasis · MK-PF-F-004 marketValue · MK-ST-F-055 round2</t>
        </is>
      </c>
      <c r="I437" s="3" t="n">
        <v>4</v>
      </c>
      <c r="J437" s="3" t="inlineStr">
        <is>
          <t>MK-PF-F-002 costBasis · MK-PF-F-004 marketValue · MK-ST-F-055 round2 · MK-PF-F-001 totalShares</t>
        </is>
      </c>
      <c r="K437" s="3" t="inlineStr">
        <is>
          <t>MK-ST-F-055 round2 → MK-PF-F-002 costBasis → MK-PF-F-005 unrealizedGain
MK-ST-F-055 round2 → MK-PF-F-004 marketValue → MK-PF-F-005 unrealizedGain
MK-PF-F-001 totalShares → MK-PF-F-004 marketValue → MK-PF-F-005 unrealizedGain
MK-ST-F-055 round2 → MK-PF-F-005 unrealizedGain</t>
        </is>
      </c>
      <c r="L437" s="3" t="inlineStr">
        <is>
          <t>—</t>
        </is>
      </c>
      <c r="M437" s="3" t="inlineStr">
        <is>
          <t>HOLDING_UNREALISED_GAIN</t>
        </is>
      </c>
    </row>
    <row r="438">
      <c r="A438" s="3" t="inlineStr">
        <is>
          <t>MK-XS-F-047</t>
        </is>
      </c>
      <c r="B438" s="3" t="inlineStr">
        <is>
          <t>unwrapWithPassword</t>
        </is>
      </c>
      <c r="C438" s="3" t="inlineStr">
        <is>
          <t>src/services/dataCrypto.ts</t>
        </is>
      </c>
      <c r="D438" s="3" t="n">
        <v>86</v>
      </c>
      <c r="E438" s="3" t="inlineStr">
        <is>
          <t>3 · DEPENDENT</t>
        </is>
      </c>
      <c r="F438" s="3" t="inlineStr">
        <is>
          <t>Its answer feeds another function, and that chain ends at a screen.</t>
        </is>
      </c>
      <c r="G438" s="3" t="inlineStr">
        <is>
          <t>Yes</t>
        </is>
      </c>
      <c r="H438" s="3" t="inlineStr">
        <is>
          <t>MK-XS-F-053 decryptWithKey</t>
        </is>
      </c>
      <c r="I438" s="3" t="n">
        <v>2</v>
      </c>
      <c r="J438" s="3" t="inlineStr">
        <is>
          <t>MK-XS-F-053 decryptWithKey · MK-XS-F-051 isEncrypted</t>
        </is>
      </c>
      <c r="K438" s="3" t="inlineStr">
        <is>
          <t>MK-XS-F-051 isEncrypted → MK-XS-F-053 decryptWithKey → MK-XS-F-047 unwrapWithPassword</t>
        </is>
      </c>
      <c r="L438" s="3" t="inlineStr">
        <is>
          <t>—</t>
        </is>
      </c>
      <c r="M438" s="3" t="inlineStr">
        <is>
          <t>—</t>
        </is>
      </c>
    </row>
    <row r="439">
      <c r="A439" s="3" t="inlineStr">
        <is>
          <t>MK-XS-F-048</t>
        </is>
      </c>
      <c r="B439" s="3" t="inlineStr">
        <is>
          <t>unwrapWithRecovery</t>
        </is>
      </c>
      <c r="C439" s="3" t="inlineStr">
        <is>
          <t>src/services/dataCrypto.ts</t>
        </is>
      </c>
      <c r="D439" s="3" t="n">
        <v>90</v>
      </c>
      <c r="E439" s="3" t="inlineStr">
        <is>
          <t>3 · DEPENDENT</t>
        </is>
      </c>
      <c r="F439" s="3" t="inlineStr">
        <is>
          <t>Its answer feeds another function, and that chain ends at a screen.</t>
        </is>
      </c>
      <c r="G439" s="3" t="inlineStr">
        <is>
          <t>Yes</t>
        </is>
      </c>
      <c r="H439" s="3" t="inlineStr">
        <is>
          <t>MK-XS-F-053 decryptWithKey</t>
        </is>
      </c>
      <c r="I439" s="3" t="n">
        <v>2</v>
      </c>
      <c r="J439" s="3" t="inlineStr">
        <is>
          <t>MK-XS-F-053 decryptWithKey · MK-XS-F-051 isEncrypted</t>
        </is>
      </c>
      <c r="K439" s="3" t="inlineStr">
        <is>
          <t>MK-XS-F-051 isEncrypted → MK-XS-F-053 decryptWithKey → MK-XS-F-048 unwrapWithRecovery</t>
        </is>
      </c>
      <c r="L439" s="3" t="inlineStr">
        <is>
          <t>—</t>
        </is>
      </c>
      <c r="M439" s="3" t="inlineStr">
        <is>
          <t>—</t>
        </is>
      </c>
    </row>
    <row r="440">
      <c r="A440" s="3" t="inlineStr">
        <is>
          <t>MK-CF-F-019</t>
        </is>
      </c>
      <c r="B440" s="3" t="inlineStr">
        <is>
          <t>upcomingBills</t>
        </is>
      </c>
      <c r="C440" s="3" t="inlineStr">
        <is>
          <t>src/domain/cashflow/index.ts</t>
        </is>
      </c>
      <c r="D440" s="3" t="n">
        <v>65</v>
      </c>
      <c r="E440" s="3" t="inlineStr">
        <is>
          <t>2 · DISPLAYED</t>
        </is>
      </c>
      <c r="F440" s="3" t="inlineStr">
        <is>
          <t>A screen calls it directly, so its answer is on a screen.</t>
        </is>
      </c>
      <c r="G440" s="3" t="inlineStr">
        <is>
          <t>Yes</t>
        </is>
      </c>
      <c r="H440" s="3" t="inlineStr">
        <is>
          <t>MK-CF-F-070 benefitAnnual · MK-CF-F-072 currentRetirementIncomeMonthly · MK-CF-F-090 effectiveRate · MK-CF-F-061 grossSalaryMonthly · MK-CF-F-068 rentalNetAnnual · MK-ST-F-055 round2 · MK-CF-F-004 spendBuckets · MK-CF-F-084 taxableAnnual · MK-ST-F-052 toNum · MK-CF-F-083 totalGrossAnnual</t>
        </is>
      </c>
      <c r="I440" s="3" t="n">
        <v>32</v>
      </c>
      <c r="J440" s="3" t="inlineStr">
        <is>
          <t>MK-CF-F-070 benefitAnnual · MK-CF-F-072 currentRetirementIncomeMonthly · MK-CF-F-090 effectiveRate · MK-CF-F-061 grossSalaryMonthly · MK-CF-F-068 rentalNetAnnual · MK-ST-F-055 round2 · MK-CF-F-004 spendBuckets · MK-CF-F-084 taxableAnnual · MK-ST-F-052 toNum · MK-CF-F-083 totalGrossAnnual · MK-CF-F-069 benefitActiveMonths · MK-CF-F-075 retirementIncomeMonthly · MK-CF-F-102 effectiveRateOnGrossFor · MK-CF-F-085 filingStatusOf · MK-CF-F-089 over65CountOf · MK-CF-F-086 stateRateOf · MK-CF-F-060 salaryGrossByMonth · MK-CF-F-067 rentalList · MK-CF-F-003 categoryMonthly · MK-CF-F-071 extraIncome · MK-CF-F-066 rsuAnnual · MK-CF-F-082 salaryAnnual · MK-CF-F-074 tipsAnnual · MK-CF-F-101 taxOwedFor · MK-CF-F-097 grossFromNet · MK-CF-F-062 equityRowValue · MK-CF-F-063 rowVestYear · MK-CF-F-081 salaryActiveMonths · MK-CF-F-100 taxableIncomeFor · MK-CF-F-095 taxOwed · MK-CF-F-099 deductionFor · MK-CF-F-093 taxableIncome</t>
        </is>
      </c>
      <c r="K440" s="3" t="inlineStr">
        <is>
          <t>MK-CF-F-069 benefitActiveMonths → MK-CF-F-070 benefitAnnual → MK-CF-F-019 upcomingBills
MK-ST-F-052 toNum → MK-CF-F-070 benefitAnnual → MK-CF-F-019 upcomingBills
MK-ST-F-052 toNum → MK-CF-F-075 retirementIncomeMonthly → MK-CF-F-072 currentRetirementIncomeMonthly → MK-CF-F-019 upcomingBills
MK-CF-F-099 deductionFor → MK-CF-F-100 taxableIncomeFor → MK-CF-F-101 taxOwedFor → MK-CF-F-102 effectiveRateOnGrossFor → MK-CF-F-090 effectiveRate → MK-CF-F-019 upcomingBills
MK-CF-F-085 filingStatusOf → MK-CF-F-090 effectiveRate → MK-CF-F-019 upcomingBills
MK-ST-F-052 toNum → MK-CF-F-089 over65CountOf → MK-CF-F-090 effectiveRate → MK-CF-F-019 upcomingBills
MK-ST-F-052 toNum → MK-CF-F-086 stateRateOf → MK-CF-F-090 effectiveRate → MK-CF-F-019 upcomingBills
MK-ST-F-052 toNum → MK-CF-F-075 retirementIncomeMonthly → MK-CF-F-072 currentRetirementIncomeMonthly → MK-CF-F-084 taxableAnnual → MK-CF-F-090 effectiveRate → MK-CF-F-019 upcomingBills
… and 58 more paths</t>
        </is>
      </c>
      <c r="L440" s="3" t="inlineStr">
        <is>
          <t>—</t>
        </is>
      </c>
      <c r="M440" s="3" t="inlineStr">
        <is>
          <t>—</t>
        </is>
      </c>
    </row>
    <row r="441">
      <c r="A441" s="3" t="inlineStr">
        <is>
          <t>MK-XS-F-114</t>
        </is>
      </c>
      <c r="B441" s="3" t="inlineStr">
        <is>
          <t>usdCash</t>
        </is>
      </c>
      <c r="C441" s="3" t="inlineStr">
        <is>
          <t>src/services/sync/snaptradeClient.ts</t>
        </is>
      </c>
      <c r="D441" s="3" t="n">
        <v>51</v>
      </c>
      <c r="E441" s="3" t="inlineStr">
        <is>
          <t>3 · DEPENDENT</t>
        </is>
      </c>
      <c r="F441" s="3" t="inlineStr">
        <is>
          <t>Its answer feeds another function, and that chain ends at a screen.</t>
        </is>
      </c>
      <c r="G441" s="3" t="inlineStr">
        <is>
          <t>Yes</t>
        </is>
      </c>
      <c r="H441" s="3" t="inlineStr">
        <is>
          <t>—</t>
        </is>
      </c>
      <c r="I441" s="3" t="n">
        <v>0</v>
      </c>
      <c r="J441" s="3" t="inlineStr">
        <is>
          <t>None — no dependent function stands behind it</t>
        </is>
      </c>
      <c r="K441" s="3" t="inlineStr">
        <is>
          <t>No dependent function — it reads its inputs and answers</t>
        </is>
      </c>
      <c r="L441" s="3" t="inlineStr">
        <is>
          <t>—</t>
        </is>
      </c>
      <c r="M441" s="3" t="inlineStr">
        <is>
          <t>—</t>
        </is>
      </c>
    </row>
    <row r="442">
      <c r="A442" s="3" t="inlineStr">
        <is>
          <t>MK-CF-F-091</t>
        </is>
      </c>
      <c r="B442" s="3" t="inlineStr">
        <is>
          <t>userCapGainsRates</t>
        </is>
      </c>
      <c r="C442" s="3" t="inlineStr">
        <is>
          <t>src/domain/income/onboarding.ts</t>
        </is>
      </c>
      <c r="D442" s="3" t="n">
        <v>420</v>
      </c>
      <c r="E442" s="3" t="inlineStr">
        <is>
          <t>3 · DEPENDENT (feeds an action only)</t>
        </is>
      </c>
      <c r="F442" s="3" t="inlineStr">
        <is>
          <t>Its answer feeds another function, but no chain from it reaches a screen.</t>
        </is>
      </c>
      <c r="G442" s="3" t="inlineStr">
        <is>
          <t>No</t>
        </is>
      </c>
      <c r="H442" s="3" t="inlineStr">
        <is>
          <t>MK-CF-F-085 filingStatusOf · MK-CF-F-104 ltcgRateFor · MK-CF-F-103 marginalBracketFor · MK-ST-F-039 on · MK-CF-F-089 over65CountOf · MK-CF-F-086 stateRateOf · MK-CF-F-083 totalGrossAnnual</t>
        </is>
      </c>
      <c r="I442" s="3" t="n">
        <v>28</v>
      </c>
      <c r="J442" s="3" t="inlineStr">
        <is>
          <t>MK-CF-F-085 filingStatusOf · MK-CF-F-104 ltcgRateFor · MK-CF-F-103 marginalBracketFor · MK-ST-F-039 on · MK-CF-F-089 over65CountOf · MK-CF-F-086 stateRateOf · MK-CF-F-083 totalGrossAnnual · MK-CF-F-100 taxableIncomeFor · MK-ST-F-052 toNum · MK-CF-F-072 currentRetirementIncomeMonthly · MK-CF-F-071 extraIncome · MK-CF-F-068 rentalNetAnnual · MK-CF-F-066 rsuAnnual · MK-CF-F-082 salaryAnnual · MK-CF-F-074 tipsAnnual · MK-CF-F-099 deductionFor · MK-CF-F-075 retirementIncomeMonthly · MK-CF-F-070 benefitAnnual · MK-ST-F-055 round2 · MK-CF-F-067 rentalList · MK-CF-F-062 equityRowValue · MK-CF-F-063 rowVestYear · MK-CF-F-060 salaryGrossByMonth · MK-CF-F-081 salaryActiveMonths · MK-CF-F-069 benefitActiveMonths · MK-CF-F-097 grossFromNet · MK-CF-F-095 taxOwed · MK-CF-F-093 taxableIncome</t>
        </is>
      </c>
      <c r="K442" s="3" t="inlineStr">
        <is>
          <t>MK-CF-F-085 filingStatusOf → MK-CF-F-091 userCapGainsRates
MK-CF-F-099 deductionFor → MK-CF-F-100 taxableIncomeFor → MK-CF-F-104 ltcgRateFor → MK-CF-F-091 userCapGainsRates
MK-CF-F-099 deductionFor → MK-CF-F-100 taxableIncomeFor → MK-CF-F-103 marginalBracketFor → MK-CF-F-091 userCapGainsRates
MK-ST-F-039 on → MK-CF-F-091 userCapGainsRates
MK-ST-F-052 toNum → MK-CF-F-089 over65CountOf → MK-CF-F-091 userCapGainsRates
MK-ST-F-052 toNum → MK-CF-F-086 stateRateOf → MK-CF-F-091 userCapGainsRates
MK-ST-F-052 toNum → MK-CF-F-075 retirementIncomeMonthly → MK-CF-F-072 currentRetirementIncomeMonthly → MK-CF-F-083 totalGrossAnnual → MK-CF-F-091 userCapGainsRates
MK-CF-F-069 benefitActiveMonths → MK-CF-F-070 benefitAnnual → MK-CF-F-071 extraIncome → MK-CF-F-083 totalGrossAnnual → MK-CF-F-091 userCapGainsRates
… and 15 more paths</t>
        </is>
      </c>
      <c r="L442" s="3" t="inlineStr">
        <is>
          <t>—</t>
        </is>
      </c>
      <c r="M442" s="3" t="inlineStr">
        <is>
          <t>—</t>
        </is>
      </c>
    </row>
    <row r="443">
      <c r="A443" s="3" t="inlineStr">
        <is>
          <t>MK-PF-F-024</t>
        </is>
      </c>
      <c r="B443" s="3" t="inlineStr">
        <is>
          <t>userFlows</t>
        </is>
      </c>
      <c r="C443" s="3" t="inlineStr">
        <is>
          <t>src/domain/performance/moneyWeighted.ts</t>
        </is>
      </c>
      <c r="D443" s="3" t="n">
        <v>27</v>
      </c>
      <c r="E443" s="3" t="inlineStr">
        <is>
          <t>3 · DEPENDENT</t>
        </is>
      </c>
      <c r="F443" s="3" t="inlineStr">
        <is>
          <t>Its answer feeds another function, and that chain ends at a screen.</t>
        </is>
      </c>
      <c r="G443" s="3" t="inlineStr">
        <is>
          <t>Yes</t>
        </is>
      </c>
      <c r="H443" s="3" t="inlineStr">
        <is>
          <t>—</t>
        </is>
      </c>
      <c r="I443" s="3" t="n">
        <v>0</v>
      </c>
      <c r="J443" s="3" t="inlineStr">
        <is>
          <t>None — no dependent function stands behind it</t>
        </is>
      </c>
      <c r="K443" s="3" t="inlineStr">
        <is>
          <t>No dependent function — it reads its inputs and answers</t>
        </is>
      </c>
      <c r="L443" s="3" t="inlineStr">
        <is>
          <t>—</t>
        </is>
      </c>
      <c r="M443" s="3" t="inlineStr">
        <is>
          <t>PERSONAL_FLOWS</t>
        </is>
      </c>
    </row>
    <row r="444">
      <c r="A444" s="3" t="inlineStr">
        <is>
          <t>MK-NW-F-003</t>
        </is>
      </c>
      <c r="B444" s="3" t="inlineStr">
        <is>
          <t>valueFreshness</t>
        </is>
      </c>
      <c r="C444" s="3" t="inlineStr">
        <is>
          <t>src/domain/assets/index.ts</t>
        </is>
      </c>
      <c r="D444" s="3" t="n">
        <v>97</v>
      </c>
      <c r="E444" s="3" t="inlineStr">
        <is>
          <t>2 · DISPLAYED</t>
        </is>
      </c>
      <c r="F444" s="3" t="inlineStr">
        <is>
          <t>A screen calls it directly, so its answer is on a screen.</t>
        </is>
      </c>
      <c r="G444" s="3" t="inlineStr">
        <is>
          <t>Yes</t>
        </is>
      </c>
      <c r="H444" s="3" t="inlineStr">
        <is>
          <t>—</t>
        </is>
      </c>
      <c r="I444" s="3" t="n">
        <v>0</v>
      </c>
      <c r="J444" s="3" t="inlineStr">
        <is>
          <t>None — no dependent function stands behind it</t>
        </is>
      </c>
      <c r="K444" s="3" t="inlineStr">
        <is>
          <t>No dependent function — it reads its inputs and answers</t>
        </is>
      </c>
      <c r="L444" s="3" t="inlineStr">
        <is>
          <t>MK-NW-M-018 · MK-PL-M-016</t>
        </is>
      </c>
      <c r="M444" s="3" t="inlineStr">
        <is>
          <t>HAND_VALUE_AGE</t>
        </is>
      </c>
    </row>
    <row r="445">
      <c r="A445" s="3" t="inlineStr">
        <is>
          <t>MK-ST-F-031</t>
        </is>
      </c>
      <c r="B445" s="3" t="inlineStr">
        <is>
          <t>valueOn</t>
        </is>
      </c>
      <c r="C445" s="3" t="inlineStr">
        <is>
          <t>Calculation Module code/engines/snapshots.ts</t>
        </is>
      </c>
      <c r="D445" s="3" t="n">
        <v>165</v>
      </c>
      <c r="E445" s="3" t="inlineStr">
        <is>
          <t>2 · DISPLAYED</t>
        </is>
      </c>
      <c r="F445" s="3" t="inlineStr">
        <is>
          <t>A screen calls it directly, so its answer is on a screen.</t>
        </is>
      </c>
      <c r="G445" s="3" t="inlineStr">
        <is>
          <t>Yes</t>
        </is>
      </c>
      <c r="H445" s="3" t="inlineStr">
        <is>
          <t>MK-ST-F-033 onOrBefore · MK-ST-F-055 round2</t>
        </is>
      </c>
      <c r="I445" s="3" t="n">
        <v>2</v>
      </c>
      <c r="J445" s="3" t="inlineStr">
        <is>
          <t>MK-ST-F-033 onOrBefore · MK-ST-F-055 round2</t>
        </is>
      </c>
      <c r="K445" s="3" t="inlineStr">
        <is>
          <t>MK-ST-F-033 onOrBefore → MK-ST-F-031 valueOn
MK-ST-F-055 round2 → MK-ST-F-031 valueOn</t>
        </is>
      </c>
      <c r="L445" s="3" t="inlineStr">
        <is>
          <t>—</t>
        </is>
      </c>
      <c r="M445" s="3" t="inlineStr">
        <is>
          <t>—</t>
        </is>
      </c>
    </row>
    <row r="446">
      <c r="A446" s="3" t="inlineStr">
        <is>
          <t>MK-PL-F-065</t>
        </is>
      </c>
      <c r="B446" s="3" t="inlineStr">
        <is>
          <t>volOf</t>
        </is>
      </c>
      <c r="C446" s="3" t="inlineStr">
        <is>
          <t>src/domain/retirement/willItLast.ts</t>
        </is>
      </c>
      <c r="D446" s="3" t="n">
        <v>19</v>
      </c>
      <c r="E446" s="3" t="inlineStr">
        <is>
          <t>2 · DISPLAYED</t>
        </is>
      </c>
      <c r="F446" s="3" t="inlineStr">
        <is>
          <t>A screen calls it directly, so its answer is on a screen.</t>
        </is>
      </c>
      <c r="G446" s="3" t="inlineStr">
        <is>
          <t>Yes</t>
        </is>
      </c>
      <c r="H446" s="3" t="inlineStr">
        <is>
          <t>MK-PL-F-050 simulate</t>
        </is>
      </c>
      <c r="I446" s="3" t="n">
        <v>4</v>
      </c>
      <c r="J446" s="3" t="inlineStr">
        <is>
          <t>MK-PL-F-050 simulate · MK-ST-F-025 rmdStartAgeFromAge · MK-ST-F-055 round2 · MK-ST-F-024 rmdStartAge</t>
        </is>
      </c>
      <c r="K446" s="3" t="inlineStr">
        <is>
          <t>MK-ST-F-024 rmdStartAge → MK-ST-F-025 rmdStartAgeFromAge → MK-PL-F-050 simulate → MK-PL-F-065 volOf
MK-ST-F-055 round2 → MK-PL-F-050 simulate → MK-PL-F-065 volOf</t>
        </is>
      </c>
      <c r="L446" s="3" t="inlineStr">
        <is>
          <t>—</t>
        </is>
      </c>
      <c r="M446" s="3" t="inlineStr">
        <is>
          <t>SWING_FROM_RETURN</t>
        </is>
      </c>
    </row>
    <row r="447">
      <c r="A447" s="3" t="inlineStr">
        <is>
          <t>MK-PL-F-012</t>
        </is>
      </c>
      <c r="B447" s="3" t="inlineStr">
        <is>
          <t>waterfall</t>
        </is>
      </c>
      <c r="C447" s="3" t="inlineStr">
        <is>
          <t>src/domain/goals/index.ts</t>
        </is>
      </c>
      <c r="D447" s="3" t="n">
        <v>35</v>
      </c>
      <c r="E447" s="3" t="inlineStr">
        <is>
          <t>3 · DEPENDENT</t>
        </is>
      </c>
      <c r="F447" s="3" t="inlineStr">
        <is>
          <t>Its answer feeds another function, and that chain ends at a screen.</t>
        </is>
      </c>
      <c r="G447" s="3" t="inlineStr">
        <is>
          <t>Yes</t>
        </is>
      </c>
      <c r="H447" s="3" t="inlineStr">
        <is>
          <t>MK-ST-F-055 round2</t>
        </is>
      </c>
      <c r="I447" s="3" t="n">
        <v>1</v>
      </c>
      <c r="J447" s="3" t="inlineStr">
        <is>
          <t>MK-ST-F-055 round2</t>
        </is>
      </c>
      <c r="K447" s="3" t="inlineStr">
        <is>
          <t>MK-ST-F-055 round2 → MK-PL-F-012 waterfall</t>
        </is>
      </c>
      <c r="L447" s="3" t="inlineStr">
        <is>
          <t>—</t>
        </is>
      </c>
      <c r="M447" s="3" t="inlineStr">
        <is>
          <t>—</t>
        </is>
      </c>
    </row>
    <row r="448">
      <c r="A448" s="3" t="inlineStr">
        <is>
          <t>MK-PL-F-036</t>
        </is>
      </c>
      <c r="B448" s="3" t="inlineStr">
        <is>
          <t>weighGoals</t>
        </is>
      </c>
      <c r="C448" s="3" t="inlineStr">
        <is>
          <t>src/domain/planning/multiGoal.ts</t>
        </is>
      </c>
      <c r="D448" s="3" t="n">
        <v>53</v>
      </c>
      <c r="E448" s="3" t="inlineStr">
        <is>
          <t>2 · DISPLAYED</t>
        </is>
      </c>
      <c r="F448" s="3" t="inlineStr">
        <is>
          <t>A screen calls it directly, so its answer is on a screen.</t>
        </is>
      </c>
      <c r="G448" s="3" t="inlineStr">
        <is>
          <t>Yes</t>
        </is>
      </c>
      <c r="H448" s="3" t="inlineStr">
        <is>
          <t>MK-PL-F-021 monthsToGoal · MK-CF-F-034 payoffPlan · MK-PL-F-035 retireAgeWithContribution · MK-ST-F-055 round2 · MK-PL-F-050 simulate</t>
        </is>
      </c>
      <c r="I448" s="3" t="n">
        <v>10</v>
      </c>
      <c r="J448" s="3" t="inlineStr">
        <is>
          <t>MK-PL-F-021 monthsToGoal · MK-CF-F-034 payoffPlan · MK-PL-F-035 retireAgeWithContribution · MK-ST-F-055 round2 · MK-PL-F-050 simulate · MK-CF-F-022 paymentShape · MK-PL-F-055 projectNestEgg · MK-ST-F-025 rmdStartAgeFromAge · MK-CF-F-021 defaultPaymentType · MK-ST-F-024 rmdStartAge</t>
        </is>
      </c>
      <c r="K448" s="3" t="inlineStr">
        <is>
          <t>MK-PL-F-021 monthsToGoal → MK-PL-F-036 weighGoals
MK-CF-F-021 defaultPaymentType → MK-CF-F-022 paymentShape → MK-CF-F-034 payoffPlan → MK-PL-F-036 weighGoals
MK-ST-F-055 round2 → MK-CF-F-034 payoffPlan → MK-PL-F-036 weighGoals
MK-ST-F-055 round2 → MK-PL-F-055 projectNestEgg → MK-PL-F-035 retireAgeWithContribution → MK-PL-F-036 weighGoals
MK-ST-F-024 rmdStartAge → MK-ST-F-025 rmdStartAgeFromAge → MK-PL-F-050 simulate → MK-PL-F-055 projectNestEgg → MK-PL-F-035 retireAgeWithContribution → MK-PL-F-036 weighGoals
MK-ST-F-055 round2 → MK-PL-F-050 simulate → MK-PL-F-055 projectNestEgg → MK-PL-F-035 retireAgeWithContribution → MK-PL-F-036 weighGoals
MK-ST-F-055 round2 → MK-PL-F-036 weighGoals
MK-ST-F-024 rmdStartAge → MK-ST-F-025 rmdStartAgeFromAge → MK-PL-F-050 simulate → MK-PL-F-036 weighGoals
… and 1 more paths</t>
        </is>
      </c>
      <c r="L448" s="3" t="inlineStr">
        <is>
          <t>—</t>
        </is>
      </c>
      <c r="M448" s="3" t="inlineStr">
        <is>
          <t>—</t>
        </is>
      </c>
    </row>
    <row r="449">
      <c r="A449" s="3" t="inlineStr">
        <is>
          <t>MK-PL-F-067</t>
        </is>
      </c>
      <c r="B449" s="3" t="inlineStr">
        <is>
          <t>willItLastInputs</t>
        </is>
      </c>
      <c r="C449" s="3" t="inlineStr">
        <is>
          <t>src/domain/retirement/willItLast.ts</t>
        </is>
      </c>
      <c r="D449" s="3" t="n">
        <v>62</v>
      </c>
      <c r="E449" s="3" t="inlineStr">
        <is>
          <t>2 · DISPLAYED</t>
        </is>
      </c>
      <c r="F449" s="3" t="inlineStr">
        <is>
          <t>A screen calls it directly, so its answer is on a screen.</t>
        </is>
      </c>
      <c r="G449" s="3" t="inlineStr">
        <is>
          <t>Yes</t>
        </is>
      </c>
      <c r="H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t>
        </is>
      </c>
      <c r="I449" s="3" t="n">
        <v>53</v>
      </c>
      <c r="J449" s="3" t="inlineStr">
        <is>
          <t>MK-NW-F-037 blendedReturn · MK-NW-F-035 blendedVolatility · MK-CF-F-102 effectiveRateOnGrossFor · MK-CF-F-085 filingStatusOf · MK-CF-F-076 guaranteedOutsideStreams · MK-NW-F-041 monthlyContributionsFromOnboarding · MK-CF-F-089 over65CountOf · MK-NW-F-004 portfolioActualReturn · MK-NW-F-033 retirementEarmarkedValue · MK-PL-F-049 retirementSpendMonthly · MK-PL-F-060 ssBenefitAt · MK-CF-F-086 stateRateOf · MK-PL-F-001 taxBucketSplit · MK-CF-F-083 totalGrossAnnual · MK-PL-F-065 volOf · MK-NW-F-034 benchmarkReturn · MK-NW-F-032 earmarkedAmount · MK-NW-F-031 primaryCarIdOf · MK-CF-F-101 taxOwedFor · MK-ST-F-052 toNum · MK-CF-F-078 employerMatchMonthly · MK-ST-F-055 round2 · MK-PL-F-047 colFactor · MK-PL-F-058 ssClaimFactorFor · MK-CF-F-072 currentRetirementIncomeMonthly · MK-CF-F-071 extraIncome · MK-CF-F-068 rentalNetAnnual · MK-CF-F-066 rsuAnnual · MK-CF-F-082 salaryAnnual · MK-CF-F-074 tipsAnnual · MK-PL-F-050 simulate · MK-NW-F-007 assetKind · MK-NW-F-030 earmarkDefault · MK-NW-F-011 assetClassOf · MK-CF-F-100 taxableIncomeFor · MK-PL-F-057 fullRetirementAge · MK-CF-F-075 retirementIncomeMonthly · MK-CF-F-070 benefitAnnual · MK-CF-F-067 rentalList · MK-CF-F-062 equityRowValue · MK-CF-F-063 rowVestYear · MK-CF-F-060 salaryGrossByMonth · MK-CF-F-081 salaryActiveMonths · MK-ST-F-025 rmdStartAgeFromAge · MK-NW-F-013 realEstateUseOf · MK-NW-F-008 incomeBearingClassOf · MK-CF-F-099 deductionFor · MK-CF-F-069 benefitActiveMonths · MK-CF-F-097 grossFromNet · MK-ST-F-024 rmdStartAge · MK-ST-F-010 nameEvidence · MK-CF-F-095 taxOwed · MK-CF-F-093 taxableIncome</t>
        </is>
      </c>
      <c r="K449" s="3" t="inlineStr">
        <is>
          <t>MK-NW-F-008 incomeBearingClassOf → MK-NW-F-011 assetClassOf → MK-NW-F-007 assetKind → MK-NW-F-034 benchmarkReturn → MK-NW-F-037 blendedReturn → MK-PL-F-067 willItLastInputs
MK-NW-F-008 incomeBearingClassOf → MK-NW-F-011 assetClassOf → MK-NW-F-030 earmarkDefault → MK-NW-F-032 earmarkedAmount → MK-NW-F-037 blendedReturn → MK-PL-F-067 willItLastInputs
MK-NW-F-013 realEstateUseOf → MK-NW-F-030 earmarkDefault → MK-NW-F-032 earmarkedAmount → MK-NW-F-037 blendedReturn → MK-PL-F-067 willItLastInputs
MK-ST-F-055 round2 → MK-NW-F-032 earmarkedAmount → MK-NW-F-037 blendedReturn → MK-PL-F-067 willItLastInputs
MK-ST-F-010 nameEvidence → MK-NW-F-008 incomeBearingClassOf → MK-NW-F-011 assetClassOf → MK-NW-F-031 primaryCarIdOf → MK-NW-F-037 blendedReturn → MK-PL-F-067 willItLastInputs
MK-NW-F-008 incomeBearingClassOf → MK-NW-F-011 assetClassOf → MK-NW-F-030 earmarkDefault → MK-NW-F-032 earmarkedAmount → MK-NW-F-035 blendedVolatility → MK-PL-F-067 willItLastInputs
MK-NW-F-013 realEstateUseOf → MK-NW-F-030 earmarkDefault → MK-NW-F-032 earmarkedAmount → MK-NW-F-035 blendedVolatility → MK-PL-F-067 willItLastInputs
MK-ST-F-055 round2 → MK-NW-F-032 earmarkedAmount → MK-NW-F-035 blendedVolatility → MK-PL-F-067 willItLastInputs
… and 43 more paths</t>
        </is>
      </c>
      <c r="L449" s="3" t="inlineStr">
        <is>
          <t>MK-PL-M-008 · MK-PL-M-011 · MK-PL-M-029</t>
        </is>
      </c>
      <c r="M449" s="3" t="inlineStr">
        <is>
          <t>WILL_IT_LAST_INPUTS</t>
        </is>
      </c>
    </row>
    <row r="450">
      <c r="A450" s="3" t="inlineStr">
        <is>
          <t>MK-ST-F-038</t>
        </is>
      </c>
      <c r="B450" s="3" t="inlineStr">
        <is>
          <t>windowBounds</t>
        </is>
      </c>
      <c r="C450" s="3" t="inlineStr">
        <is>
          <t>Calculation Module code/engines/window-return.ts</t>
        </is>
      </c>
      <c r="D450" s="3" t="n">
        <v>42</v>
      </c>
      <c r="E450" s="3" t="inlineStr">
        <is>
          <t>2 · DISPLAYED</t>
        </is>
      </c>
      <c r="F450" s="3" t="inlineStr">
        <is>
          <t>A screen calls it directly, so its answer is on a screen.</t>
        </is>
      </c>
      <c r="G450" s="3" t="inlineStr">
        <is>
          <t>Yes</t>
        </is>
      </c>
      <c r="H450" s="3" t="inlineStr">
        <is>
          <t>—</t>
        </is>
      </c>
      <c r="I450" s="3" t="n">
        <v>0</v>
      </c>
      <c r="J450" s="3" t="inlineStr">
        <is>
          <t>None — no dependent function stands behind it</t>
        </is>
      </c>
      <c r="K450" s="3" t="inlineStr">
        <is>
          <t>No dependent function — it reads its inputs and answers</t>
        </is>
      </c>
      <c r="L450" s="3" t="inlineStr">
        <is>
          <t>—</t>
        </is>
      </c>
      <c r="M450" s="3" t="inlineStr">
        <is>
          <t>—</t>
        </is>
      </c>
    </row>
    <row r="451">
      <c r="A451" s="3" t="inlineStr">
        <is>
          <t>MK-PL-F-052</t>
        </is>
      </c>
      <c r="B451" s="3" t="inlineStr">
        <is>
          <t>withSsStream</t>
        </is>
      </c>
      <c r="C451" s="3" t="inlineStr">
        <is>
          <t>src/domain/retirement/index.ts</t>
        </is>
      </c>
      <c r="D451" s="3" t="n">
        <v>287</v>
      </c>
      <c r="E451" s="3" t="inlineStr">
        <is>
          <t>2 · DISPLAYED</t>
        </is>
      </c>
      <c r="F451" s="3" t="inlineStr">
        <is>
          <t>A screen calls it directly, so its answer is on a screen.</t>
        </is>
      </c>
      <c r="G451" s="3" t="inlineStr">
        <is>
          <t>Yes</t>
        </is>
      </c>
      <c r="H451" s="3" t="inlineStr">
        <is>
          <t>—</t>
        </is>
      </c>
      <c r="I451" s="3" t="n">
        <v>0</v>
      </c>
      <c r="J451" s="3" t="inlineStr">
        <is>
          <t>None — no dependent function stands behind it</t>
        </is>
      </c>
      <c r="K451" s="3" t="inlineStr">
        <is>
          <t>No dependent function — it reads its inputs and answers</t>
        </is>
      </c>
      <c r="L451" s="3" t="inlineStr">
        <is>
          <t>—</t>
        </is>
      </c>
      <c r="M451" s="3" t="inlineStr">
        <is>
          <t>—</t>
        </is>
      </c>
    </row>
    <row r="452">
      <c r="A452" s="3" t="inlineStr">
        <is>
          <t>MK-PL-F-004</t>
        </is>
      </c>
      <c r="B452" s="3" t="inlineStr">
        <is>
          <t>withdrawalOrder</t>
        </is>
      </c>
      <c r="C452" s="3" t="inlineStr">
        <is>
          <t>src/domain/decumulation/index.ts</t>
        </is>
      </c>
      <c r="D452" s="3" t="n">
        <v>81</v>
      </c>
      <c r="E452" s="3" t="inlineStr">
        <is>
          <t>2 · DISPLAYED</t>
        </is>
      </c>
      <c r="F452" s="3" t="inlineStr">
        <is>
          <t>A screen calls it directly, so its answer is on a screen.</t>
        </is>
      </c>
      <c r="G452" s="3" t="inlineStr">
        <is>
          <t>Yes</t>
        </is>
      </c>
      <c r="H452" s="3" t="inlineStr">
        <is>
          <t>MK-ST-F-039 on · MK-PL-F-007 rmdAtAge · MK-PL-F-005 rmdStartAgeFor</t>
        </is>
      </c>
      <c r="I452" s="3" t="n">
        <v>7</v>
      </c>
      <c r="J452" s="3" t="inlineStr">
        <is>
          <t>MK-ST-F-039 on · MK-PL-F-007 rmdAtAge · MK-PL-F-005 rmdStartAgeFor · MK-PL-F-006 rmdDivisor · MK-ST-F-055 round2 · MK-ST-F-025 rmdStartAgeFromAge · MK-ST-F-024 rmdStartAge</t>
        </is>
      </c>
      <c r="K452" s="3" t="inlineStr">
        <is>
          <t>MK-ST-F-039 on → MK-PL-F-004 withdrawalOrder
MK-PL-F-006 rmdDivisor → MK-PL-F-007 rmdAtAge → MK-PL-F-004 withdrawalOrder
MK-ST-F-055 round2 → MK-PL-F-007 rmdAtAge → MK-PL-F-004 withdrawalOrder
MK-ST-F-024 rmdStartAge → MK-ST-F-025 rmdStartAgeFromAge → MK-PL-F-005 rmdStartAgeFor → MK-PL-F-004 withdrawalOrder</t>
        </is>
      </c>
      <c r="L452" s="3" t="inlineStr">
        <is>
          <t>—</t>
        </is>
      </c>
      <c r="M452" s="3" t="inlineStr">
        <is>
          <t>—</t>
        </is>
      </c>
    </row>
    <row r="453">
      <c r="A453" s="3" t="inlineStr">
        <is>
          <t>MK-PL-F-002</t>
        </is>
      </c>
      <c r="B453" s="3" t="inlineStr">
        <is>
          <t>withdrawalPlan</t>
        </is>
      </c>
      <c r="C453" s="3" t="inlineStr">
        <is>
          <t>src/domain/decumulation/index.ts</t>
        </is>
      </c>
      <c r="D453" s="3" t="n">
        <v>34</v>
      </c>
      <c r="E453" s="3" t="inlineStr">
        <is>
          <t>2 · DISPLAYED</t>
        </is>
      </c>
      <c r="F453" s="3" t="inlineStr">
        <is>
          <t>A screen calls it directly, so its answer is on a screen.</t>
        </is>
      </c>
      <c r="G453" s="3" t="inlineStr">
        <is>
          <t>Yes</t>
        </is>
      </c>
      <c r="H453" s="3" t="inlineStr">
        <is>
          <t>MK-ST-F-055 round2</t>
        </is>
      </c>
      <c r="I453" s="3" t="n">
        <v>1</v>
      </c>
      <c r="J453" s="3" t="inlineStr">
        <is>
          <t>MK-ST-F-055 round2</t>
        </is>
      </c>
      <c r="K453" s="3" t="inlineStr">
        <is>
          <t>MK-ST-F-055 round2 → MK-PL-F-002 withdrawalPlan</t>
        </is>
      </c>
      <c r="L453" s="3" t="inlineStr">
        <is>
          <t>—</t>
        </is>
      </c>
      <c r="M453" s="3" t="inlineStr">
        <is>
          <t>—</t>
        </is>
      </c>
    </row>
    <row r="454">
      <c r="A454" s="3" t="inlineStr">
        <is>
          <t>MK-NW-F-010</t>
        </is>
      </c>
      <c r="B454" s="3" t="inlineStr">
        <is>
          <t>wrapperAccount</t>
        </is>
      </c>
      <c r="C454" s="3" t="inlineStr">
        <is>
          <t>src/domain/assets/index.ts</t>
        </is>
      </c>
      <c r="D454" s="3" t="n">
        <v>208</v>
      </c>
      <c r="E454" s="3" t="inlineStr">
        <is>
          <t>2 · DISPLAYED</t>
        </is>
      </c>
      <c r="F454" s="3" t="inlineStr">
        <is>
          <t>A screen calls it directly, so its answer is on a screen.</t>
        </is>
      </c>
      <c r="G454" s="3" t="inlineStr">
        <is>
          <t>Yes</t>
        </is>
      </c>
      <c r="H454" s="3" t="inlineStr">
        <is>
          <t>—</t>
        </is>
      </c>
      <c r="I454" s="3" t="n">
        <v>0</v>
      </c>
      <c r="J454" s="3" t="inlineStr">
        <is>
          <t>None — no dependent function stands behind it</t>
        </is>
      </c>
      <c r="K454" s="3" t="inlineStr">
        <is>
          <t>No dependent function — it reads its inputs and answers</t>
        </is>
      </c>
      <c r="L454" s="3" t="inlineStr">
        <is>
          <t>—</t>
        </is>
      </c>
      <c r="M454" s="3" t="inlineStr">
        <is>
          <t>TAX_TYPE_TO_ACCOUNT</t>
        </is>
      </c>
    </row>
    <row r="455">
      <c r="A455" s="3" t="inlineStr">
        <is>
          <t>MK-NW-F-023</t>
        </is>
      </c>
      <c r="B455" s="3" t="inlineStr">
        <is>
          <t>wrapperWord</t>
        </is>
      </c>
      <c r="C455" s="3" t="inlineStr">
        <is>
          <t>src/domain/assets/index.ts</t>
        </is>
      </c>
      <c r="D455" s="3" t="n">
        <v>315</v>
      </c>
      <c r="E455" s="3" t="inlineStr">
        <is>
          <t>1 · ACTION</t>
        </is>
      </c>
      <c r="F455" s="3" t="inlineStr">
        <is>
          <t>Produces nothing that is displayed — it does something: saves, syncs or records.</t>
        </is>
      </c>
      <c r="G455" s="3" t="inlineStr">
        <is>
          <t>Yes</t>
        </is>
      </c>
      <c r="H455" s="3" t="inlineStr">
        <is>
          <t>—</t>
        </is>
      </c>
      <c r="I455" s="3" t="n">
        <v>0</v>
      </c>
      <c r="J455" s="3" t="inlineStr">
        <is>
          <t>None — no dependent function stands behind it</t>
        </is>
      </c>
      <c r="K455" s="3" t="inlineStr">
        <is>
          <t>No dependent function — it reads its inputs and answers</t>
        </is>
      </c>
      <c r="L455" s="3" t="inlineStr">
        <is>
          <t>—</t>
        </is>
      </c>
      <c r="M455" s="3" t="inlineStr">
        <is>
          <t>—</t>
        </is>
      </c>
    </row>
    <row r="456">
      <c r="A456" s="3" t="inlineStr">
        <is>
          <t>MK-NW-F-058</t>
        </is>
      </c>
      <c r="B456" s="3" t="inlineStr">
        <is>
          <t>yearsToMaturity</t>
        </is>
      </c>
      <c r="C456" s="3" t="inlineStr">
        <is>
          <t>src/domain/bonds/index.ts</t>
        </is>
      </c>
      <c r="D456" s="3" t="n">
        <v>24</v>
      </c>
      <c r="E456" s="3" t="inlineStr">
        <is>
          <t>2 · DISPLAYED</t>
        </is>
      </c>
      <c r="F456" s="3" t="inlineStr">
        <is>
          <t>A screen calls it directly, so its answer is on a screen.</t>
        </is>
      </c>
      <c r="G456" s="3" t="inlineStr">
        <is>
          <t>Yes</t>
        </is>
      </c>
      <c r="H456" s="3" t="inlineStr">
        <is>
          <t>—</t>
        </is>
      </c>
      <c r="I456" s="3" t="n">
        <v>0</v>
      </c>
      <c r="J456" s="3" t="inlineStr">
        <is>
          <t>None — no dependent function stands behind it</t>
        </is>
      </c>
      <c r="K456" s="3" t="inlineStr">
        <is>
          <t>No dependent function — it reads its inputs and answers</t>
        </is>
      </c>
      <c r="L456" s="3" t="inlineStr">
        <is>
          <t>MK-NW-M-025</t>
        </is>
      </c>
      <c r="M456" s="3" t="inlineStr">
        <is>
          <t>BOND_YEARS_LEFT</t>
        </is>
      </c>
    </row>
    <row r="457">
      <c r="A457" s="3" t="inlineStr">
        <is>
          <t>MK-XS-F-018</t>
        </is>
      </c>
      <c r="B457" s="3" t="inlineStr">
        <is>
          <t>yearsToRetirement</t>
        </is>
      </c>
      <c r="C457" s="3" t="inlineStr">
        <is>
          <t>src/domain/profile/calc.ts</t>
        </is>
      </c>
      <c r="D457" s="3" t="n">
        <v>18</v>
      </c>
      <c r="E457" s="3" t="inlineStr">
        <is>
          <t>3 · DEPENDENT</t>
        </is>
      </c>
      <c r="F457" s="3" t="inlineStr">
        <is>
          <t>Its answer feeds another function, and that chain ends at a screen.</t>
        </is>
      </c>
      <c r="G457" s="3" t="inlineStr">
        <is>
          <t>Yes</t>
        </is>
      </c>
      <c r="H457" s="3" t="inlineStr">
        <is>
          <t>—</t>
        </is>
      </c>
      <c r="I457" s="3" t="n">
        <v>0</v>
      </c>
      <c r="J457" s="3" t="inlineStr">
        <is>
          <t>None — no dependent function stands behind it</t>
        </is>
      </c>
      <c r="K457" s="3" t="inlineStr">
        <is>
          <t>No dependent function — it reads its inputs and answers</t>
        </is>
      </c>
      <c r="L457" s="3" t="inlineStr">
        <is>
          <t>—</t>
        </is>
      </c>
      <c r="M457"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2026-08-26T02:42:56Z</dcterms:created>
  <dcterms:modified xsi:type="dcterms:W3CDTF">2026-08-26T02:43:09Z</dcterms:modified>
</cp:coreProperties>
</file>