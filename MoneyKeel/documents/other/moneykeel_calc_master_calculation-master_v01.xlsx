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multiple_screens" sheetId="3" state="visible" r:id="rId3"/>
    <sheet name="home" sheetId="4" state="visible" r:id="rId4"/>
    <sheet name="networth" sheetId="5" state="visible" r:id="rId5"/>
    <sheet name="performance" sheetId="6" state="visible" r:id="rId6"/>
    <sheet name="plan" sheetId="7" state="visible" r:id="rId7"/>
    <sheet name="cashflow" sheetId="8" state="visible" r:id="rId8"/>
    <sheet name="menu" sheetId="9" state="visible" r:id="rId9"/>
    <sheet name="inputs" sheetId="10" state="visible" r:id="rId10"/>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1F3864"/>
    </font>
    <font>
      <b val="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3" fillId="0" borderId="0" pivotButton="0" quotePrefix="0" xfId="0"/>
    <xf numFmtId="0" fontId="0"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1"/>
  <sheetViews>
    <sheetView workbookViewId="0">
      <pane ySplit="1" topLeftCell="A2" activePane="bottomLeft" state="frozen"/>
      <selection pane="bottomLeft" activeCell="A1" sqref="A1"/>
    </sheetView>
  </sheetViews>
  <sheetFormatPr baseColWidth="8" defaultRowHeight="15"/>
  <cols>
    <col width="46" customWidth="1" min="1" max="1"/>
    <col width="118" customWidth="1" min="2" max="2"/>
  </cols>
  <sheetData>
    <row r="1">
      <c r="A1" s="1" t="inlineStr">
        <is>
          <t>Item</t>
        </is>
      </c>
      <c r="B1" s="1" t="inlineStr">
        <is>
          <t>Detail</t>
        </is>
      </c>
    </row>
    <row r="2">
      <c r="A2" s="2" t="inlineStr">
        <is>
          <t>Date file created</t>
        </is>
      </c>
      <c r="B2" s="3" t="inlineStr">
        <is>
          <t>2026-08-22</t>
        </is>
      </c>
    </row>
    <row r="3">
      <c r="A3" s="2" t="inlineStr">
        <is>
          <t>Date file last modified</t>
        </is>
      </c>
      <c r="B3" s="3" t="inlineStr">
        <is>
          <t>2026-08-22  (stamped by the build, not typed; unchanged when the file is only read)</t>
        </is>
      </c>
    </row>
    <row r="4">
      <c r="A4" s="2" t="inlineStr">
        <is>
          <t>Objective of this file</t>
        </is>
      </c>
      <c r="B4" s="3" t="inlineStr">
        <is>
          <t>One row for every figure a person reads on screen, tied to the metric behind it, the engine that produces it, and the identifier that joins them — so a wrong number can be traced from the label on screen to its engine and formula in a minute. Serves objectives 3 and 4.</t>
        </is>
      </c>
    </row>
    <row r="5">
      <c r="A5" s="2" t="inlineStr"/>
      <c r="B5" s="3" t="inlineStr"/>
    </row>
    <row r="6">
      <c r="A6" s="2" t="inlineStr">
        <is>
          <t>TAB — Specification</t>
        </is>
      </c>
      <c r="B6" s="3" t="inlineStr">
        <is>
          <t>Everything a row must carry before its calculation can be written in code. The index tabs say what exists and where it is shown; this tab says what is still needed to say what each number IS.</t>
        </is>
      </c>
    </row>
    <row r="7">
      <c r="A7" s="2" t="inlineStr">
        <is>
          <t>TAB — Reference</t>
        </is>
      </c>
      <c r="B7" s="3" t="inlineStr">
        <is>
          <t>This tab. What the file is, what each tab holds, what each column means, and what it must comply with.</t>
        </is>
      </c>
    </row>
    <row r="8">
      <c r="A8" s="2" t="inlineStr">
        <is>
          <t>TAB — multiple_screens</t>
        </is>
      </c>
      <c r="B8" s="3" t="inlineStr">
        <is>
          <t>Figures shown on more than one parent screen. A figure lives here ONCE, with every screen and every label it wears listed, so the same figure can never have two definitions.</t>
        </is>
      </c>
    </row>
    <row r="9">
      <c r="A9" s="2" t="inlineStr">
        <is>
          <t>TAB — home</t>
        </is>
      </c>
      <c r="B9" s="3" t="inlineStr">
        <is>
          <t>Figures shown only on Home and the screens reached from it.</t>
        </is>
      </c>
    </row>
    <row r="10">
      <c r="A10" s="2" t="inlineStr">
        <is>
          <t>TAB — networth</t>
        </is>
      </c>
      <c r="B10" s="3" t="inlineStr">
        <is>
          <t>Figures shown only on Net worth and the screens reached from it.</t>
        </is>
      </c>
    </row>
    <row r="11">
      <c r="A11" s="2" t="inlineStr">
        <is>
          <t>TAB — performance</t>
        </is>
      </c>
      <c r="B11" s="3" t="inlineStr">
        <is>
          <t>Figures shown only on Performance and the screens reached from it.</t>
        </is>
      </c>
    </row>
    <row r="12">
      <c r="A12" s="2" t="inlineStr">
        <is>
          <t>TAB — plan</t>
        </is>
      </c>
      <c r="B12" s="3" t="inlineStr">
        <is>
          <t>Figures shown only on Plan and the screens reached from it.</t>
        </is>
      </c>
    </row>
    <row r="13">
      <c r="A13" s="2" t="inlineStr">
        <is>
          <t>TAB — cashflow</t>
        </is>
      </c>
      <c r="B13" s="3" t="inlineStr">
        <is>
          <t>Figures shown only on Cash flow and the screens reached from it.</t>
        </is>
      </c>
    </row>
    <row r="14">
      <c r="A14" s="2" t="inlineStr">
        <is>
          <t>TAB — menu</t>
        </is>
      </c>
      <c r="B14" s="3" t="inlineStr">
        <is>
          <t>Screens reachable only from the menu, and the figures on them.</t>
        </is>
      </c>
    </row>
    <row r="15">
      <c r="A15" s="2" t="inlineStr">
        <is>
          <t>TAB — inputs</t>
        </is>
      </c>
      <c r="B15" s="3" t="inlineStr">
        <is>
          <t>The raw values the engines need before any calculation happens.</t>
        </is>
      </c>
    </row>
    <row r="16">
      <c r="A16" s="2" t="inlineStr"/>
      <c r="B16" s="3" t="inlineStr"/>
    </row>
    <row r="17">
      <c r="A17" s="2" t="inlineStr">
        <is>
          <t>COLUMN — Metric ID</t>
        </is>
      </c>
      <c r="B17" s="3" t="inlineStr">
        <is>
          <t>The identifier of the figure, per moneykeel_naming_spec_unique-identifier_v01.md. Given once, never changed, never reused.</t>
        </is>
      </c>
    </row>
    <row r="18">
      <c r="A18" s="2" t="inlineStr">
        <is>
          <t>COLUMN — Parent Screen Name</t>
        </is>
      </c>
      <c r="B18" s="3" t="inlineStr">
        <is>
          <t>One of: Home, Networth, Performance, Cashflow, Plan, Menu. Menu means reachable only from the menu.</t>
        </is>
      </c>
    </row>
    <row r="19">
      <c r="A19" s="2" t="inlineStr">
        <is>
          <t>COLUMN — Secondary Screen Name</t>
        </is>
      </c>
      <c r="B19" s="3" t="inlineStr">
        <is>
          <t>The screen reached from the parent, or NA when the figure is on the parent screen itself.</t>
        </is>
      </c>
    </row>
    <row r="20">
      <c r="A20" s="2" t="inlineStr">
        <is>
          <t>COLUMN — Name on Screen</t>
        </is>
      </c>
      <c r="B20" s="3" t="inlineStr">
        <is>
          <t>The label copied exactly as it is worded on screen, including capitals. Where a figure wears different labels on different screens, all are listed.</t>
        </is>
      </c>
    </row>
    <row r="21">
      <c r="A21" s="2" t="inlineStr">
        <is>
          <t>COLUMN — Name of Underlying Metric</t>
        </is>
      </c>
      <c r="B21" s="3" t="inlineStr">
        <is>
          <t>The metric's name in the code.</t>
        </is>
      </c>
    </row>
    <row r="22">
      <c r="A22" s="2" t="inlineStr">
        <is>
          <t>COLUMN — Name of Underlying Engine</t>
        </is>
      </c>
      <c r="B22" s="3" t="inlineStr">
        <is>
          <t>The engine that produces the figure. NOT IN OLD MASTER means the engine exists in the code but has no row in the old master file.</t>
        </is>
      </c>
    </row>
    <row r="23">
      <c r="A23" s="2" t="inlineStr">
        <is>
          <t>COLUMN — Formula (mathematical)</t>
        </is>
      </c>
      <c r="B23" s="3" t="inlineStr">
        <is>
          <t>The rule written as arithmetic, so it can be followed symbol by symbol and checked against the code.</t>
        </is>
      </c>
    </row>
    <row r="24">
      <c r="A24" s="2" t="inlineStr">
        <is>
          <t>COLUMN — Formula (in words)</t>
        </is>
      </c>
      <c r="B24" s="3" t="inlineStr">
        <is>
          <t>The same rule in plain English, followable by hand. Where the engine has a row in the old master this is its wording, carried over; where it does not, it is written here from reading the code.</t>
        </is>
      </c>
    </row>
    <row r="25">
      <c r="A25" s="2" t="inlineStr">
        <is>
          <t>COLUMN — Engine ID</t>
        </is>
      </c>
      <c r="B25" s="3" t="inlineStr">
        <is>
          <t>The identifier of that engine. Blank where the figure is worked out on the screen itself rather than by an engine — which is itself a finding.</t>
        </is>
      </c>
    </row>
    <row r="26">
      <c r="A26" s="2" t="inlineStr">
        <is>
          <t>COLUMN — Your name for it (72-metric file)</t>
        </is>
      </c>
      <c r="B26" s="3" t="inlineStr">
        <is>
          <t>The founder's own name for the same figure, from METRICS-DELIVERABLE-ANSWERED-2026-08-20.xlsx. This column is the bridge between his vocabulary and the code's.</t>
        </is>
      </c>
    </row>
    <row r="27">
      <c r="A27" s="2" t="inlineStr">
        <is>
          <t>COLUMN — Core screen?</t>
        </is>
      </c>
      <c r="B27" s="3" t="inlineStr">
        <is>
          <t>Whether the screen is part of the 55-70 core, the agreed first scope.</t>
        </is>
      </c>
    </row>
    <row r="28">
      <c r="A28" s="2" t="inlineStr">
        <is>
          <t>COLUMN — Row status</t>
        </is>
      </c>
      <c r="B28" s="3" t="inlineStr">
        <is>
          <t>VERIFIED with its date means a person read the screen and confirmed the chain. NOT STARTED means the screen has not been read yet. Nothing in between is claimed.</t>
        </is>
      </c>
    </row>
    <row r="29">
      <c r="A29" s="2" t="inlineStr"/>
      <c r="B29" s="3" t="inlineStr"/>
    </row>
    <row r="30">
      <c r="A30" s="2" t="inlineStr">
        <is>
          <t>COLUMN — Input ID</t>
        </is>
      </c>
      <c r="B30" s="3" t="inlineStr">
        <is>
          <t>The identifier of a raw input, per the same standard.</t>
        </is>
      </c>
    </row>
    <row r="31">
      <c r="A31" s="2" t="inlineStr">
        <is>
          <t>COLUMN — Variable name</t>
        </is>
      </c>
      <c r="B31" s="3" t="inlineStr">
        <is>
          <t>What the raw value is called.</t>
        </is>
      </c>
    </row>
    <row r="32">
      <c r="A32" s="2" t="inlineStr">
        <is>
          <t>COLUMN — Source</t>
        </is>
      </c>
      <c r="B32" s="3" t="inlineStr">
        <is>
          <t>Where the value comes from: the person typed it, an institution download, a connected provider, or another engine computed it.</t>
        </is>
      </c>
    </row>
    <row r="33">
      <c r="A33" s="2" t="inlineStr">
        <is>
          <t>COLUMN — Which metric uses it</t>
        </is>
      </c>
      <c r="B33" s="3" t="inlineStr">
        <is>
          <t>Every metric identifier that depends on this input.</t>
        </is>
      </c>
    </row>
    <row r="34">
      <c r="A34" s="2" t="inlineStr">
        <is>
          <t>COLUMN — Which engine uses it</t>
        </is>
      </c>
      <c r="B34" s="3" t="inlineStr">
        <is>
          <t>Every engine identifier that reads this input.</t>
        </is>
      </c>
    </row>
    <row r="35">
      <c r="A35" s="2" t="inlineStr"/>
      <c r="B35" s="3" t="inlineStr"/>
    </row>
    <row r="36">
      <c r="A36" s="2" t="inlineStr">
        <is>
          <t>Complies with — naming</t>
        </is>
      </c>
      <c r="B36" s="3" t="inlineStr">
        <is>
          <t>MoneyKeel/documents/standards/moneykeel_naming_spec_file-and-folder-naming_v01.md</t>
        </is>
      </c>
    </row>
    <row r="37">
      <c r="A37" s="2" t="inlineStr">
        <is>
          <t>Complies with — identifiers</t>
        </is>
      </c>
      <c r="B37" s="3" t="inlineStr">
        <is>
          <t>MoneyKeel/documents/standards/moneykeel_naming_spec_unique-identifier_v01.md</t>
        </is>
      </c>
    </row>
    <row r="38">
      <c r="A38" s="2" t="inlineStr">
        <is>
          <t>Complies with — objectives</t>
        </is>
      </c>
      <c r="B38" s="3" t="inlineStr">
        <is>
          <t>MoneyKeel/documents/standards/moneykeel_calc_spec_objectives-and-verification_v01.md</t>
        </is>
      </c>
    </row>
    <row r="39">
      <c r="A39" s="2" t="inlineStr"/>
      <c r="B39" s="3" t="inlineStr"/>
    </row>
    <row r="40">
      <c r="A40" s="2" t="inlineStr">
        <is>
          <t>COVERAGE — screens read so far</t>
        </is>
      </c>
      <c r="B40" s="3" t="inlineStr">
        <is>
          <t>49 of 49. Every screen in the app has been read: the five parent screens, every secondary screen and every menu screen. Twelve screens carry no calculated figure and say so.</t>
        </is>
      </c>
    </row>
    <row r="41">
      <c r="A41" s="2" t="inlineStr">
        <is>
          <t>COVERAGE — what that means</t>
        </is>
      </c>
      <c r="B41" s="3" t="inlineStr">
        <is>
          <t>Every screen in the app is listed on its tab. Only Home carries figures so far; the rest are marked NOT STARTED. A rising count is not completeness while screens remain unread.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1" customWidth="1" min="10" max="10"/>
    <col width="20" customWidth="1" min="11" max="11"/>
    <col width="18" customWidth="1" min="12" max="12"/>
  </cols>
  <sheetData>
    <row r="1">
      <c r="A1" s="1" t="inlineStr">
        <is>
          <t>What is needed</t>
        </is>
      </c>
      <c r="B1" s="1" t="inlineStr">
        <is>
          <t>Why it is needed, and whether the file carries it today</t>
        </is>
      </c>
    </row>
    <row r="2">
      <c r="A2" s="4" t="inlineStr">
        <is>
          <t>SECTION — WHAT THE NUMBER IS</t>
        </is>
      </c>
      <c r="B2" s="3" t="inlineStr"/>
    </row>
    <row r="3">
      <c r="A3" t="inlineStr">
        <is>
          <t>The formula</t>
        </is>
      </c>
      <c r="B3" s="3" t="inlineStr">
        <is>
          <t>The actual rules in plain English, followable by hand. Nothing in the index tabs carries it.</t>
        </is>
      </c>
    </row>
    <row r="4">
      <c r="A4" t="inlineStr">
        <is>
          <t>The inputs, one by one</t>
        </is>
      </c>
      <c r="B4" s="3" t="inlineStr">
        <is>
          <t>Every input named separately, with its unit, and where it comes from: the person typed it, an institution download, a connected provider, or another engine.</t>
        </is>
      </c>
    </row>
    <row r="5">
      <c r="A5" t="inlineStr">
        <is>
          <t>The decisions and assumptions applied</t>
        </is>
      </c>
      <c r="B5" s="3" t="inlineStr">
        <is>
          <t>Rounding, timing conventions, inflation, which balance is used, which date wins. Each labelled with whose decision it was — the founder's, the person's, or built in. This is the fourth link of objective 4.</t>
        </is>
      </c>
    </row>
    <row r="6">
      <c r="A6" t="inlineStr">
        <is>
          <t>What comes out</t>
        </is>
      </c>
      <c r="B6" s="3" t="inlineStr">
        <is>
          <t>Dollars, a percentage, a date, a count or a range; its unit and its rounding.</t>
        </is>
      </c>
    </row>
    <row r="7">
      <c r="A7" t="inlineStr">
        <is>
          <t>What it says when it cannot be computed</t>
        </is>
      </c>
      <c r="B7" s="3" t="inlineStr">
        <is>
          <t>The exact refusal. This is where wrong numbers get invented, so the refusal is part of the specification, not an afterthought.</t>
        </is>
      </c>
    </row>
    <row r="8">
      <c r="A8" t="inlineStr">
        <is>
          <t>The grain</t>
        </is>
      </c>
      <c r="B8" s="3" t="inlineStr">
        <is>
          <t>Whether the figure is per holding, per account, per person or per household. Without it a total and a single line look identical.</t>
        </is>
      </c>
    </row>
    <row r="9">
      <c r="A9" t="inlineStr">
        <is>
          <t>The period</t>
        </is>
      </c>
      <c r="B9" s="3" t="inlineStr">
        <is>
          <t>As of when, and over what window — this month, twelve months, since the person owned it.</t>
        </is>
      </c>
    </row>
    <row r="10">
      <c r="A10" s="4" t="inlineStr">
        <is>
          <t>SECTION — WHAT PROVES IT</t>
        </is>
      </c>
      <c r="B10" s="3" t="inlineStr"/>
    </row>
    <row r="11">
      <c r="A11" t="inlineStr">
        <is>
          <t>Worked examples</t>
        </is>
      </c>
      <c r="B11" s="3" t="inlineStr">
        <is>
          <t>These inputs give this answer. Rung 2 re-runs them through the real engine on every build.</t>
        </is>
      </c>
    </row>
    <row r="12">
      <c r="A12" t="inlineStr">
        <is>
          <t>An example for every case</t>
        </is>
      </c>
      <c r="B12" s="3" t="inlineStr">
        <is>
          <t>One per case the grid names: input missing, input degraded, a different shape per institution, time-bounded, related events, account type. This is rung 3, the floor for every calculation.</t>
        </is>
      </c>
    </row>
    <row r="13">
      <c r="A13" t="inlineStr">
        <is>
          <t>Verification level</t>
        </is>
      </c>
      <c r="B13" s="3" t="inlineStr">
        <is>
          <t>Whether this engine is marked for rung 4 (the written formula made executable and checked against the code on generated inputs) and rung 5 (laws that must hold for every input). Marked by the founder, recommended by me.</t>
        </is>
      </c>
    </row>
    <row r="14">
      <c r="A14" s="4" t="inlineStr">
        <is>
          <t>SECTION — WHAT CONNECTS IT</t>
        </is>
      </c>
      <c r="B14" s="3" t="inlineStr"/>
    </row>
    <row r="15">
      <c r="A15" t="inlineStr">
        <is>
          <t>Which engines feed this engine</t>
        </is>
      </c>
      <c r="B15" s="3" t="inlineStr">
        <is>
          <t>The engines it depends on. Without this, build order and the one-door design cannot be worked out — a metric points at an engine today, but engines do not point at each other.</t>
        </is>
      </c>
    </row>
    <row r="16">
      <c r="A16" t="inlineStr">
        <is>
          <t>Where it is implemented</t>
        </is>
      </c>
      <c r="B16" s="3" t="inlineStr">
        <is>
          <t>The file and function that carry it, so file and code can be checked against each other on every build.</t>
        </is>
      </c>
    </row>
    <row r="17">
      <c r="A17" s="4" t="inlineStr">
        <is>
          <t>SECTION — GOVERNANCE</t>
        </is>
      </c>
      <c r="B17" s="3" t="inlineStr"/>
    </row>
    <row r="18">
      <c r="A18" t="inlineStr">
        <is>
          <t>The founder's verdict</t>
        </is>
      </c>
      <c r="B18" s="3" t="inlineStr">
        <is>
          <t>His approval of the row. A row counts as documented only when he has approved it, so without this column the coverage count is meaningless.</t>
        </is>
      </c>
    </row>
    <row r="19">
      <c r="A19" t="inlineStr">
        <is>
          <t>Lifecycle</t>
        </is>
      </c>
      <c r="B19" s="3" t="inlineStr">
        <is>
          <t>Live, cut, or superseded by another identifier. Identifiers are never reused, so a retired one must say what replaced it.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1" customWidth="1" min="10" max="10"/>
    <col width="20" customWidth="1" min="11" max="11"/>
    <col width="18" customWidth="1" min="12" max="12"/>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Your name for it (72-metric file)</t>
        </is>
      </c>
      <c r="K1" s="1" t="inlineStr">
        <is>
          <t>Core screen?</t>
        </is>
      </c>
      <c r="L1" s="1" t="inlineStr">
        <is>
          <t>Row status</t>
        </is>
      </c>
    </row>
    <row r="2">
      <c r="A2" t="inlineStr">
        <is>
          <t>MK-XS-M-001</t>
        </is>
      </c>
      <c r="B2" t="inlineStr">
        <is>
          <t>Home · Networth</t>
        </is>
      </c>
      <c r="C2" t="inlineStr">
        <is>
          <t>NA</t>
        </is>
      </c>
      <c r="D2" t="inlineStr">
        <is>
          <t>Net worth · YOUR NET WORTH</t>
        </is>
      </c>
      <c r="E2" t="inlineStr">
        <is>
          <t>nw.net_worth</t>
        </is>
      </c>
      <c r="F2" t="inlineStr">
        <is>
          <t>NET_WORTH</t>
        </is>
      </c>
      <c r="G2" t="inlineStr">
        <is>
          <t>MK-XS-E-001</t>
        </is>
      </c>
      <c r="H2" t="inlineStr">
        <is>
          <t>net worth = Σ(all asset balances) − Σ(all debt balances)</t>
        </is>
      </c>
      <c r="I2"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2" t="inlineStr"/>
      <c r="K2" t="inlineStr">
        <is>
          <t>Yes</t>
        </is>
      </c>
      <c r="L2" t="inlineStr">
        <is>
          <t>VERIFIED 2026-08-22</t>
        </is>
      </c>
    </row>
    <row r="3">
      <c r="A3" t="inlineStr">
        <is>
          <t>MK-XS-M-002</t>
        </is>
      </c>
      <c r="B3" t="inlineStr">
        <is>
          <t>Home · Plan · Cashflow</t>
        </is>
      </c>
      <c r="C3" t="inlineStr">
        <is>
          <t>NA</t>
        </is>
      </c>
      <c r="D3" t="inlineStr">
        <is>
          <t>Will my money last / Is my money lasting (odds)</t>
        </is>
      </c>
      <c r="E3" t="inlineStr">
        <is>
          <t>wil.chance</t>
        </is>
      </c>
      <c r="F3" t="inlineStr">
        <is>
          <t>WILL_IT_LAST_RESULT</t>
        </is>
      </c>
      <c r="G3" t="inlineStr">
        <is>
          <t>MK-XS-E-002</t>
        </is>
      </c>
      <c r="H3" t="inlineStr">
        <is>
          <t>run 1,000 futures; in each year: balance ← balance × (1 + random return) − (spending − guaranteed income);  odds = futures that never run out ÷ 1,000</t>
        </is>
      </c>
      <c r="I3"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 t="inlineStr"/>
      <c r="K3" t="inlineStr">
        <is>
          <t>Yes</t>
        </is>
      </c>
      <c r="L3" t="inlineStr">
        <is>
          <t>VERIFIED 2026-08-22</t>
        </is>
      </c>
    </row>
    <row r="4">
      <c r="A4" t="inlineStr">
        <is>
          <t>MK-XS-M-003</t>
        </is>
      </c>
      <c r="B4" t="inlineStr">
        <is>
          <t>Home · Performance · Networth</t>
        </is>
      </c>
      <c r="C4" t="inlineStr">
        <is>
          <t>NA</t>
        </is>
      </c>
      <c r="D4" t="inlineStr">
        <is>
          <t>YOUR INVESTMENTS · 📈 INVESTMENTS</t>
        </is>
      </c>
      <c r="E4" t="inlineStr">
        <is>
          <t>investTotal</t>
        </is>
      </c>
      <c r="F4" t="inlineStr">
        <is>
          <t>TOTAL_INVESTMENTS</t>
        </is>
      </c>
      <c r="G4" t="inlineStr">
        <is>
          <t>MK-XS-E-003</t>
        </is>
      </c>
      <c r="H4" t="inlineStr">
        <is>
          <t>investments = Σ(balance of each account whose class ∈ {brokerage, retirement, other investments})</t>
        </is>
      </c>
      <c r="I4" t="inlineStr">
        <is>
          <t>Add up the balances of every account whose class is Stocks / Funds, Bonds &amp; CDs, Alternatives or Unclassified. Excludes cash, the house and the car.</t>
        </is>
      </c>
      <c r="J4" t="inlineStr"/>
      <c r="K4" t="inlineStr">
        <is>
          <t>Yes</t>
        </is>
      </c>
      <c r="L4" t="inlineStr">
        <is>
          <t>VERIFIED 2026-08-22</t>
        </is>
      </c>
    </row>
    <row r="5">
      <c r="A5" t="inlineStr">
        <is>
          <t>MK-XS-M-004</t>
        </is>
      </c>
      <c r="B5" t="inlineStr">
        <is>
          <t>Home · Performance</t>
        </is>
      </c>
      <c r="C5" t="inlineStr">
        <is>
          <t>NA</t>
        </is>
      </c>
      <c r="D5" t="inlineStr">
        <is>
          <t>▲ up/▼ down $X (Y%) this month · Return · YOUR RETURN</t>
        </is>
      </c>
      <c r="E5" t="inlineStr">
        <is>
          <t>youReturn / shownReturn</t>
        </is>
      </c>
      <c r="F5" t="inlineStr">
        <is>
          <t>VALUE_WEIGHTED_RETURN</t>
        </is>
      </c>
      <c r="G5" t="inlineStr">
        <is>
          <t>MK-XS-E-004</t>
        </is>
      </c>
      <c r="H5" t="inlineStr">
        <is>
          <t>return = (ending − beginning − net money in) ÷ (beginning + net money in weighted by when it arrived)</t>
        </is>
      </c>
      <c r="I5" t="inlineStr">
        <is>
          <t>Weight each holding's return by how much money is in it, and add: Σ(return × value) ÷ Σ(value).
Money-weighted, not an equal average: $90,000 up 10% and $10,000 flat is +9%, where averaging the two would say +5% and be badly wrong.
A holding with no return is dropped from BOTH the top and the bottom of the sum, so it neither drags the answer down nor distorts the weights.
Nothing usable → nothing, never 0%.
This is a PRICE-based return. It does not know when you added money, which is what PERSONAL_RETURN answers — the two will differ, and both are right about different questions.</t>
        </is>
      </c>
      <c r="J5" t="inlineStr"/>
      <c r="K5" t="inlineStr">
        <is>
          <t>Yes</t>
        </is>
      </c>
      <c r="L5" t="inlineStr">
        <is>
          <t>VERIFIED 2026-08-22</t>
        </is>
      </c>
    </row>
    <row r="6">
      <c r="A6" t="inlineStr">
        <is>
          <t>MK-XS-M-005</t>
        </is>
      </c>
      <c r="B6" t="inlineStr">
        <is>
          <t>Home · Cashflow</t>
        </is>
      </c>
      <c r="C6" t="inlineStr">
        <is>
          <t>NA</t>
        </is>
      </c>
      <c r="D6" t="inlineStr">
        <is>
          <t>Spent so far · Spent $X of $Y left to spend this month</t>
        </is>
      </c>
      <c r="E6" t="inlineStr">
        <is>
          <t>bva.spent_total</t>
        </is>
      </c>
      <c r="F6" t="inlineStr">
        <is>
          <t>NOT IN OLD MASTER — budgetVsActual, src/domain/budget</t>
        </is>
      </c>
      <c r="G6" t="inlineStr">
        <is>
          <t>MK-XS-E-005</t>
        </is>
      </c>
      <c r="H6" t="inlineStr">
        <is>
          <t>spent(bucket) = Σ(expenses dated in this month in that bucket, debt payments excluded);  remaining = planned − spent</t>
        </is>
      </c>
      <c r="I6" t="inlineStr">
        <is>
          <t>Adds up this month’s logged expenses by bucket and sets each against what was planned. Debt payments are deliberately left out, because debt is tracked on its own.</t>
        </is>
      </c>
      <c r="J6" t="inlineStr"/>
      <c r="K6" t="inlineStr">
        <is>
          <t>Yes</t>
        </is>
      </c>
      <c r="L6" t="inlineStr">
        <is>
          <t>VERIFIED 2026-08-22</t>
        </is>
      </c>
    </row>
    <row r="7">
      <c r="A7" t="inlineStr">
        <is>
          <t>MK-XS-M-006</t>
        </is>
      </c>
      <c r="B7" t="inlineStr">
        <is>
          <t>Home · Cashflow</t>
        </is>
      </c>
      <c r="C7" t="inlineStr">
        <is>
          <t>NA</t>
        </is>
      </c>
      <c r="D7" t="inlineStr">
        <is>
          <t>Income · In (received) · In (take-home)</t>
        </is>
      </c>
      <c r="E7" t="inlineStr">
        <is>
          <t>thisMonthNet</t>
        </is>
      </c>
      <c r="F7" t="inlineStr">
        <is>
          <t>NOT IN OLD MASTER — incomeMonthlyGrid, src/domain/income</t>
        </is>
      </c>
      <c r="G7" t="inlineStr">
        <is>
          <t>MK-XS-E-006</t>
        </is>
      </c>
      <c r="H7" t="inlineStr">
        <is>
          <t>money in month m = salary(m) + tips(m) + rental ÷ 12 + bonus(m) + equity vesting(m) − withholding(m) − pre-tax contributions(m)</t>
        </is>
      </c>
      <c r="I7" t="inlineStr">
        <is>
          <t>Builds twelve months of money in, one month at a time. Salary comes from the per-month table, equity lands in the months it vests, the bonus lands in its own month, and each month has its own withholding rate.</t>
        </is>
      </c>
      <c r="J7" t="inlineStr"/>
      <c r="K7" t="inlineStr">
        <is>
          <t>Yes</t>
        </is>
      </c>
      <c r="L7" t="inlineStr">
        <is>
          <t>VERIFIED 2026-08-22</t>
        </is>
      </c>
    </row>
    <row r="8">
      <c r="A8" t="inlineStr">
        <is>
          <t>MK-XS-M-007</t>
        </is>
      </c>
      <c r="B8" t="inlineStr">
        <is>
          <t>Home · Cashflow</t>
        </is>
      </c>
      <c r="C8" t="inlineStr">
        <is>
          <t>NA</t>
        </is>
      </c>
      <c r="D8" t="inlineStr">
        <is>
          <t>Left / Over · left to spend this month</t>
        </is>
      </c>
      <c r="E8" t="inlineStr">
        <is>
          <t>left</t>
        </is>
      </c>
      <c r="F8" t="inlineStr">
        <is>
          <t>worked out on the screen: money in − spent so far</t>
        </is>
      </c>
      <c r="G8" t="inlineStr"/>
      <c r="H8" t="inlineStr">
        <is>
          <t>left to spend = money in this month − spent so far</t>
        </is>
      </c>
      <c r="I8" t="inlineStr">
        <is>
          <t>Worked out on the screen itself, with no engine behind it — a place a second definition can appear.</t>
        </is>
      </c>
      <c r="J8" t="inlineStr"/>
      <c r="K8" t="inlineStr">
        <is>
          <t>Yes</t>
        </is>
      </c>
      <c r="L8" t="inlineStr">
        <is>
          <t>VERIFIED 2026-08-22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1" customWidth="1" min="10" max="10"/>
    <col width="20" customWidth="1" min="11" max="11"/>
    <col width="18" customWidth="1" min="12" max="12"/>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Your name for it (72-metric file)</t>
        </is>
      </c>
      <c r="K1" s="1" t="inlineStr">
        <is>
          <t>Core screen?</t>
        </is>
      </c>
      <c r="L1" s="1" t="inlineStr">
        <is>
          <t>Row status</t>
        </is>
      </c>
    </row>
    <row r="2">
      <c r="A2" t="inlineStr">
        <is>
          <t>MK-HM-M-001</t>
        </is>
      </c>
      <c r="B2" t="inlineStr">
        <is>
          <t>Home</t>
        </is>
      </c>
      <c r="C2" t="inlineStr">
        <is>
          <t>NA</t>
        </is>
      </c>
      <c r="D2" t="inlineStr">
        <is>
          <t>prices updated &lt;when&gt;</t>
        </is>
      </c>
      <c r="E2" t="inlineStr">
        <is>
          <t>freshness</t>
        </is>
      </c>
      <c r="F2" t="inlineStr">
        <is>
          <t>PRICE_FRESHNESS</t>
        </is>
      </c>
      <c r="G2" t="inlineStr">
        <is>
          <t>MK-HM-E-001</t>
        </is>
      </c>
      <c r="H2" t="inlineStr">
        <is>
          <t>age = now − the moment prices were last fetched;  stale when age &gt; the freshness limit</t>
        </is>
      </c>
      <c r="I2"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t="inlineStr"/>
      <c r="K2" t="inlineStr">
        <is>
          <t>Yes</t>
        </is>
      </c>
      <c r="L2" t="inlineStr">
        <is>
          <t>VERIFIED 2026-08-22</t>
        </is>
      </c>
    </row>
    <row r="3">
      <c r="A3" t="inlineStr">
        <is>
          <t>MK-HM-M-002</t>
        </is>
      </c>
      <c r="B3" t="inlineStr">
        <is>
          <t>Home</t>
        </is>
      </c>
      <c r="C3" t="inlineStr">
        <is>
          <t>NA</t>
        </is>
      </c>
      <c r="D3" t="inlineStr">
        <is>
          <t>Your net worth just crossed X</t>
        </is>
      </c>
      <c r="E3" t="inlineStr">
        <is>
          <t>milestone</t>
        </is>
      </c>
      <c r="F3" t="inlineStr">
        <is>
          <t>NOT IN OLD MASTER — milestoneCrossed, src/domain/milestones.ts</t>
        </is>
      </c>
      <c r="G3" t="inlineStr">
        <is>
          <t>MK-HM-E-002</t>
        </is>
      </c>
      <c r="H3" t="inlineStr">
        <is>
          <t>crossed when net worth ≥ the next round mark above the highest mark already seen</t>
        </is>
      </c>
      <c r="I3" t="inlineStr">
        <is>
          <t>Notices when net worth passes a round number for the first time, and remembers the highest one already shown so the same milestone is never announced twice.</t>
        </is>
      </c>
      <c r="J3" t="inlineStr"/>
      <c r="K3" t="inlineStr">
        <is>
          <t>Yes</t>
        </is>
      </c>
      <c r="L3" t="inlineStr">
        <is>
          <t>VERIFIED 2026-08-22</t>
        </is>
      </c>
    </row>
    <row r="4">
      <c r="A4" t="inlineStr">
        <is>
          <t>MK-HM-M-003</t>
        </is>
      </c>
      <c r="B4" t="inlineStr">
        <is>
          <t>Home</t>
        </is>
      </c>
      <c r="C4" t="inlineStr">
        <is>
          <t>NA</t>
        </is>
      </c>
      <c r="D4" t="inlineStr">
        <is>
          <t>Needs your attention (1, 2, 3)</t>
        </is>
      </c>
      <c r="E4" t="inlineStr">
        <is>
          <t>topInsights</t>
        </is>
      </c>
      <c r="F4" t="inlineStr">
        <is>
          <t>NOT IN OLD MASTER — useInsights, src/domain/insights</t>
        </is>
      </c>
      <c r="G4" t="inlineStr">
        <is>
          <t>MK-HM-E-003</t>
        </is>
      </c>
      <c r="H4" t="inlineStr">
        <is>
          <t>each insight scores its own dollars at stake; the list = the highest few, ranked</t>
        </is>
      </c>
      <c r="I4" t="inlineStr">
        <is>
          <t>Works out what is worth saying today, puts a dollar amount against each, and shows the few that matter most.</t>
        </is>
      </c>
      <c r="J4" t="inlineStr"/>
      <c r="K4" t="inlineStr">
        <is>
          <t>Yes</t>
        </is>
      </c>
      <c r="L4" t="inlineStr">
        <is>
          <t>VERIFIED 2026-08-22</t>
        </is>
      </c>
    </row>
    <row r="5">
      <c r="A5" t="inlineStr">
        <is>
          <t>MK-HM-M-004</t>
        </is>
      </c>
      <c r="B5" t="inlineStr">
        <is>
          <t>Home</t>
        </is>
      </c>
      <c r="C5" t="inlineStr">
        <is>
          <t>NA</t>
        </is>
      </c>
      <c r="D5" t="inlineStr">
        <is>
          <t>&lt;n&gt;% spent · day n of m</t>
        </is>
      </c>
      <c r="E5" t="inlineStr">
        <is>
          <t>pctSpent</t>
        </is>
      </c>
      <c r="F5" t="inlineStr">
        <is>
          <t>worked out on the screen: spent so far ÷ money in</t>
        </is>
      </c>
      <c r="G5" t="inlineStr"/>
      <c r="H5" t="inlineStr">
        <is>
          <t>share spent = spent so far ÷ money in this month</t>
        </is>
      </c>
      <c r="I5" t="inlineStr">
        <is>
          <t>Worked out on the screen itself, with no engine behind it — a place a second definition can appear.</t>
        </is>
      </c>
      <c r="J5" t="inlineStr"/>
      <c r="K5" t="inlineStr">
        <is>
          <t>Yes</t>
        </is>
      </c>
      <c r="L5" t="inlineStr">
        <is>
          <t>VERIFIED 2026-08-22</t>
        </is>
      </c>
    </row>
    <row r="6">
      <c r="A6" t="inlineStr"/>
      <c r="B6" t="inlineStr">
        <is>
          <t>Home</t>
        </is>
      </c>
      <c r="C6" t="inlineStr">
        <is>
          <t>/add-account</t>
        </is>
      </c>
      <c r="D6" t="inlineStr">
        <is>
          <t>—</t>
        </is>
      </c>
      <c r="E6" t="inlineStr">
        <is>
          <t>—</t>
        </is>
      </c>
      <c r="F6" t="inlineStr">
        <is>
          <t>—</t>
        </is>
      </c>
      <c r="G6" t="inlineStr"/>
      <c r="H6" t="inlineStr"/>
      <c r="I6" t="inlineStr"/>
      <c r="J6" t="inlineStr"/>
      <c r="K6" t="inlineStr">
        <is>
          <t>Yes</t>
        </is>
      </c>
      <c r="L6" t="inlineStr">
        <is>
          <t>READ 2026-08-22 — no calculated figure on this screen</t>
        </is>
      </c>
    </row>
    <row r="7">
      <c r="A7" t="inlineStr"/>
      <c r="B7" t="inlineStr">
        <is>
          <t>Home</t>
        </is>
      </c>
      <c r="C7" t="inlineStr">
        <is>
          <t>/connect</t>
        </is>
      </c>
      <c r="D7" t="inlineStr">
        <is>
          <t>—</t>
        </is>
      </c>
      <c r="E7" t="inlineStr">
        <is>
          <t>—</t>
        </is>
      </c>
      <c r="F7" t="inlineStr">
        <is>
          <t>—</t>
        </is>
      </c>
      <c r="G7" t="inlineStr"/>
      <c r="H7" t="inlineStr"/>
      <c r="I7" t="inlineStr"/>
      <c r="J7" t="inlineStr"/>
      <c r="K7" t="inlineStr">
        <is>
          <t>Yes</t>
        </is>
      </c>
      <c r="L7" t="inlineStr">
        <is>
          <t>READ 2026-08-22 — no calculated figure on this screen</t>
        </is>
      </c>
    </row>
    <row r="8">
      <c r="A8" t="inlineStr"/>
      <c r="B8" t="inlineStr">
        <is>
          <t>Home</t>
        </is>
      </c>
      <c r="C8" t="inlineStr">
        <is>
          <t>/import-holdings</t>
        </is>
      </c>
      <c r="D8" t="inlineStr">
        <is>
          <t>—</t>
        </is>
      </c>
      <c r="E8" t="inlineStr">
        <is>
          <t>—</t>
        </is>
      </c>
      <c r="F8" t="inlineStr">
        <is>
          <t>—</t>
        </is>
      </c>
      <c r="G8" t="inlineStr"/>
      <c r="H8" t="inlineStr"/>
      <c r="I8" t="inlineStr"/>
      <c r="J8" t="inlineStr"/>
      <c r="K8" t="inlineStr">
        <is>
          <t>Yes</t>
        </is>
      </c>
      <c r="L8" t="inlineStr">
        <is>
          <t>READ 2026-08-22 — no calculated figure on this screen</t>
        </is>
      </c>
    </row>
    <row r="9">
      <c r="A9" t="inlineStr"/>
      <c r="B9" t="inlineStr">
        <is>
          <t>Home</t>
        </is>
      </c>
      <c r="C9" t="inlineStr">
        <is>
          <t>/onboarding</t>
        </is>
      </c>
      <c r="D9" t="inlineStr">
        <is>
          <t>—</t>
        </is>
      </c>
      <c r="E9" t="inlineStr">
        <is>
          <t>—</t>
        </is>
      </c>
      <c r="F9" t="inlineStr">
        <is>
          <t>—</t>
        </is>
      </c>
      <c r="G9" t="inlineStr"/>
      <c r="H9" t="inlineStr"/>
      <c r="I9" t="inlineStr"/>
      <c r="J9" t="inlineStr"/>
      <c r="K9" t="inlineStr">
        <is>
          <t>Yes</t>
        </is>
      </c>
      <c r="L9" t="inlineStr">
        <is>
          <t>READ 2026-08-22 — no calculated figure on this screen</t>
        </is>
      </c>
    </row>
    <row r="10">
      <c r="A10" t="inlineStr"/>
      <c r="B10" t="inlineStr">
        <is>
          <t>Home</t>
        </is>
      </c>
      <c r="C10" t="inlineStr">
        <is>
          <t>/performance</t>
        </is>
      </c>
      <c r="D10" t="inlineStr">
        <is>
          <t>—</t>
        </is>
      </c>
      <c r="E10" t="inlineStr">
        <is>
          <t>—</t>
        </is>
      </c>
      <c r="F10" t="inlineStr">
        <is>
          <t>—</t>
        </is>
      </c>
      <c r="G10" t="inlineStr"/>
      <c r="H10" t="inlineStr"/>
      <c r="I10" t="inlineStr"/>
      <c r="J10" t="inlineStr"/>
      <c r="K10" t="inlineStr">
        <is>
          <t>Yes</t>
        </is>
      </c>
      <c r="L10" t="inlineStr">
        <is>
          <t>READ 2026-08-22 — the same screen as /invest, reached by a second route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9"/>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1" customWidth="1" min="10" max="10"/>
    <col width="20" customWidth="1" min="11" max="11"/>
    <col width="18" customWidth="1" min="12" max="12"/>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Your name for it (72-metric file)</t>
        </is>
      </c>
      <c r="K1" s="1" t="inlineStr">
        <is>
          <t>Core screen?</t>
        </is>
      </c>
      <c r="L1" s="1" t="inlineStr">
        <is>
          <t>Row status</t>
        </is>
      </c>
    </row>
    <row r="2">
      <c r="A2" t="inlineStr">
        <is>
          <t>MK-NW-M-001</t>
        </is>
      </c>
      <c r="B2" t="inlineStr">
        <is>
          <t>Networth</t>
        </is>
      </c>
      <c r="C2" t="inlineStr">
        <is>
          <t>NA</t>
        </is>
      </c>
      <c r="D2" t="inlineStr">
        <is>
          <t>Change in net worth +$X</t>
        </is>
      </c>
      <c r="E2" t="inlineStr">
        <is>
          <t>changeThisYear</t>
        </is>
      </c>
      <c r="F2" t="inlineStr">
        <is>
          <t>TREND_SERIES</t>
        </is>
      </c>
      <c r="G2" t="inlineStr">
        <is>
          <t>MK-NW-E-001</t>
        </is>
      </c>
      <c r="H2" t="inlineStr">
        <is>
          <t>the line is the recorded net worth at each point;  change over the year = net worth today − net worth at the first point of the year</t>
        </is>
      </c>
      <c r="I2"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2" t="inlineStr"/>
      <c r="K2" t="inlineStr">
        <is>
          <t>Yes</t>
        </is>
      </c>
      <c r="L2" t="inlineStr">
        <is>
          <t>VERIFIED 2026-08-22</t>
        </is>
      </c>
    </row>
    <row r="3">
      <c r="A3" t="inlineStr">
        <is>
          <t>MK-NW-M-002</t>
        </is>
      </c>
      <c r="B3" t="inlineStr">
        <is>
          <t>Networth</t>
        </is>
      </c>
      <c r="C3" t="inlineStr">
        <is>
          <t>NA</t>
        </is>
      </c>
      <c r="D3" t="inlineStr">
        <is>
          <t>Return on cash + investments ±X%</t>
        </is>
      </c>
      <c r="E3" t="inlineStr">
        <is>
          <t>invPct</t>
        </is>
      </c>
      <c r="F3" t="inlineStr">
        <is>
          <t>NW_CHANGE_PCT</t>
        </is>
      </c>
      <c r="G3" t="inlineStr">
        <is>
          <t>MK-NW-E-002</t>
        </is>
      </c>
      <c r="H3" t="inlineStr">
        <is>
          <t>return = (investable now − investable then) ÷ investable then — money paid in or taken out is NOT removed, so a deposit shows up as a gain</t>
        </is>
      </c>
      <c r="I3" t="inlineStr">
        <is>
          <t>(today's investable − the baseline value) ÷ the baseline value.
The baseline is the EARLIEST stored daily point on or after the baseline date. The house is left out because it only moves when someone retypes it, which would otherwise read as a market gain.
No history → NO percentage. It is never back-guessed, which is right.
THE DEFECT IS WHAT THE BASELINE IS. It is whatever day the app happened to be opened, not a date a person chose. If the only stored point was written after a fall, the fall is invisible and the small recovery since reads as a gain — which is exactly how a −4.2% year showed as +2.0%.</t>
        </is>
      </c>
      <c r="J3" t="inlineStr"/>
      <c r="K3" t="inlineStr">
        <is>
          <t>Yes</t>
        </is>
      </c>
      <c r="L3" t="inlineStr">
        <is>
          <t>VERIFIED 2026-08-22</t>
        </is>
      </c>
    </row>
    <row r="4">
      <c r="A4" t="inlineStr">
        <is>
          <t>MK-NW-M-003</t>
        </is>
      </c>
      <c r="B4" t="inlineStr">
        <is>
          <t>Networth</t>
        </is>
      </c>
      <c r="C4" t="inlineStr">
        <is>
          <t>NA</t>
        </is>
      </c>
      <c r="D4" t="inlineStr">
        <is>
          <t>the trend line</t>
        </is>
      </c>
      <c r="E4" t="inlineStr">
        <is>
          <t>series</t>
        </is>
      </c>
      <c r="F4" t="inlineStr">
        <is>
          <t>TREND_SERIES</t>
        </is>
      </c>
      <c r="G4" t="inlineStr">
        <is>
          <t>MK-NW-E-001</t>
        </is>
      </c>
      <c r="H4" t="inlineStr">
        <is>
          <t>the line is the recorded net worth at each point;  change over the year = net worth today − net worth at the first point of the year</t>
        </is>
      </c>
      <c r="I4"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4" t="inlineStr"/>
      <c r="K4" t="inlineStr">
        <is>
          <t>Yes</t>
        </is>
      </c>
      <c r="L4" t="inlineStr">
        <is>
          <t>VERIFIED 2026-08-22</t>
        </is>
      </c>
    </row>
    <row r="5">
      <c r="A5" t="inlineStr">
        <is>
          <t>MK-NW-M-004</t>
        </is>
      </c>
      <c r="B5" t="inlineStr">
        <is>
          <t>Networth</t>
        </is>
      </c>
      <c r="C5" t="inlineStr">
        <is>
          <t>NA</t>
        </is>
      </c>
      <c r="D5" t="inlineStr">
        <is>
          <t>WHAT YOU OWN</t>
        </is>
      </c>
      <c r="E5" t="inlineStr">
        <is>
          <t>totalAssets</t>
        </is>
      </c>
      <c r="F5" t="inlineStr">
        <is>
          <t>ACCOUNT_SHARE_OF_TOTAL</t>
        </is>
      </c>
      <c r="G5" t="inlineStr">
        <is>
          <t>MK-NW-E-003</t>
        </is>
      </c>
      <c r="H5" t="inlineStr">
        <is>
          <t>assets = Σ(balance of every account);  share of an account = balance ÷ assets</t>
        </is>
      </c>
      <c r="I5" t="inlineStr">
        <is>
          <t>Each account's share = its balance ÷ the total, so the shares add to 100. The blended return is weighted by money, not an average of the rates.
No money at all → every share is 0 and a stated default return is used, rather than dividing by nothing.</t>
        </is>
      </c>
      <c r="J5" t="inlineStr"/>
      <c r="K5" t="inlineStr">
        <is>
          <t>Yes</t>
        </is>
      </c>
      <c r="L5" t="inlineStr">
        <is>
          <t>VERIFIED 2026-08-22</t>
        </is>
      </c>
    </row>
    <row r="6">
      <c r="A6" t="inlineStr">
        <is>
          <t>MK-NW-M-005</t>
        </is>
      </c>
      <c r="B6" t="inlineStr">
        <is>
          <t>Networth</t>
        </is>
      </c>
      <c r="C6" t="inlineStr">
        <is>
          <t>NA</t>
        </is>
      </c>
      <c r="D6" t="inlineStr">
        <is>
          <t>💵 CASH</t>
        </is>
      </c>
      <c r="E6" t="inlineStr">
        <is>
          <t>cashOnHand</t>
        </is>
      </c>
      <c r="F6" t="inlineStr">
        <is>
          <t>TOTAL_CASH</t>
        </is>
      </c>
      <c r="G6" t="inlineStr">
        <is>
          <t>MK-NW-E-004</t>
        </is>
      </c>
      <c r="H6" t="inlineStr">
        <is>
          <t>cash = Σ(balance of each account whose class = Cash)</t>
        </is>
      </c>
      <c r="I6" t="inlineStr">
        <is>
          <t>Add up the balances of every account whose class is Cash. Under the founder's 2026-08-04 rule that means checking, savings, high-yield savings and the uninvested sweep at a broker — and NOT money-market funds, which pay dividends and are measured with the investments.</t>
        </is>
      </c>
      <c r="J6" t="inlineStr"/>
      <c r="K6" t="inlineStr">
        <is>
          <t>Yes</t>
        </is>
      </c>
      <c r="L6" t="inlineStr">
        <is>
          <t>VERIFIED 2026-08-22</t>
        </is>
      </c>
    </row>
    <row r="7">
      <c r="A7" t="inlineStr">
        <is>
          <t>MK-NW-M-006</t>
        </is>
      </c>
      <c r="B7" t="inlineStr">
        <is>
          <t>Networth</t>
        </is>
      </c>
      <c r="C7" t="inlineStr">
        <is>
          <t>NA</t>
        </is>
      </c>
      <c r="D7" t="inlineStr">
        <is>
          <t>🏠 PERSONAL PROPERTY</t>
        </is>
      </c>
      <c r="E7" t="inlineStr">
        <is>
          <t>sectionTotals</t>
        </is>
      </c>
      <c r="F7" t="inlineStr">
        <is>
          <t>ACCOUNT_SHARE_OF_TOTAL</t>
        </is>
      </c>
      <c r="G7" t="inlineStr">
        <is>
          <t>MK-NW-E-003</t>
        </is>
      </c>
      <c r="H7" t="inlineStr">
        <is>
          <t>assets = Σ(balance of every account);  share of an account = balance ÷ assets</t>
        </is>
      </c>
      <c r="I7" t="inlineStr">
        <is>
          <t>Each account's share = its balance ÷ the total, so the shares add to 100. The blended return is weighted by money, not an average of the rates.
No money at all → every share is 0 and a stated default return is used, rather than dividing by nothing.</t>
        </is>
      </c>
      <c r="J7" t="inlineStr"/>
      <c r="K7" t="inlineStr">
        <is>
          <t>Yes</t>
        </is>
      </c>
      <c r="L7" t="inlineStr">
        <is>
          <t>VERIFIED 2026-08-22</t>
        </is>
      </c>
    </row>
    <row r="8">
      <c r="A8" t="inlineStr">
        <is>
          <t>MK-NW-M-007</t>
        </is>
      </c>
      <c r="B8" t="inlineStr">
        <is>
          <t>Networth</t>
        </is>
      </c>
      <c r="C8" t="inlineStr">
        <is>
          <t>NA</t>
        </is>
      </c>
      <c r="D8" t="inlineStr">
        <is>
          <t>class rows — by class, institution or type</t>
        </is>
      </c>
      <c r="E8" t="inlineStr">
        <is>
          <t>classRows</t>
        </is>
      </c>
      <c r="F8" t="inlineStr">
        <is>
          <t>ALLOCATION_BY_CLASS</t>
        </is>
      </c>
      <c r="G8" t="inlineStr">
        <is>
          <t>MK-NW-E-005</t>
        </is>
      </c>
      <c r="H8" t="inlineStr">
        <is>
          <t>value in class k = Σ(balance of accounts in class k);  share(k) = value(k) ÷ Σ value</t>
        </is>
      </c>
      <c r="I8" t="inlineStr">
        <is>
          <t>For every account: if it has its own breakdown (an account holding several classes at once), add each piece to its own class. Otherwise put the WHOLE balance in the one class the account resolves to. Round each total to the cent at the end, never during.
The totals must add to total assets — this is what the donut draws, so any leak shows as a wrong slice.</t>
        </is>
      </c>
      <c r="J8" t="inlineStr"/>
      <c r="K8" t="inlineStr">
        <is>
          <t>Yes</t>
        </is>
      </c>
      <c r="L8" t="inlineStr">
        <is>
          <t>VERIFIED 2026-08-22</t>
        </is>
      </c>
    </row>
    <row r="9">
      <c r="A9" t="inlineStr">
        <is>
          <t>MK-NW-M-008</t>
        </is>
      </c>
      <c r="B9" t="inlineStr">
        <is>
          <t>Networth</t>
        </is>
      </c>
      <c r="C9" t="inlineStr">
        <is>
          <t>NA</t>
        </is>
      </c>
      <c r="D9" t="inlineStr">
        <is>
          <t>each account and its balance</t>
        </is>
      </c>
      <c r="E9" t="inlineStr">
        <is>
          <t>a.balance</t>
        </is>
      </c>
      <c r="F9" t="inlineStr">
        <is>
          <t>ACCOUNT_SPLIT</t>
        </is>
      </c>
      <c r="G9" t="inlineStr">
        <is>
          <t>MK-NW-E-006</t>
        </is>
      </c>
      <c r="H9" t="inlineStr">
        <is>
          <t>for one account: value in class k = balance × weight(k), where Σ weight(k) = 1</t>
        </is>
      </c>
      <c r="I9"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9" t="inlineStr"/>
      <c r="K9" t="inlineStr">
        <is>
          <t>Yes</t>
        </is>
      </c>
      <c r="L9" t="inlineStr">
        <is>
          <t>VERIFIED 2026-08-22</t>
        </is>
      </c>
    </row>
    <row r="10">
      <c r="A10" t="inlineStr">
        <is>
          <t>MK-NW-M-009</t>
        </is>
      </c>
      <c r="B10" t="inlineStr">
        <is>
          <t>Networth</t>
        </is>
      </c>
      <c r="C10" t="inlineStr">
        <is>
          <t>NA</t>
        </is>
      </c>
      <c r="D10" t="inlineStr">
        <is>
          <t>WHAT YOU OWE · 💳 DEBTS</t>
        </is>
      </c>
      <c r="E10" t="inlineStr">
        <is>
          <t>dState.total_debt_balance</t>
        </is>
      </c>
      <c r="F10" t="inlineStr">
        <is>
          <t>DEBT_PICTURE</t>
        </is>
      </c>
      <c r="G10" t="inlineStr">
        <is>
          <t>MK-NW-E-007</t>
        </is>
      </c>
      <c r="H10" t="inlineStr">
        <is>
          <t>owed = Σ(remaining balance);  monthly debt payments = Σ(required payment of each debt)</t>
        </is>
      </c>
      <c r="I10"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0" t="inlineStr"/>
      <c r="K10" t="inlineStr">
        <is>
          <t>Yes</t>
        </is>
      </c>
      <c r="L10" t="inlineStr">
        <is>
          <t>VERIFIED 2026-08-22</t>
        </is>
      </c>
    </row>
    <row r="11">
      <c r="A11" t="inlineStr">
        <is>
          <t>MK-NW-M-010</t>
        </is>
      </c>
      <c r="B11" t="inlineStr">
        <is>
          <t>Networth</t>
        </is>
      </c>
      <c r="C11" t="inlineStr">
        <is>
          <t>NA</t>
        </is>
      </c>
      <c r="D11" t="inlineStr">
        <is>
          <t>each debt and what is left on it</t>
        </is>
      </c>
      <c r="E11" t="inlineStr">
        <is>
          <t>d.remaining_balance</t>
        </is>
      </c>
      <c r="F11" t="inlineStr">
        <is>
          <t>DEBT_PICTURE</t>
        </is>
      </c>
      <c r="G11" t="inlineStr">
        <is>
          <t>MK-NW-E-007</t>
        </is>
      </c>
      <c r="H11" t="inlineStr">
        <is>
          <t>owed = Σ(remaining balance);  monthly debt payments = Σ(required payment of each debt)</t>
        </is>
      </c>
      <c r="I11"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1" t="inlineStr"/>
      <c r="K11" t="inlineStr">
        <is>
          <t>Yes</t>
        </is>
      </c>
      <c r="L11" t="inlineStr">
        <is>
          <t>VERIFIED 2026-08-22</t>
        </is>
      </c>
    </row>
    <row r="12">
      <c r="A12" t="inlineStr">
        <is>
          <t>MK-NW-M-011</t>
        </is>
      </c>
      <c r="B12" t="inlineStr">
        <is>
          <t>Networth</t>
        </is>
      </c>
      <c r="C12" t="inlineStr">
        <is>
          <t>NA</t>
        </is>
      </c>
      <c r="D12" t="inlineStr">
        <is>
          <t>minimum monthly payment on a debt</t>
        </is>
      </c>
      <c r="E12" t="inlineStr">
        <is>
          <t>d.minimum_monthly_payment</t>
        </is>
      </c>
      <c r="F12" t="inlineStr">
        <is>
          <t>DEBT_REQUIRED_PAYMENT</t>
        </is>
      </c>
      <c r="G12" t="inlineStr">
        <is>
          <t>MK-NW-E-008</t>
        </is>
      </c>
      <c r="H12" t="inlineStr">
        <is>
          <t>required payment = the stated minimum, or interest + 1% of balance when none is stated</t>
        </is>
      </c>
      <c r="I12" t="inlineStr">
        <is>
          <t>Due in full → 0. It is a dated bill, and calling it a monthly payment overstates what a person is committed to. Otherwise the LARGER of the minimum and whatever payment they have chosen, so overpaying on purpose shows up.</t>
        </is>
      </c>
      <c r="J12" t="inlineStr"/>
      <c r="K12" t="inlineStr">
        <is>
          <t>Yes</t>
        </is>
      </c>
      <c r="L12" t="inlineStr">
        <is>
          <t>VERIFIED 2026-08-22</t>
        </is>
      </c>
    </row>
    <row r="13">
      <c r="A13" t="inlineStr">
        <is>
          <t>MK-NW-M-012</t>
        </is>
      </c>
      <c r="B13" t="inlineStr">
        <is>
          <t>Networth</t>
        </is>
      </c>
      <c r="C13" t="inlineStr">
        <is>
          <t>NA</t>
        </is>
      </c>
      <c r="D13" t="inlineStr">
        <is>
          <t>Monthly debt payments $X/mo</t>
        </is>
      </c>
      <c r="E13" t="inlineStr">
        <is>
          <t>dState.total_monthly_debt_service</t>
        </is>
      </c>
      <c r="F13" t="inlineStr">
        <is>
          <t>DEBT_PICTURE</t>
        </is>
      </c>
      <c r="G13" t="inlineStr">
        <is>
          <t>MK-NW-E-007</t>
        </is>
      </c>
      <c r="H13" t="inlineStr">
        <is>
          <t>owed = Σ(remaining balance);  monthly debt payments = Σ(required payment of each debt)</t>
        </is>
      </c>
      <c r="I13"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3" t="inlineStr"/>
      <c r="K13" t="inlineStr">
        <is>
          <t>Yes</t>
        </is>
      </c>
      <c r="L13" t="inlineStr">
        <is>
          <t>VERIFIED 2026-08-22</t>
        </is>
      </c>
    </row>
    <row r="14">
      <c r="A14" t="inlineStr">
        <is>
          <t>MK-NW-M-013</t>
        </is>
      </c>
      <c r="B14" t="inlineStr">
        <is>
          <t>Networth</t>
        </is>
      </c>
      <c r="C14" t="inlineStr">
        <is>
          <t>NA</t>
        </is>
      </c>
      <c r="D14" t="inlineStr">
        <is>
          <t>EMERGENCY CUSHION — X.X months</t>
        </is>
      </c>
      <c r="E14" t="inlineStr">
        <is>
          <t>runwayMonths</t>
        </is>
      </c>
      <c r="F14" t="inlineStr">
        <is>
          <t>worked out on the screen: cash ÷ a typical month of essentials</t>
        </is>
      </c>
      <c r="G14" t="inlineStr"/>
      <c r="H14" t="inlineStr">
        <is>
          <t>cushion in months = cash ÷ essentials a month</t>
        </is>
      </c>
      <c r="I14" t="inlineStr">
        <is>
          <t>Worked out on the screen itself, with no engine behind it — a place a second definition can appear.</t>
        </is>
      </c>
      <c r="J14" t="inlineStr"/>
      <c r="K14" t="inlineStr">
        <is>
          <t>Yes</t>
        </is>
      </c>
      <c r="L14" t="inlineStr">
        <is>
          <t>VERIFIED 2026-08-22</t>
        </is>
      </c>
    </row>
    <row r="15">
      <c r="A15" t="inlineStr">
        <is>
          <t>MK-NW-M-014</t>
        </is>
      </c>
      <c r="B15" t="inlineStr">
        <is>
          <t>Networth</t>
        </is>
      </c>
      <c r="C15" t="inlineStr">
        <is>
          <t>NA</t>
        </is>
      </c>
      <c r="D15" t="inlineStr">
        <is>
          <t>of essentials covered by your cash — $X cash ÷ $Y/mo essentials</t>
        </is>
      </c>
      <c r="E15" t="inlineStr">
        <is>
          <t>cashOnHand / monthlySpend</t>
        </is>
      </c>
      <c r="F15" t="inlineStr">
        <is>
          <t>TOTAL_CASH · PLANNED_SPENDING</t>
        </is>
      </c>
      <c r="G15" t="inlineStr">
        <is>
          <t>MK-NW-E-009</t>
        </is>
      </c>
      <c r="H15" t="inlineStr">
        <is>
          <t>months of cushion = cash ÷ essentials a month</t>
        </is>
      </c>
      <c r="I15" t="inlineStr">
        <is>
          <t>Add up the balances of every account whose class is Cash. Under the founder's 2026-08-04 rule that means checking, savings, high-yield savings and the uninvested sweep at a broker — and NOT money-market funds, which pay dividends and are measured with the investments. · 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5" t="inlineStr"/>
      <c r="K15" t="inlineStr">
        <is>
          <t>Yes</t>
        </is>
      </c>
      <c r="L15" t="inlineStr">
        <is>
          <t>VERIFIED 2026-08-22</t>
        </is>
      </c>
    </row>
    <row r="16">
      <c r="A16" t="inlineStr">
        <is>
          <t>MK-NW-M-015</t>
        </is>
      </c>
      <c r="B16" t="inlineStr">
        <is>
          <t>Networth</t>
        </is>
      </c>
      <c r="C16" t="inlineStr">
        <is>
          <t>NA</t>
        </is>
      </c>
      <c r="D16" t="inlineStr">
        <is>
          <t>YOUR RETIREMENT PLAN — on track for $X by age Y</t>
        </is>
      </c>
      <c r="E16" t="inlineStr">
        <is>
          <t>pathAhead</t>
        </is>
      </c>
      <c r="F16" t="inlineStr">
        <is>
          <t>POT_AT_RETIREMENT</t>
        </is>
      </c>
      <c r="G16" t="inlineStr">
        <is>
          <t>MK-NW-E-010</t>
        </is>
      </c>
      <c r="H16" t="inlineStr">
        <is>
          <t>pot = balance × (1 + r)^n + Σ(contribution × (1 + r)^(n − year)),  n = years to retirement</t>
        </is>
      </c>
      <c r="I16"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16" t="inlineStr"/>
      <c r="K16" t="inlineStr">
        <is>
          <t>Yes</t>
        </is>
      </c>
      <c r="L16" t="inlineStr">
        <is>
          <t>VERIFIED 2026-08-22</t>
        </is>
      </c>
    </row>
    <row r="17">
      <c r="A17" t="inlineStr">
        <is>
          <t>MK-NW-M-016</t>
        </is>
      </c>
      <c r="B17" t="inlineStr">
        <is>
          <t>Networth</t>
        </is>
      </c>
      <c r="C17" t="inlineStr">
        <is>
          <t>NA</t>
        </is>
      </c>
      <c r="D17" t="inlineStr">
        <is>
          <t>Net worth so far (setup)</t>
        </is>
      </c>
      <c r="E17" t="inlineStr">
        <is>
          <t>nw.net_worth</t>
        </is>
      </c>
      <c r="F17" t="inlineStr">
        <is>
          <t>NET_WORTH</t>
        </is>
      </c>
      <c r="G17" t="inlineStr">
        <is>
          <t>MK-XS-E-001</t>
        </is>
      </c>
      <c r="H17" t="inlineStr">
        <is>
          <t>net worth = Σ(all asset balances) − Σ(all debt balances)</t>
        </is>
      </c>
      <c r="I17"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17" t="inlineStr"/>
      <c r="K17" t="inlineStr">
        <is>
          <t>Yes</t>
        </is>
      </c>
      <c r="L17" t="inlineStr">
        <is>
          <t>VERIFIED 2026-08-22</t>
        </is>
      </c>
    </row>
    <row r="18">
      <c r="A18" t="inlineStr">
        <is>
          <t>MK-NW-M-017</t>
        </is>
      </c>
      <c r="B18" t="inlineStr">
        <is>
          <t>Networth</t>
        </is>
      </c>
      <c r="C18" t="inlineStr">
        <is>
          <t>NA</t>
        </is>
      </c>
      <c r="D18" t="inlineStr">
        <is>
          <t>Assets $X − Debts $Y = Net worth $Z</t>
        </is>
      </c>
      <c r="E18" t="inlineStr">
        <is>
          <t>totalAssets / dState.total_debt_balance</t>
        </is>
      </c>
      <c r="F18" t="inlineStr">
        <is>
          <t>NET_WORTH · DEBT_PICTURE</t>
        </is>
      </c>
      <c r="G18" t="inlineStr">
        <is>
          <t>MK-NW-E-011</t>
        </is>
      </c>
      <c r="H18" t="inlineStr">
        <is>
          <t>net worth = Σ(assets) − Σ(debts);  debts = Σ(remaining balance of each debt)</t>
        </is>
      </c>
      <c r="I18"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 · 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8" t="inlineStr"/>
      <c r="K18" t="inlineStr">
        <is>
          <t>Yes</t>
        </is>
      </c>
      <c r="L18" t="inlineStr">
        <is>
          <t>VERIFIED 2026-08-22</t>
        </is>
      </c>
    </row>
    <row r="19">
      <c r="A19" t="inlineStr">
        <is>
          <t>MK-NW-M-018</t>
        </is>
      </c>
      <c r="B19" t="inlineStr">
        <is>
          <t>Networth</t>
        </is>
      </c>
      <c r="C19" t="inlineStr">
        <is>
          <t>/account-detail</t>
        </is>
      </c>
      <c r="D19" t="inlineStr">
        <is>
          <t>Market value</t>
        </is>
      </c>
      <c r="E19" t="inlineStr">
        <is>
          <t>account.balance</t>
        </is>
      </c>
      <c r="F19" t="inlineStr">
        <is>
          <t>HAND_VALUE_AGE</t>
        </is>
      </c>
      <c r="G19" t="inlineStr">
        <is>
          <t>MK-NW-E-012</t>
        </is>
      </c>
      <c r="H19" t="inlineStr">
        <is>
          <t>value = the balance last recorded;  age = today − date it was recorded</t>
        </is>
      </c>
      <c r="I19"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9" t="inlineStr"/>
      <c r="K19" t="inlineStr">
        <is>
          <t>Yes</t>
        </is>
      </c>
      <c r="L19" t="inlineStr">
        <is>
          <t>VERIFIED 2026-08-22</t>
        </is>
      </c>
    </row>
    <row r="20">
      <c r="A20" t="inlineStr">
        <is>
          <t>MK-NW-M-019</t>
        </is>
      </c>
      <c r="B20" t="inlineStr">
        <is>
          <t>Networth</t>
        </is>
      </c>
      <c r="C20" t="inlineStr">
        <is>
          <t>/account-detail</t>
        </is>
      </c>
      <c r="D20" t="inlineStr">
        <is>
          <t>Income</t>
        </is>
      </c>
      <c r="E20" t="inlineStr">
        <is>
          <t>acctIncome</t>
        </is>
      </c>
      <c r="F20" t="inlineStr">
        <is>
          <t>the ledger sum of interest and dividends for the account</t>
        </is>
      </c>
      <c r="G20" t="inlineStr">
        <is>
          <t>MK-NW-E-013</t>
        </is>
      </c>
      <c r="H20" t="inlineStr">
        <is>
          <t>income = Σ(interest + dividends recorded on this account in the period)</t>
        </is>
      </c>
      <c r="I20" t="inlineStr">
        <is>
          <t>Adds the income lines the ledger holds for this account over the period shown.</t>
        </is>
      </c>
      <c r="J20" t="inlineStr"/>
      <c r="K20" t="inlineStr">
        <is>
          <t>Yes</t>
        </is>
      </c>
      <c r="L20" t="inlineStr">
        <is>
          <t>VERIFIED 2026-08-22</t>
        </is>
      </c>
    </row>
    <row r="21">
      <c r="A21" t="inlineStr">
        <is>
          <t>MK-NW-M-020</t>
        </is>
      </c>
      <c r="B21" t="inlineStr">
        <is>
          <t>Networth</t>
        </is>
      </c>
      <c r="C21" t="inlineStr">
        <is>
          <t>/account-detail</t>
        </is>
      </c>
      <c r="D21" t="inlineStr">
        <is>
          <t>each asset class inside the account</t>
        </is>
      </c>
      <c r="E21" t="inlineStr">
        <is>
          <t>breakdown[k]</t>
        </is>
      </c>
      <c r="F21" t="inlineStr">
        <is>
          <t>ACCOUNT_SPLIT</t>
        </is>
      </c>
      <c r="G21" t="inlineStr">
        <is>
          <t>MK-NW-E-006</t>
        </is>
      </c>
      <c r="H21" t="inlineStr">
        <is>
          <t>for one account: value in class k = balance × weight(k), where Σ weight(k) = 1</t>
        </is>
      </c>
      <c r="I21"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21" t="inlineStr"/>
      <c r="K21" t="inlineStr">
        <is>
          <t>Yes</t>
        </is>
      </c>
      <c r="L21" t="inlineStr">
        <is>
          <t>VERIFIED 2026-08-22</t>
        </is>
      </c>
    </row>
    <row r="22">
      <c r="A22" t="inlineStr">
        <is>
          <t>MK-NW-M-021</t>
        </is>
      </c>
      <c r="B22" t="inlineStr">
        <is>
          <t>Networth</t>
        </is>
      </c>
      <c r="C22" t="inlineStr">
        <is>
          <t>/account-detail</t>
        </is>
      </c>
      <c r="D22" t="inlineStr">
        <is>
          <t>Income: &lt;amount&gt; on a holding row</t>
        </is>
      </c>
      <c r="E22" t="inlineStr">
        <is>
          <t>incomeOf(rw)</t>
        </is>
      </c>
      <c r="F22" t="inlineStr">
        <is>
          <t>the ledger sum for that holding</t>
        </is>
      </c>
      <c r="G22" t="inlineStr">
        <is>
          <t>MK-NW-E-014</t>
        </is>
      </c>
      <c r="H22" t="inlineStr">
        <is>
          <t>income = Σ(income lines recorded against this holding)</t>
        </is>
      </c>
      <c r="I22" t="inlineStr">
        <is>
          <t>Adds the income the ledger holds for that one holding.</t>
        </is>
      </c>
      <c r="J22" t="inlineStr"/>
      <c r="K22" t="inlineStr">
        <is>
          <t>Yes</t>
        </is>
      </c>
      <c r="L22" t="inlineStr">
        <is>
          <t>VERIFIED 2026-08-22</t>
        </is>
      </c>
    </row>
    <row r="23">
      <c r="A23" t="inlineStr">
        <is>
          <t>MK-NW-M-022</t>
        </is>
      </c>
      <c r="B23" t="inlineStr">
        <is>
          <t>Networth</t>
        </is>
      </c>
      <c r="C23" t="inlineStr">
        <is>
          <t>/account-detail</t>
        </is>
      </c>
      <c r="D23" t="inlineStr">
        <is>
          <t>ACTIVITY — n records</t>
        </is>
      </c>
      <c r="E23" t="inlineStr">
        <is>
          <t>txns.length</t>
        </is>
      </c>
      <c r="F23" t="inlineStr">
        <is>
          <t>HISTORY_DEPTH</t>
        </is>
      </c>
      <c r="G23" t="inlineStr">
        <is>
          <t>MK-NW-E-015</t>
        </is>
      </c>
      <c r="H23" t="inlineStr">
        <is>
          <t>records = count(transactions held for this account)</t>
        </is>
      </c>
      <c r="I23" t="inlineStr">
        <is>
          <t>Take the earliest valid date in this sync and keep whichever is earlier — it or what we already had. Depth only ever grows; a shallower sync never shortens it. Unreadable dates are ignored, and a sync with no activity leaves the answer untouched.
It exists because brokers back-fill DIFFERENT depths — one sends a year, the next ninety days. Without knowing the depth, a "past year" income figure silently understates, so year-scale figures label themselves with this date.</t>
        </is>
      </c>
      <c r="J23" t="inlineStr"/>
      <c r="K23" t="inlineStr">
        <is>
          <t>Yes</t>
        </is>
      </c>
      <c r="L23" t="inlineStr">
        <is>
          <t>VERIFIED 2026-08-22</t>
        </is>
      </c>
    </row>
    <row r="24">
      <c r="A24" t="inlineStr">
        <is>
          <t>MK-NW-M-023</t>
        </is>
      </c>
      <c r="B24" t="inlineStr">
        <is>
          <t>Networth</t>
        </is>
      </c>
      <c r="C24" t="inlineStr">
        <is>
          <t>/account-detail</t>
        </is>
      </c>
      <c r="D24" t="inlineStr">
        <is>
          <t>Face value</t>
        </is>
      </c>
      <c r="E24" t="inlineStr">
        <is>
          <t>b.face</t>
        </is>
      </c>
      <c r="F24" t="inlineStr">
        <is>
          <t>BOND_FACTS</t>
        </is>
      </c>
      <c r="G24" t="inlineStr">
        <is>
          <t>MK-NW-E-016</t>
        </is>
      </c>
      <c r="H24" t="inlineStr">
        <is>
          <t>face, coupon rate and maturity as recorded;  bonds total = Σ(value of each bond),  face total = Σ(face)</t>
        </is>
      </c>
      <c r="I24" t="inlineStr">
        <is>
          <t>Reads the stored bond fields off the holding and computes its yields. A holding with none of them is not a bond and returns nothing.</t>
        </is>
      </c>
      <c r="J24" t="inlineStr"/>
      <c r="K24" t="inlineStr">
        <is>
          <t>Yes</t>
        </is>
      </c>
      <c r="L24" t="inlineStr">
        <is>
          <t>VERIFIED 2026-08-22</t>
        </is>
      </c>
    </row>
    <row r="25">
      <c r="A25" t="inlineStr">
        <is>
          <t>MK-NW-M-024</t>
        </is>
      </c>
      <c r="B25" t="inlineStr">
        <is>
          <t>Networth</t>
        </is>
      </c>
      <c r="C25" t="inlineStr">
        <is>
          <t>/account-detail</t>
        </is>
      </c>
      <c r="D25" t="inlineStr">
        <is>
          <t>Interest payments — X%/yr · $Y/yr</t>
        </is>
      </c>
      <c r="E25" t="inlineStr">
        <is>
          <t>annualCoupon(b)</t>
        </is>
      </c>
      <c r="F25" t="inlineStr">
        <is>
          <t>BOND_COUPON</t>
        </is>
      </c>
      <c r="G25" t="inlineStr">
        <is>
          <t>MK-NW-E-017</t>
        </is>
      </c>
      <c r="H25" t="inlineStr">
        <is>
          <t>annual coupon = face × coupon rate</t>
        </is>
      </c>
      <c r="I25" t="inlineStr">
        <is>
          <t>face value × coupon rate. NOT what the bond is worth today × the rate — a $10,000 bond paying 4% pays $400 whether it is trading at $9,800 or $11,000.</t>
        </is>
      </c>
      <c r="J25" t="inlineStr"/>
      <c r="K25" t="inlineStr">
        <is>
          <t>Yes</t>
        </is>
      </c>
      <c r="L25" t="inlineStr">
        <is>
          <t>VERIFIED 2026-08-22</t>
        </is>
      </c>
    </row>
    <row r="26">
      <c r="A26" t="inlineStr">
        <is>
          <t>MK-NW-M-025</t>
        </is>
      </c>
      <c r="B26" t="inlineStr">
        <is>
          <t>Networth</t>
        </is>
      </c>
      <c r="C26" t="inlineStr">
        <is>
          <t>/account-detail</t>
        </is>
      </c>
      <c r="D26" t="inlineStr">
        <is>
          <t>Matures — &lt;date&gt; (n years away)</t>
        </is>
      </c>
      <c r="E26" t="inlineStr">
        <is>
          <t>years</t>
        </is>
      </c>
      <c r="F26" t="inlineStr">
        <is>
          <t>BOND_YEARS_LEFT</t>
        </is>
      </c>
      <c r="G26" t="inlineStr">
        <is>
          <t>MK-NW-E-018</t>
        </is>
      </c>
      <c r="H26" t="inlineStr">
        <is>
          <t>years to maturity = (maturity date − today) ÷ 365</t>
        </is>
      </c>
      <c r="I26" t="inlineStr">
        <is>
          <t>maturity date − today, in years. Anything already past → 0. No maturity date → 0, treated as due now rather than as never.</t>
        </is>
      </c>
      <c r="J26" t="inlineStr"/>
      <c r="K26" t="inlineStr">
        <is>
          <t>Yes</t>
        </is>
      </c>
      <c r="L26" t="inlineStr">
        <is>
          <t>VERIFIED 2026-08-22</t>
        </is>
      </c>
    </row>
    <row r="27">
      <c r="A27" t="inlineStr">
        <is>
          <t>MK-NW-M-026</t>
        </is>
      </c>
      <c r="B27" t="inlineStr">
        <is>
          <t>Networth</t>
        </is>
      </c>
      <c r="C27" t="inlineStr">
        <is>
          <t>/account-detail</t>
        </is>
      </c>
      <c r="D27" t="inlineStr">
        <is>
          <t>Yield if held to maturity</t>
        </is>
      </c>
      <c r="E27" t="inlineStr">
        <is>
          <t>ytm</t>
        </is>
      </c>
      <c r="F27" t="inlineStr">
        <is>
          <t>BOND_YIELD_TO_MATURITY</t>
        </is>
      </c>
      <c r="G27" t="inlineStr">
        <is>
          <t>MK-NW-E-019</t>
        </is>
      </c>
      <c r="H27" t="inlineStr">
        <is>
          <t>y solves: value = Σ(coupon ÷ (1+y)ᵗ) + face ÷ (1+y)ⁿ,  t = 1…n years to maturity</t>
        </is>
      </c>
      <c r="I27" t="inlineStr">
        <is>
          <t>Adds the pull back to face value to the running income:
(annual coupon + (face − value) ÷ years left) ÷ ((face + value) ÷ 2).
A bond bought below face gains as it matures, so this comes out above the current yield. Already matured, or no value → no answer, never zero.</t>
        </is>
      </c>
      <c r="J27" t="inlineStr"/>
      <c r="K27" t="inlineStr">
        <is>
          <t>Yes</t>
        </is>
      </c>
      <c r="L27" t="inlineStr">
        <is>
          <t>VERIFIED 2026-08-22</t>
        </is>
      </c>
    </row>
    <row r="28">
      <c r="A28" t="inlineStr">
        <is>
          <t>MK-NW-M-027</t>
        </is>
      </c>
      <c r="B28" t="inlineStr">
        <is>
          <t>Networth</t>
        </is>
      </c>
      <c r="C28" t="inlineStr">
        <is>
          <t>/account-detail</t>
        </is>
      </c>
      <c r="D28" t="inlineStr">
        <is>
          <t>Yield on today's value</t>
        </is>
      </c>
      <c r="E28" t="inlineStr">
        <is>
          <t>cy</t>
        </is>
      </c>
      <c r="F28" t="inlineStr">
        <is>
          <t>BOND_CURRENT_YIELD</t>
        </is>
      </c>
      <c r="G28" t="inlineStr">
        <is>
          <t>MK-NW-E-020</t>
        </is>
      </c>
      <c r="H28" t="inlineStr">
        <is>
          <t>current yield = annual coupon ÷ current value</t>
        </is>
      </c>
      <c r="I28" t="inlineStr">
        <is>
          <t>annual coupon ÷ current value. A bond bought at a discount yields MORE than its stated coupon; one bought at a premium yields less. No value → no answer, never a division by zero.</t>
        </is>
      </c>
      <c r="J28" t="inlineStr"/>
      <c r="K28" t="inlineStr">
        <is>
          <t>Yes</t>
        </is>
      </c>
      <c r="L28" t="inlineStr">
        <is>
          <t>VERIFIED 2026-08-22</t>
        </is>
      </c>
    </row>
    <row r="29">
      <c r="A29" t="inlineStr">
        <is>
          <t>MK-NW-M-028</t>
        </is>
      </c>
      <c r="B29" t="inlineStr">
        <is>
          <t>Networth</t>
        </is>
      </c>
      <c r="C29" t="inlineStr">
        <is>
          <t>/account-detail</t>
        </is>
      </c>
      <c r="D29" t="inlineStr">
        <is>
          <t>Rates rise 1% → value roughly $X–$Y</t>
        </is>
      </c>
      <c r="E29" t="inlineStr">
        <is>
          <t>sens.ratesUp</t>
        </is>
      </c>
      <c r="F29" t="inlineStr">
        <is>
          <t>BOND_RATE_SENSITIVITY</t>
        </is>
      </c>
      <c r="G29" t="inlineStr">
        <is>
          <t>MK-NW-E-021</t>
        </is>
      </c>
      <c r="H29" t="inlineStr">
        <is>
          <t>change in value ≈ − duration × change in rate × value</t>
        </is>
      </c>
      <c r="I29" t="inlineStr">
        <is>
          <t>Shows roughly what a one percent move in interest rates would do to the bond's value. Longer to maturity means a bigger swing. An illustration, not a forecast.</t>
        </is>
      </c>
      <c r="J29" t="inlineStr"/>
      <c r="K29" t="inlineStr">
        <is>
          <t>Yes</t>
        </is>
      </c>
      <c r="L29" t="inlineStr">
        <is>
          <t>VERIFIED 2026-08-22</t>
        </is>
      </c>
    </row>
    <row r="30">
      <c r="A30" t="inlineStr">
        <is>
          <t>MK-NW-M-029</t>
        </is>
      </c>
      <c r="B30" t="inlineStr">
        <is>
          <t>Networth</t>
        </is>
      </c>
      <c r="C30" t="inlineStr">
        <is>
          <t>/holding-detail</t>
        </is>
      </c>
      <c r="D30" t="inlineStr">
        <is>
          <t>CURRENT PRICE · LIVE</t>
        </is>
      </c>
      <c r="E30" t="inlineStr">
        <is>
          <t>price</t>
        </is>
      </c>
      <c r="F30" t="inlineStr">
        <is>
          <t>the price feed, with its freshness</t>
        </is>
      </c>
      <c r="G30" t="inlineStr">
        <is>
          <t>MK-NW-E-022</t>
        </is>
      </c>
      <c r="H30" t="inlineStr">
        <is>
          <t>price = the latest close from the feed, with the time it was fetched</t>
        </is>
      </c>
      <c r="I30" t="inlineStr">
        <is>
          <t>The most recent price the feed gave, carrying the moment it was fetched so staleness can be shown.</t>
        </is>
      </c>
      <c r="J30" t="inlineStr"/>
      <c r="K30" t="inlineStr">
        <is>
          <t>Yes</t>
        </is>
      </c>
      <c r="L30" t="inlineStr">
        <is>
          <t>VERIFIED 2026-08-22</t>
        </is>
      </c>
    </row>
    <row r="31">
      <c r="A31" t="inlineStr">
        <is>
          <t>MK-NW-M-030</t>
        </is>
      </c>
      <c r="B31" t="inlineStr">
        <is>
          <t>Networth</t>
        </is>
      </c>
      <c r="C31" t="inlineStr">
        <is>
          <t>/holding-detail</t>
        </is>
      </c>
      <c r="D31" t="inlineStr">
        <is>
          <t>Current value</t>
        </is>
      </c>
      <c r="E31" t="inlineStr">
        <is>
          <t>value</t>
        </is>
      </c>
      <c r="F31" t="inlineStr">
        <is>
          <t>HOLDING_MARKET_VALUE</t>
        </is>
      </c>
      <c r="G31" t="inlineStr">
        <is>
          <t>MK-NW-E-023</t>
        </is>
      </c>
      <c r="H31" t="inlineStr">
        <is>
          <t>value = quantity × latest price</t>
        </is>
      </c>
      <c r="I31" t="inlineStr">
        <is>
          <t>shares × latest price.
NO PRICE MEANS ZERO, NOT A GUESS. An unpriced holding contributes nothing and the screen says the price is missing — it is never valued at what it cost, which would silently report a gain of exactly zero.</t>
        </is>
      </c>
      <c r="J31" t="inlineStr"/>
      <c r="K31" t="inlineStr">
        <is>
          <t>Yes</t>
        </is>
      </c>
      <c r="L31" t="inlineStr">
        <is>
          <t>VERIFIED 2026-08-22</t>
        </is>
      </c>
    </row>
    <row r="32">
      <c r="A32" t="inlineStr">
        <is>
          <t>MK-NW-M-031</t>
        </is>
      </c>
      <c r="B32" t="inlineStr">
        <is>
          <t>Networth</t>
        </is>
      </c>
      <c r="C32" t="inlineStr">
        <is>
          <t>/holding-detail</t>
        </is>
      </c>
      <c r="D32" t="inlineStr">
        <is>
          <t>Quantity — n shares</t>
        </is>
      </c>
      <c r="E32" t="inlineStr">
        <is>
          <t>shares</t>
        </is>
      </c>
      <c r="F32" t="inlineStr">
        <is>
          <t>HOLDING_SHARES</t>
        </is>
      </c>
      <c r="G32" t="inlineStr">
        <is>
          <t>MK-NW-E-024</t>
        </is>
      </c>
      <c r="H32" t="inlineStr">
        <is>
          <t>quantity = Σ(shares bought) − Σ(shares sold)</t>
        </is>
      </c>
      <c r="I32" t="inlineStr">
        <is>
          <t>Add the shares across every purchase lot. A position is the SUM OF ITS LOTS, never one stored figure — that is what makes gain-since-purchase possible.</t>
        </is>
      </c>
      <c r="J32" t="inlineStr"/>
      <c r="K32" t="inlineStr">
        <is>
          <t>Yes</t>
        </is>
      </c>
      <c r="L32" t="inlineStr">
        <is>
          <t>VERIFIED 2026-08-22</t>
        </is>
      </c>
    </row>
    <row r="33">
      <c r="A33" t="inlineStr">
        <is>
          <t>MK-NW-M-032</t>
        </is>
      </c>
      <c r="B33" t="inlineStr">
        <is>
          <t>Networth</t>
        </is>
      </c>
      <c r="C33" t="inlineStr">
        <is>
          <t>/holding-detail</t>
        </is>
      </c>
      <c r="D33" t="inlineStr">
        <is>
          <t>Price paid (average)</t>
        </is>
      </c>
      <c r="E33" t="inlineStr">
        <is>
          <t>rawAvg</t>
        </is>
      </c>
      <c r="F33" t="inlineStr">
        <is>
          <t>HOLDING_COST_BASIS</t>
        </is>
      </c>
      <c r="G33" t="inlineStr">
        <is>
          <t>MK-NW-E-025</t>
        </is>
      </c>
      <c r="H33" t="inlineStr">
        <is>
          <t>total paid = Σ(shares in each lot × price paid in that lot);  average = total paid ÷ quantity</t>
        </is>
      </c>
      <c r="I33" t="inlineStr">
        <is>
          <t>Add shares × cost per share across every lot. A lot with no cost recorded contributes nothing, but its shares still count as owned.</t>
        </is>
      </c>
      <c r="J33" t="inlineStr"/>
      <c r="K33" t="inlineStr">
        <is>
          <t>Yes</t>
        </is>
      </c>
      <c r="L33" t="inlineStr">
        <is>
          <t>VERIFIED 2026-08-22</t>
        </is>
      </c>
    </row>
    <row r="34">
      <c r="A34" t="inlineStr">
        <is>
          <t>MK-NW-M-033</t>
        </is>
      </c>
      <c r="B34" t="inlineStr">
        <is>
          <t>Networth</t>
        </is>
      </c>
      <c r="C34" t="inlineStr">
        <is>
          <t>/holding-detail</t>
        </is>
      </c>
      <c r="D34" t="inlineStr">
        <is>
          <t>Total paid</t>
        </is>
      </c>
      <c r="E34" t="inlineStr">
        <is>
          <t>basis</t>
        </is>
      </c>
      <c r="F34" t="inlineStr">
        <is>
          <t>HOLDING_COST_BASIS</t>
        </is>
      </c>
      <c r="G34" t="inlineStr">
        <is>
          <t>MK-NW-E-025</t>
        </is>
      </c>
      <c r="H34" t="inlineStr">
        <is>
          <t>total paid = Σ(shares in each lot × price paid in that lot);  average = total paid ÷ quantity</t>
        </is>
      </c>
      <c r="I34" t="inlineStr">
        <is>
          <t>Add shares × cost per share across every lot. A lot with no cost recorded contributes nothing, but its shares still count as owned.</t>
        </is>
      </c>
      <c r="J34" t="inlineStr"/>
      <c r="K34" t="inlineStr">
        <is>
          <t>Yes</t>
        </is>
      </c>
      <c r="L34" t="inlineStr">
        <is>
          <t>VERIFIED 2026-08-22</t>
        </is>
      </c>
    </row>
    <row r="35">
      <c r="A35" t="inlineStr">
        <is>
          <t>MK-NW-M-034</t>
        </is>
      </c>
      <c r="B35" t="inlineStr">
        <is>
          <t>Networth</t>
        </is>
      </c>
      <c r="C35" t="inlineStr">
        <is>
          <t>/holding-detail</t>
        </is>
      </c>
      <c r="D35" t="inlineStr">
        <is>
          <t>Dividends received (12 mo)</t>
        </is>
      </c>
      <c r="E35" t="inlineStr">
        <is>
          <t>dividends.trailing12</t>
        </is>
      </c>
      <c r="F35" t="inlineStr">
        <is>
          <t>the ledger sum of dividends over twelve months</t>
        </is>
      </c>
      <c r="G35" t="inlineStr">
        <is>
          <t>MK-NW-E-026</t>
        </is>
      </c>
      <c r="H35" t="inlineStr">
        <is>
          <t>dividends = Σ(dividend lines in the last 12 months)</t>
        </is>
      </c>
      <c r="I35" t="inlineStr">
        <is>
          <t>Adds the dividends recorded for this holding over the last twelve months.</t>
        </is>
      </c>
      <c r="J35" t="inlineStr"/>
      <c r="K35" t="inlineStr">
        <is>
          <t>Yes</t>
        </is>
      </c>
      <c r="L35" t="inlineStr">
        <is>
          <t>VERIFIED 2026-08-22</t>
        </is>
      </c>
    </row>
    <row r="36">
      <c r="A36" t="inlineStr">
        <is>
          <t>MK-NW-M-035</t>
        </is>
      </c>
      <c r="B36" t="inlineStr">
        <is>
          <t>Networth</t>
        </is>
      </c>
      <c r="C36" t="inlineStr">
        <is>
          <t>/holding-detail</t>
        </is>
      </c>
      <c r="D36" t="inlineStr">
        <is>
          <t>Realized gain from your buys and sells</t>
        </is>
      </c>
      <c r="E36" t="inlineStr">
        <is>
          <t>realized</t>
        </is>
      </c>
      <c r="F36" t="inlineStr">
        <is>
          <t>REALISED_GAIN</t>
        </is>
      </c>
      <c r="G36" t="inlineStr">
        <is>
          <t>MK-NW-E-027</t>
        </is>
      </c>
      <c r="H36" t="inlineStr">
        <is>
          <t>realised gain = Σ over sales of (proceeds − cost of the shares sold, oldest first)</t>
        </is>
      </c>
      <c r="I36" t="inlineStr">
        <is>
          <t>Walk buys and sells in date order. Each sale consumes the OLDEST buy lots first, and the gain is proceeds minus the cost of the shares it consumed.
Lots are kept separately per account AND per ticker, so a Schwab holding never covers a Robinhood sale of the same share.
A SALE WITH NO RECORDED BUY CONTRIBUTES NOTHING and is counted separately, so the screen can say how much it could not see. A cost is never invented — inventing one would report the entire sale as profit.</t>
        </is>
      </c>
      <c r="J36" t="inlineStr"/>
      <c r="K36" t="inlineStr">
        <is>
          <t>Yes</t>
        </is>
      </c>
      <c r="L36" t="inlineStr">
        <is>
          <t>VERIFIED 2026-08-22</t>
        </is>
      </c>
    </row>
    <row r="37">
      <c r="A37" t="inlineStr">
        <is>
          <t>MK-NW-M-036</t>
        </is>
      </c>
      <c r="B37" t="inlineStr">
        <is>
          <t>Networth</t>
        </is>
      </c>
      <c r="C37" t="inlineStr">
        <is>
          <t>/holding-detail</t>
        </is>
      </c>
      <c r="D37" t="inlineStr">
        <is>
          <t>Gain — long-term (held over 1 yr)</t>
        </is>
      </c>
      <c r="E37" t="inlineStr">
        <is>
          <t>cg.longGain</t>
        </is>
      </c>
      <c r="F37" t="inlineStr">
        <is>
          <t>HOLDING_CAP_GAINS</t>
        </is>
      </c>
      <c r="G37" t="inlineStr">
        <is>
          <t>MK-NW-E-028</t>
        </is>
      </c>
      <c r="H37" t="inlineStr">
        <is>
          <t>per lot: gain = shares × (price − cost per share);  long-term if the lot was held ≥ 365 whole days, otherwise short-term;  a lot with no cost recorded is skipped</t>
        </is>
      </c>
      <c r="I37"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7" t="inlineStr"/>
      <c r="K37" t="inlineStr">
        <is>
          <t>Yes</t>
        </is>
      </c>
      <c r="L37" t="inlineStr">
        <is>
          <t>VERIFIED 2026-08-22</t>
        </is>
      </c>
    </row>
    <row r="38">
      <c r="A38" t="inlineStr">
        <is>
          <t>MK-NW-M-037</t>
        </is>
      </c>
      <c r="B38" t="inlineStr">
        <is>
          <t>Networth</t>
        </is>
      </c>
      <c r="C38" t="inlineStr">
        <is>
          <t>/holding-detail</t>
        </is>
      </c>
      <c r="D38" t="inlineStr">
        <is>
          <t>Gain — short-term (under 1 yr)</t>
        </is>
      </c>
      <c r="E38" t="inlineStr">
        <is>
          <t>cg.shortGain</t>
        </is>
      </c>
      <c r="F38" t="inlineStr">
        <is>
          <t>HOLDING_CAP_GAINS</t>
        </is>
      </c>
      <c r="G38" t="inlineStr">
        <is>
          <t>MK-NW-E-028</t>
        </is>
      </c>
      <c r="H38" t="inlineStr">
        <is>
          <t>per lot: gain = shares × (price − cost per share);  long-term if the lot was held ≥ 365 whole days, otherwise short-term;  a lot with no cost recorded is skipped</t>
        </is>
      </c>
      <c r="I38"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8" t="inlineStr"/>
      <c r="K38" t="inlineStr">
        <is>
          <t>Yes</t>
        </is>
      </c>
      <c r="L38" t="inlineStr">
        <is>
          <t>VERIFIED 2026-08-22</t>
        </is>
      </c>
    </row>
    <row r="39">
      <c r="A39" t="inlineStr">
        <is>
          <t>MK-NW-M-038</t>
        </is>
      </c>
      <c r="B39" t="inlineStr">
        <is>
          <t>Networth</t>
        </is>
      </c>
      <c r="C39" t="inlineStr">
        <is>
          <t>/itemize</t>
        </is>
      </c>
      <c r="D39" t="inlineStr">
        <is>
          <t>We keep the total at $X</t>
        </is>
      </c>
      <c r="E39" t="inlineStr">
        <is>
          <t>lump.balance</t>
        </is>
      </c>
      <c r="F39" t="inlineStr">
        <is>
          <t>the account balance being itemised</t>
        </is>
      </c>
      <c r="G39" t="inlineStr">
        <is>
          <t>MK-NW-E-029</t>
        </is>
      </c>
      <c r="H39" t="inlineStr">
        <is>
          <t>the balance of the account being broken into holdings</t>
        </is>
      </c>
      <c r="I39" t="inlineStr">
        <is>
          <t>The single account total that the holdings entered must add up to.</t>
        </is>
      </c>
      <c r="J39" t="inlineStr"/>
      <c r="K39" t="inlineStr">
        <is>
          <t>Yes</t>
        </is>
      </c>
      <c r="L39" t="inlineStr">
        <is>
          <t>VERIFIED 2026-08-22</t>
        </is>
      </c>
    </row>
    <row r="40">
      <c r="A40" t="inlineStr">
        <is>
          <t>MK-NW-M-039</t>
        </is>
      </c>
      <c r="B40" t="inlineStr">
        <is>
          <t>Networth</t>
        </is>
      </c>
      <c r="C40" t="inlineStr">
        <is>
          <t>/itemize</t>
        </is>
      </c>
      <c r="D40" t="inlineStr">
        <is>
          <t>$X of $Y itemized · remainder</t>
        </is>
      </c>
      <c r="E40" t="inlineStr">
        <is>
          <t>allocated / remainder</t>
        </is>
      </c>
      <c r="F40" t="inlineStr">
        <is>
          <t>worked out on the screen: total − what has been itemised</t>
        </is>
      </c>
      <c r="G40" t="inlineStr"/>
      <c r="H40" t="inlineStr">
        <is>
          <t>left to itemise = the account total − Σ(holdings entered)</t>
        </is>
      </c>
      <c r="I40" t="inlineStr">
        <is>
          <t>Worked out on the screen itself, with no engine behind it — a place a second definition can appear.</t>
        </is>
      </c>
      <c r="J40" t="inlineStr"/>
      <c r="K40" t="inlineStr">
        <is>
          <t>Yes</t>
        </is>
      </c>
      <c r="L40" t="inlineStr">
        <is>
          <t>VERIFIED 2026-08-22</t>
        </is>
      </c>
    </row>
    <row r="41">
      <c r="A41" t="inlineStr">
        <is>
          <t>MK-NW-M-040</t>
        </is>
      </c>
      <c r="B41" t="inlineStr">
        <is>
          <t>Networth</t>
        </is>
      </c>
      <c r="C41" t="inlineStr">
        <is>
          <t>/itemize</t>
        </is>
      </c>
      <c r="D41" t="inlineStr">
        <is>
          <t>each holding and its value</t>
        </is>
      </c>
      <c r="E41" t="inlineStr">
        <is>
          <t>h.value</t>
        </is>
      </c>
      <c r="F41" t="inlineStr">
        <is>
          <t>HOLDING_MARKET_VALUE</t>
        </is>
      </c>
      <c r="G41" t="inlineStr">
        <is>
          <t>MK-NW-E-023</t>
        </is>
      </c>
      <c r="H41" t="inlineStr">
        <is>
          <t>value = quantity × latest price</t>
        </is>
      </c>
      <c r="I41" t="inlineStr">
        <is>
          <t>shares × latest price.
NO PRICE MEANS ZERO, NOT A GUESS. An unpriced holding contributes nothing and the screen says the price is missing — it is never valued at what it cost, which would silently report a gain of exactly zero.</t>
        </is>
      </c>
      <c r="J41" t="inlineStr"/>
      <c r="K41" t="inlineStr">
        <is>
          <t>Yes</t>
        </is>
      </c>
      <c r="L41" t="inlineStr">
        <is>
          <t>VERIFIED 2026-08-22</t>
        </is>
      </c>
    </row>
    <row r="42">
      <c r="A42" t="inlineStr">
        <is>
          <t>MK-NW-M-041</t>
        </is>
      </c>
      <c r="B42" t="inlineStr">
        <is>
          <t>Networth</t>
        </is>
      </c>
      <c r="C42" t="inlineStr">
        <is>
          <t>/bonds</t>
        </is>
      </c>
      <c r="D42" t="inlineStr">
        <is>
          <t>total value of your bonds</t>
        </is>
      </c>
      <c r="E42" t="inlineStr">
        <is>
          <t>summary.totalValue</t>
        </is>
      </c>
      <c r="F42" t="inlineStr">
        <is>
          <t>BOND_FACTS</t>
        </is>
      </c>
      <c r="G42" t="inlineStr">
        <is>
          <t>MK-NW-E-016</t>
        </is>
      </c>
      <c r="H42" t="inlineStr">
        <is>
          <t>face, coupon rate and maturity as recorded;  bonds total = Σ(value of each bond),  face total = Σ(face)</t>
        </is>
      </c>
      <c r="I42" t="inlineStr">
        <is>
          <t>Reads the stored bond fields off the holding and computes its yields. A holding with none of them is not a bond and returns nothing.</t>
        </is>
      </c>
      <c r="J42" t="inlineStr"/>
      <c r="K42" t="inlineStr">
        <is>
          <t>Yes</t>
        </is>
      </c>
      <c r="L42" t="inlineStr">
        <is>
          <t>VERIFIED 2026-08-22</t>
        </is>
      </c>
    </row>
    <row r="43">
      <c r="A43" t="inlineStr">
        <is>
          <t>MK-NW-M-042</t>
        </is>
      </c>
      <c r="B43" t="inlineStr">
        <is>
          <t>Networth</t>
        </is>
      </c>
      <c r="C43" t="inlineStr">
        <is>
          <t>/bonds</t>
        </is>
      </c>
      <c r="D43" t="inlineStr">
        <is>
          <t>n bonds · face $X</t>
        </is>
      </c>
      <c r="E43" t="inlineStr">
        <is>
          <t>summary.totalFace</t>
        </is>
      </c>
      <c r="F43" t="inlineStr">
        <is>
          <t>BOND_FACTS</t>
        </is>
      </c>
      <c r="G43" t="inlineStr">
        <is>
          <t>MK-NW-E-016</t>
        </is>
      </c>
      <c r="H43" t="inlineStr">
        <is>
          <t>face, coupon rate and maturity as recorded;  bonds total = Σ(value of each bond),  face total = Σ(face)</t>
        </is>
      </c>
      <c r="I43" t="inlineStr">
        <is>
          <t>Reads the stored bond fields off the holding and computes its yields. A holding with none of them is not a bond and returns nothing.</t>
        </is>
      </c>
      <c r="J43" t="inlineStr"/>
      <c r="K43" t="inlineStr">
        <is>
          <t>Yes</t>
        </is>
      </c>
      <c r="L43" t="inlineStr">
        <is>
          <t>VERIFIED 2026-08-22</t>
        </is>
      </c>
    </row>
    <row r="44">
      <c r="A44" t="inlineStr">
        <is>
          <t>MK-NW-M-043</t>
        </is>
      </c>
      <c r="B44" t="inlineStr">
        <is>
          <t>Networth</t>
        </is>
      </c>
      <c r="C44" t="inlineStr">
        <is>
          <t>/bonds</t>
        </is>
      </c>
      <c r="D44" t="inlineStr">
        <is>
          <t>COUPON / YR</t>
        </is>
      </c>
      <c r="E44" t="inlineStr">
        <is>
          <t>summary.coupon</t>
        </is>
      </c>
      <c r="F44" t="inlineStr">
        <is>
          <t>BOND_COUPON</t>
        </is>
      </c>
      <c r="G44" t="inlineStr">
        <is>
          <t>MK-NW-E-017</t>
        </is>
      </c>
      <c r="H44" t="inlineStr">
        <is>
          <t>annual coupon = face × coupon rate</t>
        </is>
      </c>
      <c r="I44" t="inlineStr">
        <is>
          <t>face value × coupon rate. NOT what the bond is worth today × the rate — a $10,000 bond paying 4% pays $400 whether it is trading at $9,800 or $11,000.</t>
        </is>
      </c>
      <c r="J44" t="inlineStr"/>
      <c r="K44" t="inlineStr">
        <is>
          <t>Yes</t>
        </is>
      </c>
      <c r="L44" t="inlineStr">
        <is>
          <t>VERIFIED 2026-08-22</t>
        </is>
      </c>
    </row>
    <row r="45">
      <c r="A45" t="inlineStr">
        <is>
          <t>MK-NW-M-044</t>
        </is>
      </c>
      <c r="B45" t="inlineStr">
        <is>
          <t>Networth</t>
        </is>
      </c>
      <c r="C45" t="inlineStr">
        <is>
          <t>/bonds</t>
        </is>
      </c>
      <c r="D45" t="inlineStr">
        <is>
          <t>AVG YIELD</t>
        </is>
      </c>
      <c r="E45" t="inlineStr">
        <is>
          <t>summary.yield</t>
        </is>
      </c>
      <c r="F45" t="inlineStr">
        <is>
          <t>BOND_CURRENT_YIELD</t>
        </is>
      </c>
      <c r="G45" t="inlineStr">
        <is>
          <t>MK-NW-E-020</t>
        </is>
      </c>
      <c r="H45" t="inlineStr">
        <is>
          <t>current yield = annual coupon ÷ current value</t>
        </is>
      </c>
      <c r="I45" t="inlineStr">
        <is>
          <t>annual coupon ÷ current value. A bond bought at a discount yields MORE than its stated coupon; one bought at a premium yields less. No value → no answer, never a division by zero.</t>
        </is>
      </c>
      <c r="J45" t="inlineStr"/>
      <c r="K45" t="inlineStr">
        <is>
          <t>Yes</t>
        </is>
      </c>
      <c r="L45" t="inlineStr">
        <is>
          <t>VERIFIED 2026-08-22</t>
        </is>
      </c>
    </row>
    <row r="46">
      <c r="A46" t="inlineStr">
        <is>
          <t>MK-NW-M-045</t>
        </is>
      </c>
      <c r="B46" t="inlineStr">
        <is>
          <t>Networth</t>
        </is>
      </c>
      <c r="C46" t="inlineStr">
        <is>
          <t>/bonds</t>
        </is>
      </c>
      <c r="D46" t="inlineStr">
        <is>
          <t>each bond — face, coupon, yield</t>
        </is>
      </c>
      <c r="E46" t="inlineStr">
        <is>
          <t>bi</t>
        </is>
      </c>
      <c r="F46" t="inlineStr">
        <is>
          <t>BOND_FACTS · BOND_COUPON</t>
        </is>
      </c>
      <c r="G46" t="inlineStr">
        <is>
          <t>MK-NW-E-030</t>
        </is>
      </c>
      <c r="H46" t="inlineStr">
        <is>
          <t>annual coupon = face × coupon rate</t>
        </is>
      </c>
      <c r="I46" t="inlineStr">
        <is>
          <t>Reads the stored bond fields off the holding and computes its yields. A holding with none of them is not a bond and returns nothing. · face value × coupon rate. NOT what the bond is worth today × the rate — a $10,000 bond paying 4% pays $400 whether it is trading at $9,800 or $11,000.</t>
        </is>
      </c>
      <c r="J46" t="inlineStr"/>
      <c r="K46" t="inlineStr">
        <is>
          <t>Yes</t>
        </is>
      </c>
      <c r="L46" t="inlineStr">
        <is>
          <t>VERIFIED 2026-08-22</t>
        </is>
      </c>
    </row>
    <row r="47">
      <c r="A47" t="inlineStr"/>
      <c r="B47" t="inlineStr">
        <is>
          <t>Networth</t>
        </is>
      </c>
      <c r="C47" t="inlineStr">
        <is>
          <t>/add-account</t>
        </is>
      </c>
      <c r="D47" t="inlineStr">
        <is>
          <t>—</t>
        </is>
      </c>
      <c r="E47" t="inlineStr">
        <is>
          <t>—</t>
        </is>
      </c>
      <c r="F47" t="inlineStr">
        <is>
          <t>—</t>
        </is>
      </c>
      <c r="G47" t="inlineStr"/>
      <c r="H47" t="inlineStr"/>
      <c r="I47" t="inlineStr"/>
      <c r="J47" t="inlineStr"/>
      <c r="K47" t="inlineStr">
        <is>
          <t>Yes</t>
        </is>
      </c>
      <c r="L47" t="inlineStr">
        <is>
          <t>READ 2026-08-22 — no calculated figure on this screen</t>
        </is>
      </c>
    </row>
    <row r="48">
      <c r="A48" t="inlineStr"/>
      <c r="B48" t="inlineStr">
        <is>
          <t>Networth</t>
        </is>
      </c>
      <c r="C48" t="inlineStr">
        <is>
          <t>/connect</t>
        </is>
      </c>
      <c r="D48" t="inlineStr">
        <is>
          <t>—</t>
        </is>
      </c>
      <c r="E48" t="inlineStr">
        <is>
          <t>—</t>
        </is>
      </c>
      <c r="F48" t="inlineStr">
        <is>
          <t>—</t>
        </is>
      </c>
      <c r="G48" t="inlineStr"/>
      <c r="H48" t="inlineStr"/>
      <c r="I48" t="inlineStr"/>
      <c r="J48" t="inlineStr"/>
      <c r="K48" t="inlineStr">
        <is>
          <t>Yes</t>
        </is>
      </c>
      <c r="L48" t="inlineStr">
        <is>
          <t>READ 2026-08-22 — no calculated figure on this screen</t>
        </is>
      </c>
    </row>
    <row r="49">
      <c r="A49" t="inlineStr"/>
      <c r="B49" t="inlineStr">
        <is>
          <t>Networth</t>
        </is>
      </c>
      <c r="C49" t="inlineStr">
        <is>
          <t>/import-holdings</t>
        </is>
      </c>
      <c r="D49" t="inlineStr">
        <is>
          <t>—</t>
        </is>
      </c>
      <c r="E49" t="inlineStr">
        <is>
          <t>—</t>
        </is>
      </c>
      <c r="F49" t="inlineStr">
        <is>
          <t>—</t>
        </is>
      </c>
      <c r="G49" t="inlineStr"/>
      <c r="H49" t="inlineStr"/>
      <c r="I49" t="inlineStr"/>
      <c r="J49" t="inlineStr"/>
      <c r="K49" t="inlineStr">
        <is>
          <t>Yes</t>
        </is>
      </c>
      <c r="L49" t="inlineStr">
        <is>
          <t>READ 2026-08-22 — no calculated figure on this screen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1" customWidth="1" min="10" max="10"/>
    <col width="20" customWidth="1" min="11" max="11"/>
    <col width="18" customWidth="1" min="12" max="12"/>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Your name for it (72-metric file)</t>
        </is>
      </c>
      <c r="K1" s="1" t="inlineStr">
        <is>
          <t>Core screen?</t>
        </is>
      </c>
      <c r="L1" s="1" t="inlineStr">
        <is>
          <t>Row status</t>
        </is>
      </c>
    </row>
    <row r="2">
      <c r="A2" t="inlineStr">
        <is>
          <t>MK-PF-M-001</t>
        </is>
      </c>
      <c r="B2" t="inlineStr">
        <is>
          <t>Performance</t>
        </is>
      </c>
      <c r="C2" t="inlineStr">
        <is>
          <t>NA</t>
        </is>
      </c>
      <c r="D2" t="inlineStr">
        <is>
          <t>Ending value</t>
        </is>
      </c>
      <c r="E2" t="inlineStr">
        <is>
          <t>walk.ending</t>
        </is>
      </c>
      <c r="F2" t="inlineStr">
        <is>
          <t>NW_CHANGE_WALK</t>
        </is>
      </c>
      <c r="G2" t="inlineStr">
        <is>
          <t>MK-PF-E-001</t>
        </is>
      </c>
      <c r="H2" t="inlineStr">
        <is>
          <t>ending = beginning + money in − money out + income − costs + market change  (the identity that must close)</t>
        </is>
      </c>
      <c r="I2"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2" t="inlineStr"/>
      <c r="K2" t="inlineStr">
        <is>
          <t>Yes</t>
        </is>
      </c>
      <c r="L2" t="inlineStr">
        <is>
          <t>VERIFIED 2026-08-22</t>
        </is>
      </c>
    </row>
    <row r="3">
      <c r="A3" t="inlineStr">
        <is>
          <t>MK-PF-M-002</t>
        </is>
      </c>
      <c r="B3" t="inlineStr">
        <is>
          <t>Performance</t>
        </is>
      </c>
      <c r="C3" t="inlineStr">
        <is>
          <t>NA</t>
        </is>
      </c>
      <c r="D3" t="inlineStr">
        <is>
          <t>Wealth generated</t>
        </is>
      </c>
      <c r="E3" t="inlineStr">
        <is>
          <t>walk.wealthGenerated</t>
        </is>
      </c>
      <c r="F3" t="inlineStr">
        <is>
          <t>NW_CHANGE_WALK</t>
        </is>
      </c>
      <c r="G3" t="inlineStr">
        <is>
          <t>MK-PF-E-001</t>
        </is>
      </c>
      <c r="H3" t="inlineStr">
        <is>
          <t>ending = beginning + money in − money out + income − costs + market change  (the identity that must close)</t>
        </is>
      </c>
      <c r="I3"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3" t="inlineStr"/>
      <c r="K3" t="inlineStr">
        <is>
          <t>Yes</t>
        </is>
      </c>
      <c r="L3" t="inlineStr">
        <is>
          <t>VERIFIED 2026-08-22</t>
        </is>
      </c>
    </row>
    <row r="4">
      <c r="A4" t="inlineStr">
        <is>
          <t>MK-PF-M-003</t>
        </is>
      </c>
      <c r="B4" t="inlineStr">
        <is>
          <t>Performance</t>
        </is>
      </c>
      <c r="C4" t="inlineStr">
        <is>
          <t>NA</t>
        </is>
      </c>
      <c r="D4" t="inlineStr">
        <is>
          <t>HOW $X BECAME $Y · ALL ACCOUNTS</t>
        </is>
      </c>
      <c r="E4" t="inlineStr">
        <is>
          <t>walk.beginning / walk.ending</t>
        </is>
      </c>
      <c r="F4" t="inlineStr">
        <is>
          <t>NW_CHANGE_WALK</t>
        </is>
      </c>
      <c r="G4" t="inlineStr">
        <is>
          <t>MK-PF-E-001</t>
        </is>
      </c>
      <c r="H4" t="inlineStr">
        <is>
          <t>ending = beginning + money in − money out + income − costs + market change  (the identity that must close)</t>
        </is>
      </c>
      <c r="I4"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4" t="inlineStr"/>
      <c r="K4" t="inlineStr">
        <is>
          <t>Yes</t>
        </is>
      </c>
      <c r="L4" t="inlineStr">
        <is>
          <t>VERIFIED 2026-08-22</t>
        </is>
      </c>
    </row>
    <row r="5">
      <c r="A5" t="inlineStr">
        <is>
          <t>MK-PF-M-004</t>
        </is>
      </c>
      <c r="B5" t="inlineStr">
        <is>
          <t>Performance</t>
        </is>
      </c>
      <c r="C5" t="inlineStr">
        <is>
          <t>NA</t>
        </is>
      </c>
      <c r="D5" t="inlineStr">
        <is>
          <t>Ending market value (per account)</t>
        </is>
      </c>
      <c r="E5" t="inlineStr">
        <is>
          <t>w.ending</t>
        </is>
      </c>
      <c r="F5" t="inlineStr">
        <is>
          <t>NW_CHANGE_WALK</t>
        </is>
      </c>
      <c r="G5" t="inlineStr">
        <is>
          <t>MK-PF-E-001</t>
        </is>
      </c>
      <c r="H5" t="inlineStr">
        <is>
          <t>ending = beginning + money in − money out + income − costs + market change  (the identity that must close)</t>
        </is>
      </c>
      <c r="I5"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5" t="inlineStr"/>
      <c r="K5" t="inlineStr">
        <is>
          <t>Yes</t>
        </is>
      </c>
      <c r="L5" t="inlineStr">
        <is>
          <t>VERIFIED 2026-08-22</t>
        </is>
      </c>
    </row>
    <row r="6">
      <c r="A6" t="inlineStr">
        <is>
          <t>MK-PF-M-005</t>
        </is>
      </c>
      <c r="B6" t="inlineStr">
        <is>
          <t>Performance</t>
        </is>
      </c>
      <c r="C6" t="inlineStr">
        <is>
          <t>NA</t>
        </is>
      </c>
      <c r="D6" t="inlineStr">
        <is>
          <t>each account and its ending value</t>
        </is>
      </c>
      <c r="E6" t="inlineStr">
        <is>
          <t>a.ending</t>
        </is>
      </c>
      <c r="F6" t="inlineStr">
        <is>
          <t>PERFORMANCE_TABLE</t>
        </is>
      </c>
      <c r="G6" t="inlineStr">
        <is>
          <t>MK-PF-E-002</t>
        </is>
      </c>
      <c r="H6" t="inlineStr">
        <is>
          <t>per account: ending;  per category: earned = Σ(ending − beginning − net money in);  return = earned ÷ average value held</t>
        </is>
      </c>
      <c r="I6"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6" t="inlineStr"/>
      <c r="K6" t="inlineStr">
        <is>
          <t>Yes</t>
        </is>
      </c>
      <c r="L6" t="inlineStr">
        <is>
          <t>VERIFIED 2026-08-22</t>
        </is>
      </c>
    </row>
    <row r="7">
      <c r="A7" t="inlineStr">
        <is>
          <t>MK-PF-M-006</t>
        </is>
      </c>
      <c r="B7" t="inlineStr">
        <is>
          <t>Performance</t>
        </is>
      </c>
      <c r="C7" t="inlineStr">
        <is>
          <t>NA</t>
        </is>
      </c>
      <c r="D7" t="inlineStr">
        <is>
          <t>WHAT EACH CATEGORY EARNED — RETURN</t>
        </is>
      </c>
      <c r="E7" t="inlineStr">
        <is>
          <t>b.earned / b.ret</t>
        </is>
      </c>
      <c r="F7" t="inlineStr">
        <is>
          <t>PERFORMANCE_TABLE</t>
        </is>
      </c>
      <c r="G7" t="inlineStr">
        <is>
          <t>MK-PF-E-002</t>
        </is>
      </c>
      <c r="H7" t="inlineStr">
        <is>
          <t>per account: ending;  per category: earned = Σ(ending − beginning − net money in);  return = earned ÷ average value held</t>
        </is>
      </c>
      <c r="I7"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7" t="inlineStr"/>
      <c r="K7" t="inlineStr">
        <is>
          <t>Yes</t>
        </is>
      </c>
      <c r="L7" t="inlineStr">
        <is>
          <t>VERIFIED 2026-08-22</t>
        </is>
      </c>
    </row>
    <row r="8">
      <c r="A8" t="inlineStr">
        <is>
          <t>MK-PF-M-007</t>
        </is>
      </c>
      <c r="B8" t="inlineStr">
        <is>
          <t>Performance</t>
        </is>
      </c>
      <c r="C8" t="inlineStr">
        <is>
          <t>NA</t>
        </is>
      </c>
      <c r="D8" t="inlineStr">
        <is>
          <t>All categories</t>
        </is>
      </c>
      <c r="E8" t="inlineStr">
        <is>
          <t>total</t>
        </is>
      </c>
      <c r="F8" t="inlineStr">
        <is>
          <t>PERFORMANCE_TABLE</t>
        </is>
      </c>
      <c r="G8" t="inlineStr">
        <is>
          <t>MK-PF-E-002</t>
        </is>
      </c>
      <c r="H8" t="inlineStr">
        <is>
          <t>per account: ending;  per category: earned = Σ(ending − beginning − net money in);  return = earned ÷ average value held</t>
        </is>
      </c>
      <c r="I8"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8" t="inlineStr"/>
      <c r="K8" t="inlineStr">
        <is>
          <t>Yes</t>
        </is>
      </c>
      <c r="L8" t="inlineStr">
        <is>
          <t>VERIFIED 2026-08-22</t>
        </is>
      </c>
    </row>
    <row r="9">
      <c r="A9" t="inlineStr">
        <is>
          <t>MK-PF-M-008</t>
        </is>
      </c>
      <c r="B9" t="inlineStr">
        <is>
          <t>Performance</t>
        </is>
      </c>
      <c r="C9" t="inlineStr">
        <is>
          <t>NA</t>
        </is>
      </c>
      <c r="D9" t="inlineStr">
        <is>
          <t>HONEST COMPARISON</t>
        </is>
      </c>
      <c r="E9" t="inlineStr">
        <is>
          <t>benchPort</t>
        </is>
      </c>
      <c r="F9" t="inlineStr">
        <is>
          <t>BENCHMARK_RETURN_BLENDED</t>
        </is>
      </c>
      <c r="G9" t="inlineStr">
        <is>
          <t>MK-PF-E-003</t>
        </is>
      </c>
      <c r="H9" t="inlineStr">
        <is>
          <t>benchmark return = Σ(weight of each class × that class’s index return over the same window)</t>
        </is>
      </c>
      <c r="I9" t="inlineStr">
        <is>
          <t>The same money-weighted blend, over each holding's own benchmark rather than the holding itself. Blending the benchmarks the same way is what makes "you beat it by" a fair statement rather than a comparison against a single index nobody holds.</t>
        </is>
      </c>
      <c r="J9" t="inlineStr"/>
      <c r="K9" t="inlineStr">
        <is>
          <t>Yes</t>
        </is>
      </c>
      <c r="L9" t="inlineStr">
        <is>
          <t>VERIFIED 2026-08-22</t>
        </is>
      </c>
    </row>
    <row r="10">
      <c r="A10" t="inlineStr">
        <is>
          <t>MK-PF-M-009</t>
        </is>
      </c>
      <c r="B10" t="inlineStr">
        <is>
          <t>Performance</t>
        </is>
      </c>
      <c r="C10" t="inlineStr">
        <is>
          <t>NA</t>
        </is>
      </c>
      <c r="D10" t="inlineStr">
        <is>
          <t>Return (money-weighted, when the record covers it)</t>
        </is>
      </c>
      <c r="E10" t="inlineStr">
        <is>
          <t>mw.rate</t>
        </is>
      </c>
      <c r="F10" t="inlineStr">
        <is>
          <t>MODIFIED_DIETZ (Calculation Module code/engines/window-return.ts)</t>
        </is>
      </c>
      <c r="G10" t="inlineStr">
        <is>
          <t>MK-PF-E-004</t>
        </is>
      </c>
      <c r="H10" t="inlineStr">
        <is>
          <t>r = (EMV − BMV − F) ÷ (BMV + Σ(Fᵢ × wᵢ)),  wᵢ = (days in window − days before flow i) ÷ days in window</t>
        </is>
      </c>
      <c r="I10" t="inlineStr">
        <is>
          <t>A return that accounts for WHEN money moved in or out: each flow is weighted by how much of the window it was invested for. Refused, with the dollar walk shown instead, when the timing matters too much for one percentage to be honest.</t>
        </is>
      </c>
      <c r="J10" t="inlineStr"/>
      <c r="K10" t="inlineStr">
        <is>
          <t>Yes</t>
        </is>
      </c>
      <c r="L10" t="inlineStr">
        <is>
          <t>VERIFIED 2026-08-22</t>
        </is>
      </c>
    </row>
    <row r="11">
      <c r="A11" t="inlineStr">
        <is>
          <t>MK-PF-M-010</t>
        </is>
      </c>
      <c r="B11" t="inlineStr">
        <is>
          <t>Performance</t>
        </is>
      </c>
      <c r="C11" t="inlineStr">
        <is>
          <t>/look-back</t>
        </is>
      </c>
      <c r="D11" t="inlineStr">
        <is>
          <t>Left in &lt;fund&gt; it became $X (up/down $Y, Z%)</t>
        </is>
      </c>
      <c r="E11" t="inlineStr">
        <is>
          <t>result.stayed</t>
        </is>
      </c>
      <c r="F11" t="inlineStr">
        <is>
          <t>LOOK_BACK</t>
        </is>
      </c>
      <c r="G11" t="inlineStr">
        <is>
          <t>MK-PF-E-005</t>
        </is>
      </c>
      <c r="H11" t="inlineStr">
        <is>
          <t>stayed = value × (1 + return of what is held);  moved = value × (1 + return of the alternative);  difference = moved − stayed</t>
        </is>
      </c>
      <c r="I11"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1" t="inlineStr"/>
      <c r="K11" t="inlineStr">
        <is>
          <t>Yes</t>
        </is>
      </c>
      <c r="L11" t="inlineStr">
        <is>
          <t>VERIFIED 2026-08-22</t>
        </is>
      </c>
    </row>
    <row r="12">
      <c r="A12" t="inlineStr">
        <is>
          <t>MK-PF-M-011</t>
        </is>
      </c>
      <c r="B12" t="inlineStr">
        <is>
          <t>Performance</t>
        </is>
      </c>
      <c r="C12" t="inlineStr">
        <is>
          <t>/look-back</t>
        </is>
      </c>
      <c r="D12" t="inlineStr">
        <is>
          <t>Moved to &lt;fund&gt; it would be $X</t>
        </is>
      </c>
      <c r="E12" t="inlineStr">
        <is>
          <t>result.moved</t>
        </is>
      </c>
      <c r="F12" t="inlineStr">
        <is>
          <t>LOOK_BACK</t>
        </is>
      </c>
      <c r="G12" t="inlineStr">
        <is>
          <t>MK-PF-E-005</t>
        </is>
      </c>
      <c r="H12" t="inlineStr">
        <is>
          <t>stayed = value × (1 + return of what is held);  moved = value × (1 + return of the alternative);  difference = moved − stayed</t>
        </is>
      </c>
      <c r="I12"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2" t="inlineStr"/>
      <c r="K12" t="inlineStr">
        <is>
          <t>Yes</t>
        </is>
      </c>
      <c r="L12" t="inlineStr">
        <is>
          <t>VERIFIED 2026-08-22</t>
        </is>
      </c>
    </row>
    <row r="13">
      <c r="A13" t="inlineStr">
        <is>
          <t>MK-PF-M-012</t>
        </is>
      </c>
      <c r="B13" t="inlineStr">
        <is>
          <t>Performance</t>
        </is>
      </c>
      <c r="C13" t="inlineStr">
        <is>
          <t>/look-back</t>
        </is>
      </c>
      <c r="D13" t="inlineStr">
        <is>
          <t>Difference: $X more/less if you had moved</t>
        </is>
      </c>
      <c r="E13" t="inlineStr">
        <is>
          <t>result.difference</t>
        </is>
      </c>
      <c r="F13" t="inlineStr">
        <is>
          <t>LOOK_BACK</t>
        </is>
      </c>
      <c r="G13" t="inlineStr">
        <is>
          <t>MK-PF-E-005</t>
        </is>
      </c>
      <c r="H13" t="inlineStr">
        <is>
          <t>stayed = value × (1 + return of what is held);  moved = value × (1 + return of the alternative);  difference = moved − stayed</t>
        </is>
      </c>
      <c r="I13"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3" t="inlineStr"/>
      <c r="K13" t="inlineStr">
        <is>
          <t>Yes</t>
        </is>
      </c>
      <c r="L13" t="inlineStr">
        <is>
          <t>VERIFIED 2026-08-22</t>
        </is>
      </c>
    </row>
    <row r="14">
      <c r="A14" t="inlineStr"/>
      <c r="B14" t="inlineStr">
        <is>
          <t>Performance</t>
        </is>
      </c>
      <c r="C14" t="inlineStr">
        <is>
          <t>/add-account</t>
        </is>
      </c>
      <c r="D14" t="inlineStr">
        <is>
          <t>—</t>
        </is>
      </c>
      <c r="E14" t="inlineStr">
        <is>
          <t>—</t>
        </is>
      </c>
      <c r="F14" t="inlineStr">
        <is>
          <t>—</t>
        </is>
      </c>
      <c r="G14" t="inlineStr"/>
      <c r="H14" t="inlineStr"/>
      <c r="I14" t="inlineStr"/>
      <c r="J14" t="inlineStr"/>
      <c r="K14" t="inlineStr">
        <is>
          <t>Yes</t>
        </is>
      </c>
      <c r="L14" t="inlineStr">
        <is>
          <t>READ 2026-08-22 — no calculated figure on this screen</t>
        </is>
      </c>
    </row>
    <row r="15">
      <c r="A15" t="inlineStr"/>
      <c r="B15" t="inlineStr">
        <is>
          <t>Performance</t>
        </is>
      </c>
      <c r="C15" t="inlineStr">
        <is>
          <t>/connect</t>
        </is>
      </c>
      <c r="D15" t="inlineStr">
        <is>
          <t>—</t>
        </is>
      </c>
      <c r="E15" t="inlineStr">
        <is>
          <t>—</t>
        </is>
      </c>
      <c r="F15" t="inlineStr">
        <is>
          <t>—</t>
        </is>
      </c>
      <c r="G15" t="inlineStr"/>
      <c r="H15" t="inlineStr"/>
      <c r="I15" t="inlineStr"/>
      <c r="J15" t="inlineStr"/>
      <c r="K15" t="inlineStr">
        <is>
          <t>Yes</t>
        </is>
      </c>
      <c r="L15" t="inlineStr">
        <is>
          <t>READ 2026-08-22 — no calculated figure on this screen</t>
        </is>
      </c>
    </row>
    <row r="16">
      <c r="A16" t="inlineStr"/>
      <c r="B16" t="inlineStr">
        <is>
          <t>Performance</t>
        </is>
      </c>
      <c r="C16" t="inlineStr">
        <is>
          <t>/import-holdings</t>
        </is>
      </c>
      <c r="D16" t="inlineStr">
        <is>
          <t>—</t>
        </is>
      </c>
      <c r="E16" t="inlineStr">
        <is>
          <t>—</t>
        </is>
      </c>
      <c r="F16" t="inlineStr">
        <is>
          <t>—</t>
        </is>
      </c>
      <c r="G16" t="inlineStr"/>
      <c r="H16" t="inlineStr"/>
      <c r="I16" t="inlineStr"/>
      <c r="J16" t="inlineStr"/>
      <c r="K16" t="inlineStr">
        <is>
          <t>Yes</t>
        </is>
      </c>
      <c r="L16" t="inlineStr">
        <is>
          <t>READ 2026-08-22 — no calculated figure on this screen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43"/>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1" customWidth="1" min="10" max="10"/>
    <col width="20" customWidth="1" min="11" max="11"/>
    <col width="18" customWidth="1" min="12" max="12"/>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Your name for it (72-metric file)</t>
        </is>
      </c>
      <c r="K1" s="1" t="inlineStr">
        <is>
          <t>Core screen?</t>
        </is>
      </c>
      <c r="L1" s="1" t="inlineStr">
        <is>
          <t>Row status</t>
        </is>
      </c>
    </row>
    <row r="2">
      <c r="A2" t="inlineStr">
        <is>
          <t>MK-PL-M-001</t>
        </is>
      </c>
      <c r="B2" t="inlineStr">
        <is>
          <t>Plan</t>
        </is>
      </c>
      <c r="C2" t="inlineStr">
        <is>
          <t>NA</t>
        </is>
      </c>
      <c r="D2" t="inlineStr">
        <is>
          <t>✓ What you have — already in: N accounts, $X counted</t>
        </is>
      </c>
      <c r="E2" t="inlineStr">
        <is>
          <t>door.credit.total</t>
        </is>
      </c>
      <c r="F2" t="inlineStr">
        <is>
          <t>WHAT_THE_PLAN_STILL_NEEDS</t>
        </is>
      </c>
      <c r="G2" t="inlineStr">
        <is>
          <t>MK-PL-E-001</t>
        </is>
      </c>
      <c r="H2" t="inlineStr">
        <is>
          <t>missing = the inputs with no answer;  counted = Σ(balances already in)</t>
        </is>
      </c>
      <c r="I2"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t="inlineStr"/>
      <c r="K2" t="inlineStr">
        <is>
          <t>Yes</t>
        </is>
      </c>
      <c r="L2" t="inlineStr">
        <is>
          <t>VERIFIED 2026-08-22</t>
        </is>
      </c>
    </row>
    <row r="3">
      <c r="A3" t="inlineStr">
        <is>
          <t>MK-PL-M-002</t>
        </is>
      </c>
      <c r="B3" t="inlineStr">
        <is>
          <t>Plan</t>
        </is>
      </c>
      <c r="C3" t="inlineStr">
        <is>
          <t>NA</t>
        </is>
      </c>
      <c r="D3" t="inlineStr">
        <is>
          <t>Your odds — can't work them out yet. Add &lt;what&gt; below.</t>
        </is>
      </c>
      <c r="E3" t="inlineStr">
        <is>
          <t>door.missing</t>
        </is>
      </c>
      <c r="F3" t="inlineStr">
        <is>
          <t>WHAT_THE_PLAN_STILL_NEEDS</t>
        </is>
      </c>
      <c r="G3" t="inlineStr">
        <is>
          <t>MK-PL-E-001</t>
        </is>
      </c>
      <c r="H3" t="inlineStr">
        <is>
          <t>missing = the inputs with no answer;  counted = Σ(balances already in)</t>
        </is>
      </c>
      <c r="I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t="inlineStr"/>
      <c r="K3" t="inlineStr">
        <is>
          <t>Yes</t>
        </is>
      </c>
      <c r="L3" t="inlineStr">
        <is>
          <t>VERIFIED 2026-08-22</t>
        </is>
      </c>
    </row>
    <row r="4">
      <c r="A4" t="inlineStr">
        <is>
          <t>MK-PL-M-003</t>
        </is>
      </c>
      <c r="B4" t="inlineStr">
        <is>
          <t>Plan</t>
        </is>
      </c>
      <c r="C4" t="inlineStr">
        <is>
          <t>NA</t>
        </is>
      </c>
      <c r="D4" t="inlineStr">
        <is>
          <t>YOUR RETIREMENT PAYCHECK — each guaranteed source</t>
        </is>
      </c>
      <c r="E4" t="inlineStr">
        <is>
          <t>g.amount</t>
        </is>
      </c>
      <c r="F4" t="inlineStr">
        <is>
          <t>NOT IN OLD MASTER — retirementPaycheckYear, src/domain/paycheck</t>
        </is>
      </c>
      <c r="G4" t="inlineStr">
        <is>
          <t>MK-PL-E-002</t>
        </is>
      </c>
      <c r="H4" t="inlineStr">
        <is>
          <t>for each month: guaranteed total = Σ(streams live that month);  paycheck = guaranteed total + safe draw</t>
        </is>
      </c>
      <c r="I4" t="inlineStr">
        <is>
          <t>Builds the retirement paycheck month by month: what is guaranteed that month, plus what can safely be drawn from savings.</t>
        </is>
      </c>
      <c r="J4" t="inlineStr"/>
      <c r="K4" t="inlineStr">
        <is>
          <t>Yes</t>
        </is>
      </c>
      <c r="L4" t="inlineStr">
        <is>
          <t>VERIFIED 2026-08-22</t>
        </is>
      </c>
    </row>
    <row r="5">
      <c r="A5" t="inlineStr">
        <is>
          <t>MK-PL-M-004</t>
        </is>
      </c>
      <c r="B5" t="inlineStr">
        <is>
          <t>Plan</t>
        </is>
      </c>
      <c r="C5" t="inlineStr">
        <is>
          <t>NA</t>
        </is>
      </c>
      <c r="D5">
        <f> Guaranteed</f>
        <v/>
      </c>
      <c r="E5" t="inlineStr">
        <is>
          <t>payMonth.guaranteedTotal</t>
        </is>
      </c>
      <c r="F5" t="inlineStr">
        <is>
          <t>NOT IN OLD MASTER — retirementPaycheckYear, src/domain/paycheck</t>
        </is>
      </c>
      <c r="G5" t="inlineStr">
        <is>
          <t>MK-PL-E-002</t>
        </is>
      </c>
      <c r="H5" t="inlineStr">
        <is>
          <t>for each month: guaranteed total = Σ(streams live that month);  paycheck = guaranteed total + safe draw</t>
        </is>
      </c>
      <c r="I5" t="inlineStr">
        <is>
          <t>Builds the retirement paycheck month by month: what is guaranteed that month, plus what can safely be drawn from savings.</t>
        </is>
      </c>
      <c r="J5" t="inlineStr"/>
      <c r="K5" t="inlineStr">
        <is>
          <t>Yes</t>
        </is>
      </c>
      <c r="L5" t="inlineStr">
        <is>
          <t>VERIFIED 2026-08-22</t>
        </is>
      </c>
    </row>
    <row r="6">
      <c r="A6" t="inlineStr">
        <is>
          <t>MK-PL-M-005</t>
        </is>
      </c>
      <c r="B6" t="inlineStr">
        <is>
          <t>Plan</t>
        </is>
      </c>
      <c r="C6" t="inlineStr">
        <is>
          <t>NA</t>
        </is>
      </c>
      <c r="D6" t="inlineStr">
        <is>
          <t>+ Draw from savings</t>
        </is>
      </c>
      <c r="E6" t="inlineStr">
        <is>
          <t>payMonth.safeDraw</t>
        </is>
      </c>
      <c r="F6" t="inlineStr">
        <is>
          <t>NOT IN OLD MASTER — retirementPaycheckYear, src/domain/paycheck</t>
        </is>
      </c>
      <c r="G6" t="inlineStr">
        <is>
          <t>MK-PL-E-002</t>
        </is>
      </c>
      <c r="H6" t="inlineStr">
        <is>
          <t>for each month: guaranteed total = Σ(streams live that month);  paycheck = guaranteed total + safe draw</t>
        </is>
      </c>
      <c r="I6" t="inlineStr">
        <is>
          <t>Builds the retirement paycheck month by month: what is guaranteed that month, plus what can safely be drawn from savings.</t>
        </is>
      </c>
      <c r="J6" t="inlineStr"/>
      <c r="K6" t="inlineStr">
        <is>
          <t>Yes</t>
        </is>
      </c>
      <c r="L6" t="inlineStr">
        <is>
          <t>VERIFIED 2026-08-22</t>
        </is>
      </c>
    </row>
    <row r="7">
      <c r="A7" t="inlineStr">
        <is>
          <t>MK-PL-M-006</t>
        </is>
      </c>
      <c r="B7" t="inlineStr">
        <is>
          <t>Plan</t>
        </is>
      </c>
      <c r="C7" t="inlineStr">
        <is>
          <t>NA</t>
        </is>
      </c>
      <c r="D7" t="inlineStr">
        <is>
          <t>Your paycheck $X/mo</t>
        </is>
      </c>
      <c r="E7" t="inlineStr">
        <is>
          <t>paycheckTotal</t>
        </is>
      </c>
      <c r="F7" t="inlineStr">
        <is>
          <t>worked out on the screen: guaranteed + draw from savings</t>
        </is>
      </c>
      <c r="G7" t="inlineStr"/>
      <c r="H7" t="inlineStr">
        <is>
          <t>paycheck = guaranteed income + draw from savings</t>
        </is>
      </c>
      <c r="I7" t="inlineStr">
        <is>
          <t>Worked out on the screen itself, with no engine behind it — a place a second definition can appear.</t>
        </is>
      </c>
      <c r="J7" t="inlineStr"/>
      <c r="K7" t="inlineStr">
        <is>
          <t>Yes</t>
        </is>
      </c>
      <c r="L7" t="inlineStr">
        <is>
          <t>VERIFIED 2026-08-22</t>
        </is>
      </c>
    </row>
    <row r="8">
      <c r="A8" t="inlineStr">
        <is>
          <t>MK-PL-M-007</t>
        </is>
      </c>
      <c r="B8" t="inlineStr">
        <is>
          <t>Plan</t>
        </is>
      </c>
      <c r="C8" t="inlineStr">
        <is>
          <t>NA</t>
        </is>
      </c>
      <c r="D8" t="inlineStr">
        <is>
          <t>SAVED SCENARIOS (n)</t>
        </is>
      </c>
      <c r="E8" t="inlineStr">
        <is>
          <t>scenarios.length</t>
        </is>
      </c>
      <c r="F8" t="inlineStr">
        <is>
          <t>NOT IN OLD MASTER — saved scenarios, src/domain/scenarios</t>
        </is>
      </c>
      <c r="G8" t="inlineStr">
        <is>
          <t>MK-PL-E-003</t>
        </is>
      </c>
      <c r="H8" t="inlineStr">
        <is>
          <t>count of scenarios saved</t>
        </is>
      </c>
      <c r="I8" t="inlineStr">
        <is>
          <t>How many what-if scenarios have been saved.</t>
        </is>
      </c>
      <c r="J8" t="inlineStr"/>
      <c r="K8" t="inlineStr">
        <is>
          <t>Yes</t>
        </is>
      </c>
      <c r="L8" t="inlineStr">
        <is>
          <t>VERIFIED 2026-08-22</t>
        </is>
      </c>
    </row>
    <row r="9">
      <c r="A9" t="inlineStr">
        <is>
          <t>MK-PL-M-008</t>
        </is>
      </c>
      <c r="B9" t="inlineStr">
        <is>
          <t>Plan</t>
        </is>
      </c>
      <c r="C9" t="inlineStr">
        <is>
          <t>/will-it-last</t>
        </is>
      </c>
      <c r="D9" t="inlineStr">
        <is>
          <t>What you have (nest egg)</t>
        </is>
      </c>
      <c r="E9" t="inlineStr">
        <is>
          <t>inp.start_balance</t>
        </is>
      </c>
      <c r="F9" t="inlineStr">
        <is>
          <t>WILL_IT_LAST_INPUTS</t>
        </is>
      </c>
      <c r="G9" t="inlineStr">
        <is>
          <t>MK-PL-E-004</t>
        </is>
      </c>
      <c r="H9" t="inlineStr">
        <is>
          <t>the inputs one plan is built from: what is held, what will be spent, what is guaranteed, and what is still being saved</t>
        </is>
      </c>
      <c r="I9"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9" t="inlineStr"/>
      <c r="K9" t="inlineStr">
        <is>
          <t>Yes</t>
        </is>
      </c>
      <c r="L9" t="inlineStr">
        <is>
          <t>VERIFIED 2026-08-22</t>
        </is>
      </c>
    </row>
    <row r="10">
      <c r="A10" t="inlineStr">
        <is>
          <t>MK-PL-M-009</t>
        </is>
      </c>
      <c r="B10" t="inlineStr">
        <is>
          <t>Plan</t>
        </is>
      </c>
      <c r="C10" t="inlineStr">
        <is>
          <t>/will-it-last</t>
        </is>
      </c>
      <c r="D10" t="inlineStr">
        <is>
          <t>Monthly spending in retirement</t>
        </is>
      </c>
      <c r="E10" t="inlineStr">
        <is>
          <t>inp.retire_monthly_spend_today</t>
        </is>
      </c>
      <c r="F10" t="inlineStr">
        <is>
          <t>RETIREMENT_SPENDING</t>
        </is>
      </c>
      <c r="G10" t="inlineStr">
        <is>
          <t>MK-PL-E-005</t>
        </is>
      </c>
      <c r="H10" t="inlineStr">
        <is>
          <t>spending in retirement a month = what is spent today × the share expected to continue</t>
        </is>
      </c>
      <c r="I10" t="inlineStr">
        <is>
          <t>What the person said they expect to spend, adjusted for where they plan to live. Stated in TODAY'S dollars — the simulation inflates it to each future year, so inflating it here as well would count inflation twice.</t>
        </is>
      </c>
      <c r="J10" t="inlineStr"/>
      <c r="K10" t="inlineStr">
        <is>
          <t>Yes</t>
        </is>
      </c>
      <c r="L10" t="inlineStr">
        <is>
          <t>VERIFIED 2026-08-22</t>
        </is>
      </c>
    </row>
    <row r="11">
      <c r="A11" t="inlineStr">
        <is>
          <t>MK-PL-M-010</t>
        </is>
      </c>
      <c r="B11" t="inlineStr">
        <is>
          <t>Plan</t>
        </is>
      </c>
      <c r="C11" t="inlineStr">
        <is>
          <t>/will-it-last</t>
        </is>
      </c>
      <c r="D11" t="inlineStr">
        <is>
          <t>Guaranteed income — $X/mo from age Y</t>
        </is>
      </c>
      <c r="E11" t="inlineStr">
        <is>
          <t>inp.guaranteed_monthly_income</t>
        </is>
      </c>
      <c r="F11" t="inlineStr">
        <is>
          <t>GUARANTEED_STREAMS (engines: B1 rebuild)</t>
        </is>
      </c>
      <c r="G11" t="inlineStr">
        <is>
          <t>MK-PL-E-006</t>
        </is>
      </c>
      <c r="H11" t="inlineStr">
        <is>
          <t>each stream grows on its own rule: Social Security rises with inflation, a fixed pension does not</t>
        </is>
      </c>
      <c r="I11" t="inlineStr">
        <is>
          <t>Each guaranteed stream grows on its own rule: Social Security rises with inflation, a fixed pension stays flat. They are never grown together.</t>
        </is>
      </c>
      <c r="J11" t="inlineStr"/>
      <c r="K11" t="inlineStr">
        <is>
          <t>Yes</t>
        </is>
      </c>
      <c r="L11" t="inlineStr">
        <is>
          <t>VERIFIED 2026-08-22</t>
        </is>
      </c>
    </row>
    <row r="12">
      <c r="A12" t="inlineStr">
        <is>
          <t>MK-PL-M-011</t>
        </is>
      </c>
      <c r="B12" t="inlineStr">
        <is>
          <t>Plan</t>
        </is>
      </c>
      <c r="C12" t="inlineStr">
        <is>
          <t>/will-it-last</t>
        </is>
      </c>
      <c r="D12" t="inlineStr">
        <is>
          <t>Monthly saving until then</t>
        </is>
      </c>
      <c r="E12" t="inlineStr">
        <is>
          <t>inp.annual_contrib</t>
        </is>
      </c>
      <c r="F12" t="inlineStr">
        <is>
          <t>WILL_IT_LAST_INPUTS</t>
        </is>
      </c>
      <c r="G12" t="inlineStr">
        <is>
          <t>MK-PL-E-004</t>
        </is>
      </c>
      <c r="H12" t="inlineStr">
        <is>
          <t>the inputs one plan is built from: what is held, what will be spent, what is guaranteed, and what is still being saved</t>
        </is>
      </c>
      <c r="I12"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12" t="inlineStr"/>
      <c r="K12" t="inlineStr">
        <is>
          <t>Yes</t>
        </is>
      </c>
      <c r="L12" t="inlineStr">
        <is>
          <t>VERIFIED 2026-08-22</t>
        </is>
      </c>
    </row>
    <row r="13">
      <c r="A13" t="inlineStr">
        <is>
          <t>MK-PL-M-012</t>
        </is>
      </c>
      <c r="B13" t="inlineStr">
        <is>
          <t>Plan</t>
        </is>
      </c>
      <c r="C13" t="inlineStr">
        <is>
          <t>/required-withdrawals</t>
        </is>
      </c>
      <c r="D13" t="inlineStr">
        <is>
          <t>Yours starts in &lt;year&gt; (age N)</t>
        </is>
      </c>
      <c r="E13" t="inlineStr">
        <is>
          <t>rmdStartAgeFor(age)</t>
        </is>
      </c>
      <c r="F13" t="inlineStr">
        <is>
          <t>RMD_START_AGE (Calculation Module code/engines/rmd.ts)</t>
        </is>
      </c>
      <c r="G13" t="inlineStr">
        <is>
          <t>MK-PL-E-007</t>
        </is>
      </c>
      <c r="H13" t="inlineStr">
        <is>
          <t>start age = 73 for those born 1951–1959, 75 for those born 1960 or later;  Roth 401(k) is exempt</t>
        </is>
      </c>
      <c r="I13" t="inlineStr">
        <is>
          <t>The age required withdrawals begin, from one dated table: 73 for those born 1951 to 1959, 75 for those born in 1960 or later. A Roth 401(k) is exempt.</t>
        </is>
      </c>
      <c r="J13" t="inlineStr"/>
      <c r="K13" t="inlineStr">
        <is>
          <t>Yes</t>
        </is>
      </c>
      <c r="L13" t="inlineStr">
        <is>
          <t>VERIFIED 2026-08-22</t>
        </is>
      </c>
    </row>
    <row r="14">
      <c r="A14" t="inlineStr">
        <is>
          <t>MK-PL-M-013</t>
        </is>
      </c>
      <c r="B14" t="inlineStr">
        <is>
          <t>Plan</t>
        </is>
      </c>
      <c r="C14" t="inlineStr">
        <is>
          <t>/required-withdrawals</t>
        </is>
      </c>
      <c r="D14" t="inlineStr">
        <is>
          <t>Required $X</t>
        </is>
      </c>
      <c r="E14" t="inlineStr">
        <is>
          <t>required</t>
        </is>
      </c>
      <c r="F14" t="inlineStr">
        <is>
          <t>REQUIRED_WITHDRAWAL</t>
        </is>
      </c>
      <c r="G14" t="inlineStr">
        <is>
          <t>MK-PL-E-008</t>
        </is>
      </c>
      <c r="H14" t="inlineStr">
        <is>
          <t>required = balance on 31 December last year ÷ the life-expectancy factor for this age</t>
        </is>
      </c>
      <c r="I14" t="inlineStr">
        <is>
          <t>The amount the law requires to be taken out this year: last 31 December's balance divided by the life-expectancy factor for the person's age.</t>
        </is>
      </c>
      <c r="J14" t="inlineStr"/>
      <c r="K14" t="inlineStr">
        <is>
          <t>Yes</t>
        </is>
      </c>
      <c r="L14" t="inlineStr">
        <is>
          <t>VERIFIED 2026-08-22</t>
        </is>
      </c>
    </row>
    <row r="15">
      <c r="A15" t="inlineStr">
        <is>
          <t>MK-PL-M-014</t>
        </is>
      </c>
      <c r="B15" t="inlineStr">
        <is>
          <t>Plan</t>
        </is>
      </c>
      <c r="C15" t="inlineStr">
        <is>
          <t>/required-withdrawals</t>
        </is>
      </c>
      <c r="D15" t="inlineStr">
        <is>
          <t>Taken so far $X · still to take</t>
        </is>
      </c>
      <c r="E15" t="inlineStr">
        <is>
          <t>taken / still</t>
        </is>
      </c>
      <c r="F15" t="inlineStr">
        <is>
          <t>worked out on the screen: required − taken so far</t>
        </is>
      </c>
      <c r="G15" t="inlineStr"/>
      <c r="H15" t="inlineStr">
        <is>
          <t>still to take = required this year − taken so far</t>
        </is>
      </c>
      <c r="I15" t="inlineStr">
        <is>
          <t>Worked out on the screen itself, with no engine behind it — a place a second definition can appear.</t>
        </is>
      </c>
      <c r="J15" t="inlineStr"/>
      <c r="K15" t="inlineStr">
        <is>
          <t>Yes</t>
        </is>
      </c>
      <c r="L15" t="inlineStr">
        <is>
          <t>VERIFIED 2026-08-22</t>
        </is>
      </c>
    </row>
    <row r="16">
      <c r="A16" t="inlineStr">
        <is>
          <t>MK-PL-M-015</t>
        </is>
      </c>
      <c r="B16" t="inlineStr">
        <is>
          <t>Plan</t>
        </is>
      </c>
      <c r="C16" t="inlineStr">
        <is>
          <t>/required-withdrawals</t>
        </is>
      </c>
      <c r="D16" t="inlineStr">
        <is>
          <t>YEAR BY YEAR (ESTIMATES) — each year and amount</t>
        </is>
      </c>
      <c r="E16" t="inlineStr">
        <is>
          <t>r.amount</t>
        </is>
      </c>
      <c r="F16" t="inlineStr">
        <is>
          <t>REQUIRED_WITHDRAWAL</t>
        </is>
      </c>
      <c r="G16" t="inlineStr">
        <is>
          <t>MK-PL-E-008</t>
        </is>
      </c>
      <c r="H16" t="inlineStr">
        <is>
          <t>required = balance on 31 December last year ÷ the life-expectancy factor for this age</t>
        </is>
      </c>
      <c r="I16" t="inlineStr">
        <is>
          <t>The amount the law requires to be taken out this year: last 31 December's balance divided by the life-expectancy factor for the person's age.</t>
        </is>
      </c>
      <c r="J16" t="inlineStr"/>
      <c r="K16" t="inlineStr">
        <is>
          <t>Yes</t>
        </is>
      </c>
      <c r="L16" t="inlineStr">
        <is>
          <t>VERIFIED 2026-08-22</t>
        </is>
      </c>
    </row>
    <row r="17">
      <c r="A17" t="inlineStr">
        <is>
          <t>MK-PL-M-016</t>
        </is>
      </c>
      <c r="B17" t="inlineStr">
        <is>
          <t>Plan</t>
        </is>
      </c>
      <c r="C17" t="inlineStr">
        <is>
          <t>/required-withdrawals</t>
        </is>
      </c>
      <c r="D17" t="inlineStr">
        <is>
          <t>BASED ON THESE ACCOUNTS — each balance</t>
        </is>
      </c>
      <c r="E17" t="inlineStr">
        <is>
          <t>a.balance</t>
        </is>
      </c>
      <c r="F17" t="inlineStr">
        <is>
          <t>HAND_VALUE_AGE</t>
        </is>
      </c>
      <c r="G17" t="inlineStr">
        <is>
          <t>MK-NW-E-012</t>
        </is>
      </c>
      <c r="H17" t="inlineStr">
        <is>
          <t>value = the balance last recorded;  age = today − date it was recorded</t>
        </is>
      </c>
      <c r="I17"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7" t="inlineStr"/>
      <c r="K17" t="inlineStr">
        <is>
          <t>Yes</t>
        </is>
      </c>
      <c r="L17" t="inlineStr">
        <is>
          <t>VERIFIED 2026-08-22</t>
        </is>
      </c>
    </row>
    <row r="18">
      <c r="A18" t="inlineStr">
        <is>
          <t>MK-PL-M-017</t>
        </is>
      </c>
      <c r="B18" t="inlineStr">
        <is>
          <t>Plan</t>
        </is>
      </c>
      <c r="C18" t="inlineStr">
        <is>
          <t>/ss-timing</t>
        </is>
      </c>
      <c r="D18" t="inlineStr">
        <is>
          <t>Monthly check (today's dollars)</t>
        </is>
      </c>
      <c r="E18" t="inlineStr">
        <is>
          <t>A.guaranteedMonthly</t>
        </is>
      </c>
      <c r="F18" t="inlineStr">
        <is>
          <t>SS_BENEFIT_AT_AGE</t>
        </is>
      </c>
      <c r="G18" t="inlineStr">
        <is>
          <t>MK-PL-E-009</t>
        </is>
      </c>
      <c r="H18" t="inlineStr">
        <is>
          <t>benefit at claim age = the statement amount at full retirement age × the claim factor for that age</t>
        </is>
      </c>
      <c r="I18" t="inlineStr">
        <is>
          <t>Statement monthly amount × the claim factor for (claim age, birth year), rounded to whole dollars.</t>
        </is>
      </c>
      <c r="J18" t="inlineStr"/>
      <c r="K18" t="inlineStr">
        <is>
          <t>Yes</t>
        </is>
      </c>
      <c r="L18" t="inlineStr">
        <is>
          <t>VERIFIED 2026-08-22</t>
        </is>
      </c>
    </row>
    <row r="19">
      <c r="A19" t="inlineStr">
        <is>
          <t>MK-PL-M-018</t>
        </is>
      </c>
      <c r="B19" t="inlineStr">
        <is>
          <t>Plan</t>
        </is>
      </c>
      <c r="C19" t="inlineStr">
        <is>
          <t>/ss-timing</t>
        </is>
      </c>
      <c r="D19" t="inlineStr">
        <is>
          <t>You receive $X/mo ✓</t>
        </is>
      </c>
      <c r="E19" t="inlineStr">
        <is>
          <t>op.ri_ss</t>
        </is>
      </c>
      <c r="F19" t="inlineStr">
        <is>
          <t>RETIREMENT_INCOME_NOW</t>
        </is>
      </c>
      <c r="G19" t="inlineStr">
        <is>
          <t>MK-PL-E-010</t>
        </is>
      </c>
      <c r="H19" t="inlineStr">
        <is>
          <t>guaranteed income now = Σ(streams already being received)</t>
        </is>
      </c>
      <c r="I19"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t="inlineStr"/>
      <c r="K19" t="inlineStr">
        <is>
          <t>Yes</t>
        </is>
      </c>
      <c r="L19" t="inlineStr">
        <is>
          <t>VERIFIED 2026-08-22</t>
        </is>
      </c>
    </row>
    <row r="20">
      <c r="A20" t="inlineStr">
        <is>
          <t>MK-PL-M-019</t>
        </is>
      </c>
      <c r="B20" t="inlineStr">
        <is>
          <t>Plan</t>
        </is>
      </c>
      <c r="C20" t="inlineStr">
        <is>
          <t>/ss-timing</t>
        </is>
      </c>
      <c r="D20" t="inlineStr">
        <is>
          <t>Claiming at N pays $X a month</t>
        </is>
      </c>
      <c r="E20" t="inlineStr">
        <is>
          <t>r.monthly</t>
        </is>
      </c>
      <c r="F20" t="inlineStr">
        <is>
          <t>SS_CLAIM_FACTOR · SS_BENEFIT_AT_AGE</t>
        </is>
      </c>
      <c r="G20" t="inlineStr">
        <is>
          <t>MK-PL-E-011</t>
        </is>
      </c>
      <c r="H20" t="inlineStr">
        <is>
          <t>factor = 1 − 5/9% per month for the first 36 months early, − 5/12% per month beyond that; + 2/3% per month for each month claimed late up to 70</t>
        </is>
      </c>
      <c r="I20"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t="inlineStr"/>
      <c r="K20" t="inlineStr">
        <is>
          <t>Yes</t>
        </is>
      </c>
      <c r="L20" t="inlineStr">
        <is>
          <t>VERIFIED 2026-08-22</t>
        </is>
      </c>
    </row>
    <row r="21">
      <c r="A21" t="inlineStr">
        <is>
          <t>MK-PL-M-020</t>
        </is>
      </c>
      <c r="B21" t="inlineStr">
        <is>
          <t>Plan</t>
        </is>
      </c>
      <c r="C21" t="inlineStr">
        <is>
          <t>/ss-timing</t>
        </is>
      </c>
      <c r="D21" t="inlineStr">
        <is>
          <t>about $X in total by age N</t>
        </is>
      </c>
      <c r="E21" t="inlineStr">
        <is>
          <t>r.lifetime</t>
        </is>
      </c>
      <c r="F21" t="inlineStr">
        <is>
          <t>SS_LIFETIME_TOTAL</t>
        </is>
      </c>
      <c r="G21" t="inlineStr">
        <is>
          <t>MK-PL-E-012</t>
        </is>
      </c>
      <c r="H21" t="inlineStr">
        <is>
          <t>lifetime total = monthly benefit × 12 × (life expectancy − claim age)</t>
        </is>
      </c>
      <c r="I21" t="inlineStr">
        <is>
          <t>The monthly Social Security check multiplied out to a life expectancy, so claiming early and claiming late can be compared in total dollars.</t>
        </is>
      </c>
      <c r="J21" t="inlineStr"/>
      <c r="K21" t="inlineStr">
        <is>
          <t>Yes</t>
        </is>
      </c>
      <c r="L21" t="inlineStr">
        <is>
          <t>VERIFIED 2026-08-22</t>
        </is>
      </c>
    </row>
    <row r="22">
      <c r="A22" t="inlineStr">
        <is>
          <t>MK-PL-M-021</t>
        </is>
      </c>
      <c r="B22" t="inlineStr">
        <is>
          <t>Plan</t>
        </is>
      </c>
      <c r="C22" t="inlineStr">
        <is>
          <t>/ss-timing</t>
        </is>
      </c>
      <c r="D22" t="inlineStr">
        <is>
          <t>Showing example numbers (a $X/mo statement)</t>
        </is>
      </c>
      <c r="E22" t="inlineStr">
        <is>
          <t>exampleStmt</t>
        </is>
      </c>
      <c r="F22" t="inlineStr">
        <is>
          <t>the worked example used until a real statement goes in</t>
        </is>
      </c>
      <c r="G22" t="inlineStr">
        <is>
          <t>MK-PL-E-013</t>
        </is>
      </c>
      <c r="H22" t="inlineStr">
        <is>
          <t>a stated example amount, shown labelled as an example</t>
        </is>
      </c>
      <c r="I22" t="inlineStr">
        <is>
          <t>A worked example shown in place of a real Social Security statement, always labelled as such.</t>
        </is>
      </c>
      <c r="J22" t="inlineStr"/>
      <c r="K22" t="inlineStr">
        <is>
          <t>Yes</t>
        </is>
      </c>
      <c r="L22" t="inlineStr">
        <is>
          <t>VERIFIED 2026-08-22</t>
        </is>
      </c>
    </row>
    <row r="23">
      <c r="A23" t="inlineStr">
        <is>
          <t>MK-PL-M-022</t>
        </is>
      </c>
      <c r="B23" t="inlineStr">
        <is>
          <t>Plan</t>
        </is>
      </c>
      <c r="C23" t="inlineStr">
        <is>
          <t>/roth</t>
        </is>
      </c>
      <c r="D23" t="inlineStr">
        <is>
          <t>Convert to Roth this year (&lt;year&gt;)</t>
        </is>
      </c>
      <c r="E23" t="inlineStr">
        <is>
          <t>A.rothConversionThisYear</t>
        </is>
      </c>
      <c r="F23" t="inlineStr">
        <is>
          <t>the amount the person chose</t>
        </is>
      </c>
      <c r="G23" t="inlineStr">
        <is>
          <t>MK-PL-E-014</t>
        </is>
      </c>
      <c r="H23" t="inlineStr">
        <is>
          <t>the value typed by the person</t>
        </is>
      </c>
      <c r="I23" t="inlineStr">
        <is>
          <t>A number the person entered; no calculation.</t>
        </is>
      </c>
      <c r="J23" t="inlineStr"/>
      <c r="K23" t="inlineStr">
        <is>
          <t>Yes</t>
        </is>
      </c>
      <c r="L23" t="inlineStr">
        <is>
          <t>VERIFIED 2026-08-22</t>
        </is>
      </c>
    </row>
    <row r="24">
      <c r="A24" t="inlineStr">
        <is>
          <t>MK-PL-M-023</t>
        </is>
      </c>
      <c r="B24" t="inlineStr">
        <is>
          <t>Plan</t>
        </is>
      </c>
      <c r="C24" t="inlineStr">
        <is>
          <t>/roth</t>
        </is>
      </c>
      <c r="D24" t="inlineStr">
        <is>
          <t>Extra tax next April (estimate) — about $X</t>
        </is>
      </c>
      <c r="E24" t="inlineStr">
        <is>
          <t>taxCost</t>
        </is>
      </c>
      <c r="F24" t="inlineStr">
        <is>
          <t>TAX_ON_CONVERSION</t>
        </is>
      </c>
      <c r="G24" t="inlineStr">
        <is>
          <t>MK-PL-E-015</t>
        </is>
      </c>
      <c r="H24" t="inlineStr">
        <is>
          <t>extra tax ≈ Σ over bands of (amount converted falling in that band × its rate)</t>
        </is>
      </c>
      <c r="I24" t="inlineStr">
        <is>
          <t>The extra tax a Roth conversion would cause: the converted amount is stacked on top of this year's income and taxed band by band.</t>
        </is>
      </c>
      <c r="J24" t="inlineStr"/>
      <c r="K24" t="inlineStr">
        <is>
          <t>Yes</t>
        </is>
      </c>
      <c r="L24" t="inlineStr">
        <is>
          <t>VERIFIED 2026-08-22</t>
        </is>
      </c>
    </row>
    <row r="25">
      <c r="A25" t="inlineStr">
        <is>
          <t>MK-PL-M-024</t>
        </is>
      </c>
      <c r="B25" t="inlineStr">
        <is>
          <t>Plan</t>
        </is>
      </c>
      <c r="C25" t="inlineStr">
        <is>
          <t>/roth</t>
        </is>
      </c>
      <c r="D25" t="inlineStr">
        <is>
          <t>from your pre-tax $X</t>
        </is>
      </c>
      <c r="E25" t="inlineStr">
        <is>
          <t>preTax</t>
        </is>
      </c>
      <c r="F25" t="inlineStr">
        <is>
          <t>PRE_TAX_BALANCE</t>
        </is>
      </c>
      <c r="G25" t="inlineStr">
        <is>
          <t>MK-PL-E-016</t>
        </is>
      </c>
      <c r="H25" t="inlineStr">
        <is>
          <t>pre-tax balance = Σ(balance of accounts whose tax type = pre-tax)</t>
        </is>
      </c>
      <c r="I25" t="inlineStr">
        <is>
          <t>Adds the balances of accounts whose money has not been taxed yet — the pot a Roth move would come from.</t>
        </is>
      </c>
      <c r="J25" t="inlineStr"/>
      <c r="K25" t="inlineStr">
        <is>
          <t>Yes</t>
        </is>
      </c>
      <c r="L25" t="inlineStr">
        <is>
          <t>VERIFIED 2026-08-22</t>
        </is>
      </c>
    </row>
    <row r="26">
      <c r="A26" t="inlineStr">
        <is>
          <t>MK-PL-M-025</t>
        </is>
      </c>
      <c r="B26" t="inlineStr">
        <is>
          <t>Plan</t>
        </is>
      </c>
      <c r="C26" t="inlineStr">
        <is>
          <t>/what-if</t>
        </is>
      </c>
      <c r="D26" t="inlineStr">
        <is>
          <t>+$X/mo (the saving dial)</t>
        </is>
      </c>
      <c r="E26" t="inlineStr">
        <is>
          <t>addMonthly</t>
        </is>
      </c>
      <c r="F26" t="inlineStr">
        <is>
          <t>the amount the person chose</t>
        </is>
      </c>
      <c r="G26" t="inlineStr">
        <is>
          <t>MK-PL-E-014</t>
        </is>
      </c>
      <c r="H26" t="inlineStr">
        <is>
          <t>the value typed by the person</t>
        </is>
      </c>
      <c r="I26" t="inlineStr">
        <is>
          <t>A number the person entered; no calculation.</t>
        </is>
      </c>
      <c r="J26" t="inlineStr"/>
      <c r="K26" t="inlineStr">
        <is>
          <t>Yes</t>
        </is>
      </c>
      <c r="L26" t="inlineStr">
        <is>
          <t>VERIFIED 2026-08-22</t>
        </is>
      </c>
    </row>
    <row r="27">
      <c r="A27" t="inlineStr">
        <is>
          <t>MK-PL-M-026</t>
        </is>
      </c>
      <c r="B27" t="inlineStr">
        <is>
          <t>Plan</t>
        </is>
      </c>
      <c r="C27" t="inlineStr">
        <is>
          <t>/what-if</t>
        </is>
      </c>
      <c r="D27" t="inlineStr">
        <is>
          <t>$X → $Y (nest egg before and after)</t>
        </is>
      </c>
      <c r="E27" t="inlineStr">
        <is>
          <t>result.before.egg / result.after.egg</t>
        </is>
      </c>
      <c r="F27" t="inlineStr">
        <is>
          <t>POT_AT_RETIREMENT</t>
        </is>
      </c>
      <c r="G27" t="inlineStr">
        <is>
          <t>MK-NW-E-010</t>
        </is>
      </c>
      <c r="H27" t="inlineStr">
        <is>
          <t>pot = balance × (1 + r)^n + Σ(contribution × (1 + r)^(n − year)),  n = years to retirement</t>
        </is>
      </c>
      <c r="I27"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7" t="inlineStr"/>
      <c r="K27" t="inlineStr">
        <is>
          <t>Yes</t>
        </is>
      </c>
      <c r="L27" t="inlineStr">
        <is>
          <t>VERIFIED 2026-08-22</t>
        </is>
      </c>
    </row>
    <row r="28">
      <c r="A28" t="inlineStr">
        <is>
          <t>MK-PL-M-027</t>
        </is>
      </c>
      <c r="B28" t="inlineStr">
        <is>
          <t>Plan</t>
        </is>
      </c>
      <c r="C28" t="inlineStr">
        <is>
          <t>/what-if</t>
        </is>
      </c>
      <c r="D28" t="inlineStr">
        <is>
          <t>the difference the change makes</t>
        </is>
      </c>
      <c r="E28" t="inlineStr">
        <is>
          <t>result.after.egg - result.before.egg</t>
        </is>
      </c>
      <c r="F28" t="inlineStr">
        <is>
          <t>worked out on the screen: after − before</t>
        </is>
      </c>
      <c r="G28" t="inlineStr"/>
      <c r="H28" t="inlineStr">
        <is>
          <t>difference = pot after the change − pot before it</t>
        </is>
      </c>
      <c r="I28" t="inlineStr">
        <is>
          <t>Worked out on the screen itself, with no engine behind it — a place a second definition can appear.</t>
        </is>
      </c>
      <c r="J28" t="inlineStr"/>
      <c r="K28" t="inlineStr">
        <is>
          <t>Yes</t>
        </is>
      </c>
      <c r="L28" t="inlineStr">
        <is>
          <t>VERIFIED 2026-08-22</t>
        </is>
      </c>
    </row>
    <row r="29">
      <c r="A29" t="inlineStr">
        <is>
          <t>MK-PL-M-028</t>
        </is>
      </c>
      <c r="B29" t="inlineStr">
        <is>
          <t>Plan</t>
        </is>
      </c>
      <c r="C29" t="inlineStr">
        <is>
          <t>/multi-goal</t>
        </is>
      </c>
      <c r="D29" t="inlineStr">
        <is>
          <t>each goal and its monthly amount</t>
        </is>
      </c>
      <c r="E29" t="inlineStr">
        <is>
          <t>d.monthlyAmount</t>
        </is>
      </c>
      <c r="F29" t="inlineStr">
        <is>
          <t>the amounts the person chose</t>
        </is>
      </c>
      <c r="G29" t="inlineStr">
        <is>
          <t>MK-PL-E-017</t>
        </is>
      </c>
      <c r="H29" t="inlineStr">
        <is>
          <t>the values typed by the person</t>
        </is>
      </c>
      <c r="I29" t="inlineStr">
        <is>
          <t>Amounts the person entered; no calculation.</t>
        </is>
      </c>
      <c r="J29" t="inlineStr"/>
      <c r="K29" t="inlineStr">
        <is>
          <t>Yes</t>
        </is>
      </c>
      <c r="L29" t="inlineStr">
        <is>
          <t>VERIFIED 2026-08-22</t>
        </is>
      </c>
    </row>
    <row r="30">
      <c r="A30" t="inlineStr">
        <is>
          <t>MK-PL-M-029</t>
        </is>
      </c>
      <c r="B30" t="inlineStr">
        <is>
          <t>Plan</t>
        </is>
      </c>
      <c r="C30" t="inlineStr">
        <is>
          <t>/multi-goal</t>
        </is>
      </c>
      <c r="D30" t="inlineStr">
        <is>
          <t>Retirement saving — $X/mo now → $Y/mo</t>
        </is>
      </c>
      <c r="E30" t="inlineStr">
        <is>
          <t>A.contribMonthly / retirementMo</t>
        </is>
      </c>
      <c r="F30" t="inlineStr">
        <is>
          <t>WILL_IT_LAST_INPUTS</t>
        </is>
      </c>
      <c r="G30" t="inlineStr">
        <is>
          <t>MK-PL-E-004</t>
        </is>
      </c>
      <c r="H30" t="inlineStr">
        <is>
          <t>the inputs one plan is built from: what is held, what will be spent, what is guaranteed, and what is still being saved</t>
        </is>
      </c>
      <c r="I30"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30" t="inlineStr"/>
      <c r="K30" t="inlineStr">
        <is>
          <t>Yes</t>
        </is>
      </c>
      <c r="L30" t="inlineStr">
        <is>
          <t>VERIFIED 2026-08-22</t>
        </is>
      </c>
    </row>
    <row r="31">
      <c r="A31" t="inlineStr">
        <is>
          <t>MK-PL-M-030</t>
        </is>
      </c>
      <c r="B31" t="inlineStr">
        <is>
          <t>Plan</t>
        </is>
      </c>
      <c r="C31" t="inlineStr">
        <is>
          <t>/multi-goal</t>
        </is>
      </c>
      <c r="D31" t="inlineStr">
        <is>
          <t>Extra on debt $X/mo</t>
        </is>
      </c>
      <c r="E31" t="inlineStr">
        <is>
          <t>extraDebt</t>
        </is>
      </c>
      <c r="F31" t="inlineStr">
        <is>
          <t>DEBT_PICTURE</t>
        </is>
      </c>
      <c r="G31" t="inlineStr">
        <is>
          <t>MK-NW-E-007</t>
        </is>
      </c>
      <c r="H31" t="inlineStr">
        <is>
          <t>owed = Σ(remaining balance);  monthly debt payments = Σ(required payment of each debt)</t>
        </is>
      </c>
      <c r="I31"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31" t="inlineStr"/>
      <c r="K31" t="inlineStr">
        <is>
          <t>Yes</t>
        </is>
      </c>
      <c r="L31" t="inlineStr">
        <is>
          <t>VERIFIED 2026-08-22</t>
        </is>
      </c>
    </row>
    <row r="32">
      <c r="A32" t="inlineStr">
        <is>
          <t>MK-PL-M-031</t>
        </is>
      </c>
      <c r="B32" t="inlineStr">
        <is>
          <t>Plan</t>
        </is>
      </c>
      <c r="C32" t="inlineStr">
        <is>
          <t>/multi-goal</t>
        </is>
      </c>
      <c r="D32" t="inlineStr">
        <is>
          <t>paid off &lt;month&gt; · saves $X</t>
        </is>
      </c>
      <c r="E32" t="inlineStr">
        <is>
          <t>weighed.debtPayoff</t>
        </is>
      </c>
      <c r="F32" t="inlineStr">
        <is>
          <t>DEBT_PAYOFF</t>
        </is>
      </c>
      <c r="G32" t="inlineStr">
        <is>
          <t>MK-PL-E-018</t>
        </is>
      </c>
      <c r="H32" t="inlineStr">
        <is>
          <t>each month: balance ← balance × (1 + rate ÷ 12) − payment, until balance ≤ 0;  payoff month = the first month it does</t>
        </is>
      </c>
      <c r="I32" t="inlineStr">
        <is>
          <t>Runs the debt forward month by month: interest is added, the payment is taken off, and the month the balance reaches zero is the payoff date.</t>
        </is>
      </c>
      <c r="J32" t="inlineStr"/>
      <c r="K32" t="inlineStr">
        <is>
          <t>Yes</t>
        </is>
      </c>
      <c r="L32" t="inlineStr">
        <is>
          <t>VERIFIED 2026-08-22</t>
        </is>
      </c>
    </row>
    <row r="33">
      <c r="A33" t="inlineStr">
        <is>
          <t>MK-PL-M-032</t>
        </is>
      </c>
      <c r="B33" t="inlineStr">
        <is>
          <t>Plan</t>
        </is>
      </c>
      <c r="C33" t="inlineStr">
        <is>
          <t>/retirement</t>
        </is>
      </c>
      <c r="D33" t="inlineStr">
        <is>
          <t>incl. Social Security $X/mo from age N</t>
        </is>
      </c>
      <c r="E33" t="inlineStr">
        <is>
          <t>ssIncome</t>
        </is>
      </c>
      <c r="F33" t="inlineStr">
        <is>
          <t>RETIREMENT_INCOME_NOW</t>
        </is>
      </c>
      <c r="G33" t="inlineStr">
        <is>
          <t>MK-PL-E-010</t>
        </is>
      </c>
      <c r="H33" t="inlineStr">
        <is>
          <t>guaranteed income now = Σ(streams already being received)</t>
        </is>
      </c>
      <c r="I3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t="inlineStr"/>
      <c r="K33" t="inlineStr">
        <is>
          <t>Yes</t>
        </is>
      </c>
      <c r="L33" t="inlineStr">
        <is>
          <t>VERIFIED 2026-08-22</t>
        </is>
      </c>
    </row>
    <row r="34">
      <c r="A34" t="inlineStr">
        <is>
          <t>MK-PL-M-033</t>
        </is>
      </c>
      <c r="B34" t="inlineStr">
        <is>
          <t>Plan</t>
        </is>
      </c>
      <c r="C34" t="inlineStr">
        <is>
          <t>/retirement</t>
        </is>
      </c>
      <c r="D34" t="inlineStr">
        <is>
          <t>your $X grows to $Y by age N at Z%/yr</t>
        </is>
      </c>
      <c r="E34" t="inlineStr">
        <is>
          <t>nestEgg / scProjected</t>
        </is>
      </c>
      <c r="F34" t="inlineStr">
        <is>
          <t>POT_AT_RETIREMENT</t>
        </is>
      </c>
      <c r="G34" t="inlineStr">
        <is>
          <t>MK-NW-E-010</t>
        </is>
      </c>
      <c r="H34" t="inlineStr">
        <is>
          <t>pot = balance × (1 + r)^n + Σ(contribution × (1 + r)^(n − year)),  n = years to retirement</t>
        </is>
      </c>
      <c r="I34"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34" t="inlineStr"/>
      <c r="K34" t="inlineStr">
        <is>
          <t>Yes</t>
        </is>
      </c>
      <c r="L34" t="inlineStr">
        <is>
          <t>VERIFIED 2026-08-22</t>
        </is>
      </c>
    </row>
    <row r="35">
      <c r="A35" t="inlineStr">
        <is>
          <t>MK-PL-M-034</t>
        </is>
      </c>
      <c r="B35" t="inlineStr">
        <is>
          <t>Plan</t>
        </is>
      </c>
      <c r="C35" t="inlineStr">
        <is>
          <t>/retirement</t>
        </is>
      </c>
      <c r="D35" t="inlineStr">
        <is>
          <t>At Z% return, your money lasts past age N</t>
        </is>
      </c>
      <c r="E35" t="inlineStr">
        <is>
          <t>scDeplete</t>
        </is>
      </c>
      <c r="F35" t="inlineStr">
        <is>
          <t>WILL_IT_LAST_RESULT</t>
        </is>
      </c>
      <c r="G35" t="inlineStr">
        <is>
          <t>MK-XS-E-002</t>
        </is>
      </c>
      <c r="H35" t="inlineStr">
        <is>
          <t>run 1,000 futures; in each year: balance ← balance × (1 + random return) − (spending − guaranteed income);  odds = futures that never run out ÷ 1,000</t>
        </is>
      </c>
      <c r="I35"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t="inlineStr"/>
      <c r="K35" t="inlineStr">
        <is>
          <t>Yes</t>
        </is>
      </c>
      <c r="L35" t="inlineStr">
        <is>
          <t>VERIFIED 2026-08-22</t>
        </is>
      </c>
    </row>
    <row r="36">
      <c r="A36" t="inlineStr">
        <is>
          <t>MK-PL-M-035</t>
        </is>
      </c>
      <c r="B36" t="inlineStr">
        <is>
          <t>Plan</t>
        </is>
      </c>
      <c r="C36" t="inlineStr">
        <is>
          <t>/retirement</t>
        </is>
      </c>
      <c r="D36" t="inlineStr">
        <is>
          <t>Retire at age (the dial)</t>
        </is>
      </c>
      <c r="E36" t="inlineStr">
        <is>
          <t>rAge</t>
        </is>
      </c>
      <c r="F36" t="inlineStr">
        <is>
          <t>the age the person chose</t>
        </is>
      </c>
      <c r="G36" t="inlineStr">
        <is>
          <t>MK-PL-E-019</t>
        </is>
      </c>
      <c r="H36" t="inlineStr">
        <is>
          <t>the age set by the person</t>
        </is>
      </c>
      <c r="I36" t="inlineStr">
        <is>
          <t>An age the person set on a dial; no calculation.</t>
        </is>
      </c>
      <c r="J36" t="inlineStr"/>
      <c r="K36" t="inlineStr">
        <is>
          <t>Yes</t>
        </is>
      </c>
      <c r="L36" t="inlineStr">
        <is>
          <t>VERIFIED 2026-08-22</t>
        </is>
      </c>
    </row>
    <row r="37">
      <c r="A37" t="inlineStr">
        <is>
          <t>MK-PL-M-036</t>
        </is>
      </c>
      <c r="B37" t="inlineStr">
        <is>
          <t>Plan</t>
        </is>
      </c>
      <c r="C37" t="inlineStr">
        <is>
          <t>/education</t>
        </is>
      </c>
      <c r="D37" t="inlineStr">
        <is>
          <t>the future total cost of school</t>
        </is>
      </c>
      <c r="E37" t="inlineStr">
        <is>
          <t>plan.futureTotalCost</t>
        </is>
      </c>
      <c r="F37" t="inlineStr">
        <is>
          <t>EDUCATION_COST</t>
        </is>
      </c>
      <c r="G37" t="inlineStr">
        <is>
          <t>MK-PL-E-020</t>
        </is>
      </c>
      <c r="H37" t="inlineStr">
        <is>
          <t>future cost = today’s cost × (1 + education inflation)^years;  monthly needed = gap ÷ months until school starts</t>
        </is>
      </c>
      <c r="I37" t="inlineStr">
        <is>
          <t>Grows today's cost of school by education inflation to the year it starts, then divides what is still missing by the months until then.</t>
        </is>
      </c>
      <c r="J37" t="inlineStr"/>
      <c r="K37" t="inlineStr">
        <is>
          <t>Yes</t>
        </is>
      </c>
      <c r="L37" t="inlineStr">
        <is>
          <t>VERIFIED 2026-08-22</t>
        </is>
      </c>
    </row>
    <row r="38">
      <c r="A38" t="inlineStr">
        <is>
          <t>MK-PL-M-037</t>
        </is>
      </c>
      <c r="B38" t="inlineStr">
        <is>
          <t>Plan</t>
        </is>
      </c>
      <c r="C38" t="inlineStr">
        <is>
          <t>/education</t>
        </is>
      </c>
      <c r="D38" t="inlineStr">
        <is>
          <t>$X/mo set aside closes the $Y gap</t>
        </is>
      </c>
      <c r="E38" t="inlineStr">
        <is>
          <t>plan.monthlyNeeded / plan.gap</t>
        </is>
      </c>
      <c r="F38" t="inlineStr">
        <is>
          <t>EDUCATION_COST</t>
        </is>
      </c>
      <c r="G38" t="inlineStr">
        <is>
          <t>MK-PL-E-020</t>
        </is>
      </c>
      <c r="H38" t="inlineStr">
        <is>
          <t>future cost = today’s cost × (1 + education inflation)^years;  monthly needed = gap ÷ months until school starts</t>
        </is>
      </c>
      <c r="I38" t="inlineStr">
        <is>
          <t>Grows today's cost of school by education inflation to the year it starts, then divides what is still missing by the months until then.</t>
        </is>
      </c>
      <c r="J38" t="inlineStr"/>
      <c r="K38" t="inlineStr">
        <is>
          <t>Yes</t>
        </is>
      </c>
      <c r="L38" t="inlineStr">
        <is>
          <t>VERIFIED 2026-08-22</t>
        </is>
      </c>
    </row>
    <row r="39">
      <c r="A39" t="inlineStr"/>
      <c r="B39" t="inlineStr">
        <is>
          <t>Plan</t>
        </is>
      </c>
      <c r="C39" t="inlineStr">
        <is>
          <t>/add-account</t>
        </is>
      </c>
      <c r="D39" t="inlineStr">
        <is>
          <t>—</t>
        </is>
      </c>
      <c r="E39" t="inlineStr">
        <is>
          <t>—</t>
        </is>
      </c>
      <c r="F39" t="inlineStr">
        <is>
          <t>—</t>
        </is>
      </c>
      <c r="G39" t="inlineStr"/>
      <c r="H39" t="inlineStr"/>
      <c r="I39" t="inlineStr"/>
      <c r="J39" t="inlineStr"/>
      <c r="K39" t="inlineStr">
        <is>
          <t>Yes</t>
        </is>
      </c>
      <c r="L39" t="inlineStr">
        <is>
          <t>READ 2026-08-22 — no calculated figure on this screen</t>
        </is>
      </c>
    </row>
    <row r="40">
      <c r="A40" t="inlineStr"/>
      <c r="B40" t="inlineStr">
        <is>
          <t>Plan</t>
        </is>
      </c>
      <c r="C40" t="inlineStr">
        <is>
          <t>/connect</t>
        </is>
      </c>
      <c r="D40" t="inlineStr">
        <is>
          <t>—</t>
        </is>
      </c>
      <c r="E40" t="inlineStr">
        <is>
          <t>—</t>
        </is>
      </c>
      <c r="F40" t="inlineStr">
        <is>
          <t>—</t>
        </is>
      </c>
      <c r="G40" t="inlineStr"/>
      <c r="H40" t="inlineStr"/>
      <c r="I40" t="inlineStr"/>
      <c r="J40" t="inlineStr"/>
      <c r="K40" t="inlineStr">
        <is>
          <t>Yes</t>
        </is>
      </c>
      <c r="L40" t="inlineStr">
        <is>
          <t>READ 2026-08-22 — no calculated figure on this screen</t>
        </is>
      </c>
    </row>
    <row r="41">
      <c r="A41" t="inlineStr"/>
      <c r="B41" t="inlineStr">
        <is>
          <t>Plan</t>
        </is>
      </c>
      <c r="C41" t="inlineStr">
        <is>
          <t>/import-holdings</t>
        </is>
      </c>
      <c r="D41" t="inlineStr">
        <is>
          <t>—</t>
        </is>
      </c>
      <c r="E41" t="inlineStr">
        <is>
          <t>—</t>
        </is>
      </c>
      <c r="F41" t="inlineStr">
        <is>
          <t>—</t>
        </is>
      </c>
      <c r="G41" t="inlineStr"/>
      <c r="H41" t="inlineStr"/>
      <c r="I41" t="inlineStr"/>
      <c r="J41" t="inlineStr"/>
      <c r="K41" t="inlineStr">
        <is>
          <t>Yes</t>
        </is>
      </c>
      <c r="L41" t="inlineStr">
        <is>
          <t>READ 2026-08-22 — no calculated figure on this screen</t>
        </is>
      </c>
    </row>
    <row r="42">
      <c r="A42" t="inlineStr"/>
      <c r="B42" t="inlineStr">
        <is>
          <t>Plan</t>
        </is>
      </c>
      <c r="C42" t="inlineStr">
        <is>
          <t>/performance</t>
        </is>
      </c>
      <c r="D42" t="inlineStr">
        <is>
          <t>—</t>
        </is>
      </c>
      <c r="E42" t="inlineStr">
        <is>
          <t>—</t>
        </is>
      </c>
      <c r="F42" t="inlineStr">
        <is>
          <t>—</t>
        </is>
      </c>
      <c r="G42" t="inlineStr"/>
      <c r="H42" t="inlineStr"/>
      <c r="I42" t="inlineStr"/>
      <c r="J42" t="inlineStr"/>
      <c r="K42" t="inlineStr">
        <is>
          <t>Yes</t>
        </is>
      </c>
      <c r="L42" t="inlineStr">
        <is>
          <t>READ 2026-08-22 — the same screen as /invest, reached by a second route</t>
        </is>
      </c>
    </row>
    <row r="43">
      <c r="A43" t="inlineStr"/>
      <c r="B43" t="inlineStr">
        <is>
          <t>Plan</t>
        </is>
      </c>
      <c r="C43" t="inlineStr">
        <is>
          <t>/sharpen</t>
        </is>
      </c>
      <c r="D43" t="inlineStr">
        <is>
          <t>—</t>
        </is>
      </c>
      <c r="E43" t="inlineStr">
        <is>
          <t>—</t>
        </is>
      </c>
      <c r="F43" t="inlineStr">
        <is>
          <t>—</t>
        </is>
      </c>
      <c r="G43" t="inlineStr"/>
      <c r="H43" t="inlineStr"/>
      <c r="I43" t="inlineStr"/>
      <c r="J43" t="inlineStr"/>
      <c r="K43" t="inlineStr">
        <is>
          <t>Yes</t>
        </is>
      </c>
      <c r="L43" t="inlineStr">
        <is>
          <t>READ 2026-08-22 — no calculated figure on this screen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34"/>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1" customWidth="1" min="10" max="10"/>
    <col width="20" customWidth="1" min="11" max="11"/>
    <col width="18" customWidth="1" min="12" max="12"/>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Your name for it (72-metric file)</t>
        </is>
      </c>
      <c r="K1" s="1" t="inlineStr">
        <is>
          <t>Core screen?</t>
        </is>
      </c>
      <c r="L1" s="1" t="inlineStr">
        <is>
          <t>Row status</t>
        </is>
      </c>
    </row>
    <row r="2">
      <c r="A2" t="inlineStr">
        <is>
          <t>MK-CF-M-001</t>
        </is>
      </c>
      <c r="B2" t="inlineStr">
        <is>
          <t>Cashflow</t>
        </is>
      </c>
      <c r="C2" t="inlineStr">
        <is>
          <t>NA</t>
        </is>
      </c>
      <c r="D2" t="inlineStr">
        <is>
          <t>Expected in</t>
        </is>
      </c>
      <c r="E2" t="inlineStr">
        <is>
          <t>cell.inflow</t>
        </is>
      </c>
      <c r="F2" t="inlineStr">
        <is>
          <t>NOT IN OLD MASTER — the by-month grid, src/domain/cashflow</t>
        </is>
      </c>
      <c r="G2" t="inlineStr">
        <is>
          <t>MK-CF-E-001</t>
        </is>
      </c>
      <c r="H2" t="inlineStr">
        <is>
          <t>for month m: expected in = Σ(income landing in m);  planned out = Σ(bills and planned spending dated in m);  planned surplus = expected in − planned out</t>
        </is>
      </c>
      <c r="I2" t="inlineStr">
        <is>
          <t>Lays the year out month by month so a month with a big bill in it can be seen before it arrives.</t>
        </is>
      </c>
      <c r="J2" t="inlineStr"/>
      <c r="K2" t="inlineStr">
        <is>
          <t>Yes</t>
        </is>
      </c>
      <c r="L2" t="inlineStr">
        <is>
          <t>VERIFIED 2026-08-22</t>
        </is>
      </c>
    </row>
    <row r="3">
      <c r="A3" t="inlineStr">
        <is>
          <t>MK-CF-M-002</t>
        </is>
      </c>
      <c r="B3" t="inlineStr">
        <is>
          <t>Cashflow</t>
        </is>
      </c>
      <c r="C3" t="inlineStr">
        <is>
          <t>NA</t>
        </is>
      </c>
      <c r="D3" t="inlineStr">
        <is>
          <t>Planned out · incl. &lt;big bill&gt;</t>
        </is>
      </c>
      <c r="E3" t="inlineStr">
        <is>
          <t>cell.outflow</t>
        </is>
      </c>
      <c r="F3" t="inlineStr">
        <is>
          <t>NOT IN OLD MASTER — the by-month grid, src/domain/cashflow</t>
        </is>
      </c>
      <c r="G3" t="inlineStr">
        <is>
          <t>MK-CF-E-001</t>
        </is>
      </c>
      <c r="H3" t="inlineStr">
        <is>
          <t>for month m: expected in = Σ(income landing in m);  planned out = Σ(bills and planned spending dated in m);  planned surplus = expected in − planned out</t>
        </is>
      </c>
      <c r="I3" t="inlineStr">
        <is>
          <t>Lays the year out month by month so a month with a big bill in it can be seen before it arrives.</t>
        </is>
      </c>
      <c r="J3" t="inlineStr"/>
      <c r="K3" t="inlineStr">
        <is>
          <t>Yes</t>
        </is>
      </c>
      <c r="L3" t="inlineStr">
        <is>
          <t>VERIFIED 2026-08-22</t>
        </is>
      </c>
    </row>
    <row r="4">
      <c r="A4" t="inlineStr">
        <is>
          <t>MK-CF-M-003</t>
        </is>
      </c>
      <c r="B4" t="inlineStr">
        <is>
          <t>Cashflow</t>
        </is>
      </c>
      <c r="C4" t="inlineStr">
        <is>
          <t>NA</t>
        </is>
      </c>
      <c r="D4">
        <f> Planned surplus</f>
        <v/>
      </c>
      <c r="E4" t="inlineStr">
        <is>
          <t>cell.net</t>
        </is>
      </c>
      <c r="F4" t="inlineStr">
        <is>
          <t>worked out on the screen: expected in − planned out</t>
        </is>
      </c>
      <c r="G4" t="inlineStr"/>
      <c r="H4" t="inlineStr">
        <is>
          <t>planned surplus = expected in − planned out</t>
        </is>
      </c>
      <c r="I4" t="inlineStr">
        <is>
          <t>Worked out on the screen itself, with no engine behind it — a place a second definition can appear.</t>
        </is>
      </c>
      <c r="J4" t="inlineStr"/>
      <c r="K4" t="inlineStr">
        <is>
          <t>Yes</t>
        </is>
      </c>
      <c r="L4" t="inlineStr">
        <is>
          <t>VERIFIED 2026-08-22</t>
        </is>
      </c>
    </row>
    <row r="5">
      <c r="A5" t="inlineStr">
        <is>
          <t>MK-CF-M-004</t>
        </is>
      </c>
      <c r="B5" t="inlineStr">
        <is>
          <t>Cashflow</t>
        </is>
      </c>
      <c r="C5" t="inlineStr">
        <is>
          <t>NA</t>
        </is>
      </c>
      <c r="D5" t="inlineStr">
        <is>
          <t>Out (spent + debt)</t>
        </is>
      </c>
      <c r="E5" t="inlineStr">
        <is>
          <t>out</t>
        </is>
      </c>
      <c r="F5" t="inlineStr">
        <is>
          <t>NOT IN OLD MASTER — budgetVsActual, src/domain/budget</t>
        </is>
      </c>
      <c r="G5" t="inlineStr">
        <is>
          <t>MK-XS-E-005</t>
        </is>
      </c>
      <c r="H5" t="inlineStr">
        <is>
          <t>spent(bucket) = Σ(expenses dated in this month in that bucket, debt payments excluded);  remaining = planned − spent</t>
        </is>
      </c>
      <c r="I5" t="inlineStr">
        <is>
          <t>Adds up this month’s logged expenses by bucket and sets each against what was planned. Debt payments are deliberately left out, because debt is tracked on its own.</t>
        </is>
      </c>
      <c r="J5" t="inlineStr"/>
      <c r="K5" t="inlineStr">
        <is>
          <t>Yes</t>
        </is>
      </c>
      <c r="L5" t="inlineStr">
        <is>
          <t>VERIFIED 2026-08-22</t>
        </is>
      </c>
    </row>
    <row r="6">
      <c r="A6" t="inlineStr">
        <is>
          <t>MK-CF-M-005</t>
        </is>
      </c>
      <c r="B6" t="inlineStr">
        <is>
          <t>Cashflow</t>
        </is>
      </c>
      <c r="C6" t="inlineStr">
        <is>
          <t>NA</t>
        </is>
      </c>
      <c r="D6">
        <f> Surplus</f>
        <v/>
      </c>
      <c r="E6" t="inlineStr">
        <is>
          <t>inn - out</t>
        </is>
      </c>
      <c r="F6" t="inlineStr">
        <is>
          <t>worked out on the screen: in − out</t>
        </is>
      </c>
      <c r="G6" t="inlineStr"/>
      <c r="H6" t="inlineStr">
        <is>
          <t>surplus = money in − money out</t>
        </is>
      </c>
      <c r="I6" t="inlineStr">
        <is>
          <t>Worked out on the screen itself, with no engine behind it — a place a second definition can appear.</t>
        </is>
      </c>
      <c r="J6" t="inlineStr"/>
      <c r="K6" t="inlineStr">
        <is>
          <t>Yes</t>
        </is>
      </c>
      <c r="L6" t="inlineStr">
        <is>
          <t>VERIFIED 2026-08-22</t>
        </is>
      </c>
    </row>
    <row r="7">
      <c r="A7" t="inlineStr">
        <is>
          <t>MK-CF-M-006</t>
        </is>
      </c>
      <c r="B7" t="inlineStr">
        <is>
          <t>Cashflow</t>
        </is>
      </c>
      <c r="C7" t="inlineStr">
        <is>
          <t>NA</t>
        </is>
      </c>
      <c r="D7" t="inlineStr">
        <is>
          <t>YOUR SOURCES — Base salary</t>
        </is>
      </c>
      <c r="E7" t="inlineStr">
        <is>
          <t>op.baseSalary</t>
        </is>
      </c>
      <c r="F7" t="inlineStr">
        <is>
          <t>TOTAL_INCOME</t>
        </is>
      </c>
      <c r="G7" t="inlineStr">
        <is>
          <t>MK-CF-E-002</t>
        </is>
      </c>
      <c r="H7" t="inlineStr">
        <is>
          <t>gross a year = salary + self-employment + bonus + equity vesting + rental + other;  net a month = (gross − tax withheld − pre-tax contributions) ÷ 12</t>
        </is>
      </c>
      <c r="I7"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7" t="inlineStr"/>
      <c r="K7" t="inlineStr">
        <is>
          <t>Yes</t>
        </is>
      </c>
      <c r="L7" t="inlineStr">
        <is>
          <t>VERIFIED 2026-08-22</t>
        </is>
      </c>
    </row>
    <row r="8">
      <c r="A8" t="inlineStr">
        <is>
          <t>MK-CF-M-007</t>
        </is>
      </c>
      <c r="B8" t="inlineStr">
        <is>
          <t>Cashflow</t>
        </is>
      </c>
      <c r="C8" t="inlineStr">
        <is>
          <t>NA</t>
        </is>
      </c>
      <c r="D8" t="inlineStr">
        <is>
          <t>YOUR SOURCES — Self-employment</t>
        </is>
      </c>
      <c r="E8" t="inlineStr">
        <is>
          <t>op.seAmount</t>
        </is>
      </c>
      <c r="F8" t="inlineStr">
        <is>
          <t>TOTAL_INCOME</t>
        </is>
      </c>
      <c r="G8" t="inlineStr">
        <is>
          <t>MK-CF-E-002</t>
        </is>
      </c>
      <c r="H8" t="inlineStr">
        <is>
          <t>gross a year = salary + self-employment + bonus + equity vesting + rental + other;  net a month = (gross − tax withheld − pre-tax contributions) ÷ 12</t>
        </is>
      </c>
      <c r="I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t="inlineStr"/>
      <c r="K8" t="inlineStr">
        <is>
          <t>Yes</t>
        </is>
      </c>
      <c r="L8" t="inlineStr">
        <is>
          <t>VERIFIED 2026-08-22</t>
        </is>
      </c>
    </row>
    <row r="9">
      <c r="A9" t="inlineStr">
        <is>
          <t>MK-CF-M-008</t>
        </is>
      </c>
      <c r="B9" t="inlineStr">
        <is>
          <t>Cashflow</t>
        </is>
      </c>
      <c r="C9" t="inlineStr">
        <is>
          <t>NA</t>
        </is>
      </c>
      <c r="D9" t="inlineStr">
        <is>
          <t>YOUR SOURCES — Bonus</t>
        </is>
      </c>
      <c r="E9" t="inlineStr">
        <is>
          <t>op.bonusAnnual</t>
        </is>
      </c>
      <c r="F9" t="inlineStr">
        <is>
          <t>TOTAL_INCOME</t>
        </is>
      </c>
      <c r="G9" t="inlineStr">
        <is>
          <t>MK-CF-E-002</t>
        </is>
      </c>
      <c r="H9" t="inlineStr">
        <is>
          <t>gross a year = salary + self-employment + bonus + equity vesting + rental + other;  net a month = (gross − tax withheld − pre-tax contributions) ÷ 12</t>
        </is>
      </c>
      <c r="I9"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t="inlineStr"/>
      <c r="K9" t="inlineStr">
        <is>
          <t>Yes</t>
        </is>
      </c>
      <c r="L9" t="inlineStr">
        <is>
          <t>VERIFIED 2026-08-22</t>
        </is>
      </c>
    </row>
    <row r="10">
      <c r="A10" t="inlineStr">
        <is>
          <t>MK-CF-M-009</t>
        </is>
      </c>
      <c r="B10" t="inlineStr">
        <is>
          <t>Cashflow</t>
        </is>
      </c>
      <c r="C10" t="inlineStr">
        <is>
          <t>NA</t>
        </is>
      </c>
      <c r="D10" t="inlineStr">
        <is>
          <t>YOUR SOURCES — Stock vesting (equity)</t>
        </is>
      </c>
      <c r="E10" t="inlineStr">
        <is>
          <t>rsuTotal</t>
        </is>
      </c>
      <c r="F10" t="inlineStr">
        <is>
          <t>NOT IN OLD MASTER — the equity schedule, src/domain/income</t>
        </is>
      </c>
      <c r="G10" t="inlineStr">
        <is>
          <t>MK-CF-E-003</t>
        </is>
      </c>
      <c r="H10" t="inlineStr">
        <is>
          <t>equity a year ÷ the vest months it lands in, by the stated weights</t>
        </is>
      </c>
      <c r="I10" t="inlineStr">
        <is>
          <t>Spreads stock that vests across the months it actually vests in, rather than smoothing it over the year.</t>
        </is>
      </c>
      <c r="J10" t="inlineStr"/>
      <c r="K10" t="inlineStr">
        <is>
          <t>Yes</t>
        </is>
      </c>
      <c r="L10" t="inlineStr">
        <is>
          <t>VERIFIED 2026-08-22</t>
        </is>
      </c>
    </row>
    <row r="11">
      <c r="A11" t="inlineStr">
        <is>
          <t>MK-CF-M-010</t>
        </is>
      </c>
      <c r="B11" t="inlineStr">
        <is>
          <t>Cashflow</t>
        </is>
      </c>
      <c r="C11" t="inlineStr">
        <is>
          <t>NA</t>
        </is>
      </c>
      <c r="D11" t="inlineStr">
        <is>
          <t>YOUR SOURCES — Rental property</t>
        </is>
      </c>
      <c r="E11" t="inlineStr">
        <is>
          <t>rentalTotal</t>
        </is>
      </c>
      <c r="F11" t="inlineStr">
        <is>
          <t>RENTAL_INCOME_A_YEAR</t>
        </is>
      </c>
      <c r="G11" t="inlineStr">
        <is>
          <t>MK-CF-E-004</t>
        </is>
      </c>
      <c r="H11" t="inlineStr">
        <is>
          <t>rental net a year = rent received − running costs</t>
        </is>
      </c>
      <c r="I11" t="inlineStr">
        <is>
          <t>(income − costs) each month, added across properties, × 12.
A property that costs more than it earns REDUCES income rather than being floored at zero — a loss-making rental is a real fact about a plan.</t>
        </is>
      </c>
      <c r="J11" t="inlineStr"/>
      <c r="K11" t="inlineStr">
        <is>
          <t>Yes</t>
        </is>
      </c>
      <c r="L11" t="inlineStr">
        <is>
          <t>VERIFIED 2026-08-22</t>
        </is>
      </c>
    </row>
    <row r="12">
      <c r="A12" t="inlineStr">
        <is>
          <t>MK-CF-M-011</t>
        </is>
      </c>
      <c r="B12" t="inlineStr">
        <is>
          <t>Cashflow</t>
        </is>
      </c>
      <c r="C12" t="inlineStr">
        <is>
          <t>NA</t>
        </is>
      </c>
      <c r="D12" t="inlineStr">
        <is>
          <t>YOUR SOURCES — Social Security · pension</t>
        </is>
      </c>
      <c r="E12" t="inlineStr">
        <is>
          <t>guaranteed</t>
        </is>
      </c>
      <c r="F12" t="inlineStr">
        <is>
          <t>RETIREMENT_INCOME_NOW</t>
        </is>
      </c>
      <c r="G12" t="inlineStr">
        <is>
          <t>MK-PL-E-010</t>
        </is>
      </c>
      <c r="H12" t="inlineStr">
        <is>
          <t>guaranteed income now = Σ(streams already being received)</t>
        </is>
      </c>
      <c r="I12"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2" t="inlineStr"/>
      <c r="K12" t="inlineStr">
        <is>
          <t>Yes</t>
        </is>
      </c>
      <c r="L12" t="inlineStr">
        <is>
          <t>VERIFIED 2026-08-22</t>
        </is>
      </c>
    </row>
    <row r="13">
      <c r="A13" t="inlineStr">
        <is>
          <t>MK-CF-M-012</t>
        </is>
      </c>
      <c r="B13" t="inlineStr">
        <is>
          <t>Cashflow</t>
        </is>
      </c>
      <c r="C13" t="inlineStr">
        <is>
          <t>NA</t>
        </is>
      </c>
      <c r="D13" t="inlineStr">
        <is>
          <t>RECEIVED · &lt;month&gt; — each payment</t>
        </is>
      </c>
      <c r="E13" t="inlineStr">
        <is>
          <t>i.amount</t>
        </is>
      </c>
      <c r="F13" t="inlineStr">
        <is>
          <t>NOT IN OLD MASTER — the received list, src/domain/income</t>
        </is>
      </c>
      <c r="G13" t="inlineStr">
        <is>
          <t>MK-CF-E-005</t>
        </is>
      </c>
      <c r="H13" t="inlineStr">
        <is>
          <t>each payment recorded this month, with its date and source</t>
        </is>
      </c>
      <c r="I13" t="inlineStr">
        <is>
          <t>Lists what has actually been received this month, rather than what was expected.</t>
        </is>
      </c>
      <c r="J13" t="inlineStr"/>
      <c r="K13" t="inlineStr">
        <is>
          <t>Yes</t>
        </is>
      </c>
      <c r="L13" t="inlineStr">
        <is>
          <t>VERIFIED 2026-08-22</t>
        </is>
      </c>
    </row>
    <row r="14">
      <c r="A14" t="inlineStr">
        <is>
          <t>MK-CF-M-013</t>
        </is>
      </c>
      <c r="B14" t="inlineStr">
        <is>
          <t>Cashflow</t>
        </is>
      </c>
      <c r="C14" t="inlineStr">
        <is>
          <t>NA</t>
        </is>
      </c>
      <c r="D14" t="inlineStr">
        <is>
          <t>&lt;MONTH&gt; · $X SPENT</t>
        </is>
      </c>
      <c r="E14" t="inlineStr">
        <is>
          <t>spent</t>
        </is>
      </c>
      <c r="F14" t="inlineStr">
        <is>
          <t>SPENDING_BY_KIND</t>
        </is>
      </c>
      <c r="G14" t="inlineStr">
        <is>
          <t>MK-CF-E-006</t>
        </is>
      </c>
      <c r="H14" t="inlineStr">
        <is>
          <t>spent in a bucket = Σ(expenses this month in that bucket);  debt payments are excluded</t>
        </is>
      </c>
      <c r="I14" t="inlineStr">
        <is>
          <t>If the person answered category by category, total each category into its bucket. If they gave three summary figures instead, use those. Nothing answered is zero — never a guessed household average, which would put a number in their plan that nobody chose.</t>
        </is>
      </c>
      <c r="J14" t="inlineStr"/>
      <c r="K14" t="inlineStr">
        <is>
          <t>Yes</t>
        </is>
      </c>
      <c r="L14" t="inlineStr">
        <is>
          <t>VERIFIED 2026-08-22</t>
        </is>
      </c>
    </row>
    <row r="15">
      <c r="A15" t="inlineStr">
        <is>
          <t>MK-CF-M-014</t>
        </is>
      </c>
      <c r="B15" t="inlineStr">
        <is>
          <t>Cashflow</t>
        </is>
      </c>
      <c r="C15" t="inlineStr">
        <is>
          <t>NA</t>
        </is>
      </c>
      <c r="D15" t="inlineStr">
        <is>
          <t>each expense and its amount</t>
        </is>
      </c>
      <c r="E15" t="inlineStr">
        <is>
          <t>e.amount</t>
        </is>
      </c>
      <c r="F15" t="inlineStr">
        <is>
          <t>SPENDING_BY_KIND</t>
        </is>
      </c>
      <c r="G15" t="inlineStr">
        <is>
          <t>MK-CF-E-006</t>
        </is>
      </c>
      <c r="H15" t="inlineStr">
        <is>
          <t>spent in a bucket = Σ(expenses this month in that bucket);  debt payments are excluded</t>
        </is>
      </c>
      <c r="I15" t="inlineStr">
        <is>
          <t>If the person answered category by category, total each category into its bucket. If they gave three summary figures instead, use those. Nothing answered is zero — never a guessed household average, which would put a number in their plan that nobody chose.</t>
        </is>
      </c>
      <c r="J15" t="inlineStr"/>
      <c r="K15" t="inlineStr">
        <is>
          <t>Yes</t>
        </is>
      </c>
      <c r="L15" t="inlineStr">
        <is>
          <t>VERIFIED 2026-08-22</t>
        </is>
      </c>
    </row>
    <row r="16">
      <c r="A16" t="inlineStr">
        <is>
          <t>MK-CF-M-015</t>
        </is>
      </c>
      <c r="B16" t="inlineStr">
        <is>
          <t>Cashflow</t>
        </is>
      </c>
      <c r="C16" t="inlineStr">
        <is>
          <t>NA</t>
        </is>
      </c>
      <c r="D16" t="inlineStr">
        <is>
          <t>BY CATEGORY VS PLAN — $X of $Y</t>
        </is>
      </c>
      <c r="E16" t="inlineStr">
        <is>
          <t>b.spent / b.planned</t>
        </is>
      </c>
      <c r="F16" t="inlineStr">
        <is>
          <t>PLANNED_SPENDING</t>
        </is>
      </c>
      <c r="G16" t="inlineStr">
        <is>
          <t>MK-CF-E-007</t>
        </is>
      </c>
      <c r="H16" t="inlineStr">
        <is>
          <t>planned a month = Σ(each category’s planned amount);  remaining = planned − spent</t>
        </is>
      </c>
      <c r="I16"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6" t="inlineStr"/>
      <c r="K16" t="inlineStr">
        <is>
          <t>Yes</t>
        </is>
      </c>
      <c r="L16" t="inlineStr">
        <is>
          <t>VERIFIED 2026-08-22</t>
        </is>
      </c>
    </row>
    <row r="17">
      <c r="A17" t="inlineStr">
        <is>
          <t>MK-CF-M-016</t>
        </is>
      </c>
      <c r="B17" t="inlineStr">
        <is>
          <t>Cashflow</t>
        </is>
      </c>
      <c r="C17" t="inlineStr">
        <is>
          <t>NA</t>
        </is>
      </c>
      <c r="D17" t="inlineStr">
        <is>
          <t>BIG-TICKET RADAR — &lt;bill&gt; · due &lt;month&gt;</t>
        </is>
      </c>
      <c r="E17" t="inlineStr">
        <is>
          <t>b.amount</t>
        </is>
      </c>
      <c r="F17" t="inlineStr">
        <is>
          <t>NOT IN OLD MASTER — the big-bill radar, src/domain/cashflow</t>
        </is>
      </c>
      <c r="G17" t="inlineStr">
        <is>
          <t>MK-CF-E-008</t>
        </is>
      </c>
      <c r="H17" t="inlineStr">
        <is>
          <t>a bill is flagged when its amount is large relative to a typical month and it falls within the horizon shown</t>
        </is>
      </c>
      <c r="I17" t="inlineStr">
        <is>
          <t>Points out the big one-off bills coming up, so they are not a surprise.</t>
        </is>
      </c>
      <c r="J17" t="inlineStr"/>
      <c r="K17" t="inlineStr">
        <is>
          <t>Yes</t>
        </is>
      </c>
      <c r="L17" t="inlineStr">
        <is>
          <t>VERIFIED 2026-08-22</t>
        </is>
      </c>
    </row>
    <row r="18">
      <c r="A18" t="inlineStr">
        <is>
          <t>MK-CF-M-017</t>
        </is>
      </c>
      <c r="B18" t="inlineStr">
        <is>
          <t>Cashflow</t>
        </is>
      </c>
      <c r="C18" t="inlineStr">
        <is>
          <t>NA</t>
        </is>
      </c>
      <c r="D18" t="inlineStr">
        <is>
          <t>well above your usual &lt;category&gt;</t>
        </is>
      </c>
      <c r="E18" t="inlineStr">
        <is>
          <t>e.amount</t>
        </is>
      </c>
      <c r="F18" t="inlineStr">
        <is>
          <t>NOT IN OLD MASTER — the unusual-spend check, src/domain/budget</t>
        </is>
      </c>
      <c r="G18" t="inlineStr">
        <is>
          <t>MK-CF-E-009</t>
        </is>
      </c>
      <c r="H18" t="inlineStr">
        <is>
          <t>flagged when an expense is well above the usual amount for its category</t>
        </is>
      </c>
      <c r="I18" t="inlineStr">
        <is>
          <t>Marks a single expense that sits well above what that category normally costs.</t>
        </is>
      </c>
      <c r="J18" t="inlineStr"/>
      <c r="K18" t="inlineStr">
        <is>
          <t>Yes</t>
        </is>
      </c>
      <c r="L18" t="inlineStr">
        <is>
          <t>VERIFIED 2026-08-22</t>
        </is>
      </c>
    </row>
    <row r="19">
      <c r="A19" t="inlineStr">
        <is>
          <t>MK-CF-M-018</t>
        </is>
      </c>
      <c r="B19" t="inlineStr">
        <is>
          <t>Cashflow</t>
        </is>
      </c>
      <c r="C19" t="inlineStr">
        <is>
          <t>NA</t>
        </is>
      </c>
      <c r="D19" t="inlineStr">
        <is>
          <t>THIS MONTH — In (take-home)</t>
        </is>
      </c>
      <c r="E19" t="inlineStr">
        <is>
          <t>inflow</t>
        </is>
      </c>
      <c r="F19" t="inlineStr">
        <is>
          <t>NOT IN OLD MASTER — incomeMonthlyGrid, src/domain/income</t>
        </is>
      </c>
      <c r="G19" t="inlineStr">
        <is>
          <t>MK-XS-E-006</t>
        </is>
      </c>
      <c r="H19" t="inlineStr">
        <is>
          <t>money in month m = salary(m) + tips(m) + rental ÷ 12 + bonus(m) + equity vesting(m) − withholding(m) − pre-tax contributions(m)</t>
        </is>
      </c>
      <c r="I19" t="inlineStr">
        <is>
          <t>Builds twelve months of money in, one month at a time. Salary comes from the per-month table, equity lands in the months it vests, the bonus lands in its own month, and each month has its own withholding rate.</t>
        </is>
      </c>
      <c r="J19" t="inlineStr"/>
      <c r="K19" t="inlineStr">
        <is>
          <t>Yes</t>
        </is>
      </c>
      <c r="L19" t="inlineStr">
        <is>
          <t>VERIFIED 2026-08-22</t>
        </is>
      </c>
    </row>
    <row r="20">
      <c r="A20" t="inlineStr">
        <is>
          <t>MK-CF-M-019</t>
        </is>
      </c>
      <c r="B20" t="inlineStr">
        <is>
          <t>Cashflow</t>
        </is>
      </c>
      <c r="C20" t="inlineStr">
        <is>
          <t>NA</t>
        </is>
      </c>
      <c r="D20" t="inlineStr">
        <is>
          <t>THIS MONTH — Out (bills + debt)</t>
        </is>
      </c>
      <c r="E20" t="inlineStr">
        <is>
          <t>outflow</t>
        </is>
      </c>
      <c r="F20" t="inlineStr">
        <is>
          <t>SPENDING_BY_KIND · DEBT_REQUIRED_PAYMENT</t>
        </is>
      </c>
      <c r="G20" t="inlineStr">
        <is>
          <t>MK-CF-E-010</t>
        </is>
      </c>
      <c r="H20" t="inlineStr">
        <is>
          <t>money out = Σ(expenses this month) + Σ(required debt payments)</t>
        </is>
      </c>
      <c r="I20"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20" t="inlineStr"/>
      <c r="K20" t="inlineStr">
        <is>
          <t>Yes</t>
        </is>
      </c>
      <c r="L20" t="inlineStr">
        <is>
          <t>VERIFIED 2026-08-22</t>
        </is>
      </c>
    </row>
    <row r="21">
      <c r="A21" t="inlineStr">
        <is>
          <t>MK-CF-M-020</t>
        </is>
      </c>
      <c r="B21" t="inlineStr">
        <is>
          <t>Cashflow</t>
        </is>
      </c>
      <c r="C21" t="inlineStr">
        <is>
          <t>NA</t>
        </is>
      </c>
      <c r="D21" t="inlineStr">
        <is>
          <t>THIS MONTH — free to use</t>
        </is>
      </c>
      <c r="E21" t="inlineStr">
        <is>
          <t>free</t>
        </is>
      </c>
      <c r="F21" t="inlineStr">
        <is>
          <t>worked out on the screen: in − out − what the Plan committed</t>
        </is>
      </c>
      <c r="G21" t="inlineStr"/>
      <c r="H21" t="inlineStr">
        <is>
          <t>free to use = money in − money out − Σ(monthly amounts the Plan committed)</t>
        </is>
      </c>
      <c r="I21" t="inlineStr">
        <is>
          <t>Worked out on the screen itself, with no engine behind it — a place a second definition can appear.</t>
        </is>
      </c>
      <c r="J21" t="inlineStr"/>
      <c r="K21" t="inlineStr">
        <is>
          <t>Yes</t>
        </is>
      </c>
      <c r="L21" t="inlineStr">
        <is>
          <t>VERIFIED 2026-08-22</t>
        </is>
      </c>
    </row>
    <row r="22">
      <c r="A22" t="inlineStr">
        <is>
          <t>MK-CF-M-021</t>
        </is>
      </c>
      <c r="B22" t="inlineStr">
        <is>
          <t>Cashflow</t>
        </is>
      </c>
      <c r="C22" t="inlineStr">
        <is>
          <t>NA</t>
        </is>
      </c>
      <c r="D22" t="inlineStr">
        <is>
          <t>&lt;goal&gt; · from your Plan</t>
        </is>
      </c>
      <c r="E22" t="inlineStr">
        <is>
          <t>c.monthlyAmount</t>
        </is>
      </c>
      <c r="F22" t="inlineStr">
        <is>
          <t>NOT IN OLD MASTER — plan commitments, src/domain/planning</t>
        </is>
      </c>
      <c r="G22" t="inlineStr">
        <is>
          <t>MK-CF-E-011</t>
        </is>
      </c>
      <c r="H22" t="inlineStr">
        <is>
          <t>Σ(monthly amount of each goal the Plan has committed to)</t>
        </is>
      </c>
      <c r="I22" t="inlineStr">
        <is>
          <t>The monthly amounts the Plan has already promised to goals, so cash flow can show what is genuinely free.</t>
        </is>
      </c>
      <c r="J22" t="inlineStr"/>
      <c r="K22" t="inlineStr">
        <is>
          <t>Yes</t>
        </is>
      </c>
      <c r="L22" t="inlineStr">
        <is>
          <t>VERIFIED 2026-08-22</t>
        </is>
      </c>
    </row>
    <row r="23">
      <c r="A23" t="inlineStr">
        <is>
          <t>MK-CF-M-022</t>
        </is>
      </c>
      <c r="B23" t="inlineStr">
        <is>
          <t>Cashflow</t>
        </is>
      </c>
      <c r="C23" t="inlineStr">
        <is>
          <t>NA</t>
        </is>
      </c>
      <c r="D23" t="inlineStr">
        <is>
          <t>YOUR FUTURE PAYCHECK — At &lt;age&gt;: ~$X / mo</t>
        </is>
      </c>
      <c r="E23" t="inlineStr">
        <is>
          <t>projection.monthly</t>
        </is>
      </c>
      <c r="F23" t="inlineStr">
        <is>
          <t>POT_AT_RETIREMENT</t>
        </is>
      </c>
      <c r="G23" t="inlineStr">
        <is>
          <t>MK-NW-E-010</t>
        </is>
      </c>
      <c r="H23" t="inlineStr">
        <is>
          <t>pot = balance × (1 + r)^n + Σ(contribution × (1 + r)^(n − year)),  n = years to retirement</t>
        </is>
      </c>
      <c r="I2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3" t="inlineStr"/>
      <c r="K23" t="inlineStr">
        <is>
          <t>Yes</t>
        </is>
      </c>
      <c r="L23" t="inlineStr">
        <is>
          <t>VERIFIED 2026-08-22</t>
        </is>
      </c>
    </row>
    <row r="24">
      <c r="A24" t="inlineStr">
        <is>
          <t>MK-CF-M-023</t>
        </is>
      </c>
      <c r="B24" t="inlineStr">
        <is>
          <t>Cashflow</t>
        </is>
      </c>
      <c r="C24" t="inlineStr">
        <is>
          <t>NA</t>
        </is>
      </c>
      <c r="D24" t="inlineStr">
        <is>
          <t>YOUR FUTURE PAYCHECK — Social Security · pension</t>
        </is>
      </c>
      <c r="E24" t="inlineStr">
        <is>
          <t>projection.guaranteed</t>
        </is>
      </c>
      <c r="F24" t="inlineStr">
        <is>
          <t>RETIREMENT_INCOME</t>
        </is>
      </c>
      <c r="G24" t="inlineStr">
        <is>
          <t>MK-CF-E-012</t>
        </is>
      </c>
      <c r="H24" t="inlineStr">
        <is>
          <t>guaranteed income a month = Social Security + pension + annuity + any other stated stream</t>
        </is>
      </c>
      <c r="I24" t="inlineStr">
        <is>
          <t>Add Social Security, pension, withdrawals, required minimum distributions, annuities and other — each converted to a monthly figure from however it was entered (yearly, quarterly, monthly).</t>
        </is>
      </c>
      <c r="J24" t="inlineStr"/>
      <c r="K24" t="inlineStr">
        <is>
          <t>Yes</t>
        </is>
      </c>
      <c r="L24" t="inlineStr">
        <is>
          <t>VERIFIED 2026-08-22</t>
        </is>
      </c>
    </row>
    <row r="25">
      <c r="A25" t="inlineStr">
        <is>
          <t>MK-CF-M-024</t>
        </is>
      </c>
      <c r="B25" t="inlineStr">
        <is>
          <t>Cashflow</t>
        </is>
      </c>
      <c r="C25" t="inlineStr">
        <is>
          <t>/monthly-income</t>
        </is>
      </c>
      <c r="D25" t="inlineStr">
        <is>
          <t>each source of guaranteed income</t>
        </is>
      </c>
      <c r="E25" t="inlineStr">
        <is>
          <t>g.amount</t>
        </is>
      </c>
      <c r="F25" t="inlineStr">
        <is>
          <t>RETIREMENT_INCOME_NOW</t>
        </is>
      </c>
      <c r="G25" t="inlineStr">
        <is>
          <t>MK-PL-E-010</t>
        </is>
      </c>
      <c r="H25" t="inlineStr">
        <is>
          <t>guaranteed income now = Σ(streams already being received)</t>
        </is>
      </c>
      <c r="I25"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25" t="inlineStr"/>
      <c r="K25" t="inlineStr">
        <is>
          <t>Yes</t>
        </is>
      </c>
      <c r="L25" t="inlineStr">
        <is>
          <t>VERIFIED 2026-08-22</t>
        </is>
      </c>
    </row>
    <row r="26">
      <c r="A26" t="inlineStr">
        <is>
          <t>MK-CF-M-025</t>
        </is>
      </c>
      <c r="B26" t="inlineStr">
        <is>
          <t>Cashflow</t>
        </is>
      </c>
      <c r="C26" t="inlineStr">
        <is>
          <t>/month-detail</t>
        </is>
      </c>
      <c r="D26" t="inlineStr">
        <is>
          <t>what came in and went out that month</t>
        </is>
      </c>
      <c r="E26" t="inlineStr">
        <is>
          <t>cell</t>
        </is>
      </c>
      <c r="F26" t="inlineStr">
        <is>
          <t>the by-month grid</t>
        </is>
      </c>
      <c r="G26" t="inlineStr">
        <is>
          <t>MK-CF-E-013</t>
        </is>
      </c>
      <c r="H26" t="inlineStr">
        <is>
          <t>see the by-month grid</t>
        </is>
      </c>
      <c r="I26" t="inlineStr">
        <is>
          <t>The month-by-month view of money in and money out.</t>
        </is>
      </c>
      <c r="J26" t="inlineStr"/>
      <c r="K26" t="inlineStr">
        <is>
          <t>Yes</t>
        </is>
      </c>
      <c r="L26" t="inlineStr">
        <is>
          <t>VERIFIED 2026-08-22</t>
        </is>
      </c>
    </row>
    <row r="27">
      <c r="A27" t="inlineStr">
        <is>
          <t>MK-CF-M-026</t>
        </is>
      </c>
      <c r="B27" t="inlineStr">
        <is>
          <t>Cashflow</t>
        </is>
      </c>
      <c r="C27" t="inlineStr">
        <is>
          <t>/paycheck-months</t>
        </is>
      </c>
      <c r="D27" t="inlineStr">
        <is>
          <t>the months a paycheck lands</t>
        </is>
      </c>
      <c r="E27" t="inlineStr">
        <is>
          <t>payYear</t>
        </is>
      </c>
      <c r="F27" t="inlineStr">
        <is>
          <t>RETIREMENT_PAYCHECK</t>
        </is>
      </c>
      <c r="G27" t="inlineStr">
        <is>
          <t>MK-CF-E-014</t>
        </is>
      </c>
      <c r="H27" t="inlineStr">
        <is>
          <t>paycheck a month = guaranteed income + the draw from savings</t>
        </is>
      </c>
      <c r="I27" t="inlineStr">
        <is>
          <t>Builds the monthly paycheck in retirement: what is guaranteed that month, plus what can be drawn from savings without breaking the plan.</t>
        </is>
      </c>
      <c r="J27" t="inlineStr"/>
      <c r="K27" t="inlineStr">
        <is>
          <t>Yes</t>
        </is>
      </c>
      <c r="L27" t="inlineStr">
        <is>
          <t>VERIFIED 2026-08-22</t>
        </is>
      </c>
    </row>
    <row r="28">
      <c r="A28" t="inlineStr">
        <is>
          <t>MK-CF-M-027</t>
        </is>
      </c>
      <c r="B28" t="inlineStr">
        <is>
          <t>Cashflow</t>
        </is>
      </c>
      <c r="C28" t="inlineStr">
        <is>
          <t>/income-manager</t>
        </is>
      </c>
      <c r="D28" t="inlineStr">
        <is>
          <t>each income source and its amount</t>
        </is>
      </c>
      <c r="E28" t="inlineStr">
        <is>
          <t>sources</t>
        </is>
      </c>
      <c r="F28" t="inlineStr">
        <is>
          <t>TOTAL_INCOME</t>
        </is>
      </c>
      <c r="G28" t="inlineStr">
        <is>
          <t>MK-CF-E-002</t>
        </is>
      </c>
      <c r="H28" t="inlineStr">
        <is>
          <t>gross a year = salary + self-employment + bonus + equity vesting + rental + other;  net a month = (gross − tax withheld − pre-tax contributions) ÷ 12</t>
        </is>
      </c>
      <c r="I2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8" t="inlineStr"/>
      <c r="K28" t="inlineStr">
        <is>
          <t>Yes</t>
        </is>
      </c>
      <c r="L28" t="inlineStr">
        <is>
          <t>VERIFIED 2026-08-22</t>
        </is>
      </c>
    </row>
    <row r="29">
      <c r="A29" t="inlineStr">
        <is>
          <t>MK-CF-M-028</t>
        </is>
      </c>
      <c r="B29" t="inlineStr">
        <is>
          <t>Cashflow</t>
        </is>
      </c>
      <c r="C29" t="inlineStr">
        <is>
          <t>/bill-calendar</t>
        </is>
      </c>
      <c r="D29" t="inlineStr">
        <is>
          <t>each bill and the day it falls</t>
        </is>
      </c>
      <c r="E29" t="inlineStr">
        <is>
          <t>bills</t>
        </is>
      </c>
      <c r="F29" t="inlineStr">
        <is>
          <t>THE_BILL_CALENDAR</t>
        </is>
      </c>
      <c r="G29" t="inlineStr">
        <is>
          <t>MK-CF-E-015</t>
        </is>
      </c>
      <c r="H29" t="inlineStr">
        <is>
          <t>each bill falls on its stated day;  the month’s bills = Σ(amounts due in that month)</t>
        </is>
      </c>
      <c r="I29" t="inlineStr">
        <is>
          <t>Places each recurring bill on the day of the month it falls, so the shape of the month can be seen.</t>
        </is>
      </c>
      <c r="J29" t="inlineStr"/>
      <c r="K29" t="inlineStr">
        <is>
          <t>Yes</t>
        </is>
      </c>
      <c r="L29" t="inlineStr">
        <is>
          <t>VERIFIED 2026-08-22</t>
        </is>
      </c>
    </row>
    <row r="30">
      <c r="A30" t="inlineStr"/>
      <c r="B30" t="inlineStr">
        <is>
          <t>Cashflow</t>
        </is>
      </c>
      <c r="C30" t="inlineStr">
        <is>
          <t>/add-account</t>
        </is>
      </c>
      <c r="D30" t="inlineStr">
        <is>
          <t>—</t>
        </is>
      </c>
      <c r="E30" t="inlineStr">
        <is>
          <t>—</t>
        </is>
      </c>
      <c r="F30" t="inlineStr">
        <is>
          <t>—</t>
        </is>
      </c>
      <c r="G30" t="inlineStr"/>
      <c r="H30" t="inlineStr"/>
      <c r="I30" t="inlineStr"/>
      <c r="J30" t="inlineStr"/>
      <c r="K30" t="inlineStr">
        <is>
          <t>Yes</t>
        </is>
      </c>
      <c r="L30" t="inlineStr">
        <is>
          <t>READ 2026-08-22 — no calculated figure on this screen</t>
        </is>
      </c>
    </row>
    <row r="31">
      <c r="A31" t="inlineStr"/>
      <c r="B31" t="inlineStr">
        <is>
          <t>Cashflow</t>
        </is>
      </c>
      <c r="C31" t="inlineStr">
        <is>
          <t>/connect</t>
        </is>
      </c>
      <c r="D31" t="inlineStr">
        <is>
          <t>—</t>
        </is>
      </c>
      <c r="E31" t="inlineStr">
        <is>
          <t>—</t>
        </is>
      </c>
      <c r="F31" t="inlineStr">
        <is>
          <t>—</t>
        </is>
      </c>
      <c r="G31" t="inlineStr"/>
      <c r="H31" t="inlineStr"/>
      <c r="I31" t="inlineStr"/>
      <c r="J31" t="inlineStr"/>
      <c r="K31" t="inlineStr">
        <is>
          <t>Yes</t>
        </is>
      </c>
      <c r="L31" t="inlineStr">
        <is>
          <t>READ 2026-08-22 — no calculated figure on this screen</t>
        </is>
      </c>
    </row>
    <row r="32">
      <c r="A32" t="inlineStr"/>
      <c r="B32" t="inlineStr">
        <is>
          <t>Cashflow</t>
        </is>
      </c>
      <c r="C32" t="inlineStr">
        <is>
          <t>/import-holdings</t>
        </is>
      </c>
      <c r="D32" t="inlineStr">
        <is>
          <t>—</t>
        </is>
      </c>
      <c r="E32" t="inlineStr">
        <is>
          <t>—</t>
        </is>
      </c>
      <c r="F32" t="inlineStr">
        <is>
          <t>—</t>
        </is>
      </c>
      <c r="G32" t="inlineStr"/>
      <c r="H32" t="inlineStr"/>
      <c r="I32" t="inlineStr"/>
      <c r="J32" t="inlineStr"/>
      <c r="K32" t="inlineStr">
        <is>
          <t>Yes</t>
        </is>
      </c>
      <c r="L32" t="inlineStr">
        <is>
          <t>READ 2026-08-22 — no calculated figure on this screen</t>
        </is>
      </c>
    </row>
    <row r="33">
      <c r="A33" t="inlineStr"/>
      <c r="B33" t="inlineStr">
        <is>
          <t>Cashflow</t>
        </is>
      </c>
      <c r="C33" t="inlineStr">
        <is>
          <t>/onboarding</t>
        </is>
      </c>
      <c r="D33" t="inlineStr">
        <is>
          <t>—</t>
        </is>
      </c>
      <c r="E33" t="inlineStr">
        <is>
          <t>—</t>
        </is>
      </c>
      <c r="F33" t="inlineStr">
        <is>
          <t>—</t>
        </is>
      </c>
      <c r="G33" t="inlineStr"/>
      <c r="H33" t="inlineStr"/>
      <c r="I33" t="inlineStr"/>
      <c r="J33" t="inlineStr"/>
      <c r="K33" t="inlineStr">
        <is>
          <t>Yes</t>
        </is>
      </c>
      <c r="L33" t="inlineStr">
        <is>
          <t>READ 2026-08-22 — no calculated figure on this screen</t>
        </is>
      </c>
    </row>
    <row r="34">
      <c r="A34" t="inlineStr"/>
      <c r="B34" t="inlineStr">
        <is>
          <t>Cashflow</t>
        </is>
      </c>
      <c r="C34" t="inlineStr">
        <is>
          <t>/performance</t>
        </is>
      </c>
      <c r="D34" t="inlineStr">
        <is>
          <t>—</t>
        </is>
      </c>
      <c r="E34" t="inlineStr">
        <is>
          <t>—</t>
        </is>
      </c>
      <c r="F34" t="inlineStr">
        <is>
          <t>—</t>
        </is>
      </c>
      <c r="G34" t="inlineStr"/>
      <c r="H34" t="inlineStr"/>
      <c r="I34" t="inlineStr"/>
      <c r="J34" t="inlineStr"/>
      <c r="K34" t="inlineStr">
        <is>
          <t>Yes</t>
        </is>
      </c>
      <c r="L34" t="inlineStr">
        <is>
          <t>READ 2026-08-22 — the same screen as /invest, reached by a second route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3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1" customWidth="1" min="10" max="10"/>
    <col width="20" customWidth="1" min="11" max="11"/>
    <col width="18" customWidth="1" min="12" max="12"/>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Your name for it (72-metric file)</t>
        </is>
      </c>
      <c r="K1" s="1" t="inlineStr">
        <is>
          <t>Core screen?</t>
        </is>
      </c>
      <c r="L1" s="1" t="inlineStr">
        <is>
          <t>Row status</t>
        </is>
      </c>
    </row>
    <row r="2">
      <c r="A2" t="inlineStr">
        <is>
          <t>MK-MN-M-001</t>
        </is>
      </c>
      <c r="B2" t="inlineStr">
        <is>
          <t>Menu</t>
        </is>
      </c>
      <c r="C2" t="inlineStr">
        <is>
          <t>/big-costs</t>
        </is>
      </c>
      <c r="D2" t="inlineStr">
        <is>
          <t>each big cost and its year</t>
        </is>
      </c>
      <c r="E2" t="inlineStr">
        <is>
          <t>c.amount</t>
        </is>
      </c>
      <c r="F2" t="inlineStr">
        <is>
          <t>BIG_COSTS</t>
        </is>
      </c>
      <c r="G2" t="inlineStr">
        <is>
          <t>MK-MN-E-001</t>
        </is>
      </c>
      <c r="H2" t="inlineStr">
        <is>
          <t>total = Σ(each big cost);  each one lands in the year it is dated</t>
        </is>
      </c>
      <c r="I2" t="inlineStr">
        <is>
          <t>Adds up the one-off costs the person has told us about, each sitting in the year it is expected.</t>
        </is>
      </c>
      <c r="J2" t="inlineStr"/>
      <c r="K2" t="inlineStr">
        <is>
          <t>Yes</t>
        </is>
      </c>
      <c r="L2" t="inlineStr">
        <is>
          <t>VERIFIED 2026-08-22</t>
        </is>
      </c>
    </row>
    <row r="3">
      <c r="A3" t="inlineStr">
        <is>
          <t>MK-MN-M-002</t>
        </is>
      </c>
      <c r="B3" t="inlineStr">
        <is>
          <t>Menu</t>
        </is>
      </c>
      <c r="C3" t="inlineStr">
        <is>
          <t>/big-costs</t>
        </is>
      </c>
      <c r="D3" t="inlineStr">
        <is>
          <t>the total of your big costs</t>
        </is>
      </c>
      <c r="E3" t="inlineStr">
        <is>
          <t>total</t>
        </is>
      </c>
      <c r="F3" t="inlineStr">
        <is>
          <t>BIG_COSTS</t>
        </is>
      </c>
      <c r="G3" t="inlineStr">
        <is>
          <t>MK-MN-E-001</t>
        </is>
      </c>
      <c r="H3" t="inlineStr">
        <is>
          <t>total = Σ(each big cost);  each one lands in the year it is dated</t>
        </is>
      </c>
      <c r="I3" t="inlineStr">
        <is>
          <t>Adds up the one-off costs the person has told us about, each sitting in the year it is expected.</t>
        </is>
      </c>
      <c r="J3" t="inlineStr"/>
      <c r="K3" t="inlineStr">
        <is>
          <t>Yes</t>
        </is>
      </c>
      <c r="L3" t="inlineStr">
        <is>
          <t>VERIFIED 2026-08-22</t>
        </is>
      </c>
    </row>
    <row r="4">
      <c r="A4" t="inlineStr">
        <is>
          <t>MK-MN-M-003</t>
        </is>
      </c>
      <c r="B4" t="inlineStr">
        <is>
          <t>Menu</t>
        </is>
      </c>
      <c r="C4" t="inlineStr">
        <is>
          <t>/contribution-room</t>
        </is>
      </c>
      <c r="D4" t="inlineStr">
        <is>
          <t>$X left / up to $Y</t>
        </is>
      </c>
      <c r="E4" t="inlineStr">
        <is>
          <t>room / limit</t>
        </is>
      </c>
      <c r="F4" t="inlineStr">
        <is>
          <t>CONTRIBUTION_ROOM</t>
        </is>
      </c>
      <c r="G4" t="inlineStr">
        <is>
          <t>MK-MN-E-002</t>
        </is>
      </c>
      <c r="H4" t="inlineStr">
        <is>
          <t>room left = the year’s limit − what has already gone in;  per month = room left ÷ months left in the year</t>
        </is>
      </c>
      <c r="I4" t="inlineStr">
        <is>
          <t>Takes the year's legal limit for the account, subtracts what has already gone in, and divides what is left by the months remaining.</t>
        </is>
      </c>
      <c r="J4" t="inlineStr"/>
      <c r="K4" t="inlineStr">
        <is>
          <t>Yes</t>
        </is>
      </c>
      <c r="L4" t="inlineStr">
        <is>
          <t>VERIFIED 2026-08-22</t>
        </is>
      </c>
    </row>
    <row r="5">
      <c r="A5" t="inlineStr">
        <is>
          <t>MK-MN-M-004</t>
        </is>
      </c>
      <c r="B5" t="inlineStr">
        <is>
          <t>Menu</t>
        </is>
      </c>
      <c r="C5" t="inlineStr">
        <is>
          <t>/contribution-room</t>
        </is>
      </c>
      <c r="D5" t="inlineStr">
        <is>
          <t>about $X of the $Y limit</t>
        </is>
      </c>
      <c r="E5" t="inlineStr">
        <is>
          <t>used / limit</t>
        </is>
      </c>
      <c r="F5" t="inlineStr">
        <is>
          <t>CONTRIBUTION_ROOM</t>
        </is>
      </c>
      <c r="G5" t="inlineStr">
        <is>
          <t>MK-MN-E-002</t>
        </is>
      </c>
      <c r="H5" t="inlineStr">
        <is>
          <t>room left = the year’s limit − what has already gone in;  per month = room left ÷ months left in the year</t>
        </is>
      </c>
      <c r="I5" t="inlineStr">
        <is>
          <t>Takes the year's legal limit for the account, subtracts what has already gone in, and divides what is left by the months remaining.</t>
        </is>
      </c>
      <c r="J5" t="inlineStr"/>
      <c r="K5" t="inlineStr">
        <is>
          <t>Yes</t>
        </is>
      </c>
      <c r="L5" t="inlineStr">
        <is>
          <t>VERIFIED 2026-08-22</t>
        </is>
      </c>
    </row>
    <row r="6">
      <c r="A6" t="inlineStr">
        <is>
          <t>MK-MN-M-005</t>
        </is>
      </c>
      <c r="B6" t="inlineStr">
        <is>
          <t>Menu</t>
        </is>
      </c>
      <c r="C6" t="inlineStr">
        <is>
          <t>/contribution-room</t>
        </is>
      </c>
      <c r="D6" t="inlineStr">
        <is>
          <t>about $X/mo for the rest of the year</t>
        </is>
      </c>
      <c r="E6" t="inlineStr">
        <is>
          <t>perMonth</t>
        </is>
      </c>
      <c r="F6" t="inlineStr">
        <is>
          <t>worked out on the screen: room left ÷ months left</t>
        </is>
      </c>
      <c r="G6" t="inlineStr"/>
      <c r="H6" t="inlineStr">
        <is>
          <t>per month = room left ÷ months left in the year</t>
        </is>
      </c>
      <c r="I6" t="inlineStr">
        <is>
          <t>Worked out on the screen itself, with no engine behind it — a place a second definition can appear.</t>
        </is>
      </c>
      <c r="J6" t="inlineStr"/>
      <c r="K6" t="inlineStr">
        <is>
          <t>Yes</t>
        </is>
      </c>
      <c r="L6" t="inlineStr">
        <is>
          <t>VERIFIED 2026-08-22</t>
        </is>
      </c>
    </row>
    <row r="7">
      <c r="A7" t="inlineStr">
        <is>
          <t>MK-MN-M-006</t>
        </is>
      </c>
      <c r="B7" t="inlineStr">
        <is>
          <t>Menu</t>
        </is>
      </c>
      <c r="C7" t="inlineStr">
        <is>
          <t>/credit</t>
        </is>
      </c>
      <c r="D7" t="inlineStr">
        <is>
          <t>$X of $Y used — the line marks 30%</t>
        </is>
      </c>
      <c r="E7" t="inlineStr">
        <is>
          <t>bal / lim</t>
        </is>
      </c>
      <c r="F7" t="inlineStr">
        <is>
          <t>CREDIT_USE</t>
        </is>
      </c>
      <c r="G7" t="inlineStr">
        <is>
          <t>MK-MN-E-003</t>
        </is>
      </c>
      <c r="H7" t="inlineStr">
        <is>
          <t>use = balance ÷ credit limit</t>
        </is>
      </c>
      <c r="I7" t="inlineStr">
        <is>
          <t>The balance on the card against its limit — the share of the line being used.</t>
        </is>
      </c>
      <c r="J7" t="inlineStr"/>
      <c r="K7" t="inlineStr">
        <is>
          <t>Yes</t>
        </is>
      </c>
      <c r="L7" t="inlineStr">
        <is>
          <t>VERIFIED 2026-08-22</t>
        </is>
      </c>
    </row>
    <row r="8">
      <c r="A8" t="inlineStr">
        <is>
          <t>MK-MN-M-007</t>
        </is>
      </c>
      <c r="B8" t="inlineStr">
        <is>
          <t>Menu</t>
        </is>
      </c>
      <c r="C8" t="inlineStr">
        <is>
          <t>/expense</t>
        </is>
      </c>
      <c r="D8" t="inlineStr">
        <is>
          <t>$X of $Y this month · over by $Z</t>
        </is>
      </c>
      <c r="E8" t="inlineStr">
        <is>
          <t>catSpend / catBudget</t>
        </is>
      </c>
      <c r="F8" t="inlineStr">
        <is>
          <t>PLANNED_SPENDING</t>
        </is>
      </c>
      <c r="G8" t="inlineStr">
        <is>
          <t>MK-CF-E-007</t>
        </is>
      </c>
      <c r="H8" t="inlineStr">
        <is>
          <t>planned a month = Σ(each category’s planned amount);  remaining = planned − spent</t>
        </is>
      </c>
      <c r="I8"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8" t="inlineStr"/>
      <c r="K8" t="inlineStr">
        <is>
          <t>Yes</t>
        </is>
      </c>
      <c r="L8" t="inlineStr">
        <is>
          <t>VERIFIED 2026-08-22</t>
        </is>
      </c>
    </row>
    <row r="9">
      <c r="A9" t="inlineStr">
        <is>
          <t>MK-MN-M-008</t>
        </is>
      </c>
      <c r="B9" t="inlineStr">
        <is>
          <t>Menu</t>
        </is>
      </c>
      <c r="C9" t="inlineStr">
        <is>
          <t>/goals</t>
        </is>
      </c>
      <c r="D9" t="inlineStr">
        <is>
          <t>typical free cash to save $X/mo</t>
        </is>
      </c>
      <c r="E9" t="inlineStr">
        <is>
          <t>capacity.avg</t>
        </is>
      </c>
      <c r="F9" t="inlineStr">
        <is>
          <t>GOAL_CAPACITY</t>
        </is>
      </c>
      <c r="G9" t="inlineStr">
        <is>
          <t>MK-MN-E-004</t>
        </is>
      </c>
      <c r="H9" t="inlineStr">
        <is>
          <t>typical free cash a month = median over recent months of (money in − money out)</t>
        </is>
      </c>
      <c r="I9" t="inlineStr">
        <is>
          <t>Looks at recent months and takes the typical amount left after money in and money out — what could realistically be saved, not the best month.</t>
        </is>
      </c>
      <c r="J9" t="inlineStr"/>
      <c r="K9" t="inlineStr">
        <is>
          <t>Yes</t>
        </is>
      </c>
      <c r="L9" t="inlineStr">
        <is>
          <t>VERIFIED 2026-08-22</t>
        </is>
      </c>
    </row>
    <row r="10">
      <c r="A10" t="inlineStr">
        <is>
          <t>MK-MN-M-009</t>
        </is>
      </c>
      <c r="B10" t="inlineStr">
        <is>
          <t>Menu</t>
        </is>
      </c>
      <c r="C10" t="inlineStr">
        <is>
          <t>/goals</t>
        </is>
      </c>
      <c r="D10" t="inlineStr">
        <is>
          <t>each goal — $X of $Y · $Z to go</t>
        </is>
      </c>
      <c r="E10" t="inlineStr">
        <is>
          <t>g.saved / g.target</t>
        </is>
      </c>
      <c r="F10" t="inlineStr">
        <is>
          <t>GOAL_PROGRESS</t>
        </is>
      </c>
      <c r="G10" t="inlineStr">
        <is>
          <t>MK-MN-E-005</t>
        </is>
      </c>
      <c r="H10" t="inlineStr">
        <is>
          <t>to go = target − saved;  progress = saved ÷ target</t>
        </is>
      </c>
      <c r="I10" t="inlineStr">
        <is>
          <t>What has been put aside against the target, and what is still to go.</t>
        </is>
      </c>
      <c r="J10" t="inlineStr"/>
      <c r="K10" t="inlineStr">
        <is>
          <t>Yes</t>
        </is>
      </c>
      <c r="L10" t="inlineStr">
        <is>
          <t>VERIFIED 2026-08-22</t>
        </is>
      </c>
    </row>
    <row r="11">
      <c r="A11" t="inlineStr">
        <is>
          <t>MK-MN-M-010</t>
        </is>
      </c>
      <c r="B11" t="inlineStr">
        <is>
          <t>Menu</t>
        </is>
      </c>
      <c r="C11" t="inlineStr">
        <is>
          <t>/goals</t>
        </is>
      </c>
      <c r="D11" t="inlineStr">
        <is>
          <t>your non-monthly budget</t>
        </is>
      </c>
      <c r="E11" t="inlineStr">
        <is>
          <t>sinkBasis</t>
        </is>
      </c>
      <c r="F11" t="inlineStr">
        <is>
          <t>SINKING_FUNDS</t>
        </is>
      </c>
      <c r="G11" t="inlineStr">
        <is>
          <t>MK-MN-E-006</t>
        </is>
      </c>
      <c r="H11" t="inlineStr">
        <is>
          <t>set aside a month = Σ(each non-monthly cost ÷ months until it falls due)</t>
        </is>
      </c>
      <c r="I11" t="inlineStr">
        <is>
          <t>Takes the costs that do not arrive monthly and spreads each one across the months until it falls due.</t>
        </is>
      </c>
      <c r="J11" t="inlineStr"/>
      <c r="K11" t="inlineStr">
        <is>
          <t>Yes</t>
        </is>
      </c>
      <c r="L11" t="inlineStr">
        <is>
          <t>VERIFIED 2026-08-22</t>
        </is>
      </c>
    </row>
    <row r="12">
      <c r="A12" t="inlineStr">
        <is>
          <t>MK-MN-M-011</t>
        </is>
      </c>
      <c r="B12" t="inlineStr">
        <is>
          <t>Menu</t>
        </is>
      </c>
      <c r="C12" t="inlineStr">
        <is>
          <t>/income-detail</t>
        </is>
      </c>
      <c r="D12" t="inlineStr">
        <is>
          <t>net a year</t>
        </is>
      </c>
      <c r="E12" t="inlineStr">
        <is>
          <t>state.total_net_annual</t>
        </is>
      </c>
      <c r="F12" t="inlineStr">
        <is>
          <t>TOTAL_INCOME</t>
        </is>
      </c>
      <c r="G12" t="inlineStr">
        <is>
          <t>MK-CF-E-002</t>
        </is>
      </c>
      <c r="H12" t="inlineStr">
        <is>
          <t>gross a year = salary + self-employment + bonus + equity vesting + rental + other;  net a month = (gross − tax withheld − pre-tax contributions) ÷ 12</t>
        </is>
      </c>
      <c r="I12"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2" t="inlineStr"/>
      <c r="K12" t="inlineStr">
        <is>
          <t>Yes</t>
        </is>
      </c>
      <c r="L12" t="inlineStr">
        <is>
          <t>VERIFIED 2026-08-22</t>
        </is>
      </c>
    </row>
    <row r="13">
      <c r="A13" t="inlineStr">
        <is>
          <t>MK-MN-M-012</t>
        </is>
      </c>
      <c r="B13" t="inlineStr">
        <is>
          <t>Menu</t>
        </is>
      </c>
      <c r="C13" t="inlineStr">
        <is>
          <t>/income-detail</t>
        </is>
      </c>
      <c r="D13" t="inlineStr">
        <is>
          <t>Gross / year</t>
        </is>
      </c>
      <c r="E13" t="inlineStr">
        <is>
          <t>state.total_gross_annual</t>
        </is>
      </c>
      <c r="F13" t="inlineStr">
        <is>
          <t>TOTAL_INCOME</t>
        </is>
      </c>
      <c r="G13" t="inlineStr">
        <is>
          <t>MK-CF-E-002</t>
        </is>
      </c>
      <c r="H13" t="inlineStr">
        <is>
          <t>gross a year = salary + self-employment + bonus + equity vesting + rental + other;  net a month = (gross − tax withheld − pre-tax contributions) ÷ 12</t>
        </is>
      </c>
      <c r="I1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3" t="inlineStr"/>
      <c r="K13" t="inlineStr">
        <is>
          <t>Yes</t>
        </is>
      </c>
      <c r="L13" t="inlineStr">
        <is>
          <t>VERIFIED 2026-08-22</t>
        </is>
      </c>
    </row>
    <row r="14">
      <c r="A14" t="inlineStr">
        <is>
          <t>MK-MN-M-013</t>
        </is>
      </c>
      <c r="B14" t="inlineStr">
        <is>
          <t>Menu</t>
        </is>
      </c>
      <c r="C14" t="inlineStr">
        <is>
          <t>/income-detail</t>
        </is>
      </c>
      <c r="D14" t="inlineStr">
        <is>
          <t>Net / month</t>
        </is>
      </c>
      <c r="E14" t="inlineStr">
        <is>
          <t>state.net_monthly_income</t>
        </is>
      </c>
      <c r="F14" t="inlineStr">
        <is>
          <t>TOTAL_INCOME</t>
        </is>
      </c>
      <c r="G14" t="inlineStr">
        <is>
          <t>MK-CF-E-002</t>
        </is>
      </c>
      <c r="H14" t="inlineStr">
        <is>
          <t>gross a year = salary + self-employment + bonus + equity vesting + rental + other;  net a month = (gross − tax withheld − pre-tax contributions) ÷ 12</t>
        </is>
      </c>
      <c r="I14"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4" t="inlineStr"/>
      <c r="K14" t="inlineStr">
        <is>
          <t>Yes</t>
        </is>
      </c>
      <c r="L14" t="inlineStr">
        <is>
          <t>VERIFIED 2026-08-22</t>
        </is>
      </c>
    </row>
    <row r="15">
      <c r="A15" t="inlineStr">
        <is>
          <t>MK-MN-M-014</t>
        </is>
      </c>
      <c r="B15" t="inlineStr">
        <is>
          <t>Menu</t>
        </is>
      </c>
      <c r="C15" t="inlineStr">
        <is>
          <t>/income-detail</t>
        </is>
      </c>
      <c r="D15" t="inlineStr">
        <is>
          <t>Employer 401(k) match</t>
        </is>
      </c>
      <c r="E15" t="inlineStr">
        <is>
          <t>state.employer_match_annual</t>
        </is>
      </c>
      <c r="F15" t="inlineStr">
        <is>
          <t>EMPLOYER_MATCH</t>
        </is>
      </c>
      <c r="G15" t="inlineStr">
        <is>
          <t>MK-MN-E-007</t>
        </is>
      </c>
      <c r="H15" t="inlineStr">
        <is>
          <t>match a year = the employer’s stated rate × pay, capped at the stated limit</t>
        </is>
      </c>
      <c r="I15" t="inlineStr">
        <is>
          <t>Either a percentage of what the person contributes to their 401(k), or a flat monthly amount — whichever way they described it.</t>
        </is>
      </c>
      <c r="J15" t="inlineStr"/>
      <c r="K15" t="inlineStr">
        <is>
          <t>Yes</t>
        </is>
      </c>
      <c r="L15" t="inlineStr">
        <is>
          <t>VERIFIED 2026-08-22</t>
        </is>
      </c>
    </row>
    <row r="16">
      <c r="A16" t="inlineStr">
        <is>
          <t>MK-MN-M-015</t>
        </is>
      </c>
      <c r="B16" t="inlineStr">
        <is>
          <t>Menu</t>
        </is>
      </c>
      <c r="C16" t="inlineStr">
        <is>
          <t>/insights</t>
        </is>
      </c>
      <c r="D16" t="inlineStr">
        <is>
          <t>each insight and the dollars behind it</t>
        </is>
      </c>
      <c r="E16" t="inlineStr">
        <is>
          <t>shareOf(v)</t>
        </is>
      </c>
      <c r="F16" t="inlineStr">
        <is>
          <t>NOT IN OLD MASTER — useInsights, src/domain/insights</t>
        </is>
      </c>
      <c r="G16" t="inlineStr">
        <is>
          <t>MK-HM-E-003</t>
        </is>
      </c>
      <c r="H16" t="inlineStr">
        <is>
          <t>each insight scores its own dollars at stake; the list = the highest few, ranked</t>
        </is>
      </c>
      <c r="I16" t="inlineStr">
        <is>
          <t>Works out what is worth saying today, puts a dollar amount against each, and shows the few that matter most.</t>
        </is>
      </c>
      <c r="J16" t="inlineStr"/>
      <c r="K16" t="inlineStr">
        <is>
          <t>Yes</t>
        </is>
      </c>
      <c r="L16" t="inlineStr">
        <is>
          <t>VERIFIED 2026-08-22</t>
        </is>
      </c>
    </row>
    <row r="17">
      <c r="A17" t="inlineStr">
        <is>
          <t>MK-MN-M-016</t>
        </is>
      </c>
      <c r="B17" t="inlineStr">
        <is>
          <t>Menu</t>
        </is>
      </c>
      <c r="C17" t="inlineStr">
        <is>
          <t>/insights</t>
        </is>
      </c>
      <c r="D17" t="inlineStr">
        <is>
          <t>Total invested · Cash total · Investable total</t>
        </is>
      </c>
      <c r="E17" t="inlineStr">
        <is>
          <t>investable / cash</t>
        </is>
      </c>
      <c r="F17" t="inlineStr">
        <is>
          <t>TOTAL_INVESTABLE · TOTAL_CASH</t>
        </is>
      </c>
      <c r="G17" t="inlineStr">
        <is>
          <t>MK-MN-E-008</t>
        </is>
      </c>
      <c r="H17" t="inlineStr">
        <is>
          <t>investable = cash + investments  (excludes home and belongings)</t>
        </is>
      </c>
      <c r="I17" t="inlineStr">
        <is>
          <t>Cash + investments — everything except the house and the car. Selling the roof you live under is not a plan, so physical assets are excluded by CLASS, not by tax type. · Add up the balances of every account whose class is Cash. Under the founder's 2026-08-04 rule that means checking, savings, high-yield savings and the uninvested sweep at a broker — and NOT money-market funds, which pay dividends and are measured with the investments.</t>
        </is>
      </c>
      <c r="J17" t="inlineStr"/>
      <c r="K17" t="inlineStr">
        <is>
          <t>Yes</t>
        </is>
      </c>
      <c r="L17" t="inlineStr">
        <is>
          <t>VERIFIED 2026-08-22</t>
        </is>
      </c>
    </row>
    <row r="18">
      <c r="A18" t="inlineStr">
        <is>
          <t>MK-MN-M-017</t>
        </is>
      </c>
      <c r="B18" t="inlineStr">
        <is>
          <t>Menu</t>
        </is>
      </c>
      <c r="C18" t="inlineStr">
        <is>
          <t>/insurance</t>
        </is>
      </c>
      <c r="D18" t="inlineStr">
        <is>
          <t>the life-cover gap</t>
        </is>
      </c>
      <c r="E18" t="inlineStr">
        <is>
          <t>need.gap</t>
        </is>
      </c>
      <c r="F18" t="inlineStr">
        <is>
          <t>INSURANCE_NEED</t>
        </is>
      </c>
      <c r="G18" t="inlineStr">
        <is>
          <t>MK-MN-E-009</t>
        </is>
      </c>
      <c r="H18" t="inlineStr">
        <is>
          <t>need = income to replace × years + debts + goals + final expenses;  gap = need − cover already held</t>
        </is>
      </c>
      <c r="I18" t="inlineStr">
        <is>
          <t>Adds the income that would need replacing for the chosen number of years to debts, goals and final expenses, then subtracts cover already held.</t>
        </is>
      </c>
      <c r="J18" t="inlineStr"/>
      <c r="K18" t="inlineStr">
        <is>
          <t>Yes</t>
        </is>
      </c>
      <c r="L18" t="inlineStr">
        <is>
          <t>VERIFIED 2026-08-22</t>
        </is>
      </c>
    </row>
    <row r="19">
      <c r="A19" t="inlineStr">
        <is>
          <t>MK-MN-M-018</t>
        </is>
      </c>
      <c r="B19" t="inlineStr">
        <is>
          <t>Menu</t>
        </is>
      </c>
      <c r="C19" t="inlineStr">
        <is>
          <t>/insurance</t>
        </is>
      </c>
      <c r="D19" t="inlineStr">
        <is>
          <t>Income replacement (N yrs)</t>
        </is>
      </c>
      <c r="E19" t="inlineStr">
        <is>
          <t>need.incomeReplacement</t>
        </is>
      </c>
      <c r="F19" t="inlineStr">
        <is>
          <t>INSURANCE_NEED</t>
        </is>
      </c>
      <c r="G19" t="inlineStr">
        <is>
          <t>MK-MN-E-009</t>
        </is>
      </c>
      <c r="H19" t="inlineStr">
        <is>
          <t>need = income to replace × years + debts + goals + final expenses;  gap = need − cover already held</t>
        </is>
      </c>
      <c r="I19" t="inlineStr">
        <is>
          <t>Adds the income that would need replacing for the chosen number of years to debts, goals and final expenses, then subtracts cover already held.</t>
        </is>
      </c>
      <c r="J19" t="inlineStr"/>
      <c r="K19" t="inlineStr">
        <is>
          <t>Yes</t>
        </is>
      </c>
      <c r="L19" t="inlineStr">
        <is>
          <t>VERIFIED 2026-08-22</t>
        </is>
      </c>
    </row>
    <row r="20">
      <c r="A20" t="inlineStr">
        <is>
          <t>MK-MN-M-019</t>
        </is>
      </c>
      <c r="B20" t="inlineStr">
        <is>
          <t>Menu</t>
        </is>
      </c>
      <c r="C20" t="inlineStr">
        <is>
          <t>/insurance</t>
        </is>
      </c>
      <c r="D20" t="inlineStr">
        <is>
          <t>+ Debts, goals &amp; final expenses · Total need</t>
        </is>
      </c>
      <c r="E20" t="inlineStr">
        <is>
          <t>need.total</t>
        </is>
      </c>
      <c r="F20" t="inlineStr">
        <is>
          <t>INSURANCE_NEED</t>
        </is>
      </c>
      <c r="G20" t="inlineStr">
        <is>
          <t>MK-MN-E-009</t>
        </is>
      </c>
      <c r="H20" t="inlineStr">
        <is>
          <t>need = income to replace × years + debts + goals + final expenses;  gap = need − cover already held</t>
        </is>
      </c>
      <c r="I20" t="inlineStr">
        <is>
          <t>Adds the income that would need replacing for the chosen number of years to debts, goals and final expenses, then subtracts cover already held.</t>
        </is>
      </c>
      <c r="J20" t="inlineStr"/>
      <c r="K20" t="inlineStr">
        <is>
          <t>Yes</t>
        </is>
      </c>
      <c r="L20" t="inlineStr">
        <is>
          <t>VERIFIED 2026-08-22</t>
        </is>
      </c>
    </row>
    <row r="21">
      <c r="A21" t="inlineStr">
        <is>
          <t>MK-MN-M-020</t>
        </is>
      </c>
      <c r="B21" t="inlineStr">
        <is>
          <t>Menu</t>
        </is>
      </c>
      <c r="C21" t="inlineStr">
        <is>
          <t>/jobsafety</t>
        </is>
      </c>
      <c r="D21" t="inlineStr">
        <is>
          <t>N months of essentials is $X ($Y/mo)</t>
        </is>
      </c>
      <c r="E21" t="inlineStr">
        <is>
          <t>target / ess</t>
        </is>
      </c>
      <c r="F21" t="inlineStr">
        <is>
          <t>JOB_SAFETY_RUNWAY</t>
        </is>
      </c>
      <c r="G21" t="inlineStr">
        <is>
          <t>MK-MN-E-010</t>
        </is>
      </c>
      <c r="H21" t="inlineStr">
        <is>
          <t>runway in months = cash ÷ essentials a month;  target = months wanted × essentials a month</t>
        </is>
      </c>
      <c r="I21" t="inlineStr">
        <is>
          <t>How many months of essential bills the cash on hand would cover with no pay coming in.</t>
        </is>
      </c>
      <c r="J21" t="inlineStr"/>
      <c r="K21" t="inlineStr">
        <is>
          <t>Yes</t>
        </is>
      </c>
      <c r="L21" t="inlineStr">
        <is>
          <t>VERIFIED 2026-08-22</t>
        </is>
      </c>
    </row>
    <row r="22">
      <c r="A22" t="inlineStr">
        <is>
          <t>MK-MN-M-021</t>
        </is>
      </c>
      <c r="B22" t="inlineStr">
        <is>
          <t>Menu</t>
        </is>
      </c>
      <c r="C22" t="inlineStr">
        <is>
          <t>/jobsafety</t>
        </is>
      </c>
      <c r="D22" t="inlineStr">
        <is>
          <t>Using $X/mo from your logged spending</t>
        </is>
      </c>
      <c r="E22" t="inlineStr">
        <is>
          <t>monthSpend</t>
        </is>
      </c>
      <c r="F22" t="inlineStr">
        <is>
          <t>SPENDING_BY_KIND</t>
        </is>
      </c>
      <c r="G22" t="inlineStr">
        <is>
          <t>MK-CF-E-006</t>
        </is>
      </c>
      <c r="H22" t="inlineStr">
        <is>
          <t>spent in a bucket = Σ(expenses this month in that bucket);  debt payments are excluded</t>
        </is>
      </c>
      <c r="I22" t="inlineStr">
        <is>
          <t>If the person answered category by category, total each category into its bucket. If they gave three summary figures instead, use those. Nothing answered is zero — never a guessed household average, which would put a number in their plan that nobody chose.</t>
        </is>
      </c>
      <c r="J22" t="inlineStr"/>
      <c r="K22" t="inlineStr">
        <is>
          <t>Yes</t>
        </is>
      </c>
      <c r="L22" t="inlineStr">
        <is>
          <t>VERIFIED 2026-08-22</t>
        </is>
      </c>
    </row>
    <row r="23">
      <c r="A23" t="inlineStr">
        <is>
          <t>MK-MN-M-022</t>
        </is>
      </c>
      <c r="B23" t="inlineStr">
        <is>
          <t>Menu</t>
        </is>
      </c>
      <c r="C23" t="inlineStr">
        <is>
          <t>/other-investments</t>
        </is>
      </c>
      <c r="D23" t="inlineStr">
        <is>
          <t>the total value of these investments</t>
        </is>
      </c>
      <c r="E23" t="inlineStr">
        <is>
          <t>summary.totalValue</t>
        </is>
      </c>
      <c r="F23" t="inlineStr">
        <is>
          <t>ALTERNATIVES_TOTAL</t>
        </is>
      </c>
      <c r="G23" t="inlineStr">
        <is>
          <t>MK-MN-E-011</t>
        </is>
      </c>
      <c r="H23" t="inlineStr">
        <is>
          <t>total = Σ(recorded value of each alternative holding)</t>
        </is>
      </c>
      <c r="I23" t="inlineStr">
        <is>
          <t>Adds up the recorded value of every alternative holding — the things with no market price of their own.</t>
        </is>
      </c>
      <c r="J23" t="inlineStr"/>
      <c r="K23" t="inlineStr">
        <is>
          <t>Yes</t>
        </is>
      </c>
      <c r="L23" t="inlineStr">
        <is>
          <t>VERIFIED 2026-08-22</t>
        </is>
      </c>
    </row>
    <row r="24">
      <c r="A24" t="inlineStr">
        <is>
          <t>MK-MN-M-023</t>
        </is>
      </c>
      <c r="B24" t="inlineStr">
        <is>
          <t>Menu</t>
        </is>
      </c>
      <c r="C24" t="inlineStr">
        <is>
          <t>/other-investments</t>
        </is>
      </c>
      <c r="D24" t="inlineStr">
        <is>
          <t>EST. GROWTH / YR</t>
        </is>
      </c>
      <c r="E24" t="inlineStr">
        <is>
          <t>summary.growth</t>
        </is>
      </c>
      <c r="F24" t="inlineStr">
        <is>
          <t>ALTERNATIVES_GROWTH</t>
        </is>
      </c>
      <c r="G24" t="inlineStr">
        <is>
          <t>MK-MN-E-012</t>
        </is>
      </c>
      <c r="H24" t="inlineStr">
        <is>
          <t>estimated growth a year = Σ(value × its stated growth rate)</t>
        </is>
      </c>
      <c r="I24" t="inlineStr">
        <is>
          <t>Applies each alternative holding's own stated growth rate to its value and adds the results. An estimate, and labelled as one.</t>
        </is>
      </c>
      <c r="J24" t="inlineStr"/>
      <c r="K24" t="inlineStr">
        <is>
          <t>Yes</t>
        </is>
      </c>
      <c r="L24" t="inlineStr">
        <is>
          <t>VERIFIED 2026-08-22</t>
        </is>
      </c>
    </row>
    <row r="25">
      <c r="A25" t="inlineStr">
        <is>
          <t>MK-MN-M-024</t>
        </is>
      </c>
      <c r="B25" t="inlineStr">
        <is>
          <t>Menu</t>
        </is>
      </c>
      <c r="C25" t="inlineStr">
        <is>
          <t>/stress-test</t>
        </is>
      </c>
      <c r="D25" t="inlineStr">
        <is>
          <t>You could cover a $X hit</t>
        </is>
      </c>
      <c r="E25" t="inlineStr">
        <is>
          <t>shock</t>
        </is>
      </c>
      <c r="F25" t="inlineStr">
        <is>
          <t>STRESS_TEST</t>
        </is>
      </c>
      <c r="G25" t="inlineStr">
        <is>
          <t>MK-MN-E-013</t>
        </is>
      </c>
      <c r="H25" t="inlineStr">
        <is>
          <t>cash after = cash − the shock;  runway after = cash after ÷ essentials a month</t>
        </is>
      </c>
      <c r="I25" t="inlineStr">
        <is>
          <t>Takes a one-off hit out of the cash on hand and shows what would be left and how many months of essentials it would cover.</t>
        </is>
      </c>
      <c r="J25" t="inlineStr"/>
      <c r="K25" t="inlineStr">
        <is>
          <t>Yes</t>
        </is>
      </c>
      <c r="L25" t="inlineStr">
        <is>
          <t>VERIFIED 2026-08-22</t>
        </is>
      </c>
    </row>
    <row r="26">
      <c r="A26" t="inlineStr">
        <is>
          <t>MK-MN-M-025</t>
        </is>
      </c>
      <c r="B26" t="inlineStr">
        <is>
          <t>Menu</t>
        </is>
      </c>
      <c r="C26" t="inlineStr">
        <is>
          <t>/stress-test</t>
        </is>
      </c>
      <c r="D26" t="inlineStr">
        <is>
          <t>You'd have $X left — about N months of essentials</t>
        </is>
      </c>
      <c r="E26" t="inlineStr">
        <is>
          <t>r.cashAfter / r.runwayAfter</t>
        </is>
      </c>
      <c r="F26" t="inlineStr">
        <is>
          <t>STRESS_TEST</t>
        </is>
      </c>
      <c r="G26" t="inlineStr">
        <is>
          <t>MK-MN-E-013</t>
        </is>
      </c>
      <c r="H26" t="inlineStr">
        <is>
          <t>cash after = cash − the shock;  runway after = cash after ÷ essentials a month</t>
        </is>
      </c>
      <c r="I26" t="inlineStr">
        <is>
          <t>Takes a one-off hit out of the cash on hand and shows what would be left and how many months of essentials it would cover.</t>
        </is>
      </c>
      <c r="J26" t="inlineStr"/>
      <c r="K26" t="inlineStr">
        <is>
          <t>Yes</t>
        </is>
      </c>
      <c r="L26" t="inlineStr">
        <is>
          <t>VERIFIED 2026-08-22</t>
        </is>
      </c>
    </row>
    <row r="27">
      <c r="A27" t="inlineStr">
        <is>
          <t>MK-MN-M-026</t>
        </is>
      </c>
      <c r="B27" t="inlineStr">
        <is>
          <t>Menu</t>
        </is>
      </c>
      <c r="C27" t="inlineStr">
        <is>
          <t>/stress-test</t>
        </is>
      </c>
      <c r="D27" t="inlineStr">
        <is>
          <t>your $X/mo of must-pay bills</t>
        </is>
      </c>
      <c r="E27" t="inlineStr">
        <is>
          <t>ess</t>
        </is>
      </c>
      <c r="F27" t="inlineStr">
        <is>
          <t>PLANNED_SPENDING</t>
        </is>
      </c>
      <c r="G27" t="inlineStr">
        <is>
          <t>MK-CF-E-007</t>
        </is>
      </c>
      <c r="H27" t="inlineStr">
        <is>
          <t>planned a month = Σ(each category’s planned amount);  remaining = planned − spent</t>
        </is>
      </c>
      <c r="I27"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27" t="inlineStr"/>
      <c r="K27" t="inlineStr">
        <is>
          <t>Yes</t>
        </is>
      </c>
      <c r="L27" t="inlineStr">
        <is>
          <t>VERIFIED 2026-08-22</t>
        </is>
      </c>
    </row>
    <row r="28">
      <c r="A28" t="inlineStr">
        <is>
          <t>MK-MN-M-027</t>
        </is>
      </c>
      <c r="B28" t="inlineStr">
        <is>
          <t>Menu</t>
        </is>
      </c>
      <c r="C28" t="inlineStr">
        <is>
          <t>/tax-organizer</t>
        </is>
      </c>
      <c r="D28" t="inlineStr">
        <is>
          <t>each taxable line and its amount</t>
        </is>
      </c>
      <c r="E28" t="inlineStr">
        <is>
          <t>l.amount</t>
        </is>
      </c>
      <c r="F28" t="inlineStr">
        <is>
          <t>TAXABLE_INCOME</t>
        </is>
      </c>
      <c r="G28" t="inlineStr">
        <is>
          <t>MK-MN-E-014</t>
        </is>
      </c>
      <c r="H28" t="inlineStr">
        <is>
          <t>taxable income = gross income − pre-tax contributions − the deduction for the filing status and age</t>
        </is>
      </c>
      <c r="I28" t="inlineStr">
        <is>
          <t>gross − the deduction for that filing status: $16,100 single · $32,200 married · $24,150 head of household.</t>
        </is>
      </c>
      <c r="J28" t="inlineStr"/>
      <c r="K28" t="inlineStr">
        <is>
          <t>Yes</t>
        </is>
      </c>
      <c r="L28" t="inlineStr">
        <is>
          <t>VERIFIED 2026-08-22</t>
        </is>
      </c>
    </row>
    <row r="29">
      <c r="A29" t="inlineStr">
        <is>
          <t>MK-MN-M-028</t>
        </is>
      </c>
      <c r="B29" t="inlineStr">
        <is>
          <t>Menu</t>
        </is>
      </c>
      <c r="C29" t="inlineStr">
        <is>
          <t>/tax-organizer</t>
        </is>
      </c>
      <c r="D29" t="inlineStr">
        <is>
          <t>Taxable income · Non-taxable</t>
        </is>
      </c>
      <c r="E29" t="inlineStr">
        <is>
          <t>org.taxableTotal</t>
        </is>
      </c>
      <c r="F29" t="inlineStr">
        <is>
          <t>TAXABLE_INCOME</t>
        </is>
      </c>
      <c r="G29" t="inlineStr">
        <is>
          <t>MK-MN-E-014</t>
        </is>
      </c>
      <c r="H29" t="inlineStr">
        <is>
          <t>taxable income = gross income − pre-tax contributions − the deduction for the filing status and age</t>
        </is>
      </c>
      <c r="I29" t="inlineStr">
        <is>
          <t>gross − the deduction for that filing status: $16,100 single · $32,200 married · $24,150 head of household.</t>
        </is>
      </c>
      <c r="J29" t="inlineStr"/>
      <c r="K29" t="inlineStr">
        <is>
          <t>Yes</t>
        </is>
      </c>
      <c r="L29" t="inlineStr">
        <is>
          <t>VERIFIED 2026-08-22</t>
        </is>
      </c>
    </row>
    <row r="30">
      <c r="A30" t="inlineStr">
        <is>
          <t>MK-MN-M-029</t>
        </is>
      </c>
      <c r="B30" t="inlineStr">
        <is>
          <t>Menu</t>
        </is>
      </c>
      <c r="C30" t="inlineStr">
        <is>
          <t>/tax-organizer</t>
        </is>
      </c>
      <c r="D30" t="inlineStr">
        <is>
          <t>each contribution and its amount</t>
        </is>
      </c>
      <c r="E30" t="inlineStr">
        <is>
          <t>c.amount</t>
        </is>
      </c>
      <c r="F30" t="inlineStr">
        <is>
          <t>CONTRIBUTION_ROOM</t>
        </is>
      </c>
      <c r="G30" t="inlineStr">
        <is>
          <t>MK-MN-E-002</t>
        </is>
      </c>
      <c r="H30" t="inlineStr">
        <is>
          <t>room left = the year’s limit − what has already gone in;  per month = room left ÷ months left in the year</t>
        </is>
      </c>
      <c r="I30" t="inlineStr">
        <is>
          <t>Takes the year's legal limit for the account, subtracts what has already gone in, and divides what is left by the months remaining.</t>
        </is>
      </c>
      <c r="J30" t="inlineStr"/>
      <c r="K30" t="inlineStr">
        <is>
          <t>Yes</t>
        </is>
      </c>
      <c r="L30" t="inlineStr">
        <is>
          <t>VERIFIED 2026-08-22</t>
        </is>
      </c>
    </row>
    <row r="31">
      <c r="A31" t="inlineStr">
        <is>
          <t>MK-MN-M-030</t>
        </is>
      </c>
      <c r="B31" t="inlineStr">
        <is>
          <t>Menu</t>
        </is>
      </c>
      <c r="C31" t="inlineStr">
        <is>
          <t>/worth-a-look</t>
        </is>
      </c>
      <c r="D31" t="inlineStr">
        <is>
          <t>$X left &lt;account&gt; on &lt;date&gt;</t>
        </is>
      </c>
      <c r="E31" t="inlineStr">
        <is>
          <t>f.amount</t>
        </is>
      </c>
      <c r="F31" t="inlineStr">
        <is>
          <t>NOT IN OLD MASTER — the outflow watch, src/domain/insights</t>
        </is>
      </c>
      <c r="G31" t="inlineStr">
        <is>
          <t>MK-MN-E-015</t>
        </is>
      </c>
      <c r="H31" t="inlineStr">
        <is>
          <t>flagged when money left an account and has not arrived anywhere else</t>
        </is>
      </c>
      <c r="I31" t="inlineStr">
        <is>
          <t>Notices money leaving an account so it can be asked about rather than quietly lost.</t>
        </is>
      </c>
      <c r="J31" t="inlineStr"/>
      <c r="K31" t="inlineStr">
        <is>
          <t>Yes</t>
        </is>
      </c>
      <c r="L31" t="inlineStr">
        <is>
          <t>VERIFIED 2026-08-22</t>
        </is>
      </c>
    </row>
    <row r="32">
      <c r="A32" t="inlineStr"/>
      <c r="B32" t="inlineStr">
        <is>
          <t>Menu</t>
        </is>
      </c>
      <c r="C32" t="inlineStr">
        <is>
          <t>/auth</t>
        </is>
      </c>
      <c r="D32" t="inlineStr">
        <is>
          <t>—</t>
        </is>
      </c>
      <c r="E32" t="inlineStr">
        <is>
          <t>—</t>
        </is>
      </c>
      <c r="F32" t="inlineStr">
        <is>
          <t>—</t>
        </is>
      </c>
      <c r="G32" t="inlineStr"/>
      <c r="H32" t="inlineStr"/>
      <c r="I32" t="inlineStr"/>
      <c r="J32" t="inlineStr"/>
      <c r="K32" t="inlineStr">
        <is>
          <t>Yes</t>
        </is>
      </c>
      <c r="L32" t="inlineStr">
        <is>
          <t>READ 2026-08-22 — no calculated figure on this screen</t>
        </is>
      </c>
    </row>
    <row r="33">
      <c r="A33" t="inlineStr"/>
      <c r="B33" t="inlineStr">
        <is>
          <t>Menu</t>
        </is>
      </c>
      <c r="C33" t="inlineStr">
        <is>
          <t>/estate</t>
        </is>
      </c>
      <c r="D33" t="inlineStr">
        <is>
          <t>—</t>
        </is>
      </c>
      <c r="E33" t="inlineStr">
        <is>
          <t>—</t>
        </is>
      </c>
      <c r="F33" t="inlineStr">
        <is>
          <t>—</t>
        </is>
      </c>
      <c r="G33" t="inlineStr"/>
      <c r="H33" t="inlineStr"/>
      <c r="I33" t="inlineStr"/>
      <c r="J33" t="inlineStr"/>
      <c r="K33" t="inlineStr">
        <is>
          <t>Yes</t>
        </is>
      </c>
      <c r="L33" t="inlineStr">
        <is>
          <t>READ 2026-08-22 — no calculated figure on this screen</t>
        </is>
      </c>
    </row>
    <row r="34">
      <c r="A34" t="inlineStr"/>
      <c r="B34" t="inlineStr">
        <is>
          <t>Menu</t>
        </is>
      </c>
      <c r="C34" t="inlineStr">
        <is>
          <t>/first-run</t>
        </is>
      </c>
      <c r="D34" t="inlineStr">
        <is>
          <t>—</t>
        </is>
      </c>
      <c r="E34" t="inlineStr">
        <is>
          <t>—</t>
        </is>
      </c>
      <c r="F34" t="inlineStr">
        <is>
          <t>—</t>
        </is>
      </c>
      <c r="G34" t="inlineStr"/>
      <c r="H34" t="inlineStr"/>
      <c r="I34" t="inlineStr"/>
      <c r="J34" t="inlineStr"/>
      <c r="K34" t="inlineStr">
        <is>
          <t>Yes</t>
        </is>
      </c>
      <c r="L34" t="inlineStr">
        <is>
          <t>READ 2026-08-22 — no calculated figure on this screen</t>
        </is>
      </c>
    </row>
    <row r="35">
      <c r="A35" t="inlineStr"/>
      <c r="B35" t="inlineStr">
        <is>
          <t>Menu</t>
        </is>
      </c>
      <c r="C35" t="inlineStr">
        <is>
          <t>/income</t>
        </is>
      </c>
      <c r="D35" t="inlineStr">
        <is>
          <t>—</t>
        </is>
      </c>
      <c r="E35" t="inlineStr">
        <is>
          <t>—</t>
        </is>
      </c>
      <c r="F35" t="inlineStr">
        <is>
          <t>—</t>
        </is>
      </c>
      <c r="G35" t="inlineStr"/>
      <c r="H35" t="inlineStr"/>
      <c r="I35" t="inlineStr"/>
      <c r="J35" t="inlineStr"/>
      <c r="K35" t="inlineStr">
        <is>
          <t>Yes</t>
        </is>
      </c>
      <c r="L35" t="inlineStr">
        <is>
          <t>READ 2026-08-22 — no calculated figure on this screen</t>
        </is>
      </c>
    </row>
    <row r="36">
      <c r="A36" t="inlineStr"/>
      <c r="B36" t="inlineStr">
        <is>
          <t>Menu</t>
        </is>
      </c>
      <c r="C36" t="inlineStr">
        <is>
          <t>/rewards</t>
        </is>
      </c>
      <c r="D36" t="inlineStr">
        <is>
          <t>—</t>
        </is>
      </c>
      <c r="E36" t="inlineStr">
        <is>
          <t>—</t>
        </is>
      </c>
      <c r="F36" t="inlineStr">
        <is>
          <t>—</t>
        </is>
      </c>
      <c r="G36" t="inlineStr"/>
      <c r="H36" t="inlineStr"/>
      <c r="I36" t="inlineStr"/>
      <c r="J36" t="inlineStr"/>
      <c r="K36" t="inlineStr">
        <is>
          <t>Yes</t>
        </is>
      </c>
      <c r="L36" t="inlineStr">
        <is>
          <t>READ 2026-08-22 — no calculated figure on this screen</t>
        </is>
      </c>
    </row>
    <row r="37">
      <c r="A37" t="inlineStr"/>
      <c r="B37" t="inlineStr">
        <is>
          <t>Menu</t>
        </is>
      </c>
      <c r="C37" t="inlineStr">
        <is>
          <t>/settings</t>
        </is>
      </c>
      <c r="D37" t="inlineStr">
        <is>
          <t>—</t>
        </is>
      </c>
      <c r="E37" t="inlineStr">
        <is>
          <t>—</t>
        </is>
      </c>
      <c r="F37" t="inlineStr">
        <is>
          <t>—</t>
        </is>
      </c>
      <c r="G37" t="inlineStr"/>
      <c r="H37" t="inlineStr"/>
      <c r="I37" t="inlineStr"/>
      <c r="J37" t="inlineStr"/>
      <c r="K37" t="inlineStr">
        <is>
          <t>Yes</t>
        </is>
      </c>
      <c r="L37" t="inlineStr">
        <is>
          <t>READ 2026-08-22 — no calculated figure on this screen</t>
        </is>
      </c>
    </row>
    <row r="38">
      <c r="A38" t="inlineStr"/>
      <c r="B38" t="inlineStr">
        <is>
          <t>Menu</t>
        </is>
      </c>
      <c r="C38" t="inlineStr">
        <is>
          <t>/tips</t>
        </is>
      </c>
      <c r="D38" t="inlineStr">
        <is>
          <t>—</t>
        </is>
      </c>
      <c r="E38" t="inlineStr">
        <is>
          <t>—</t>
        </is>
      </c>
      <c r="F38" t="inlineStr">
        <is>
          <t>—</t>
        </is>
      </c>
      <c r="G38" t="inlineStr"/>
      <c r="H38" t="inlineStr"/>
      <c r="I38" t="inlineStr"/>
      <c r="J38" t="inlineStr"/>
      <c r="K38" t="inlineStr">
        <is>
          <t>Yes</t>
        </is>
      </c>
      <c r="L38" t="inlineStr">
        <is>
          <t>READ 2026-08-22 — no calculated figure on this screen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ySplit="1" topLeftCell="A2" activePane="bottomLeft" state="frozen"/>
      <selection pane="bottomLeft" activeCell="A1" sqref="A1"/>
    </sheetView>
  </sheetViews>
  <sheetFormatPr baseColWidth="8" defaultRowHeight="15"/>
  <cols>
    <col width="16" customWidth="1" min="1" max="1"/>
    <col width="21" customWidth="1" min="2" max="2"/>
    <col width="14" customWidth="1" min="3" max="3"/>
    <col width="28" customWidth="1" min="4" max="4"/>
    <col width="28" customWidth="1" min="5" max="5"/>
    <col width="18" customWidth="1" min="6" max="6"/>
  </cols>
  <sheetData>
    <row r="1">
      <c r="A1" s="1" t="inlineStr">
        <is>
          <t>Input ID</t>
        </is>
      </c>
      <c r="B1" s="1" t="inlineStr">
        <is>
          <t>Variable name</t>
        </is>
      </c>
      <c r="C1" s="1" t="inlineStr">
        <is>
          <t>Source</t>
        </is>
      </c>
      <c r="D1" s="1" t="inlineStr">
        <is>
          <t>Which metric uses it</t>
        </is>
      </c>
      <c r="E1" s="1" t="inlineStr">
        <is>
          <t>Which engine uses it</t>
        </is>
      </c>
      <c r="F1" s="1" t="inlineStr">
        <is>
          <t>Row status</t>
        </is>
      </c>
    </row>
    <row r="2">
      <c r="A2" t="inlineStr">
        <is>
          <t>MK-XS-I-001</t>
        </is>
      </c>
      <c r="B2" t="inlineStr">
        <is>
          <t>account balance</t>
        </is>
      </c>
      <c r="C2" t="inlineStr">
        <is>
          <t>the institution download, a connection, or typed by hand</t>
        </is>
      </c>
      <c r="D2" t="inlineStr">
        <is>
          <t>net worth · what you own · cushion · required withdrawal</t>
        </is>
      </c>
      <c r="E2" t="inlineStr">
        <is>
          <t>NET_WORTH · TOTAL_CASH · TOTAL_INVESTMENTS · REQUIRED_WITHDRAWAL</t>
        </is>
      </c>
      <c r="F2" t="inlineStr">
        <is>
          <t>VERIFIED 2026-08-22</t>
        </is>
      </c>
    </row>
    <row r="3">
      <c r="A3" t="inlineStr">
        <is>
          <t>MK-XS-I-002</t>
        </is>
      </c>
      <c r="B3" t="inlineStr">
        <is>
          <t>account type (taxable, pre-tax, Roth)</t>
        </is>
      </c>
      <c r="C3" t="inlineStr">
        <is>
          <t>typed at setup, or guessed from the account name</t>
        </is>
      </c>
      <c r="D3" t="inlineStr">
        <is>
          <t>how this account is taxed · required withdrawal · Roth move</t>
        </is>
      </c>
      <c r="E3" t="inlineStr">
        <is>
          <t>TAX_TREATMENT · REQUIRED_WITHDRAWAL</t>
        </is>
      </c>
      <c r="F3" t="inlineStr">
        <is>
          <t>VERIFIED 2026-08-22</t>
        </is>
      </c>
    </row>
    <row r="4">
      <c r="A4" t="inlineStr">
        <is>
          <t>MK-XS-I-003</t>
        </is>
      </c>
      <c r="B4" t="inlineStr">
        <is>
          <t>institution name</t>
        </is>
      </c>
      <c r="C4" t="inlineStr">
        <is>
          <t>the download or the connection</t>
        </is>
      </c>
      <c r="D4" t="inlineStr">
        <is>
          <t>net worth by institution · account rows</t>
        </is>
      </c>
      <c r="E4" t="inlineStr">
        <is>
          <t>ACCOUNT_SPLIT</t>
        </is>
      </c>
      <c r="F4" t="inlineStr">
        <is>
          <t>VERIFIED 2026-08-22</t>
        </is>
      </c>
    </row>
    <row r="5">
      <c r="A5" t="inlineStr">
        <is>
          <t>MK-XS-I-004</t>
        </is>
      </c>
      <c r="B5" t="inlineStr">
        <is>
          <t>holding quantity (shares)</t>
        </is>
      </c>
      <c r="C5" t="inlineStr">
        <is>
          <t>the download, a connection, or typed</t>
        </is>
      </c>
      <c r="D5" t="inlineStr">
        <is>
          <t>current value · cost basis · gains</t>
        </is>
      </c>
      <c r="E5" t="inlineStr">
        <is>
          <t>HOLDING_SHARES · HOLDING_MARKET_VALUE</t>
        </is>
      </c>
      <c r="F5" t="inlineStr">
        <is>
          <t>VERIFIED 2026-08-22</t>
        </is>
      </c>
    </row>
    <row r="6">
      <c r="A6" t="inlineStr">
        <is>
          <t>MK-XS-I-005</t>
        </is>
      </c>
      <c r="B6" t="inlineStr">
        <is>
          <t>holding price</t>
        </is>
      </c>
      <c r="C6" t="inlineStr">
        <is>
          <t>the price feed</t>
        </is>
      </c>
      <c r="D6" t="inlineStr">
        <is>
          <t>current value · today's market value · freshness</t>
        </is>
      </c>
      <c r="E6" t="inlineStr">
        <is>
          <t>HOLDING_MARKET_VALUE · PRICE_FRESHNESS</t>
        </is>
      </c>
      <c r="F6" t="inlineStr">
        <is>
          <t>VERIFIED 2026-08-22</t>
        </is>
      </c>
    </row>
    <row r="7">
      <c r="A7" t="inlineStr">
        <is>
          <t>MK-XS-I-006</t>
        </is>
      </c>
      <c r="B7" t="inlineStr">
        <is>
          <t>price fetched at</t>
        </is>
      </c>
      <c r="C7" t="inlineStr">
        <is>
          <t>the app, when it last asked for prices</t>
        </is>
      </c>
      <c r="D7" t="inlineStr">
        <is>
          <t>prices updated &lt;when&gt;</t>
        </is>
      </c>
      <c r="E7" t="inlineStr">
        <is>
          <t>PRICE_FRESHNESS</t>
        </is>
      </c>
      <c r="F7" t="inlineStr">
        <is>
          <t>VERIFIED 2026-08-22</t>
        </is>
      </c>
    </row>
    <row r="8">
      <c r="A8" t="inlineStr">
        <is>
          <t>MK-XS-I-007</t>
        </is>
      </c>
      <c r="B8" t="inlineStr">
        <is>
          <t>purchase price and date (per lot)</t>
        </is>
      </c>
      <c r="C8" t="inlineStr">
        <is>
          <t>the download or typed</t>
        </is>
      </c>
      <c r="D8" t="inlineStr">
        <is>
          <t>price paid · total paid · long or short-term gain</t>
        </is>
      </c>
      <c r="E8" t="inlineStr">
        <is>
          <t>HOLDING_COST_BASIS · HOLDING_CAP_GAINS</t>
        </is>
      </c>
      <c r="F8" t="inlineStr">
        <is>
          <t>VERIFIED 2026-08-22</t>
        </is>
      </c>
    </row>
    <row r="9">
      <c r="A9" t="inlineStr">
        <is>
          <t>MK-XS-I-008</t>
        </is>
      </c>
      <c r="B9" t="inlineStr">
        <is>
          <t>transaction amount</t>
        </is>
      </c>
      <c r="C9" t="inlineStr">
        <is>
          <t>the institution download</t>
        </is>
      </c>
      <c r="D9" t="inlineStr">
        <is>
          <t>contributions · withdrawals · income · the change walk</t>
        </is>
      </c>
      <c r="E9" t="inlineStr">
        <is>
          <t>LEDGER · NW_CHANGE_WALK</t>
        </is>
      </c>
      <c r="F9" t="inlineStr">
        <is>
          <t>VERIFIED 2026-08-22</t>
        </is>
      </c>
    </row>
    <row r="10">
      <c r="A10" t="inlineStr">
        <is>
          <t>MK-XS-I-009</t>
        </is>
      </c>
      <c r="B10" t="inlineStr">
        <is>
          <t>transaction date</t>
        </is>
      </c>
      <c r="C10" t="inlineStr">
        <is>
          <t>the institution download</t>
        </is>
      </c>
      <c r="D10" t="inlineStr">
        <is>
          <t>the period a figure covers · the change walk</t>
        </is>
      </c>
      <c r="E10" t="inlineStr">
        <is>
          <t>LEDGER · NW_CHANGE_WALK</t>
        </is>
      </c>
      <c r="F10" t="inlineStr">
        <is>
          <t>VERIFIED 2026-08-22</t>
        </is>
      </c>
    </row>
    <row r="11">
      <c r="A11" t="inlineStr">
        <is>
          <t>MK-XS-I-010</t>
        </is>
      </c>
      <c r="B11" t="inlineStr">
        <is>
          <t>transaction words (the institution's own wording)</t>
        </is>
      </c>
      <c r="C11" t="inlineStr">
        <is>
          <t>the institution download</t>
        </is>
      </c>
      <c r="D11" t="inlineStr">
        <is>
          <t>what each line means: money in, money out, income, cost</t>
        </is>
      </c>
      <c r="E11" t="inlineStr">
        <is>
          <t>LEDGER · the institution-words table</t>
        </is>
      </c>
      <c r="F11" t="inlineStr">
        <is>
          <t>VERIFIED 2026-08-22</t>
        </is>
      </c>
    </row>
    <row r="12">
      <c r="A12" t="inlineStr">
        <is>
          <t>MK-XS-I-011</t>
        </is>
      </c>
      <c r="B12" t="inlineStr">
        <is>
          <t>bond face value</t>
        </is>
      </c>
      <c r="C12" t="inlineStr">
        <is>
          <t>typed, or the download</t>
        </is>
      </c>
      <c r="D12" t="inlineStr">
        <is>
          <t>face value · what comes back at maturity</t>
        </is>
      </c>
      <c r="E12" t="inlineStr">
        <is>
          <t>BOND_FACTS</t>
        </is>
      </c>
      <c r="F12" t="inlineStr">
        <is>
          <t>VERIFIED 2026-08-22</t>
        </is>
      </c>
    </row>
    <row r="13">
      <c r="A13" t="inlineStr">
        <is>
          <t>MK-XS-I-012</t>
        </is>
      </c>
      <c r="B13" t="inlineStr">
        <is>
          <t>bond coupon rate</t>
        </is>
      </c>
      <c r="C13" t="inlineStr">
        <is>
          <t>typed, or the download</t>
        </is>
      </c>
      <c r="D13" t="inlineStr">
        <is>
          <t>interest payments a year · yield</t>
        </is>
      </c>
      <c r="E13" t="inlineStr">
        <is>
          <t>BOND_COUPON · BOND_CURRENT_YIELD</t>
        </is>
      </c>
      <c r="F13" t="inlineStr">
        <is>
          <t>VERIFIED 2026-08-22</t>
        </is>
      </c>
    </row>
    <row r="14">
      <c r="A14" t="inlineStr">
        <is>
          <t>MK-XS-I-013</t>
        </is>
      </c>
      <c r="B14" t="inlineStr">
        <is>
          <t>bond maturity date</t>
        </is>
      </c>
      <c r="C14" t="inlineStr">
        <is>
          <t>typed, or the download</t>
        </is>
      </c>
      <c r="D14" t="inlineStr">
        <is>
          <t>years away · yield if held to maturity</t>
        </is>
      </c>
      <c r="E14" t="inlineStr">
        <is>
          <t>BOND_YEARS_LEFT · BOND_YIELD_TO_MATURITY</t>
        </is>
      </c>
      <c r="F14" t="inlineStr">
        <is>
          <t>VERIFIED 2026-08-22</t>
        </is>
      </c>
    </row>
    <row r="15">
      <c r="A15" t="inlineStr">
        <is>
          <t>MK-XS-I-014</t>
        </is>
      </c>
      <c r="B15" t="inlineStr">
        <is>
          <t>debt balance</t>
        </is>
      </c>
      <c r="C15" t="inlineStr">
        <is>
          <t>typed, or a connection</t>
        </is>
      </c>
      <c r="D15" t="inlineStr">
        <is>
          <t>what you owe · net worth · payoff</t>
        </is>
      </c>
      <c r="E15" t="inlineStr">
        <is>
          <t>DEBT_PICTURE</t>
        </is>
      </c>
      <c r="F15" t="inlineStr">
        <is>
          <t>VERIFIED 2026-08-22</t>
        </is>
      </c>
    </row>
    <row r="16">
      <c r="A16" t="inlineStr">
        <is>
          <t>MK-XS-I-015</t>
        </is>
      </c>
      <c r="B16" t="inlineStr">
        <is>
          <t>debt interest rate</t>
        </is>
      </c>
      <c r="C16" t="inlineStr">
        <is>
          <t>typed</t>
        </is>
      </c>
      <c r="D16" t="inlineStr">
        <is>
          <t>payoff date · what extra payments save</t>
        </is>
      </c>
      <c r="E16" t="inlineStr">
        <is>
          <t>DEBT_PAYOFF</t>
        </is>
      </c>
      <c r="F16" t="inlineStr">
        <is>
          <t>VERIFIED 2026-08-22</t>
        </is>
      </c>
    </row>
    <row r="17">
      <c r="A17" t="inlineStr">
        <is>
          <t>MK-XS-I-016</t>
        </is>
      </c>
      <c r="B17" t="inlineStr">
        <is>
          <t>debt minimum payment</t>
        </is>
      </c>
      <c r="C17" t="inlineStr">
        <is>
          <t>typed</t>
        </is>
      </c>
      <c r="D17" t="inlineStr">
        <is>
          <t>monthly debt payments · money out</t>
        </is>
      </c>
      <c r="E17" t="inlineStr">
        <is>
          <t>DEBT_REQUIRED_PAYMENT</t>
        </is>
      </c>
      <c r="F17" t="inlineStr">
        <is>
          <t>VERIFIED 2026-08-22</t>
        </is>
      </c>
    </row>
    <row r="18">
      <c r="A18" t="inlineStr">
        <is>
          <t>MK-XS-I-017</t>
        </is>
      </c>
      <c r="B18" t="inlineStr">
        <is>
          <t>birth year</t>
        </is>
      </c>
      <c r="C18" t="inlineStr">
        <is>
          <t>typed at setup</t>
        </is>
      </c>
      <c r="D18" t="inlineStr">
        <is>
          <t>current age · retirement age · Social Security · required withdrawal</t>
        </is>
      </c>
      <c r="E18" t="inlineStr">
        <is>
          <t>SS_BENEFIT_AT_AGE · RMD_START_AGE</t>
        </is>
      </c>
      <c r="F18" t="inlineStr">
        <is>
          <t>VERIFIED 2026-08-22</t>
        </is>
      </c>
    </row>
    <row r="19">
      <c r="A19" t="inlineStr">
        <is>
          <t>MK-XS-I-018</t>
        </is>
      </c>
      <c r="B19" t="inlineStr">
        <is>
          <t>retirement age</t>
        </is>
      </c>
      <c r="C19" t="inlineStr">
        <is>
          <t>typed, or the dial on Plan</t>
        </is>
      </c>
      <c r="D19" t="inlineStr">
        <is>
          <t>the odds · projected pot · the paycheck</t>
        </is>
      </c>
      <c r="E19" t="inlineStr">
        <is>
          <t>WILL_IT_LAST_RESULT · POT_AT_RETIREMENT</t>
        </is>
      </c>
      <c r="F19" t="inlineStr">
        <is>
          <t>VERIFIED 2026-08-22</t>
        </is>
      </c>
    </row>
    <row r="20">
      <c r="A20" t="inlineStr">
        <is>
          <t>MK-XS-I-019</t>
        </is>
      </c>
      <c r="B20" t="inlineStr">
        <is>
          <t>monthly spending in retirement</t>
        </is>
      </c>
      <c r="C20" t="inlineStr">
        <is>
          <t>typed</t>
        </is>
      </c>
      <c r="D20" t="inlineStr">
        <is>
          <t>the odds · the draw from savings</t>
        </is>
      </c>
      <c r="E20" t="inlineStr">
        <is>
          <t>WILL_IT_LAST_INPUTS</t>
        </is>
      </c>
      <c r="F20" t="inlineStr">
        <is>
          <t>VERIFIED 2026-08-22</t>
        </is>
      </c>
    </row>
    <row r="21">
      <c r="A21" t="inlineStr">
        <is>
          <t>MK-XS-I-020</t>
        </is>
      </c>
      <c r="B21" t="inlineStr">
        <is>
          <t>Social Security monthly amount</t>
        </is>
      </c>
      <c r="C21" t="inlineStr">
        <is>
          <t>typed from the statement, or a worked example</t>
        </is>
      </c>
      <c r="D21" t="inlineStr">
        <is>
          <t>guaranteed income · the paycheck · claim timing</t>
        </is>
      </c>
      <c r="E21" t="inlineStr">
        <is>
          <t>SS_BENEFIT_AT_AGE · RETIREMENT_INCOME_NOW</t>
        </is>
      </c>
      <c r="F21" t="inlineStr">
        <is>
          <t>VERIFIED 2026-08-22</t>
        </is>
      </c>
    </row>
    <row r="22">
      <c r="A22" t="inlineStr">
        <is>
          <t>MK-XS-I-021</t>
        </is>
      </c>
      <c r="B22" t="inlineStr">
        <is>
          <t>Social Security claim age</t>
        </is>
      </c>
      <c r="C22" t="inlineStr">
        <is>
          <t>typed</t>
        </is>
      </c>
      <c r="D22" t="inlineStr">
        <is>
          <t>how much the check is · lifetime total</t>
        </is>
      </c>
      <c r="E22" t="inlineStr">
        <is>
          <t>SS_CLAIM_FACTOR</t>
        </is>
      </c>
      <c r="F22" t="inlineStr">
        <is>
          <t>VERIFIED 2026-08-22</t>
        </is>
      </c>
    </row>
    <row r="23">
      <c r="A23" t="inlineStr">
        <is>
          <t>MK-XS-I-022</t>
        </is>
      </c>
      <c r="B23" t="inlineStr">
        <is>
          <t>pension monthly amount</t>
        </is>
      </c>
      <c r="C23" t="inlineStr">
        <is>
          <t>typed</t>
        </is>
      </c>
      <c r="D23" t="inlineStr">
        <is>
          <t>guaranteed income · the paycheck</t>
        </is>
      </c>
      <c r="E23" t="inlineStr">
        <is>
          <t>RETIREMENT_INCOME_NOW</t>
        </is>
      </c>
      <c r="F23" t="inlineStr">
        <is>
          <t>VERIFIED 2026-08-22</t>
        </is>
      </c>
    </row>
    <row r="24">
      <c r="A24" t="inlineStr">
        <is>
          <t>MK-XS-I-023</t>
        </is>
      </c>
      <c r="B24" t="inlineStr">
        <is>
          <t>salary and other income</t>
        </is>
      </c>
      <c r="C24" t="inlineStr">
        <is>
          <t>typed at setup</t>
        </is>
      </c>
      <c r="D24" t="inlineStr">
        <is>
          <t>money in · take-home · savings capacity</t>
        </is>
      </c>
      <c r="E24" t="inlineStr">
        <is>
          <t>TOTAL_INCOME</t>
        </is>
      </c>
      <c r="F24" t="inlineStr">
        <is>
          <t>VERIFIED 2026-08-22</t>
        </is>
      </c>
    </row>
    <row r="25">
      <c r="A25" t="inlineStr">
        <is>
          <t>MK-XS-I-024</t>
        </is>
      </c>
      <c r="B25" t="inlineStr">
        <is>
          <t>logged spending</t>
        </is>
      </c>
      <c r="C25" t="inlineStr">
        <is>
          <t>typed, or read from a download</t>
        </is>
      </c>
      <c r="D25" t="inlineStr">
        <is>
          <t>spent so far · by category · essentials</t>
        </is>
      </c>
      <c r="E25" t="inlineStr">
        <is>
          <t>SPENDING_BY_KIND · PLANNED_SPENDING</t>
        </is>
      </c>
      <c r="F25" t="inlineStr">
        <is>
          <t>VERIFIED 2026-08-22</t>
        </is>
      </c>
    </row>
    <row r="26">
      <c r="A26" t="inlineStr">
        <is>
          <t>MK-XS-I-025</t>
        </is>
      </c>
      <c r="B26" t="inlineStr">
        <is>
          <t>typical monthly essentials</t>
        </is>
      </c>
      <c r="C26" t="inlineStr">
        <is>
          <t>typed</t>
        </is>
      </c>
      <c r="D26" t="inlineStr">
        <is>
          <t>the cushion · job-safety runway · stress test</t>
        </is>
      </c>
      <c r="E26" t="inlineStr">
        <is>
          <t>PLANNED_SPENDING · JOB_SAFETY_RUNWAY</t>
        </is>
      </c>
      <c r="F26" t="inlineStr">
        <is>
          <t>VERIFIED 2026-08-22</t>
        </is>
      </c>
    </row>
    <row r="27">
      <c r="A27" t="inlineStr">
        <is>
          <t>MK-XS-I-026</t>
        </is>
      </c>
      <c r="B27" t="inlineStr">
        <is>
          <t>big costs (amount and year)</t>
        </is>
      </c>
      <c r="C27" t="inlineStr">
        <is>
          <t>typed</t>
        </is>
      </c>
      <c r="D27" t="inlineStr">
        <is>
          <t>the odds · the plan · the radar</t>
        </is>
      </c>
      <c r="E27" t="inlineStr">
        <is>
          <t>BIG_COSTS</t>
        </is>
      </c>
      <c r="F27" t="inlineStr">
        <is>
          <t>VERIFIED 2026-08-22</t>
        </is>
      </c>
    </row>
    <row r="28">
      <c r="A28" t="inlineStr">
        <is>
          <t>MK-XS-I-027</t>
        </is>
      </c>
      <c r="B28" t="inlineStr">
        <is>
          <t>goals (target, saved, date)</t>
        </is>
      </c>
      <c r="C28" t="inlineStr">
        <is>
          <t>typed</t>
        </is>
      </c>
      <c r="D28" t="inlineStr">
        <is>
          <t>goal progress · what you can afford together</t>
        </is>
      </c>
      <c r="E28" t="inlineStr">
        <is>
          <t>GOAL_PROGRESS</t>
        </is>
      </c>
      <c r="F28" t="inlineStr">
        <is>
          <t>VERIFIED 2026-08-22</t>
        </is>
      </c>
    </row>
    <row r="29">
      <c r="A29" t="inlineStr">
        <is>
          <t>MK-XS-I-028</t>
        </is>
      </c>
      <c r="B29" t="inlineStr">
        <is>
          <t>assumed return</t>
        </is>
      </c>
      <c r="C29" t="inlineStr">
        <is>
          <t>built in, and adjustable on the cockpit</t>
        </is>
      </c>
      <c r="D29" t="inlineStr">
        <is>
          <t>projected pot · the odds</t>
        </is>
      </c>
      <c r="E29" t="inlineStr">
        <is>
          <t>POT_AT_RETIREMENT · WILL_IT_LAST_RESULT</t>
        </is>
      </c>
      <c r="F29" t="inlineStr">
        <is>
          <t>VERIFIED 2026-08-22</t>
        </is>
      </c>
    </row>
    <row r="30">
      <c r="A30" t="inlineStr">
        <is>
          <t>MK-XS-I-029</t>
        </is>
      </c>
      <c r="B30" t="inlineStr">
        <is>
          <t>inflation rate</t>
        </is>
      </c>
      <c r="C30" t="inlineStr">
        <is>
          <t>a published feed, with a built-in fallback</t>
        </is>
      </c>
      <c r="D30" t="inlineStr">
        <is>
          <t>tomorrow's dollars · the odds</t>
        </is>
      </c>
      <c r="E30" t="inlineStr">
        <is>
          <t>WILL_IT_LAST_INPUTS</t>
        </is>
      </c>
      <c r="F30" t="inlineStr">
        <is>
          <t>VERIFIED 2026-08-22</t>
        </is>
      </c>
    </row>
    <row r="31">
      <c r="A31" t="inlineStr">
        <is>
          <t>MK-XS-I-030</t>
        </is>
      </c>
      <c r="B31" t="inlineStr">
        <is>
          <t>tax filing status and age</t>
        </is>
      </c>
      <c r="C31" t="inlineStr">
        <is>
          <t>typed at setup</t>
        </is>
      </c>
      <c r="D31" t="inlineStr">
        <is>
          <t>tax bands · the deduction · tax on a Roth move</t>
        </is>
      </c>
      <c r="E31" t="inlineStr">
        <is>
          <t>TAXABLE_INCOME · TAX_ON_CONVERSION</t>
        </is>
      </c>
      <c r="F31" t="inlineStr">
        <is>
          <t>VERIFIED 2026-08-22</t>
        </is>
      </c>
    </row>
    <row r="32">
      <c r="A32" t="inlineStr">
        <is>
          <t>MK-XS-I-031</t>
        </is>
      </c>
      <c r="B32" t="inlineStr">
        <is>
          <t>daily and monthly snapshots</t>
        </is>
      </c>
      <c r="C32" t="inlineStr">
        <is>
          <t>the app itself, once a day</t>
        </is>
      </c>
      <c r="D32" t="inlineStr">
        <is>
          <t>the trend line · change in net worth · beginning values</t>
        </is>
      </c>
      <c r="E32" t="inlineStr">
        <is>
          <t>TREND_SERIES · NW_CHANGE_WALK</t>
        </is>
      </c>
      <c r="F32" t="inlineStr">
        <is>
          <t>VERIFIED 2026-08-22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2026-08-23T00:08:27Z</dcterms:created>
  <dcterms:modified xsi:type="dcterms:W3CDTF">2026-08-23T00:08:27Z</dcterms:modified>
</cp:coreProperties>
</file>