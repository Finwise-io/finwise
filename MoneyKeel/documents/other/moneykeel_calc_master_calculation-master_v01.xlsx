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ference" sheetId="1" state="visible" r:id="rId1"/>
    <sheet name="Specification" sheetId="2" state="visible" r:id="rId2"/>
    <sheet name="capture-list" sheetId="3" state="visible" r:id="rId3"/>
    <sheet name="multiple_screens" sheetId="4" state="visible" r:id="rId4"/>
    <sheet name="home" sheetId="5" state="visible" r:id="rId5"/>
    <sheet name="networth" sheetId="6" state="visible" r:id="rId6"/>
    <sheet name="performance" sheetId="7" state="visible" r:id="rId7"/>
    <sheet name="plan" sheetId="8" state="visible" r:id="rId8"/>
    <sheet name="cashflow" sheetId="9" state="visible" r:id="rId9"/>
    <sheet name="menu" sheetId="10" state="visible" r:id="rId10"/>
    <sheet name="inputs" sheetId="11" state="visible" r:id="rId11"/>
    <sheet name="database" sheetId="12" state="visible" r:id="rId12"/>
    <sheet name="core_screens" sheetId="13" state="visible" r:id="rId13"/>
    <sheet name="reconciliation" sheetId="14" state="visible" r:id="rId14"/>
    <sheet name="engines-old-tab" sheetId="15" state="visible" r:id="rId15"/>
    <sheet name="functions_from_code" sheetId="16" state="visible" r:id="rId16"/>
    <sheet name="functions_summary" sheetId="17" state="visible" r:id="rId17"/>
    <sheet name="functions_per_metric" sheetId="18" state="visible" r:id="rId18"/>
  </sheets>
  <definedNames>
    <definedName name="_xlnm._FilterDatabase" localSheetId="0" hidden="1">'Reference'!$A$1:$B$166</definedName>
    <definedName name="_xlnm._FilterDatabase" localSheetId="1" hidden="1">'Specification'!$A$1:$D$30</definedName>
    <definedName name="_xlnm._FilterDatabase" localSheetId="2" hidden="1">'capture-list'!$A$1:$F$72</definedName>
    <definedName name="_xlnm._FilterDatabase" localSheetId="3" hidden="1">'multiple_screens'!$A$1:$AO$8</definedName>
    <definedName name="_xlnm._FilterDatabase" localSheetId="4" hidden="1">'home'!$A$1:$AO$18</definedName>
    <definedName name="_xlnm._FilterDatabase" localSheetId="5" hidden="1">'networth'!$A$1:$AO$69</definedName>
    <definedName name="_xlnm._FilterDatabase" localSheetId="6" hidden="1">'performance'!$A$1:$AO$25</definedName>
    <definedName name="_xlnm._FilterDatabase" localSheetId="7" hidden="1">'plan'!$A$1:$AO$46</definedName>
    <definedName name="_xlnm._FilterDatabase" localSheetId="8" hidden="1">'cashflow'!$A$1:$AO$77</definedName>
    <definedName name="_xlnm._FilterDatabase" localSheetId="9" hidden="1">'menu'!$A$1:$AO$41</definedName>
    <definedName name="_xlnm._FilterDatabase" localSheetId="10" hidden="1">'inputs'!$A$1:$J$66</definedName>
    <definedName name="_xlnm._FilterDatabase" localSheetId="11" hidden="1">'database'!$A$1:$G$31</definedName>
    <definedName name="_xlnm._FilterDatabase" localSheetId="12" hidden="1">'core_screens'!$A$1:$D$46</definedName>
    <definedName name="_xlnm._FilterDatabase" localSheetId="13" hidden="1">'reconciliation'!$A$1:$E$68</definedName>
    <definedName name="_xlnm._FilterDatabase" localSheetId="14" hidden="1">'engines-old-tab'!$A$1:$F$63</definedName>
    <definedName name="_xlnm._FilterDatabase" localSheetId="15" hidden="1">'functions_from_code'!$A$1:$Y$694</definedName>
    <definedName name="_xlnm._FilterDatabase" localSheetId="16" hidden="1">'functions_summary'!$A$1:$F$9</definedName>
    <definedName name="_xlnm._FilterDatabase" localSheetId="17" hidden="1">'functions_per_metric'!$A$1:$F$10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1F3864"/>
    </font>
    <font>
      <b val="1"/>
      <color rgb="009C0006"/>
    </font>
    <font>
      <name val="Menlo"/>
      <sz val="10"/>
    </font>
    <font>
      <b val="1"/>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DDEBF7"/>
      </patternFill>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2">
    <xf numFmtId="0" fontId="0" fillId="0" borderId="0" pivotButton="0" quotePrefix="0" xfId="0"/>
    <xf numFmtId="0" fontId="6" fillId="7" borderId="0" applyAlignment="1" pivotButton="0" quotePrefix="0" xfId="0">
      <alignment vertical="center" wrapText="1"/>
    </xf>
    <xf numFmtId="0" fontId="5" fillId="6"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s>
  <sheetData>
    <row r="1" ht="15" customHeight="1">
      <c r="A1" s="1" t="inlineStr">
        <is>
          <t>Item</t>
        </is>
      </c>
      <c r="B1" s="1" t="inlineStr">
        <is>
          <t>Detail</t>
        </is>
      </c>
    </row>
    <row r="2" ht="60" customHeight="1">
      <c r="A2" s="2" t="inlineStr">
        <is>
          <t>COLOUR KEY — what waits on you</t>
        </is>
      </c>
      <c r="B2" s="3" t="inlineStr">
        <is>
          <t>YELLOW — a question to answer: the question in "Questions for you", and the cell beside it where you answer (start with the question number). BLUE — RETIRED 2026-09-14: a figure's inputs are approved with its row under rule 11, not typed separately into "Inputs — approved list (founder, dated)"; the code's record next to it is the evidence. GREEN — an answer to one of your comments, to read. Set by the build from what the cells hold, so a colour disappears the moment the cell is dealt with. Counts this build: 39 questions · 0 input lists · 25 answers.</t>
        </is>
      </c>
    </row>
    <row r="3" ht="60" customHeight="1">
      <c r="A3" s="4" t="inlineStr">
        <is>
          <t>STANDING DECISION — how numbers are held and shown</t>
        </is>
      </c>
      <c r="B3" s="3" t="inlineStr">
        <is>
          <t>Every calculation runs at FULL PRECISION — nothing is rounded inside a function (the 244 cents roundings and the four-decimal roundings that used to sit inside the calculation code were removed in one pass on 2026-09-09). Rounding happens ONCE, at display: whole dollars for totals, balances and projections; two decimals for prices, rates, expenses and per-share figures; eight decimals for coin quantities; yields and returns as percents to two decimals. Any other precision is stated on the row. Founder ruling Q49 (2026-09-09), which supersedes both the 2026-08-22 line ('held as a float') and brief Q-56's (2026-08-20) decimal-library reading: the numbers are JavaScript floats carried at full precision.</t>
        </is>
      </c>
    </row>
    <row r="4" ht="15" customHeight="1">
      <c r="A4" s="4" t="inlineStr">
        <is>
          <t>Date file created</t>
        </is>
      </c>
      <c r="B4" s="3" t="inlineStr">
        <is>
          <t>2026-10-04</t>
        </is>
      </c>
    </row>
    <row r="5" ht="30" customHeight="1">
      <c r="A5" s="4" t="inlineStr">
        <is>
          <t>Date file last modified</t>
        </is>
      </c>
      <c r="B5" s="3" t="inlineStr">
        <is>
          <t>2026-10-04  (stamped by the build, not typed; unchanged when the file is only read)</t>
        </is>
      </c>
    </row>
    <row r="6" ht="60" customHeight="1">
      <c r="A6" s="4" t="inlineStr">
        <is>
          <t>Objective of this file</t>
        </is>
      </c>
      <c r="B6" s="3" t="inlineStr">
        <is>
          <t>One row for every figure a person reads on screen, tied to the metric behind it, the function that produces it, and the identifier that joins them — so a wrong number can be traced from the label on screen to its function and formula in a minute. Serves objectives 3 and 4.</t>
        </is>
      </c>
    </row>
    <row r="7" ht="15" customHeight="1">
      <c r="A7" s="4" t="inlineStr"/>
      <c r="B7" s="3" t="inlineStr"/>
    </row>
    <row r="8" ht="60" customHeight="1">
      <c r="A8" s="4" t="inlineStr">
        <is>
          <t>TAB — Specification</t>
        </is>
      </c>
      <c r="B8" s="3" t="inlineStr">
        <is>
          <t>Everything a row must carry before its calculation can be written in code, NUMBERED S01 upwards so a piece of work can be named by its number. The last column says where each one stands in this file today.</t>
        </is>
      </c>
    </row>
    <row r="9" ht="45" customHeight="1">
      <c r="A9" s="4" t="inlineStr">
        <is>
          <t>TAB — Reference</t>
        </is>
      </c>
      <c r="B9" s="3" t="inlineStr">
        <is>
          <t>This tab. What the file is, what each tab holds, what each column means, and what it must comply with.</t>
        </is>
      </c>
    </row>
    <row r="10" ht="60" customHeight="1">
      <c r="A10" s="4" t="inlineStr">
        <is>
          <t>TAB — multiple_screens</t>
        </is>
      </c>
      <c r="B10" s="3" t="inlineStr">
        <is>
          <t>Figures shown on more than one parent screen. A figure lives here ONCE, with every screen and every label it wears listed, so the same figure can never have two definitions.</t>
        </is>
      </c>
    </row>
    <row r="11" ht="30" customHeight="1">
      <c r="A11" s="4" t="inlineStr">
        <is>
          <t>TAB — home</t>
        </is>
      </c>
      <c r="B11" s="3" t="inlineStr">
        <is>
          <t>Figures shown only on Home and the screens reached from it.</t>
        </is>
      </c>
    </row>
    <row r="12" ht="30" customHeight="1">
      <c r="A12" s="4" t="inlineStr">
        <is>
          <t>TAB — networth</t>
        </is>
      </c>
      <c r="B12" s="3" t="inlineStr">
        <is>
          <t>Figures shown only on Net worth and the screens reached from it.</t>
        </is>
      </c>
    </row>
    <row r="13" ht="30" customHeight="1">
      <c r="A13" s="4" t="inlineStr">
        <is>
          <t>TAB — performance</t>
        </is>
      </c>
      <c r="B13" s="3" t="inlineStr">
        <is>
          <t>Figures shown only on Performance and the screens reached from it.</t>
        </is>
      </c>
    </row>
    <row r="14" ht="30" customHeight="1">
      <c r="A14" s="4" t="inlineStr">
        <is>
          <t>TAB — plan</t>
        </is>
      </c>
      <c r="B14" s="3" t="inlineStr">
        <is>
          <t>Figures shown only on Plan and the screens reached from it.</t>
        </is>
      </c>
    </row>
    <row r="15" ht="30" customHeight="1">
      <c r="A15" s="4" t="inlineStr">
        <is>
          <t>TAB — cashflow</t>
        </is>
      </c>
      <c r="B15" s="3" t="inlineStr">
        <is>
          <t>Figures shown only on Cash flow and the screens reached from it.</t>
        </is>
      </c>
    </row>
    <row r="16" ht="30" customHeight="1">
      <c r="A16" s="4" t="inlineStr">
        <is>
          <t>TAB — menu</t>
        </is>
      </c>
      <c r="B16" s="3" t="inlineStr">
        <is>
          <t>Screens reachable only from the menu, and the figures on them.</t>
        </is>
      </c>
    </row>
    <row r="17" ht="60" customHeight="1">
      <c r="A17" s="4" t="inlineStr">
        <is>
          <t>TAB — engines-old-tab</t>
        </is>
      </c>
      <c r="B17" s="3" t="inlineStr">
        <is>
          <t>One row per function identifier — the definitive list every dependency and every figure points at. Carries where the function is implemented, what it answers, and which figures reach it.</t>
        </is>
      </c>
    </row>
    <row r="18" ht="60" customHeight="1">
      <c r="A18" s="4" t="inlineStr">
        <is>
          <t>TAB — functions_per_metric</t>
        </is>
      </c>
      <c r="B18" s="3" t="inlineStr">
        <is>
          <t>By parent screen: how many figures it shows, and how many functions stand behind each one — a single function, two to five, more than five, or none on record.</t>
        </is>
      </c>
    </row>
    <row r="19" ht="60" customHeight="1">
      <c r="A19" s="4" t="inlineStr">
        <is>
          <t>TAB — functions_summary</t>
        </is>
      </c>
      <c r="B19" s="3" t="inlineStr">
        <is>
          <t>A count per category: how many functions there are, how many are handed nothing at all, how many are handed nothing but reach into the stored data, and how many never say what they give back.</t>
        </is>
      </c>
    </row>
    <row r="20" ht="60" customHeight="1">
      <c r="A20" s="4" t="inlineStr">
        <is>
          <t>TAB — functions_from_code</t>
        </is>
      </c>
      <c r="B20" s="3" t="inlineStr">
        <is>
          <t>Every function in the calculation code, read from the code itself, sorted into the four categories by what it actually does. 1 ACTION does something and displays nothing. 2 DISPLAYED lands on a screen. 3 DEPENDENT feeds a chain that ends at a screen. 4 BRINGS DATA IN fetches from outside the app. A function that can reach a screen can put a wrong number in front of a person; one that cannot, cannot.</t>
        </is>
      </c>
    </row>
    <row r="21" ht="60" customHeight="1">
      <c r="A21" s="4" t="inlineStr">
        <is>
          <t>TAB — reconciliation</t>
        </is>
      </c>
      <c r="B21" s="3" t="inlineStr">
        <is>
          <t>The input map checked in BOTH directions: what the inputs tab says uses each input, against what each function actually names in its own input list. Where the two disagree the row says so. The section at the foot lists inputs an function names that appear nowhere on the inputs tab.</t>
        </is>
      </c>
    </row>
    <row r="22" ht="60" customHeight="1">
      <c r="A22" s="4" t="inlineStr">
        <is>
          <t>TAB — core_screens</t>
        </is>
      </c>
      <c r="B22" s="3" t="inlineStr">
        <is>
          <t>Every screen in the app, its parent, my recommendation on whether it belongs to the 55-70 core, and a column for the founder to decide. Until this is decided, no row in the file can honestly claim to be in scope (S17).</t>
        </is>
      </c>
    </row>
    <row r="23" ht="60" customHeight="1">
      <c r="A23" s="4" t="inlineStr">
        <is>
          <t>TAB — database</t>
        </is>
      </c>
      <c r="B23" s="3" t="inlineStr">
        <is>
          <t>What the app saves in the cloud: where each thing is stored, what it holds, which figures depend on it, how often it is written and at what grain. Also names what is deliberately NOT saved.</t>
        </is>
      </c>
    </row>
    <row r="24" ht="30" customHeight="1">
      <c r="A24" s="4" t="inlineStr">
        <is>
          <t>TAB — inputs</t>
        </is>
      </c>
      <c r="B24" s="3" t="inlineStr">
        <is>
          <t>The raw values the functions need before any calculation happens.</t>
        </is>
      </c>
    </row>
    <row r="25" ht="15" customHeight="1">
      <c r="A25" s="4" t="inlineStr"/>
      <c r="B25" s="3" t="inlineStr"/>
    </row>
    <row r="26" ht="60" customHeight="1">
      <c r="A26" s="4" t="inlineStr">
        <is>
          <t>COLUMN — Function that produces it</t>
        </is>
      </c>
      <c r="B26" s="3" t="inlineStr">
        <is>
          <t>The function in the code that produces this figure, named plainly. Three honest answers: the function · "worked out on the screen itself" · or "no function on record", which means nothing in the old inventory ever recorded one.</t>
        </is>
      </c>
    </row>
    <row r="27" ht="30" customHeight="1">
      <c r="A27" s="4" t="inlineStr">
        <is>
          <t>COLUMN — Function ID</t>
        </is>
      </c>
      <c r="B27" s="3" t="inlineStr">
        <is>
          <t>That function's identifier, MK-[family]-F-[number], from the functions_from_code tab.</t>
        </is>
      </c>
    </row>
    <row r="28" ht="45" customHeight="1">
      <c r="A28" s="4" t="inlineStr">
        <is>
          <t>COLUMN — Category / File / Line</t>
        </is>
      </c>
      <c r="B28" s="3" t="inlineStr">
        <is>
          <t>On the functions tab: which of the four categories the function falls in, and where it lives in the code.</t>
        </is>
      </c>
    </row>
    <row r="29" ht="60" customHeight="1">
      <c r="A29" s="4" t="inlineStr">
        <is>
          <t>COLUMN — Objective — what this function is for</t>
        </is>
      </c>
      <c r="B29" s="3" t="inlineStr">
        <is>
          <t>Its purpose in one sentence, in the author's own words from the note above it in the code, or from the old inventory. NOT DETERMINED where neither exists.</t>
        </is>
      </c>
    </row>
    <row r="30" ht="60" customHeight="1">
      <c r="A30" s="4" t="inlineStr">
        <is>
          <t>COLUMN — Formula (mathematical) [functions tab]</t>
        </is>
      </c>
      <c r="B30" s="3" t="inlineStr">
        <is>
          <t>What the function actually computes, written as arithmetic, read out of its own body. A sum written in code as a reduce is shown as Σ; a rounding is shown with the number of decimal places it really uses; a condition is shown as its two answers. Nothing here is inferred from the function NAME — where a body could not be rendered faithfully the cell says so instead of guessing.</t>
        </is>
      </c>
    </row>
    <row r="31" ht="60" customHeight="1">
      <c r="A31" s="4" t="inlineStr">
        <is>
          <t>COLUMN — Formula (in words) [functions tab]</t>
        </is>
      </c>
      <c r="B31" s="3" t="inlineStr">
        <is>
          <t>The same rule in plain English. It is generated from the SAME expression as the arithmetic beside it, so the two cannot drift apart. Where the formula was read by hand this column is written by hand and says what the rule means, not just what it does.</t>
        </is>
      </c>
    </row>
    <row r="32" ht="60" customHeight="1">
      <c r="A32" s="4" t="inlineStr">
        <is>
          <t>COLUMN — How the formula was read</t>
        </is>
      </c>
      <c r="B32" s="3" t="inlineStr">
        <is>
          <t>How much to trust the two columns before it. READ BY HAND — checked line by line against the code, and the words say what the rule means. READ FROM THE CODE — rendered from the expressions the function runs, with no code left showing. PARTLY READ — faithful, but some of the code is still showing through and it needs a hand pass. NO ARITHMETIC — it fetches, saves or announces, so there is no formula to state. NOT READ — the body is not a shape the reader can render, and nothing is claimed rather than something guessed.</t>
        </is>
      </c>
    </row>
    <row r="33" ht="45" customHeight="1">
      <c r="A33" s="4" t="inlineStr">
        <is>
          <t>COLUMN — What it gives back (its output)</t>
        </is>
      </c>
      <c r="B33" s="3" t="inlineStr">
        <is>
          <t>What the function returns. NOT DECLARED means the code does not say, so nothing can check it returns the right kind of thing.</t>
        </is>
      </c>
    </row>
    <row r="34" ht="30" customHeight="1">
      <c r="A34" s="4" t="inlineStr">
        <is>
          <t>COLUMN — Can its answer reach a screen?</t>
        </is>
      </c>
      <c r="B34" s="3" t="inlineStr">
        <is>
          <t>The question that decides whether a function can put a wrong number in front of a person.</t>
        </is>
      </c>
    </row>
    <row r="35" ht="45" customHeight="1">
      <c r="A35" s="4" t="inlineStr">
        <is>
          <t>COLUMN — Figures that name it</t>
        </is>
      </c>
      <c r="B35" s="3" t="inlineStr">
        <is>
          <t>Which metric identifiers reach this function. It travels through the old inventory to get there, so it is only as good as that record.</t>
        </is>
      </c>
    </row>
    <row r="36" ht="45" customHeight="1">
      <c r="A36" s="4" t="inlineStr">
        <is>
          <t>COLUMN — Name in the old inventory</t>
        </is>
      </c>
      <c r="B36" s="3" t="inlineStr">
        <is>
          <t>What the old master called this function, kept only so the link to the earlier file is not lost. The word function is retired.</t>
        </is>
      </c>
    </row>
    <row r="37" ht="45" customHeight="1">
      <c r="A37" s="4" t="inlineStr">
        <is>
          <t>COLUMN — Metric ID</t>
        </is>
      </c>
      <c r="B37" s="3" t="inlineStr">
        <is>
          <t>The identifier of the figure, per moneykeel_naming_spec_unique-identifier_v01.md. Given once, never changed, never reused.</t>
        </is>
      </c>
    </row>
    <row r="38" ht="30" customHeight="1">
      <c r="A38" s="4" t="inlineStr">
        <is>
          <t>COLUMN — Parent Screen Name</t>
        </is>
      </c>
      <c r="B38" s="3" t="inlineStr">
        <is>
          <t>One of: Home, Networth, Performance, Cashflow, Plan, Menu. Menu means reachable only from the menu.</t>
        </is>
      </c>
    </row>
    <row r="39" ht="30" customHeight="1">
      <c r="A39" s="4" t="inlineStr">
        <is>
          <t>COLUMN — Secondary Screen Name</t>
        </is>
      </c>
      <c r="B39" s="3" t="inlineStr">
        <is>
          <t>The screen reached from the parent, or NA when the figure is on the parent screen itself.</t>
        </is>
      </c>
    </row>
    <row r="40" ht="45" customHeight="1">
      <c r="A40" s="4" t="inlineStr">
        <is>
          <t>COLUMN — Name on Screen</t>
        </is>
      </c>
      <c r="B40" s="3" t="inlineStr">
        <is>
          <t>The label copied exactly as it is worded on screen, including capitals. Where a figure wears different labels on different screens, all are listed.</t>
        </is>
      </c>
    </row>
    <row r="41" ht="15" customHeight="1">
      <c r="A41" s="4" t="inlineStr">
        <is>
          <t>COLUMN — Name of Underlying Metric</t>
        </is>
      </c>
      <c r="B41" s="3" t="inlineStr">
        <is>
          <t>The metric's name in the code.</t>
        </is>
      </c>
    </row>
    <row r="42" ht="45" customHeight="1">
      <c r="A42" s="4" t="inlineStr">
        <is>
          <t>COLUMN — Name of Underlying Function</t>
        </is>
      </c>
      <c r="B42" s="3" t="inlineStr">
        <is>
          <t>The function that produces the figure. NOT IN OLD MASTER means the function exists in the code but has no row in the old master file.</t>
        </is>
      </c>
    </row>
    <row r="43" ht="30" customHeight="1">
      <c r="A43" s="4" t="inlineStr">
        <is>
          <t>COLUMN — Inputs it needs (S02)</t>
        </is>
      </c>
      <c r="B43" s="3" t="inlineStr">
        <is>
          <t>Every input the function reads, named. Carried from the old master where it has a row there.</t>
        </is>
      </c>
    </row>
    <row r="44" ht="60" customHeight="1">
      <c r="A44" s="4" t="inlineStr">
        <is>
          <t>COLUMN — What comes out (S04)</t>
        </is>
      </c>
      <c r="B44" s="3" t="inlineStr">
        <is>
          <t>Dollars, a percentage, a date, a count; how it is held and how it is shown. Marked "derived by rule" where it was worked out from the label and formula rather than read from the function — those need confirming.</t>
        </is>
      </c>
    </row>
    <row r="45" ht="45" customHeight="1">
      <c r="A45" s="4" t="inlineStr">
        <is>
          <t>COLUMN — What it says when it cannot be computed (S05)</t>
        </is>
      </c>
      <c r="B45" s="3" t="inlineStr">
        <is>
          <t>The refusal. Written where the function has been read; NOT DETERMINED where it has not, rather than guessed.</t>
        </is>
      </c>
    </row>
    <row r="46" ht="30" customHeight="1">
      <c r="A46" s="4" t="inlineStr">
        <is>
          <t>COLUMN — Grain (S06)</t>
        </is>
      </c>
      <c r="B46" s="3" t="inlineStr">
        <is>
          <t>One figure per what: holding, account, debt, goal, category, month, or person.</t>
        </is>
      </c>
    </row>
    <row r="47" ht="15" customHeight="1">
      <c r="A47" s="4" t="inlineStr">
        <is>
          <t>COLUMN — Period (S07)</t>
        </is>
      </c>
      <c r="B47" s="3" t="inlineStr">
        <is>
          <t>As of when, and over what window.</t>
        </is>
      </c>
    </row>
    <row r="48" ht="60" customHeight="1">
      <c r="A48" s="4" t="inlineStr">
        <is>
          <t>COLUMN — Dependency (S11)</t>
        </is>
      </c>
      <c r="B48" s="3" t="inlineStr">
        <is>
          <t>The functions this one leans on, each named by ITS identifier and by the output it gives. Read from the code itself, never from a document. "None" means the function reads raw inputs only.</t>
        </is>
      </c>
    </row>
    <row r="49" ht="60" customHeight="1">
      <c r="A49" s="4" t="inlineStr">
        <is>
          <t>COLUMN — Secondary calculations and decisions the function makes</t>
        </is>
      </c>
      <c r="B49" s="3" t="inlineStr">
        <is>
          <t>The judgements an function must make BEFORE its headline figure exists: what class an asset is, what to call it on screen, which units apply, whether a value is fresh. Each of these is a formula of its own and needs its own row.</t>
        </is>
      </c>
    </row>
    <row r="50" ht="45" customHeight="1">
      <c r="A50" s="4" t="inlineStr">
        <is>
          <t>COLUMN — Function ID</t>
        </is>
      </c>
      <c r="B50" s="3" t="inlineStr">
        <is>
          <t>Every function in the code carries one, MK-[family]-F-[number]. The family comes from the folder the code sits in.</t>
        </is>
      </c>
    </row>
    <row r="51" ht="60" customHeight="1">
      <c r="A51" s="4" t="inlineStr">
        <is>
          <t>COLUMN — What it is for</t>
        </is>
      </c>
      <c r="B51" s="3" t="inlineStr">
        <is>
          <t>The purpose of the function in one sentence, taken from the note written above it in the code, or from the old inventory when the code carries none. NOT DETERMINED where neither exists — never invented.</t>
        </is>
      </c>
    </row>
    <row r="52" ht="60" customHeight="1">
      <c r="A52" s="4" t="inlineStr">
        <is>
          <t>COLUMN — What it is handed / what it gives back</t>
        </is>
      </c>
      <c r="B52" s="3" t="inlineStr">
        <is>
          <t>Read from the function's own signature: the values passed to it, whether it also reads the stored data, and what it returns. NOT DECLARED means the code does not say what comes back.</t>
        </is>
      </c>
    </row>
    <row r="53" ht="60" customHeight="1">
      <c r="A53" s="4" t="inlineStr">
        <is>
          <t>COLUMN — Where its answer appears</t>
        </is>
      </c>
      <c r="B53" s="3" t="inlineStr">
        <is>
          <t>In plain English: the words printed beside the answer, which screen they are on, and the section they sit under. NOT FOUND means a screen calls the function but the words could not be traced automatically and need reading.</t>
        </is>
      </c>
    </row>
    <row r="54" ht="60" customHeight="1">
      <c r="A54" s="4" t="inlineStr">
        <is>
          <t>COLUMN — Assumptions it makes</t>
        </is>
      </c>
      <c r="B54" s="3" t="inlineStr">
        <is>
          <t>What the function takes for granted, in plain English rather than in code: a value used when data is missing, a rate nobody chose on a screen, a year treated as twelve equal months, a cap, rows deliberately left out. Read from the code with the comments stripped out, so it reports what runs rather than what someone wrote about it.</t>
        </is>
      </c>
    </row>
    <row r="55" ht="60" customHeight="1">
      <c r="A55" s="4" t="inlineStr">
        <is>
          <t>COLUMN — Dependent functions</t>
        </is>
      </c>
      <c r="B55" s="3" t="inlineStr">
        <is>
          <t>A dependent function is one whose output is used by another function, in a chain that ends at a screen. These columns list the dependent functions behind this one: those one step below it, how many there are in total, and all of them however many steps away.</t>
        </is>
      </c>
    </row>
    <row r="56" ht="60" customHeight="1">
      <c r="A56" s="4" t="inlineStr">
        <is>
          <t>COLUMN — The chain, ending in this function</t>
        </is>
      </c>
      <c r="B56" s="3" t="inlineStr">
        <is>
          <t>Read left to right. The function that shows the answer sits at the END, and everything feeding it comes before it. A loop is marked where a chain turns back on itself. Chains are cut at five levels and eight paths, and say so.</t>
        </is>
      </c>
    </row>
    <row r="57" ht="45" customHeight="1">
      <c r="A57" s="4" t="inlineStr">
        <is>
          <t>COLUMN — The chain of functions behind it</t>
        </is>
      </c>
      <c r="B57" s="3" t="inlineStr">
        <is>
          <t>The chain that ends in the function producing this figure, read left to right, taken from the functions tab.</t>
        </is>
      </c>
    </row>
    <row r="58" ht="60" customHeight="1">
      <c r="A58" s="4" t="inlineStr">
        <is>
          <t>COLUMN — Assumptions made anywhere in that chain</t>
        </is>
      </c>
      <c r="B58" s="3" t="inlineStr">
        <is>
          <t>Every assumption made by the producing function OR by any function below it, each named with the identifier of the function that makes it. This is where a figure quietly inherits a rate nobody chose.</t>
        </is>
      </c>
    </row>
    <row r="59" ht="60" customHeight="1">
      <c r="A59" s="4" t="inlineStr">
        <is>
          <t>COLUMN — Same figure as (S16)</t>
        </is>
      </c>
      <c r="B59" s="3" t="inlineStr">
        <is>
          <t>Where the same figure appears under more than one identifier, the row names the surviving identifier and why. Nothing is deleted: identifiers are never reused, so a folded row stays visible and says what it became.</t>
        </is>
      </c>
    </row>
    <row r="60" ht="60" customHeight="1">
      <c r="A60" s="4" t="inlineStr">
        <is>
          <t>COLUMN — Questions for you (numbered)</t>
        </is>
      </c>
      <c r="B60" s="3" t="inlineStr">
        <is>
          <t>My open questions about that function or figure, each with a number that never changes. A number is never reused or renumbered, so an answer can always be matched to its question.</t>
        </is>
      </c>
    </row>
    <row r="61" ht="45" customHeight="1">
      <c r="A61" s="4" t="inlineStr">
        <is>
          <t>COLUMN — YOUR ANSWER — use the same number</t>
        </is>
      </c>
      <c r="B61" s="3" t="inlineStr">
        <is>
          <t>Answer here, starting each answer with the question number. Nothing else in the file needs to line up.</t>
        </is>
      </c>
    </row>
    <row r="62" ht="60" customHeight="1">
      <c r="A62" s="4" t="inlineStr">
        <is>
          <t>COLUMN — Where each finding stands</t>
        </is>
      </c>
      <c r="B62" s="3" t="inlineStr">
        <is>
          <t>Every finding on this row, and its outcome. OPEN means nothing has closed it — not that it is unproven, but that it is unaddressed. FIXED carries the date. NOT A DEFECT means the finding itself was examined and was wrong; those are kept, never deleted, because erasing them would hide that the audit can be wrong and the next reader could not tell a dismissed finding from a forgotten one. PARTLY FIXED and NAMED-NOT-FIXED say exactly how far it got. What closed each one, and the test that fails if it returns, are in moneykeel_finding_status.py. Added 2026-08-27 at the founder's ruling: a finding without an outcome is half a record.</t>
        </is>
      </c>
    </row>
    <row r="63" ht="60" customHeight="1">
      <c r="A63" s="4" t="inlineStr">
        <is>
          <t>COLUMN — Active or decommissioned</t>
        </is>
      </c>
      <c r="B63" s="3" t="inlineStr">
        <is>
          <t>ACTIVE means it exists in the code or on a screen today. SUPERSEDED BY names the identifier that replaced it — the same thing under another number, which is then retired and never handed to anything else. DECOMMISSIONED with its date means it was here and is not any more; the row is kept so the number is never reused and earlier work can still be traced. Never blank. Added 2026-08-27.</t>
        </is>
      </c>
    </row>
    <row r="64" ht="60" customHeight="1">
      <c r="A64" s="4" t="inlineStr">
        <is>
          <t>COLUMN — Date last modified</t>
        </is>
      </c>
      <c r="B64" s="3" t="inlineStr">
        <is>
          <t>The date this ROW last changed — not the date the build last ran. The row's content is hashed and kept, so the date only moves when the content really moves. A row untouched since August still reads August in December, which is the whole point: a date that says today on every row means nothing. Added 2026-08-27.</t>
        </is>
      </c>
    </row>
    <row r="65" ht="60" customHeight="1">
      <c r="A65" s="4" t="inlineStr">
        <is>
          <t>COLUMN — Wrong on screen — build first</t>
        </is>
      </c>
      <c r="B65" s="3" t="inlineStr">
        <is>
          <t>A finding here changes a NUMBER OR A WORD a person actually reads, on one of the three screens being built first: cash flow This month, cash flow Expenses, and the base-salary income screen. Blank does NOT mean the row is right — most rows carry findings where the FILE is wrong and the app is correct, which is real work but not a wrong number in front of anyone. Marked 2026-08-27 at the founder's request, so the queue is visible on the row rather than in a list somewhere else.</t>
        </is>
      </c>
    </row>
    <row r="66" ht="60" customHeight="1">
      <c r="A66" s="4" t="inlineStr">
        <is>
          <t>COLUMN — Why no function</t>
        </is>
      </c>
      <c r="B66" s="3" t="inlineStr">
        <is>
          <t>Four answers, never a blank. HAS A FUNCTION. TYPED — the person entered it, none needed, already right. WORKED OUT ON THE SCREEN — the arithmetic is in a screen file and cannot be shared. NO FUNCTION ON RECORD — nothing says what produces it. Added 2026-08-26 because the file reported 69 figures with no function as ONE number, which reads as 69 problems; it is 64 problems of two kinds and 5 rows that are already correct.</t>
        </is>
      </c>
    </row>
    <row r="67" ht="60" customHeight="1">
      <c r="A67" s="4" t="inlineStr">
        <is>
          <t>COLUMN — Formula audit — metric vs the function it names</t>
        </is>
      </c>
      <c r="B67" s="3" t="inlineStr">
        <is>
          <t>The 2026-08-26 pass: this figure's arithmetic checked against the arithmetic of the function in its Function ID column, and against every other figure naming the same function. Four verdicts. CLASH — the figure states a rule the code does not implement; a real defect. MISNAMED — the formula and the function are about different things. ONE FORMULA — figures that are not the same figure sharing one formula between them. AGREES — the two say the same thing. NOT COMPARABLE — no function is named, so nothing can be checked. Each finding is numbered B01 upwards and names the code file and line it was checked against.</t>
        </is>
      </c>
    </row>
    <row r="68" ht="60" customHeight="1">
      <c r="A68" s="4" t="inlineStr">
        <is>
          <t>COLUMN — Audit finding — 2026-08-25 review</t>
        </is>
      </c>
      <c r="B68" s="3" t="inlineStr">
        <is>
          <t>What the 2026-08-25 review found wrong, unproved or missing on THIS row, each numbered A01 upwards. A number is given once and never reused, the same rule the questions follow. Findings that belong to the whole file rather than to any one row are listed at the bottom of this tab under AUDIT. Blank means nothing was found on this row by this review — it does not mean the row is right.</t>
        </is>
      </c>
    </row>
    <row r="69" ht="45" customHeight="1">
      <c r="A69" s="4" t="inlineStr">
        <is>
          <t>COLUMN — Errors or findings to address</t>
        </is>
      </c>
      <c r="B69" s="3" t="inlineStr">
        <is>
          <t>What is known to be wrong or unproved about this figure, in plain English. Blank means nothing is on record yet — not that nothing is wrong.</t>
        </is>
      </c>
    </row>
    <row r="70" ht="60" customHeight="1">
      <c r="A70" s="4" t="inlineStr">
        <is>
          <t>COLUMN — Decisions made (S03)</t>
        </is>
      </c>
      <c r="B70" s="3" t="inlineStr">
        <is>
          <t>The rulings and assumptions that govern this figure, each marked with WHOSE decision it was: [Founder] his own ruling, [The person] something the user set, [Built in] an assumption nobody chose on a screen — which is usually why a number looks wrong. The standing display and rounding rule applies to every row and is stated at the top of this tab.</t>
        </is>
      </c>
    </row>
    <row r="71" ht="30" customHeight="1">
      <c r="A71" s="4" t="inlineStr">
        <is>
          <t>COLUMN — Formula (mathematical)</t>
        </is>
      </c>
      <c r="B71" s="3" t="inlineStr">
        <is>
          <t>The rule written as arithmetic, so it can be followed symbol by symbol and checked against the code.</t>
        </is>
      </c>
    </row>
    <row r="72" ht="60" customHeight="1">
      <c r="A72" s="4" t="inlineStr">
        <is>
          <t>COLUMN — Formula (in words)</t>
        </is>
      </c>
      <c r="B72" s="3" t="inlineStr">
        <is>
          <t>The same rule in plain English, followable by hand. Where the function has a row in the old master this is its wording, carried over; where it does not, it is written here from reading the code.</t>
        </is>
      </c>
    </row>
    <row r="73" ht="45" customHeight="1">
      <c r="A73" s="4" t="inlineStr">
        <is>
          <t>COLUMN — Function ID</t>
        </is>
      </c>
      <c r="B73" s="3" t="inlineStr">
        <is>
          <t>The identifier of that function. Blank where the figure is worked out on the screen itself rather than by an function — which is itself a finding.</t>
        </is>
      </c>
    </row>
    <row r="74" ht="60" customHeight="1">
      <c r="A74" s="4" t="inlineStr">
        <is>
          <t>COLUMN — Your name for it (72-metric file)</t>
        </is>
      </c>
      <c r="B74" s="3" t="inlineStr">
        <is>
          <t>The founder's own name for the same figure, from METRICS-DELIVERABLE-ANSWERED-2026-08-20.xlsx. This column is the bridge between his vocabulary and the code's.</t>
        </is>
      </c>
    </row>
    <row r="75" ht="60" customHeight="1">
      <c r="A75" s="4" t="inlineStr">
        <is>
          <t>COLUMN — Core screen?</t>
        </is>
      </c>
      <c r="B75" s="3" t="inlineStr">
        <is>
          <t>Whether the screen is part of the 55-70 core, the agreed first scope. Currently NOT DETERMINED on every row: the core list has never been written down, so no row can honestly claim to be in or out of it.</t>
        </is>
      </c>
    </row>
    <row r="76" ht="60" customHeight="1">
      <c r="A76" s="4" t="inlineStr">
        <is>
          <t>COLUMN — Row status</t>
        </is>
      </c>
      <c r="B76" s="3" t="inlineStr">
        <is>
          <t>VERIFIED with its date means a person read the screen and confirmed the chain. NOT STARTED means the screen has not been read yet. Nothing in between is claimed.</t>
        </is>
      </c>
    </row>
    <row r="77" ht="15" customHeight="1">
      <c r="A77" s="4" t="inlineStr"/>
      <c r="B77" s="3" t="inlineStr"/>
    </row>
    <row r="78" ht="60" customHeight="1">
      <c r="A78" s="4" t="inlineStr">
        <is>
          <t>COLUMN — Where the code keeps it</t>
        </is>
      </c>
      <c r="B78" s="3" t="inlineStr">
        <is>
          <t>The field name the value is stored under in the code. This is the join between a value a person would name — "bond maturity date" — and the code, and it is what makes the next column checkable rather than remembered.</t>
        </is>
      </c>
    </row>
    <row r="79" ht="60" customHeight="1">
      <c r="A79" s="4" t="inlineStr">
        <is>
          <t>COLUMN — Functions that read it</t>
        </is>
      </c>
      <c r="B79" s="3" t="inlineStr">
        <is>
          <t>Every function whose body touches that field, swept from the code on every build. Replaces the two function columns this tab carried until 2026-08-26: the word function was retired by the vocabulary standard, and neither the function name nor its E identifier could be looked up in the code.</t>
        </is>
      </c>
    </row>
    <row r="80" ht="60" customHeight="1">
      <c r="A80" s="4" t="inlineStr">
        <is>
          <t>COLUMN — Figures it reaches</t>
        </is>
      </c>
      <c r="B80" s="3" t="inlineStr">
        <is>
          <t>The figures served by the functions above. NONE ON RECORD means those functions are named by no figure in this file — an S21 gap, not proof the input reaches nobody.</t>
        </is>
      </c>
    </row>
    <row r="81" ht="30" customHeight="1">
      <c r="A81" s="4" t="inlineStr">
        <is>
          <t>COLUMN — Input ID</t>
        </is>
      </c>
      <c r="B81" s="3" t="inlineStr">
        <is>
          <t>The identifier of a raw input, per the same standard.</t>
        </is>
      </c>
    </row>
    <row r="82" ht="15" customHeight="1">
      <c r="A82" s="4" t="inlineStr">
        <is>
          <t>COLUMN — Variable name</t>
        </is>
      </c>
      <c r="B82" s="3" t="inlineStr">
        <is>
          <t>What the raw value is called.</t>
        </is>
      </c>
    </row>
    <row r="83" ht="45" customHeight="1">
      <c r="A83" s="4" t="inlineStr">
        <is>
          <t>COLUMN — Source</t>
        </is>
      </c>
      <c r="B83" s="3" t="inlineStr">
        <is>
          <t>Where the value comes from: the person typed it, an institution download, a connected provider, or another function computed it.</t>
        </is>
      </c>
    </row>
    <row r="84" ht="15" customHeight="1">
      <c r="A84" s="4" t="inlineStr"/>
      <c r="B84" s="3" t="inlineStr"/>
    </row>
    <row r="85" ht="30" customHeight="1">
      <c r="A85" s="4" t="inlineStr">
        <is>
          <t>Complies with — naming</t>
        </is>
      </c>
      <c r="B85" s="3" t="inlineStr">
        <is>
          <t>MoneyKeel/documents/standards/moneykeel_naming_spec_file-and-folder-naming_v01.md</t>
        </is>
      </c>
    </row>
    <row r="86" ht="30" customHeight="1">
      <c r="A86" s="4" t="inlineStr">
        <is>
          <t>Complies with — identifiers</t>
        </is>
      </c>
      <c r="B86" s="3" t="inlineStr">
        <is>
          <t>MoneyKeel/documents/standards/moneykeel_naming_spec_unique-identifier_v01.md</t>
        </is>
      </c>
    </row>
    <row r="87" ht="30" customHeight="1">
      <c r="A87" s="4" t="inlineStr">
        <is>
          <t>Complies with — objectives</t>
        </is>
      </c>
      <c r="B87" s="3" t="inlineStr">
        <is>
          <t>MoneyKeel/documents/standards/moneykeel_calc_spec_objectives-and-verification_v01.md</t>
        </is>
      </c>
    </row>
    <row r="88" ht="15" customHeight="1">
      <c r="A88" s="4" t="inlineStr"/>
      <c r="B88" s="3" t="inlineStr"/>
    </row>
    <row r="89" ht="60" customHeight="1">
      <c r="A89" s="4" t="inlineStr">
        <is>
          <t>COVERAGE — screens read so far</t>
        </is>
      </c>
      <c r="B89" s="3" t="inlineStr">
        <is>
          <t>49 of 49. Every screen in the app has been read: the five parent screens, every secondary screen and every menu screen. Twelve screens carry no calculated figure and say so.</t>
        </is>
      </c>
    </row>
    <row r="90" ht="60" customHeight="1">
      <c r="A90" s="4" t="inlineStr">
        <is>
          <t>COVERAGE — what that means</t>
        </is>
      </c>
      <c r="B90" s="3" t="inlineStr">
        <is>
          <t>Every screen in the app is listed on its tab. Only Home carries figures so far; the rest are marked NOT STARTED. A rising count is not completeness while screens remain unread.</t>
        </is>
      </c>
    </row>
    <row r="91" ht="15" customHeight="1">
      <c r="A91" s="4" t="inlineStr">
        <is>
          <t> </t>
        </is>
      </c>
      <c r="B91" s="3" t="inlineStr">
        <is>
          <t> </t>
        </is>
      </c>
    </row>
    <row r="92" ht="60" customHeight="1">
      <c r="A92" s="4" t="inlineStr">
        <is>
          <t>AUDIT — 2026-08-25 review</t>
        </is>
      </c>
      <c r="B92" s="3" t="inlineStr">
        <is>
          <t>Read against the three standards: the vocabulary, the identifiers, and the objectives-and-verification. These findings belong to the FILE rather than to any one row. The ones that land on rows are in the last column of each screen tab, numbered from the same list, so a number means the same thing wherever it is read.</t>
        </is>
      </c>
    </row>
    <row r="93" ht="60" customHeight="1">
      <c r="A93" s="4" t="inlineStr">
        <is>
          <t>AUDIT A01</t>
        </is>
      </c>
      <c r="B93" s="3" t="inlineStr">
        <is>
          <t>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row>
    <row r="94" ht="60" customHeight="1">
      <c r="A94" s="4" t="inlineStr">
        <is>
          <t>AUDIT A48</t>
        </is>
      </c>
      <c r="B94" s="3" t="inlineStr">
        <is>
          <t>126 of 163 rows read NOT DETERMINED for the decisions that govern the figure and 37 read NOT DETERMINED for what the figure says when it cannot be computed — and every one of those same rows is stamped VERIFIED.</t>
        </is>
      </c>
    </row>
    <row r="95" ht="60" customHeight="1">
      <c r="A95" s="4" t="inlineStr">
        <is>
          <t>AUDIT A02</t>
        </is>
      </c>
      <c r="B95" s="3" t="inlineStr">
        <is>
          <t>The vocabulary standard retired the word function on 2026-08-25. It is still the working vocabulary of the inputs tab (Which function uses it, Function ID), both function columns of the reconciliation tab, column R of every screen tab, and 20-odd column notes on this tab. Identifier type E is retired and is still being issued live on the inputs tab.</t>
        </is>
      </c>
    </row>
    <row r="96" ht="60" customHeight="1">
      <c r="A96" s="4" t="inlineStr">
        <is>
          <t>AUDIT A03</t>
        </is>
      </c>
      <c r="B96" s="3" t="inlineStr">
        <is>
          <t>moneykeel_naming_spec_unique-identifier_v01.md still lists type E in its pieces table and does not list type F, while its own examples use MK-PL-F-012. Rule 4 and the worked example are still written in function language.</t>
        </is>
      </c>
    </row>
    <row r="97" ht="60" customHeight="1">
      <c r="A97" s="4" t="inlineStr">
        <is>
          <t>AUDIT A04</t>
        </is>
      </c>
      <c r="B97" s="3" t="inlineStr">
        <is>
          <t>This tab describes two columns that no longer exist — Name of Underlying Function, Function ID — and names others with (S02), (S04), (S11) suffixes the headers do not carry.</t>
        </is>
      </c>
    </row>
    <row r="98" ht="60" customHeight="1">
      <c r="A98" s="4" t="inlineStr">
        <is>
          <t>AUDIT A22</t>
        </is>
      </c>
      <c r="B98" s="3" t="inlineStr">
        <is>
          <t>The vocabulary standard names four categories of function. The functions tab has six. "3 · DEPENDENT (feeds an action only)" holds 74 functions and contradicts the standard's own definition of DEPENDENT — a chain that ends at a screen.</t>
        </is>
      </c>
    </row>
    <row r="99" ht="60" customHeight="1">
      <c r="A99" s="4" t="inlineStr">
        <is>
          <t>AUDIT A05</t>
        </is>
      </c>
      <c r="B99" s="3" t="inlineStr">
        <is>
          <t>The Specification runs S01-S15, S18-S21, then S16 and S17. On a tab whose stated purpose is that a piece of work can be named by its number, the numbers are out of order.</t>
        </is>
      </c>
    </row>
    <row r="100" ht="60" customHeight="1">
      <c r="A100" s="4" t="inlineStr">
        <is>
          <t>AUDIT A07</t>
        </is>
      </c>
      <c r="B100" s="3" t="inlineStr">
        <is>
          <t>S02 says 59 rows name inputs carrying their identifiers; 77 do. Its second figure — 72 rows naming an input that is on no row of the inputs tab — matches nothing countable in the file, and the reconciliation tab's GAPS section, which S02 points at as the place the gap is counted, is a heading with no rows under it.</t>
        </is>
      </c>
    </row>
    <row r="101" ht="60" customHeight="1">
      <c r="A101" s="4" t="inlineStr">
        <is>
          <t>AUDIT A08</t>
        </is>
      </c>
      <c r="B101" s="3" t="inlineStr">
        <is>
          <t>S20 says 69 figures name no function, then breaks it down as Plan 23, Menu 20, Cash flow 13, Net worth 9 — which is 65. The functions_per_metric tab carries the missing four: Home 2, Performance 1, shown-on-more-than-one-screen 1.</t>
        </is>
      </c>
    </row>
    <row r="102" ht="60" customHeight="1">
      <c r="A102" s="4" t="inlineStr">
        <is>
          <t>AUDIT A09</t>
        </is>
      </c>
      <c r="B102" s="3" t="inlineStr">
        <is>
          <t>S12 says COMPLETE for functions, all 455 read from the code. The sweep reads only exported top-level declarations. 88 module-private functions in the same three folders are invisible to it, and 5 exported names that are defined in two files each are collapsed to one row. Rung 1 — every function in the code has a row in the file — is therefore not met, and S12 should read PARTIAL.</t>
        </is>
      </c>
    </row>
    <row r="103" ht="60" customHeight="1">
      <c r="A103" s="4" t="inlineStr">
        <is>
          <t>AUDIT A10</t>
        </is>
      </c>
      <c r="B103" s="3" t="inlineStr">
        <is>
          <t>The reconciliation gate matches identifiers with MK-[A-Z]{2}-[MEIDS]-\d{3}. That class carries the retired E and has no F. So no function identifier is ever matched, the Function ID column contributes nothing, and check 4 — UNKNOWN FUNCTION, a figure depending on a function that is in no row — has never been able to fire.</t>
        </is>
      </c>
    </row>
    <row r="104" ht="60" customHeight="1">
      <c r="A104" s="4" t="inlineStr">
        <is>
          <t>AUDIT A11</t>
        </is>
      </c>
      <c r="B104" s="3" t="inlineStr">
        <is>
          <t>The gate's orphan-input check looks for the text NO INPUT ID, which appears nowhere in the file. The builder writes "NOT DETERMINED — no input list on record" and "[NOT AN INPUT — another function's answer]" instead. That check has never fired either.</t>
        </is>
      </c>
    </row>
    <row r="105" ht="60" customHeight="1">
      <c r="A105" s="4" t="inlineStr">
        <is>
          <t>AUDIT A26</t>
        </is>
      </c>
      <c r="B105" s="3" t="inlineStr">
        <is>
          <t>The 28 screen rows that carry no figure are built one cell short: their core-screen answer is written into "Your name for it (72-metric file)" and their row status into "Core screen?", leaving Row status empty. Two hard-coded pad counts in the builder (17 and 20) against 26 columns.</t>
        </is>
      </c>
    </row>
    <row r="106" ht="60" customHeight="1">
      <c r="A106" s="4" t="inlineStr">
        <is>
          <t>AUDIT A13</t>
        </is>
      </c>
      <c r="B106" s="3" t="inlineStr">
        <is>
          <t>Four more names are defined in two files each and silently collapsed to one row: classifyHolding (import/holdingsImport.ts and engines/classify.ts), rmdDivisor (decumulation/index.ts and engines/rmd.ts), round2 (_shared/num.ts and engines/money.ts), parseReceipt (services/economicData.ts and services/receiptScan.ts). This is S19 — duplicate calculations in the code — and it is worse than not started, because the file shows one row where there are two implementations.</t>
        </is>
      </c>
    </row>
    <row r="107" ht="60" customHeight="1">
      <c r="A107" s="4" t="inlineStr">
        <is>
          <t>AUDIT A15</t>
        </is>
      </c>
      <c r="B107" s="3" t="inlineStr">
        <is>
          <t>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t>
        </is>
      </c>
    </row>
    <row r="108" ht="60" customHeight="1">
      <c r="A108" s="4" t="inlineStr">
        <is>
          <t>AUDIT A16</t>
        </is>
      </c>
      <c r="B108" s="3" t="inlineStr">
        <is>
          <t>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t>
        </is>
      </c>
    </row>
    <row r="109" ht="30" customHeight="1">
      <c r="A109" s="4" t="inlineStr">
        <is>
          <t>AUDIT A17</t>
        </is>
      </c>
      <c r="B109" s="3" t="inlineStr">
        <is>
          <t>"Uses a built-in i of 0", on 11 functions, is the loop counter — let i = 0.</t>
        </is>
      </c>
    </row>
    <row r="110" ht="60" customHeight="1">
      <c r="A110" s="4" t="inlineStr">
        <is>
          <t>AUDIT A18</t>
        </is>
      </c>
      <c r="B110" s="3" t="inlineStr">
        <is>
          <t>"Treats a year as twelve equal months" fires on any division by 12, a month index included; "Treats a month as 30 days" fires on any multiplication by 30. Neither is read as arithmetic, so both carry false positives.</t>
        </is>
      </c>
    </row>
    <row r="111" ht="60" customHeight="1">
      <c r="A111" s="4" t="inlineStr">
        <is>
          <t>AUDIT A19</t>
        </is>
      </c>
      <c r="B111" s="3" t="inlineStr">
        <is>
          <t>A function's body is read from its own line to the start of the next EXPORTED function, so every module-private helper below it is swallowed and its assumptions are attributed upwards. classifyHolding is three lines and only delegates; this file gives it findHeaderRow's loop counter as its assumption.</t>
        </is>
      </c>
    </row>
    <row r="112" ht="60" customHeight="1">
      <c r="A112" s="4" t="inlineStr">
        <is>
          <t>AUDIT A20</t>
        </is>
      </c>
      <c r="B112" s="3" t="inlineStr">
        <is>
          <t>Comments are stripped before assumptions are read, by design. So an assumption the author stated in prose — the kind a founder would want to see — cannot appear at all, and 241 functions read "None found".</t>
        </is>
      </c>
    </row>
    <row r="113" ht="60" customHeight="1">
      <c r="A113" s="4" t="inlineStr">
        <is>
          <t>AUDIT A21</t>
        </is>
      </c>
      <c r="B113" s="3" t="inlineStr">
        <is>
          <t>functions_summary shows 0 in "Handed nothing, but reads the stored data" for all 455 functions. The store is detected only as the text useStore or getState() inside the captured body; those folders contain 18 getState() calls and exactly one row carries the phrase. A zero that reads as a finding is a detection gap.</t>
        </is>
      </c>
    </row>
    <row r="114" ht="60" customHeight="1">
      <c r="A114" s="4" t="inlineStr">
        <is>
          <t>AUDIT A24</t>
        </is>
      </c>
      <c r="B114" s="3" t="inlineStr">
        <is>
          <t>All 48 input rows are stamped VERIFIED 2026-08-22. The reconciliation tab, built from the code three days later, says 9 of them are named by no function at all and 29 more only partly agree. 10 of 48 agree in both directions.</t>
        </is>
      </c>
    </row>
    <row r="115" ht="60" customHeight="1">
      <c r="A115" s="4" t="inlineStr">
        <is>
          <t>AUDIT A25</t>
        </is>
      </c>
      <c r="B115" s="3" t="inlineStr">
        <is>
          <t>MK-XS-I-010 names two functions and carries no function identifier, and one of the two — "the institution-words table" — is prose, not an identifier. MK-XS-I-002, -008, -009 and -017 each name two functions and carry one identifier. The identifier standard's rule 4 says neither side is allowed to be silent.</t>
        </is>
      </c>
    </row>
    <row r="116" ht="60" customHeight="1">
      <c r="A116" s="4" t="inlineStr">
        <is>
          <t>AUDIT A41</t>
        </is>
      </c>
      <c r="B116" s="3" t="inlineStr">
        <is>
          <t>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t>
        </is>
      </c>
    </row>
    <row r="117" ht="15" customHeight="1">
      <c r="A117" s="4" t="inlineStr"/>
      <c r="B117" s="3" t="inlineStr"/>
    </row>
    <row r="118" ht="60" customHeight="1">
      <c r="A118" s="4" t="inlineStr">
        <is>
          <t>PUBLISHED SOURCES — where every statutory figure in the code comes from</t>
        </is>
      </c>
      <c r="B118" s="3" t="inlineStr">
        <is>
          <t>One row per figure: the publication, the year it applies to, when it was last checked against that publication, and where it sits in the code. The guard fails when a figure is missing here, or when its year has rolled past without a re-check.</t>
        </is>
      </c>
    </row>
    <row r="119" ht="60" customHeight="1">
      <c r="A119" s="4" t="inlineStr">
        <is>
          <t>PUBLISHED SOURCE — TAX_BRACKETS</t>
        </is>
      </c>
      <c r="B119" s="3" t="inlineStr">
        <is>
          <t>Federal income-tax bands, single filer · IRS Rev. Proc. 2025-32 §4.01 · valid through 2026 · checked 2026-09-01 · src/domain/income/tax.ts · statutory_constants.test.ts types the published figures in by hand and compares</t>
        </is>
      </c>
    </row>
    <row r="120" ht="60" customHeight="1">
      <c r="A120" s="4" t="inlineStr">
        <is>
          <t>PUBLISHED SOURCE — TAX_TABLES</t>
        </is>
      </c>
      <c r="B120" s="3" t="inlineStr">
        <is>
          <t>Federal bands, standard deduction and 65+ add-on per filing status · IRS Rev. Proc. 2025-32 §§2.15, 4.01 · valid through 2026 · checked 2026-09-01 · src/domain/income/tax.ts · married filing separately derived as half the joint figures (IRC §1)</t>
        </is>
      </c>
    </row>
    <row r="121" ht="45" customHeight="1">
      <c r="A121" s="4" t="inlineStr">
        <is>
          <t>PUBLISHED SOURCE — STANDARD_DEDUCTION</t>
        </is>
      </c>
      <c r="B121" s="3" t="inlineStr">
        <is>
          <t xml:space="preserve">Standard deduction, single · IRS Rev. Proc. 2025-32 §2.15 · valid through 2026 · checked 2026-09-01 · src/domain/income/tax.ts · </t>
        </is>
      </c>
    </row>
    <row r="122" ht="60" customHeight="1">
      <c r="A122" s="4" t="inlineStr">
        <is>
          <t>PUBLISHED SOURCE — SENIOR_DEDUCTION</t>
        </is>
      </c>
      <c r="B122" s="3" t="inlineStr">
        <is>
          <t>$6,000 per person 65+, phased out 6% above $75,000 / $150,000 · P.L. 119-21 §70103 (IRC §151(d)(5)) · valid through 2028 · checked 2026-09-08 · src/domain/income/tax.ts · lapses after tax year 2028</t>
        </is>
      </c>
    </row>
    <row r="123" ht="60" customHeight="1">
      <c r="A123" s="4" t="inlineStr">
        <is>
          <t>PUBLISHED SOURCE — TAX_YEAR</t>
        </is>
      </c>
      <c r="B123" s="3" t="inlineStr">
        <is>
          <t>The tax year the tables above apply to · IRS Rev. Proc. 2025-32 · valid through 2026 · checked 2026-09-01 · src/domain/income/tax.ts · when the calendar year passes this, the tables are stale until re-checked</t>
        </is>
      </c>
    </row>
    <row r="124" ht="60" customHeight="1">
      <c r="A124" s="4" t="inlineStr">
        <is>
          <t>PUBLISHED SOURCE — IRS_LIMITS</t>
        </is>
      </c>
      <c r="B124" s="3" t="inlineStr">
        <is>
          <t>401(k), IRA and catch-up contribution limits, including the 60–63 super catch-up · IRS Notice 2025-67 (2026 cost-of-living adjustments); SECURE 2.0 Act §109 · valid through 2026 · checked 2026-09-01 · src/domain/income/limits.ts · the notice number is as the founder should confirm against the IRS release</t>
        </is>
      </c>
    </row>
    <row r="125" ht="60" customHeight="1">
      <c r="A125" s="4" t="inlineStr">
        <is>
          <t>PUBLISHED SOURCE — annualHsaLimit</t>
        </is>
      </c>
      <c r="B125" s="3" t="inlineStr">
        <is>
          <t>HSA limits and the Medicare rule (no contribution once enrolled) · IRS Rev. Proc. 2025-19 (2026 HSA limits); IRC §223(b)(7) · valid through 2026 · checked 2026-09-08 · src/domain/income/limits.ts · the procedure number is as the founder should confirm</t>
        </is>
      </c>
    </row>
    <row r="126" ht="60" customHeight="1">
      <c r="A126" s="4" t="inlineStr">
        <is>
          <t>PUBLISHED SOURCE — fullRetirementAge</t>
        </is>
      </c>
      <c r="B126" s="3" t="inlineStr">
        <is>
          <t>Social Security full retirement age by birth year · Social Security Act §216(l); SSA retirement-age table · valid through 2099 · checked 2026-09-12 · src/domain/retirement/ssTiming.ts · permanent schedule; the 1938–1954 rows added 2026-09-12 (A39)</t>
        </is>
      </c>
    </row>
    <row r="127" ht="60" customHeight="1">
      <c r="A127" s="4" t="inlineStr">
        <is>
          <t>PUBLISHED SOURCE — ssClaimFactorFor</t>
        </is>
      </c>
      <c r="B127" s="3" t="inlineStr">
        <is>
          <t>Early-claim reduction (5/9 of 1% a month for 36 months, then 5/12) and delayed credits (2/3 of 1% a month) · Social Security Act §202(q), §202(w) · valid through 2099 · checked 2026-09-12 · src/domain/retirement/ssTiming.ts · months count from 2026-09-12 (A38)</t>
        </is>
      </c>
    </row>
    <row r="128" ht="60" customHeight="1">
      <c r="A128" s="4" t="inlineStr">
        <is>
          <t>PUBLISHED SOURCE — UNIFORM_LIFETIME</t>
        </is>
      </c>
      <c r="B128" s="3" t="inlineStr">
        <is>
          <t>Required-withdrawal divisors, ages 72 to 120+ · Treas. Reg. §1.401(a)(9)-9 (IRS Publication 590-B, Table III, post-2022) · valid through 2099 · checked 2026-09-01 · Calculation Module code/engines/rmd.ts · typed in whole — no interpolation (A35)</t>
        </is>
      </c>
    </row>
    <row r="129" ht="60" customHeight="1">
      <c r="A129" s="4" t="inlineStr">
        <is>
          <t>PUBLISHED SOURCE — rmdStartAge</t>
        </is>
      </c>
      <c r="B129" s="3" t="inlineStr">
        <is>
          <t>Required-withdrawal start age by birth year (70½ / 72 / 73 / 75) · SECURE Act 2019 §114; SECURE 2.0 Act 2022 §107 · valid through 2099 · checked 2026-09-12 · Calculation Module code/engines/rmd.ts · the whole schedule from 2026-09-12 (A36)</t>
        </is>
      </c>
    </row>
    <row r="130" ht="60" customHeight="1">
      <c r="A130" s="4" t="inlineStr">
        <is>
          <t>PUBLISHED SOURCE — INFLATION_DEFAULT</t>
        </is>
      </c>
      <c r="B130" s="3" t="inlineStr">
        <is>
          <t>Default inflation, the 30-year average of consumer prices · Bureau of Labor Statistics, CPI-U, 1996–2025 · valid through 2026 · checked 2026-09-08 · src/domain/retirement/inflation.ts · re-check when the BLS publishes the next full year</t>
        </is>
      </c>
    </row>
    <row r="131" ht="60" customHeight="1">
      <c r="A131" s="4" t="inlineStr">
        <is>
          <t>PUBLISHED SOURCE — ageAttainedInYear</t>
        </is>
      </c>
      <c r="B131" s="3" t="inlineStr">
        <is>
          <t>The age a contribution limit tests — attained at any time in the calendar year · IRC §414(v)(1) (401(k) catch-up), §219(b)(5)(B) (IRA), §223(b)(3) (HSA) · valid through 2099 · checked 2026-09-12 · src/domain/income/limits.ts · a rule, not a figure: this year − birth year</t>
        </is>
      </c>
    </row>
    <row r="132" ht="60" customHeight="1">
      <c r="A132" s="4" t="inlineStr">
        <is>
          <t>PUBLISHED SOURCE — SS_WAGE_BASE</t>
        </is>
      </c>
      <c r="B132" s="3" t="inlineStr">
        <is>
          <t>Social Security wage base — 6.2% is withheld up to it · Social Security Administration, 2026 contribution and benefit base (announced October 2025) · valid through 2026 · checked 2026-09-12 · MoneyKeel/functions/cashflow/base-pay.ts · used only in the caveat under the federal-only take-home (G4)</t>
        </is>
      </c>
    </row>
    <row r="133" ht="60" customHeight="1">
      <c r="A133" s="4" t="inlineStr">
        <is>
          <t>PUBLISHED SOURCE — MEDICARE_ADDITIONAL_THRESHOLD</t>
        </is>
      </c>
      <c r="B133" s="3" t="inlineStr">
        <is>
          <t>Wages above which an employer withholds 0.9% more Medicare tax · IRC §3101(b)(2); IRS Topic 560 · valid through 2099 · checked 2026-09-12 · MoneyKeel/functions/cashflow/base-pay.ts · withholding threshold, regardless of filing status</t>
        </is>
      </c>
    </row>
    <row r="134" ht="15" customHeight="1">
      <c r="A134" s="4" t="inlineStr"/>
      <c r="B134" s="3" t="inlineStr"/>
    </row>
    <row r="135" ht="60" customHeight="1">
      <c r="A135" s="4" t="inlineStr">
        <is>
          <t>BENCHMARK RETURNS — the per-class figures the projections and the odds run on</t>
        </is>
      </c>
      <c r="B135" s="3" t="inlineStr">
        <is>
          <t>One row per account kind: the return the code assumes (ASSET_KINDS.ret), where it comes from and over what period (BENCHMARK_META). A row marked ESTIMATE is a flagged guess, not a measured series. Read from the code on every build.</t>
        </is>
      </c>
    </row>
    <row r="136" ht="30" customHeight="1">
      <c r="A136" s="4" t="inlineStr">
        <is>
          <t>BENCHMARK — Checking</t>
        </is>
      </c>
      <c r="B136" s="3" t="inlineStr">
        <is>
          <t>0.5% a year · Interest checking, ~0% · current · ESTIMATE</t>
        </is>
      </c>
    </row>
    <row r="137" ht="15" customHeight="1">
      <c r="A137" s="4" t="inlineStr">
        <is>
          <t>BENCHMARK — Savings</t>
        </is>
      </c>
      <c r="B137" s="3" t="inlineStr">
        <is>
          <t>2.4% a year · 3-mo Treasury bill (cash) · 30-yr</t>
        </is>
      </c>
    </row>
    <row r="138" ht="30" customHeight="1">
      <c r="A138" s="4" t="inlineStr">
        <is>
          <t>BENCHMARK — High-yield savings</t>
        </is>
      </c>
      <c r="B138" s="3" t="inlineStr">
        <is>
          <t>4.2% a year · no benchmark named in the code · — · ESTIMATE</t>
        </is>
      </c>
    </row>
    <row r="139" ht="30" customHeight="1">
      <c r="A139" s="4" t="inlineStr">
        <is>
          <t>BENCHMARK — Money market</t>
        </is>
      </c>
      <c r="B139" s="3" t="inlineStr">
        <is>
          <t>4.5% a year · no benchmark named in the code · — · ESTIMATE</t>
        </is>
      </c>
    </row>
    <row r="140" ht="30" customHeight="1">
      <c r="A140" s="4" t="inlineStr">
        <is>
          <t>BENCHMARK — CD</t>
        </is>
      </c>
      <c r="B140" s="3" t="inlineStr">
        <is>
          <t>4.2% a year · no benchmark named in the code · — · ESTIMATE</t>
        </is>
      </c>
    </row>
    <row r="141" ht="30" customHeight="1">
      <c r="A141" s="4" t="inlineStr">
        <is>
          <t>BENCHMARK — Cash management</t>
        </is>
      </c>
      <c r="B141" s="3" t="inlineStr">
        <is>
          <t>3.5% a year · no benchmark named in the code · — · ESTIMATE</t>
        </is>
      </c>
    </row>
    <row r="142" ht="30" customHeight="1">
      <c r="A142" s="4" t="inlineStr">
        <is>
          <t>BENCHMARK — Foreign currency</t>
        </is>
      </c>
      <c r="B142" s="3" t="inlineStr">
        <is>
          <t>0.0% a year · no benchmark named in the code · — · ESTIMATE</t>
        </is>
      </c>
    </row>
    <row r="143" ht="30" customHeight="1">
      <c r="A143" s="4" t="inlineStr">
        <is>
          <t>BENCHMARK — Brokerage</t>
        </is>
      </c>
      <c r="B143" s="3" t="inlineStr">
        <is>
          <t>8.0% a year · Blended taxable portfolio · 30-yr · ESTIMATE</t>
        </is>
      </c>
    </row>
    <row r="144" ht="15" customHeight="1">
      <c r="A144" s="4" t="inlineStr">
        <is>
          <t>BENCHMARK — Stocks / Funds</t>
        </is>
      </c>
      <c r="B144" s="3" t="inlineStr">
        <is>
          <t>10.4% a year · S&amp;P 500 total return · 30-yr</t>
        </is>
      </c>
    </row>
    <row r="145" ht="15" customHeight="1">
      <c r="A145" s="4" t="inlineStr">
        <is>
          <t>BENCHMARK — Fixed income</t>
        </is>
      </c>
      <c r="B145" s="3" t="inlineStr">
        <is>
          <t>4.2% a year · US Aggregate Bond index · 30-yr</t>
        </is>
      </c>
    </row>
    <row r="146" ht="30" customHeight="1">
      <c r="A146" s="4" t="inlineStr">
        <is>
          <t>BENCHMARK — Crypto</t>
        </is>
      </c>
      <c r="B146" s="3" t="inlineStr">
        <is>
          <t>8.0% a year · No long-run benchmark — set your own · — · ESTIMATE</t>
        </is>
      </c>
    </row>
    <row r="147" ht="30" customHeight="1">
      <c r="A147" s="4" t="inlineStr">
        <is>
          <t>BENCHMARK — Private equity</t>
        </is>
      </c>
      <c r="B147" s="3" t="inlineStr">
        <is>
          <t>13.0% a year · Cambridge Associates US PE · ~25-yr · ESTIMATE</t>
        </is>
      </c>
    </row>
    <row r="148" ht="30" customHeight="1">
      <c r="A148" s="4" t="inlineStr">
        <is>
          <t>BENCHMARK — Hedge funds</t>
        </is>
      </c>
      <c r="B148" s="3" t="inlineStr">
        <is>
          <t>6.0% a year · HFRI Fund Weighted Composite · ~10-yr · ESTIMATE</t>
        </is>
      </c>
    </row>
    <row r="149" ht="15" customHeight="1">
      <c r="A149" s="4" t="inlineStr">
        <is>
          <t>BENCHMARK — Gold / commodities</t>
        </is>
      </c>
      <c r="B149" s="3" t="inlineStr">
        <is>
          <t>8.2% a year · Gold (SPDR GLD) · 30-yr</t>
        </is>
      </c>
    </row>
    <row r="150" ht="30" customHeight="1">
      <c r="A150" s="4" t="inlineStr">
        <is>
          <t>BENCHMARK — Options</t>
        </is>
      </c>
      <c r="B150" s="3" t="inlineStr">
        <is>
          <t>5.0% a year · no benchmark named in the code · — · ESTIMATE</t>
        </is>
      </c>
    </row>
    <row r="151" ht="30" customHeight="1">
      <c r="A151" s="4" t="inlineStr">
        <is>
          <t>BENCHMARK — Annuities</t>
        </is>
      </c>
      <c r="B151" s="3" t="inlineStr">
        <is>
          <t>4.5% a year · Typical fixed-annuity rate · current · ESTIMATE</t>
        </is>
      </c>
    </row>
    <row r="152" ht="30" customHeight="1">
      <c r="A152" s="4" t="inlineStr">
        <is>
          <t>BENCHMARK — 529 / College</t>
        </is>
      </c>
      <c r="B152" s="3" t="inlineStr">
        <is>
          <t>7.0% a year · Age-based 529 blend · assumed · ESTIMATE</t>
        </is>
      </c>
    </row>
    <row r="153" ht="30" customHeight="1">
      <c r="A153" s="4" t="inlineStr">
        <is>
          <t>BENCHMARK — Other</t>
        </is>
      </c>
      <c r="B153" s="3" t="inlineStr">
        <is>
          <t>5.0% a year · Generic blended estimate · — · ESTIMATE</t>
        </is>
      </c>
    </row>
    <row r="154" ht="30" customHeight="1">
      <c r="A154" s="4" t="inlineStr">
        <is>
          <t>BENCHMARK — 401(k)</t>
        </is>
      </c>
      <c r="B154" s="3" t="inlineStr">
        <is>
          <t>7.9% a year · no benchmark named in the code · — · ESTIMATE</t>
        </is>
      </c>
    </row>
    <row r="155" ht="15" customHeight="1">
      <c r="A155" s="4" t="inlineStr">
        <is>
          <t>BENCHMARK — Traditional IRA</t>
        </is>
      </c>
      <c r="B155" s="3" t="inlineStr">
        <is>
          <t>7.9% a year · Assumed 60/40 mix · 30-yr · ESTIMATE</t>
        </is>
      </c>
    </row>
    <row r="156" ht="15" customHeight="1">
      <c r="A156" s="4" t="inlineStr">
        <is>
          <t>BENCHMARK — Roth IRA</t>
        </is>
      </c>
      <c r="B156" s="3" t="inlineStr">
        <is>
          <t>7.9% a year · Assumed 60/40 mix · 30-yr · ESTIMATE</t>
        </is>
      </c>
    </row>
    <row r="157" ht="30" customHeight="1">
      <c r="A157" s="4" t="inlineStr">
        <is>
          <t>BENCHMARK — HSA</t>
        </is>
      </c>
      <c r="B157" s="3" t="inlineStr">
        <is>
          <t>7.9% a year · Invested HSA, assumed 60/40 · 30-yr · ESTIMATE</t>
        </is>
      </c>
    </row>
    <row r="158" ht="30" customHeight="1">
      <c r="A158" s="4" t="inlineStr">
        <is>
          <t>BENCHMARK — Home</t>
        </is>
      </c>
      <c r="B158" s="3" t="inlineStr">
        <is>
          <t>4.5% a year · Case-Shiller US home price (nominal) · 30-yr</t>
        </is>
      </c>
    </row>
    <row r="159" ht="60" customHeight="1">
      <c r="A159" s="4" t="inlineStr">
        <is>
          <t>FOUNDER COMMENTS 2026-08-26</t>
        </is>
      </c>
      <c r="B159" s="3" t="inlineStr">
        <is>
          <t>The founder's 20 threaded comments and 7 typed answers on his 2026-08-26 copy (…calculation-master_v01-jj.xlsx) were carried into THIS file on 2026-09-08, each on the metric row and the function row it concerns: the comment in the column 'Founder comment — 2026-08-26' and the checked answer beside it; his typed answers verbatim in 'YOUR ANSWER' (networth rows MK-NW-M-030, -031, -043, -044, -045); new questions for him Q34–Q45 in 'Questions for you'; findings JJ-1 to JJ-4 (wrong numbers found from his comments) in 'Where each finding stands'. Rule: founder comments are never kept in a separate file — they are folded into the master so there is one latest version of everything.</t>
        </is>
      </c>
    </row>
    <row r="160" ht="60" customHeight="1">
      <c r="A160" s="4" t="inlineStr">
        <is>
          <t>STATUTORY TABLE 2026 — federal income tax bands</t>
        </is>
      </c>
      <c r="B160" s="3" t="inlineStr">
        <is>
          <t>Top of each band (single · married filing jointly · married filing separately · head of household), marginal rate in that band:
10%: $12,400 · $24,800 · $12,400 · $17,700
12%: $50,400 · $100,800 · $50,400 · $67,450
22%: $105,700 · $211,400 · $105,700 · $105,700
24%: $201,775 · $403,550 · $201,775 · $201,775
32%: $256,225 · $512,450 · $256,225 · $256,225
35%: $640,600 · $768,700 · $384,350 · $640,600
37%: above the 35% top.
Source: IRS Rev. Proc. 2025-32 §4.01 (tax year 2026); married filing separately = half the joint figures by statute (IRC §1). Checked 2026-09-08 (second verification G23); in code as TAX_TABLES; typed into statutory_constants.test.ts by hand. Re-check when the year rolls.</t>
        </is>
      </c>
    </row>
    <row r="161" ht="60" customHeight="1">
      <c r="A161" s="4" t="inlineStr">
        <is>
          <t>STATUTORY TABLE 2026 — standard deduction and age-65 add-on</t>
        </is>
      </c>
      <c r="B161" s="3" t="inlineStr">
        <is>
          <t>Standard deduction: $16,100 single · $32,200 married filing jointly · $16,100 married filing separately · $24,150 head of household. Add-on per person 65 or older: $2,050 single / head of household · $1,650 married (each). Source: IRS Rev. Proc. 2025-32 §3.18. In code as TAX_TABLES.deduction / over65Add (MK-CF-F-099).</t>
        </is>
      </c>
    </row>
    <row r="162" ht="60" customHeight="1">
      <c r="A162" s="4" t="inlineStr">
        <is>
          <t>STATUTORY TABLE 2025–2028 — senior deduction</t>
        </is>
      </c>
      <c r="B162" s="3" t="inlineStr">
        <is>
          <t>$6,000 per qualifying individual aged 65 or older, on top of the standard deduction and the add-on; reduced by 6% of modified adjusted gross income above $75,000 ($150,000 on a joint return); married persons must file jointly to claim it. Tax years 2025 through 2028 — lapses after. Source: One Big Beautiful Bill Act, P.L. 119-21 §70103 (IRC §151(d)(5)). Added 2026-09-08 on the founder's ruling (second verification G3) — MK-CF-F-187.</t>
        </is>
      </c>
    </row>
    <row r="163" ht="60" customHeight="1">
      <c r="A163" s="4" t="inlineStr">
        <is>
          <t>STATUTORY TABLE 2026 — long-term capital gains bands</t>
        </is>
      </c>
      <c r="B163" s="3" t="inlineStr">
        <is>
          <t>Taxable income up to which the rate is 0%, then 15% up to, then 20% above: single $49,450 / $545,500 · married filing jointly $98,900 / $613,700 · married filing separately $49,450 / $306,850 · head of household $66,200 / $579,600. Source: IRS Rev. Proc. 2025-32 §3.03. In code as LTCG (MK-CF-F-104).</t>
        </is>
      </c>
    </row>
    <row r="164" ht="60" customHeight="1">
      <c r="A164" s="4" t="inlineStr">
        <is>
          <t>SECOND VERIFICATION — WHERE EACH RULING STANDS (2026-09-08)</t>
        </is>
      </c>
      <c r="B164" s="3" t="inlineStr">
        <is>
          <t>Founder rulings of 2026-09-08 on the assessment (…assessment_second-verification_v01-jj.xlsx), executed file-and-code, one at a time:
G3 senior deduction — DONE (MK-CF-F-187 new, MK-CF-F-099/100; statutory test; MK-MN-M-027/028). File and code are both updated and they match 100%.
G6 draw-order rates — DONE (MK-PL-F-010 takes the person's own rates; MK-PL-F-081 new gain share; no-data state; rates printed on the sheet).
G8 required-withdrawal basis — DONE (MK-PL-F-080 new; MK-XS-I-061 new input; the screen's message in the founder's words; Plan hub uses the same producer).
G10 HSA and Medicare — DONE (MK-CF-F-055; MK-XS-I-062 new input; the card asks the question at 65+ because no other page captured it).
G13 paycheck guaranteed line — DONE, and it was code too: the future-paycheck card summed the six-source function beside its own savings draw (a double count); now MK-CF-F-076 (four outside sources).
G14 future paycheck row — DONE (file: the three real producers and the draw rule; the screen was right).
G16 legacy-target words — DONE (file: MK-PL-M-008 words now match MK-PL-F-067 and brief Q-41 (2026-08-20)).
G17 simulations — DONE (1,000 everywhere; guard test simulation_paths.test.ts).
G18 period return — DONE (file: value-weighted formula; header rounding line).
G19 debt payment rule — DONE (file: the one rule in both columns).
G20 yield to maturity — DONE (file: the approximation in both columns; 'value' answered).
G21 essentials — DONE on Q47 (MK-CF-F-189 logged average over the months logged, MK-CF-F-190 the one figure with the typed fallback; Net worth cushion, Job safety, Stress test, Insights runway all divide by it and print 'N month average'). One assumption for the founder: the unfinished current month is left out.
G22 organizer taxable income — DONE on Q46 (MK-PL-F-082 four steps, MK-CF-F-188 household 401(k); screen + export show gross income · 401(k) contribution · standard deduction · taxable income). JJ-5 opened: the income grid may take off only the first earner's 401(k) — to verify.
G23 bracket functions — DONE (headers and rows written by hand; the four statutory tables above; the extractor's loop gap still open as a generator fix).
Found while running the gate: TZ-1 — the look-back window (MK-PF-F-022) built its cutoff date through UTC and answered 'nothing' on any device east of Greenwich; fixed to a local calendar date. One screen test pinned a US-local date label; made timezone-independent.
— second batch, ruled 2026-09-08 (18:57) —
G25 statement-amount inputs — DONE (MK-PL-M-017/019 cite MK-XS-I-020 and I-021).
G26 dependency column — DONE (generated from the function registry; guard on retired identifiers).
G27 figures that name a function — DONE (from the screen tabs' Function ID column).
G28 inputs' reach + reconciliation — MECHANISM DONE, FILE NOT RECONCILED (corrected 2026-09-09 after the founder's challenge): the tab now compares by identifier on all 62 inputs, and it shows 59 of 62 disagree. Calling that 'done' was wrong — the check was rebuilt, the agreement was not reached. What closes it: each figure's own input list (column J) still comes from the old inventory; the new column 'Inputs the code reads (from the chain, this build)' beside it shows the code's record, so the 59 can be ruled row by row.
G29 Specification counts + MK-NW-M-006 — DONE (counts read off the file; the section total has its formula).
G30 inflation default — DONE (MK-PL-F-083; 2.5% a year, BLS CPI-U 1996–2025, dated; the feed no longer feeds a calculation).
G32 invented zero — EXPLAINED, waiting on Q48 (on MK-XS-M-001).
G33 units derived by rule — DONE as ruled (S04/S06/S07 say PARTIAL; reading units from the function is open work).
G34 canon words — DONE (master words, three screen labels, build guard).
G35 four mis-rendered functions — DONE (written by hand; caps declared).
G37 floats vs decimals — EXPLAINED, waiting on Q49 (on MK-XS-M-001).
C2 odds row words — DONE. C4 round2 — DONE (two decimals; reclassified).
MECHANISM (so this survives every build): hand-read cells live in moneykeel_overrides.json; hand-read formulas and assumptions in moneykeel_code_formula.py; his own columns are read back by moneykeel_keep.py; the build regenerates everything else from the code.</t>
        </is>
      </c>
    </row>
    <row r="165" ht="60" customHeight="1">
      <c r="A165" s="4" t="inlineStr">
        <is>
          <t>FOUNDER FILES FOLDED IN (2026-09-10)</t>
        </is>
      </c>
      <c r="B165" s="3" t="inlineStr">
        <is>
          <t>Three of his files from August were read again and written into the file on 2026-09-10, then moved to JJ-feedback-archive: (1) Calculations-jj.xlsx (2026-08-26) — his per-asset-class capture lists, now the capture-list tab, every item mapped to an input, a function, or NOT CAPTURED with the question that decides it; (2) cashflow-thismonth+expenses-screen-jj.xlsx (2026-08-27) — his worked example, now on MK-CF-M-002/004/015/019 with one question back (master Q50); (3) NW-sankey-diagram-jj.jpeg (2026-08-26) — his net-worth flow picture, recorded on the rulings tab ('Net-worth flow diagram'): the category split and the math line are built, a per-figure provenance badge and the foreign-currency conversion are not (Q43). Also jj/onboarding screens-build53.xlsx — 3 of 4 headline phrases in the code; the remaining notes to confirm line by line. Completed 2026-09-12: all twelve notes checked against the code and the file archived; two questions for you stand on the rulings tab, row "Onboarding notes, build 53".</t>
        </is>
      </c>
    </row>
    <row r="166" ht="60" customHeight="1">
      <c r="A166" s="4" t="inlineStr">
        <is>
          <t>JJ FEEDBACK — where his files live</t>
        </is>
      </c>
      <c r="B166" s="3" t="inlineStr">
        <is>
          <t>His feedback files carry -jj (or sit in a jj/ folder) and are never written by a script. Once every comment in one has been read and written into the original file, the feedback file moves to that folder's JJ-feedback-archive/ with a date prefix — so he always starts from the latest original, and the original and his feedback copy stay consistent (founder, 2026-09-10).</t>
        </is>
      </c>
    </row>
  </sheetData>
  <autoFilter ref="A1:B1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 t="inlineStr">
        <is>
          <t>No.</t>
        </is>
      </c>
      <c r="B1" s="1" t="inlineStr">
        <is>
          <t>What is needed</t>
        </is>
      </c>
      <c r="C1" s="1" t="inlineStr">
        <is>
          <t>Why it is needed</t>
        </is>
      </c>
      <c r="D1" s="1" t="inlineStr">
        <is>
          <t>Where it stands in this file today</t>
        </is>
      </c>
    </row>
    <row r="2" ht="15" customHeight="1">
      <c r="A2" s="3" t="inlineStr"/>
      <c r="B2" s="5" t="inlineStr">
        <is>
          <t>SECTION — WHAT THE NUMBER IS</t>
        </is>
      </c>
      <c r="C2" s="3" t="inlineStr"/>
      <c r="D2" s="3" t="inlineStr"/>
    </row>
    <row r="3" ht="45" customHeight="1">
      <c r="A3" s="3" t="inlineStr">
        <is>
          <t>S01</t>
        </is>
      </c>
      <c r="B3" s="3" t="inlineStr">
        <is>
          <t>The formula</t>
        </is>
      </c>
      <c r="C3" s="3" t="inlineStr">
        <is>
          <t>The actual rules, both as arithmetic and in plain English, followable by hand.</t>
        </is>
      </c>
      <c r="D3" s="3" t="inlineStr">
        <is>
          <t>COMPLETE — 217 of 217 active figures carry both forms.</t>
        </is>
      </c>
    </row>
    <row r="4" ht="60" customHeight="1">
      <c r="A4" s="3" t="inlineStr">
        <is>
          <t>S02</t>
        </is>
      </c>
      <c r="B4" s="3" t="inlineStr">
        <is>
          <t>The inputs, one by one</t>
        </is>
      </c>
      <c r="C4" s="3" t="inlineStr">
        <is>
          <t>Every input named, with its INPUT IDENTIFIER beside it, where it comes from, and what reads it.</t>
        </is>
      </c>
      <c r="D4" s="3" t="inlineStr">
        <is>
          <t>PARTIAL — the inputs tab was rebuilt against the CODE on 2026-08-26: 60 rows (12 of them raw values nobody had captured before), each naming the field the code stores it under and every function that touches it. 50 of 60 name at least one function; 2 name none at all; 43 reach a figure. The function columns are gone. Still partial on the figures side, which waits on S21.</t>
        </is>
      </c>
    </row>
    <row r="5" ht="60" customHeight="1">
      <c r="A5" s="3" t="inlineStr">
        <is>
          <t>S03</t>
        </is>
      </c>
      <c r="B5" s="3" t="inlineStr">
        <is>
          <t>The decisions and assumptions applied</t>
        </is>
      </c>
      <c r="C5" s="3" t="inlineStr">
        <is>
          <t>Each marked with whose decision it was: the founder's, the person's, or built in.</t>
        </is>
      </c>
      <c r="D5" s="3" t="inlineStr">
        <is>
          <t>PARTIAL — every row carries a cell; 37 name a real decision, 126 read NOT DETERMINED.</t>
        </is>
      </c>
    </row>
    <row r="6" ht="60" customHeight="1">
      <c r="A6" s="3" t="inlineStr">
        <is>
          <t>S04</t>
        </is>
      </c>
      <c r="B6" s="3" t="inlineStr">
        <is>
          <t>What comes out</t>
        </is>
      </c>
      <c r="C6" s="3" t="inlineStr">
        <is>
          <t>Dollars, a percentage, a date, a count; its unit and its rounding.</t>
        </is>
      </c>
      <c r="D6" s="3" t="inlineStr">
        <is>
          <t>PARTIAL — the unit is derived by rule from the label and formula on every figure and marked as derived; it is NOT read from the function that produces it (G33, 2026-09-08). Read as a hint, not a fact.</t>
        </is>
      </c>
    </row>
    <row r="7" ht="60" customHeight="1">
      <c r="A7" s="3" t="inlineStr">
        <is>
          <t>S05</t>
        </is>
      </c>
      <c r="B7" s="3" t="inlineStr">
        <is>
          <t>What it says when it cannot be computed</t>
        </is>
      </c>
      <c r="C7" s="3" t="inlineStr">
        <is>
          <t>The exact refusal — where wrong numbers get invented.</t>
        </is>
      </c>
      <c r="D7" s="3" t="inlineStr">
        <is>
          <t>PARTIAL — 126 of 163 written; 37 read NOT DETERMINED because that function has not been read for its refusal yet.</t>
        </is>
      </c>
    </row>
    <row r="8" ht="60" customHeight="1">
      <c r="A8" s="3" t="inlineStr">
        <is>
          <t>S06</t>
        </is>
      </c>
      <c r="B8" s="3" t="inlineStr">
        <is>
          <t>The grain</t>
        </is>
      </c>
      <c r="C8" s="3" t="inlineStr">
        <is>
          <t>One figure per holding, account, debt, goal, category, month or person.</t>
        </is>
      </c>
      <c r="D8" s="3" t="inlineStr">
        <is>
          <t>PARTIAL — derived by rule on every figure and marked as derived; not read from the function (G33).</t>
        </is>
      </c>
    </row>
    <row r="9" ht="60" customHeight="1">
      <c r="A9" s="3" t="inlineStr">
        <is>
          <t>S07</t>
        </is>
      </c>
      <c r="B9" s="3" t="inlineStr">
        <is>
          <t>The period</t>
        </is>
      </c>
      <c r="C9" s="3" t="inlineStr">
        <is>
          <t>As of when, and over what window.</t>
        </is>
      </c>
      <c r="D9" s="3" t="inlineStr">
        <is>
          <t>PARTIAL — derived by rule on every figure and marked as derived; not read from the function (G33).</t>
        </is>
      </c>
    </row>
    <row r="10" ht="15" customHeight="1">
      <c r="A10" s="3" t="inlineStr"/>
      <c r="B10" s="5" t="inlineStr">
        <is>
          <t>SECTION — WHAT PROVES IT</t>
        </is>
      </c>
      <c r="C10" s="3" t="inlineStr"/>
      <c r="D10" s="3" t="inlineStr"/>
    </row>
    <row r="11" ht="60" customHeight="1">
      <c r="A11" s="3" t="inlineStr">
        <is>
          <t>S08</t>
        </is>
      </c>
      <c r="B11" s="3" t="inlineStr">
        <is>
          <t>Worked examples</t>
        </is>
      </c>
      <c r="C11" s="3" t="inlineStr">
        <is>
          <t>These inputs give this answer. Rung 2 re-runs them through the real function on every build.</t>
        </is>
      </c>
      <c r="D11" s="3" t="inlineStr">
        <is>
          <t>NOT STARTED — waits on the founder's answers to the numbered questions, since an example needs the rule settled first.</t>
        </is>
      </c>
    </row>
    <row r="12" ht="60" customHeight="1">
      <c r="A12" s="3" t="inlineStr">
        <is>
          <t>S09</t>
        </is>
      </c>
      <c r="B12" s="3" t="inlineStr">
        <is>
          <t>An example for every case</t>
        </is>
      </c>
      <c r="C12" s="3" t="inlineStr">
        <is>
          <t>One per case the grid names: missing, degraded, per institution, time-bounded, related events, account type. Rung 3.</t>
        </is>
      </c>
      <c r="D12" s="3" t="inlineStr">
        <is>
          <t>NOT STARTED — the biggest single piece of work, and it belongs in the per-family detail files rather than here.</t>
        </is>
      </c>
    </row>
    <row r="13" ht="60" customHeight="1">
      <c r="A13" s="3" t="inlineStr">
        <is>
          <t>S10</t>
        </is>
      </c>
      <c r="B13" s="3" t="inlineStr">
        <is>
          <t>Verification level</t>
        </is>
      </c>
      <c r="C13" s="3" t="inlineStr">
        <is>
          <t>Which functions are marked for rung 4 and rung 5. Marked by the founder, recommended by me.</t>
        </is>
      </c>
      <c r="D13" s="3" t="inlineStr">
        <is>
          <t>NOT STARTED — the column does not exist yet.</t>
        </is>
      </c>
    </row>
    <row r="14" ht="15" customHeight="1">
      <c r="A14" s="3" t="inlineStr"/>
      <c r="B14" s="5" t="inlineStr">
        <is>
          <t>SECTION — WHAT CONNECTS IT</t>
        </is>
      </c>
      <c r="C14" s="3" t="inlineStr"/>
      <c r="D14" s="3" t="inlineStr"/>
    </row>
    <row r="15" ht="60" customHeight="1">
      <c r="A15" s="3" t="inlineStr">
        <is>
          <t>S11</t>
        </is>
      </c>
      <c r="B15" s="3" t="inlineStr">
        <is>
          <t>Which functions a figure depends on</t>
        </is>
      </c>
      <c r="C15" s="3" t="inlineStr">
        <is>
          <t>Each dependency named by ITS function identifier and by the output it gives, so a chain can be followed without knowing any function by name. Every figure also carries the whole chain and every assumption made anywhere in it.</t>
        </is>
      </c>
      <c r="D15" s="3" t="inlineStr">
        <is>
          <t>COMPLETE — read from the code itself, not from any document.</t>
        </is>
      </c>
    </row>
    <row r="16" ht="60" customHeight="1">
      <c r="A16" s="3" t="inlineStr">
        <is>
          <t>S12</t>
        </is>
      </c>
      <c r="B16" s="3" t="inlineStr">
        <is>
          <t>Where it is implemented</t>
        </is>
      </c>
      <c r="C16" s="3" t="inlineStr">
        <is>
          <t>The file and line that carry it, so file and code can be checked against each other on every build.</t>
        </is>
      </c>
      <c r="D16" s="3" t="inlineStr">
        <is>
          <t>COMPLETE for functions — file and line for all 692, read from the code on this build. PARTIAL for figures: 31 of 217 active figures name no function.</t>
        </is>
      </c>
    </row>
    <row r="17" ht="15" customHeight="1">
      <c r="A17" s="3" t="inlineStr"/>
      <c r="B17" s="5" t="inlineStr">
        <is>
          <t>SECTION — GOVERNANCE</t>
        </is>
      </c>
      <c r="C17" s="3" t="inlineStr"/>
      <c r="D17" s="3" t="inlineStr"/>
    </row>
    <row r="18" ht="60" customHeight="1">
      <c r="A18" s="3" t="inlineStr">
        <is>
          <t>S13</t>
        </is>
      </c>
      <c r="B18" s="3" t="inlineStr">
        <is>
          <t>The founder's verdict</t>
        </is>
      </c>
      <c r="C18" s="3" t="inlineStr">
        <is>
          <t>A row counts as documented only when he has approved it.</t>
        </is>
      </c>
      <c r="D18" s="3" t="inlineStr">
        <is>
          <t>BUILT 2026-09-09 as the rulings tab (from moneykeel_rulings.json): 167 rulings — CODED 10 · RULED 44 · TESTED 113. VERIFIED is his stage alone; the approval columns on the screen tabs (YOUR ANSWER, Inputs — approved list) are where a row gets his verdict.</t>
        </is>
      </c>
    </row>
    <row r="19" ht="30" customHeight="1">
      <c r="A19" s="3" t="inlineStr">
        <is>
          <t>S14</t>
        </is>
      </c>
      <c r="B19" s="3" t="inlineStr">
        <is>
          <t>Lifecycle</t>
        </is>
      </c>
      <c r="C19" s="3" t="inlineStr">
        <is>
          <t>Live, cut, or superseded by another identifier.</t>
        </is>
      </c>
      <c r="D19" s="3" t="inlineStr">
        <is>
          <t>NOT STARTED.</t>
        </is>
      </c>
    </row>
    <row r="20" ht="30" customHeight="1">
      <c r="A20" s="3" t="inlineStr"/>
      <c r="B20" s="5" t="inlineStr">
        <is>
          <t>SECTION — NOT ON THE ORIGINAL LIST, STILL NEEDED</t>
        </is>
      </c>
      <c r="C20" s="3" t="inlineStr"/>
      <c r="D20" s="3" t="inlineStr"/>
    </row>
    <row r="21" ht="45" customHeight="1">
      <c r="A21" s="3" t="inlineStr">
        <is>
          <t>S15</t>
        </is>
      </c>
      <c r="B21" s="3" t="inlineStr">
        <is>
          <t>Your name for it, from the 72-metric file</t>
        </is>
      </c>
      <c r="C21" s="3" t="inlineStr">
        <is>
          <t>The bridge between the founder's vocabulary and the code's.</t>
        </is>
      </c>
      <c r="D21" s="3" t="inlineStr">
        <is>
          <t>NOT STARTED — 0 of 163 rows.</t>
        </is>
      </c>
    </row>
    <row r="22" ht="60" customHeight="1">
      <c r="A22" s="3" t="inlineStr">
        <is>
          <t>S18</t>
        </is>
      </c>
      <c r="B22" s="3" t="inlineStr">
        <is>
          <t>The reconciliation function</t>
        </is>
      </c>
      <c r="C22" s="3" t="inlineStr">
        <is>
          <t>Both records kept independently and checked against each other as a build gate — an input an function names that is on no row, an input declared that no function names, an function identifier that does not exist, an function no metric reaches. Founder, 2026-08-25: never generate one list from the other; agreement by construction hides the orphan.</t>
        </is>
      </c>
      <c r="D22" s="3" t="inlineStr">
        <is>
          <t>COMPLETE — moneykeel_reconcile.py runs at the end of every build and STOPS it on a structural break: a duplicate identifier, a reference to an function or input that does not exist, a fold pointing nowhere, a question number used twice. Findings that are real but unresolved — orphan and dead inputs — are counted every build rather than failing it, and must reach zero before the module is called done. Today: 0 breaks, 9 open findings.</t>
        </is>
      </c>
    </row>
    <row r="23" ht="60" customHeight="1">
      <c r="A23" s="3" t="inlineStr">
        <is>
          <t>S19</t>
        </is>
      </c>
      <c r="B23" s="3" t="inlineStr">
        <is>
          <t>Duplicate calculations in the CODE</t>
        </is>
      </c>
      <c r="C23" s="3" t="inlineStr">
        <is>
          <t>S16 compared the figures on screens, so it could only see functions a figure names. Two functions in different files computing the same thing, named by no figure, are invisible to it — alternativesSummary and alternativesTotal both total the same holdings. A second pass is needed over the 455 functions themselves.</t>
        </is>
      </c>
      <c r="D23" s="3" t="inlineStr">
        <is>
          <t>NOT STARTED.</t>
        </is>
      </c>
    </row>
    <row r="24" ht="60" customHeight="1">
      <c r="A24" s="3" t="inlineStr">
        <is>
          <t>S20</t>
        </is>
      </c>
      <c r="B24" s="3" t="inlineStr">
        <is>
          <t>Figures with no function on record</t>
        </is>
      </c>
      <c r="C24" s="3" t="inlineStr">
        <is>
          <t>Sixty-nine of the 163 figures name no function in the code. Most were names I assigned while reading a screen, which never had a function behind them. Until each is pointed at a real function, that figure cannot be traced, tested or trusted.</t>
        </is>
      </c>
      <c r="D24" s="3" t="inlineStr">
        <is>
          <t>OPEN — 31 of 217 active figures name no function; counted per screen on the functions_per_metric tab.</t>
        </is>
      </c>
    </row>
    <row r="25" ht="60" customHeight="1">
      <c r="A25" s="3" t="inlineStr">
        <is>
          <t>S21</t>
        </is>
      </c>
      <c r="B25" s="3" t="inlineStr">
        <is>
          <t>The identifier inside the code</t>
        </is>
      </c>
      <c r="C25" s="3" t="inlineStr">
        <is>
          <t>Every link between this file and the code still travels through a column somebody typed in the old inventory. The identifier standard says it belongs in a header inside each code file; until it does, a real function can look undocumented and a stale line can look correct.</t>
        </is>
      </c>
      <c r="D25" s="3" t="inlineStr">
        <is>
          <t>PARTIAL — every function carries its identifier in a header inside its own file, written by the build (write-headers.py) and checked by its guard. The link from a FIGURE to its function still travels through the inventory map (moneykeel_fn_map.json), not through the screen code.</t>
        </is>
      </c>
    </row>
    <row r="26" ht="60" customHeight="1">
      <c r="A26" s="3" t="inlineStr">
        <is>
          <t>S16</t>
        </is>
      </c>
      <c r="B26" s="3" t="inlineStr">
        <is>
          <t>The duplication pass</t>
        </is>
      </c>
      <c r="C26" s="3" t="inlineStr">
        <is>
          <t>Figures that are the same thing under two identifiers.</t>
        </is>
      </c>
      <c r="D26" s="3" t="inlineStr">
        <is>
          <t>COMPLETE — every group judged one at a time. 11 figures were being shown under 24 identifiers; the 13 folded rows now name the identifier that survives and why. 18 groups were checked and are NOT duplicates — one function legitimately producing several figures — and say so, so the question is not asked twice. Two mis-assigned functions were found and recorded as findings.</t>
        </is>
      </c>
    </row>
    <row r="27" ht="60" customHeight="1">
      <c r="A27" s="3" t="inlineStr">
        <is>
          <t>S24</t>
        </is>
      </c>
      <c r="B27" s="3" t="inlineStr">
        <is>
          <t>The formula audit — figure against function</t>
        </is>
      </c>
      <c r="C27" s="3" t="inlineStr">
        <is>
          <t>A figure and the function that produces it must state the same rule. If they do not, one of the two is wrong and nobody knows which, which is exactly the case the objectives standard says work must stop on.</t>
        </is>
      </c>
      <c r="D27" s="3" t="inlineStr">
        <is>
          <t>OPEN — 94 of the 163 figures name a function and were compared; the other 69 name none and could not be. 51 rows carry a finding: 15 CLASH (the file states a rule the code does not implement), 5 MISNAMED (the formula and the function are about different things), 4 ONE FORMULA (figures that are not the same figure sharing one). 43 rows agree. Every finding was checked against the code file and line, not against the two cells alone.</t>
        </is>
      </c>
    </row>
    <row r="28" ht="60" customHeight="1">
      <c r="A28" s="3" t="inlineStr">
        <is>
          <t>S23</t>
        </is>
      </c>
      <c r="B28" s="3" t="inlineStr">
        <is>
          <t>The formula on every function</t>
        </is>
      </c>
      <c r="C28" s="3" t="inlineStr">
        <is>
          <t>A figure can only be checked if the rule behind it can be read. The 163 figures carried a formula; the 455 functions underneath them did not, so there was no way to see HOW a number was worked out.</t>
        </is>
      </c>
      <c r="D28" s="3" t="inlineStr">
        <is>
          <t>PARTIAL — all 692 functions carry both forms on this build: 23 no arithmetic · 21 not read · 331 partly read · 90 read by hand 2026-08-26 · 227 read from the code.</t>
        </is>
      </c>
    </row>
    <row r="29" ht="60" customHeight="1">
      <c r="A29" s="3" t="inlineStr">
        <is>
          <t>S22</t>
        </is>
      </c>
      <c r="B29" s="3" t="inlineStr">
        <is>
          <t>The 2026-08-25 audit</t>
        </is>
      </c>
      <c r="C29" s="3" t="inlineStr">
        <is>
          <t>The last 48 hours of work read back against the three standards, so that what is wrong is on record before more is built on top of it.</t>
        </is>
      </c>
      <c r="D29" s="3" t="inlineStr">
        <is>
          <t>OPEN — 51 findings, A01 to A51. The ones that land on a figure are in the last column of each screen tab; the ones that belong to the whole file are at the bottom of the Reference tab. A06, A07, A08 and A09 say that the status lines of S01, S02, S20 and S12 above do not match what the file holds — those four are left as they were written rather than quietly re-graded, because changing a status is the founder's call.</t>
        </is>
      </c>
    </row>
    <row r="30" ht="60" customHeight="1">
      <c r="A30" s="3" t="inlineStr">
        <is>
          <t>S17</t>
        </is>
      </c>
      <c r="B30" s="3" t="inlineStr">
        <is>
          <t>Which screens are the 55-70 core</t>
        </is>
      </c>
      <c r="C30" s="3" t="inlineStr">
        <is>
          <t>The agreed first scope has never been written down.</t>
        </is>
      </c>
      <c r="D30" s="3" t="inlineStr">
        <is>
          <t>READY FOR THE FOUNDER — the core_screens tab lists all 49 screens with my recommendation (39 in, 5 out, 5 borderline) and a column for his decision.</t>
        </is>
      </c>
    </row>
  </sheetData>
  <autoFilter ref="A1:D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pane xSplit="1" ySplit="1" topLeftCell="B2"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ht="30" customHeight="1">
      <c r="A1" s="1" t="inlineStr">
        <is>
          <t>Asset class</t>
        </is>
      </c>
      <c r="B1" s="1" t="inlineStr">
        <is>
          <t>Data to capture — his words</t>
        </is>
      </c>
      <c r="C1" s="1" t="inlineStr">
        <is>
          <t>Where it is today (input or function)</t>
        </is>
      </c>
      <c r="D1" s="1" t="inlineStr">
        <is>
          <t>STATUS — this row</t>
        </is>
      </c>
      <c r="E1" s="1" t="inlineStr">
        <is>
          <t>Open item that decides it</t>
        </is>
      </c>
      <c r="F1" s="1" t="inlineStr">
        <is>
          <t>Notes</t>
        </is>
      </c>
    </row>
    <row r="2" ht="15" customHeight="1">
      <c r="A2" s="3" t="inlineStr">
        <is>
          <t>Fixed income</t>
        </is>
      </c>
      <c r="B2" s="3" t="inlineStr">
        <is>
          <t>Holding Institution</t>
        </is>
      </c>
      <c r="C2" s="3" t="inlineStr">
        <is>
          <t>MK-XS-I-003 institution name</t>
        </is>
      </c>
      <c r="D2" s="6" t="inlineStr">
        <is>
          <t>CAPTURED</t>
        </is>
      </c>
      <c r="E2" s="3" t="inlineStr"/>
      <c r="F2" s="3" t="inlineStr"/>
    </row>
    <row r="3" ht="60" customHeight="1">
      <c r="A3" s="3" t="inlineStr">
        <is>
          <t>Fixed income</t>
        </is>
      </c>
      <c r="B3" s="3" t="inlineStr">
        <is>
          <t>Holding Account Number</t>
        </is>
      </c>
      <c r="C3" s="3" t="inlineStr">
        <is>
          <t>—</t>
        </is>
      </c>
      <c r="D3" s="7" t="inlineStr">
        <is>
          <t>NOT CAPTURED</t>
        </is>
      </c>
      <c r="E3" s="3" t="inlineStr">
        <is>
          <t>new</t>
        </is>
      </c>
      <c r="F3" s="3" t="inlineStr">
        <is>
          <t>A connected account keeps the last four digits (the mask); nothing stores the number for a typed account.</t>
        </is>
      </c>
    </row>
    <row r="4" ht="30" customHeight="1">
      <c r="A4" s="3" t="inlineStr">
        <is>
          <t>Fixed income</t>
        </is>
      </c>
      <c r="B4" s="3" t="inlineStr">
        <is>
          <t>Issuer</t>
        </is>
      </c>
      <c r="C4" s="3" t="inlineStr">
        <is>
          <t>—</t>
        </is>
      </c>
      <c r="D4" s="7" t="inlineStr">
        <is>
          <t>NOT CAPTURED</t>
        </is>
      </c>
      <c r="E4" s="3" t="inlineStr">
        <is>
          <t>Q38 (2026-09-08)</t>
        </is>
      </c>
      <c r="F4" s="3" t="inlineStr">
        <is>
          <t>The institution field stands in for the issuer today.</t>
        </is>
      </c>
    </row>
    <row r="5" ht="30" customHeight="1">
      <c r="A5" s="3" t="inlineStr">
        <is>
          <t>Fixed income</t>
        </is>
      </c>
      <c r="B5" s="3" t="inlineStr">
        <is>
          <t>CUSIP / ISIN / Ticker</t>
        </is>
      </c>
      <c r="C5" s="3" t="inlineStr">
        <is>
          <t>—</t>
        </is>
      </c>
      <c r="D5" s="7" t="inlineStr">
        <is>
          <t>NOT CAPTURED</t>
        </is>
      </c>
      <c r="E5" s="3" t="inlineStr">
        <is>
          <t>Q38 (2026-09-08)</t>
        </is>
      </c>
      <c r="F5" s="3" t="inlineStr">
        <is>
          <t>Stocks carry a ticker; a bond record carries none.</t>
        </is>
      </c>
    </row>
    <row r="6" ht="15" customHeight="1">
      <c r="A6" s="3" t="inlineStr">
        <is>
          <t>Fixed income</t>
        </is>
      </c>
      <c r="B6" s="3" t="inlineStr">
        <is>
          <t>Face Value</t>
        </is>
      </c>
      <c r="C6" s="3" t="inlineStr">
        <is>
          <t>MK-XS-I-011 bond face value</t>
        </is>
      </c>
      <c r="D6" s="6" t="inlineStr">
        <is>
          <t>CAPTURED</t>
        </is>
      </c>
      <c r="E6" s="3" t="inlineStr"/>
      <c r="F6" s="3" t="inlineStr"/>
    </row>
    <row r="7" ht="45" customHeight="1">
      <c r="A7" s="3" t="inlineStr">
        <is>
          <t>Fixed income</t>
        </is>
      </c>
      <c r="B7" s="3" t="inlineStr">
        <is>
          <t>Quantity</t>
        </is>
      </c>
      <c r="C7" s="3" t="inlineStr">
        <is>
          <t>—</t>
        </is>
      </c>
      <c r="D7" s="7" t="inlineStr">
        <is>
          <t>NOT CAPTURED</t>
        </is>
      </c>
      <c r="E7" s="3" t="inlineStr">
        <is>
          <t>Q38 (1) (2026-09-08)</t>
        </is>
      </c>
      <c r="F7" s="3" t="inlineStr">
        <is>
          <t>Number of bonds versus total face — your answer decides the field.</t>
        </is>
      </c>
    </row>
    <row r="8" ht="15" customHeight="1">
      <c r="A8" s="3" t="inlineStr">
        <is>
          <t>Fixed income</t>
        </is>
      </c>
      <c r="B8" s="3" t="inlineStr">
        <is>
          <t>Cost Price</t>
        </is>
      </c>
      <c r="C8" s="3" t="inlineStr">
        <is>
          <t>—</t>
        </is>
      </c>
      <c r="D8" s="7" t="inlineStr">
        <is>
          <t>NOT CAPTURED</t>
        </is>
      </c>
      <c r="E8" s="3" t="inlineStr">
        <is>
          <t>Q38 (2026-09-08)</t>
        </is>
      </c>
      <c r="F8" s="3" t="inlineStr"/>
    </row>
    <row r="9" ht="15" customHeight="1">
      <c r="A9" s="3" t="inlineStr">
        <is>
          <t>Fixed income</t>
        </is>
      </c>
      <c r="B9" s="3" t="inlineStr">
        <is>
          <t>Current Price</t>
        </is>
      </c>
      <c r="C9" s="3" t="inlineStr">
        <is>
          <t>—</t>
        </is>
      </c>
      <c r="D9" s="7" t="inlineStr">
        <is>
          <t>NOT CAPTURED</t>
        </is>
      </c>
      <c r="E9" s="3" t="inlineStr">
        <is>
          <t>Q38 (3) (2026-09-08)</t>
        </is>
      </c>
      <c r="F9" s="3" t="inlineStr"/>
    </row>
    <row r="10" ht="30" customHeight="1">
      <c r="A10" s="3" t="inlineStr">
        <is>
          <t>Fixed income</t>
        </is>
      </c>
      <c r="B10" s="3" t="inlineStr">
        <is>
          <t>Current Value</t>
        </is>
      </c>
      <c r="C10" s="3" t="inlineStr">
        <is>
          <t>MK-XS-I-001 / MK-XS-I-049 (the balance entered)</t>
        </is>
      </c>
      <c r="D10" s="6" t="inlineStr">
        <is>
          <t>CAPTURED</t>
        </is>
      </c>
      <c r="E10" s="3" t="inlineStr"/>
      <c r="F10" s="3" t="inlineStr"/>
    </row>
    <row r="11" ht="30" customHeight="1">
      <c r="A11" s="3" t="inlineStr">
        <is>
          <t>Fixed income</t>
        </is>
      </c>
      <c r="B11" s="3" t="inlineStr">
        <is>
          <t>Total Cost</t>
        </is>
      </c>
      <c r="C11" s="3" t="inlineStr">
        <is>
          <t>derived — quantity × cost, once both exist</t>
        </is>
      </c>
      <c r="D11" s="8" t="inlineStr">
        <is>
          <t>DERIVED — blocked</t>
        </is>
      </c>
      <c r="E11" s="3" t="inlineStr">
        <is>
          <t>Q38 (2026-09-08)</t>
        </is>
      </c>
      <c r="F11" s="3" t="inlineStr"/>
    </row>
    <row r="12" ht="30" customHeight="1">
      <c r="A12" s="3" t="inlineStr">
        <is>
          <t>Fixed income</t>
        </is>
      </c>
      <c r="B12" s="3" t="inlineStr">
        <is>
          <t>Unrealized Gain/Loss</t>
        </is>
      </c>
      <c r="C12" s="3" t="inlineStr">
        <is>
          <t>derived — current value − total cost</t>
        </is>
      </c>
      <c r="D12" s="8" t="inlineStr">
        <is>
          <t>DERIVED — blocked</t>
        </is>
      </c>
      <c r="E12" s="3" t="inlineStr">
        <is>
          <t>Q38 (2026-09-08)</t>
        </is>
      </c>
      <c r="F12" s="3" t="inlineStr"/>
    </row>
    <row r="13" ht="45" customHeight="1">
      <c r="A13" s="3" t="inlineStr">
        <is>
          <t>Fixed income</t>
        </is>
      </c>
      <c r="B13" s="3" t="inlineStr">
        <is>
          <t>Purchase Date</t>
        </is>
      </c>
      <c r="C13" s="3" t="inlineStr">
        <is>
          <t>—</t>
        </is>
      </c>
      <c r="D13" s="7" t="inlineStr">
        <is>
          <t>NOT CAPTURED</t>
        </is>
      </c>
      <c r="E13" s="3" t="inlineStr">
        <is>
          <t>Q38 (2026-09-08)</t>
        </is>
      </c>
      <c r="F13" s="3" t="inlineStr">
        <is>
          <t>Stocks keep a purchase date per lot (MK-XS-I-007); bonds do not.</t>
        </is>
      </c>
    </row>
    <row r="14" ht="30" customHeight="1">
      <c r="A14" s="3" t="inlineStr">
        <is>
          <t>Fixed income</t>
        </is>
      </c>
      <c r="B14" s="3" t="inlineStr">
        <is>
          <t>Maturity Date</t>
        </is>
      </c>
      <c r="C14" s="3" t="inlineStr">
        <is>
          <t>MK-XS-I-013 bond maturity date</t>
        </is>
      </c>
      <c r="D14" s="6" t="inlineStr">
        <is>
          <t>CAPTURED</t>
        </is>
      </c>
      <c r="E14" s="3" t="inlineStr"/>
      <c r="F14" s="3" t="inlineStr"/>
    </row>
    <row r="15" ht="15" customHeight="1">
      <c r="A15" s="3" t="inlineStr">
        <is>
          <t>Fixed income</t>
        </is>
      </c>
      <c r="B15" s="3" t="inlineStr">
        <is>
          <t>Coupon</t>
        </is>
      </c>
      <c r="C15" s="3" t="inlineStr">
        <is>
          <t>MK-XS-I-012 bond coupon rate</t>
        </is>
      </c>
      <c r="D15" s="6" t="inlineStr">
        <is>
          <t>CAPTURED</t>
        </is>
      </c>
      <c r="E15" s="3" t="inlineStr"/>
      <c r="F15" s="3" t="inlineStr"/>
    </row>
    <row r="16" ht="45" customHeight="1">
      <c r="A16" s="3" t="inlineStr">
        <is>
          <t>Fixed income</t>
        </is>
      </c>
      <c r="B16" s="3" t="inlineStr">
        <is>
          <t>Frequency of Interest</t>
        </is>
      </c>
      <c r="C16" s="3" t="inlineStr">
        <is>
          <t>—</t>
        </is>
      </c>
      <c r="D16" s="7" t="inlineStr">
        <is>
          <t>NOT CAPTURED</t>
        </is>
      </c>
      <c r="E16" s="3" t="inlineStr">
        <is>
          <t>new</t>
        </is>
      </c>
      <c r="F16" s="3" t="inlineStr">
        <is>
          <t>Needed for accrued interest and the paid-interest calendar.</t>
        </is>
      </c>
    </row>
    <row r="17" ht="45" customHeight="1">
      <c r="A17" s="3" t="inlineStr">
        <is>
          <t>Fixed income</t>
        </is>
      </c>
      <c r="B17" s="3" t="inlineStr">
        <is>
          <t>Annual Income</t>
        </is>
      </c>
      <c r="C17" s="3" t="inlineStr">
        <is>
          <t>derived — MK-NW-F-057 annualCoupon (face × rate; matured bonds to be excluded, JJ-3)</t>
        </is>
      </c>
      <c r="D17" s="8" t="inlineStr">
        <is>
          <t>DERIVED</t>
        </is>
      </c>
      <c r="E17" s="3" t="inlineStr"/>
      <c r="F17" s="3" t="inlineStr"/>
    </row>
    <row r="18" ht="30" customHeight="1">
      <c r="A18" s="3" t="inlineStr">
        <is>
          <t>Fixed income</t>
        </is>
      </c>
      <c r="B18" s="3" t="inlineStr">
        <is>
          <t>Paid Interest</t>
        </is>
      </c>
      <c r="C18" s="3" t="inlineStr">
        <is>
          <t>derived — the ledger's INTEREST rows for the bond</t>
        </is>
      </c>
      <c r="D18" s="8" t="inlineStr">
        <is>
          <t>DERIVED — blocked</t>
        </is>
      </c>
      <c r="E18" s="3" t="inlineStr">
        <is>
          <t>Q38 (2) (2026-09-08)</t>
        </is>
      </c>
      <c r="F18" s="3" t="inlineStr">
        <is>
          <t>'earned interest' in your bond rule.</t>
        </is>
      </c>
    </row>
    <row r="19" ht="15" customHeight="1">
      <c r="A19" s="3" t="inlineStr">
        <is>
          <t>Fixed income</t>
        </is>
      </c>
      <c r="B19" s="3" t="inlineStr">
        <is>
          <t>Accrued Interest</t>
        </is>
      </c>
      <c r="C19" s="3" t="inlineStr">
        <is>
          <t>—</t>
        </is>
      </c>
      <c r="D19" s="7" t="inlineStr">
        <is>
          <t>NOT CAPTURED</t>
        </is>
      </c>
      <c r="E19" s="3" t="inlineStr">
        <is>
          <t>A47 (2026-08-26)</t>
        </is>
      </c>
      <c r="F19" s="3" t="inlineStr"/>
    </row>
    <row r="20" ht="15" customHeight="1">
      <c r="A20" s="3" t="inlineStr">
        <is>
          <t>Stocks / funds</t>
        </is>
      </c>
      <c r="B20" s="3" t="inlineStr">
        <is>
          <t>Holding Institution</t>
        </is>
      </c>
      <c r="C20" s="3" t="inlineStr">
        <is>
          <t>MK-XS-I-003 institution name</t>
        </is>
      </c>
      <c r="D20" s="6" t="inlineStr">
        <is>
          <t>CAPTURED</t>
        </is>
      </c>
      <c r="E20" s="3" t="inlineStr"/>
      <c r="F20" s="3" t="inlineStr"/>
    </row>
    <row r="21" ht="15" customHeight="1">
      <c r="A21" s="3" t="inlineStr">
        <is>
          <t>Stocks / funds</t>
        </is>
      </c>
      <c r="B21" s="3" t="inlineStr">
        <is>
          <t>Holding Account Number</t>
        </is>
      </c>
      <c r="C21" s="3" t="inlineStr">
        <is>
          <t>—</t>
        </is>
      </c>
      <c r="D21" s="7" t="inlineStr">
        <is>
          <t>NOT CAPTURED</t>
        </is>
      </c>
      <c r="E21" s="3" t="inlineStr">
        <is>
          <t>new</t>
        </is>
      </c>
      <c r="F21" s="3" t="inlineStr"/>
    </row>
    <row r="22" ht="45" customHeight="1">
      <c r="A22" s="3" t="inlineStr">
        <is>
          <t>Stocks / funds</t>
        </is>
      </c>
      <c r="B22" s="3" t="inlineStr">
        <is>
          <t>Ticker</t>
        </is>
      </c>
      <c r="C22" s="3" t="inlineStr">
        <is>
          <t>the holding's own ticker — its identity, not an input row</t>
        </is>
      </c>
      <c r="D22" s="6" t="inlineStr">
        <is>
          <t>CAPTURED</t>
        </is>
      </c>
      <c r="E22" s="3" t="inlineStr"/>
      <c r="F22" s="3" t="inlineStr"/>
    </row>
    <row r="23" ht="15" customHeight="1">
      <c r="A23" s="3" t="inlineStr">
        <is>
          <t>Stocks / funds</t>
        </is>
      </c>
      <c r="B23" s="3" t="inlineStr">
        <is>
          <t>Quantity</t>
        </is>
      </c>
      <c r="C23" s="3" t="inlineStr">
        <is>
          <t>MK-XS-I-004 holding quantity</t>
        </is>
      </c>
      <c r="D23" s="6" t="inlineStr">
        <is>
          <t>CAPTURED</t>
        </is>
      </c>
      <c r="E23" s="3" t="inlineStr"/>
      <c r="F23" s="3" t="inlineStr"/>
    </row>
    <row r="24" ht="30" customHeight="1">
      <c r="A24" s="3" t="inlineStr">
        <is>
          <t>Stocks / funds</t>
        </is>
      </c>
      <c r="B24" s="3" t="inlineStr">
        <is>
          <t>Cost Price</t>
        </is>
      </c>
      <c r="C24" s="3" t="inlineStr">
        <is>
          <t>MK-XS-I-007 purchase price per lot</t>
        </is>
      </c>
      <c r="D24" s="6" t="inlineStr">
        <is>
          <t>CAPTURED</t>
        </is>
      </c>
      <c r="E24" s="3" t="inlineStr"/>
      <c r="F24" s="3" t="inlineStr"/>
    </row>
    <row r="25" ht="15" customHeight="1">
      <c r="A25" s="3" t="inlineStr">
        <is>
          <t>Stocks / funds</t>
        </is>
      </c>
      <c r="B25" s="3" t="inlineStr">
        <is>
          <t>Current Price</t>
        </is>
      </c>
      <c r="C25" s="3" t="inlineStr">
        <is>
          <t>MK-XS-I-005 holding price</t>
        </is>
      </c>
      <c r="D25" s="6" t="inlineStr">
        <is>
          <t>CAPTURED</t>
        </is>
      </c>
      <c r="E25" s="3" t="inlineStr"/>
      <c r="F25" s="3" t="inlineStr"/>
    </row>
    <row r="26" ht="30" customHeight="1">
      <c r="A26" s="3" t="inlineStr">
        <is>
          <t>Stocks / funds</t>
        </is>
      </c>
      <c r="B26" s="3" t="inlineStr">
        <is>
          <t>Current Value</t>
        </is>
      </c>
      <c r="C26" s="3" t="inlineStr">
        <is>
          <t>derived — MK-PF-F-004 marketValue</t>
        </is>
      </c>
      <c r="D26" s="8" t="inlineStr">
        <is>
          <t>DERIVED</t>
        </is>
      </c>
      <c r="E26" s="3" t="inlineStr"/>
      <c r="F26" s="3" t="inlineStr"/>
    </row>
    <row r="27" ht="30" customHeight="1">
      <c r="A27" s="3" t="inlineStr">
        <is>
          <t>Stocks / funds</t>
        </is>
      </c>
      <c r="B27" s="3" t="inlineStr">
        <is>
          <t>Total Cost</t>
        </is>
      </c>
      <c r="C27" s="3" t="inlineStr">
        <is>
          <t>derived — MK-PF-F-002 costBasis</t>
        </is>
      </c>
      <c r="D27" s="8" t="inlineStr">
        <is>
          <t>DERIVED</t>
        </is>
      </c>
      <c r="E27" s="3" t="inlineStr"/>
      <c r="F27" s="3" t="inlineStr"/>
    </row>
    <row r="28" ht="30" customHeight="1">
      <c r="A28" s="3" t="inlineStr">
        <is>
          <t>Stocks / funds</t>
        </is>
      </c>
      <c r="B28" s="3" t="inlineStr">
        <is>
          <t>Unrealized Gain/Loss</t>
        </is>
      </c>
      <c r="C28" s="3" t="inlineStr">
        <is>
          <t>derived — MK-PF-F-005 unrealizedGain</t>
        </is>
      </c>
      <c r="D28" s="8" t="inlineStr">
        <is>
          <t>DERIVED</t>
        </is>
      </c>
      <c r="E28" s="3" t="inlineStr"/>
      <c r="F28" s="3" t="inlineStr"/>
    </row>
    <row r="29" ht="30" customHeight="1">
      <c r="A29" s="3" t="inlineStr">
        <is>
          <t>Stocks / funds</t>
        </is>
      </c>
      <c r="B29" s="3" t="inlineStr">
        <is>
          <t>Purchase Date</t>
        </is>
      </c>
      <c r="C29" s="3" t="inlineStr">
        <is>
          <t>MK-XS-I-007 purchase date per lot</t>
        </is>
      </c>
      <c r="D29" s="6" t="inlineStr">
        <is>
          <t>CAPTURED</t>
        </is>
      </c>
      <c r="E29" s="3" t="inlineStr"/>
      <c r="F29" s="3" t="inlineStr"/>
    </row>
    <row r="30" ht="45" customHeight="1">
      <c r="A30" s="3" t="inlineStr">
        <is>
          <t>Stocks / funds</t>
        </is>
      </c>
      <c r="B30" s="3" t="inlineStr">
        <is>
          <t>Dividend</t>
        </is>
      </c>
      <c r="C30" s="3" t="inlineStr">
        <is>
          <t>the ledger's DIVIDEND rows (MK-XS-I-008 · MK-XS-I-009) → MK-NW-M-034</t>
        </is>
      </c>
      <c r="D30" s="6" t="inlineStr">
        <is>
          <t>CAPTURED</t>
        </is>
      </c>
      <c r="E30" s="3" t="inlineStr"/>
      <c r="F30" s="3" t="inlineStr"/>
    </row>
    <row r="31" ht="15" customHeight="1">
      <c r="A31" s="3" t="inlineStr">
        <is>
          <t>Stocks / funds</t>
        </is>
      </c>
      <c r="B31" s="3" t="inlineStr">
        <is>
          <t>Divident Frequency</t>
        </is>
      </c>
      <c r="C31" s="3" t="inlineStr">
        <is>
          <t>—</t>
        </is>
      </c>
      <c r="D31" s="7" t="inlineStr">
        <is>
          <t>NOT CAPTURED</t>
        </is>
      </c>
      <c r="E31" s="3" t="inlineStr">
        <is>
          <t>new</t>
        </is>
      </c>
      <c r="F31" s="3" t="inlineStr"/>
    </row>
    <row r="32" ht="30" customHeight="1">
      <c r="A32" s="3" t="inlineStr">
        <is>
          <t>Stocks / funds</t>
        </is>
      </c>
      <c r="B32" s="3" t="inlineStr">
        <is>
          <t>Annual Income</t>
        </is>
      </c>
      <c r="C32" s="3" t="inlineStr">
        <is>
          <t>derived — the dividend and interest income functions</t>
        </is>
      </c>
      <c r="D32" s="8" t="inlineStr">
        <is>
          <t>DERIVED</t>
        </is>
      </c>
      <c r="E32" s="3" t="inlineStr"/>
      <c r="F32" s="3" t="inlineStr"/>
    </row>
    <row r="33" ht="15" customHeight="1">
      <c r="A33" s="3" t="inlineStr">
        <is>
          <t>Currencies</t>
        </is>
      </c>
      <c r="B33" s="3" t="inlineStr">
        <is>
          <t>Holding Institution</t>
        </is>
      </c>
      <c r="C33" s="3" t="inlineStr">
        <is>
          <t>MK-XS-I-003 institution name</t>
        </is>
      </c>
      <c r="D33" s="6" t="inlineStr">
        <is>
          <t>CAPTURED</t>
        </is>
      </c>
      <c r="E33" s="3" t="inlineStr"/>
      <c r="F33" s="3" t="inlineStr"/>
    </row>
    <row r="34" ht="15" customHeight="1">
      <c r="A34" s="3" t="inlineStr">
        <is>
          <t>Currencies</t>
        </is>
      </c>
      <c r="B34" s="3" t="inlineStr">
        <is>
          <t>Holding Account Number</t>
        </is>
      </c>
      <c r="C34" s="3" t="inlineStr">
        <is>
          <t>—</t>
        </is>
      </c>
      <c r="D34" s="7" t="inlineStr">
        <is>
          <t>NOT CAPTURED</t>
        </is>
      </c>
      <c r="E34" s="3" t="inlineStr">
        <is>
          <t>new</t>
        </is>
      </c>
      <c r="F34" s="3" t="inlineStr"/>
    </row>
    <row r="35" ht="30" customHeight="1">
      <c r="A35" s="3" t="inlineStr">
        <is>
          <t>Currencies</t>
        </is>
      </c>
      <c r="B35" s="3" t="inlineStr">
        <is>
          <t>Currency Code</t>
        </is>
      </c>
      <c r="C35" s="3" t="inlineStr">
        <is>
          <t>—</t>
        </is>
      </c>
      <c r="D35" s="7" t="inlineStr">
        <is>
          <t>NOT CAPTURED</t>
        </is>
      </c>
      <c r="E35" s="3" t="inlineStr">
        <is>
          <t>Q43 · Q09 (2026-09-08)</t>
        </is>
      </c>
      <c r="F35" s="3" t="inlineStr">
        <is>
          <t>No unit on the quantity today (finding S32).</t>
        </is>
      </c>
    </row>
    <row r="36" ht="15" customHeight="1">
      <c r="A36" s="3" t="inlineStr">
        <is>
          <t>Currencies</t>
        </is>
      </c>
      <c r="B36" s="3" t="inlineStr">
        <is>
          <t>Quantity</t>
        </is>
      </c>
      <c r="C36" s="3" t="inlineStr">
        <is>
          <t>MK-XS-I-004 (no unit)</t>
        </is>
      </c>
      <c r="D36" s="6" t="inlineStr">
        <is>
          <t>CAPTURED — no unit</t>
        </is>
      </c>
      <c r="E36" s="3" t="inlineStr">
        <is>
          <t>Q09 (2026-09-08)</t>
        </is>
      </c>
      <c r="F36" s="3" t="inlineStr"/>
    </row>
    <row r="37" ht="15" customHeight="1">
      <c r="A37" s="3" t="inlineStr">
        <is>
          <t>Currencies</t>
        </is>
      </c>
      <c r="B37" s="3" t="inlineStr">
        <is>
          <t>Cost Price</t>
        </is>
      </c>
      <c r="C37" s="3" t="inlineStr">
        <is>
          <t>MK-XS-I-007</t>
        </is>
      </c>
      <c r="D37" s="6" t="inlineStr">
        <is>
          <t>CAPTURED</t>
        </is>
      </c>
      <c r="E37" s="3" t="inlineStr"/>
      <c r="F37" s="3" t="inlineStr"/>
    </row>
    <row r="38" ht="30" customHeight="1">
      <c r="A38" s="3" t="inlineStr">
        <is>
          <t>Currencies</t>
        </is>
      </c>
      <c r="B38" s="3" t="inlineStr">
        <is>
          <t>Current Price</t>
        </is>
      </c>
      <c r="C38" s="3" t="inlineStr">
        <is>
          <t>MK-XS-I-005 — no exchange rate</t>
        </is>
      </c>
      <c r="D38" s="6" t="inlineStr">
        <is>
          <t>CAPTURED — no rate</t>
        </is>
      </c>
      <c r="E38" s="3" t="inlineStr">
        <is>
          <t>Q43 (2026-09-08)</t>
        </is>
      </c>
      <c r="F38" s="3" t="inlineStr"/>
    </row>
    <row r="39" ht="30" customHeight="1">
      <c r="A39" s="3" t="inlineStr">
        <is>
          <t>Currencies</t>
        </is>
      </c>
      <c r="B39" s="3" t="inlineStr">
        <is>
          <t>Current Value</t>
        </is>
      </c>
      <c r="C39" s="3" t="inlineStr">
        <is>
          <t>derived — not converted to dollars today</t>
        </is>
      </c>
      <c r="D39" s="8" t="inlineStr">
        <is>
          <t>DERIVED — blocked</t>
        </is>
      </c>
      <c r="E39" s="3" t="inlineStr">
        <is>
          <t>Q43 (2026-09-08)</t>
        </is>
      </c>
      <c r="F39" s="3" t="inlineStr"/>
    </row>
    <row r="40" ht="15" customHeight="1">
      <c r="A40" s="3" t="inlineStr">
        <is>
          <t>Currencies</t>
        </is>
      </c>
      <c r="B40" s="3" t="inlineStr">
        <is>
          <t>Total Cost</t>
        </is>
      </c>
      <c r="C40" s="3" t="inlineStr">
        <is>
          <t>derived</t>
        </is>
      </c>
      <c r="D40" s="8" t="inlineStr">
        <is>
          <t>DERIVED</t>
        </is>
      </c>
      <c r="E40" s="3" t="inlineStr"/>
      <c r="F40" s="3" t="inlineStr"/>
    </row>
    <row r="41" ht="15" customHeight="1">
      <c r="A41" s="3" t="inlineStr">
        <is>
          <t>Currencies</t>
        </is>
      </c>
      <c r="B41" s="3" t="inlineStr">
        <is>
          <t>Unrealized Gain/Loss</t>
        </is>
      </c>
      <c r="C41" s="3" t="inlineStr">
        <is>
          <t>derived</t>
        </is>
      </c>
      <c r="D41" s="8" t="inlineStr">
        <is>
          <t>DERIVED</t>
        </is>
      </c>
      <c r="E41" s="3" t="inlineStr"/>
      <c r="F41" s="3" t="inlineStr"/>
    </row>
    <row r="42" ht="15" customHeight="1">
      <c r="A42" s="3" t="inlineStr">
        <is>
          <t>Currencies</t>
        </is>
      </c>
      <c r="B42" s="3" t="inlineStr">
        <is>
          <t>Purchase Date</t>
        </is>
      </c>
      <c r="C42" s="3" t="inlineStr">
        <is>
          <t>MK-XS-I-007</t>
        </is>
      </c>
      <c r="D42" s="6" t="inlineStr">
        <is>
          <t>CAPTURED</t>
        </is>
      </c>
      <c r="E42" s="3" t="inlineStr"/>
      <c r="F42" s="3" t="inlineStr"/>
    </row>
    <row r="43" ht="60" customHeight="1">
      <c r="A43" s="3" t="inlineStr">
        <is>
          <t>Currencies</t>
        </is>
      </c>
      <c r="B43" s="3" t="inlineStr">
        <is>
          <t>Dividend</t>
        </is>
      </c>
      <c r="C43" s="3" t="inlineStr">
        <is>
          <t>n/a — your ruling Q08 (2026-08-26): a currency held is cash in that currency; no dividend, no income</t>
        </is>
      </c>
      <c r="D43" s="3" t="inlineStr">
        <is>
          <t>N/A</t>
        </is>
      </c>
      <c r="E43" s="3" t="inlineStr"/>
      <c r="F43" s="3" t="inlineStr"/>
    </row>
    <row r="44" ht="60" customHeight="1">
      <c r="A44" s="3" t="inlineStr">
        <is>
          <t>Currencies</t>
        </is>
      </c>
      <c r="B44" s="3" t="inlineStr">
        <is>
          <t>Divident Frequency</t>
        </is>
      </c>
      <c r="C44" s="3" t="inlineStr">
        <is>
          <t>n/a — your ruling Q08 (2026-08-26): a currency held is cash in that currency; no dividend, no income</t>
        </is>
      </c>
      <c r="D44" s="3" t="inlineStr">
        <is>
          <t>N/A</t>
        </is>
      </c>
      <c r="E44" s="3" t="inlineStr"/>
      <c r="F44" s="3" t="inlineStr"/>
    </row>
    <row r="45" ht="60" customHeight="1">
      <c r="A45" s="3" t="inlineStr">
        <is>
          <t>Currencies</t>
        </is>
      </c>
      <c r="B45" s="3" t="inlineStr">
        <is>
          <t>Annual Income</t>
        </is>
      </c>
      <c r="C45" s="3" t="inlineStr">
        <is>
          <t>n/a — your ruling Q08 (2026-08-26): a currency held is cash in that currency; no dividend, no income</t>
        </is>
      </c>
      <c r="D45" s="3" t="inlineStr">
        <is>
          <t>N/A</t>
        </is>
      </c>
      <c r="E45" s="3" t="inlineStr"/>
      <c r="F45" s="3" t="inlineStr"/>
    </row>
    <row r="46" ht="15" customHeight="1">
      <c r="A46" s="3" t="inlineStr">
        <is>
          <t>Crypto</t>
        </is>
      </c>
      <c r="B46" s="3" t="inlineStr">
        <is>
          <t>Holding Institution</t>
        </is>
      </c>
      <c r="C46" s="3" t="inlineStr">
        <is>
          <t>MK-XS-I-003 institution name</t>
        </is>
      </c>
      <c r="D46" s="6" t="inlineStr">
        <is>
          <t>CAPTURED</t>
        </is>
      </c>
      <c r="E46" s="3" t="inlineStr"/>
      <c r="F46" s="3" t="inlineStr"/>
    </row>
    <row r="47" ht="15" customHeight="1">
      <c r="A47" s="3" t="inlineStr">
        <is>
          <t>Crypto</t>
        </is>
      </c>
      <c r="B47" s="3" t="inlineStr">
        <is>
          <t>Holding Account Number</t>
        </is>
      </c>
      <c r="C47" s="3" t="inlineStr">
        <is>
          <t>—</t>
        </is>
      </c>
      <c r="D47" s="7" t="inlineStr">
        <is>
          <t>NOT CAPTURED</t>
        </is>
      </c>
      <c r="E47" s="3" t="inlineStr">
        <is>
          <t>new</t>
        </is>
      </c>
      <c r="F47" s="3" t="inlineStr"/>
    </row>
    <row r="48" ht="45" customHeight="1">
      <c r="A48" s="3" t="inlineStr">
        <is>
          <t>Crypto</t>
        </is>
      </c>
      <c r="B48" s="3" t="inlineStr">
        <is>
          <t>Crypto Symbol</t>
        </is>
      </c>
      <c r="C48" s="3" t="inlineStr">
        <is>
          <t>the holding's own ticker (BTC, ETH mapped to the feed's pairs)</t>
        </is>
      </c>
      <c r="D48" s="6" t="inlineStr">
        <is>
          <t>CAPTURED</t>
        </is>
      </c>
      <c r="E48" s="3" t="inlineStr"/>
      <c r="F48" s="3" t="inlineStr"/>
    </row>
    <row r="49" ht="45" customHeight="1">
      <c r="A49" s="3" t="inlineStr">
        <is>
          <t>Crypto</t>
        </is>
      </c>
      <c r="B49" s="3" t="inlineStr">
        <is>
          <t>Quantity (8 digits after the decimal)</t>
        </is>
      </c>
      <c r="C49" s="3" t="inlineStr">
        <is>
          <t>MK-XS-I-004 — shown to 8 decimals since 2026-09-09 (your Q07)</t>
        </is>
      </c>
      <c r="D49" s="6" t="inlineStr">
        <is>
          <t>CAPTURED</t>
        </is>
      </c>
      <c r="E49" s="3" t="inlineStr"/>
      <c r="F49" s="3" t="inlineStr"/>
    </row>
    <row r="50" ht="15" customHeight="1">
      <c r="A50" s="3" t="inlineStr">
        <is>
          <t>Crypto</t>
        </is>
      </c>
      <c r="B50" s="3" t="inlineStr">
        <is>
          <t>Cost Price</t>
        </is>
      </c>
      <c r="C50" s="3" t="inlineStr">
        <is>
          <t>MK-XS-I-007</t>
        </is>
      </c>
      <c r="D50" s="6" t="inlineStr">
        <is>
          <t>CAPTURED</t>
        </is>
      </c>
      <c r="E50" s="3" t="inlineStr"/>
      <c r="F50" s="3" t="inlineStr"/>
    </row>
    <row r="51" ht="15" customHeight="1">
      <c r="A51" s="3" t="inlineStr">
        <is>
          <t>Crypto</t>
        </is>
      </c>
      <c r="B51" s="3" t="inlineStr">
        <is>
          <t>Current Price</t>
        </is>
      </c>
      <c r="C51" s="3" t="inlineStr">
        <is>
          <t>MK-XS-I-005</t>
        </is>
      </c>
      <c r="D51" s="6" t="inlineStr">
        <is>
          <t>CAPTURED</t>
        </is>
      </c>
      <c r="E51" s="3" t="inlineStr"/>
      <c r="F51" s="3" t="inlineStr"/>
    </row>
    <row r="52" ht="15" customHeight="1">
      <c r="A52" s="3" t="inlineStr">
        <is>
          <t>Crypto</t>
        </is>
      </c>
      <c r="B52" s="3" t="inlineStr">
        <is>
          <t>Current Value</t>
        </is>
      </c>
      <c r="C52" s="3" t="inlineStr">
        <is>
          <t>derived — MK-PF-F-004</t>
        </is>
      </c>
      <c r="D52" s="8" t="inlineStr">
        <is>
          <t>DERIVED</t>
        </is>
      </c>
      <c r="E52" s="3" t="inlineStr"/>
      <c r="F52" s="3" t="inlineStr"/>
    </row>
    <row r="53" ht="15" customHeight="1">
      <c r="A53" s="3" t="inlineStr">
        <is>
          <t>Crypto</t>
        </is>
      </c>
      <c r="B53" s="3" t="inlineStr">
        <is>
          <t>Total Cost</t>
        </is>
      </c>
      <c r="C53" s="3" t="inlineStr">
        <is>
          <t>derived — MK-PF-F-002</t>
        </is>
      </c>
      <c r="D53" s="8" t="inlineStr">
        <is>
          <t>DERIVED</t>
        </is>
      </c>
      <c r="E53" s="3" t="inlineStr"/>
      <c r="F53" s="3" t="inlineStr"/>
    </row>
    <row r="54" ht="15" customHeight="1">
      <c r="A54" s="3" t="inlineStr">
        <is>
          <t>Crypto</t>
        </is>
      </c>
      <c r="B54" s="3" t="inlineStr">
        <is>
          <t>Unrealized Gain/Loss</t>
        </is>
      </c>
      <c r="C54" s="3" t="inlineStr">
        <is>
          <t>derived — MK-PF-F-005</t>
        </is>
      </c>
      <c r="D54" s="8" t="inlineStr">
        <is>
          <t>DERIVED</t>
        </is>
      </c>
      <c r="E54" s="3" t="inlineStr"/>
      <c r="F54" s="3" t="inlineStr"/>
    </row>
    <row r="55" ht="15" customHeight="1">
      <c r="A55" s="3" t="inlineStr">
        <is>
          <t>Crypto</t>
        </is>
      </c>
      <c r="B55" s="3" t="inlineStr">
        <is>
          <t>Purchase Date</t>
        </is>
      </c>
      <c r="C55" s="3" t="inlineStr">
        <is>
          <t>MK-XS-I-007</t>
        </is>
      </c>
      <c r="D55" s="6" t="inlineStr">
        <is>
          <t>CAPTURED</t>
        </is>
      </c>
      <c r="E55" s="3" t="inlineStr"/>
      <c r="F55" s="3" t="inlineStr"/>
    </row>
    <row r="56" ht="15" customHeight="1">
      <c r="A56" s="3" t="inlineStr">
        <is>
          <t>Crypto</t>
        </is>
      </c>
      <c r="B56" s="3" t="inlineStr">
        <is>
          <t>Dividend</t>
        </is>
      </c>
      <c r="C56" s="3" t="inlineStr">
        <is>
          <t>n/a for a coin</t>
        </is>
      </c>
      <c r="D56" s="3" t="inlineStr">
        <is>
          <t>N/A</t>
        </is>
      </c>
      <c r="E56" s="3" t="inlineStr"/>
      <c r="F56" s="3" t="inlineStr"/>
    </row>
    <row r="57" ht="15" customHeight="1">
      <c r="A57" s="3" t="inlineStr">
        <is>
          <t>Crypto</t>
        </is>
      </c>
      <c r="B57" s="3" t="inlineStr">
        <is>
          <t>Divident Frequency</t>
        </is>
      </c>
      <c r="C57" s="3" t="inlineStr">
        <is>
          <t>n/a</t>
        </is>
      </c>
      <c r="D57" s="3" t="inlineStr">
        <is>
          <t>N/A</t>
        </is>
      </c>
      <c r="E57" s="3" t="inlineStr"/>
      <c r="F57" s="3" t="inlineStr"/>
    </row>
    <row r="58" ht="15" customHeight="1">
      <c r="A58" s="3" t="inlineStr">
        <is>
          <t>Crypto</t>
        </is>
      </c>
      <c r="B58" s="3" t="inlineStr">
        <is>
          <t>Annual Income</t>
        </is>
      </c>
      <c r="C58" s="3" t="inlineStr">
        <is>
          <t>n/a</t>
        </is>
      </c>
      <c r="D58" s="3" t="inlineStr">
        <is>
          <t>N/A</t>
        </is>
      </c>
      <c r="E58" s="3" t="inlineStr"/>
      <c r="F58" s="3" t="inlineStr"/>
    </row>
    <row r="59" ht="15" customHeight="1">
      <c r="A59" s="3" t="inlineStr">
        <is>
          <t>Options</t>
        </is>
      </c>
      <c r="B59" s="3" t="inlineStr">
        <is>
          <t>Holding Institution</t>
        </is>
      </c>
      <c r="C59" s="3" t="inlineStr">
        <is>
          <t>MK-XS-I-003</t>
        </is>
      </c>
      <c r="D59" s="6" t="inlineStr">
        <is>
          <t>CAPTURED</t>
        </is>
      </c>
      <c r="E59" s="3" t="inlineStr"/>
      <c r="F59" s="3" t="inlineStr"/>
    </row>
    <row r="60" ht="15" customHeight="1">
      <c r="A60" s="3" t="inlineStr">
        <is>
          <t>Options</t>
        </is>
      </c>
      <c r="B60" s="3" t="inlineStr">
        <is>
          <t>Holding Account Number</t>
        </is>
      </c>
      <c r="C60" s="3" t="inlineStr">
        <is>
          <t>—</t>
        </is>
      </c>
      <c r="D60" s="7" t="inlineStr">
        <is>
          <t>NOT CAPTURED</t>
        </is>
      </c>
      <c r="E60" s="3" t="inlineStr">
        <is>
          <t>new</t>
        </is>
      </c>
      <c r="F60" s="3" t="inlineStr"/>
    </row>
    <row r="61" ht="15" customHeight="1">
      <c r="A61" s="3" t="inlineStr">
        <is>
          <t>Options</t>
        </is>
      </c>
      <c r="B61" s="3" t="inlineStr">
        <is>
          <t>Underlying Stock</t>
        </is>
      </c>
      <c r="C61" s="3" t="inlineStr">
        <is>
          <t>MK-XS-I-034 option positions</t>
        </is>
      </c>
      <c r="D61" s="6" t="inlineStr">
        <is>
          <t>CAPTURED</t>
        </is>
      </c>
      <c r="E61" s="3" t="inlineStr"/>
      <c r="F61" s="3" t="inlineStr"/>
    </row>
    <row r="62" ht="15" customHeight="1">
      <c r="A62" s="3" t="inlineStr">
        <is>
          <t>Options</t>
        </is>
      </c>
      <c r="B62" s="3" t="inlineStr">
        <is>
          <t>Strike Price</t>
        </is>
      </c>
      <c r="C62" s="3" t="inlineStr">
        <is>
          <t>MK-XS-I-034</t>
        </is>
      </c>
      <c r="D62" s="6" t="inlineStr">
        <is>
          <t>CAPTURED</t>
        </is>
      </c>
      <c r="E62" s="3" t="inlineStr"/>
      <c r="F62" s="3" t="inlineStr"/>
    </row>
    <row r="63" ht="15" customHeight="1">
      <c r="A63" s="3" t="inlineStr">
        <is>
          <t>Options</t>
        </is>
      </c>
      <c r="B63" s="3" t="inlineStr">
        <is>
          <t>Expiration Date</t>
        </is>
      </c>
      <c r="C63" s="3" t="inlineStr">
        <is>
          <t>MK-XS-I-034</t>
        </is>
      </c>
      <c r="D63" s="6" t="inlineStr">
        <is>
          <t>CAPTURED</t>
        </is>
      </c>
      <c r="E63" s="3" t="inlineStr"/>
      <c r="F63" s="3" t="inlineStr"/>
    </row>
    <row r="64" ht="15" customHeight="1">
      <c r="A64" s="3" t="inlineStr">
        <is>
          <t>Options</t>
        </is>
      </c>
      <c r="B64" s="3" t="inlineStr">
        <is>
          <t>Option Type</t>
        </is>
      </c>
      <c r="C64" s="3" t="inlineStr">
        <is>
          <t>MK-XS-I-034 (put or call)</t>
        </is>
      </c>
      <c r="D64" s="6" t="inlineStr">
        <is>
          <t>CAPTURED</t>
        </is>
      </c>
      <c r="E64" s="3" t="inlineStr"/>
      <c r="F64" s="3" t="inlineStr"/>
    </row>
    <row r="65" ht="30" customHeight="1">
      <c r="A65" s="3" t="inlineStr">
        <is>
          <t>Options</t>
        </is>
      </c>
      <c r="B65" s="3" t="inlineStr">
        <is>
          <t>Quantity</t>
        </is>
      </c>
      <c r="C65" s="3" t="inlineStr">
        <is>
          <t>MK-XS-I-034 contracts — the ×100 rule not applied</t>
        </is>
      </c>
      <c r="D65" s="6" t="inlineStr">
        <is>
          <t>CAPTURED — rule pending</t>
        </is>
      </c>
      <c r="E65" s="3" t="inlineStr">
        <is>
          <t>Q42 · your Q06 (2026-08-26)</t>
        </is>
      </c>
      <c r="F65" s="3" t="inlineStr"/>
    </row>
    <row r="66" ht="15" customHeight="1">
      <c r="A66" s="3" t="inlineStr">
        <is>
          <t>Options</t>
        </is>
      </c>
      <c r="B66" s="3" t="inlineStr">
        <is>
          <t>Cost Price</t>
        </is>
      </c>
      <c r="C66" s="3" t="inlineStr">
        <is>
          <t>MK-XS-I-007</t>
        </is>
      </c>
      <c r="D66" s="6" t="inlineStr">
        <is>
          <t>CAPTURED</t>
        </is>
      </c>
      <c r="E66" s="3" t="inlineStr"/>
      <c r="F66" s="3" t="inlineStr"/>
    </row>
    <row r="67" ht="15" customHeight="1">
      <c r="A67" s="3" t="inlineStr">
        <is>
          <t>Options</t>
        </is>
      </c>
      <c r="B67" s="3" t="inlineStr">
        <is>
          <t>Current Price</t>
        </is>
      </c>
      <c r="C67" s="3" t="inlineStr">
        <is>
          <t>MK-XS-I-005</t>
        </is>
      </c>
      <c r="D67" s="6" t="inlineStr">
        <is>
          <t>CAPTURED</t>
        </is>
      </c>
      <c r="E67" s="3" t="inlineStr"/>
      <c r="F67" s="3" t="inlineStr"/>
    </row>
    <row r="68" ht="30" customHeight="1">
      <c r="A68" s="3" t="inlineStr">
        <is>
          <t>Options</t>
        </is>
      </c>
      <c r="B68" s="3" t="inlineStr">
        <is>
          <t>Current Value</t>
        </is>
      </c>
      <c r="C68" s="3" t="inlineStr">
        <is>
          <t>derived — MK-PF-F-004, no contract multiplier today</t>
        </is>
      </c>
      <c r="D68" s="8" t="inlineStr">
        <is>
          <t>DERIVED — wrong until Q42</t>
        </is>
      </c>
      <c r="E68" s="3" t="inlineStr">
        <is>
          <t>Q42 (2026-09-08)</t>
        </is>
      </c>
      <c r="F68" s="3" t="inlineStr"/>
    </row>
    <row r="69" ht="15" customHeight="1">
      <c r="A69" s="3" t="inlineStr">
        <is>
          <t>Options</t>
        </is>
      </c>
      <c r="B69" s="3" t="inlineStr">
        <is>
          <t>Total Cost</t>
        </is>
      </c>
      <c r="C69" s="3" t="inlineStr">
        <is>
          <t>derived</t>
        </is>
      </c>
      <c r="D69" s="8" t="inlineStr">
        <is>
          <t>DERIVED</t>
        </is>
      </c>
      <c r="E69" s="3" t="inlineStr"/>
      <c r="F69" s="3" t="inlineStr"/>
    </row>
    <row r="70" ht="15" customHeight="1">
      <c r="A70" s="3" t="inlineStr">
        <is>
          <t>Options</t>
        </is>
      </c>
      <c r="B70" s="3" t="inlineStr">
        <is>
          <t>Unrealized Gain/Loss</t>
        </is>
      </c>
      <c r="C70" s="3" t="inlineStr">
        <is>
          <t>derived</t>
        </is>
      </c>
      <c r="D70" s="8" t="inlineStr">
        <is>
          <t>DERIVED</t>
        </is>
      </c>
      <c r="E70" s="3" t="inlineStr"/>
      <c r="F70" s="3" t="inlineStr"/>
    </row>
    <row r="71" ht="15" customHeight="1">
      <c r="A71" s="3" t="inlineStr">
        <is>
          <t>Options</t>
        </is>
      </c>
      <c r="B71" s="3" t="inlineStr">
        <is>
          <t>Purchase Date</t>
        </is>
      </c>
      <c r="C71" s="3" t="inlineStr">
        <is>
          <t>MK-XS-I-007</t>
        </is>
      </c>
      <c r="D71" s="6" t="inlineStr">
        <is>
          <t>CAPTURED</t>
        </is>
      </c>
      <c r="E71" s="3" t="inlineStr"/>
      <c r="F71" s="3" t="inlineStr"/>
    </row>
    <row r="72" ht="45" customHeight="1">
      <c r="A72" s="3" t="inlineStr">
        <is>
          <t>Commodities</t>
        </is>
      </c>
      <c r="B72" s="3" t="inlineStr">
        <is>
          <t>(no rows in your file)</t>
        </is>
      </c>
      <c r="C72" s="3" t="inlineStr">
        <is>
          <t>—</t>
        </is>
      </c>
      <c r="D72" s="3" t="inlineStr">
        <is>
          <t>N/A</t>
        </is>
      </c>
      <c r="E72" s="3" t="inlineStr">
        <is>
          <t>your answer to master Q13</t>
        </is>
      </c>
      <c r="F72" s="3" t="inlineStr">
        <is>
          <t>GLD is a fund; physical metal is the only genuinely new thing.</t>
        </is>
      </c>
    </row>
  </sheetData>
  <autoFilter ref="A1:F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8"/>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60" customHeight="1">
      <c r="A2" s="3" t="inlineStr">
        <is>
          <t>MK-XS-M-002</t>
        </is>
      </c>
      <c r="B2" s="3" t="inlineStr">
        <is>
          <t>Home · Plan · Cashflow</t>
        </is>
      </c>
      <c r="C2" s="3" t="inlineStr">
        <is>
          <t>NA</t>
        </is>
      </c>
      <c r="D2" s="3" t="inlineStr">
        <is>
          <t>Will my money last / Is my money lasting (odds)</t>
        </is>
      </c>
      <c r="E2" s="3" t="inlineStr">
        <is>
          <t>wil.chance</t>
        </is>
      </c>
      <c r="F2" s="3" t="inlineStr">
        <is>
          <t>selectWillItLast</t>
        </is>
      </c>
      <c r="G2" s="3" t="inlineStr">
        <is>
          <t>1. MK-PL-F-068
2. MK-PL-F-050</t>
        </is>
      </c>
      <c r="H2" s="3" t="inlineStr">
        <is>
          <t>run 1,000 futures; in each year: balance ← balance × (1 + random return) − (expenses − guaranteed income);  odds = futures that never run out ÷ 1,000</t>
        </is>
      </c>
      <c r="I2" s="3" t="inlineStr">
        <is>
          <t>If age, expenses and a pot are all known, run 1,000 simulated futures and report the share in which the money never runs out, exactly — no rounding (founder, 2026-09-14); 1,000 futures give it to a tenth. Otherwise report that it could not be answered — NOT a confident zero. The best-to-worst band was removed (founder decision, fix B6); this row no longer describes one.</t>
        </is>
      </c>
      <c r="J2" s="3" t="inlineStr">
        <is>
          <t>1. everything → WILL_IT_LAST_INPUTS  [NOT AN INPUT — another function’s answer; see the dependency column]
2. is a range wanted → withBand  [NOT AN INPUT — a setting or a filter, not data anyone supplies]</t>
        </is>
      </c>
      <c r="K2" s="3" t="inlineStr">
        <is>
          <t>Percent · exact, no rounding — 1,000 futures give it to a tenth (founder, 2026-09-14)  [derived by rule — confirm]</t>
        </is>
      </c>
      <c r="L2" s="3" t="inlineStr">
        <is>
          <t>No odds at all until the three facts are answered. A sample is shown in their place, labelled as a sample, never as the person's own number.</t>
        </is>
      </c>
      <c r="M2" s="3" t="inlineStr">
        <is>
          <t>One figure per person — or per household when two people share one record  [derived by rule — confirm]</t>
        </is>
      </c>
      <c r="N2" s="3" t="inlineStr">
        <is>
          <t>As of today, from the latest figures held  [derived by rule — confirm]</t>
        </is>
      </c>
      <c r="O2" s="3" t="inlineStr">
        <is>
          <t>1. MK-PL-F-066 (displayOdds) → number
2. MK-PL-F-079 (numOrZero) → n; };
3. MK-NW-F-033 (retirementEarmarkedValue) → number
4. MK-PL-F-049 (retirementSpendMonthly) → number
5. MK-PL-F-050 (simulate) → NOT DECLARED — the code does not say what it gives back
6. MK-PL-F-067 (willItLastInputs) → RetirementInputs | null
7. MK-CF-O-002 (expenses) → Expenses
8. MK-CF-F-132 (map) → NOT DECLARED — the code does not say what it gives back
9. MK-PL-F-074 (median) → number
10. MK-PL-F-072 (mulberry32) → NOT DECLARED — the code does not say what it gives back
11. MK-XS-F-122 (n) → number
12. MK-PL-F-073 (normal) → number
13. MK-PL-F-075 (pctOfSorted) → number
14. MK-ST-F-025 (rmdStartAgeFromAge) → number</t>
        </is>
      </c>
      <c r="P2" s="3" t="inlineStr">
        <is>
          <t>1. MK-PL-F-066 displayOdds → MK-PL-F-068 selectWillItLast
2. MK-XS-F-122 n → MK-PL-F-079 numOrZero → MK-PL-F-068 selectWillItLast
3. MK-NW-F-008 incomeBearingClassOf → MK-NW-F-011 assetClassOf → MK-NW-F-030 earmarkDefault → MK-NW-F-032 earmarkedAmount → MK-NW-F-033 retirementEarmarkedValue → MK-PL-F-068 selectWillItLast
4. MK-NW-F-013 realEstateUseOf → MK-NW-F-030 earmarkDefault → MK-NW-F-032 earmarkedAmount → MK-NW-F-033 retirementEarmarkedValue → MK-PL-F-068 selectWillItLast
5. MK-CF-F-155 cash → MK-NW-F-008 incomeBearingClassOf → MK-NW-F-011 assetClassOf → MK-NW-F-031 primaryCarIdOf → MK-NW-F-033 retirementEarmarkedValue → MK-PL-F-068 selectWillItLast
6. MK-ST-F-010 nameEvidence → MK-NW-F-008 incomeBearingClassOf → MK-NW-F-011 assetClassOf → MK-NW-F-031 primaryCarIdOf → MK-NW-F-033 retirementEarmarkedValue → MK-PL-F-068 selectWillItLast
7. MK-PL-F-047 colFactor → MK-PL-F-049 retirementSpendMonthly → MK-PL-F-068 selectWillItLast
8. MK-CF-F-191 ym → MK-CF-F-148 inMonth → MK-CF-F-151 actualSpending → MK-CF-O-002 expenses → MK-PL-F-049 retirementSpendMonthly → MK-PL-F-068 selectWillItLast
9. … and 5 more paths</t>
        </is>
      </c>
      <c r="Q2" s="3" t="inlineStr">
        <is>
          <t>1. MK-PL-F-066 — Rounds the answer to 6 decimal places.
2. MK-PL-F-050 — If paths is missing it uses 1000.
3. MK-PL-F-050 — If seed is missing it uses 12345.
4. MK-PL-F-050 — If now year is missing it uses 2026.
5. MK-PL-F-050 — If contribution growth is missing it uses 0.
6. MK-PL-F-050 — If pre tax share is missing it uses 0.
7. MK-PL-F-050 — If monthly is missing it counts as zero, so nothing recorded and a real zero look the same.
8. MK-PL-F-050 — If one off by year[off] is missing it counts as zero, so nothing recorded and a real zero look the same.
9. MK-PL-F-050 — If recurring by year[y] is missing it counts as zero, so nothing recorded and a real zero look the same.
10. MK-PL-F-050 — If contrib by year[y] is missing it counts as zero, so nothing recorded and a real zero look the same.
11. MK-PL-F-050 — Uses a built-in successes of 0.
12. MK-PL-F-050 — Turns a monthly figure into a year by multiplying by twelve.
13. MK-PL-F-050 — Never lets off fall below 0.
14. MK-PL-F-050 — Never lets balance fall below 0.
15. MK-PL-F-050 — Never lets required withdrawal tax rate fall below 0.
16. MK-PL-F-050 — The tax on pre-tax withdrawals is the rate the caller passes, capped at 60%; when no rate is passed NO tax is applied and the result says so — never a built-in 22% (G7, founder 2026-09-12).
17. MK-PL-F-050 — Founder ruling 2026-09-08 (G17): one count, 1,000 futures, on every surface; the guard test simulation_paths.test.ts fails on any other number.
18. MK-PL-F-067 — If social security claim age is missing it uses 67.
19. MK-PL-F-067 — If monthly is missing it uses 0.
20. MK-PL-F-067 — If salary growth is missing it uses 0.
21. MK-PL-F-067 — Turns a monthly figure into a year by multiplying by twelve.
22. MK-PL-F-067 — Uses today's date from the device clock, so the answer changes by itself overnight.
23. MK-PL-F-067 — Rounds the answer to a whole number.
24. MK-PL-F-067 — The current age is birthday-aware when the birth month is known, else the year-attained age (G9, 2026-09-12).
25. MK-PL-F-067 — Inflation: the percent figure entered (2.5) is divided by 100 before use — 0.025 a year (G5). The effective tax rate on pre-tax withdrawals is the person's own, from filing status and income (income floored at $30,000), clamped between 10% and 60% (G7 / G35).
… and 43 more, on the functions tab</t>
        </is>
      </c>
      <c r="R2" s="3" t="inlineStr"/>
      <c r="S2" s="3" t="inlineStr">
        <is>
          <t>The odds shown on Home, Plan and Cash flow are rounded to the nearest 5, while the compare tables still show them exact. One figure, two precisions — founder's open question.</t>
        </is>
      </c>
      <c r="T2" s="3" t="inlineStr">
        <is>
          <t>[Founder] One thousand futures, and the odds are rounded to the nearest 5. A genuine 100 or 0 is shown literally; 98 shows as 95, never as 100 (fix B6). The best-to-worst band was removed.
[Built in] The assumed rate of return, which the person can change on the cockpit.</t>
        </is>
      </c>
      <c r="U2" s="3" t="inlineStr"/>
      <c r="V2" s="9" t="inlineStr">
        <is>
          <t>Q19 — The odds are rounded to the nearest 5 on screen but shown exact in the compare tables. Round everywhere, or show exact everywhere?</t>
        </is>
      </c>
      <c r="W2" s="9" t="inlineStr">
        <is>
          <t>show exact everywhere</t>
        </is>
      </c>
      <c r="X2" s="3" t="inlineStr"/>
      <c r="Y2" s="3" t="inlineStr">
        <is>
          <t>NOT DETERMINED</t>
        </is>
      </c>
      <c r="Z2" s="3" t="inlineStr">
        <is>
          <t>VERIFIED 2026-08-22</t>
        </is>
      </c>
      <c r="AA2" s="3" t="inlineStr">
        <is>
          <t>1. A28 — Three contradictions on one row. The maths says 1,000 futures; the assumptions say the code falls back to 500 when the path count is missing. The words describe a best-to-worst range; the decision says that band was removed. The maths shows no rounding, the decision says nearest 5, the assumption says whole number.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 s="3" t="inlineStr">
        <is>
          <t>1. B13 [MISNAMED] — The figure is the thousand-futures simulation. The function it names, MK-PL-F-068 selectWillItLast, is the GATE that decides whether the question can be answered at all — it checks an age, a expenses figure and a nest egg are present. The simulation is a different function and is named on no row of this file.</t>
        </is>
      </c>
      <c r="AC2" s="3" t="inlineStr">
        <is>
          <t>HAS A FUNCTION — traceable from the screen to the code.</t>
        </is>
      </c>
      <c r="AD2" s="3" t="inlineStr"/>
      <c r="AE2" s="3" t="inlineStr">
        <is>
          <t>A28 — FIXED 2026-09-08
B13 — FIXED 2026-09-12
G17 / C2 — CLOSED 2026-09-08: the function default (MK-PL-F-050) and every caller — will-it-last, the snapshot (was 500), the paycheck (was 300), the cockpit scenarios (was 400) — now run 1,000 futures; guard test simulation_paths.test.ts. File and code are both updated and they match 100%.
C2 — CLOSED 2026-09-08: the words no longer describe the removed band; the count is 1,000 everywhere (G17); the unit column already says nearest 5. File only.
G28 batch 1 (2026-09-09) — NEEDS READING. The row claimed only 'another function's answer'; the code record lists 40 inputs — the odds do depend on nearly everything (balances, ages, expenses, Social Security, pension, return, inflation, big costs). A few look like over-inclusion from the static chain (MK-XS-I-016 debt minimum payment, MK-XS-I-041/042 debt payment shape, MK-XS-I-034 option positions). Proposed: I read MK-PL-F-067 and its chain by hand and bring the exact list next batch.</t>
        </is>
      </c>
      <c r="AF2" s="3" t="inlineStr">
        <is>
          <t>ACTIVE</t>
        </is>
      </c>
      <c r="AG2" s="3" t="inlineStr">
        <is>
          <t>2026-09-27</t>
        </is>
      </c>
      <c r="AH2" s="3" t="n"/>
      <c r="AI2" s="3" t="n"/>
      <c r="AJ2" s="3" t="inlineStr">
        <is>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MK-CF-F-197, MK-PL-F-057, MK-PL-F-058, MK-PL-F-060, MK-PL-F-067, MK
9. MK-XS-I-018 retirement age — read by MK-PL-F-049, MK-PL-F-050, MK-PL-F-067
10. MK-XS-I-019 monthly expenses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expenses — read by MK-CF-F-067, MK-CF-F-068, MK-CF-F-150, MK-CF-F-151, MK-CF-F-153, MK-CF-O-002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MK-PL-F-068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is>
      </c>
      <c r="AK2" s="3" t="inlineStr">
        <is>
          <t>(the claim now stands in 'Inputs it needs' until the row is approved)</t>
        </is>
      </c>
      <c r="AL2" s="3" t="n"/>
      <c r="AM2" s="3" t="n"/>
      <c r="AN2" s="3" t="n"/>
      <c r="AO2" s="9" t="inlineStr">
        <is>
          <t>WAITING ON YOU — question Q19 · RULED, NOT CODED (Q-PL-1 — one question, one function)</t>
        </is>
      </c>
    </row>
    <row r="3" ht="60" customHeight="1">
      <c r="A3" s="3" t="inlineStr">
        <is>
          <t>MK-XS-M-005</t>
        </is>
      </c>
      <c r="B3" s="3" t="inlineStr">
        <is>
          <t>Home · Cashflow</t>
        </is>
      </c>
      <c r="C3" s="3" t="inlineStr">
        <is>
          <t>NA</t>
        </is>
      </c>
      <c r="D3" s="3" t="inlineStr">
        <is>
          <t>Spent so far · Spent $X of $Y left to spend this month</t>
        </is>
      </c>
      <c r="E3" s="3" t="inlineStr">
        <is>
          <t>bva.spent_total</t>
        </is>
      </c>
      <c r="F3" s="3" t="inlineStr">
        <is>
          <t>budgetVsActual</t>
        </is>
      </c>
      <c r="G3" s="3" t="inlineStr">
        <is>
          <t>MK-CF-F-014</t>
        </is>
      </c>
      <c r="H3" s="3" t="inlineStr">
        <is>
          <t>spent(bucket) = Σ(expenses dated in this month in that bucket, debt payments excluded);  remaining = planned − spent</t>
        </is>
      </c>
      <c r="I3" s="3" t="inlineStr">
        <is>
          <t>Adds up this month’s logged expenses by bucket and sets each against what was planned. Debt payments are deliberately left out, because debt is tracked on its own.</t>
        </is>
      </c>
      <c r="J3" s="3" t="inlineStr">
        <is>
          <t>NOT DETERMINED — no input list on record for this function</t>
        </is>
      </c>
      <c r="K3" s="3" t="inlineStr">
        <is>
          <t>US dollars · held to the cent · shown as whole dollars  [derived by rule — confirm]</t>
        </is>
      </c>
      <c r="L3" s="3" t="inlineStr">
        <is>
          <t>$0, and under it the one line "Nothing entered yet. Log your expenses ›" (mock approved 2026-09-12). A real zero that was entered shows a plain $0 with no line.</t>
        </is>
      </c>
      <c r="M3" s="3" t="inlineStr">
        <is>
          <t>One figure per month  [derived by rule — confirm]</t>
        </is>
      </c>
      <c r="N3" s="3" t="inlineStr">
        <is>
          <t>This calendar month, to today  [derived by rule — confirm]</t>
        </is>
      </c>
      <c r="O3" s="3" t="inlineStr">
        <is>
          <t>1. MK-CF-F-132 (map) → NOT DECLARED — the code does not say what it gives back
2. MK-CF-F-004 (spendBuckets) → NOT DECLARED — the code does not say what it gives back
3. MK-ST-F-052 (toNum) → number
4. MK-CF-F-191 (ym) → NOT DECLARED — the code does not say what it gives back</t>
        </is>
      </c>
      <c r="P3" s="3" t="inlineStr">
        <is>
          <t>1. MK-CF-F-132 map → MK-CF-F-014 budgetVsActual
2. MK-CF-F-069 benefitActiveMonths → MK-CF-F-092 incomeMonthlyGrid → MK-CF-F-120 pctBaseMonthly → MK-CF-F-003 categoryMonthly → MK-CF-F-004 spendBuckets → MK-CF-F-014 budgetVsActual
3. MK-CF-F-072 currentRetirementIncomeMonthly → MK-CF-F-092 incomeMonthlyGrid → MK-CF-F-120 pctBaseMonthly → MK-CF-F-003 categoryMonthly → MK-CF-F-004 spendBuckets → MK-CF-F-014 budgetVsActual
4. MK-CF-F-173 earnerWages → MK-CF-F-092 incomeMonthlyGrid → MK-CF-F-120 pctBaseMonthly → MK-CF-F-003 categoryMonthly → MK-CF-F-004 spendBuckets → MK-CF-F-014 budgetVsActual
5. MK-CF-F-065 equityVestWeights → MK-CF-F-092 incomeMonthlyGrid → MK-CF-F-120 pctBaseMonthly → MK-CF-F-003 categoryMonthly → MK-CF-F-004 spendBuckets → MK-CF-F-014 budgetVsActual
6. MK-CF-F-071 extraIncome → MK-CF-F-092 incomeMonthlyGrid → MK-CF-F-120 pctBaseMonthly → MK-CF-F-003 categoryMonthly → MK-CF-F-004 spendBuckets → MK-CF-F-014 budgetVsActual
7. MK-ST-F-056 has → MK-CF-F-092 incomeMonthlyGrid → MK-CF-F-120 pctBaseMonthly → MK-CF-F-003 categoryMonthly → MK-CF-F-004 spendBuckets → MK-CF-F-014 budgetVsActual
8. MK-CF-F-206 householdK401ByMonth → MK-CF-F-092 incomeMonthlyGrid → MK-CF-F-120 pctBaseMonthly → MK-CF-F-003 categoryMonthly → MK-CF-F-004 spendBuckets → MK-CF-F-014 budgetVsActual
9. … and 5 more paths</t>
        </is>
      </c>
      <c r="Q3" s="3" t="inlineStr">
        <is>
          <t>1. MK-CF-F-014 — Uses today's date from the device clock, so the answer changes by itself overnight.
2. MK-CF-F-003 — Turns a monthly figure into a year by multiplying by twelve.
3. MK-CF-F-092 — Turns a monthly figure into a year by multiplying by twelve.
4. MK-CF-F-092 — Uses today's date from the device clock, so the answer changes by itself overnight.
5. MK-CF-F-092 — Never lets earned before401k fall below 0.
6. MK-CF-F-065 — Uses a built-in total v of 0.
7. MK-CF-F-087 — Uses today's date from the device clock, so the answer changes by itself overnight.
8. MK-CF-F-181 — Turns a monthly figure into a year by multiplying by twelve.
9. MK-CF-F-181 — Rounds the answer to a whole number.
10. MK-CF-F-068 — Turns a monthly figure into a year by multiplying by twelve.
11. MK-CF-F-088 — Uses today's date from the device clock, so the answer changes by itself overnight.
12. MK-CF-F-088 — Never lets t fall below 0.
13. MK-CF-F-177 — Uses today's date from the device clock, so the answer changes by itself overnight.
14. MK-PL-F-012 — If emergency gap is missing it uses 0.
15. MK-PL-F-012 — If toxic debt is missing it uses 0.
16. MK-PL-F-012 — If employer match monthly is missing it uses 0.
17. MK-PL-F-012 — Never lets surplus fall below 0.
18. MK-PL-F-012 — Never lets need fall below 0.
19. MK-CF-F-008 — Treats a year as twelve equal months.
20. MK-CF-F-008 — Turns a monthly figure into a year by multiplying by twelve.
21. MK-CF-F-176 — If r[i] is missing it counts as zero, so nothing recorded and a real zero look the same.
22. MK-CF-F-180 — Uses a built-in total of 0.
23. MK-CF-F-180 — Turns a monthly figure into a year by multiplying by twelve.
24. MK-CF-F-089 — Uses today's date from the device clock, so the answer changes by itself overnight.
25. MK-CF-F-082 — Uses today's date from the device clock, so the answer changes by itself overnight.
… and 43 more, on the functions tab</t>
        </is>
      </c>
      <c r="R3" s="3" t="inlineStr"/>
      <c r="S3" s="3" t="inlineStr"/>
      <c r="T3" s="3" t="inlineStr">
        <is>
          <t>NOT DETERMINED — no assumption recorded for this figure yet.</t>
        </is>
      </c>
      <c r="U3" s="3" t="inlineStr"/>
      <c r="V3" s="3" t="inlineStr"/>
      <c r="W3" s="3" t="inlineStr"/>
      <c r="X3" s="3" t="inlineStr"/>
      <c r="Y3" s="3" t="inlineStr">
        <is>
          <t>NOT DETERMINED</t>
        </is>
      </c>
      <c r="Z3" s="3" t="inlineStr">
        <is>
          <t>VERIFIED 2026-08-22</t>
        </is>
      </c>
      <c r="AA3" s="3" t="inlineStr">
        <is>
          <t>1. A18 — "Treats a year as twelve equal months" fires on any division by 12, a month index included; "Treats a month as 30 days" fires on any multiplication by 30. Neither is read as arithmetic, so both carry false positives.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 s="3" t="inlineStr">
        <is>
          <t>1. B26 [CLASH] — TWO DEFINITIONS OF "PLANNED" ON ONE CARD. This month shows "Out (bills + debt)" from the dated grid (cell.outflow) and, four rows below, "of $X planned" from spendBuckets — the itemised categories only. With no categories set the second is ZERO while the first is the whole month, so the card reads "Out $8,321 ... Spent $45 of $0 planned". The pace bar is measured against nothing. plannedMonthlySpend (MK-CF-F-002) is the canonical planned figure and the screen does not call it. CashFlowScreen.tsx:588 and :598.</t>
        </is>
      </c>
      <c r="AC3" s="3" t="inlineStr">
        <is>
          <t>HAS A FUNCTION — traceable from the screen to the code.</t>
        </is>
      </c>
      <c r="AD3" s="3" t="inlineStr">
        <is>
          <t>B26 — This month · Expenses — the pace bar measures against nothing when no categories are set</t>
        </is>
      </c>
      <c r="AE3" s="3" t="inlineStr">
        <is>
          <t>B26 — OPEN — RE-VERIFY ON DEVICE 2026-09-12
G32 / Q48 — RULED 2026-09-09: $0 stays, with the sentence '$0 — nothing entered yet.' and this row's door ('Log your expenses ›'). File written; the screen follows the approved empty-state mock (one pattern, one screen), then every screen.
G28 batch 1 (2026-09-09) — NEEDS READING. The claim listed nothing; the code record lists 21 inputs for 'Spent so far', including holding quantities and option positions, which a expenses figure should not depend on. Either MK-CF-F-014 (budgetVsActual) reaches the income grid and from there into the holdings — a real, questionable dependency — or the static chain is counting a branch this figure never runs. This is the first candidate for 'the app reads what it should not'; I read it by hand next batch.</t>
        </is>
      </c>
      <c r="AF3" s="3" t="inlineStr">
        <is>
          <t>ACTIVE</t>
        </is>
      </c>
      <c r="AG3" s="3" t="inlineStr">
        <is>
          <t>2026-08-27</t>
        </is>
      </c>
      <c r="AH3" s="3" t="n"/>
      <c r="AI3" s="3" t="n"/>
      <c r="AJ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MK-CF-F-014, MK-CF-F-067, MK-CF-F-068, MK-CF-F-150, MK-CF-F-151,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MK-CF-F-014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 s="3" t="inlineStr">
        <is>
          <t>(the claim now stands in 'Inputs it needs' until the row is approved)</t>
        </is>
      </c>
      <c r="AL3" s="3" t="n"/>
      <c r="AM3" s="3" t="n"/>
      <c r="AN3" s="3" t="n"/>
      <c r="AO3" s="7" t="inlineStr">
        <is>
          <t>RULED, NOT CODED (Q-CF-2 — one question, one function) · OPEN FINDING B26</t>
        </is>
      </c>
    </row>
    <row r="4" ht="60" customHeight="1">
      <c r="A4" s="3" t="inlineStr">
        <is>
          <t>MK-XS-M-006</t>
        </is>
      </c>
      <c r="B4" s="3" t="inlineStr">
        <is>
          <t>Home · Cashflow</t>
        </is>
      </c>
      <c r="C4" s="3" t="inlineStr">
        <is>
          <t>NA</t>
        </is>
      </c>
      <c r="D4" s="3" t="inlineStr">
        <is>
          <t>Income · In (received) · In (take-home)</t>
        </is>
      </c>
      <c r="E4" s="3" t="inlineStr">
        <is>
          <t>thisMonthNet</t>
        </is>
      </c>
      <c r="F4" s="3" t="inlineStr">
        <is>
          <t>incomeMonthlyGrid</t>
        </is>
      </c>
      <c r="G4" s="3" t="inlineStr">
        <is>
          <t>MK-CF-F-092</t>
        </is>
      </c>
      <c r="H4" s="3" t="inlineStr">
        <is>
          <t>money in month m = salary(m) + tips(m) + self-employment(m) + rental after costs(m) + investment income(m) + other income(m) + bonus(m) + signing bonus(m) + equity vesting(m) + benefits(m) + family support(m) − withholding(m) − pre-tax contributions(m)</t>
        </is>
      </c>
      <c r="I4" s="3" t="inlineStr">
        <is>
          <t>Builds twelve months of money in, one month at a time. Salary comes from the per-month table, equity lands in the months it vests, the bonus lands in its own month, and each month has its own withholding rate.</t>
        </is>
      </c>
      <c r="J4" s="3" t="inlineStr">
        <is>
          <t>NOT DETERMINED — no input list on record for this function</t>
        </is>
      </c>
      <c r="K4" s="3" t="inlineStr">
        <is>
          <t>US dollars · held to the cent · shown as whole dollars  [derived by rule — confirm]</t>
        </is>
      </c>
      <c r="L4" s="3" t="inlineStr">
        <is>
          <t>$0, and under it the one line "Nothing entered yet. Add your income ›" (mock approved 2026-09-12). A real zero that was entered shows a plain $0 with no line.</t>
        </is>
      </c>
      <c r="M4" s="3" t="inlineStr">
        <is>
          <t>One figure per person — or per household when two people share one record  [derived by rule — confirm]</t>
        </is>
      </c>
      <c r="N4" s="3" t="inlineStr">
        <is>
          <t>This calendar month, to today  [derived by rule — confirm]</t>
        </is>
      </c>
      <c r="O4" s="3" t="inlineStr">
        <is>
          <t>1. MK-CF-F-069 (benefitActiveMonths) → number[]
2. MK-CF-F-072 (currentRetirementIncomeMonthly) → number
3. MK-CF-F-173 (earnerWages) → EarnerWage[]
4. MK-CF-F-065 (equityVestWeights) → number[] | null
5. MK-CF-F-071 (extraIncome) → NOT DECLARED — the code does not say what it gives back
6. MK-ST-F-056 (has) → NOT DECLARED — the code does not say what it gives back
7. MK-CF-F-206 (householdK401ByMonth) → number[]
8. MK-CF-F-132 (map) → NOT DECLARED — the code does not say what it gives back
9. MK-CF-F-087 (monthlyTaxRates) → number[]
10. MK-CF-F-073 (otherIncomeMonth) → number
11. MK-CF-F-181 (rateInForce) → RateInForce
12. MK-CF-F-068 (rentalNetAnnual) → number
13. MK-CF-F-066 (rsuAnnual) → number
14. MK-CF-F-060 (salaryGrossByMonth) → number[]
15. MK-CF-F-077 (scholarshipByCalendarMonth) → number[]
16. MK-CF-F-088 (taxableByCalendarMonth) → number[]
17. MK-ST-F-052 (toNum) → number
18. MK-CF-F-177 (wageGrossByMonth) → number[]
19. MK-PL-F-012 (waterfall) → NOT DECLARED — the code does not say what it gives back</t>
        </is>
      </c>
      <c r="P4" s="3" t="inlineStr">
        <is>
          <t>1. MK-CF-F-069 benefitActiveMonths → MK-CF-F-092 incomeMonthlyGrid
2. MK-XS-F-122 n → MK-ST-F-052 toNum → MK-CF-F-075 retirementIncomeMonthly → MK-CF-F-072 currentRetirementIncomeMonthly → MK-CF-F-092 incomeMonthlyGrid
3. MK-ST-F-056 has → MK-CF-F-172 hasWage → MK-CF-F-173 earnerWages → MK-CF-F-092 incomeMonthlyGrid
4. MK-XS-F-122 n → MK-ST-F-052 toNum → MK-CF-F-062 equityRowValue → MK-CF-F-065 equityVestWeights → MK-CF-F-092 incomeMonthlyGrid
5. MK-CF-F-132 map → MK-CF-F-065 equityVestWeights → MK-CF-F-092 incomeMonthlyGrid
6. MK-CF-F-069 benefitActiveMonths → MK-CF-F-070 benefitAnnual → MK-CF-F-071 extraIncome → MK-CF-F-092 incomeMonthlyGrid
7. MK-XS-F-122 n → MK-ST-F-052 toNum → MK-CF-F-070 benefitAnnual → MK-CF-F-071 extraIncome → MK-CF-F-092 incomeMonthlyGrid
8. MK-ST-F-039 on → MK-CF-F-071 extraIncome → MK-CF-F-092 incomeMonthlyGrid
9. … and 5 more paths</t>
        </is>
      </c>
      <c r="Q4" s="3" t="inlineStr">
        <is>
          <t>1. MK-CF-F-092 — Turns a monthly figure into a year by multiplying by twelve.
2. MK-CF-F-092 — Uses today's date from the device clock, so the answer changes by itself overnight.
3. MK-CF-F-092 — Never lets earned before401k fall below 0.
4. MK-CF-F-065 — Uses a built-in total v of 0.
5. MK-CF-F-087 — Uses today's date from the device clock, so the answer changes by itself overnight.
6. MK-CF-F-181 — Turns a monthly figure into a year by multiplying by twelve.
7. MK-CF-F-181 — Rounds the answer to a whole number.
8. MK-CF-F-068 — Turns a monthly figure into a year by multiplying by twelve.
9. MK-CF-F-088 — Uses today's date from the device clock, so the answer changes by itself overnight.
10. MK-CF-F-088 — Never lets t fall below 0.
11. MK-CF-F-177 — Uses today's date from the device clock, so the answer changes by itself overnight.
12. MK-PL-F-012 — If emergency gap is missing it uses 0.
13. MK-PL-F-012 — If toxic debt is missing it uses 0.
14. MK-PL-F-012 — If employer match monthly is missing it uses 0.
15. MK-PL-F-012 — Never lets surplus fall below 0.
16. MK-PL-F-012 — Never lets need fall below 0.
17. MK-CF-F-176 — If r[i] is missing it counts as zero, so nothing recorded and a real zero look the same.
18. MK-CF-F-180 — Uses a built-in total of 0.
19. MK-CF-F-180 — Turns a monthly figure into a year by multiplying by twelve.
20. MK-CF-F-089 — Uses today's date from the device clock, so the answer changes by itself overnight.
21. MK-CF-F-082 — Uses today's date from the device clock, so the answer changes by itself overnight.
22. MK-CF-F-101 — Never lets state rate fall below 0.
23. MK-CF-F-101 — The 2026 bands per filing status are the Reference tab's statutory table (IRS Rev. Proc. 2025-32 §4.01), checked by statutory_constants.test.ts.
24. MK-CF-F-084 — Turns a monthly figure into a year by multiplying by twelve.
25. MK-CF-F-084 — Uses today's date from the device clock, so the answer changes by itself overnight.
… and 42 more, on the functions tab</t>
        </is>
      </c>
      <c r="R4" s="3" t="inlineStr"/>
      <c r="S4" s="3" t="inlineStr"/>
      <c r="T4" s="3" t="inlineStr">
        <is>
          <t>NOT DETERMINED — no assumption recorded for this figure yet.</t>
        </is>
      </c>
      <c r="U4" s="3" t="inlineStr">
        <is>
          <t>THE SURVIVING IDENTIFIER for this figure. Folded in: MK-CF-M-018. Money in this month. "In (take-home)" on Cash flow is the same figure as "Income" on Home.</t>
        </is>
      </c>
      <c r="V4" s="3" t="inlineStr"/>
      <c r="W4" s="3" t="inlineStr"/>
      <c r="X4" s="3" t="inlineStr"/>
      <c r="Y4" s="3" t="inlineStr">
        <is>
          <t>NOT DETERMINED</t>
        </is>
      </c>
      <c r="Z4" s="3" t="inlineStr">
        <is>
          <t>VERIFIED 2026-08-22</t>
        </is>
      </c>
      <c r="AA4"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4" s="3" t="inlineStr">
        <is>
          <t>1. B27 [CLASH] — TAKE-HOME TYPED BY THE PERSON IS NOT WHAT THEY SEE. When salaryMode is "takehome" the app grosses the entered figure up (grossFromNet, tax.ts:172), then taxes it back down. grossFromNet adds back TAX ONLY — but take-home already has the 401(k) out of it, so the contribution is removed twice. Someone typing $4,818 a month with $20,000 a year going into a 401(k) is shown $3,351 — $1,467 a month adrift. Pre-existing; B05 improved it by $200 and left the cause. The founder's ruling 2026-08-27: what is entered as take-home IS take-home, used as typed, never grossed up.
2. B34 [CLASH] — INTEREST AND DIVIDENDS ARE COUNTED AS MONEY YOU CAN SPEND. invAnnual flows through extraIncome into ex.taxableMonthly, which lands in incomeMonthlyGrid (src/domain/income/onboarding.ts:1386) — the grid that produces TAKE-HOME. But dividends and interest are normally reinvested; they never reach the bank account. So every surplus, every runway and every savings figure is too generous by that amount — $250 a month on $3,000 a year. They are TAXABLE and they are not SPENDABLE, and the app has only one bucket for both. [Founder 2026-08-27] They belong in what income is taxed on, never in what lands.
3. B25 [CLASH] — The money-in formula lists salary, tips, rental ÷ 12, bonus and equity vesting. The code (incomeMonthlyGrid) also adds a SIGNING BONUS. A whole income source is missing from the file's arithmetic.</t>
        </is>
      </c>
      <c r="AC4" s="3" t="inlineStr">
        <is>
          <t>HAS A FUNCTION — traceable from the screen to the code.</t>
        </is>
      </c>
      <c r="AD4" s="3" t="inlineStr">
        <is>
          <t>B27 — Base salary · This month — take-home shown up to $1,600/mo adrift from what was typed
B34 — This month · Expenses — dividends counted as spendable, so surplus reads $250/mo too high</t>
        </is>
      </c>
      <c r="AE4" s="3" t="inlineStr">
        <is>
          <t>B27 — FIXED 2026-09-01
B34 — OPEN — YOUR DECISION 2026-09-12
B25 — FIXED 2026-09-12
G32 / Q48 — 2026-09-09: the 'division with nothing on the bottom' boilerplate is gone; this cell now states the row's real refusal. Where it says 'built', the screen already does it; the rest follow the empty-state mock.
G28 batch 1 (2026-09-09) — NEEDS READING — same shape as MK-XS-M-005: MK-CF-F-092 (incomeMonthlyGrid) is shown reading holding quantity and option positions. Take-home should not depend on holdings; to be read by hand.</t>
        </is>
      </c>
      <c r="AF4" s="3" t="inlineStr">
        <is>
          <t>ACTIVE</t>
        </is>
      </c>
      <c r="AG4" s="3" t="inlineStr">
        <is>
          <t>2026-08-27</t>
        </is>
      </c>
      <c r="AH4" s="3" t="n"/>
      <c r="AI4" s="3" t="n"/>
      <c r="AJ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 s="3" t="inlineStr">
        <is>
          <t>(the claim now stands in 'Inputs it needs' until the row is approved)</t>
        </is>
      </c>
      <c r="AL4" s="3" t="n"/>
      <c r="AM4" s="3" t="n"/>
      <c r="AN4" s="3" t="n"/>
      <c r="AO4" s="7" t="inlineStr">
        <is>
          <t>RULED, NOT CODED (Q-CF-1 — one question, one function) · OPEN FINDING B34</t>
        </is>
      </c>
    </row>
    <row r="5" ht="60" customHeight="1">
      <c r="A5" s="3" t="inlineStr">
        <is>
          <t>MK-XS-M-007</t>
        </is>
      </c>
      <c r="B5" s="3" t="inlineStr">
        <is>
          <t>Home · Cashflow</t>
        </is>
      </c>
      <c r="C5" s="3" t="inlineStr">
        <is>
          <t>NA</t>
        </is>
      </c>
      <c r="D5" s="3" t="inlineStr">
        <is>
          <t>Left / Over · left to spend this month</t>
        </is>
      </c>
      <c r="E5" s="3" t="inlineStr">
        <is>
          <t>left</t>
        </is>
      </c>
      <c r="F5" s="3" t="inlineStr">
        <is>
          <t>Worked out on the screen itself — no function behind it</t>
        </is>
      </c>
      <c r="G5" s="3" t="inlineStr"/>
      <c r="H5" s="3" t="inlineStr">
        <is>
          <t>left to spend = money in this month − spent so far</t>
        </is>
      </c>
      <c r="I5" s="3" t="inlineStr">
        <is>
          <t>Worked out on the screen itself, with no function behind it — a place a second definition can appear.</t>
        </is>
      </c>
      <c r="J5" s="3" t="inlineStr">
        <is>
          <t>NOT DETERMINED — no input list on record for this function</t>
        </is>
      </c>
      <c r="K5" s="3" t="inlineStr">
        <is>
          <t>US dollars · held to the cent · shown as whole dollars  [derived by rule — confirm]</t>
        </is>
      </c>
      <c r="L5" s="3" t="inlineStr">
        <is>
          <t>Inherits the refusal of the figures it is built from: if either side is missing, this line is not shown.</t>
        </is>
      </c>
      <c r="M5" s="3" t="inlineStr">
        <is>
          <t>One figure per month  [derived by rule — confirm]</t>
        </is>
      </c>
      <c r="N5" s="3" t="inlineStr">
        <is>
          <t>This calendar month, to today  [derived by rule — confirm]</t>
        </is>
      </c>
      <c r="O5" s="3" t="inlineStr">
        <is>
          <t>No function on record — nothing to chain</t>
        </is>
      </c>
      <c r="P5" s="3" t="inlineStr">
        <is>
          <t>No function on record — nothing to chain</t>
        </is>
      </c>
      <c r="Q5" s="3" t="inlineStr">
        <is>
          <t>No function on record — assumptions unknown</t>
        </is>
      </c>
      <c r="R5" s="3" t="inlineStr"/>
      <c r="S5" s="3" t="inlineStr"/>
      <c r="T5" s="3" t="inlineStr">
        <is>
          <t>NOT DETERMINED — no assumption recorded for this figure yet.</t>
        </is>
      </c>
      <c r="U5" s="3" t="inlineStr"/>
      <c r="V5" s="3" t="inlineStr"/>
      <c r="W5" s="3" t="inlineStr"/>
      <c r="X5" s="3" t="inlineStr"/>
      <c r="Y5" s="3" t="inlineStr">
        <is>
          <t>NOT DETERMINED</t>
        </is>
      </c>
      <c r="Z5" s="3" t="inlineStr">
        <is>
          <t>VERIFIED 2026-08-22</t>
        </is>
      </c>
      <c r="AA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5" s="3" t="inlineStr">
        <is>
          <t>B24 [NOT COMPARABLE] — This figure names no function, so its formula cannot be checked against anything. 69 of the 163 figures are in this position — the audit covers the 94 that name one.</t>
        </is>
      </c>
      <c r="AC5" s="3" t="inlineStr">
        <is>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is>
      </c>
      <c r="AD5" s="3" t="inlineStr"/>
      <c r="AE5" s="3" t="inlineStr">
        <is>
          <t>No finding on this row. That is not a statement that the row is right — only that nothing has been written against it.</t>
        </is>
      </c>
      <c r="AF5" s="3" t="inlineStr">
        <is>
          <t>ACTIVE</t>
        </is>
      </c>
      <c r="AG5" s="3" t="inlineStr">
        <is>
          <t>2026-08-27</t>
        </is>
      </c>
      <c r="AH5" s="3" t="n"/>
      <c r="AI5" s="3" t="n"/>
      <c r="AJ5" s="3" t="inlineStr">
        <is>
          <t>No function on record — nothing to read from
[the code's record, this build — evidence for the ruling, not the row's statement: it cannot see inputs handed in as arguments, and it counts every branch below the producer]</t>
        </is>
      </c>
      <c r="AK5" s="3" t="inlineStr">
        <is>
          <t>(the claim now stands in 'Inputs it needs' until the row is approved)</t>
        </is>
      </c>
      <c r="AL5" s="3" t="n"/>
      <c r="AM5" s="3" t="n"/>
      <c r="AN5" s="3" t="n"/>
      <c r="AO5" s="7" t="inlineStr">
        <is>
          <t>RULED, NOT CODED (Q-CF-2 — one question, one function)</t>
        </is>
      </c>
    </row>
    <row r="6" ht="60" customHeight="1">
      <c r="A6" s="3" t="inlineStr">
        <is>
          <t>MK-XS-M-001</t>
        </is>
      </c>
      <c r="B6" s="3" t="inlineStr">
        <is>
          <t>Home · Networth</t>
        </is>
      </c>
      <c r="C6" s="3" t="inlineStr">
        <is>
          <t>/home · /analytics</t>
        </is>
      </c>
      <c r="D6" s="3" t="inlineStr">
        <is>
          <t>Net worth</t>
        </is>
      </c>
      <c r="E6" s="3" t="inlineStr">
        <is>
          <t>net_worth</t>
        </is>
      </c>
      <c r="F6" s="3" t="inlineStr">
        <is>
          <t>theNetWorth</t>
        </is>
      </c>
      <c r="G6" s="3" t="inlineStr">
        <is>
          <t>MK-NW-O-003</t>
        </is>
      </c>
      <c r="H6" s="3" t="inlineStr">
        <is>
          <t>the sum of every account’s value, minus the sum of every debt’s balance</t>
        </is>
      </c>
      <c r="I6" s="3" t="inlineStr">
        <is>
          <t>the sum of every account’s value, minus the sum of every debt’s balance</t>
        </is>
      </c>
      <c r="J6" s="3" t="inlineStr">
        <is>
          <t>MK-NW-I-001 your accounts
MK-NW-I-002 your debts</t>
        </is>
      </c>
      <c r="K6" s="3" t="inlineStr">
        <is>
          <t>dollars, whole</t>
        </is>
      </c>
      <c r="L6" s="3" t="inlineStr">
        <is>
          <t>$0, and under it the one line "Nothing entered yet. Add your accounts ›" (mock approved 2026-09-12). A real zero that was entered shows a plain $0 with no line.</t>
        </is>
      </c>
      <c r="M6" s="3" t="inlineStr">
        <is>
          <t>one figure per household</t>
        </is>
      </c>
      <c r="N6" s="3" t="inlineStr">
        <is>
          <t>as of today</t>
        </is>
      </c>
      <c r="O6"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6" s="3" t="inlineStr">
        <is>
          <t>Declared by MK-NW-O-003 theNetWorth</t>
        </is>
      </c>
      <c r="Q6" s="3" t="inlineStr">
        <is>
          <t>NONE RECORDED — the declaration names none.</t>
        </is>
      </c>
      <c r="R6" s="3" t="inlineStr">
        <is>
          <t>NONE RECORDED — the declaration names none.</t>
        </is>
      </c>
      <c r="S6" s="3" t="inlineStr"/>
      <c r="T6" s="3" t="inlineStr">
        <is>
          <t>NONE RECORDED — the declaration names none.</t>
        </is>
      </c>
      <c r="U6" s="3" t="inlineStr">
        <is>
          <t>Home and the Net worth tab print THIS figure. They each built their own before 2026-09-27.</t>
        </is>
      </c>
      <c r="V6" s="3" t="inlineStr">
        <is>
          <t>Q48 — G32, the invented zero. WHAT IS WRONG: 54 figures — net worth itself among them — say 'Adds up to $0 when there is nothing to add', so a person who has entered nothing and a person whose accounts genuinely sum to $0 see the same $0. Your own rule (Hunt 5) forbids an invented figure. On 22 more rows the refusal text talks about 'a division with nothing on the bottom' where there is no division (MK-XS-M-006, MK-CF-M-006/007/008, MK-MN-M-011/012/013 are sums). THE FIX I PROPOSE, as one rule: when nothing has been entered the figure is NOT shown as $0 — the card shows its door ('Add your accounts ›', the wording the Net worth cushion already uses); a real $0 (entered, adds to nothing) still shows $0. Then I write the 54 refusal texts and the 22 corrected ones row by row and put them in front of you in batches, so you approve the rows, not the policy. Approve the rule?  [ANSWERED 2026-09-09 — see YOUR ANSWER]
Q49 — G37, floats versus decimals. TWO OF YOUR OWN STATEMENTS CONFLICT: the Reference tab's standing decision (2026-08-22) says 'every number is held as a float internally, rounding once at the edge'; your ruling brief Q-56 (2026-08-20) says full-precision DECIMAL end to end, rounded once at display. Today the code is floats (JavaScript numbers) with cents rounding at many points, so it matches the 22 August line and not brief Q-56 (2026-08-20). THE QUESTION: which stands? (a) the float line stands and brief Q-56 (2026-08-20) is marked superseded, dated — nothing to build; or (b) brief Q-56 (2026-08-20) stands, the Reference line is marked superseded, and decimal arithmetic on the money paths becomes scheduled work (finding B8). My recommendation: (a) for now — the sums are to the cent and a decimal library is a large change for no wrong number on screen today.  [ANSWERED 2026-09-09 — see YOUR ANSWER]</t>
        </is>
      </c>
      <c r="W6" s="3" t="inlineStr">
        <is>
          <t>Q48: Screen shows zero with a statement explaining zero as nothing is entered and here is the door. (1) approved [the sentence '$0 — nothing entered yet.' with the row's door; a real entered zero = plain $0]. (2) one mock of the pattern on one screen. (answered in chat, 2026-09-09)
Q49: For purpose of calculation keep full decimals, and for purpose of display use 2 decimals unless explicitly stated. For example, crypto holdings are typically displayed using 8 decimals. (1) recommendation approved [whole dollars for totals, balances, projections; two decimals for prices, rates, expenses, per-share; eight for coin quantities; percents to two decimals]. (2) use all decimals for calculation, and fix the code in one pass. (answered in chat, 2026-09-09)</t>
        </is>
      </c>
      <c r="X6" s="3" t="inlineStr"/>
      <c r="Y6" s="3" t="inlineStr"/>
      <c r="Z6" s="3" t="inlineStr">
        <is>
          <t>DECLARED IN THE CODE (rule 11) — printed from the door, not typed. RULED 2026-09-27</t>
        </is>
      </c>
      <c r="AA6" s="3" t="inlineStr"/>
      <c r="AB6" s="3" t="inlineStr"/>
      <c r="AC6" s="3" t="inlineStr"/>
      <c r="AD6" s="3" t="inlineStr"/>
      <c r="AE6" s="3" t="inlineStr">
        <is>
          <t>G26 — CLOSED 2026-09-08: the Dependency column on every active figure is generated from the function registry (each function one step below the producer, by its identifier, and what it hands up); a build guard now fails on any retired function identifier.
G27 — CLOSED 2026-09-08: 'Figures that name it' on the functions tab is derived from the screen tabs' Function ID column.
G28 — MECHANISM DONE 2026-09-08, FILE STILL OPEN (corrected 2026-09-09): the reconciliation tab now compares by identifier on all 62 inputs and reports 59 disagreements — 31 partly agree, 18 reached but not declared, 5 declared but not reached, 5 neither. The rows' own input lists come from the old inventory; the code's record now sits beside them in 'Inputs the code reads (from the chain, this build)' for a row-by-row ruling.
G29 — CLOSED 2026-09-08: the Specification counts are read off the file as built; MK-NW-M-006 carries its formula.
G33 — CLOSED 2026-09-08 as ruled: S04, S06 and S07 read PARTIAL — the unit, grain and period are derived by rule and say so; reading them from the function is still open work.
G34 — CLOSED 2026-09-08: one word per concept in the master's words columns (take-home · calculated · draw from savings · check), the three screen labels changed to match, and a build guard fails on a banned word.
G30 — CLOSED 2026-09-08: inflation defaults to the dated 30-year average (MK-PL-F-083), adjustable on the cockpit, no feed.
G32 — waiting on Q48 (the rule for the invented zero). G37 — waiting on Q49 (floats or decimals).
G32 / Q48 — RULED 2026-09-09: $0 stays, with the sentence '$0 — nothing entered yet.' and this row's door ('Add your accounts ›'). File written; the screen follows the approved empty-state mock (one pattern, one screen), then every screen.
G28 batch 1 (2026-09-09) — FILE RIGHT, code record blind. The row claims MK-XS-I-001 (account balance) and MK-XS-I-014 (debt balance); the code record says none because MK-NW-F-065 (buildNetWorth) is handed two totals that MK-NW-F-040 and MK-CF-F-036 compute from those inputs. Proposed approved list: MK-XS-I-001 · MK-XS-I-014.
Your comment, 2026-09-14, in 'Inputs — approved list': "Not sure what you want me to approve?" — ANSWER: that column asked you to type the input identifiers this figure rests on. For net worth those are MK-XS-I-001 (account balance) and MK-XS-I-014 (debt balance), and the row already names both. It was batch 1 of ten rows in the inputs check (G28). You do not need to do it. Under rule 11 a figure's inputs are part of its row, so you approve them when you rule on the row. The separate ask is retired on all ten rows of batch 1. Your comment stays on the row exactly as you wrote it, and the build no longer reads it as an approval.</t>
        </is>
      </c>
      <c r="AF6" s="3" t="inlineStr">
        <is>
          <t>ACTIVE</t>
        </is>
      </c>
      <c r="AG6" s="3" t="inlineStr">
        <is>
          <t>2026-10-04</t>
        </is>
      </c>
      <c r="AH6" s="3" t="inlineStr"/>
      <c r="AI6" s="3" t="inlineStr"/>
      <c r="AJ6"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 s="3" t="inlineStr">
        <is>
          <t>(the claim now stands in 'Inputs it needs' until the row is approved)</t>
        </is>
      </c>
      <c r="AL6" s="3" t="inlineStr">
        <is>
          <t>Not sure what you want me to approve?</t>
        </is>
      </c>
      <c r="AM6" s="3" t="inlineStr">
        <is>
          <t>TESTED, NOT VERIFIED — you ruled on this row 2026-09-27; the figure, its formula, inputs and refusal live in MK-NW-O-003 theNetWorth</t>
        </is>
      </c>
      <c r="AN6" s="3" t="inlineStr">
        <is>
          <t>$18,000 checking, $142,000 brokerage, a $24,200 Treasury, a $310,000 rental and $9,000 of gold; against a $228,000 mortgage at $2,400/month and a $14,000 car loan at $250/month. Cash + investments stood at $180,000 on 2 Jan 2026.
GIVES: $261,200
(the test re-runs this through MK-NW-O-003 theNetWorth on every build)</t>
        </is>
      </c>
      <c r="AO6" s="7" t="inlineStr">
        <is>
          <t>RULED, NOT CODED (Q-NW-1 — one question, one function)</t>
        </is>
      </c>
    </row>
    <row r="7" ht="60" customHeight="1">
      <c r="A7" s="3" t="inlineStr">
        <is>
          <t>MK-XS-M-003</t>
        </is>
      </c>
      <c r="B7" s="3" t="inlineStr">
        <is>
          <t>Home · Networth</t>
        </is>
      </c>
      <c r="C7" s="3" t="inlineStr">
        <is>
          <t>/home · /analytics</t>
        </is>
      </c>
      <c r="D7" s="3" t="inlineStr">
        <is>
          <t>YOUR INVESTMENTS</t>
        </is>
      </c>
      <c r="E7" s="3" t="inlineStr">
        <is>
          <t>your_investments</t>
        </is>
      </c>
      <c r="F7" s="3" t="inlineStr">
        <is>
          <t>theNetWorth</t>
        </is>
      </c>
      <c r="G7" s="3" t="inlineStr">
        <is>
          <t>MK-NW-O-003</t>
        </is>
      </c>
      <c r="H7" s="3" t="inlineStr">
        <is>
          <t>investments = Σ(balance of each account whose class ∈ {Stocks / Funds, Bonds &amp; CDs, Alternatives, Unclassified})</t>
        </is>
      </c>
      <c r="I7" s="3" t="inlineStr">
        <is>
          <t>the sum of every account whose class is stocks, bonds or alternatives</t>
        </is>
      </c>
      <c r="J7" s="3" t="inlineStr">
        <is>
          <t>MK-NW-I-001 your accounts</t>
        </is>
      </c>
      <c r="K7" s="3" t="inlineStr">
        <is>
          <t>dollars, whole</t>
        </is>
      </c>
      <c r="L7" s="3" t="inlineStr">
        <is>
          <t>$0, and under it the one line "Nothing entered yet. Add your accounts ›" (mock approved 2026-09-12). A real zero that was entered shows a plain $0 with no line.</t>
        </is>
      </c>
      <c r="M7" s="3" t="inlineStr">
        <is>
          <t>one figure per household</t>
        </is>
      </c>
      <c r="N7" s="3" t="inlineStr">
        <is>
          <t>as of today</t>
        </is>
      </c>
      <c r="O7"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7" s="3" t="inlineStr">
        <is>
          <t>Declared by MK-NW-O-003 theNetWorth</t>
        </is>
      </c>
      <c r="Q7" s="3" t="inlineStr">
        <is>
          <t>NONE RECORDED — the declaration names none.</t>
        </is>
      </c>
      <c r="R7" s="3" t="inlineStr">
        <is>
          <t>NONE RECORDED — the declaration names none.</t>
        </is>
      </c>
      <c r="S7" s="3" t="inlineStr"/>
      <c r="T7" s="3" t="inlineStr">
        <is>
          <t>NONE RECORDED — the declaration names none.</t>
        </is>
      </c>
      <c r="U7" s="3" t="inlineStr"/>
      <c r="V7" s="3" t="inlineStr"/>
      <c r="W7" s="3" t="inlineStr"/>
      <c r="X7" s="3" t="inlineStr"/>
      <c r="Y7" s="3" t="inlineStr"/>
      <c r="Z7" s="3" t="inlineStr">
        <is>
          <t>DECLARED IN THE CODE (rule 11) — printed from the door, not typed. RULED 2026-09-27</t>
        </is>
      </c>
      <c r="AA7" s="3" t="inlineStr"/>
      <c r="AB7" s="3" t="inlineStr"/>
      <c r="AC7" s="3" t="inlineStr"/>
      <c r="AD7" s="3" t="inlineStr"/>
      <c r="AE7" s="3" t="inlineStr">
        <is>
          <t>G32 / Q48 — RULED 2026-09-09: $0 stays, with the sentence '$0 — nothing entered yet.' and this row's door ('Add your accounts ›'). File written; the screen follows the approved empty-state mock (one pattern, one screen), then every screen.
G28 batch 1 (2026-09-09) — FILE INCOMPLETE. MK-NW-F-021 (investmentsTotal) sums account values that are themselves built from holdings and their classification, so it truly reads MK-XS-I-002 (account type), MK-XS-I-004 (quantity), MK-XS-I-005 (price), MK-XS-I-007 (lots), MK-XS-I-013 (bond maturity) and MK-XS-I-055 (wrapper) on top of the claimed MK-XS-I-001 and MK-XS-I-048. Proposed approved list: those eight.</t>
        </is>
      </c>
      <c r="AF7" s="3" t="inlineStr">
        <is>
          <t>ACTIVE</t>
        </is>
      </c>
      <c r="AG7" s="3" t="inlineStr">
        <is>
          <t>2026-10-04</t>
        </is>
      </c>
      <c r="AH7" s="3" t="inlineStr"/>
      <c r="AI7" s="3" t="inlineStr"/>
      <c r="AJ7"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 s="3" t="inlineStr">
        <is>
          <t>(the claim now stands in 'Inputs it needs' until the row is approved)</t>
        </is>
      </c>
      <c r="AL7" s="3" t="inlineStr"/>
      <c r="AM7" s="3" t="inlineStr">
        <is>
          <t>TESTED, NOT VERIFIED — you ruled on this row 2026-09-27; the figure, its formula, inputs and refusal live in MK-NW-O-003 theNetWorth</t>
        </is>
      </c>
      <c r="AN7" s="3" t="inlineStr">
        <is>
          <t>$18,000 checking, $142,000 brokerage, a $24,200 Treasury, a $310,000 rental and $9,000 of gold; against a $228,000 mortgage at $2,400/month and a $14,000 car loan at $250/month. Cash + investments stood at $180,000 on 2 Jan 2026.
GIVES: $175,200
(the test re-runs this through MK-NW-O-003 theNetWorth on every build)</t>
        </is>
      </c>
      <c r="AO7" s="7" t="inlineStr">
        <is>
          <t>RULED, NOT CODED (Q-NW-1 — one question, one function)</t>
        </is>
      </c>
    </row>
    <row r="8" ht="60" customHeight="1">
      <c r="A8" s="3" t="inlineStr">
        <is>
          <t>MK-XS-M-004</t>
        </is>
      </c>
      <c r="B8" s="3" t="inlineStr">
        <is>
          <t>Performance · Home</t>
        </is>
      </c>
      <c r="C8" s="3" t="inlineStr">
        <is>
          <t>/invest · /home</t>
        </is>
      </c>
      <c r="D8" s="3" t="inlineStr">
        <is>
          <t>▲ up/▼ down $X (Y%) this month · Return · YOUR RETURN</t>
        </is>
      </c>
      <c r="E8" s="3" t="inlineStr">
        <is>
          <t>up_down_x_y_this_month__return__your_ret</t>
        </is>
      </c>
      <c r="F8" s="3" t="inlineStr">
        <is>
          <t>thePerformance</t>
        </is>
      </c>
      <c r="G8" s="3" t="inlineStr">
        <is>
          <t>MK-NW-O-008</t>
        </is>
      </c>
      <c r="H8" s="3" t="inlineStr">
        <is>
          <t>return = Σ over usable holdings of (period return × market value) ÷ Σ over usable holdings of (market value)   — usable = holdings with a period return and a market value &gt; 0; rounded to 4 decimal places; nothing when the usable total is 0</t>
        </is>
      </c>
      <c r="I8" s="3" t="inlineStr">
        <is>
          <t>wealth generated ÷ the money that was working in the window, counting each contribution for the part of the window it was there; over a window longer than a year it is shown as a yearly rate</t>
        </is>
      </c>
      <c r="J8" s="3" t="inlineStr">
        <is>
          <t>MK-XS-I-020 the records of money movements
MK-NW-I-001 your accounts
MK-XS-I-006 the price fetched at</t>
        </is>
      </c>
      <c r="K8" s="3" t="inlineStr">
        <is>
          <t>a percentage, two decimals</t>
        </is>
      </c>
      <c r="L8" s="3" t="inlineStr">
        <is>
          <t>No usable return (no price history, or no holding with a value) → the return line is not shown; never 0%. A real 0% return shows 0%.</t>
        </is>
      </c>
      <c r="M8" s="3" t="inlineStr">
        <is>
          <t>one figure per household</t>
        </is>
      </c>
      <c r="N8" s="3" t="inlineStr">
        <is>
          <t>as of today</t>
        </is>
      </c>
      <c r="O8"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8" s="3" t="inlineStr">
        <is>
          <t>Declared by MK-NW-O-008 thePerformance</t>
        </is>
      </c>
      <c r="Q8" s="3" t="inlineStr">
        <is>
          <t>ONE MEANING OF RETURN (B-97, 2026-09-25): dividends and interest are in it, because "Wealth generated" beside it counts them.
A RATE NEEDS SOMETHING TO STAND ON: with no beginning read from the record and no movement to point at, it shows nothing rather than a confident +0.00%.
IT REFUSES WHEN TIMING WOULD DRIVE IT: where money moved in or out in amounts large enough that WHEN it moved decides the percentage, the screen shows the dollar walk instead.
OVER A YEAR IT IS A YEARLY RATE and the screen says so (his ruling, 2026-08-18, restated 2026-09-25).</t>
        </is>
      </c>
      <c r="R8" s="3" t="inlineStr">
        <is>
          <t>ONE MEANING OF RETURN (B-97, 2026-09-25): dividends and interest are in it, because "Wealth generated" beside it counts them.
A RATE NEEDS SOMETHING TO STAND ON: with no beginning read from the record and no movement to point at, it shows nothing rather than a confident +0.00%.
IT REFUSES WHEN TIMING WOULD DRIVE IT: where money moved in or out in amounts large enough that WHEN it moved decides the percentage, the screen shows the dollar walk instead.
OVER A YEAR IT IS A YEARLY RATE and the screen says so (his ruling, 2026-08-18, restated 2026-09-25).</t>
        </is>
      </c>
      <c r="S8" s="3" t="inlineStr"/>
      <c r="T8" s="3" t="inlineStr">
        <is>
          <t>ONE MEANING OF RETURN (B-97, 2026-09-25): dividends and interest are in it, because "Wealth generated" beside it counts them.
A RATE NEEDS SOMETHING TO STAND ON: with no beginning read from the record and no movement to point at, it shows nothing rather than a confident +0.00%.
IT REFUSES WHEN TIMING WOULD DRIVE IT: where money moved in or out in amounts large enough that WHEN it moved decides the percentage, the screen shows the dollar walk instead.
OVER A YEAR IT IS A YEARLY RATE and the screen says so (his ruling, 2026-08-18, restated 2026-09-25).</t>
        </is>
      </c>
      <c r="U8" s="3" t="inlineStr">
        <is>
          <t>DECLARED 2026-09-30. It is the screen’s headline figure — the number in the summary band, on every window chip, and on Home’s glance card — and NO DOOR DECLARED IT. The old metric register has carried the identifier since the start ("▲ up/▼ down $X (Y%) this month · Return · YOUR RETURN"), but the code declared the ending value, the wealth generated and the walk and not the percentage a person actually reads. That is why Home could print a return of its own and no gate noticed (B-112): there was no figure for the two screens to disagree about. It is an MK-XS identifier because it is on more than one screen.</t>
        </is>
      </c>
      <c r="V8" s="3" t="inlineStr">
        <is>
          <t>Q52 — MK-PF-F-026 moneyWeightedReturn is a true personal return — it solves for the rate that makes what you paid in, on the days you paid it in, equal what you have now. It is built, correct and reached by NO SCREEN: the card that showed it was removed by the Performance design you approved on 2026-09-25. The Return the screen does show is a different calculation (Modified Dietz) that also calls itself money-weighted. Do we delete the unused one, or does it get a screen?</t>
        </is>
      </c>
      <c r="W8" s="3" t="inlineStr">
        <is>
          <t>Q52 — ANSWERED 2026-09-30: Q52 - use option B … v17 approved.
BUILT: Where the window Return refuses, the exact rate per year stands in its place instead of an em-dash, on the Performance tab and on an account's own page, and the note says what the figure IS. It is the WINDOW's rate, never the whole record's. Marks 16 and 18 of mock v17. Pinned by performance.test.ts (four tests) and perf_v17_marks.test.tsx (three).</t>
        </is>
      </c>
      <c r="X8" s="3" t="inlineStr"/>
      <c r="Y8" s="3" t="inlineStr"/>
      <c r="Z8" s="3" t="inlineStr">
        <is>
          <t>DRAFT — declared in the code and printed here, WAITING FOR YOUR VERDICT before the screens move behind the door (rule 10)</t>
        </is>
      </c>
      <c r="AA8" s="3" t="inlineStr"/>
      <c r="AB8" s="3" t="inlineStr"/>
      <c r="AC8" s="3" t="inlineStr"/>
      <c r="AD8" s="3" t="inlineStr"/>
      <c r="AE8" s="3" t="inlineStr">
        <is>
          <t>G18 — CLOSED 2026-09-08: the math column said a Dietz return; the code (MK-PF-F-019) and the words are the value-weighted average — the math column now says so; the function header's rounding line corrected (4 decimals, not whole number). The money-weighted function stays a separate figure.
G32 / Q48 — 2026-09-09: the 'division with nothing on the bottom' boilerplate is gone; this cell now states the row's real refusal. Where it says 'built', the screen already does it; the rest follow the empty-state mock.
G28 batch 1 (2026-09-09) — FILE INCOMPLETE. MK-PF-F-019 (portfolioPeriodReturn) weights each holding's return by its market value, which needs MK-XS-I-004 (quantity); the price series arrives as an argument, so MK-XS-I-005 (price) is a true input the code record cannot see. Proposed approved list: MK-XS-I-004 · MK-XS-I-005.</t>
        </is>
      </c>
      <c r="AF8" s="3" t="inlineStr">
        <is>
          <t>ACTIVE</t>
        </is>
      </c>
      <c r="AG8" s="3" t="inlineStr">
        <is>
          <t>2026-10-04</t>
        </is>
      </c>
      <c r="AH8" s="3" t="inlineStr"/>
      <c r="AI8" s="3" t="inlineStr"/>
      <c r="AJ8"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8" s="3" t="inlineStr">
        <is>
          <t>(the claim now stands in 'Inputs it needs' until the row is approved)</t>
        </is>
      </c>
      <c r="AL8" s="3" t="inlineStr"/>
      <c r="AM8" s="3" t="inlineStr">
        <is>
          <t>RULED? NOT YET — read this row and say yes, or say what changes. Nothing moves behind MK-NW-O-008 thePerformance until you do.</t>
        </is>
      </c>
      <c r="AN8" s="3" t="inlineStr">
        <is>
          <t>An account worth $30,000 on 31 Dec 2025 (100 VTI at $260 plus $4,000 cash) and $32,000 on 28 Sep 2026, with nothing paid in or taken out and $825 of it arriving as dividends.
GIVES: 6.67%
(the test re-runs this through MK-NW-O-008 thePerformance on every build)</t>
        </is>
      </c>
      <c r="AO8" s="9" t="inlineStr">
        <is>
          <t>WAITING ON YOU — row to approve: say yes in YOUR ANSWER, or say what changes · RULED, NOT CODED (Q-PF-1 — one question, one function)</t>
        </is>
      </c>
    </row>
  </sheetData>
  <autoFilter ref="A1:AO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8"/>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60" customHeight="1">
      <c r="A2" s="3" t="inlineStr">
        <is>
          <t>MK-HM-M-001</t>
        </is>
      </c>
      <c r="B2" s="3" t="inlineStr">
        <is>
          <t>Home</t>
        </is>
      </c>
      <c r="C2" s="3" t="inlineStr">
        <is>
          <t>NA</t>
        </is>
      </c>
      <c r="D2" s="3" t="inlineStr">
        <is>
          <t>prices updated &lt;when&gt;</t>
        </is>
      </c>
      <c r="E2" s="3" t="inlineStr">
        <is>
          <t>freshness</t>
        </is>
      </c>
      <c r="F2" s="3" t="inlineStr">
        <is>
          <t>priceFreshness</t>
        </is>
      </c>
      <c r="G2" s="3" t="inlineStr">
        <is>
          <t>MK-XS-F-082</t>
        </is>
      </c>
      <c r="H2" s="3" t="inlineStr">
        <is>
          <t>age = now − the moment prices were last fetched;  stale when age &gt; the freshness limit</t>
        </is>
      </c>
      <c r="I2" s="3" t="inlineStr">
        <is>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is>
      </c>
      <c r="J2" s="3" t="inlineStr">
        <is>
          <t>1. when it was fetched → fetchedAt  [MK-XS-I-006]
2. now → now  [NOT AN INPUT — a setting or a filter, not data anyone supplies]</t>
        </is>
      </c>
      <c r="K2" s="3" t="inlineStr">
        <is>
          <t>US dollars per unit · held to 8 decimal places · decimals shown  [derived by rule — confirm]</t>
        </is>
      </c>
      <c r="L2" s="3" t="inlineStr">
        <is>
          <t>With no priced holdings there is no freshness to report and the line does not appear.</t>
        </is>
      </c>
      <c r="M2" s="3" t="inlineStr">
        <is>
          <t>One figure per person — or per household when two people share one record  [derived by rule — confirm]</t>
        </is>
      </c>
      <c r="N2" s="3" t="inlineStr">
        <is>
          <t>As of today, from the latest figures held  [derived by rule — confirm]</t>
        </is>
      </c>
      <c r="O2" s="3" t="inlineStr">
        <is>
          <t>1. MK-ST-F-075 (agoLabel) → string | null
2. MK-ST-F-077 (isStale) → boolean</t>
        </is>
      </c>
      <c r="P2" s="3" t="inlineStr">
        <is>
          <t>1. MK-XS-F-170 daysSince → MK-ST-F-075 agoLabel → MK-XS-F-082 priceFreshness
2. MK-XS-F-170 daysSince → MK-ST-F-077 isStale → MK-XS-F-082 priceFreshness</t>
        </is>
      </c>
      <c r="Q2" s="3" t="inlineStr">
        <is>
          <t>None found anywhere in this chain</t>
        </is>
      </c>
      <c r="R2" s="3" t="inlineStr">
        <is>
          <t>DECIDES the moment a price stops being current.</t>
        </is>
      </c>
      <c r="S2" s="3" t="inlineStr">
        <is>
          <t>Prices are never synced, so freshness is per device. Two devices can legitimately disagree about how current a value is.</t>
        </is>
      </c>
      <c r="T2" s="3" t="inlineStr">
        <is>
          <t>NOT DETERMINED — no assumption recorded for this figure yet.</t>
        </is>
      </c>
      <c r="U2" s="3" t="inlineStr"/>
      <c r="V2" s="9" t="inlineStr">
        <is>
          <t>Q22 — How old is too old for a price before the screen warns? Today it is a fixed limit in the code; you have never set it.</t>
        </is>
      </c>
      <c r="W2" s="9" t="inlineStr"/>
      <c r="X2" s="3" t="inlineStr"/>
      <c r="Y2" s="3" t="inlineStr">
        <is>
          <t>NOT DETERMINED</t>
        </is>
      </c>
      <c r="Z2" s="3" t="inlineStr">
        <is>
          <t>VERIFIED 2026-08-22</t>
        </is>
      </c>
      <c r="AA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 s="3" t="inlineStr">
        <is>
          <t>AGREES — the figure's arithmetic and the arithmetic of the function it names say the same thing. Checked 2026-08-26.</t>
        </is>
      </c>
      <c r="AC2" s="3" t="inlineStr">
        <is>
          <t>HAS A FUNCTION — traceable from the screen to the code.</t>
        </is>
      </c>
      <c r="AD2" s="3" t="inlineStr"/>
      <c r="AE2" s="3" t="inlineStr">
        <is>
          <t>No finding on this row. That is not a statement that the row is right — only that nothing has been written against it.</t>
        </is>
      </c>
      <c r="AF2" s="3" t="inlineStr">
        <is>
          <t>ACTIVE</t>
        </is>
      </c>
      <c r="AG2" s="3" t="inlineStr">
        <is>
          <t>2026-09-30</t>
        </is>
      </c>
      <c r="AH2" s="3" t="n"/>
      <c r="AI2" s="3" t="n"/>
      <c r="AJ2" s="3" t="inlineStr">
        <is>
          <t>MK-XS-I-006 price fetched at — read by MK-XS-F-082
[the code's record, this build — evidence for the ruling, not the row's statement: it cannot see inputs handed in as arguments, and it counts every branch below the producer]</t>
        </is>
      </c>
      <c r="AK2" s="3" t="inlineStr">
        <is>
          <t>(the claim now stands in 'Inputs it needs' until the row is approved)</t>
        </is>
      </c>
      <c r="AL2" s="3" t="n"/>
      <c r="AM2" s="3" t="n"/>
      <c r="AN2" s="3" t="n"/>
      <c r="AO2" s="9" t="inlineStr">
        <is>
          <t>WAITING ON YOU — question Q22 · RULED, NOT CODED (Q-NW-1 — one question, one function)</t>
        </is>
      </c>
    </row>
    <row r="3" ht="60" customHeight="1">
      <c r="A3" s="3" t="inlineStr">
        <is>
          <t>MK-HM-M-002</t>
        </is>
      </c>
      <c r="B3" s="3" t="inlineStr">
        <is>
          <t>Home</t>
        </is>
      </c>
      <c r="C3" s="3" t="inlineStr">
        <is>
          <t>NA</t>
        </is>
      </c>
      <c r="D3" s="3" t="inlineStr">
        <is>
          <t>Your net worth just crossed X</t>
        </is>
      </c>
      <c r="E3" s="3" t="inlineStr">
        <is>
          <t>milestone</t>
        </is>
      </c>
      <c r="F3" s="3" t="inlineStr">
        <is>
          <t>milestoneCrossed</t>
        </is>
      </c>
      <c r="G3" s="3" t="inlineStr">
        <is>
          <t>MK-HM-F-004</t>
        </is>
      </c>
      <c r="H3" s="3" t="inlineStr">
        <is>
          <t>crossed when net worth ≥ the next round mark above the highest mark already seen</t>
        </is>
      </c>
      <c r="I3" s="3" t="inlineStr">
        <is>
          <t>Notices when net worth passes a round number for the first time, and remembers the highest one already shown so the same milestone is never announced twice.</t>
        </is>
      </c>
      <c r="J3" s="3" t="inlineStr">
        <is>
          <t>NOT DETERMINED — no input list on record for this function</t>
        </is>
      </c>
      <c r="K3" s="3" t="inlineStr">
        <is>
          <t>US dollars · held to the cent · shown as whole dollars  [derived by rule — confirm]</t>
        </is>
      </c>
      <c r="L3" s="3" t="inlineStr">
        <is>
          <t>NOT DETERMINED — this function has not been read for its refusal yet.</t>
        </is>
      </c>
      <c r="M3" s="3" t="inlineStr">
        <is>
          <t>One figure per person — or per household when two people share one record  [derived by rule — confirm]</t>
        </is>
      </c>
      <c r="N3" s="3" t="inlineStr">
        <is>
          <t>As of today, from the latest figures held  [derived by rule — confirm]</t>
        </is>
      </c>
      <c r="O3" s="3" t="inlineStr">
        <is>
          <t>MK-HM-F-003 (milestoneFloor) → number</t>
        </is>
      </c>
      <c r="P3" s="3" t="inlineStr">
        <is>
          <t>MK-HM-F-003 milestoneFloor → MK-HM-F-004 milestoneCrossed</t>
        </is>
      </c>
      <c r="Q3" s="3" t="inlineStr">
        <is>
          <t>MK-HM-F-003 — Uses a built-in floor of 0.</t>
        </is>
      </c>
      <c r="R3" s="3" t="inlineStr"/>
      <c r="S3" s="3" t="inlineStr"/>
      <c r="T3" s="3" t="inlineStr">
        <is>
          <t>NOT DETERMINED — no assumption recorded for this figure yet.</t>
        </is>
      </c>
      <c r="U3" s="3" t="inlineStr"/>
      <c r="V3" s="3" t="inlineStr"/>
      <c r="W3" s="3" t="inlineStr"/>
      <c r="X3" s="3" t="inlineStr"/>
      <c r="Y3" s="3" t="inlineStr">
        <is>
          <t>NOT DETERMINED</t>
        </is>
      </c>
      <c r="Z3" s="3" t="inlineStr">
        <is>
          <t>VERIFIED 2026-08-22</t>
        </is>
      </c>
      <c r="AA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 s="3" t="inlineStr">
        <is>
          <t>AGREES — the figure's arithmetic and the arithmetic of the function it names say the same thing. Checked 2026-08-26.</t>
        </is>
      </c>
      <c r="AC3" s="3" t="inlineStr">
        <is>
          <t>HAS A FUNCTION — traceable from the screen to the code.</t>
        </is>
      </c>
      <c r="AD3" s="3" t="inlineStr"/>
      <c r="AE3" s="3" t="inlineStr">
        <is>
          <t>No finding on this row. That is not a statement that the row is right — only that nothing has been written against it.</t>
        </is>
      </c>
      <c r="AF3" s="3" t="inlineStr">
        <is>
          <t>ACTIVE</t>
        </is>
      </c>
      <c r="AG3" s="3" t="inlineStr">
        <is>
          <t>2026-08-27</t>
        </is>
      </c>
      <c r="AH3" s="3" t="n"/>
      <c r="AI3" s="3" t="n"/>
      <c r="AJ3" s="3" t="inlineStr">
        <is>
          <t>NONE — no function in this chain reads a stored input the sweep knows
[the code's record, this build — evidence for the ruling, not the row's statement: it cannot see inputs handed in as arguments, and it counts every branch below the producer]</t>
        </is>
      </c>
      <c r="AK3" s="3" t="inlineStr">
        <is>
          <t>(the claim now stands in 'Inputs it needs' until the row is approved)</t>
        </is>
      </c>
      <c r="AL3" s="3" t="n"/>
      <c r="AM3" s="3" t="n"/>
      <c r="AN3" s="3" t="n"/>
      <c r="AO3" s="7" t="inlineStr">
        <is>
          <t>RULED, NOT CODED (Q-NW-1 — one question, one function)</t>
        </is>
      </c>
    </row>
    <row r="4" ht="60" customHeight="1">
      <c r="A4" s="3" t="inlineStr">
        <is>
          <t>MK-HM-M-003</t>
        </is>
      </c>
      <c r="B4" s="3" t="inlineStr">
        <is>
          <t>Home</t>
        </is>
      </c>
      <c r="C4" s="3" t="inlineStr">
        <is>
          <t>NA</t>
        </is>
      </c>
      <c r="D4" s="3" t="inlineStr">
        <is>
          <t>Needs your attention (1, 2, 3)</t>
        </is>
      </c>
      <c r="E4" s="3" t="inlineStr">
        <is>
          <t>topInsights</t>
        </is>
      </c>
      <c r="F4" s="3" t="inlineStr">
        <is>
          <t>NOT ON RECORD — no function is recorded for this figure</t>
        </is>
      </c>
      <c r="G4" s="3" t="inlineStr"/>
      <c r="H4" s="3" t="inlineStr">
        <is>
          <t>each insight scores its own dollars at stake; the list = the highest few, ranked</t>
        </is>
      </c>
      <c r="I4" s="3" t="inlineStr">
        <is>
          <t>Works out what is worth saying today, puts a dollar amount against each, and shows the few that matter most.</t>
        </is>
      </c>
      <c r="J4" s="3" t="inlineStr">
        <is>
          <t>NOT DETERMINED — no input list on record for this function</t>
        </is>
      </c>
      <c r="K4" s="3" t="inlineStr">
        <is>
          <t>US dollars · held to the cent · shown as whole dollars  [derived by rule — confirm]</t>
        </is>
      </c>
      <c r="L4" s="3" t="inlineStr">
        <is>
          <t>NOT DETERMINED — this function has not been read for its refusal yet.</t>
        </is>
      </c>
      <c r="M4" s="3" t="inlineStr">
        <is>
          <t>One figure per person — or per household when two people share one record  [derived by rule — confirm]</t>
        </is>
      </c>
      <c r="N4" s="3" t="inlineStr">
        <is>
          <t>As of today, from the latest figures held  [derived by rule — confirm]</t>
        </is>
      </c>
      <c r="O4" s="3" t="inlineStr">
        <is>
          <t>No function on record — nothing to chain</t>
        </is>
      </c>
      <c r="P4" s="3" t="inlineStr">
        <is>
          <t>No function on record — nothing to chain</t>
        </is>
      </c>
      <c r="Q4" s="3" t="inlineStr">
        <is>
          <t>No function on record — assumptions unknown</t>
        </is>
      </c>
      <c r="R4" s="3" t="inlineStr"/>
      <c r="S4" s="3" t="inlineStr"/>
      <c r="T4" s="3" t="inlineStr">
        <is>
          <t>NOT DETERMINED — no assumption recorded for this figure yet.</t>
        </is>
      </c>
      <c r="U4" s="3" t="inlineStr">
        <is>
          <t>THE SAME FIGURE AS MK-MN-M-015 — The insights list. Home shows the top three of the same list the Insights screen shows in full.</t>
        </is>
      </c>
      <c r="V4" s="3" t="inlineStr"/>
      <c r="W4" s="3" t="inlineStr"/>
      <c r="X4" s="3" t="inlineStr"/>
      <c r="Y4" s="3" t="inlineStr">
        <is>
          <t>NOT DETERMINED</t>
        </is>
      </c>
      <c r="Z4" s="3" t="inlineStr">
        <is>
          <t>VERIFIED 2026-08-22</t>
        </is>
      </c>
      <c r="AA4"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4" s="3" t="inlineStr">
        <is>
          <t>B24 [NOT COMPARABLE] — This figure names no function, so its formula cannot be checked against anything. 69 of the 163 figures are in this position — the audit covers the 94 that name one.</t>
        </is>
      </c>
      <c r="AC4"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4" s="3" t="inlineStr"/>
      <c r="AE4" s="3" t="inlineStr">
        <is>
          <t>No finding on this row. That is not a statement that the row is right — only that nothing has been written against it.</t>
        </is>
      </c>
      <c r="AF4" s="3" t="inlineStr">
        <is>
          <t>SUPERSEDED BY MK-MN-M-015 — the same figure under another identifier. This number is retired and is never handed to anything else.</t>
        </is>
      </c>
      <c r="AG4" s="3" t="inlineStr">
        <is>
          <t>2026-08-27</t>
        </is>
      </c>
      <c r="AH4" s="3" t="n"/>
      <c r="AI4" s="3" t="n"/>
      <c r="AJ4" s="3" t="inlineStr">
        <is>
          <t>No function on record — nothing to read from
[the code's record, this build — evidence for the ruling, not the row's statement: it cannot see inputs handed in as arguments, and it counts every branch below the producer]</t>
        </is>
      </c>
      <c r="AK4" s="3" t="inlineStr">
        <is>
          <t>(the claim now stands in 'Inputs it needs' until the row is approved)</t>
        </is>
      </c>
      <c r="AL4" s="3" t="n"/>
      <c r="AM4" s="3" t="n"/>
      <c r="AN4" s="3" t="n"/>
      <c r="AO4" s="7" t="inlineStr">
        <is>
          <t>RULED, NOT CODED (Q-HM-1 — one question, one function)</t>
        </is>
      </c>
    </row>
    <row r="5" ht="60" customHeight="1">
      <c r="A5" s="3" t="inlineStr">
        <is>
          <t>MK-HM-M-004</t>
        </is>
      </c>
      <c r="B5" s="3" t="inlineStr">
        <is>
          <t>Home</t>
        </is>
      </c>
      <c r="C5" s="3" t="inlineStr">
        <is>
          <t>NA</t>
        </is>
      </c>
      <c r="D5" s="3" t="inlineStr">
        <is>
          <t>&lt;n&gt;% spent · day n of m</t>
        </is>
      </c>
      <c r="E5" s="3" t="inlineStr">
        <is>
          <t>pctSpent</t>
        </is>
      </c>
      <c r="F5" s="3" t="inlineStr">
        <is>
          <t>Worked out on the screen itself — no function behind it</t>
        </is>
      </c>
      <c r="G5" s="3" t="inlineStr"/>
      <c r="H5" s="3" t="inlineStr">
        <is>
          <t>share spent = spent so far ÷ money in this month</t>
        </is>
      </c>
      <c r="I5" s="3" t="inlineStr">
        <is>
          <t>Worked out on the screen itself, with no function behind it — a place a second definition can appear.</t>
        </is>
      </c>
      <c r="J5" s="3" t="inlineStr">
        <is>
          <t>NOT DETERMINED — no input list on record for this function</t>
        </is>
      </c>
      <c r="K5" s="3" t="inlineStr">
        <is>
          <t>Percent · one decimal shown  [derived by rule — confirm]</t>
        </is>
      </c>
      <c r="L5" s="3" t="inlineStr">
        <is>
          <t>Inherits the refusal of the figures it is built from: if either side is missing, this line is not shown.</t>
        </is>
      </c>
      <c r="M5" s="3" t="inlineStr">
        <is>
          <t>One figure per person — or per household when two people share one record  [derived by rule — confirm]</t>
        </is>
      </c>
      <c r="N5" s="3" t="inlineStr">
        <is>
          <t>As of today, from the latest figures held  [derived by rule — confirm]</t>
        </is>
      </c>
      <c r="O5" s="3" t="inlineStr">
        <is>
          <t>No function on record — nothing to chain</t>
        </is>
      </c>
      <c r="P5" s="3" t="inlineStr">
        <is>
          <t>No function on record — nothing to chain</t>
        </is>
      </c>
      <c r="Q5" s="3" t="inlineStr">
        <is>
          <t>No function on record — assumptions unknown</t>
        </is>
      </c>
      <c r="R5" s="3" t="inlineStr"/>
      <c r="S5" s="3" t="inlineStr"/>
      <c r="T5" s="3" t="inlineStr">
        <is>
          <t>NOT DETERMINED — no assumption recorded for this figure yet.</t>
        </is>
      </c>
      <c r="U5" s="3" t="inlineStr"/>
      <c r="V5" s="3" t="inlineStr"/>
      <c r="W5" s="3" t="inlineStr"/>
      <c r="X5" s="3" t="inlineStr"/>
      <c r="Y5" s="3" t="inlineStr">
        <is>
          <t>NOT DETERMINED</t>
        </is>
      </c>
      <c r="Z5" s="3" t="inlineStr">
        <is>
          <t>VERIFIED 2026-08-22</t>
        </is>
      </c>
      <c r="AA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5" s="3" t="inlineStr">
        <is>
          <t>B24 [NOT COMPARABLE] — This figure names no function, so its formula cannot be checked against anything. 69 of the 163 figures are in this position — the audit covers the 94 that name one.</t>
        </is>
      </c>
      <c r="AC5" s="3" t="inlineStr">
        <is>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is>
      </c>
      <c r="AD5" s="3" t="inlineStr"/>
      <c r="AE5" s="3" t="inlineStr">
        <is>
          <t>No finding on this row. That is not a statement that the row is right — only that nothing has been written against it.</t>
        </is>
      </c>
      <c r="AF5" s="3" t="inlineStr">
        <is>
          <t>ACTIVE</t>
        </is>
      </c>
      <c r="AG5" s="3" t="inlineStr">
        <is>
          <t>2026-08-27</t>
        </is>
      </c>
      <c r="AH5" s="3" t="n"/>
      <c r="AI5" s="3" t="n"/>
      <c r="AJ5" s="3" t="inlineStr">
        <is>
          <t>No function on record — nothing to read from
[the code's record, this build — evidence for the ruling, not the row's statement: it cannot see inputs handed in as arguments, and it counts every branch below the producer]</t>
        </is>
      </c>
      <c r="AK5" s="3" t="inlineStr">
        <is>
          <t>(the claim now stands in 'Inputs it needs' until the row is approved)</t>
        </is>
      </c>
      <c r="AL5" s="3" t="n"/>
      <c r="AM5" s="3" t="n"/>
      <c r="AN5" s="3" t="n"/>
      <c r="AO5" s="7" t="inlineStr">
        <is>
          <t>RULED, NOT CODED (Q-CF-2 — one question, one function)</t>
        </is>
      </c>
    </row>
    <row r="6" ht="45" customHeight="1">
      <c r="A6" s="3" t="inlineStr"/>
      <c r="B6" s="3" t="inlineStr">
        <is>
          <t>Home</t>
        </is>
      </c>
      <c r="C6" s="3" t="inlineStr">
        <is>
          <t>/account-detail</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is>
          <t>NOT STARTED — screen not yet read</t>
        </is>
      </c>
      <c r="Y6" s="3" t="n"/>
      <c r="Z6" s="3" t="n"/>
      <c r="AA6" s="3" t="n"/>
      <c r="AB6" s="3" t="n"/>
      <c r="AC6" s="3" t="n"/>
      <c r="AD6" s="3" t="n"/>
      <c r="AE6" s="3" t="n"/>
      <c r="AF6" s="3" t="n"/>
      <c r="AG6" s="3" t="n"/>
      <c r="AH6" s="3" t="n"/>
      <c r="AI6" s="3" t="n"/>
      <c r="AJ6" s="3" t="n"/>
      <c r="AK6" s="3" t="n"/>
      <c r="AL6" s="3" t="n"/>
      <c r="AM6" s="3" t="n"/>
      <c r="AN6" s="3" t="n"/>
      <c r="AO6" s="3" t="n"/>
    </row>
    <row r="7" ht="60" customHeight="1">
      <c r="A7" s="3" t="inlineStr"/>
      <c r="B7" s="3" t="inlineStr">
        <is>
          <t>Home</t>
        </is>
      </c>
      <c r="C7" s="3" t="inlineStr">
        <is>
          <t>/add-account</t>
        </is>
      </c>
      <c r="D7" s="3" t="inlineStr">
        <is>
          <t>—</t>
        </is>
      </c>
      <c r="E7" s="3" t="inlineStr">
        <is>
          <t>—</t>
        </is>
      </c>
      <c r="F7" s="3" t="inlineStr">
        <is>
          <t>—</t>
        </is>
      </c>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is>
          <t>NOT DETERMINED</t>
        </is>
      </c>
      <c r="Y7" s="3" t="inlineStr">
        <is>
          <t>READ 2026-08-22 — no calculated figure on this screen</t>
        </is>
      </c>
      <c r="Z7" s="3" t="n"/>
      <c r="AA7" s="3" t="n"/>
      <c r="AB7" s="3" t="n"/>
      <c r="AC7" s="3" t="n"/>
      <c r="AD7" s="3" t="n"/>
      <c r="AE7" s="3" t="n"/>
      <c r="AF7" s="3" t="n"/>
      <c r="AG7" s="3" t="n"/>
      <c r="AH7" s="3" t="n"/>
      <c r="AI7" s="3" t="n"/>
      <c r="AJ7" s="3" t="n"/>
      <c r="AK7" s="3" t="n"/>
      <c r="AL7" s="3" t="n"/>
      <c r="AM7" s="3" t="n"/>
      <c r="AN7" s="3" t="n"/>
      <c r="AO7" s="3" t="n"/>
    </row>
    <row r="8" ht="45" customHeight="1">
      <c r="A8" s="3" t="inlineStr"/>
      <c r="B8" s="3" t="inlineStr">
        <is>
          <t>Home</t>
        </is>
      </c>
      <c r="C8" s="3" t="inlineStr">
        <is>
          <t>/bill-calendar</t>
        </is>
      </c>
      <c r="D8" s="3" t="inlineStr"/>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is>
          <t>NOT STARTED — screen not yet read</t>
        </is>
      </c>
      <c r="Y8" s="3" t="n"/>
      <c r="Z8" s="3" t="n"/>
      <c r="AA8" s="3" t="n"/>
      <c r="AB8" s="3" t="n"/>
      <c r="AC8" s="3" t="n"/>
      <c r="AD8" s="3" t="n"/>
      <c r="AE8" s="3" t="n"/>
      <c r="AF8" s="3" t="n"/>
      <c r="AG8" s="3" t="n"/>
      <c r="AH8" s="3" t="n"/>
      <c r="AI8" s="3" t="n"/>
      <c r="AJ8" s="3" t="n"/>
      <c r="AK8" s="3" t="n"/>
      <c r="AL8" s="3" t="n"/>
      <c r="AM8" s="3" t="n"/>
      <c r="AN8" s="3" t="n"/>
      <c r="AO8" s="3" t="n"/>
    </row>
    <row r="9" ht="45" customHeight="1">
      <c r="A9" s="3" t="inlineStr"/>
      <c r="B9" s="3" t="inlineStr">
        <is>
          <t>Home</t>
        </is>
      </c>
      <c r="C9" s="3" t="inlineStr">
        <is>
          <t>/bonds</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is>
          <t>NOT STARTED — screen not yet read</t>
        </is>
      </c>
      <c r="Y9" s="3" t="n"/>
      <c r="Z9" s="3" t="n"/>
      <c r="AA9" s="3" t="n"/>
      <c r="AB9" s="3" t="n"/>
      <c r="AC9" s="3" t="n"/>
      <c r="AD9" s="3" t="n"/>
      <c r="AE9" s="3" t="n"/>
      <c r="AF9" s="3" t="n"/>
      <c r="AG9" s="3" t="n"/>
      <c r="AH9" s="3" t="n"/>
      <c r="AI9" s="3" t="n"/>
      <c r="AJ9" s="3" t="n"/>
      <c r="AK9" s="3" t="n"/>
      <c r="AL9" s="3" t="n"/>
      <c r="AM9" s="3" t="n"/>
      <c r="AN9" s="3" t="n"/>
      <c r="AO9" s="3" t="n"/>
    </row>
    <row r="10" ht="60" customHeight="1">
      <c r="A10" s="3" t="inlineStr"/>
      <c r="B10" s="3" t="inlineStr">
        <is>
          <t>Home</t>
        </is>
      </c>
      <c r="C10" s="3" t="inlineStr">
        <is>
          <t>/connect</t>
        </is>
      </c>
      <c r="D10" s="3" t="inlineStr">
        <is>
          <t>—</t>
        </is>
      </c>
      <c r="E10" s="3" t="inlineStr">
        <is>
          <t>—</t>
        </is>
      </c>
      <c r="F10" s="3" t="inlineStr">
        <is>
          <t>—</t>
        </is>
      </c>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is>
          <t>NOT DETERMINED</t>
        </is>
      </c>
      <c r="Y10" s="3" t="inlineStr">
        <is>
          <t>READ 2026-08-22 — no calculated figure on this screen</t>
        </is>
      </c>
      <c r="Z10" s="3" t="n"/>
      <c r="AA10" s="3" t="n"/>
      <c r="AB10" s="3" t="n"/>
      <c r="AC10" s="3" t="n"/>
      <c r="AD10" s="3" t="n"/>
      <c r="AE10" s="3" t="n"/>
      <c r="AF10" s="3" t="n"/>
      <c r="AG10" s="3" t="n"/>
      <c r="AH10" s="3" t="n"/>
      <c r="AI10" s="3" t="n"/>
      <c r="AJ10" s="3" t="n"/>
      <c r="AK10" s="3" t="n"/>
      <c r="AL10" s="3" t="n"/>
      <c r="AM10" s="3" t="n"/>
      <c r="AN10" s="3" t="n"/>
      <c r="AO10" s="3" t="n"/>
    </row>
    <row r="11" ht="45" customHeight="1">
      <c r="A11" s="3" t="inlineStr"/>
      <c r="B11" s="3" t="inlineStr">
        <is>
          <t>Home</t>
        </is>
      </c>
      <c r="C11" s="3" t="inlineStr">
        <is>
          <t>/holding-detail</t>
        </is>
      </c>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is>
          <t>NOT STARTED — screen not yet read</t>
        </is>
      </c>
      <c r="Y11" s="3" t="n"/>
      <c r="Z11" s="3" t="n"/>
      <c r="AA11" s="3" t="n"/>
      <c r="AB11" s="3" t="n"/>
      <c r="AC11" s="3" t="n"/>
      <c r="AD11" s="3" t="n"/>
      <c r="AE11" s="3" t="n"/>
      <c r="AF11" s="3" t="n"/>
      <c r="AG11" s="3" t="n"/>
      <c r="AH11" s="3" t="n"/>
      <c r="AI11" s="3" t="n"/>
      <c r="AJ11" s="3" t="n"/>
      <c r="AK11" s="3" t="n"/>
      <c r="AL11" s="3" t="n"/>
      <c r="AM11" s="3" t="n"/>
      <c r="AN11" s="3" t="n"/>
      <c r="AO11" s="3" t="n"/>
    </row>
    <row r="12" ht="60" customHeight="1">
      <c r="A12" s="3" t="inlineStr"/>
      <c r="B12" s="3" t="inlineStr">
        <is>
          <t>Home</t>
        </is>
      </c>
      <c r="C12" s="3" t="inlineStr">
        <is>
          <t>/import-holdings</t>
        </is>
      </c>
      <c r="D12" s="3" t="inlineStr">
        <is>
          <t>—</t>
        </is>
      </c>
      <c r="E12" s="3" t="inlineStr">
        <is>
          <t>—</t>
        </is>
      </c>
      <c r="F12" s="3" t="inlineStr">
        <is>
          <t>—</t>
        </is>
      </c>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is>
          <t>NOT DETERMINED</t>
        </is>
      </c>
      <c r="Y12" s="3" t="inlineStr">
        <is>
          <t>READ 2026-08-22 — no calculated figure on this screen</t>
        </is>
      </c>
      <c r="Z12" s="3" t="n"/>
      <c r="AA12" s="3" t="n"/>
      <c r="AB12" s="3" t="n"/>
      <c r="AC12" s="3" t="n"/>
      <c r="AD12" s="3" t="n"/>
      <c r="AE12" s="3" t="n"/>
      <c r="AF12" s="3" t="n"/>
      <c r="AG12" s="3" t="n"/>
      <c r="AH12" s="3" t="n"/>
      <c r="AI12" s="3" t="n"/>
      <c r="AJ12" s="3" t="n"/>
      <c r="AK12" s="3" t="n"/>
      <c r="AL12" s="3" t="n"/>
      <c r="AM12" s="3" t="n"/>
      <c r="AN12" s="3" t="n"/>
      <c r="AO12" s="3" t="n"/>
    </row>
    <row r="13" ht="45" customHeight="1">
      <c r="A13" s="3" t="inlineStr"/>
      <c r="B13" s="3" t="inlineStr">
        <is>
          <t>Home</t>
        </is>
      </c>
      <c r="C13" s="3" t="inlineStr">
        <is>
          <t>/income-manager</t>
        </is>
      </c>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is>
          <t>NOT STARTED — screen not yet read</t>
        </is>
      </c>
      <c r="Y13" s="3" t="n"/>
      <c r="Z13" s="3" t="n"/>
      <c r="AA13" s="3" t="n"/>
      <c r="AB13" s="3" t="n"/>
      <c r="AC13" s="3" t="n"/>
      <c r="AD13" s="3" t="n"/>
      <c r="AE13" s="3" t="n"/>
      <c r="AF13" s="3" t="n"/>
      <c r="AG13" s="3" t="n"/>
      <c r="AH13" s="3" t="n"/>
      <c r="AI13" s="3" t="n"/>
      <c r="AJ13" s="3" t="n"/>
      <c r="AK13" s="3" t="n"/>
      <c r="AL13" s="3" t="n"/>
      <c r="AM13" s="3" t="n"/>
      <c r="AN13" s="3" t="n"/>
      <c r="AO13" s="3" t="n"/>
    </row>
    <row r="14" ht="45" customHeight="1">
      <c r="A14" s="3" t="inlineStr"/>
      <c r="B14" s="3" t="inlineStr">
        <is>
          <t>Home</t>
        </is>
      </c>
      <c r="C14" s="3" t="inlineStr">
        <is>
          <t>/itemize</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is>
          <t>NOT STARTED — screen not yet read</t>
        </is>
      </c>
      <c r="Y14" s="3" t="n"/>
      <c r="Z14" s="3" t="n"/>
      <c r="AA14" s="3" t="n"/>
      <c r="AB14" s="3" t="n"/>
      <c r="AC14" s="3" t="n"/>
      <c r="AD14" s="3" t="n"/>
      <c r="AE14" s="3" t="n"/>
      <c r="AF14" s="3" t="n"/>
      <c r="AG14" s="3" t="n"/>
      <c r="AH14" s="3" t="n"/>
      <c r="AI14" s="3" t="n"/>
      <c r="AJ14" s="3" t="n"/>
      <c r="AK14" s="3" t="n"/>
      <c r="AL14" s="3" t="n"/>
      <c r="AM14" s="3" t="n"/>
      <c r="AN14" s="3" t="n"/>
      <c r="AO14" s="3" t="n"/>
    </row>
    <row r="15" ht="45" customHeight="1">
      <c r="A15" s="3" t="inlineStr"/>
      <c r="B15" s="3" t="inlineStr">
        <is>
          <t>Home</t>
        </is>
      </c>
      <c r="C15" s="3" t="inlineStr">
        <is>
          <t>/look-back</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is>
          <t>NOT STARTED — screen not yet read</t>
        </is>
      </c>
      <c r="Y15" s="3" t="n"/>
      <c r="Z15" s="3" t="n"/>
      <c r="AA15" s="3" t="n"/>
      <c r="AB15" s="3" t="n"/>
      <c r="AC15" s="3" t="n"/>
      <c r="AD15" s="3" t="n"/>
      <c r="AE15" s="3" t="n"/>
      <c r="AF15" s="3" t="n"/>
      <c r="AG15" s="3" t="n"/>
      <c r="AH15" s="3" t="n"/>
      <c r="AI15" s="3" t="n"/>
      <c r="AJ15" s="3" t="n"/>
      <c r="AK15" s="3" t="n"/>
      <c r="AL15" s="3" t="n"/>
      <c r="AM15" s="3" t="n"/>
      <c r="AN15" s="3" t="n"/>
      <c r="AO15" s="3" t="n"/>
    </row>
    <row r="16" ht="45" customHeight="1">
      <c r="A16" s="3" t="inlineStr"/>
      <c r="B16" s="3" t="inlineStr">
        <is>
          <t>Home</t>
        </is>
      </c>
      <c r="C16" s="3" t="inlineStr">
        <is>
          <t>/monthly-income</t>
        </is>
      </c>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is>
          <t>NOT STARTED — screen not yet read</t>
        </is>
      </c>
      <c r="Y16" s="3" t="n"/>
      <c r="Z16" s="3" t="n"/>
      <c r="AA16" s="3" t="n"/>
      <c r="AB16" s="3" t="n"/>
      <c r="AC16" s="3" t="n"/>
      <c r="AD16" s="3" t="n"/>
      <c r="AE16" s="3" t="n"/>
      <c r="AF16" s="3" t="n"/>
      <c r="AG16" s="3" t="n"/>
      <c r="AH16" s="3" t="n"/>
      <c r="AI16" s="3" t="n"/>
      <c r="AJ16" s="3" t="n"/>
      <c r="AK16" s="3" t="n"/>
      <c r="AL16" s="3" t="n"/>
      <c r="AM16" s="3" t="n"/>
      <c r="AN16" s="3" t="n"/>
      <c r="AO16" s="3" t="n"/>
    </row>
    <row r="17" ht="60" customHeight="1">
      <c r="A17" s="3" t="inlineStr"/>
      <c r="B17" s="3" t="inlineStr">
        <is>
          <t>Home</t>
        </is>
      </c>
      <c r="C17" s="3" t="inlineStr">
        <is>
          <t>/onboarding</t>
        </is>
      </c>
      <c r="D17" s="3" t="inlineStr">
        <is>
          <t>—</t>
        </is>
      </c>
      <c r="E17" s="3" t="inlineStr">
        <is>
          <t>—</t>
        </is>
      </c>
      <c r="F17" s="3" t="inlineStr">
        <is>
          <t>—</t>
        </is>
      </c>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is>
          <t>NOT DETERMINED</t>
        </is>
      </c>
      <c r="Y17" s="3" t="inlineStr">
        <is>
          <t>READ 2026-08-22 — no calculated figure on this screen</t>
        </is>
      </c>
      <c r="Z17" s="3" t="n"/>
      <c r="AA17" s="3" t="n"/>
      <c r="AB17" s="3" t="n"/>
      <c r="AC17" s="3" t="n"/>
      <c r="AD17" s="3" t="n"/>
      <c r="AE17" s="3" t="n"/>
      <c r="AF17" s="3" t="n"/>
      <c r="AG17" s="3" t="n"/>
      <c r="AH17" s="3" t="n"/>
      <c r="AI17" s="3" t="n"/>
      <c r="AJ17" s="3" t="n"/>
      <c r="AK17" s="3" t="n"/>
      <c r="AL17" s="3" t="n"/>
      <c r="AM17" s="3" t="n"/>
      <c r="AN17" s="3" t="n"/>
      <c r="AO17" s="3" t="n"/>
    </row>
    <row r="18" ht="60" customHeight="1">
      <c r="A18" s="3" t="inlineStr"/>
      <c r="B18" s="3" t="inlineStr">
        <is>
          <t>Home</t>
        </is>
      </c>
      <c r="C18" s="3" t="inlineStr">
        <is>
          <t>/performance</t>
        </is>
      </c>
      <c r="D18" s="3" t="inlineStr">
        <is>
          <t>—</t>
        </is>
      </c>
      <c r="E18" s="3" t="inlineStr">
        <is>
          <t>—</t>
        </is>
      </c>
      <c r="F18" s="3" t="inlineStr">
        <is>
          <t>—</t>
        </is>
      </c>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is>
          <t>NOT DETERMINED</t>
        </is>
      </c>
      <c r="Y18" s="3" t="inlineStr">
        <is>
          <t>READ 2026-08-22 — the same screen as /invest, reached by a second route</t>
        </is>
      </c>
      <c r="Z18" s="3" t="n"/>
      <c r="AA18" s="3" t="n"/>
      <c r="AB18" s="3" t="n"/>
      <c r="AC18" s="3" t="n"/>
      <c r="AD18" s="3" t="n"/>
      <c r="AE18" s="3" t="n"/>
      <c r="AF18" s="3" t="n"/>
      <c r="AG18" s="3" t="n"/>
      <c r="AH18" s="3" t="n"/>
      <c r="AI18" s="3" t="n"/>
      <c r="AJ18" s="3" t="n"/>
      <c r="AK18" s="3" t="n"/>
      <c r="AL18" s="3" t="n"/>
      <c r="AM18" s="3" t="n"/>
      <c r="AN18" s="3" t="n"/>
      <c r="AO18" s="3" t="n"/>
    </row>
  </sheetData>
  <autoFilter ref="A1:AO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6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45" customHeight="1">
      <c r="A2" s="3" t="inlineStr"/>
      <c r="B2" s="3" t="inlineStr">
        <is>
          <t>Networth</t>
        </is>
      </c>
      <c r="C2" s="3" t="inlineStr">
        <is>
          <t>/account-detail</t>
        </is>
      </c>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is>
          <t>NOT STARTED — screen not yet read</t>
        </is>
      </c>
      <c r="Y2" s="3" t="n"/>
      <c r="Z2" s="3" t="n"/>
      <c r="AA2" s="3" t="n"/>
      <c r="AB2" s="3" t="n"/>
      <c r="AC2" s="3" t="n"/>
      <c r="AD2" s="3" t="n"/>
      <c r="AE2" s="3" t="n"/>
      <c r="AF2" s="3" t="n"/>
      <c r="AG2" s="3" t="n"/>
      <c r="AH2" s="3" t="n"/>
      <c r="AI2" s="3" t="n"/>
      <c r="AJ2" s="3" t="n"/>
      <c r="AK2" s="3" t="n"/>
      <c r="AL2" s="3" t="n"/>
      <c r="AM2" s="3" t="n"/>
      <c r="AN2" s="3" t="n"/>
      <c r="AO2" s="3" t="n"/>
    </row>
    <row r="3" ht="45" customHeight="1">
      <c r="A3" s="3" t="inlineStr"/>
      <c r="B3" s="3" t="inlineStr">
        <is>
          <t>Networth</t>
        </is>
      </c>
      <c r="C3" s="3" t="inlineStr">
        <is>
          <t>/bonds</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NOT STARTED — screen not yet read</t>
        </is>
      </c>
      <c r="Y3" s="3" t="n"/>
      <c r="Z3" s="3" t="n"/>
      <c r="AA3" s="3" t="n"/>
      <c r="AB3" s="3" t="n"/>
      <c r="AC3" s="3" t="n"/>
      <c r="AD3" s="3" t="n"/>
      <c r="AE3" s="3" t="n"/>
      <c r="AF3" s="3" t="n"/>
      <c r="AG3" s="3" t="n"/>
      <c r="AH3" s="3" t="n"/>
      <c r="AI3" s="3" t="n"/>
      <c r="AJ3" s="3" t="n"/>
      <c r="AK3" s="3" t="n"/>
      <c r="AL3" s="3" t="n"/>
      <c r="AM3" s="3" t="n"/>
      <c r="AN3" s="3" t="n"/>
      <c r="AO3" s="3" t="n"/>
    </row>
    <row r="4" ht="45" customHeight="1">
      <c r="A4" s="3" t="inlineStr"/>
      <c r="B4" s="3" t="inlineStr">
        <is>
          <t>Networth</t>
        </is>
      </c>
      <c r="C4" s="3" t="inlineStr">
        <is>
          <t>/holding-detail</t>
        </is>
      </c>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is>
          <t>NOT STARTED — screen not yet read</t>
        </is>
      </c>
      <c r="Y4" s="3" t="n"/>
      <c r="Z4" s="3" t="n"/>
      <c r="AA4" s="3" t="n"/>
      <c r="AB4" s="3" t="n"/>
      <c r="AC4" s="3" t="n"/>
      <c r="AD4" s="3" t="n"/>
      <c r="AE4" s="3" t="n"/>
      <c r="AF4" s="3" t="n"/>
      <c r="AG4" s="3" t="n"/>
      <c r="AH4" s="3" t="n"/>
      <c r="AI4" s="3" t="n"/>
      <c r="AJ4" s="3" t="n"/>
      <c r="AK4" s="3" t="n"/>
      <c r="AL4" s="3" t="n"/>
      <c r="AM4" s="3" t="n"/>
      <c r="AN4" s="3" t="n"/>
      <c r="AO4" s="3" t="n"/>
    </row>
    <row r="5" ht="45" customHeight="1">
      <c r="A5" s="3" t="inlineStr"/>
      <c r="B5" s="3" t="inlineStr">
        <is>
          <t>Networth</t>
        </is>
      </c>
      <c r="C5" s="3" t="inlineStr">
        <is>
          <t>/itemize</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is>
          <t>NOT STARTED — screen not yet read</t>
        </is>
      </c>
      <c r="Y5" s="3" t="n"/>
      <c r="Z5" s="3" t="n"/>
      <c r="AA5" s="3" t="n"/>
      <c r="AB5" s="3" t="n"/>
      <c r="AC5" s="3" t="n"/>
      <c r="AD5" s="3" t="n"/>
      <c r="AE5" s="3" t="n"/>
      <c r="AF5" s="3" t="n"/>
      <c r="AG5" s="3" t="n"/>
      <c r="AH5" s="3" t="n"/>
      <c r="AI5" s="3" t="n"/>
      <c r="AJ5" s="3" t="n"/>
      <c r="AK5" s="3" t="n"/>
      <c r="AL5" s="3" t="n"/>
      <c r="AM5" s="3" t="n"/>
      <c r="AN5" s="3" t="n"/>
      <c r="AO5" s="3" t="n"/>
    </row>
    <row r="6" ht="45" customHeight="1">
      <c r="A6" s="3" t="inlineStr"/>
      <c r="B6" s="3" t="inlineStr">
        <is>
          <t>Networth</t>
        </is>
      </c>
      <c r="C6" s="3" t="inlineStr">
        <is>
          <t>/look-back</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is>
          <t>NOT STARTED — screen not yet read</t>
        </is>
      </c>
      <c r="Y6" s="3" t="n"/>
      <c r="Z6" s="3" t="n"/>
      <c r="AA6" s="3" t="n"/>
      <c r="AB6" s="3" t="n"/>
      <c r="AC6" s="3" t="n"/>
      <c r="AD6" s="3" t="n"/>
      <c r="AE6" s="3" t="n"/>
      <c r="AF6" s="3" t="n"/>
      <c r="AG6" s="3" t="n"/>
      <c r="AH6" s="3" t="n"/>
      <c r="AI6" s="3" t="n"/>
      <c r="AJ6" s="3" t="n"/>
      <c r="AK6" s="3" t="n"/>
      <c r="AL6" s="3" t="n"/>
      <c r="AM6" s="3" t="n"/>
      <c r="AN6" s="3" t="n"/>
      <c r="AO6" s="3" t="n"/>
    </row>
    <row r="7" ht="60" customHeight="1">
      <c r="A7" s="3" t="inlineStr">
        <is>
          <t>MK-NW-M-001</t>
        </is>
      </c>
      <c r="B7" s="3" t="inlineStr">
        <is>
          <t>Networth</t>
        </is>
      </c>
      <c r="C7" s="3" t="inlineStr">
        <is>
          <t>/networth</t>
        </is>
      </c>
      <c r="D7" s="3" t="inlineStr">
        <is>
          <t>Change in net worth +$X</t>
        </is>
      </c>
      <c r="E7" s="3" t="inlineStr">
        <is>
          <t>change_in_net_worth_x</t>
        </is>
      </c>
      <c r="F7" s="3" t="inlineStr">
        <is>
          <t>theNetWorth</t>
        </is>
      </c>
      <c r="G7" s="3" t="inlineStr">
        <is>
          <t>MK-NW-O-003</t>
        </is>
      </c>
      <c r="H7" s="3" t="inlineStr">
        <is>
          <t>change = net worth at the latest point − net worth at the chosen earlier date, both read from the trend series (MK-XS-F-005); the subtraction itself is done on the Net-worth screen — no function on record (build-spec D1)</t>
        </is>
      </c>
      <c r="I7" s="3" t="inlineStr">
        <is>
          <t>the last point on the trend line less its first point</t>
        </is>
      </c>
      <c r="J7" s="3" t="inlineStr">
        <is>
          <t>MK-XS-I-031 the recorded history</t>
        </is>
      </c>
      <c r="K7" s="3" t="inlineStr">
        <is>
          <t>dollars, whole</t>
        </is>
      </c>
      <c r="L7" s="3" t="inlineStr">
        <is>
          <t>A line needs at least two points; with one, the point is shown and no change is stated.</t>
        </is>
      </c>
      <c r="M7" s="3" t="inlineStr">
        <is>
          <t>one figure per household</t>
        </is>
      </c>
      <c r="N7" s="3" t="inlineStr">
        <is>
          <t>as of today</t>
        </is>
      </c>
      <c r="O7"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7" s="3" t="inlineStr">
        <is>
          <t>Declared by MK-NW-O-003 theNetWorth</t>
        </is>
      </c>
      <c r="Q7" s="3" t="inlineStr">
        <is>
          <t>IT IS READ FROM THE RECORD, never back-solved: the months we actually saved and the daily points after them.
A month and its own days live in one series, sorted by their date text — "2026-04" sorts before "2026-04-30", which is what makes plain text sorting safe.</t>
        </is>
      </c>
      <c r="R7" s="3" t="inlineStr">
        <is>
          <t>IT IS READ FROM THE RECORD, never back-solved: the months we actually saved and the daily points after them.
A month and its own days live in one series, sorted by their date text — "2026-04" sorts before "2026-04-30", which is what makes plain text sorting safe.</t>
        </is>
      </c>
      <c r="S7" s="3" t="inlineStr"/>
      <c r="T7" s="3" t="inlineStr">
        <is>
          <t>IT IS READ FROM THE RECORD, never back-solved: the months we actually saved and the daily points after them.
A month and its own days live in one series, sorted by their date text — "2026-04" sorts before "2026-04-30", which is what makes plain text sorting safe.</t>
        </is>
      </c>
      <c r="U7" s="3" t="inlineStr">
        <is>
          <t>DECLARED 2026-09-30. It was hand-typed on the master until then, so the row and the code could drift with nothing to notice.</t>
        </is>
      </c>
      <c r="V7" s="3" t="inlineStr"/>
      <c r="W7" s="3" t="inlineStr"/>
      <c r="X7" s="3" t="inlineStr"/>
      <c r="Y7" s="3" t="inlineStr"/>
      <c r="Z7" s="3" t="inlineStr">
        <is>
          <t>DRAFT — declared in the code and printed here, WAITING FOR YOUR VERDICT before the screens move behind the door (rule 10)</t>
        </is>
      </c>
      <c r="AA7" s="3" t="inlineStr"/>
      <c r="AB7" s="3" t="inlineStr"/>
      <c r="AC7" s="3" t="inlineStr"/>
      <c r="AD7" s="3" t="inlineStr"/>
      <c r="AE7" s="3" t="inlineStr">
        <is>
          <t>G28 batch 1 (2026-09-09) — FILE INCOMPLETE, probably. MK-XS-F-005 (the net-worth walk) is shown reading MK-XS-I-016/041/042 (debt payment, chosen payment, payment shape) and MK-XS-I-024 (logged expenses) beside the claimed MK-XS-I-031 (snapshots) — the walk explains the change by what went in and out, so payments and expenses are plausible inputs. Proposed: approve the five, unless you want the walk read by hand first.</t>
        </is>
      </c>
      <c r="AF7" s="3" t="inlineStr">
        <is>
          <t>ACTIVE</t>
        </is>
      </c>
      <c r="AG7" s="3" t="inlineStr">
        <is>
          <t>2026-10-04</t>
        </is>
      </c>
      <c r="AH7" s="3" t="inlineStr"/>
      <c r="AI7" s="3" t="inlineStr"/>
      <c r="AJ7"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 s="3" t="inlineStr">
        <is>
          <t>(the claim now stands in 'Inputs it needs' until the row is approved)</t>
        </is>
      </c>
      <c r="AL7" s="3" t="inlineStr"/>
      <c r="AM7" s="3" t="inlineStr">
        <is>
          <t>RULED? NOT YET — read this row and say yes, or say what changes. Nothing moves behind MK-NW-O-003 theNetWorth until you do.</t>
        </is>
      </c>
      <c r="AN7" s="3" t="inlineStr">
        <is>
          <t>Net worth recorded at the end of each month — $240,000 in January, $246,000 in February, $252,000 in March, $258,000 in April — and one daily point of $261,200 on 30 April.
GIVES: $21,200
(the test re-runs this through MK-NW-O-003 theNetWorth on every build)</t>
        </is>
      </c>
      <c r="AO7" s="9" t="inlineStr">
        <is>
          <t>WAITING ON YOU — row to approve: say yes in YOUR ANSWER, or say what changes · RULED, NOT CODED (Q-NW-1 — one question, one function)</t>
        </is>
      </c>
    </row>
    <row r="8" ht="60" customHeight="1">
      <c r="A8" s="3" t="inlineStr">
        <is>
          <t>MK-NW-M-002</t>
        </is>
      </c>
      <c r="B8" s="3" t="inlineStr">
        <is>
          <t>Networth</t>
        </is>
      </c>
      <c r="C8" s="3" t="inlineStr">
        <is>
          <t>/analytics</t>
        </is>
      </c>
      <c r="D8" s="3" t="inlineStr">
        <is>
          <t>Return on cash + investments</t>
        </is>
      </c>
      <c r="E8" s="3" t="inlineStr">
        <is>
          <t>return_on_cash__investments</t>
        </is>
      </c>
      <c r="F8" s="3" t="inlineStr">
        <is>
          <t>theNetWorth</t>
        </is>
      </c>
      <c r="G8" s="3" t="inlineStr">
        <is>
          <t>MK-NW-O-003</t>
        </is>
      </c>
      <c r="H8" s="3" t="inlineStr">
        <is>
          <t>today’s investable total ÷ the first investable figure recorded on or after that day, minus 1</t>
        </is>
      </c>
      <c r="I8" s="3" t="inlineStr">
        <is>
          <t>today’s investable total ÷ the first investable figure recorded on or after that day, minus 1</t>
        </is>
      </c>
      <c r="J8" s="3" t="inlineStr">
        <is>
          <t>MK-NW-I-001 your accounts
MK-NW-I-003 the recorded history</t>
        </is>
      </c>
      <c r="K8" s="3" t="inlineStr">
        <is>
          <t>a percentage, two decimals</t>
        </is>
      </c>
      <c r="L8" s="3" t="inlineStr">
        <is>
          <t>The record does not reach back that far, so it shows nothing rather than a made-up change.</t>
        </is>
      </c>
      <c r="M8" s="3" t="inlineStr">
        <is>
          <t>one figure per household</t>
        </is>
      </c>
      <c r="N8" s="3" t="inlineStr">
        <is>
          <t>as of today</t>
        </is>
      </c>
      <c r="O8"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8" s="3" t="inlineStr">
        <is>
          <t>Declared by MK-NW-O-003 theNetWorth</t>
        </is>
      </c>
      <c r="Q8" s="3" t="inlineStr">
        <is>
          <t>No recorded day on or after the baseline → no figure. A movement from a day nobody recorded is not a movement.</t>
        </is>
      </c>
      <c r="R8" s="3" t="inlineStr">
        <is>
          <t>No recorded day on or after the baseline → no figure. A movement from a day nobody recorded is not a movement.</t>
        </is>
      </c>
      <c r="S8" s="3" t="inlineStr"/>
      <c r="T8" s="3" t="inlineStr">
        <is>
          <t>No recorded day on or after the baseline → no figure. A movement from a day nobody recorded is not a movement.</t>
        </is>
      </c>
      <c r="U8" s="3" t="inlineStr"/>
      <c r="V8" s="9" t="inlineStr">
        <is>
          <t>Q17 — "Return on cash + investments" counts money you paid in as a gain. Is the LABEL wrong, or the FORMULA? Fixing the formula means removing deposits and withdrawals before measuring.</t>
        </is>
      </c>
      <c r="W8" s="9" t="inlineStr"/>
      <c r="X8" s="3" t="inlineStr"/>
      <c r="Y8" s="3" t="inlineStr"/>
      <c r="Z8" s="3" t="inlineStr">
        <is>
          <t>DECLARED IN THE CODE (rule 11) — printed from the door, not typed. RULED 2026-09-27</t>
        </is>
      </c>
      <c r="AA8" s="3" t="inlineStr"/>
      <c r="AB8" s="3" t="inlineStr"/>
      <c r="AC8" s="3" t="inlineStr"/>
      <c r="AD8" s="3" t="inlineStr"/>
      <c r="AE8" s="3" t="inlineStr">
        <is>
          <t>G28 batch 1 (2026-09-09) — FILE RIGHT, code record blind. MK-XS-F-010 is handed the snapshot series (MK-XS-I-031) by its caller. Proposed approved list: MK-XS-I-031.</t>
        </is>
      </c>
      <c r="AF8" s="3" t="inlineStr">
        <is>
          <t>ACTIVE</t>
        </is>
      </c>
      <c r="AG8" s="3" t="inlineStr">
        <is>
          <t>2026-10-04</t>
        </is>
      </c>
      <c r="AH8" s="3" t="inlineStr"/>
      <c r="AI8" s="3" t="inlineStr"/>
      <c r="AJ8"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8" s="3" t="inlineStr">
        <is>
          <t>(the claim now stands in 'Inputs it needs' until the row is approved)</t>
        </is>
      </c>
      <c r="AL8" s="3" t="inlineStr"/>
      <c r="AM8" s="3" t="inlineStr">
        <is>
          <t>TESTED, NOT VERIFIED — you ruled on this row 2026-09-27; the figure, its formula, inputs and refusal live in MK-NW-O-003 theNetWorth</t>
        </is>
      </c>
      <c r="AN8" s="3" t="inlineStr">
        <is>
          <t>$18,000 checking, $142,000 brokerage, a $24,200 Treasury, a $310,000 rental and $9,000 of gold; against a $228,000 mortgage at $2,400/month and a $14,000 car loan at $250/month. Cash + investments stood at $180,000 on 2 Jan 2026.
GIVES: 7.33%
(the test re-runs this through MK-NW-O-003 theNetWorth on every build)</t>
        </is>
      </c>
      <c r="AO8" s="9" t="inlineStr">
        <is>
          <t>WAITING ON YOU — question Q17 · RULED, NOT CODED (Q-NW-1 — one question, one function)</t>
        </is>
      </c>
    </row>
    <row r="9" ht="60" customHeight="1">
      <c r="A9" s="3" t="inlineStr">
        <is>
          <t>MK-NW-M-003</t>
        </is>
      </c>
      <c r="B9" s="3" t="inlineStr">
        <is>
          <t>Networth</t>
        </is>
      </c>
      <c r="C9" s="3" t="inlineStr">
        <is>
          <t>/networth</t>
        </is>
      </c>
      <c r="D9" s="3" t="inlineStr">
        <is>
          <t>the trend line</t>
        </is>
      </c>
      <c r="E9" s="3" t="inlineStr">
        <is>
          <t>the_trend_line</t>
        </is>
      </c>
      <c r="F9" s="3" t="inlineStr">
        <is>
          <t>theNetWorth</t>
        </is>
      </c>
      <c r="G9" s="3" t="inlineStr">
        <is>
          <t>MK-NW-O-003</t>
        </is>
      </c>
      <c r="H9" s="3" t="inlineStr">
        <is>
          <t>every recorded month, plus every daily point, merged and sorted by date text</t>
        </is>
      </c>
      <c r="I9" s="3" t="inlineStr">
        <is>
          <t>every recorded month, plus every daily point, merged and sorted by date text</t>
        </is>
      </c>
      <c r="J9" s="3" t="inlineStr">
        <is>
          <t>MK-XS-I-031 the recorded history</t>
        </is>
      </c>
      <c r="K9" s="3" t="inlineStr">
        <is>
          <t>a count</t>
        </is>
      </c>
      <c r="L9" s="3" t="inlineStr">
        <is>
          <t>With one point the point is shown and the line is not drawn.</t>
        </is>
      </c>
      <c r="M9" s="3" t="inlineStr">
        <is>
          <t>one figure per household</t>
        </is>
      </c>
      <c r="N9" s="3" t="inlineStr">
        <is>
          <t>as of today</t>
        </is>
      </c>
      <c r="O9"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9" s="3" t="inlineStr">
        <is>
          <t>Declared by MK-NW-O-003 theNetWorth</t>
        </is>
      </c>
      <c r="Q9" s="3" t="inlineStr">
        <is>
          <t>A DAY THAT IS NOT A REAL DATE IS DROPPED, and a month whose figures do not add up is dropped — never drawn as a guess.
The line is drawn only from days we hold a record for; today’s balances are never priced at past dates.</t>
        </is>
      </c>
      <c r="R9" s="3" t="inlineStr">
        <is>
          <t>A DAY THAT IS NOT A REAL DATE IS DROPPED, and a month whose figures do not add up is dropped — never drawn as a guess.
The line is drawn only from days we hold a record for; today’s balances are never priced at past dates.</t>
        </is>
      </c>
      <c r="S9" s="3" t="inlineStr"/>
      <c r="T9" s="3" t="inlineStr">
        <is>
          <t>A DAY THAT IS NOT A REAL DATE IS DROPPED, and a month whose figures do not add up is dropped — never drawn as a guess.
The line is drawn only from days we hold a record for; today’s balances are never priced at past dates.</t>
        </is>
      </c>
      <c r="U9" s="3" t="inlineStr">
        <is>
          <t>DECLARED 2026-09-30, and it is a COUNT, not money — the master row inherited dollars from the function it shares with MK-NW-M-001.</t>
        </is>
      </c>
      <c r="V9" s="9" t="inlineStr">
        <is>
          <t>Q32 — The trend survives on a new device but the walk behind it does not. Should the trend say so, or show quietly?</t>
        </is>
      </c>
      <c r="W9" s="9" t="inlineStr"/>
      <c r="X9" s="3" t="inlineStr"/>
      <c r="Y9" s="3" t="inlineStr"/>
      <c r="Z9" s="3" t="inlineStr">
        <is>
          <t>DRAFT — declared in the code and printed here, WAITING FOR YOUR VERDICT before the screens move behind the door (rule 10)</t>
        </is>
      </c>
      <c r="AA9" s="3" t="inlineStr"/>
      <c r="AB9" s="3" t="inlineStr"/>
      <c r="AC9" s="3" t="inlineStr"/>
      <c r="AD9" s="3" t="inlineStr"/>
      <c r="AE9" s="3" t="inlineStr">
        <is>
          <t>G28 batch 1 (2026-09-09) — Same as MK-NW-M-001 (the same producer, MK-XS-F-005).</t>
        </is>
      </c>
      <c r="AF9" s="3" t="inlineStr">
        <is>
          <t>ACTIVE</t>
        </is>
      </c>
      <c r="AG9" s="3" t="inlineStr">
        <is>
          <t>2026-10-04</t>
        </is>
      </c>
      <c r="AH9" s="3" t="inlineStr"/>
      <c r="AI9" s="3" t="inlineStr"/>
      <c r="AJ9"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9" s="3" t="inlineStr">
        <is>
          <t>(the claim now stands in 'Inputs it needs' until the row is approved)</t>
        </is>
      </c>
      <c r="AL9" s="3" t="inlineStr"/>
      <c r="AM9" s="3" t="inlineStr">
        <is>
          <t>RULED? NOT YET — read this row and say yes, or say what changes. Nothing moves behind MK-NW-O-003 theNetWorth until you do.</t>
        </is>
      </c>
      <c r="AN9" s="3" t="inlineStr">
        <is>
          <t>Net worth recorded at the end of each month — $240,000 in January, $246,000 in February, $252,000 in March, $258,000 in April — and one daily point of $261,200 on 30 April.
GIVES: 5
(the test re-runs this through MK-NW-O-003 theNetWorth on every build)</t>
        </is>
      </c>
      <c r="AO9" s="9" t="inlineStr">
        <is>
          <t>WAITING ON YOU — question Q32 · WAITING ON YOU — row to approve: say yes in YOUR ANSWER, or say what changes · RULED, NOT CODED (Q-NW-1 — one question, one function)</t>
        </is>
      </c>
    </row>
    <row r="10" ht="60" customHeight="1">
      <c r="A10" s="3" t="inlineStr">
        <is>
          <t>MK-NW-M-004</t>
        </is>
      </c>
      <c r="B10" s="3" t="inlineStr">
        <is>
          <t>Networth</t>
        </is>
      </c>
      <c r="C10" s="3" t="inlineStr">
        <is>
          <t>/analytics</t>
        </is>
      </c>
      <c r="D10" s="3" t="inlineStr">
        <is>
          <t>WHAT YOU OWN</t>
        </is>
      </c>
      <c r="E10" s="3" t="inlineStr">
        <is>
          <t>what_you_own</t>
        </is>
      </c>
      <c r="F10" s="3" t="inlineStr">
        <is>
          <t>theNetWorth</t>
        </is>
      </c>
      <c r="G10" s="3" t="inlineStr">
        <is>
          <t>MK-NW-O-003</t>
        </is>
      </c>
      <c r="H10" s="3" t="inlineStr">
        <is>
          <t>the sum of every account’s value</t>
        </is>
      </c>
      <c r="I10" s="3" t="inlineStr">
        <is>
          <t>the sum of every account’s value</t>
        </is>
      </c>
      <c r="J10" s="3" t="inlineStr">
        <is>
          <t>MK-NW-I-001 your accounts</t>
        </is>
      </c>
      <c r="K10" s="3" t="inlineStr">
        <is>
          <t>dollars, whole</t>
        </is>
      </c>
      <c r="L10" s="3" t="inlineStr">
        <is>
          <t>$0, and under it the one line "Nothing entered yet. Add your accounts ›" (mock approved 2026-09-12). A real zero that was entered shows a plain $0 with no line.</t>
        </is>
      </c>
      <c r="M10" s="3" t="inlineStr">
        <is>
          <t>one figure per household</t>
        </is>
      </c>
      <c r="N10" s="3" t="inlineStr">
        <is>
          <t>as of today</t>
        </is>
      </c>
      <c r="O10"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0" s="3" t="inlineStr">
        <is>
          <t>Declared by MK-NW-O-003 theNetWorth</t>
        </is>
      </c>
      <c r="Q10" s="3" t="inlineStr">
        <is>
          <t>NONE RECORDED — the declaration names none.</t>
        </is>
      </c>
      <c r="R10" s="3" t="inlineStr">
        <is>
          <t>NONE RECORDED — the declaration names none.</t>
        </is>
      </c>
      <c r="S10" s="3" t="inlineStr"/>
      <c r="T10" s="3" t="inlineStr">
        <is>
          <t>NONE RECORDED — the declaration names none.</t>
        </is>
      </c>
      <c r="U10" s="3" t="inlineStr"/>
      <c r="V10" s="3" t="inlineStr"/>
      <c r="W10" s="3" t="inlineStr"/>
      <c r="X10" s="3" t="inlineStr"/>
      <c r="Y10" s="3" t="inlineStr"/>
      <c r="Z10" s="3" t="inlineStr">
        <is>
          <t>DECLARED IN THE CODE (rule 11) — printed from the door, not typed. RULED 2026-09-27</t>
        </is>
      </c>
      <c r="AA10" s="3" t="inlineStr"/>
      <c r="AB10" s="3" t="inlineStr"/>
      <c r="AC10" s="3" t="inlineStr"/>
      <c r="AD10" s="3" t="inlineStr"/>
      <c r="AE10" s="3" t="inlineStr">
        <is>
          <t>G32 / Q48 — RULED 2026-09-09: $0 stays, with the sentence '$0 — nothing entered yet.' and this row's door ('Add your accounts ›'). File written; the screen follows the approved empty-state mock (one pattern, one screen), then every screen.</t>
        </is>
      </c>
      <c r="AF10" s="3" t="inlineStr">
        <is>
          <t>ACTIVE</t>
        </is>
      </c>
      <c r="AG10" s="3" t="inlineStr">
        <is>
          <t>2026-10-04</t>
        </is>
      </c>
      <c r="AH10" s="3" t="inlineStr"/>
      <c r="AI10" s="3" t="inlineStr"/>
      <c r="AJ10"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0" s="3" t="inlineStr">
        <is>
          <t>(the claim now stands in 'Inputs it needs' until the row is approved)</t>
        </is>
      </c>
      <c r="AL10" s="3" t="inlineStr"/>
      <c r="AM10" s="3" t="inlineStr">
        <is>
          <t>TESTED, NOT VERIFIED — you ruled on this row 2026-09-27; the figure, its formula, inputs and refusal live in MK-NW-O-003 theNetWorth</t>
        </is>
      </c>
      <c r="AN10" s="3" t="inlineStr">
        <is>
          <t>$18,000 checking, $142,000 brokerage, a $24,200 Treasury, a $310,000 rental and $9,000 of gold; against a $228,000 mortgage at $2,400/month and a $14,000 car loan at $250/month. Cash + investments stood at $180,000 on 2 Jan 2026.
GIVES: $503,200
(the test re-runs this through MK-NW-O-003 theNetWorth on every build)</t>
        </is>
      </c>
      <c r="AO10" s="7" t="inlineStr">
        <is>
          <t>RULED, NOT CODED (Q-NW-1 — one question, one function)</t>
        </is>
      </c>
    </row>
    <row r="11" ht="60" customHeight="1">
      <c r="A11" s="3" t="inlineStr">
        <is>
          <t>MK-NW-M-005</t>
        </is>
      </c>
      <c r="B11" s="3" t="inlineStr">
        <is>
          <t>Networth</t>
        </is>
      </c>
      <c r="C11" s="3" t="inlineStr">
        <is>
          <t>/analytics · /insights</t>
        </is>
      </c>
      <c r="D11" s="3" t="inlineStr">
        <is>
          <t>CASH</t>
        </is>
      </c>
      <c r="E11" s="3" t="inlineStr">
        <is>
          <t>cash</t>
        </is>
      </c>
      <c r="F11" s="3" t="inlineStr">
        <is>
          <t>theNetWorth</t>
        </is>
      </c>
      <c r="G11" s="3" t="inlineStr">
        <is>
          <t>MK-NW-O-003</t>
        </is>
      </c>
      <c r="H11" s="3" t="inlineStr">
        <is>
          <t>cash = Σ(balance of each account whose class = Cash) + Σ over CONNECTED accounts of (the cash slice of the account's class breakdown)</t>
        </is>
      </c>
      <c r="I11" s="3" t="inlineStr">
        <is>
          <t>Add up the balances of every account whose class is Cash — under the founder's 2026-08-04 rule that means checking, savings, high-yield savings and the uninvested sweep at a broker, and NOT money-market funds, which pay dividends and are measured with the investments. A CONNECTED account that holds several classes at once adds only its cash slice.</t>
        </is>
      </c>
      <c r="J11" s="3" t="inlineStr">
        <is>
          <t>MK-NW-I-001 your accounts</t>
        </is>
      </c>
      <c r="K11" s="3" t="inlineStr">
        <is>
          <t>dollars, whole</t>
        </is>
      </c>
      <c r="L11" s="3" t="inlineStr">
        <is>
          <t>$0, and under it the one line "Nothing entered yet. Add your accounts ›" (mock approved 2026-09-12). A real zero that was entered shows a plain $0 with no line.</t>
        </is>
      </c>
      <c r="M11" s="3" t="inlineStr">
        <is>
          <t>one figure per household</t>
        </is>
      </c>
      <c r="N11" s="3" t="inlineStr">
        <is>
          <t>as of today</t>
        </is>
      </c>
      <c r="O11"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1" s="3" t="inlineStr">
        <is>
          <t>Declared by MK-NW-O-003 theNetWorth</t>
        </is>
      </c>
      <c r="Q11" s="3" t="inlineStr">
        <is>
          <t>A CD and a money-market fund are NOT cash: they are bonds and funds, because they pay interest and dividends that must be measured (founder, 2026-08-04).</t>
        </is>
      </c>
      <c r="R11" s="3" t="inlineStr">
        <is>
          <t>A CD and a money-market fund are NOT cash: they are bonds and funds, because they pay interest and dividends that must be measured (founder, 2026-08-04).</t>
        </is>
      </c>
      <c r="S11" s="3" t="inlineStr"/>
      <c r="T11" s="3" t="inlineStr">
        <is>
          <t>A CD and a money-market fund are NOT cash: they are bonds and funds, because they pay interest and dividends that must be measured (founder, 2026-08-04).</t>
        </is>
      </c>
      <c r="U11" s="3" t="inlineStr"/>
      <c r="V11" s="3" t="inlineStr"/>
      <c r="W11" s="3" t="inlineStr"/>
      <c r="X11" s="3" t="inlineStr"/>
      <c r="Y11" s="3" t="inlineStr"/>
      <c r="Z11" s="3" t="inlineStr">
        <is>
          <t>DECLARED IN THE CODE (rule 11) — printed from the door, not typed. RULED 2026-09-27</t>
        </is>
      </c>
      <c r="AA11" s="3" t="inlineStr"/>
      <c r="AB11" s="3" t="inlineStr"/>
      <c r="AC11" s="3" t="inlineStr"/>
      <c r="AD11" s="3" t="inlineStr"/>
      <c r="AE11" s="3" t="inlineStr">
        <is>
          <t>G32 / Q48 — RULED 2026-09-09: $0 stays, with the sentence '$0 — nothing entered yet.' and this row's door ('Add your accounts ›'). File written; the screen follows the approved empty-state mock (one pattern, one screen), then every screen.
G28 batch 1 (2026-09-09) — PARTLY. MK-NW-F-016 (cashTotal) sums the accounts whose class is cash, and the class comes from MK-NW-F-011 (assetClassOf), which reads MK-XS-I-002 (type), MK-XS-I-055 (wrapper) and MK-XS-I-013 (maturity) — those three are true inputs the claim missed. MK-XS-I-010 (transaction words) and MK-XS-I-034 (options) in the code record look like over-inclusion. Proposed approved list: MK-XS-I-001 · MK-XS-I-048 · MK-XS-I-002 · MK-XS-I-055 · MK-XS-I-013; the other two to be read.</t>
        </is>
      </c>
      <c r="AF11" s="3" t="inlineStr">
        <is>
          <t>ACTIVE</t>
        </is>
      </c>
      <c r="AG11" s="3" t="inlineStr">
        <is>
          <t>2026-10-04</t>
        </is>
      </c>
      <c r="AH11" s="3" t="inlineStr"/>
      <c r="AI11" s="3" t="inlineStr"/>
      <c r="AJ11"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1" s="3" t="inlineStr">
        <is>
          <t>(the claim now stands in 'Inputs it needs' until the row is approved)</t>
        </is>
      </c>
      <c r="AL11" s="3" t="inlineStr"/>
      <c r="AM11" s="3" t="inlineStr">
        <is>
          <t>TESTED, NOT VERIFIED — you ruled on this row 2026-09-27; the figure, its formula, inputs and refusal live in MK-NW-O-003 theNetWorth</t>
        </is>
      </c>
      <c r="AN11" s="3" t="inlineStr">
        <is>
          <t>$18,000 checking, $142,000 brokerage, a $24,200 Treasury, a $310,000 rental and $9,000 of gold; against a $228,000 mortgage at $2,400/month and a $14,000 car loan at $250/month. Cash + investments stood at $180,000 on 2 Jan 2026.
GIVES: $18,000
(the test re-runs this through MK-NW-O-003 theNetWorth on every build)</t>
        </is>
      </c>
      <c r="AO11" s="7" t="inlineStr">
        <is>
          <t>RULED, NOT CODED (Q-NW-1 — one question, one function)</t>
        </is>
      </c>
    </row>
    <row r="12" ht="60" customHeight="1">
      <c r="A12" s="3" t="inlineStr">
        <is>
          <t>MK-NW-M-006</t>
        </is>
      </c>
      <c r="B12" s="3" t="inlineStr">
        <is>
          <t>Networth</t>
        </is>
      </c>
      <c r="C12" s="3" t="inlineStr">
        <is>
          <t>/networth</t>
        </is>
      </c>
      <c r="D12" s="3" t="inlineStr">
        <is>
          <t>🏠 PERSONAL PROPERTY</t>
        </is>
      </c>
      <c r="E12" s="3" t="inlineStr">
        <is>
          <t>personal_property</t>
        </is>
      </c>
      <c r="F12" s="3" t="inlineStr">
        <is>
          <t>theNetWorth</t>
        </is>
      </c>
      <c r="G12" s="3" t="inlineStr">
        <is>
          <t>MK-NW-O-003</t>
        </is>
      </c>
      <c r="H12" s="3" t="inlineStr">
        <is>
          <t>the balances of every account in that band, added up — for this band, every account whose class is personal property: vehicles and valuables. Real estate is its own band.</t>
        </is>
      </c>
      <c r="I12" s="3" t="inlineStr">
        <is>
          <t>the balances of every account in that band, added up — for this band, every account whose class is personal property: vehicles and valuables. Real estate is its own band.</t>
        </is>
      </c>
      <c r="J12" s="3" t="inlineStr">
        <is>
          <t>MK-NW-I-001 your accounts</t>
        </is>
      </c>
      <c r="K12" s="3" t="inlineStr">
        <is>
          <t>dollars, whole</t>
        </is>
      </c>
      <c r="L12" s="3" t="inlineStr">
        <is>
          <t>The band shows $0 and, on a fresh account, the one line "Nothing entered yet. Add your accounts ›".</t>
        </is>
      </c>
      <c r="M12" s="3" t="inlineStr">
        <is>
          <t>one figure per band</t>
        </is>
      </c>
      <c r="N12" s="3" t="inlineStr">
        <is>
          <t>as of today</t>
        </is>
      </c>
      <c r="O12"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2" s="3" t="inlineStr">
        <is>
          <t>Declared by MK-NW-O-003 theNetWorth</t>
        </is>
      </c>
      <c r="Q12" s="3" t="inlineStr">
        <is>
          <t>REAL ESTATE IS ITS OWN BAND: a house is not a vehicle, and mixing them hides both.
THE SAME ACCOUNTS GROUP TWO WAYS — by class and by institution — and both ways add to the same total, so switching the view can never change what you own.
An account with no institution recorded groups under "No institution set" rather than being dropped.</t>
        </is>
      </c>
      <c r="R12" s="3" t="inlineStr">
        <is>
          <t>REAL ESTATE IS ITS OWN BAND: a house is not a vehicle, and mixing them hides both.
THE SAME ACCOUNTS GROUP TWO WAYS — by class and by institution — and both ways add to the same total, so switching the view can never change what you own.
An account with no institution recorded groups under "No institution set" rather than being dropped.</t>
        </is>
      </c>
      <c r="S12" s="3" t="inlineStr"/>
      <c r="T12" s="3" t="inlineStr">
        <is>
          <t>REAL ESTATE IS ITS OWN BAND: a house is not a vehicle, and mixing them hides both.
THE SAME ACCOUNTS GROUP TWO WAYS — by class and by institution — and both ways add to the same total, so switching the view can never change what you own.
An account with no institution recorded groups under "No institution set" rather than being dropped.</t>
        </is>
      </c>
      <c r="U12" s="3" t="inlineStr">
        <is>
          <t>MOVED OFF THE SCREEN 2026-09-30. Its row said so in as many words — "this section total is computed on the screen itself", written by hand 2026-09-08 — and it named NO function. NetWorthScreen grouped the accounts and totalled each band with an inline reduce over balances, which is the rule against re-deriving money on a screen. It is MK-NW-F ledgerGroups now, and both groupings are pinned to agree.</t>
        </is>
      </c>
      <c r="V12" s="3" t="inlineStr"/>
      <c r="W12" s="3" t="inlineStr"/>
      <c r="X12" s="3" t="inlineStr"/>
      <c r="Y12" s="3" t="inlineStr"/>
      <c r="Z12" s="3" t="inlineStr">
        <is>
          <t>DRAFT — declared in the code and printed here, WAITING FOR YOUR VERDICT before the screens move behind the door (rule 10)</t>
        </is>
      </c>
      <c r="AA12" s="3" t="inlineStr"/>
      <c r="AB12" s="3" t="inlineStr"/>
      <c r="AC12" s="3" t="inlineStr"/>
      <c r="AD12" s="3" t="inlineStr"/>
      <c r="AE12" s="3" t="inlineStr"/>
      <c r="AF12" s="3" t="inlineStr">
        <is>
          <t>ACTIVE</t>
        </is>
      </c>
      <c r="AG12" s="3" t="inlineStr">
        <is>
          <t>2026-10-04</t>
        </is>
      </c>
      <c r="AH12" s="3" t="inlineStr"/>
      <c r="AI12" s="3" t="inlineStr"/>
      <c r="AJ12"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2" s="3" t="inlineStr">
        <is>
          <t>(the claim now stands in 'Inputs it needs' until the row is approved)</t>
        </is>
      </c>
      <c r="AL12" s="3" t="inlineStr"/>
      <c r="AM12" s="3" t="inlineStr">
        <is>
          <t>RULED? NOT YET — read this row and say yes, or say what changes. Nothing moves behind MK-NW-O-003 theNetWorth until you do.</t>
        </is>
      </c>
      <c r="AN12" s="3" t="inlineStr">
        <is>
          <t>The five accounts above plus a $21,000 car: $18,000 checking, $142,000 brokerage, a $24,200 Treasury at Fidelity, a $310,000 rental with no institution recorded, $9,000 of gold in a vault and the car.
GIVES: $21,000
(the test re-runs this through MK-NW-O-003 theNetWorth on every build)</t>
        </is>
      </c>
      <c r="AO12" s="9" t="inlineStr">
        <is>
          <t>WAITING ON YOU — row to approve: say yes in YOUR ANSWER, or say what changes · RULED, NOT CODED (Q-NW-1 — one question, one function)</t>
        </is>
      </c>
    </row>
    <row r="13" ht="60" customHeight="1">
      <c r="A13" s="3" t="inlineStr">
        <is>
          <t>MK-NW-M-007</t>
        </is>
      </c>
      <c r="B13" s="3" t="inlineStr">
        <is>
          <t>Networth</t>
        </is>
      </c>
      <c r="C13" s="3" t="inlineStr">
        <is>
          <t>/analytics</t>
        </is>
      </c>
      <c r="D13" s="3" t="inlineStr">
        <is>
          <t>class rows — by class, institution or type</t>
        </is>
      </c>
      <c r="E13" s="3" t="inlineStr">
        <is>
          <t>class_rows__by_class_institution_or_type</t>
        </is>
      </c>
      <c r="F13" s="3" t="inlineStr">
        <is>
          <t>theNetWorth</t>
        </is>
      </c>
      <c r="G13" s="3" t="inlineStr">
        <is>
          <t>MK-NW-O-003</t>
        </is>
      </c>
      <c r="H13" s="3" t="inlineStr">
        <is>
          <t>each account’s value booked to its class, added up by class</t>
        </is>
      </c>
      <c r="I13" s="3" t="inlineStr">
        <is>
          <t>each account’s value booked to its class, added up by class</t>
        </is>
      </c>
      <c r="J13" s="3" t="inlineStr">
        <is>
          <t>MK-NW-I-001 your accounts</t>
        </is>
      </c>
      <c r="K13" s="3" t="inlineStr">
        <is>
          <t>dollars, whole</t>
        </is>
      </c>
      <c r="L13" s="3" t="inlineStr">
        <is>
          <t>$0, and under it the one line "Nothing entered yet. Add your accounts ›" (mock approved 2026-09-12). A real zero that was entered shows a plain $0 with no line.</t>
        </is>
      </c>
      <c r="M13" s="3" t="inlineStr">
        <is>
          <t>one class</t>
        </is>
      </c>
      <c r="N13" s="3" t="inlineStr">
        <is>
          <t>as of today</t>
        </is>
      </c>
      <c r="O13"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3" s="3" t="inlineStr">
        <is>
          <t>Declared by MK-NW-O-003 theNetWorth</t>
        </is>
      </c>
      <c r="Q13" s="3" t="inlineStr">
        <is>
          <t>NONE RECORDED — the declaration names none.</t>
        </is>
      </c>
      <c r="R13" s="3" t="inlineStr">
        <is>
          <t>NONE RECORDED — the declaration names none.</t>
        </is>
      </c>
      <c r="S13" s="3" t="inlineStr"/>
      <c r="T13" s="3" t="inlineStr">
        <is>
          <t>NONE RECORDED — the declaration names none.</t>
        </is>
      </c>
      <c r="U13" s="3" t="inlineStr"/>
      <c r="V13" s="9" t="inlineStr">
        <is>
          <t>Q10 — What order of evidence decides an asset's class? Draft: the institution's own class field, then the shape of the identifier (option symbols, nine-character bond numbers, currency codes), then words in the name, then ask you.
Q11 — When nothing matches: refuse the line and ask, or park it as unclassified? Parking keeps the totals right and hides a gap; refusing is honest and stops the import.
Q12 — Does the person's own answer always win and stick, even when the next sync disagrees? That is today's rule for holdings — confirm it holds for every class.
Q13 — Commodities: is a fund that tracks gold (GLD) simply a fund with a "commodity" label for allocation, and do you want PHYSICAL metal — weight, unit, purity, storage, spot price — supported at launch?</t>
        </is>
      </c>
      <c r="W13" s="9" t="inlineStr"/>
      <c r="X13" s="3" t="inlineStr"/>
      <c r="Y13" s="3" t="inlineStr"/>
      <c r="Z13" s="3" t="inlineStr">
        <is>
          <t>DECLARED IN THE CODE (rule 11) — printed from the door, not typed. RULED 2026-09-27</t>
        </is>
      </c>
      <c r="AA13" s="3" t="inlineStr"/>
      <c r="AB13" s="3" t="inlineStr"/>
      <c r="AC13" s="3" t="inlineStr"/>
      <c r="AD13" s="3" t="inlineStr"/>
      <c r="AE13" s="3" t="inlineStr">
        <is>
          <t>G32 / Q48 — RULED 2026-09-09: $0 stays, with the sentence '$0 — nothing entered yet.' and this row's door ('Add your accounts ›'). File written; the screen follows the approved empty-state mock (one pattern, one screen), then every screen.</t>
        </is>
      </c>
      <c r="AF13" s="3" t="inlineStr">
        <is>
          <t>ACTIVE</t>
        </is>
      </c>
      <c r="AG13" s="3" t="inlineStr">
        <is>
          <t>2026-10-04</t>
        </is>
      </c>
      <c r="AH13" s="3" t="inlineStr"/>
      <c r="AI13" s="3" t="inlineStr"/>
      <c r="AJ13"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3" s="3" t="inlineStr">
        <is>
          <t>(the claim now stands in 'Inputs it needs' until the row is approved)</t>
        </is>
      </c>
      <c r="AL13" s="3" t="inlineStr"/>
      <c r="AM13" s="3" t="inlineStr">
        <is>
          <t>TESTED, NOT VERIFIED — you ruled on this row 2026-09-27; the figure, its formula, inputs and refusal live in MK-NW-O-003 theNetWorth</t>
        </is>
      </c>
      <c r="AN13" s="3" t="inlineStr">
        <is>
          <t>$18,000 checking, $142,000 brokerage, a $24,200 Treasury, a $310,000 rental and $9,000 of gold; against a $228,000 mortgage at $2,400/month and a $14,000 car loan at $250/month. Cash + investments stood at $180,000 on 2 Jan 2026.
GIVES: $142,000
(the test re-runs this through MK-NW-O-003 theNetWorth on every build)</t>
        </is>
      </c>
      <c r="AO13" s="9" t="inlineStr">
        <is>
          <t>WAITING ON YOU — question Q10, Q11, Q12, Q13 · RULED, NOT CODED (Q-NW-1 — one question, one function)</t>
        </is>
      </c>
    </row>
    <row r="14" ht="60" customHeight="1">
      <c r="A14" s="3" t="inlineStr">
        <is>
          <t>MK-NW-M-008</t>
        </is>
      </c>
      <c r="B14" s="3" t="inlineStr">
        <is>
          <t>Networth</t>
        </is>
      </c>
      <c r="C14" s="3" t="inlineStr">
        <is>
          <t>/networth</t>
        </is>
      </c>
      <c r="D14" s="3" t="inlineStr">
        <is>
          <t>each account and its balance</t>
        </is>
      </c>
      <c r="E14" s="3" t="inlineStr">
        <is>
          <t>each_account_and_its_balance</t>
        </is>
      </c>
      <c r="F14" s="3" t="inlineStr">
        <is>
          <t>theNetWorth</t>
        </is>
      </c>
      <c r="G14" s="3" t="inlineStr">
        <is>
          <t>MK-NW-O-003</t>
        </is>
      </c>
      <c r="H14" s="3" t="inlineStr">
        <is>
          <t>the account’s own balance, listed under the band it belongs to</t>
        </is>
      </c>
      <c r="I14" s="3" t="inlineStr">
        <is>
          <t>the account’s own balance, listed under the band it belongs to</t>
        </is>
      </c>
      <c r="J14" s="3" t="inlineStr">
        <is>
          <t>MK-NW-I-001 your accounts
MK-XS-I-003 institution name</t>
        </is>
      </c>
      <c r="K14" s="3" t="inlineStr">
        <is>
          <t>dollars, whole</t>
        </is>
      </c>
      <c r="L14" s="3" t="inlineStr">
        <is>
          <t>$0, and under it the one line "Nothing entered yet. Add your accounts ›" (mock approved 2026-09-12). A real zero that was entered shows a plain $0 with no line.</t>
        </is>
      </c>
      <c r="M14" s="3" t="inlineStr">
        <is>
          <t>one figure per account</t>
        </is>
      </c>
      <c r="N14" s="3" t="inlineStr">
        <is>
          <t>as of today</t>
        </is>
      </c>
      <c r="O14"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4" s="3" t="inlineStr">
        <is>
          <t>Declared by MK-NW-O-003 theNetWorth</t>
        </is>
      </c>
      <c r="Q14" s="3" t="inlineStr">
        <is>
          <t>UNDER AN INSTITUTION’S NAME, the class mix inside it is named too — a Fidelity holding a fund and a Treasury reads as a roll-up, not a flat lump.
The mix is ordered biggest first, so the largest thing inside an institution is the first thing read.</t>
        </is>
      </c>
      <c r="R14" s="3" t="inlineStr">
        <is>
          <t>UNDER AN INSTITUTION’S NAME, the class mix inside it is named too — a Fidelity holding a fund and a Treasury reads as a roll-up, not a flat lump.
The mix is ordered biggest first, so the largest thing inside an institution is the first thing read.</t>
        </is>
      </c>
      <c r="S14" s="3" t="inlineStr"/>
      <c r="T14" s="3" t="inlineStr">
        <is>
          <t>UNDER AN INSTITUTION’S NAME, the class mix inside it is named too — a Fidelity holding a fund and a Treasury reads as a roll-up, not a flat lump.
The mix is ordered biggest first, so the largest thing inside an institution is the first thing read.</t>
        </is>
      </c>
      <c r="U14" s="3" t="inlineStr">
        <is>
          <t>DECLARED 2026-09-30 with MK-NW-M-006 — the same function answers both, which is why the band and the rows beneath it cannot disagree. The worked example is Fidelity: $142,000 of fund plus a $24,200 Treasury.</t>
        </is>
      </c>
      <c r="V14" s="9" t="inlineStr">
        <is>
          <t>Q14 — What should a MIXED account be called on screen, when it holds several classes at once?</t>
        </is>
      </c>
      <c r="W14" s="9" t="inlineStr"/>
      <c r="X14" s="3" t="inlineStr"/>
      <c r="Y14" s="3" t="inlineStr"/>
      <c r="Z14" s="3" t="inlineStr">
        <is>
          <t>DRAFT — declared in the code and printed here, WAITING FOR YOUR VERDICT before the screens move behind the door (rule 10)</t>
        </is>
      </c>
      <c r="AA14" s="3" t="inlineStr"/>
      <c r="AB14" s="3" t="inlineStr"/>
      <c r="AC14" s="3" t="inlineStr"/>
      <c r="AD14" s="3" t="inlineStr"/>
      <c r="AE14" s="3" t="inlineStr">
        <is>
          <t>G32 / Q48 — RULED 2026-09-09: $0 stays, with the sentence '$0 — nothing entered yet.' and this row's door ('Add your accounts ›'). File written; the screen follows the approved empty-state mock (one pattern, one screen), then every screen.</t>
        </is>
      </c>
      <c r="AF14" s="3" t="inlineStr">
        <is>
          <t>ACTIVE</t>
        </is>
      </c>
      <c r="AG14" s="3" t="inlineStr">
        <is>
          <t>2026-10-04</t>
        </is>
      </c>
      <c r="AH14" s="3" t="inlineStr"/>
      <c r="AI14" s="3" t="inlineStr"/>
      <c r="AJ14"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4" s="3" t="inlineStr">
        <is>
          <t>(the claim now stands in 'Inputs it needs' until the row is approved)</t>
        </is>
      </c>
      <c r="AL14" s="3" t="inlineStr"/>
      <c r="AM14" s="3" t="inlineStr">
        <is>
          <t>RULED? NOT YET — read this row and say yes, or say what changes. Nothing moves behind MK-NW-O-003 theNetWorth until you do.</t>
        </is>
      </c>
      <c r="AN14" s="3" t="inlineStr">
        <is>
          <t>The five accounts above plus a $21,000 car: $18,000 checking, $142,000 brokerage, a $24,200 Treasury at Fidelity, a $310,000 rental with no institution recorded, $9,000 of gold in a vault and the car.
GIVES: $166,200
(the test re-runs this through MK-NW-O-003 theNetWorth on every build)</t>
        </is>
      </c>
      <c r="AO14" s="9" t="inlineStr">
        <is>
          <t>WAITING ON YOU — question Q14 · WAITING ON YOU — row to approve: say yes in YOUR ANSWER, or say what changes · RULED, NOT CODED (Q-NW-1 — one question, one function)</t>
        </is>
      </c>
    </row>
    <row r="15" ht="60" customHeight="1">
      <c r="A15" s="3" t="inlineStr">
        <is>
          <t>MK-NW-M-009</t>
        </is>
      </c>
      <c r="B15" s="3" t="inlineStr">
        <is>
          <t>Networth</t>
        </is>
      </c>
      <c r="C15" s="3" t="inlineStr">
        <is>
          <t>/analytics</t>
        </is>
      </c>
      <c r="D15" s="3" t="inlineStr">
        <is>
          <t>DEBTS</t>
        </is>
      </c>
      <c r="E15" s="3" t="inlineStr">
        <is>
          <t>debts</t>
        </is>
      </c>
      <c r="F15" s="3" t="inlineStr">
        <is>
          <t>theNetWorth</t>
        </is>
      </c>
      <c r="G15" s="3" t="inlineStr">
        <is>
          <t>MK-NW-O-003</t>
        </is>
      </c>
      <c r="H15" s="3" t="inlineStr">
        <is>
          <t>the sum of every debt’s remaining balance</t>
        </is>
      </c>
      <c r="I15" s="3" t="inlineStr">
        <is>
          <t>the sum of every debt’s remaining balance</t>
        </is>
      </c>
      <c r="J15" s="3" t="inlineStr">
        <is>
          <t>MK-NW-I-002 your debts</t>
        </is>
      </c>
      <c r="K15" s="3" t="inlineStr">
        <is>
          <t>dollars, whole</t>
        </is>
      </c>
      <c r="L15" s="3" t="inlineStr">
        <is>
          <t>$0, and under it the one line "Nothing entered yet. Add your debts ›" (mock approved 2026-09-12). A real zero that was entered shows a plain $0 with no line.</t>
        </is>
      </c>
      <c r="M15" s="3" t="inlineStr">
        <is>
          <t>one figure per household</t>
        </is>
      </c>
      <c r="N15" s="3" t="inlineStr">
        <is>
          <t>as of today</t>
        </is>
      </c>
      <c r="O15"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5" s="3" t="inlineStr">
        <is>
          <t>Declared by MK-NW-O-003 theNetWorth</t>
        </is>
      </c>
      <c r="Q15" s="3" t="inlineStr">
        <is>
          <t>NONE RECORDED — the declaration names none.</t>
        </is>
      </c>
      <c r="R15" s="3" t="inlineStr">
        <is>
          <t>NONE RECORDED — the declaration names none.</t>
        </is>
      </c>
      <c r="S15" s="3" t="inlineStr"/>
      <c r="T15" s="3" t="inlineStr">
        <is>
          <t>NONE RECORDED — the declaration names none.</t>
        </is>
      </c>
      <c r="U15" s="3" t="inlineStr"/>
      <c r="V15" s="3" t="inlineStr"/>
      <c r="W15" s="3" t="inlineStr"/>
      <c r="X15" s="3" t="inlineStr"/>
      <c r="Y15" s="3" t="inlineStr"/>
      <c r="Z15" s="3" t="inlineStr">
        <is>
          <t>DECLARED IN THE CODE (rule 11) — printed from the door, not typed. RULED 2026-09-27</t>
        </is>
      </c>
      <c r="AA15" s="3" t="inlineStr"/>
      <c r="AB15" s="3" t="inlineStr"/>
      <c r="AC15" s="3" t="inlineStr"/>
      <c r="AD15" s="3" t="inlineStr"/>
      <c r="AE15" s="3" t="inlineStr">
        <is>
          <t>G32 / Q48 — RULED 2026-09-09: $0 stays, with the sentence '$0 — nothing entered yet.' and this row's door ('Add your debts ›'). File written; the screen follows the approved empty-state mock (one pattern, one screen), then every screen.</t>
        </is>
      </c>
      <c r="AF15" s="3" t="inlineStr">
        <is>
          <t>ACTIVE</t>
        </is>
      </c>
      <c r="AG15" s="3" t="inlineStr">
        <is>
          <t>2026-10-04</t>
        </is>
      </c>
      <c r="AH15" s="3" t="inlineStr"/>
      <c r="AI15" s="3" t="inlineStr"/>
      <c r="AJ15"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5" s="3" t="inlineStr">
        <is>
          <t>(the claim now stands in 'Inputs it needs' until the row is approved)</t>
        </is>
      </c>
      <c r="AL15" s="3" t="inlineStr"/>
      <c r="AM15" s="3" t="inlineStr">
        <is>
          <t>TESTED, NOT VERIFIED — you ruled on this row 2026-09-27; the figure, its formula, inputs and refusal live in MK-NW-O-003 theNetWorth</t>
        </is>
      </c>
      <c r="AN15" s="3" t="inlineStr">
        <is>
          <t>$18,000 checking, $142,000 brokerage, a $24,200 Treasury, a $310,000 rental and $9,000 of gold; against a $228,000 mortgage at $2,400/month and a $14,000 car loan at $250/month. Cash + investments stood at $180,000 on 2 Jan 2026.
GIVES: $242,000
(the test re-runs this through MK-NW-O-003 theNetWorth on every build)</t>
        </is>
      </c>
      <c r="AO15" s="7" t="inlineStr">
        <is>
          <t>RULED, NOT CODED (Q-NW-1 — one question, one function)</t>
        </is>
      </c>
    </row>
    <row r="16" ht="60" customHeight="1">
      <c r="A16" s="3" t="inlineStr">
        <is>
          <t>MK-NW-M-010</t>
        </is>
      </c>
      <c r="B16" s="3" t="inlineStr">
        <is>
          <t>Networth</t>
        </is>
      </c>
      <c r="C16" s="3" t="inlineStr">
        <is>
          <t>/analytics</t>
        </is>
      </c>
      <c r="D16" s="3" t="inlineStr">
        <is>
          <t>each debt and what is left on it</t>
        </is>
      </c>
      <c r="E16" s="3" t="inlineStr">
        <is>
          <t>each_debt_and_what_is_left_on_it</t>
        </is>
      </c>
      <c r="F16" s="3" t="inlineStr">
        <is>
          <t>theNetWorth</t>
        </is>
      </c>
      <c r="G16" s="3" t="inlineStr"/>
      <c r="H16" s="3" t="inlineStr">
        <is>
          <t>the remaining balance you entered, lowered by each payment logged</t>
        </is>
      </c>
      <c r="I16" s="3" t="inlineStr">
        <is>
          <t>The balance still owed on the debt, as recorded — an input, no arithmetic.</t>
        </is>
      </c>
      <c r="J16" s="3" t="inlineStr">
        <is>
          <t>MK-NW-I-002 your debts</t>
        </is>
      </c>
      <c r="K16" s="3" t="inlineStr">
        <is>
          <t>dollars, whole</t>
        </is>
      </c>
      <c r="L16" s="3" t="inlineStr">
        <is>
          <t>$0, and under it the one line "Nothing entered yet. Add your debts ›" (mock approved 2026-09-12). A real zero that was entered shows a plain $0 with no line.</t>
        </is>
      </c>
      <c r="M16" s="3" t="inlineStr">
        <is>
          <t>one debt</t>
        </is>
      </c>
      <c r="N16" s="3" t="inlineStr">
        <is>
          <t>as of today</t>
        </is>
      </c>
      <c r="O16" s="3" t="inlineStr">
        <is>
          <t>No function on record — nothing to chain</t>
        </is>
      </c>
      <c r="P16" s="3" t="inlineStr">
        <is>
          <t>Declared by MK-NW-O-003 theNetWorth</t>
        </is>
      </c>
      <c r="Q16" s="3" t="inlineStr">
        <is>
          <t>NONE RECORDED — the declaration names none.</t>
        </is>
      </c>
      <c r="R16" s="3" t="inlineStr">
        <is>
          <t>NONE RECORDED — the declaration names none.</t>
        </is>
      </c>
      <c r="S16" s="3" t="inlineStr"/>
      <c r="T16" s="3" t="inlineStr">
        <is>
          <t>NONE RECORDED — the declaration names none.</t>
        </is>
      </c>
      <c r="U16" s="3" t="inlineStr"/>
      <c r="V16" s="3" t="inlineStr"/>
      <c r="W16" s="3" t="inlineStr"/>
      <c r="X16" s="3" t="inlineStr"/>
      <c r="Y16" s="3" t="inlineStr"/>
      <c r="Z16" s="3" t="inlineStr">
        <is>
          <t>DECLARED IN THE CODE (rule 11) — printed from the door, not typed. RULED 2026-09-27</t>
        </is>
      </c>
      <c r="AA16" s="3" t="inlineStr"/>
      <c r="AB16" s="3" t="inlineStr"/>
      <c r="AC16" s="3" t="inlineStr"/>
      <c r="AD16" s="3" t="inlineStr"/>
      <c r="AE16" s="3" t="inlineStr">
        <is>
          <t>G32 / Q48 — RULED 2026-09-09: $0 stays, with the sentence '$0 — nothing entered yet.' and this row's door ('Add your debts ›'). File written; the screen follows the approved empty-state mock (one pattern, one screen), then every screen.</t>
        </is>
      </c>
      <c r="AF16" s="3" t="inlineStr">
        <is>
          <t>ACTIVE</t>
        </is>
      </c>
      <c r="AG16" s="3" t="inlineStr">
        <is>
          <t>2026-10-04</t>
        </is>
      </c>
      <c r="AH16" s="3" t="inlineStr"/>
      <c r="AI16" s="3" t="inlineStr"/>
      <c r="AJ16" s="3" t="inlineStr">
        <is>
          <t>No function on record — nothing to read from
[the code's record, this build — evidence for the ruling, not the row's statement: it cannot see inputs handed in as arguments, and it counts every branch below the producer]</t>
        </is>
      </c>
      <c r="AK16" s="3" t="inlineStr">
        <is>
          <t>(the claim now stands in 'Inputs it needs' until the row is approved)</t>
        </is>
      </c>
      <c r="AL16" s="3" t="inlineStr"/>
      <c r="AM16" s="3" t="inlineStr">
        <is>
          <t>TESTED, NOT VERIFIED — you ruled on this row 2026-09-27; the figure, its formula, inputs and refusal live in MK-NW-O-003 theNetWorth</t>
        </is>
      </c>
      <c r="AN16" s="3" t="inlineStr">
        <is>
          <t>$18,000 checking, $142,000 brokerage, a $24,200 Treasury, a $310,000 rental and $9,000 of gold; against a $228,000 mortgage at $2,400/month and a $14,000 car loan at $250/month. Cash + investments stood at $180,000 on 2 Jan 2026.
GIVES: $228,000
(the test re-runs this through MK-NW-O-003 theNetWorth on every build)</t>
        </is>
      </c>
      <c r="AO16" s="7" t="inlineStr">
        <is>
          <t>RULED, NOT CODED (Q-NW-1 — one question, one function)</t>
        </is>
      </c>
    </row>
    <row r="17" ht="60" customHeight="1">
      <c r="A17" s="3" t="inlineStr">
        <is>
          <t>MK-NW-M-011</t>
        </is>
      </c>
      <c r="B17" s="3" t="inlineStr">
        <is>
          <t>Networth</t>
        </is>
      </c>
      <c r="C17" s="3" t="inlineStr">
        <is>
          <t>/analytics</t>
        </is>
      </c>
      <c r="D17" s="3" t="inlineStr">
        <is>
          <t>minimum monthly payment on a debt</t>
        </is>
      </c>
      <c r="E17" s="3" t="inlineStr">
        <is>
          <t>minimum_monthly_payment_on_a_debt</t>
        </is>
      </c>
      <c r="F17" s="3" t="inlineStr">
        <is>
          <t>theNetWorth</t>
        </is>
      </c>
      <c r="G17" s="3" t="inlineStr">
        <is>
          <t>MK-NW-O-003</t>
        </is>
      </c>
      <c r="H17" s="3" t="inlineStr">
        <is>
          <t>required payment = 0 when the debt is due in full; otherwise the larger of the stated minimum and the payment the person chose (the stated minimum alone when no payment was chosen)</t>
        </is>
      </c>
      <c r="I17" s="3" t="inlineStr">
        <is>
          <t>the LARGER of the minimum you entered and any monthly payment you set — a debt due in full has no monthly payment at all</t>
        </is>
      </c>
      <c r="J17" s="3" t="inlineStr">
        <is>
          <t>MK-NW-I-002 your debts</t>
        </is>
      </c>
      <c r="K17" s="3" t="inlineStr">
        <is>
          <t>dollars, whole a month</t>
        </is>
      </c>
      <c r="L17" s="3" t="inlineStr">
        <is>
          <t>No minimum entered.</t>
        </is>
      </c>
      <c r="M17" s="3" t="inlineStr">
        <is>
          <t>one debt</t>
        </is>
      </c>
      <c r="N17" s="3" t="inlineStr">
        <is>
          <t>a month</t>
        </is>
      </c>
      <c r="O17"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17" s="3" t="inlineStr">
        <is>
          <t>Declared by MK-NW-O-003 theNetWorth</t>
        </is>
      </c>
      <c r="Q17" s="3" t="inlineStr">
        <is>
          <t>FOUNDER RULING G19 (2026-09-08): one payment rule, the larger of the stated minimum and the payment set — the same words in both formula columns.</t>
        </is>
      </c>
      <c r="R17" s="3" t="inlineStr">
        <is>
          <t>FOUNDER RULING G19 (2026-09-08): one payment rule, the larger of the stated minimum and the payment set — the same words in both formula columns.</t>
        </is>
      </c>
      <c r="S17" s="3" t="inlineStr"/>
      <c r="T17" s="3" t="inlineStr">
        <is>
          <t>FOUNDER RULING G19 (2026-09-08): one payment rule, the larger of the stated minimum and the payment set — the same words in both formula columns.</t>
        </is>
      </c>
      <c r="U17" s="3" t="inlineStr"/>
      <c r="V17" s="3" t="inlineStr"/>
      <c r="W17" s="3" t="inlineStr"/>
      <c r="X17" s="3" t="inlineStr"/>
      <c r="Y17" s="3" t="inlineStr"/>
      <c r="Z17" s="3" t="inlineStr">
        <is>
          <t>DECLARED IN THE CODE (rule 11) — printed from the door, not typed. RULED 2026-09-27</t>
        </is>
      </c>
      <c r="AA17" s="3" t="inlineStr"/>
      <c r="AB17" s="3" t="inlineStr"/>
      <c r="AC17" s="3" t="inlineStr"/>
      <c r="AD17" s="3" t="inlineStr"/>
      <c r="AE17" s="3" t="inlineStr">
        <is>
          <t>G19 — CLOSED 2026-09-08: the math column's 'interest + 1% of balance' rule existed nowhere in the code and is gone; both columns now state the one rule MK-CF-F-023 applies. No code change.</t>
        </is>
      </c>
      <c r="AF17" s="3" t="inlineStr">
        <is>
          <t>ACTIVE</t>
        </is>
      </c>
      <c r="AG17" s="3" t="inlineStr">
        <is>
          <t>2026-10-04</t>
        </is>
      </c>
      <c r="AH17" s="3" t="inlineStr"/>
      <c r="AI17" s="3" t="inlineStr"/>
      <c r="AJ17"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7" s="3" t="inlineStr">
        <is>
          <t>(the claim now stands in 'Inputs it needs' until the row is approved)</t>
        </is>
      </c>
      <c r="AL17" s="3" t="inlineStr"/>
      <c r="AM17" s="3" t="inlineStr">
        <is>
          <t>TESTED, NOT VERIFIED — you ruled on this row 2026-09-27; the figure, its formula, inputs and refusal live in MK-NW-O-003 theNetWorth</t>
        </is>
      </c>
      <c r="AN17" s="3" t="inlineStr">
        <is>
          <t>$18,000 checking, $142,000 brokerage, a $24,200 Treasury, a $310,000 rental and $9,000 of gold; against a $228,000 mortgage at $2,400/month and a $14,000 car loan at $250/month. Cash + investments stood at $180,000 on 2 Jan 2026.
GIVES: $2,400/month
(the test re-runs this through MK-NW-O-003 theNetWorth on every build)</t>
        </is>
      </c>
      <c r="AO17" s="7" t="inlineStr">
        <is>
          <t>RULED, NOT CODED (Q-NW-1 — one question, one function)</t>
        </is>
      </c>
    </row>
    <row r="18" ht="60" customHeight="1">
      <c r="A18" s="3" t="inlineStr">
        <is>
          <t>MK-NW-M-012</t>
        </is>
      </c>
      <c r="B18" s="3" t="inlineStr">
        <is>
          <t>Networth</t>
        </is>
      </c>
      <c r="C18" s="3" t="inlineStr">
        <is>
          <t>/analytics · /home</t>
        </is>
      </c>
      <c r="D18" s="3" t="inlineStr">
        <is>
          <t>Monthly debt payments</t>
        </is>
      </c>
      <c r="E18" s="3" t="inlineStr">
        <is>
          <t>monthly_debt_payments</t>
        </is>
      </c>
      <c r="F18" s="3" t="inlineStr">
        <is>
          <t>theNetWorth</t>
        </is>
      </c>
      <c r="G18" s="3" t="inlineStr">
        <is>
          <t>MK-CF-F-024</t>
        </is>
      </c>
      <c r="H18" s="3" t="inlineStr">
        <is>
          <t>monthly debt payments = Σ over debts of (required payment) — due-in-full debts count 0</t>
        </is>
      </c>
      <c r="I18" s="3" t="inlineStr">
        <is>
          <t>the sum of each debt’s required payment</t>
        </is>
      </c>
      <c r="J18" s="3" t="inlineStr">
        <is>
          <t>MK-NW-I-002 your debts</t>
        </is>
      </c>
      <c r="K18" s="3" t="inlineStr">
        <is>
          <t>dollars, whole a month</t>
        </is>
      </c>
      <c r="L18" s="3" t="inlineStr">
        <is>
          <t>$0, and under it the one line "Nothing entered yet. Add your debts ›" (mock approved 2026-09-12). A real zero that was entered shows a plain $0 with no line.</t>
        </is>
      </c>
      <c r="M18" s="3" t="inlineStr">
        <is>
          <t>one figure per household</t>
        </is>
      </c>
      <c r="N18" s="3" t="inlineStr">
        <is>
          <t>a month</t>
        </is>
      </c>
      <c r="O18" s="3" t="inlineStr">
        <is>
          <t>1. MK-CF-F-201 (INCOME) → NOT DECLARED — the code does not say what it gives back
2. MK-CF-F-023 (requiredPayment) → number</t>
        </is>
      </c>
      <c r="P18" s="3" t="inlineStr">
        <is>
          <t>Declared by MK-NW-O-003 theNetWorth</t>
        </is>
      </c>
      <c r="Q18" s="3" t="inlineStr">
        <is>
          <t>NONE RECORDED — the declaration names none.</t>
        </is>
      </c>
      <c r="R18" s="3" t="inlineStr">
        <is>
          <t>NONE RECORDED — the declaration names none.</t>
        </is>
      </c>
      <c r="S18" s="3" t="inlineStr"/>
      <c r="T18" s="3" t="inlineStr">
        <is>
          <t>NONE RECORDED — the declaration names none.</t>
        </is>
      </c>
      <c r="U18" s="3" t="inlineStr"/>
      <c r="V18" s="3" t="inlineStr">
        <is>
          <t>Q53 — "Monthly debt payments" on the Net worth screen: the MINIMUM each debt obliges, or what ACTUALLY leaves your account? They part whenever someone pays more than a minimum. On one card — $200 minimum, paid $600 — the minimum reads $200 and the actual reads $600. Both are real figures: the minimum is the obligation a lender can demand (it is what debt-to-income is measured on), the actual is the money that leaves. The screen shows the MINIMUM today, and the label reads like the actual. Which belongs under those words — or should the line say which it is, or show both?</t>
        </is>
      </c>
      <c r="W18" s="3" t="inlineStr">
        <is>
          <t>Q53 — ANSWERED 2026-09-30: Q53 - what actually leaves.
BUILT: MK-NW-M-012 'Monthly debt payments' shows what actually leaves the account, counting a payment set above the minimum: on a card with a $200 minimum paid at $600 it read $200 and now reads $600. The minimum stays on the door as monthlyDebtMinimum, because debt-to-income is measured on the obligation. Pinned by net-worth.test.ts MK-NW-M-012.</t>
        </is>
      </c>
      <c r="X18" s="3" t="inlineStr"/>
      <c r="Y18" s="3" t="inlineStr"/>
      <c r="Z18" s="3" t="inlineStr">
        <is>
          <t>DECLARED IN THE CODE (rule 11) — printed from the door, not typed. RULED 2026-09-27</t>
        </is>
      </c>
      <c r="AA18" s="3" t="inlineStr"/>
      <c r="AB18" s="3" t="inlineStr"/>
      <c r="AC18" s="3" t="inlineStr"/>
      <c r="AD18" s="3" t="inlineStr"/>
      <c r="AE18" s="3" t="inlineStr">
        <is>
          <t>G32 / Q48 — RULED 2026-09-09: $0 stays, with the sentence '$0 — nothing entered yet.' and this row's door ('Add your debts ›'). File written; the screen follows the approved empty-state mock (one pattern, one screen), then every screen.</t>
        </is>
      </c>
      <c r="AF18" s="3" t="inlineStr">
        <is>
          <t>ACTIVE</t>
        </is>
      </c>
      <c r="AG18" s="3" t="inlineStr">
        <is>
          <t>2026-10-04</t>
        </is>
      </c>
      <c r="AH18" s="3" t="inlineStr"/>
      <c r="AI18" s="3" t="inlineStr"/>
      <c r="AJ1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MK-CF-F-207, MK-CF-O-016, MK-NW-F-011, MK
37. MK-XS-I-059 the month a bonus lands — read by MK-CF-F-088, MK-CF-F-092, MK-CF-F-201, MK-CF-O-004, MK-CF-O-016
38. MK-XS-I-060 how a person is paid — weekly, fortnightly, monthly — read by MK-CF-F-130, MK-CF-O-016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8" s="3" t="inlineStr">
        <is>
          <t>(the claim now stands in 'Inputs it needs' until the row is approved)</t>
        </is>
      </c>
      <c r="AL18" s="3" t="inlineStr"/>
      <c r="AM18" s="3" t="inlineStr">
        <is>
          <t>TESTED, NOT VERIFIED — you ruled on this row 2026-09-27; the figure, its formula, inputs and refusal live in MK-NW-O-003 theNetWorth</t>
        </is>
      </c>
      <c r="AN18" s="3" t="inlineStr">
        <is>
          <t>$18,000 checking, $142,000 brokerage, a $24,200 Treasury, a $310,000 rental and $9,000 of gold; against a $228,000 mortgage at $2,400/month and a $14,000 car loan at $250/month. Cash + investments stood at $180,000 on 2 Jan 2026.
GIVES: $2,650/month
(the test re-runs this through MK-NW-O-003 theNetWorth on every build)</t>
        </is>
      </c>
      <c r="AO18" s="7" t="inlineStr">
        <is>
          <t>RULED, NOT CODED (Q-NW-1 — one question, one function)</t>
        </is>
      </c>
    </row>
    <row r="19" ht="60" customHeight="1">
      <c r="A19" s="3" t="inlineStr">
        <is>
          <t>MK-NW-M-013</t>
        </is>
      </c>
      <c r="B19" s="3" t="inlineStr">
        <is>
          <t>Networth</t>
        </is>
      </c>
      <c r="C19" s="3" t="inlineStr">
        <is>
          <t>/analytics · /jobsafety</t>
        </is>
      </c>
      <c r="D19" s="3" t="inlineStr">
        <is>
          <t>EMERGENCY FUND — X.X months</t>
        </is>
      </c>
      <c r="E19" s="3" t="inlineStr">
        <is>
          <t>emergency_fund__xx_months</t>
        </is>
      </c>
      <c r="F19" s="3" t="inlineStr">
        <is>
          <t>essentialsMonthly</t>
        </is>
      </c>
      <c r="G19" s="3" t="inlineStr">
        <is>
          <t>MK-CF-F-190</t>
        </is>
      </c>
      <c r="H19" s="3" t="inlineStr">
        <is>
          <t>cushion in months = cash ÷ essentials a month, where essentials a month = the average of logged expenses over the months logged (MK-CF-F-189), else the typed figure</t>
        </is>
      </c>
      <c r="I19" s="3" t="inlineStr">
        <is>
          <t>Cash on hand divided by what a month costs. What a month costs is the average of everything logged over the months that have entries in the last twelve finished months — mortgage and big items included — and the card says how many months it stands on: '$21,000 cash ÷ $3,000/mo essentials — 7 month average'. With nothing logged the typed figure serves and the card says 'you entered'.</t>
        </is>
      </c>
      <c r="J19" s="3" t="inlineStr">
        <is>
          <t>1. every logged expense → expenses [MK-XS-I-024]
2. the typed fallback → typed monthly expenses / essentials [MK-XS-I-025]
3. cash on hand → the Cash class [MK-XS-I-001]</t>
        </is>
      </c>
      <c r="K19" s="3" t="inlineStr">
        <is>
          <t>a number of months</t>
        </is>
      </c>
      <c r="L19" s="3" t="inlineStr">
        <is>
          <t>No essentials figure yet — it says so rather than dividing by nothing.</t>
        </is>
      </c>
      <c r="M19" s="3" t="inlineStr">
        <is>
          <t>one figure per household</t>
        </is>
      </c>
      <c r="N19" s="3" t="inlineStr">
        <is>
          <t>as of today</t>
        </is>
      </c>
      <c r="O19" s="3" t="inlineStr">
        <is>
          <t>1. MK-CF-F-189 (essentialsFromLoggedSpending) → EssentialsAverage | null
2. MK-CF-O-002 (expenses) → Expenses</t>
        </is>
      </c>
      <c r="P19" s="3" t="inlineStr">
        <is>
          <t>Declared by MK-NW-O-004 theEmergencyFund</t>
        </is>
      </c>
      <c r="Q19" s="3" t="inlineStr">
        <is>
          <t>ONE essentials figure across all three screens (his ruling G21, 2026-09-08): the average of what has been logged, over the months logged.</t>
        </is>
      </c>
      <c r="R19" s="3" t="inlineStr">
        <is>
          <t>ONE essentials figure across all three screens (his ruling G21, 2026-09-08): the average of what has been logged, over the months logged.</t>
        </is>
      </c>
      <c r="S19" s="3" t="inlineStr"/>
      <c r="T19" s="3" t="inlineStr">
        <is>
          <t>ONE essentials figure across all three screens (his ruling G21, 2026-09-08): the average of what has been logged, over the months logged.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19" s="3" t="inlineStr"/>
      <c r="V19" s="3" t="inlineStr">
        <is>
          <t>Q47 — Essentials a month (G21, ruling brief Q-21 (2026-08-20)): when fewer than 12 months of expenses are logged, use the months that exist and say 'average of N months' on screen (recommended), or fall back to the essentials figure the person typed at setup (MK-XS-I-025) and say so? And is the very first month (a partial month) left out?  [ANSWERED 2026-09-08 — see YOUR ANSWER]</t>
        </is>
      </c>
      <c r="W19" s="3" t="inlineStr">
        <is>
          <t>Q47: for fewer than 12 months logged show average for logged duration, and update words on screen from TTM to show the logged duration. If 7 month detail is logged show "xxx - 7 month average". (answered in chat, 2026-09-08)</t>
        </is>
      </c>
      <c r="X19" s="3" t="inlineStr"/>
      <c r="Y19" s="3" t="inlineStr"/>
      <c r="Z19" s="3" t="inlineStr">
        <is>
          <t>DECLARED IN THE CODE (rule 11) — printed from the door, not typed. RULED 2026-09-27</t>
        </is>
      </c>
      <c r="AA19" s="3" t="inlineStr"/>
      <c r="AB19" s="3" t="inlineStr"/>
      <c r="AC19" s="3" t="inlineStr"/>
      <c r="AD19" s="3" t="inlineStr"/>
      <c r="AE19"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t>
        </is>
      </c>
      <c r="AF19" s="3" t="inlineStr">
        <is>
          <t>ACTIVE</t>
        </is>
      </c>
      <c r="AG19" s="3" t="inlineStr">
        <is>
          <t>2026-10-04</t>
        </is>
      </c>
      <c r="AH19" s="3" t="inlineStr"/>
      <c r="AI19" s="3" t="inlineStr"/>
      <c r="AJ19" s="3" t="inlineStr">
        <is>
          <t>1. MK-XS-I-016 debt minimum payment — read by MK-CF-F-023
2. MK-XS-I-024 logged expenses — read by MK-CF-F-150, MK-CF-F-151, MK-CF-F-153, MK-CF-F-189, MK-CF-F-190, MK-CF-O-002
3. MK-XS-I-041 the payment the person chose to make on a debt — read by MK-CF-F-023
4. MK-XS-I-042 how a stream is paid — monthly, yearly or one lump — read by MK-CF-F-021, MK-CF-F-022, MK-CF-F-023, MK-CF-F-149, MK-CF-F-150, MK-CF-F-152
[the code's record, this build — evidence for the ruling, not the row's statement: it cannot see inputs handed in as arguments, and it counts every branch below the producer]</t>
        </is>
      </c>
      <c r="AK19" s="3" t="inlineStr">
        <is>
          <t>(the claim now stands in 'Inputs it needs' until the row is approved)</t>
        </is>
      </c>
      <c r="AL19" s="3" t="inlineStr"/>
      <c r="AM19" s="3" t="inlineStr">
        <is>
          <t>TESTED, NOT VERIFIED — you ruled on this row 2026-09-27; the figure, its formula, inputs and refusal live in MK-NW-O-004 theEmergencyFund</t>
        </is>
      </c>
      <c r="AN19"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5.2 months
(the test re-runs this through MK-NW-O-004 theEmergencyFund on every build)</t>
        </is>
      </c>
      <c r="AO19" s="7" t="inlineStr">
        <is>
          <t>RULED, NOT CODED (Q-NW-5 — one question, one function)</t>
        </is>
      </c>
    </row>
    <row r="20" ht="60" customHeight="1">
      <c r="A20" s="3" t="inlineStr">
        <is>
          <t>MK-NW-M-014</t>
        </is>
      </c>
      <c r="B20" s="3" t="inlineStr">
        <is>
          <t>Networth</t>
        </is>
      </c>
      <c r="C20" s="3" t="inlineStr">
        <is>
          <t>/analytics</t>
        </is>
      </c>
      <c r="D20" s="3" t="inlineStr">
        <is>
          <t>of essentials covered by your cash — $X cash ÷ $Y/month essentials</t>
        </is>
      </c>
      <c r="E20" s="3" t="inlineStr">
        <is>
          <t>of_essentials_covered_by_your_cash__x_ca</t>
        </is>
      </c>
      <c r="F20" s="3" t="inlineStr">
        <is>
          <t>1. cashTotal
2. essentialsMonthly</t>
        </is>
      </c>
      <c r="G20" s="3" t="inlineStr">
        <is>
          <t>1. MK-NW-F-016
2. MK-CF-F-190</t>
        </is>
      </c>
      <c r="H20" s="3" t="inlineStr">
        <is>
          <t>months of cushion = cash ÷ essentials a month (MK-CF-F-190)</t>
        </is>
      </c>
      <c r="I20" s="3" t="inlineStr">
        <is>
          <t>Add up the balances of every account whose class is Cash (the founder's 2026-08-04 rule: checking, savings, high-yield savings and the uninvested sweep at a broker — not money-market funds). Divide by the one essentials figure: the logged average over the months logged, labelled; the typed figure only when nothing is logged.</t>
        </is>
      </c>
      <c r="J20" s="3" t="inlineStr">
        <is>
          <t>1. every logged expense → expenses [MK-XS-I-024]
2. the typed fallback → typed monthly expenses / essentials [MK-XS-I-025]
3. cash on hand → the Cash class [MK-XS-I-001]</t>
        </is>
      </c>
      <c r="K20" s="3" t="inlineStr">
        <is>
          <t>a sentence</t>
        </is>
      </c>
      <c r="L20" s="3" t="inlineStr">
        <is>
          <t>No essentials figure (nothing logged and nothing typed) → the cushion shows its door: 'tell us what a typical month costs and this becomes a real number' (already built). No cash → the card is hidden.</t>
        </is>
      </c>
      <c r="M20" s="3" t="inlineStr">
        <is>
          <t>one figure per household</t>
        </is>
      </c>
      <c r="N20" s="3" t="inlineStr">
        <is>
          <t>as of today</t>
        </is>
      </c>
      <c r="O20" s="3" t="inlineStr">
        <is>
          <t>1. MK-NW-F-027 (accountClassBreakdown) → Record&lt;AssetClass, number&gt; | null
2. MK-NW-F-011 (assetClassOf) → AssetClass
3. MK-CF-F-189 (essentialsFromLoggedSpending) → EssentialsAverage | null
4. MK-CF-O-002 (expenses) → Expenses</t>
        </is>
      </c>
      <c r="P20" s="3" t="inlineStr">
        <is>
          <t>Declared by MK-NW-O-004 theEmergencyFund</t>
        </is>
      </c>
      <c r="Q20" s="3" t="inlineStr">
        <is>
          <t>NONE RECORDED — the declaration names none.</t>
        </is>
      </c>
      <c r="R20" s="3" t="inlineStr">
        <is>
          <t>NONE RECORDED — the declaration names none.</t>
        </is>
      </c>
      <c r="S20" s="3" t="inlineStr"/>
      <c r="T20" s="3" t="inlineStr">
        <is>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20" s="3" t="inlineStr"/>
      <c r="V20" s="3" t="inlineStr"/>
      <c r="W20" s="3" t="inlineStr"/>
      <c r="X20" s="3" t="inlineStr"/>
      <c r="Y20" s="3" t="inlineStr"/>
      <c r="Z20" s="3" t="inlineStr">
        <is>
          <t>DECLARED IN THE CODE (rule 11) — printed from the door, not typed. RULED 2026-09-27</t>
        </is>
      </c>
      <c r="AA20" s="3" t="inlineStr"/>
      <c r="AB20" s="3" t="inlineStr"/>
      <c r="AC20" s="3" t="inlineStr"/>
      <c r="AD20" s="3" t="inlineStr"/>
      <c r="AE20"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2026-09-09: the 'division with nothing on the bottom' boilerplate is gone; this cell now states the row's real refusal. Where it says 'built', the screen already does it; the rest follow the empty-state mock.</t>
        </is>
      </c>
      <c r="AF20" s="3" t="inlineStr">
        <is>
          <t>ACTIVE</t>
        </is>
      </c>
      <c r="AG20" s="3" t="inlineStr">
        <is>
          <t>2026-10-04</t>
        </is>
      </c>
      <c r="AH20" s="3" t="inlineStr"/>
      <c r="AI20" s="3" t="inlineStr"/>
      <c r="AJ20" s="3" t="inlineStr">
        <is>
          <t>1. MK-XS-I-001 account balance — read by MK-NW-F-016,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MK-XS-I-016 debt minimum payment — read by MK-CF-F-023
9. MK-XS-I-024 logged expenses — read by MK-CF-F-150, MK-CF-F-151, MK-CF-F-153, MK-CF-F-189, MK-CF-F-190, MK-CF-O-002
10. MK-XS-I-034 option positions — contracts, strike, expiry, put or call — read by MK-NW-F-027
11. MK-XS-I-041 the payment the person chose to make on a debt — read by MK-CF-F-023
12. MK-XS-I-042 how a stream is paid — monthly, yearly or one lump — read by MK-CF-F-021, MK-CF-F-022, MK-CF-F-023, MK-CF-F-149, MK-CF-F-150, MK-CF-F-152
13. MK-XS-I-048 the person’s own asset-class answer — read by MK-NW-F-011, MK-NW-F-027, MK-ST-F-027
14. MK-XS-I-055 the wrapper an account sits in — ISA, 401(k), IRA and the rest — read by MK-NW-F-011
[the code's record, this build — evidence for the ruling, not the row's statement: it cannot see inputs handed in as arguments, and it counts every branch below the producer]</t>
        </is>
      </c>
      <c r="AK20" s="3" t="inlineStr">
        <is>
          <t>(the claim now stands in 'Inputs it needs' until the row is approved)</t>
        </is>
      </c>
      <c r="AL20" s="3" t="inlineStr"/>
      <c r="AM20" s="3" t="inlineStr">
        <is>
          <t>TESTED, NOT VERIFIED — you ruled on this row 2026-09-27; the figure, its formula, inputs and refusal live in MK-NW-O-004 theEmergencyFund</t>
        </is>
      </c>
      <c r="AN20"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$18,000 cash ÷ $3,470/month essentials
(the test re-runs this through MK-NW-O-004 theEmergencyFund on every build)</t>
        </is>
      </c>
      <c r="AO20" s="7" t="inlineStr">
        <is>
          <t>RULED, NOT CODED (Q-NW-5 — one question, one function)</t>
        </is>
      </c>
    </row>
    <row r="21" ht="60" customHeight="1">
      <c r="A21" s="3" t="inlineStr">
        <is>
          <t>MK-NW-M-015</t>
        </is>
      </c>
      <c r="B21" s="3" t="inlineStr">
        <is>
          <t>Networth</t>
        </is>
      </c>
      <c r="C21" s="3" t="inlineStr">
        <is>
          <t>/networth</t>
        </is>
      </c>
      <c r="D21" s="3" t="inlineStr">
        <is>
          <t>YOUR RETIREMENT PLAN — on track for $X by age Y</t>
        </is>
      </c>
      <c r="E21" s="3" t="inlineStr">
        <is>
          <t>your_retirement_plan__on_track_for_x_by_</t>
        </is>
      </c>
      <c r="F21" s="3" t="inlineStr">
        <is>
          <t>theNetWorth</t>
        </is>
      </c>
      <c r="G21" s="3" t="inlineStr">
        <is>
          <t>MK-NW-O-003</t>
        </is>
      </c>
      <c r="H21" s="3" t="inlineStr">
        <is>
          <t>today’s cash and investments grown at your expected return for the years until you retire, plus each year’s saving grown for the years it has left</t>
        </is>
      </c>
      <c r="I21" s="3" t="inlineStr">
        <is>
          <t>today’s cash and investments grown at your expected return for the years until you retire, plus each year’s saving grown for the years it has left</t>
        </is>
      </c>
      <c r="J21" s="3" t="inlineStr">
        <is>
          <t>MK-NW-I-001 your accounts
MK-PL-I-001 your plan answers</t>
        </is>
      </c>
      <c r="K21" s="3" t="inlineStr">
        <is>
          <t>dollars, whole</t>
        </is>
      </c>
      <c r="L21" s="3" t="inlineStr">
        <is>
          <t>No figure when there is nothing to grow, or when retirement is not ahead of the person.</t>
        </is>
      </c>
      <c r="M21" s="3" t="inlineStr">
        <is>
          <t>one figure per household</t>
        </is>
      </c>
      <c r="N21" s="3" t="inlineStr">
        <is>
          <t>as of today</t>
        </is>
      </c>
      <c r="O21"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21" s="3" t="inlineStr">
        <is>
          <t>Declared by MK-NW-O-003 theNetWorth</t>
        </is>
      </c>
      <c r="Q21" s="3" t="inlineStr">
        <is>
          <t>NO RANDOM RUNS ANYWHERE IN THIS ONE — it is the straight-line check that sits beside the 1,000-run odds, and the two answer different questions.
The recommended pot is 25× the yearly expenses NOT covered by guaranteed income, counted from the start of the retirement year — which is why it differs from an outside calculator (his ruling).
Guaranteed income starts at the age it was said to start, not at the retirement age.</t>
        </is>
      </c>
      <c r="R21" s="3" t="inlineStr">
        <is>
          <t>NO RANDOM RUNS ANYWHERE IN THIS ONE — it is the straight-line check that sits beside the 1,000-run odds, and the two answer different questions.
The recommended pot is 25× the yearly expenses NOT covered by guaranteed income, counted from the start of the retirement year — which is why it differs from an outside calculator (his ruling).
Guaranteed income starts at the age it was said to start, not at the retirement age.</t>
        </is>
      </c>
      <c r="S21" s="3" t="inlineStr"/>
      <c r="T21" s="3" t="inlineStr">
        <is>
          <t>NO RANDOM RUNS ANYWHERE IN THIS ONE — it is the straight-line check that sits beside the 1,000-run odds, and the two answer different questions.
The recommended pot is 25× the yearly expenses NOT covered by guaranteed income, counted from the start of the retirement year — which is why it differs from an outside calculator (his ruling).
Guaranteed income starts at the age it was said to start, not at the retirement age.</t>
        </is>
      </c>
      <c r="U21" s="3" t="inlineStr">
        <is>
          <t>DECLARED 2026-09-30. Its function lives in the plan family (MK-PL-F-055 projectNestEgg) and the figure is read on the Net worth tab, which is why the row is here and the function is there.</t>
        </is>
      </c>
      <c r="V21" s="3" t="inlineStr"/>
      <c r="W21" s="3" t="inlineStr"/>
      <c r="X21" s="3" t="inlineStr"/>
      <c r="Y21" s="3" t="inlineStr"/>
      <c r="Z21" s="3" t="inlineStr">
        <is>
          <t>DRAFT — declared in the code and printed here, WAITING FOR YOUR VERDICT before the screens move behind the door (rule 10)</t>
        </is>
      </c>
      <c r="AA21" s="3" t="inlineStr"/>
      <c r="AB21" s="3" t="inlineStr"/>
      <c r="AC21" s="3" t="inlineStr"/>
      <c r="AD21" s="3" t="inlineStr"/>
      <c r="AE21" s="3" t="inlineStr"/>
      <c r="AF21" s="3" t="inlineStr">
        <is>
          <t>ACTIVE</t>
        </is>
      </c>
      <c r="AG21" s="3" t="inlineStr">
        <is>
          <t>2026-10-04</t>
        </is>
      </c>
      <c r="AH21" s="3" t="inlineStr"/>
      <c r="AI21" s="3" t="inlineStr"/>
      <c r="AJ21"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1" s="3" t="inlineStr">
        <is>
          <t>(the claim now stands in 'Inputs it needs' until the row is approved)</t>
        </is>
      </c>
      <c r="AL21" s="3" t="inlineStr"/>
      <c r="AM21" s="3" t="inlineStr">
        <is>
          <t>RULED? NOT YET — read this row and say yes, or say what changes. Nothing moves behind MK-NW-O-003 theNetWorth until you do.</t>
        </is>
      </c>
      <c r="AN21" s="3" t="inlineStr">
        <is>
          <t>A 50-year-old with $184,200 of cash and investments, saving $24,000/year, retiring at 65 and planning to 92, expecting 6% a year with 2.5% inflation, with expenses of $5,500/month in retirement and $2,400/month of guaranteed income from 67.
GIVES: $1,000,069
(the test re-runs this through MK-NW-O-003 theNetWorth on every build)</t>
        </is>
      </c>
      <c r="AO21" s="9" t="inlineStr">
        <is>
          <t>WAITING ON YOU — row to approve: say yes in YOUR ANSWER, or say what changes · RULED, NOT CODED (Q-PL-1 — one question, one function)</t>
        </is>
      </c>
    </row>
    <row r="22" ht="60" customHeight="1">
      <c r="A22" s="3" t="inlineStr">
        <is>
          <t>MK-NW-M-016</t>
        </is>
      </c>
      <c r="B22" s="3" t="inlineStr">
        <is>
          <t>Networth</t>
        </is>
      </c>
      <c r="C22" s="3" t="inlineStr">
        <is>
          <t>/networth</t>
        </is>
      </c>
      <c r="D22" s="3" t="inlineStr">
        <is>
          <t>Net worth so far (setup)</t>
        </is>
      </c>
      <c r="E22" s="3" t="inlineStr">
        <is>
          <t>net_worth_so_far_setup</t>
        </is>
      </c>
      <c r="F22" s="3" t="inlineStr">
        <is>
          <t>theNetWorth</t>
        </is>
      </c>
      <c r="G22" s="3" t="inlineStr">
        <is>
          <t>MK-NW-O-003</t>
        </is>
      </c>
      <c r="H22" s="3" t="inlineStr">
        <is>
          <t>everything owned less everything owed</t>
        </is>
      </c>
      <c r="I22" s="3" t="inlineStr">
        <is>
          <t>everything owned less everything owed</t>
        </is>
      </c>
      <c r="J22" s="3" t="inlineStr">
        <is>
          <t>MK-NW-I-001 your accounts
MK-XS-I-014 what you owe</t>
        </is>
      </c>
      <c r="K22" s="3" t="inlineStr">
        <is>
          <t>dollars, whole</t>
        </is>
      </c>
      <c r="L22" s="3" t="inlineStr">
        <is>
          <t>Adds to $0 when there is nothing to add. Zero and "nothing recorded yet" read alike on screen — worth a decision.</t>
        </is>
      </c>
      <c r="M22" s="3" t="inlineStr">
        <is>
          <t>one figure per household</t>
        </is>
      </c>
      <c r="N22" s="3" t="inlineStr">
        <is>
          <t>as of today</t>
        </is>
      </c>
      <c r="O22"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22" s="3" t="inlineStr">
        <is>
          <t>Declared by MK-NW-O-003 theNetWorth</t>
        </is>
      </c>
      <c r="Q22" s="3" t="inlineStr">
        <is>
          <t>IT IS COMPUTED EACH TIME AND NEVER STORED as a third number that could disagree with its own two halves (his ruling).
A GENUINE NEGATIVE IS SHOWN, never floored at zero — someone early in a mortgage really does owe more than they own.</t>
        </is>
      </c>
      <c r="R22" s="3" t="inlineStr">
        <is>
          <t>IT IS COMPUTED EACH TIME AND NEVER STORED as a third number that could disagree with its own two halves (his ruling).
A GENUINE NEGATIVE IS SHOWN, never floored at zero — someone early in a mortgage really does owe more than they own.</t>
        </is>
      </c>
      <c r="S22" s="3" t="inlineStr"/>
      <c r="T22" s="3" t="inlineStr">
        <is>
          <t>IT IS COMPUTED EACH TIME AND NEVER STORED as a third number that could disagree with its own two halves (his ruling).
A GENUINE NEGATIVE IS SHOWN, never floored at zero — someone early in a mortgage really does owe more than they own.</t>
        </is>
      </c>
      <c r="U22" s="3" t="inlineStr">
        <is>
          <t>DECLARED 2026-09-30. It is the SAME arithmetic as MK-NW-M-017 net worth, read during setup rather than on the finished tab — and because both now print from this one declaration, the setup figure and the tab figure cannot differ.</t>
        </is>
      </c>
      <c r="V22" s="3" t="inlineStr"/>
      <c r="W22" s="3" t="inlineStr"/>
      <c r="X22" s="3" t="inlineStr"/>
      <c r="Y22" s="3" t="inlineStr"/>
      <c r="Z22" s="3" t="inlineStr">
        <is>
          <t>DRAFT — declared in the code and printed here, WAITING FOR YOUR VERDICT before the screens move behind the door (rule 10)</t>
        </is>
      </c>
      <c r="AA22" s="3" t="inlineStr"/>
      <c r="AB22" s="3" t="inlineStr"/>
      <c r="AC22" s="3" t="inlineStr"/>
      <c r="AD22" s="3" t="inlineStr"/>
      <c r="AE22" s="3" t="inlineStr"/>
      <c r="AF22" s="3" t="inlineStr">
        <is>
          <t>ACTIVE</t>
        </is>
      </c>
      <c r="AG22" s="3" t="inlineStr">
        <is>
          <t>2026-10-04</t>
        </is>
      </c>
      <c r="AH22" s="3" t="inlineStr"/>
      <c r="AI22" s="3" t="inlineStr"/>
      <c r="AJ22"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2" s="3" t="inlineStr">
        <is>
          <t>(the claim now stands in 'Inputs it needs' until the row is approved)</t>
        </is>
      </c>
      <c r="AL22" s="3" t="inlineStr"/>
      <c r="AM22" s="3" t="inlineStr">
        <is>
          <t>RULED? NOT YET — read this row and say yes, or say what changes. Nothing moves behind MK-NW-O-003 theNetWorth until you do.</t>
        </is>
      </c>
      <c r="AN22" s="3" t="inlineStr">
        <is>
          <t>$18,000 checking, $142,000 brokerage, a $24,200 Treasury, a $310,000 rental and $9,000 of gold; against a $228,000 mortgage at $2,400/month and a $14,000 car loan at $250/month. Cash + investments stood at $180,000 on 2 Jan 2026.
GIVES: $261,200
(the test re-runs this through MK-NW-O-003 theNetWorth on every build)</t>
        </is>
      </c>
      <c r="AO22" s="9" t="inlineStr">
        <is>
          <t>WAITING ON YOU — row to approve: say yes in YOUR ANSWER, or say what changes · RULED, NOT CODED (Q-NW-1 — one question, one function)</t>
        </is>
      </c>
    </row>
    <row r="23" ht="60" customHeight="1">
      <c r="A23" s="3" t="inlineStr">
        <is>
          <t>MK-NW-M-017</t>
        </is>
      </c>
      <c r="B23" s="3" t="inlineStr">
        <is>
          <t>Networth</t>
        </is>
      </c>
      <c r="C23" s="3" t="inlineStr">
        <is>
          <t>/analytics</t>
        </is>
      </c>
      <c r="D23" s="3" t="inlineStr">
        <is>
          <t>Assets $X − Debts $Y = Net worth $Z</t>
        </is>
      </c>
      <c r="E23" s="3" t="inlineStr">
        <is>
          <t>assets_x__debts_y__net_worth_z</t>
        </is>
      </c>
      <c r="F23" s="3" t="inlineStr">
        <is>
          <t>theNetWorth</t>
        </is>
      </c>
      <c r="G23" s="3" t="inlineStr">
        <is>
          <t>MK-NW-O-003</t>
        </is>
      </c>
      <c r="H23" s="3" t="inlineStr">
        <is>
          <t>assets, debts, and assets minus debts</t>
        </is>
      </c>
      <c r="I23" s="3" t="inlineStr">
        <is>
          <t>assets, debts, and assets minus debts</t>
        </is>
      </c>
      <c r="J23" s="3" t="inlineStr">
        <is>
          <t>MK-NW-I-001 your accounts
MK-NW-I-002 your debts</t>
        </is>
      </c>
      <c r="K23" s="3" t="inlineStr">
        <is>
          <t>a sentence</t>
        </is>
      </c>
      <c r="L23" s="3" t="inlineStr">
        <is>
          <t>$0, and under it the one line "Nothing entered yet. Add your accounts ›" (mock approved 2026-09-12). A real zero that was entered shows a plain $0 with no line.</t>
        </is>
      </c>
      <c r="M23" s="3" t="inlineStr">
        <is>
          <t>one figure per household</t>
        </is>
      </c>
      <c r="N23" s="3" t="inlineStr">
        <is>
          <t>as of today</t>
        </is>
      </c>
      <c r="O23"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23" s="3" t="inlineStr">
        <is>
          <t>Declared by MK-NW-O-003 theNetWorth</t>
        </is>
      </c>
      <c r="Q23" s="3" t="inlineStr">
        <is>
          <t>NONE RECORDED — the declaration names none.</t>
        </is>
      </c>
      <c r="R23" s="3" t="inlineStr">
        <is>
          <t>NONE RECORDED — the declaration names none.</t>
        </is>
      </c>
      <c r="S23" s="3" t="inlineStr"/>
      <c r="T23" s="3" t="inlineStr">
        <is>
          <t>NONE RECORDED — the declaration names none.</t>
        </is>
      </c>
      <c r="U23" s="3" t="inlineStr"/>
      <c r="V23" s="3" t="inlineStr"/>
      <c r="W23" s="3" t="inlineStr"/>
      <c r="X23" s="3" t="inlineStr"/>
      <c r="Y23" s="3" t="inlineStr"/>
      <c r="Z23" s="3" t="inlineStr">
        <is>
          <t>DECLARED IN THE CODE (rule 11) — printed from the door, not typed. RULED 2026-09-27</t>
        </is>
      </c>
      <c r="AA23" s="3" t="inlineStr"/>
      <c r="AB23" s="3" t="inlineStr"/>
      <c r="AC23" s="3" t="inlineStr"/>
      <c r="AD23" s="3" t="inlineStr"/>
      <c r="AE23" s="3" t="inlineStr">
        <is>
          <t>G32 / Q48 — RULED 2026-09-09: $0 stays, with the sentence '$0 — nothing entered yet.' and this row's door ('Add your accounts ›'). File written; the screen follows the approved empty-state mock (one pattern, one screen), then every screen.</t>
        </is>
      </c>
      <c r="AF23" s="3" t="inlineStr">
        <is>
          <t>ACTIVE</t>
        </is>
      </c>
      <c r="AG23" s="3" t="inlineStr">
        <is>
          <t>2026-10-04</t>
        </is>
      </c>
      <c r="AH23" s="3" t="inlineStr"/>
      <c r="AI23" s="3" t="inlineStr"/>
      <c r="AJ23"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3" s="3" t="inlineStr">
        <is>
          <t>(the claim now stands in 'Inputs it needs' until the row is approved)</t>
        </is>
      </c>
      <c r="AL23" s="3" t="inlineStr"/>
      <c r="AM23" s="3" t="inlineStr">
        <is>
          <t>TESTED, NOT VERIFIED — you ruled on this row 2026-09-27; the figure, its formula, inputs and refusal live in MK-NW-O-003 theNetWorth</t>
        </is>
      </c>
      <c r="AN23" s="3" t="inlineStr">
        <is>
          <t>$18,000 checking, $142,000 brokerage, a $24,200 Treasury, a $310,000 rental and $9,000 of gold; against a $228,000 mortgage at $2,400/month and a $14,000 car loan at $250/month. Cash + investments stood at $180,000 on 2 Jan 2026.
GIVES: Assets $503,200 − Debts $242,000 = Net worth $261,200
(the test re-runs this through MK-NW-O-003 theNetWorth on every build)</t>
        </is>
      </c>
      <c r="AO23" s="7" t="inlineStr">
        <is>
          <t>RULED, NOT CODED (Q-NW-1 — one question, one function)</t>
        </is>
      </c>
    </row>
    <row r="24" ht="60" customHeight="1">
      <c r="A24" s="3" t="inlineStr">
        <is>
          <t>MK-NW-M-018</t>
        </is>
      </c>
      <c r="B24" s="3" t="inlineStr">
        <is>
          <t>Networth</t>
        </is>
      </c>
      <c r="C24" s="3" t="inlineStr">
        <is>
          <t>/account-detail · /invest</t>
        </is>
      </c>
      <c r="D24" s="3" t="inlineStr">
        <is>
          <t>Market value</t>
        </is>
      </c>
      <c r="E24" s="3" t="inlineStr">
        <is>
          <t>market_value</t>
        </is>
      </c>
      <c r="F24" s="3" t="inlineStr">
        <is>
          <t>theAccount</t>
        </is>
      </c>
      <c r="G24" s="3" t="inlineStr"/>
      <c r="H24" s="3" t="inlineStr">
        <is>
          <t>the account’s balance — for a linked account the broker’s own figure, for one entered by hand the value entered</t>
        </is>
      </c>
      <c r="I24" s="3" t="inlineStr">
        <is>
          <t>The balance as last recorded for the account (MK-XS-I-001) — or, for a live-priced account, today's price × the quantity held. The "as of" beside it is how old that balance is (MK-NW-F-003 valueFreshness: months between the date the value was set and today; six months or more → stale; nothing for a live-priced account).</t>
        </is>
      </c>
      <c r="J24" s="3" t="inlineStr">
        <is>
          <t>MK-NW-I-001 your accounts</t>
        </is>
      </c>
      <c r="K24" s="3" t="inlineStr">
        <is>
          <t>dollars, whole</t>
        </is>
      </c>
      <c r="L24" s="3" t="inlineStr">
        <is>
          <t>An account with no value shows nothing rather than $0.</t>
        </is>
      </c>
      <c r="M24" s="3" t="inlineStr">
        <is>
          <t>one account</t>
        </is>
      </c>
      <c r="N24" s="3" t="inlineStr">
        <is>
          <t>as of today</t>
        </is>
      </c>
      <c r="O24" s="3" t="inlineStr">
        <is>
          <t>No function on record — nothing to chain</t>
        </is>
      </c>
      <c r="P24" s="3" t="inlineStr">
        <is>
          <t>Declared by MK-NW-O-002 theAccount</t>
        </is>
      </c>
      <c r="Q24" s="3" t="inlineStr">
        <is>
          <t>NONE RECORDED — the declaration names none.</t>
        </is>
      </c>
      <c r="R24" s="3" t="inlineStr">
        <is>
          <t>NONE RECORDED — the declaration names none.</t>
        </is>
      </c>
      <c r="S24" s="3" t="inlineStr"/>
      <c r="T24" s="3" t="inlineStr">
        <is>
          <t>NONE RECORDED — the declaration names none.</t>
        </is>
      </c>
      <c r="U24" s="3" t="inlineStr">
        <is>
          <t>ONE string for this figure: the band, the trio and the Total row all print it, so one screen cannot show three roundings of one number.</t>
        </is>
      </c>
      <c r="V24" s="3" t="inlineStr"/>
      <c r="W24" s="3" t="inlineStr"/>
      <c r="X24" s="3" t="inlineStr"/>
      <c r="Y24" s="3" t="inlineStr"/>
      <c r="Z24" s="3" t="inlineStr">
        <is>
          <t>DECLARED IN THE CODE (rule 11) — printed from the door, not typed. RULED 2026-09-27</t>
        </is>
      </c>
      <c r="AA24" s="3" t="inlineStr"/>
      <c r="AB24" s="3" t="inlineStr"/>
      <c r="AC24" s="3" t="inlineStr"/>
      <c r="AD24" s="3" t="inlineStr"/>
      <c r="AE24" s="3" t="inlineStr"/>
      <c r="AF24" s="3" t="inlineStr">
        <is>
          <t>ACTIVE</t>
        </is>
      </c>
      <c r="AG24" s="3" t="inlineStr">
        <is>
          <t>2026-10-04</t>
        </is>
      </c>
      <c r="AH24" s="3" t="inlineStr"/>
      <c r="AI24" s="3" t="inlineStr"/>
      <c r="AJ24" s="3" t="inlineStr">
        <is>
          <t>No function on record — nothing to read from
[the code's record, this build — evidence for the ruling, not the row's statement: it cannot see inputs handed in as arguments, and it counts every branch below the producer]</t>
        </is>
      </c>
      <c r="AK24" s="3" t="inlineStr">
        <is>
          <t>(the claim now stands in 'Inputs it needs' until the row is approved)</t>
        </is>
      </c>
      <c r="AL24" s="3" t="inlineStr"/>
      <c r="AM24" s="3" t="inlineStr">
        <is>
          <t>TESTED, NOT VERIFIED — you ruled on this row 2026-09-27; the figure, its formula, inputs and refusal live in MK-NW-O-002 theAccount</t>
        </is>
      </c>
      <c r="AN24" s="3" t="inlineStr">
        <is>
          <t>A linked Fidelity brokerage worth $46,600: $6,000 in cash and 140 shares of VTI marked at $290 ($40,600). Its records: dividends of $420 and $405, a buy of 20 shares at $200, a sell of 20 at $285.
GIVES: $46,600
(the test re-runs this through MK-NW-O-002 theAccount on every build)</t>
        </is>
      </c>
      <c r="AO24" s="7" t="inlineStr">
        <is>
          <t>RULED, NOT CODED (Q-NW-2 — one question, one function)</t>
        </is>
      </c>
    </row>
    <row r="25" ht="60" customHeight="1">
      <c r="A25" s="3" t="inlineStr">
        <is>
          <t>MK-NW-M-019</t>
        </is>
      </c>
      <c r="B25" s="3" t="inlineStr">
        <is>
          <t>Networth</t>
        </is>
      </c>
      <c r="C25" s="3" t="inlineStr">
        <is>
          <t>/account-detail</t>
        </is>
      </c>
      <c r="D25" s="3" t="inlineStr">
        <is>
          <t>Income</t>
        </is>
      </c>
      <c r="E25" s="3" t="inlineStr">
        <is>
          <t>income</t>
        </is>
      </c>
      <c r="F25" s="3" t="inlineStr">
        <is>
          <t>theAccount</t>
        </is>
      </c>
      <c r="G25" s="3" t="inlineStr">
        <is>
          <t>MK-NW-O-002</t>
        </is>
      </c>
      <c r="H25" s="3" t="inlineStr">
        <is>
          <t>the sum of the dividend and interest rows the ledger holds for this account</t>
        </is>
      </c>
      <c r="I25" s="3" t="inlineStr">
        <is>
          <t>the sum of the dividend and interest rows the ledger holds for this account</t>
        </is>
      </c>
      <c r="J25" s="3" t="inlineStr">
        <is>
          <t>MK-NW-I-001 your accounts
MK-NW-I-004 the activity records</t>
        </is>
      </c>
      <c r="K25" s="3" t="inlineStr">
        <is>
          <t>dollars, whole</t>
        </is>
      </c>
      <c r="L25" s="3" t="inlineStr">
        <is>
          <t>$0, and under it the one line "Nothing entered yet. Add your income ›" (mock approved 2026-09-12). A real zero that was entered shows a plain $0 with no line.</t>
        </is>
      </c>
      <c r="M25" s="3" t="inlineStr">
        <is>
          <t>one account</t>
        </is>
      </c>
      <c r="N25" s="3" t="inlineStr">
        <is>
          <t>as of today</t>
        </is>
      </c>
      <c r="O25"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25" s="3" t="inlineStr">
        <is>
          <t>Declared by MK-NW-O-002 theAccount</t>
        </is>
      </c>
      <c r="Q25" s="3" t="inlineStr">
        <is>
          <t>Never estimated. A broker that shares no income records leaves this blank rather than showing a made-up $0.</t>
        </is>
      </c>
      <c r="R25" s="3" t="inlineStr">
        <is>
          <t>Never estimated. A broker that shares no income records leaves this blank rather than showing a made-up $0.</t>
        </is>
      </c>
      <c r="S25" s="3" t="inlineStr"/>
      <c r="T25" s="3" t="inlineStr">
        <is>
          <t>Never estimated. A broker that shares no income records leaves this blank rather than showing a made-up $0.</t>
        </is>
      </c>
      <c r="U25" s="3" t="inlineStr"/>
      <c r="V25" s="9" t="inlineStr">
        <is>
          <t>Q15 — An institution word we do not recognise: refuse the line and ask you, or book it as unclassified with no direction? The old sign-guess is what minted the $1.4 million.</t>
        </is>
      </c>
      <c r="W25" s="9" t="inlineStr"/>
      <c r="X25" s="3" t="inlineStr"/>
      <c r="Y25" s="3" t="inlineStr"/>
      <c r="Z25" s="3" t="inlineStr">
        <is>
          <t>DECLARED IN THE CODE (rule 11) — printed from the door, not typed. RULED 2026-09-27</t>
        </is>
      </c>
      <c r="AA25" s="3" t="inlineStr"/>
      <c r="AB25" s="3" t="inlineStr"/>
      <c r="AC25" s="3" t="inlineStr"/>
      <c r="AD25" s="3" t="inlineStr"/>
      <c r="AE25" s="3" t="inlineStr">
        <is>
          <t>G32 / Q48 — RULED 2026-09-09: $0 stays, with the sentence '$0 — nothing entered yet.' and this row's door ('Add your income ›'). File written; the screen follows the approved empty-state mock (one pattern, one screen), then every screen.</t>
        </is>
      </c>
      <c r="AF25" s="3" t="inlineStr">
        <is>
          <t>ACTIVE</t>
        </is>
      </c>
      <c r="AG25" s="3" t="inlineStr">
        <is>
          <t>2026-10-04</t>
        </is>
      </c>
      <c r="AH25" s="3" t="inlineStr"/>
      <c r="AI25" s="3" t="inlineStr"/>
      <c r="AJ25"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25" s="3" t="inlineStr">
        <is>
          <t>(the claim now stands in 'Inputs it needs' until the row is approved)</t>
        </is>
      </c>
      <c r="AL25" s="3" t="inlineStr"/>
      <c r="AM25" s="3" t="inlineStr">
        <is>
          <t>TESTED, NOT VERIFIED — you ruled on this row 2026-09-27; the figure, its formula, inputs and refusal live in MK-NW-O-002 theAccount</t>
        </is>
      </c>
      <c r="AN25" s="3" t="inlineStr">
        <is>
          <t>A linked Fidelity brokerage worth $46,600: $6,000 in cash and 140 shares of VTI marked at $290 ($40,600). Its records: dividends of $420 and $405, a buy of 20 shares at $200, a sell of 20 at $285.
GIVES: $825
(the test re-runs this through MK-NW-O-002 theAccount on every build)</t>
        </is>
      </c>
      <c r="AO25" s="9" t="inlineStr">
        <is>
          <t>WAITING ON YOU — question Q15 · RULED, NOT CODED (Q-NW-2 — one question, one function)</t>
        </is>
      </c>
    </row>
    <row r="26" ht="60" customHeight="1">
      <c r="A26" s="3" t="inlineStr">
        <is>
          <t>MK-NW-M-020</t>
        </is>
      </c>
      <c r="B26" s="3" t="inlineStr">
        <is>
          <t>Networth</t>
        </is>
      </c>
      <c r="C26" s="3" t="inlineStr">
        <is>
          <t>/account-detail</t>
        </is>
      </c>
      <c r="D26" s="3" t="inlineStr">
        <is>
          <t>each asset class inside the account</t>
        </is>
      </c>
      <c r="E26" s="3" t="inlineStr">
        <is>
          <t>each_asset_class_inside_the_account</t>
        </is>
      </c>
      <c r="F26" s="3" t="inlineStr">
        <is>
          <t>theAccount</t>
        </is>
      </c>
      <c r="G26" s="3" t="inlineStr">
        <is>
          <t>MK-NW-O-002</t>
        </is>
      </c>
      <c r="H26" s="3" t="inlineStr">
        <is>
          <t>the cash sleeve, plus each holding’s shares × its last price, added up by class</t>
        </is>
      </c>
      <c r="I26" s="3" t="inlineStr">
        <is>
          <t>the cash sleeve, plus each holding’s shares × its last price, added up by class</t>
        </is>
      </c>
      <c r="J26" s="3" t="inlineStr">
        <is>
          <t>MK-NW-I-001 your accounts</t>
        </is>
      </c>
      <c r="K26" s="3" t="inlineStr">
        <is>
          <t>dollars, whole</t>
        </is>
      </c>
      <c r="L26" s="3" t="inlineStr">
        <is>
          <t>$0, and under it the one line "Nothing entered yet. Add a holding ›" (mock approved 2026-09-12). A real zero that was entered shows a plain $0 with no line.</t>
        </is>
      </c>
      <c r="M26" s="3" t="inlineStr">
        <is>
          <t>one class in one account</t>
        </is>
      </c>
      <c r="N26" s="3" t="inlineStr">
        <is>
          <t>as of today</t>
        </is>
      </c>
      <c r="O26"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26" s="3" t="inlineStr">
        <is>
          <t>Declared by MK-NW-O-002 theAccount</t>
        </is>
      </c>
      <c r="Q26" s="3" t="inlineStr">
        <is>
          <t>Only a LINKED account has an inside to read. A hand-entered lump has none until someone itemises it.</t>
        </is>
      </c>
      <c r="R26" s="3" t="inlineStr">
        <is>
          <t>Only a LINKED account has an inside to read. A hand-entered lump has none until someone itemises it.</t>
        </is>
      </c>
      <c r="S26" s="3" t="inlineStr"/>
      <c r="T26" s="3" t="inlineStr">
        <is>
          <t>Only a LINKED account has an inside to read. A hand-entered lump has none until someone itemises it.</t>
        </is>
      </c>
      <c r="U26" s="3" t="inlineStr"/>
      <c r="V26" s="3" t="inlineStr"/>
      <c r="W26" s="3" t="inlineStr"/>
      <c r="X26" s="3" t="inlineStr"/>
      <c r="Y26" s="3" t="inlineStr"/>
      <c r="Z26" s="3" t="inlineStr">
        <is>
          <t>DECLARED IN THE CODE (rule 11) — printed from the door, not typed. RULED 2026-09-27</t>
        </is>
      </c>
      <c r="AA26" s="3" t="inlineStr"/>
      <c r="AB26" s="3" t="inlineStr"/>
      <c r="AC26" s="3" t="inlineStr"/>
      <c r="AD26" s="3" t="inlineStr"/>
      <c r="AE26" s="3" t="inlineStr">
        <is>
          <t>G32 / Q48 — RULED 2026-09-09: $0 stays, with the sentence '$0 — nothing entered yet.' and this row's door ('Add a holding ›'). File written; the screen follows the approved empty-state mock (one pattern, one screen), then every screen.</t>
        </is>
      </c>
      <c r="AF26" s="3" t="inlineStr">
        <is>
          <t>ACTIVE</t>
        </is>
      </c>
      <c r="AG26" s="3" t="inlineStr">
        <is>
          <t>2026-10-04</t>
        </is>
      </c>
      <c r="AH26" s="3" t="inlineStr"/>
      <c r="AI26" s="3" t="inlineStr"/>
      <c r="AJ26"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26" s="3" t="inlineStr">
        <is>
          <t>(the claim now stands in 'Inputs it needs' until the row is approved)</t>
        </is>
      </c>
      <c r="AL26" s="3" t="inlineStr"/>
      <c r="AM26" s="3" t="inlineStr">
        <is>
          <t>TESTED, NOT VERIFIED — you ruled on this row 2026-09-27; the figure, its formula, inputs and refusal live in MK-NW-O-002 theAccount</t>
        </is>
      </c>
      <c r="AN26" s="3" t="inlineStr">
        <is>
          <t>A linked Fidelity brokerage worth $46,600: $6,000 in cash and 140 shares of VTI marked at $290 ($40,600). Its records: dividends of $420 and $405, a buy of 20 shares at $200, a sell of 20 at $285.
GIVES: $40,600
(the test re-runs this through MK-NW-O-002 theAccount on every build)</t>
        </is>
      </c>
      <c r="AO26" s="7" t="inlineStr">
        <is>
          <t>RULED, NOT CODED (Q-NW-2 — one question, one function)</t>
        </is>
      </c>
    </row>
    <row r="27" ht="60" customHeight="1">
      <c r="A27" s="3" t="inlineStr">
        <is>
          <t>MK-NW-M-021</t>
        </is>
      </c>
      <c r="B27" s="3" t="inlineStr">
        <is>
          <t>Networth</t>
        </is>
      </c>
      <c r="C27" s="3" t="inlineStr">
        <is>
          <t>/account-detail</t>
        </is>
      </c>
      <c r="D27" s="3" t="inlineStr">
        <is>
          <t>Income: &lt;amount&gt; on a holding row</t>
        </is>
      </c>
      <c r="E27" s="3" t="inlineStr">
        <is>
          <t>income_amount_on_a_holding_row</t>
        </is>
      </c>
      <c r="F27" s="3" t="inlineStr">
        <is>
          <t>theAccount</t>
        </is>
      </c>
      <c r="G27" s="3" t="inlineStr">
        <is>
          <t>MK-NW-O-002</t>
        </is>
      </c>
      <c r="H27" s="3" t="inlineStr">
        <is>
          <t>the dividend and interest rows whose ticker IS this holding’s ticker; nothing when the record names no holding</t>
        </is>
      </c>
      <c r="I27" s="3" t="inlineStr">
        <is>
          <t>the dividend and interest rows whose ticker IS this holding’s ticker; nothing when the record names no holding</t>
        </is>
      </c>
      <c r="J27" s="3" t="inlineStr">
        <is>
          <t>MK-NW-I-004 the activity records</t>
        </is>
      </c>
      <c r="K27" s="3" t="inlineStr">
        <is>
          <t>a sentence</t>
        </is>
      </c>
      <c r="L27" s="3" t="inlineStr">
        <is>
          <t>$0, and under it the one line "Nothing entered yet. Add your income ›" (mock approved 2026-09-12). A real zero that was entered shows a plain $0 with no line.</t>
        </is>
      </c>
      <c r="M27" s="3" t="inlineStr">
        <is>
          <t>one holding</t>
        </is>
      </c>
      <c r="N27" s="3" t="inlineStr">
        <is>
          <t>as of today</t>
        </is>
      </c>
      <c r="O27"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27" s="3" t="inlineStr">
        <is>
          <t>Declared by MK-NW-O-002 theAccount</t>
        </is>
      </c>
      <c r="Q27" s="3" t="inlineStr">
        <is>
          <t>FOUNDER FINDING 2026-08-11: a record with no ticker names no holding. It used to match every non-stock holding, so a CD showed dividends it cannot pay and two CDs showed one figure twice. Untickered income is counted at the ACCOUNT level instead, where it belongs.</t>
        </is>
      </c>
      <c r="R27" s="3" t="inlineStr">
        <is>
          <t>FOUNDER FINDING 2026-08-11: a record with no ticker names no holding. It used to match every non-stock holding, so a CD showed dividends it cannot pay and two CDs showed one figure twice. Untickered income is counted at the ACCOUNT level instead, where it belongs.</t>
        </is>
      </c>
      <c r="S27" s="3" t="inlineStr"/>
      <c r="T27" s="3" t="inlineStr">
        <is>
          <t>FOUNDER FINDING 2026-08-11: a record with no ticker names no holding. It used to match every non-stock holding, so a CD showed dividends it cannot pay and two CDs showed one figure twice. Untickered income is counted at the ACCOUNT level instead, where it belongs.</t>
        </is>
      </c>
      <c r="U27" s="3" t="inlineStr">
        <is>
          <t>WHAT THE WORKED EXAMPLE SHOWED UP (2026-09-28): the door hands back "825 dividends" with no dollar sign, and AccountDetailScreen puts one on afterwards with a regular expression. The composing is split across two places, which is what rule 11 exists to stop. The example states the door's own output, not the screen's, so the row does not claim more than the door does. Not fixed here: moving the writing into the door changes what a screen prints, which is a caller move and needs its own step.</t>
        </is>
      </c>
      <c r="V27" s="3" t="inlineStr"/>
      <c r="W27" s="3" t="inlineStr"/>
      <c r="X27" s="3" t="inlineStr"/>
      <c r="Y27" s="3" t="inlineStr"/>
      <c r="Z27" s="3" t="inlineStr">
        <is>
          <t>DECLARED IN THE CODE (rule 11) — printed from the door, not typed. RULED 2026-09-27</t>
        </is>
      </c>
      <c r="AA27" s="3" t="inlineStr"/>
      <c r="AB27" s="3" t="inlineStr"/>
      <c r="AC27" s="3" t="inlineStr"/>
      <c r="AD27" s="3" t="inlineStr"/>
      <c r="AE27" s="3" t="inlineStr">
        <is>
          <t>G32 / Q48 — RULED 2026-09-09: $0 stays, with the sentence '$0 — nothing entered yet.' and this row's door ('Add your income ›'). File written; the screen follows the approved empty-state mock (one pattern, one screen), then every screen.</t>
        </is>
      </c>
      <c r="AF27" s="3" t="inlineStr">
        <is>
          <t>ACTIVE</t>
        </is>
      </c>
      <c r="AG27" s="3" t="inlineStr">
        <is>
          <t>2026-10-04</t>
        </is>
      </c>
      <c r="AH27" s="3" t="inlineStr"/>
      <c r="AI27" s="3" t="inlineStr"/>
      <c r="AJ27"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27" s="3" t="inlineStr">
        <is>
          <t>(the claim now stands in 'Inputs it needs' until the row is approved)</t>
        </is>
      </c>
      <c r="AL27" s="3" t="inlineStr"/>
      <c r="AM27" s="3" t="inlineStr">
        <is>
          <t>TESTED, NOT VERIFIED — you ruled on this row 2026-09-27; the figure, its formula, inputs and refusal live in MK-NW-O-002 theAccount</t>
        </is>
      </c>
      <c r="AN27" s="3" t="inlineStr">
        <is>
          <t>A linked Fidelity brokerage worth $46,600: $6,000 in cash and 140 shares of VTI marked at $290 ($40,600). Its records: dividends of $420 and $405, a buy of 20 shares at $200, a sell of 20 at $285.
GIVES: 825 dividends
(the test re-runs this through MK-NW-O-002 theAccount on every build)</t>
        </is>
      </c>
      <c r="AO27" s="7" t="inlineStr">
        <is>
          <t>RULED, NOT CODED (Q-NW-2 — one question, one function)</t>
        </is>
      </c>
    </row>
    <row r="28" ht="60" customHeight="1">
      <c r="A28" s="3" t="inlineStr">
        <is>
          <t>MK-NW-M-022</t>
        </is>
      </c>
      <c r="B28" s="3" t="inlineStr">
        <is>
          <t>Networth</t>
        </is>
      </c>
      <c r="C28" s="3" t="inlineStr">
        <is>
          <t>/account-detail</t>
        </is>
      </c>
      <c r="D28" s="3" t="inlineStr">
        <is>
          <t>ACTIVITY — n records</t>
        </is>
      </c>
      <c r="E28" s="3" t="inlineStr">
        <is>
          <t>activity__n_records</t>
        </is>
      </c>
      <c r="F28" s="3" t="inlineStr">
        <is>
          <t>theAccount</t>
        </is>
      </c>
      <c r="G28" s="3" t="inlineStr"/>
      <c r="H28" s="3" t="inlineStr">
        <is>
          <t>the count of ledger rows for this account</t>
        </is>
      </c>
      <c r="I28" s="3" t="inlineStr">
        <is>
          <t>The number of activity records held for this account — a count, no arithmetic. The "since" date beside it is the earliest record date (MK-XS-F-111).</t>
        </is>
      </c>
      <c r="J28" s="3" t="inlineStr">
        <is>
          <t>MK-NW-I-004 the activity records</t>
        </is>
      </c>
      <c r="K28" s="3" t="inlineStr">
        <is>
          <t>a count</t>
        </is>
      </c>
      <c r="L28" s="3" t="inlineStr">
        <is>
          <t>None yet — the section keeps its heading and says so.</t>
        </is>
      </c>
      <c r="M28" s="3" t="inlineStr">
        <is>
          <t>one account</t>
        </is>
      </c>
      <c r="N28" s="3" t="inlineStr">
        <is>
          <t>as of today</t>
        </is>
      </c>
      <c r="O28" s="3" t="inlineStr">
        <is>
          <t>No function on record — nothing to chain</t>
        </is>
      </c>
      <c r="P28" s="3" t="inlineStr">
        <is>
          <t>Declared by MK-NW-O-002 theAccount</t>
        </is>
      </c>
      <c r="Q28" s="3" t="inlineStr">
        <is>
          <t>NONE RECORDED — the declaration names none.</t>
        </is>
      </c>
      <c r="R28" s="3" t="inlineStr">
        <is>
          <t>NONE RECORDED — the declaration names none.</t>
        </is>
      </c>
      <c r="S28" s="3" t="inlineStr"/>
      <c r="T28" s="3" t="inlineStr">
        <is>
          <t>NONE RECORDED — the declaration names none.</t>
        </is>
      </c>
      <c r="U28" s="3" t="inlineStr"/>
      <c r="V28" s="3" t="inlineStr"/>
      <c r="W28" s="3" t="inlineStr"/>
      <c r="X28" s="3" t="inlineStr"/>
      <c r="Y28" s="3" t="inlineStr"/>
      <c r="Z28" s="3" t="inlineStr">
        <is>
          <t>DECLARED IN THE CODE (rule 11) — printed from the door, not typed. RULED 2026-09-27</t>
        </is>
      </c>
      <c r="AA28" s="3" t="inlineStr"/>
      <c r="AB28" s="3" t="inlineStr"/>
      <c r="AC28" s="3" t="inlineStr"/>
      <c r="AD28" s="3" t="inlineStr"/>
      <c r="AE28" s="3" t="inlineStr"/>
      <c r="AF28" s="3" t="inlineStr">
        <is>
          <t>ACTIVE</t>
        </is>
      </c>
      <c r="AG28" s="3" t="inlineStr">
        <is>
          <t>2026-10-04</t>
        </is>
      </c>
      <c r="AH28" s="3" t="inlineStr"/>
      <c r="AI28" s="3" t="inlineStr"/>
      <c r="AJ28" s="3" t="inlineStr">
        <is>
          <t>No function on record — nothing to read from
[the code's record, this build — evidence for the ruling, not the row's statement: it cannot see inputs handed in as arguments, and it counts every branch below the producer]</t>
        </is>
      </c>
      <c r="AK28" s="3" t="inlineStr">
        <is>
          <t>(the claim now stands in 'Inputs it needs' until the row is approved)</t>
        </is>
      </c>
      <c r="AL28" s="3" t="inlineStr"/>
      <c r="AM28" s="3" t="inlineStr">
        <is>
          <t>TESTED, NOT VERIFIED — you ruled on this row 2026-09-27; the figure, its formula, inputs and refusal live in MK-NW-O-002 theAccount</t>
        </is>
      </c>
      <c r="AN28" s="3" t="inlineStr">
        <is>
          <t>A linked Fidelity brokerage worth $46,600: $6,000 in cash and 140 shares of VTI marked at $290 ($40,600). Its records: dividends of $420 and $405, a buy of 20 shares at $200, a sell of 20 at $285.
GIVES: 4
(the test re-runs this through MK-NW-O-002 theAccount on every build)</t>
        </is>
      </c>
      <c r="AO28" s="7" t="inlineStr">
        <is>
          <t>RULED, NOT CODED (Q-NW-2 — one question, one function)</t>
        </is>
      </c>
    </row>
    <row r="29" ht="60" customHeight="1">
      <c r="A29" s="3" t="inlineStr">
        <is>
          <t>MK-NW-M-023</t>
        </is>
      </c>
      <c r="B29" s="3" t="inlineStr">
        <is>
          <t>Networth</t>
        </is>
      </c>
      <c r="C29" s="3" t="inlineStr">
        <is>
          <t>/account-detail</t>
        </is>
      </c>
      <c r="D29" s="3" t="inlineStr">
        <is>
          <t>Face value</t>
        </is>
      </c>
      <c r="E29" s="3" t="inlineStr">
        <is>
          <t>face_value</t>
        </is>
      </c>
      <c r="F29" s="3" t="inlineStr">
        <is>
          <t>theBonds</t>
        </is>
      </c>
      <c r="G29" s="3" t="inlineStr">
        <is>
          <t>MK-NW-O-001</t>
        </is>
      </c>
      <c r="H29" s="3" t="inlineStr">
        <is>
          <t>the face value you entered</t>
        </is>
      </c>
      <c r="I29" s="3" t="inlineStr">
        <is>
          <t>the face value you entered</t>
        </is>
      </c>
      <c r="J29" s="3" t="inlineStr">
        <is>
          <t>MK-NW-I-001 your accounts</t>
        </is>
      </c>
      <c r="K29" s="3" t="inlineStr">
        <is>
          <t>dollars, whole</t>
        </is>
      </c>
      <c r="L29" s="3" t="inlineStr">
        <is>
          <t>$0, and under it the one line "Nothing entered yet. Add a bond ›" (mock approved 2026-09-12). A real zero that was entered shows a plain $0 with no line.</t>
        </is>
      </c>
      <c r="M29" s="3" t="inlineStr">
        <is>
          <t>one bond</t>
        </is>
      </c>
      <c r="N29" s="3" t="inlineStr">
        <is>
          <t>as of today</t>
        </is>
      </c>
      <c r="O29"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29" s="3" t="inlineStr">
        <is>
          <t>Declared by MK-NW-O-001 theBonds</t>
        </is>
      </c>
      <c r="Q29" s="3" t="inlineStr">
        <is>
          <t>NONE RECORDED — the declaration names none.</t>
        </is>
      </c>
      <c r="R29" s="3" t="inlineStr">
        <is>
          <t>NONE RECORDED — the declaration names none.</t>
        </is>
      </c>
      <c r="S29" s="3" t="inlineStr"/>
      <c r="T29" s="3" t="inlineStr">
        <is>
          <t>NONE RECORDED — the declaration names none.</t>
        </is>
      </c>
      <c r="U29" s="3" t="inlineStr"/>
      <c r="V29" s="9" t="inlineStr">
        <is>
          <t>Q01 — Is Quantity for a bond the FACE amount (e.g. 227,000) with the price quoted per $100 of face, or the number of bonds? It decides how value and gain are worked out.</t>
        </is>
      </c>
      <c r="W29" s="9" t="inlineStr"/>
      <c r="X29" s="3" t="inlineStr"/>
      <c r="Y29" s="3" t="inlineStr"/>
      <c r="Z29" s="3" t="inlineStr">
        <is>
          <t>DECLARED IN THE CODE (rule 11) — printed from the door, not typed. RULED 2026-09-27</t>
        </is>
      </c>
      <c r="AA29" s="3" t="inlineStr"/>
      <c r="AB29" s="3" t="inlineStr"/>
      <c r="AC29" s="3" t="inlineStr"/>
      <c r="AD29" s="3" t="inlineStr"/>
      <c r="AE29" s="3" t="inlineStr">
        <is>
          <t>G32 / Q48 — RULED 2026-09-09: $0 stays, with the sentence '$0 — nothing entered yet.' and this row's door ('Add a bond ›'). File written; the screen follows the approved empty-state mock (one pattern, one screen), then every screen.</t>
        </is>
      </c>
      <c r="AF29" s="3" t="inlineStr">
        <is>
          <t>ACTIVE</t>
        </is>
      </c>
      <c r="AG29" s="3" t="inlineStr">
        <is>
          <t>2026-10-04</t>
        </is>
      </c>
      <c r="AH29" s="3" t="inlineStr"/>
      <c r="AI29" s="3" t="inlineStr"/>
      <c r="AJ29"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9" s="3" t="inlineStr">
        <is>
          <t>(the claim now stands in 'Inputs it needs' until the row is approved)</t>
        </is>
      </c>
      <c r="AL29" s="3" t="inlineStr"/>
      <c r="AM29" s="3" t="inlineStr">
        <is>
          <t>TESTED, NOT VERIFIED — you ruled on this row 2026-09-27; the figure, its formula, inputs and refusal live in MK-NW-O-001 theBonds</t>
        </is>
      </c>
      <c r="AN29" s="3" t="inlineStr">
        <is>
          <t>Two bonds on 28 Sep 2026: a $25,000-face Treasury paying 4.5%, maturing 30 Sep 2029, worth $24,200 today; and a $10,000 Ally CD paying 5.05%, maturing 15 Mar 2027, worth its $10,000.
GIVES: $25,000
(the test re-runs this through MK-NW-O-001 theBonds on every build)</t>
        </is>
      </c>
      <c r="AO29" s="9" t="inlineStr">
        <is>
          <t>WAITING ON YOU — question Q01 · RULED, NOT CODED (Q-NW-4 — one question, one function)</t>
        </is>
      </c>
    </row>
    <row r="30" ht="60" customHeight="1">
      <c r="A30" s="3" t="inlineStr">
        <is>
          <t>MK-NW-M-024</t>
        </is>
      </c>
      <c r="B30" s="3" t="inlineStr">
        <is>
          <t>Networth</t>
        </is>
      </c>
      <c r="C30" s="3" t="inlineStr">
        <is>
          <t>/account-detail</t>
        </is>
      </c>
      <c r="D30" s="3" t="inlineStr">
        <is>
          <t>Interest payments</t>
        </is>
      </c>
      <c r="E30" s="3" t="inlineStr">
        <is>
          <t>interest_payments</t>
        </is>
      </c>
      <c r="F30" s="3" t="inlineStr">
        <is>
          <t>theBonds</t>
        </is>
      </c>
      <c r="G30" s="3" t="inlineStr">
        <is>
          <t>MK-NW-O-001</t>
        </is>
      </c>
      <c r="H30" s="3" t="inlineStr">
        <is>
          <t>coupon rate, and face value × coupon rate</t>
        </is>
      </c>
      <c r="I30" s="3" t="inlineStr">
        <is>
          <t>coupon rate, and face value × coupon rate</t>
        </is>
      </c>
      <c r="J30" s="3" t="inlineStr">
        <is>
          <t>MK-NW-I-001 your accounts</t>
        </is>
      </c>
      <c r="K30" s="3" t="inlineStr">
        <is>
          <t>a sentence</t>
        </is>
      </c>
      <c r="L30" s="3" t="inlineStr">
        <is>
          <t>No coupon rate entered.</t>
        </is>
      </c>
      <c r="M30" s="3" t="inlineStr">
        <is>
          <t>one bond</t>
        </is>
      </c>
      <c r="N30" s="3" t="inlineStr">
        <is>
          <t>as of today</t>
        </is>
      </c>
      <c r="O30"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30" s="3" t="inlineStr">
        <is>
          <t>Declared by MK-NW-O-001 theBonds</t>
        </is>
      </c>
      <c r="Q30" s="3" t="inlineStr">
        <is>
          <t>NONE RECORDED — the declaration names none.</t>
        </is>
      </c>
      <c r="R30" s="3" t="inlineStr">
        <is>
          <t>NONE RECORDED — the declaration names none.</t>
        </is>
      </c>
      <c r="S30" s="3" t="inlineStr"/>
      <c r="T30" s="3" t="inlineStr">
        <is>
          <t>NONE RECORDED — the declaration names none.</t>
        </is>
      </c>
      <c r="U30" s="3" t="inlineStr"/>
      <c r="V30" s="9" t="inlineStr">
        <is>
          <t>Q04 — "Annual income" on a bond: the last twelve months actually received, or the forward estimate from today\'s coupon? Both are defensible and they differ.</t>
        </is>
      </c>
      <c r="W30" s="9" t="inlineStr"/>
      <c r="X30" s="3" t="inlineStr"/>
      <c r="Y30" s="3" t="inlineStr"/>
      <c r="Z30" s="3" t="inlineStr">
        <is>
          <t>DECLARED IN THE CODE (rule 11) — printed from the door, not typed. RULED 2026-09-27</t>
        </is>
      </c>
      <c r="AA30" s="3" t="inlineStr"/>
      <c r="AB30" s="3" t="inlineStr"/>
      <c r="AC30" s="3" t="inlineStr"/>
      <c r="AD30" s="3" t="inlineStr"/>
      <c r="AE30" s="3" t="inlineStr"/>
      <c r="AF30" s="3" t="inlineStr">
        <is>
          <t>ACTIVE</t>
        </is>
      </c>
      <c r="AG30" s="3" t="inlineStr">
        <is>
          <t>2026-10-04</t>
        </is>
      </c>
      <c r="AH30" s="3" t="inlineStr"/>
      <c r="AI30" s="3" t="inlineStr"/>
      <c r="AJ30"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0" s="3" t="inlineStr">
        <is>
          <t>(the claim now stands in 'Inputs it needs' until the row is approved)</t>
        </is>
      </c>
      <c r="AL30" s="3" t="inlineStr"/>
      <c r="AM30" s="3" t="inlineStr">
        <is>
          <t>TESTED, NOT VERIFIED — you ruled on this row 2026-09-27; the figure, its formula, inputs and refusal live in MK-NW-O-001 theBonds</t>
        </is>
      </c>
      <c r="AN30" s="3" t="inlineStr">
        <is>
          <t>Two bonds on 28 Sep 2026: a $25,000-face Treasury paying 4.5%, maturing 30 Sep 2029, worth $24,200 today; and a $10,000 Ally CD paying 5.05%, maturing 15 Mar 2027, worth its $10,000.
GIVES: $1,125/year — 4.50% of $25,000 face
(the test re-runs this through MK-NW-O-001 theBonds on every build)</t>
        </is>
      </c>
      <c r="AO30" s="9" t="inlineStr">
        <is>
          <t>WAITING ON YOU — question Q04 · RULED, NOT CODED (Q-NW-4 — one question, one function)</t>
        </is>
      </c>
    </row>
    <row r="31" ht="60" customHeight="1">
      <c r="A31" s="3" t="inlineStr">
        <is>
          <t>MK-NW-M-025</t>
        </is>
      </c>
      <c r="B31" s="3" t="inlineStr">
        <is>
          <t>Networth</t>
        </is>
      </c>
      <c r="C31" s="3" t="inlineStr">
        <is>
          <t>/account-detail</t>
        </is>
      </c>
      <c r="D31" s="3" t="inlineStr">
        <is>
          <t>Matures</t>
        </is>
      </c>
      <c r="E31" s="3" t="inlineStr">
        <is>
          <t>matures</t>
        </is>
      </c>
      <c r="F31" s="3" t="inlineStr">
        <is>
          <t>theBonds</t>
        </is>
      </c>
      <c r="G31" s="3" t="inlineStr">
        <is>
          <t>MK-NW-O-001</t>
        </is>
      </c>
      <c r="H31" s="3" t="inlineStr">
        <is>
          <t>years to maturity = (maturity date − today) ÷ 365.25 days;  already past → 0;  NO maturity date, or an unreadable one → no answer (nothing is invented)</t>
        </is>
      </c>
      <c r="I31" s="3" t="inlineStr">
        <is>
          <t>Maturity date minus today, in years (365.25 days to the year). Anything already past → 0. No maturity date, or one that cannot be read → NO answer: the years, the yield to maturity and the rate sensitivity all refuse, and the screen asks for the date.</t>
        </is>
      </c>
      <c r="J31" s="3" t="inlineStr">
        <is>
          <t>MK-NW-I-001 your accounts</t>
        </is>
      </c>
      <c r="K31" s="3" t="inlineStr">
        <is>
          <t>a sentence</t>
        </is>
      </c>
      <c r="L31" s="3" t="inlineStr">
        <is>
          <t>No maturity date → the 'Matures' line is not shown; a matured bond shows '(matured)'.</t>
        </is>
      </c>
      <c r="M31" s="3" t="inlineStr">
        <is>
          <t>one bond</t>
        </is>
      </c>
      <c r="N31" s="3" t="inlineStr">
        <is>
          <t>as of today</t>
        </is>
      </c>
      <c r="O31"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31" s="3" t="inlineStr">
        <is>
          <t>Declared by MK-NW-O-001 theBonds</t>
        </is>
      </c>
      <c r="Q31" s="3" t="inlineStr">
        <is>
          <t>NONE RECORDED — the declaration names none.</t>
        </is>
      </c>
      <c r="R31" s="3" t="inlineStr">
        <is>
          <t>NONE RECORDED — the declaration names none.</t>
        </is>
      </c>
      <c r="S31" s="3" t="inlineStr"/>
      <c r="T31" s="3" t="inlineStr">
        <is>
          <t>NONE RECORDED — the declaration names none.</t>
        </is>
      </c>
      <c r="U31" s="3" t="inlineStr"/>
      <c r="V31" s="3" t="inlineStr"/>
      <c r="W31" s="3" t="inlineStr"/>
      <c r="X31" s="3" t="inlineStr"/>
      <c r="Y31" s="3" t="inlineStr"/>
      <c r="Z31" s="3" t="inlineStr">
        <is>
          <t>DECLARED IN THE CODE (rule 11) — printed from the door, not typed. RULED 2026-09-27</t>
        </is>
      </c>
      <c r="AA31" s="3" t="inlineStr"/>
      <c r="AB31" s="3" t="inlineStr"/>
      <c r="AC31" s="3" t="inlineStr"/>
      <c r="AD31" s="3" t="inlineStr"/>
      <c r="AE31" s="3" t="inlineStr">
        <is>
          <t>G32 / Q48 — 2026-09-09: the 'division with nothing on the bottom' boilerplate is gone; this cell now states the row's real refusal. Where it says 'built', the screen already does it; the rest follow the empty-state mock.</t>
        </is>
      </c>
      <c r="AF31" s="3" t="inlineStr">
        <is>
          <t>ACTIVE</t>
        </is>
      </c>
      <c r="AG31" s="3" t="inlineStr">
        <is>
          <t>2026-10-04</t>
        </is>
      </c>
      <c r="AH31" s="3" t="inlineStr"/>
      <c r="AI31" s="3" t="inlineStr"/>
      <c r="AJ31"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1" s="3" t="inlineStr">
        <is>
          <t>(the claim now stands in 'Inputs it needs' until the row is approved)</t>
        </is>
      </c>
      <c r="AL31" s="3" t="inlineStr"/>
      <c r="AM31" s="3" t="inlineStr">
        <is>
          <t>TESTED, NOT VERIFIED — you ruled on this row 2026-09-27; the figure, its formula, inputs and refusal live in MK-NW-O-001 theBonds</t>
        </is>
      </c>
      <c r="AN31" s="3" t="inlineStr">
        <is>
          <t>Two bonds on 28 Sep 2026: a $25,000-face Treasury paying 4.5%, maturing 30 Sep 2029, worth $24,200 today; and a $10,000 Ally CD paying 5.05%, maturing 15 Mar 2027, worth its $10,000.
GIVES: 2029-09-30 — 3.0 years away
(the test re-runs this through MK-NW-O-001 theBonds on every build)</t>
        </is>
      </c>
      <c r="AO31" s="7" t="inlineStr">
        <is>
          <t>RULED, NOT CODED (Q-NW-4 — one question, one function)</t>
        </is>
      </c>
    </row>
    <row r="32" ht="60" customHeight="1">
      <c r="A32" s="3" t="inlineStr">
        <is>
          <t>MK-NW-M-026</t>
        </is>
      </c>
      <c r="B32" s="3" t="inlineStr">
        <is>
          <t>Networth</t>
        </is>
      </c>
      <c r="C32" s="3" t="inlineStr">
        <is>
          <t>/account-detail</t>
        </is>
      </c>
      <c r="D32" s="3" t="inlineStr">
        <is>
          <t>Yield if held to maturity</t>
        </is>
      </c>
      <c r="E32" s="3" t="inlineStr">
        <is>
          <t>yield_if_held_to_maturity</t>
        </is>
      </c>
      <c r="F32" s="3" t="inlineStr">
        <is>
          <t>theBonds</t>
        </is>
      </c>
      <c r="G32" s="3" t="inlineStr">
        <is>
          <t>MK-NW-O-001</t>
        </is>
      </c>
      <c r="H32" s="3" t="inlineStr">
        <is>
          <t>yield to maturity ≈ (annual coupon + (face − value) ÷ years left) ÷ ((face + value) ÷ 2)   — the straight-line approximation, rounded to 4 decimal places; value = the bond's current value as entered (the balance), on the same total basis as face</t>
        </is>
      </c>
      <c r="I32" s="3" t="inlineStr">
        <is>
          <t>Adds the pull back to face value to the running income:
(annual coupon + (face − value) ÷ years left) ÷ ((face + value) ÷ 2).
A bond bought below face gains as it matures, so this comes out above the current yield. Already matured, no value, or NO MATURITY DATE → no answer, never zero (G11).
Answer to the founder's question (2026-09-08, asked again 2026-09-12): 'value' is the bond's CURRENT VALUE as you entered it on the Bonds screen ("what it's worth now") — a dollar total for the whole holding, on the same total basis as face; when you leave it blank the face value stands in. Accrued interest (A47) is subtracted for the CURRENT yield only, not here.</t>
        </is>
      </c>
      <c r="J32" s="3" t="inlineStr">
        <is>
          <t>MK-NW-I-001 your accounts</t>
        </is>
      </c>
      <c r="K32" s="3" t="inlineStr">
        <is>
          <t>a percentage, two decimals</t>
        </is>
      </c>
      <c r="L32" s="3" t="inlineStr">
        <is>
          <t>Matured, or no maturity date — it refuses rather than divide by nothing.</t>
        </is>
      </c>
      <c r="M32" s="3" t="inlineStr">
        <is>
          <t>one bond</t>
        </is>
      </c>
      <c r="N32" s="3" t="inlineStr">
        <is>
          <t>as of today</t>
        </is>
      </c>
      <c r="O32"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32" s="3" t="inlineStr">
        <is>
          <t>Declared by MK-NW-O-001 theBonds</t>
        </is>
      </c>
      <c r="Q32" s="3" t="inlineStr">
        <is>
          <t>An approximation, and labelled an estimate on screen.</t>
        </is>
      </c>
      <c r="R32" s="3" t="inlineStr">
        <is>
          <t>An approximation, and labelled an estimate on screen.</t>
        </is>
      </c>
      <c r="S32" s="3" t="inlineStr"/>
      <c r="T32" s="3" t="inlineStr">
        <is>
          <t>An approximation, and labelled an estimate on screen.</t>
        </is>
      </c>
      <c r="U32" s="3" t="inlineStr"/>
      <c r="V32" s="9" t="inlineStr">
        <is>
          <t>Q05 — Accrued interest: do we work it out ourselves — which needs a day-count rule per bond type — or only show what the institution gives us?</t>
        </is>
      </c>
      <c r="W32" s="9" t="inlineStr"/>
      <c r="X32" s="3" t="inlineStr"/>
      <c r="Y32" s="3" t="inlineStr"/>
      <c r="Z32" s="3" t="inlineStr">
        <is>
          <t>DECLARED IN THE CODE (rule 11) — printed from the door, not typed. RULED 2026-09-27</t>
        </is>
      </c>
      <c r="AA32" s="3" t="inlineStr"/>
      <c r="AB32" s="3" t="inlineStr"/>
      <c r="AC32" s="3" t="inlineStr"/>
      <c r="AD32" s="3" t="inlineStr"/>
      <c r="AE32" s="3" t="inlineStr">
        <is>
          <t>G20 — CLOSED 2026-09-08: the math column claimed the exact root-solve; the code (MK-NW-F-060) is the approximation, now stated in both columns and labelled; the function header's rounding line corrected (4 decimals). No code change.</t>
        </is>
      </c>
      <c r="AF32" s="3" t="inlineStr">
        <is>
          <t>ACTIVE</t>
        </is>
      </c>
      <c r="AG32" s="3" t="inlineStr">
        <is>
          <t>2026-10-04</t>
        </is>
      </c>
      <c r="AH32" s="3" t="inlineStr"/>
      <c r="AI32" s="3" t="inlineStr"/>
      <c r="AJ32"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2" s="3" t="inlineStr">
        <is>
          <t>(the claim now stands in 'Inputs it needs' until the row is approved)</t>
        </is>
      </c>
      <c r="AL32" s="3" t="inlineStr"/>
      <c r="AM32" s="3" t="inlineStr">
        <is>
          <t>TESTED, NOT VERIFIED — you ruled on this row 2026-09-27; the figure, its formula, inputs and refusal live in MK-NW-O-001 theBonds</t>
        </is>
      </c>
      <c r="AN32" s="3" t="inlineStr">
        <is>
          <t>Two bonds on 28 Sep 2026: a $25,000-face Treasury paying 4.5%, maturing 30 Sep 2029, worth $24,200 today; and a $10,000 Ally CD paying 5.05%, maturing 15 Mar 2027, worth its $10,000.
GIVES: 5.66%
(the test re-runs this through MK-NW-O-001 theBonds on every build)</t>
        </is>
      </c>
      <c r="AO32" s="9" t="inlineStr">
        <is>
          <t>WAITING ON YOU — question Q05 · RULED, NOT CODED (Q-NW-4 — one question, one function)</t>
        </is>
      </c>
    </row>
    <row r="33" ht="60" customHeight="1">
      <c r="A33" s="3" t="inlineStr">
        <is>
          <t>MK-NW-M-027</t>
        </is>
      </c>
      <c r="B33" s="3" t="inlineStr">
        <is>
          <t>Networth</t>
        </is>
      </c>
      <c r="C33" s="3" t="inlineStr">
        <is>
          <t>/account-detail</t>
        </is>
      </c>
      <c r="D33" s="3" t="inlineStr">
        <is>
          <t>Yield on today's value</t>
        </is>
      </c>
      <c r="E33" s="3" t="inlineStr">
        <is>
          <t>yield_on_todays_value</t>
        </is>
      </c>
      <c r="F33" s="3" t="inlineStr">
        <is>
          <t>theBonds</t>
        </is>
      </c>
      <c r="G33" s="3" t="inlineStr">
        <is>
          <t>MK-NW-O-001</t>
        </is>
      </c>
      <c r="H33" s="3" t="inlineStr">
        <is>
          <t>coupon ÷ today’s value</t>
        </is>
      </c>
      <c r="I33" s="3" t="inlineStr">
        <is>
          <t>coupon ÷ today’s value</t>
        </is>
      </c>
      <c r="J33" s="3" t="inlineStr">
        <is>
          <t>MK-NW-I-001 your accounts</t>
        </is>
      </c>
      <c r="K33" s="3" t="inlineStr">
        <is>
          <t>a percentage, two decimals</t>
        </is>
      </c>
      <c r="L33" s="3" t="inlineStr">
        <is>
          <t>No value today.</t>
        </is>
      </c>
      <c r="M33" s="3" t="inlineStr">
        <is>
          <t>one bond</t>
        </is>
      </c>
      <c r="N33" s="3" t="inlineStr">
        <is>
          <t>as of today</t>
        </is>
      </c>
      <c r="O33"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33" s="3" t="inlineStr">
        <is>
          <t>Declared by MK-NW-O-001 theBonds</t>
        </is>
      </c>
      <c r="Q33" s="3" t="inlineStr">
        <is>
          <t>NONE RECORDED — the declaration names none.</t>
        </is>
      </c>
      <c r="R33" s="3" t="inlineStr">
        <is>
          <t>NONE RECORDED — the declaration names none.</t>
        </is>
      </c>
      <c r="S33" s="3" t="inlineStr"/>
      <c r="T33" s="3" t="inlineStr">
        <is>
          <t>NONE RECORDED — the declaration names none.</t>
        </is>
      </c>
      <c r="U33" s="3" t="inlineStr"/>
      <c r="V33" s="3" t="inlineStr"/>
      <c r="W33" s="3" t="inlineStr"/>
      <c r="X33" s="3" t="inlineStr"/>
      <c r="Y33" s="3" t="inlineStr"/>
      <c r="Z33" s="3" t="inlineStr">
        <is>
          <t>DECLARED IN THE CODE (rule 11) — printed from the door, not typed. RULED 2026-09-27</t>
        </is>
      </c>
      <c r="AA33" s="3" t="inlineStr"/>
      <c r="AB33" s="3" t="inlineStr"/>
      <c r="AC33" s="3" t="inlineStr"/>
      <c r="AD33" s="3" t="inlineStr"/>
      <c r="AE33" s="3" t="inlineStr"/>
      <c r="AF33" s="3" t="inlineStr">
        <is>
          <t>ACTIVE</t>
        </is>
      </c>
      <c r="AG33" s="3" t="inlineStr">
        <is>
          <t>2026-10-04</t>
        </is>
      </c>
      <c r="AH33" s="3" t="inlineStr"/>
      <c r="AI33" s="3" t="inlineStr"/>
      <c r="AJ33"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3" s="3" t="inlineStr">
        <is>
          <t>(the claim now stands in 'Inputs it needs' until the row is approved)</t>
        </is>
      </c>
      <c r="AL33" s="3" t="inlineStr"/>
      <c r="AM33" s="3" t="inlineStr">
        <is>
          <t>TESTED, NOT VERIFIED — you ruled on this row 2026-09-27; the figure, its formula, inputs and refusal live in MK-NW-O-001 theBonds</t>
        </is>
      </c>
      <c r="AN33" s="3" t="inlineStr">
        <is>
          <t>Two bonds on 28 Sep 2026: a $25,000-face Treasury paying 4.5%, maturing 30 Sep 2029, worth $24,200 today; and a $10,000 Ally CD paying 5.05%, maturing 15 Mar 2027, worth its $10,000.
GIVES: 4.65%
(the test re-runs this through MK-NW-O-001 theBonds on every build)</t>
        </is>
      </c>
      <c r="AO33" s="7" t="inlineStr">
        <is>
          <t>RULED, NOT CODED (Q-NW-4 — one question, one function)</t>
        </is>
      </c>
    </row>
    <row r="34" ht="60" customHeight="1">
      <c r="A34" s="3" t="inlineStr">
        <is>
          <t>MK-NW-M-028</t>
        </is>
      </c>
      <c r="B34" s="3" t="inlineStr">
        <is>
          <t>Networth</t>
        </is>
      </c>
      <c r="C34" s="3" t="inlineStr">
        <is>
          <t>/account-detail</t>
        </is>
      </c>
      <c r="D34" s="3" t="inlineStr">
        <is>
          <t>Rates rise 1% → value roughly $X–$Y</t>
        </is>
      </c>
      <c r="E34" s="3" t="inlineStr">
        <is>
          <t>rates_rise_1__value_roughly_xy</t>
        </is>
      </c>
      <c r="F34" s="3" t="inlineStr">
        <is>
          <t>theBonds</t>
        </is>
      </c>
      <c r="G34" s="3" t="inlineStr">
        <is>
          <t>MK-NW-F-064</t>
        </is>
      </c>
      <c r="H34" s="3" t="inlineStr">
        <is>
          <t>value at (yield − 1%) and value at (yield + 1%), each = Σ coupon ÷ (1 + y)^t + face ÷ (1 + y)^n over the whole remaining years;  shown as the range between the two</t>
        </is>
      </c>
      <c r="I34" s="3" t="inlineStr">
        <is>
          <t>price it again at (yield to maturity ± 1%), and show a band of ±1% around that</t>
        </is>
      </c>
      <c r="J34" s="3" t="inlineStr">
        <is>
          <t>MK-NW-I-001 your accounts</t>
        </is>
      </c>
      <c r="K34" s="3" t="inlineStr">
        <is>
          <t>a sentence</t>
        </is>
      </c>
      <c r="L34" s="3" t="inlineStr">
        <is>
          <t>Refused for a CD, for a matured bond, and for anything with no coupon or no maturity — and for a CD it says plainly why nothing happens.</t>
        </is>
      </c>
      <c r="M34" s="3" t="inlineStr">
        <is>
          <t>one bond</t>
        </is>
      </c>
      <c r="N34" s="3" t="inlineStr">
        <is>
          <t>as of today</t>
        </is>
      </c>
      <c r="O34" s="3" t="inlineStr">
        <is>
          <t>1. MK-NW-F-060 (approxYTM) → number | null
2. MK-NW-F-069 (priceAtYield) → number</t>
        </is>
      </c>
      <c r="P34" s="3" t="inlineStr">
        <is>
          <t>Declared by MK-NW-O-001 theBonds</t>
        </is>
      </c>
      <c r="Q34" s="3" t="inlineStr">
        <is>
          <t>An estimate, and it wears the estimate label.
FOUNDER 2026-09-27: a CD gets no estimate. It is not traded, so its value does not move with rates; the screen says that instead. KEEP — the app does not ask whether a CD is a bank one or a brokered one.</t>
        </is>
      </c>
      <c r="R34" s="3" t="inlineStr">
        <is>
          <t>An estimate, and it wears the estimate label.
FOUNDER 2026-09-27: a CD gets no estimate. It is not traded, so its value does not move with rates; the screen says that instead. KEEP — the app does not ask whether a CD is a bank one or a brokered one.</t>
        </is>
      </c>
      <c r="S34" s="3" t="inlineStr"/>
      <c r="T34" s="3" t="inlineStr">
        <is>
          <t>An estimate, and it wears the estimate label.
FOUNDER 2026-09-27: a CD gets no estimate. It is not traded, so its value does not move with rates; the screen says that instead. KEEP — the app does not ask whether a CD is a bank one or a brokered one.</t>
        </is>
      </c>
      <c r="U34" s="3" t="inlineStr"/>
      <c r="V34" s="3" t="inlineStr"/>
      <c r="W34" s="3" t="inlineStr"/>
      <c r="X34" s="3" t="inlineStr"/>
      <c r="Y34" s="3" t="inlineStr"/>
      <c r="Z34" s="3" t="inlineStr">
        <is>
          <t>DECLARED IN THE CODE (rule 11) — printed from the door, not typed. RULED 2026-09-27</t>
        </is>
      </c>
      <c r="AA34" s="3" t="inlineStr"/>
      <c r="AB34" s="3" t="inlineStr"/>
      <c r="AC34" s="3" t="inlineStr"/>
      <c r="AD34" s="3" t="inlineStr"/>
      <c r="AE34" s="3" t="inlineStr"/>
      <c r="AF34" s="3" t="inlineStr">
        <is>
          <t>ACTIVE</t>
        </is>
      </c>
      <c r="AG34" s="3" t="inlineStr">
        <is>
          <t>2026-10-04</t>
        </is>
      </c>
      <c r="AH34" s="3" t="inlineStr"/>
      <c r="AI34" s="3" t="inlineStr"/>
      <c r="AJ34" s="3" t="inlineStr">
        <is>
          <t>1. MK-XS-I-011 bond face value — read by MK-NW-F-057, MK-NW-F-060, MK-NW-F-064, MK-NW-F-069
2. MK-XS-I-012 bond coupon rate — read by MK-NW-F-057, MK-NW-F-064
3. MK-XS-I-013 bond maturity date — read by MK-NW-F-058, MK-NW-F-060, MK-NW-F-069
4. MK-XS-I-049 bond price — what the bond is worth today — read by MK-NW-F-057, MK-NW-F-060, MK-NW-F-064, MK-NW-F-069
[the code's record, this build — evidence for the ruling, not the row's statement: it cannot see inputs handed in as arguments, and it counts every branch below the producer]</t>
        </is>
      </c>
      <c r="AK34" s="3" t="inlineStr">
        <is>
          <t>(the claim now stands in 'Inputs it needs' until the row is approved)</t>
        </is>
      </c>
      <c r="AL34" s="3" t="inlineStr"/>
      <c r="AM34" s="3" t="inlineStr">
        <is>
          <t>TESTED, NOT VERIFIED — you ruled on this row 2026-09-27; the figure, its formula, inputs and refusal live in MK-NW-O-001 theBonds</t>
        </is>
      </c>
      <c r="AN34" s="3" t="inlineStr">
        <is>
          <t>Two bonds on 28 Sep 2026: a $25,000-face Treasury paying 4.5%, maturing 30 Sep 2029, worth $24,200 today; and a $10,000 Ally CD paying 5.05%, maturing 15 Mar 2027, worth its $10,000.
GIVES: $23,000–$24,000
(the test re-runs this through MK-NW-O-001 theBonds on every build)</t>
        </is>
      </c>
      <c r="AO34" s="7" t="inlineStr">
        <is>
          <t>RULED, NOT CODED (Q-NW-4 — one question, one function)</t>
        </is>
      </c>
    </row>
    <row r="35" ht="60" customHeight="1">
      <c r="A35" s="3" t="inlineStr">
        <is>
          <t>MK-NW-M-029</t>
        </is>
      </c>
      <c r="B35" s="3" t="inlineStr">
        <is>
          <t>Networth</t>
        </is>
      </c>
      <c r="C35" s="3" t="inlineStr">
        <is>
          <t>/holding-detail</t>
        </is>
      </c>
      <c r="D35" s="3" t="inlineStr">
        <is>
          <t>CURRENT PRICE · LIVE</t>
        </is>
      </c>
      <c r="E35" s="3" t="inlineStr">
        <is>
          <t>current_price__live</t>
        </is>
      </c>
      <c r="F35" s="3" t="inlineStr">
        <is>
          <t>theHolding</t>
        </is>
      </c>
      <c r="G35" s="3" t="inlineStr">
        <is>
          <t>MK-NW-O-006</t>
        </is>
      </c>
      <c r="H35" s="3" t="inlineStr">
        <is>
          <t>the last close the price feed holds for this ticker</t>
        </is>
      </c>
      <c r="I35" s="3" t="inlineStr">
        <is>
          <t>the last close the price feed holds for this ticker</t>
        </is>
      </c>
      <c r="J35" s="3" t="inlineStr">
        <is>
          <t>MK-NW-I-005 the price feed</t>
        </is>
      </c>
      <c r="K35" s="3" t="inlineStr">
        <is>
          <t>dollars, two decimals</t>
        </is>
      </c>
      <c r="L35" s="3" t="inlineStr">
        <is>
          <t>No price — the screen shows what you paid instead, and says so.</t>
        </is>
      </c>
      <c r="M35" s="3" t="inlineStr">
        <is>
          <t>one holding</t>
        </is>
      </c>
      <c r="N35" s="3" t="inlineStr">
        <is>
          <t>as of today</t>
        </is>
      </c>
      <c r="O35"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35" s="3" t="inlineStr">
        <is>
          <t>Declared by MK-NW-O-006 theHolding</t>
        </is>
      </c>
      <c r="Q35" s="3" t="inlineStr">
        <is>
          <t>A price that has gone stale says its age rather than passing as today’s.</t>
        </is>
      </c>
      <c r="R35" s="3" t="inlineStr">
        <is>
          <t>A price that has gone stale says its age rather than passing as today’s.</t>
        </is>
      </c>
      <c r="S35" s="3" t="inlineStr"/>
      <c r="T35" s="3" t="inlineStr">
        <is>
          <t>A price that has gone stale says its age rather than passing as today’s.</t>
        </is>
      </c>
      <c r="U35" s="3" t="inlineStr"/>
      <c r="V35" s="3" t="inlineStr"/>
      <c r="W35" s="3" t="inlineStr"/>
      <c r="X35" s="3" t="inlineStr"/>
      <c r="Y35" s="3" t="inlineStr"/>
      <c r="Z35" s="3" t="inlineStr">
        <is>
          <t>DECLARED IN THE CODE (rule 11) — printed from the door, not typed. RULED 2026-09-28</t>
        </is>
      </c>
      <c r="AA35" s="3" t="inlineStr"/>
      <c r="AB35" s="3" t="inlineStr"/>
      <c r="AC35" s="3" t="inlineStr"/>
      <c r="AD35" s="3" t="inlineStr"/>
      <c r="AE35" s="3" t="inlineStr"/>
      <c r="AF35" s="3" t="inlineStr">
        <is>
          <t>ACTIVE</t>
        </is>
      </c>
      <c r="AG35" s="3" t="inlineStr">
        <is>
          <t>2026-10-04</t>
        </is>
      </c>
      <c r="AH35" s="3" t="inlineStr">
        <is>
          <t>[Formula (mathematical)] Is the formula embedded directly in the code and not as a separate function? Live price was to be sourced from Yahoo or similar engine.</t>
        </is>
      </c>
      <c r="AI35" s="6" t="inlineStr">
        <is>
          <t>Yes to both. The price is the last daily close from Yahoo Finance's chart feed (free, no key) — MK-XS-F-143 (yahooSymbol) and the fetch beside it. No function is named 'current price': the screen shows the latest close carried on the holding's performance row and adds ' · LIVE' only when the last fetch is fresh; stale → 'prices may be out of date (…)'. Exception: bonds have no live pricing — the value is what you entered. VERDICT: comment right; the row is blank because of S21, not because the figure is untraceable. FIX (file): F/G = 'the last close in the price series — MK-XS-F-143 (Yahoo feed)'; J = MK-XS-I-005 (holding price) + MK-XS-I-006 (price fetched at); L = 'no feed or no series → shows what you paid, says NO LIVE PRICE'. FIX (code): none.</t>
        </is>
      </c>
      <c r="AJ35"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35" s="3" t="inlineStr">
        <is>
          <t>(the claim now stands in 'Inputs it needs' until the row is approved)</t>
        </is>
      </c>
      <c r="AL35" s="3" t="inlineStr"/>
      <c r="AM35" s="3" t="inlineStr">
        <is>
          <t>TESTED, NOT VERIFIED — you ruled on this row 2026-09-28; the figure, its formula, inputs and refusal live in MK-NW-O-006 theHolding</t>
        </is>
      </c>
      <c r="AN35" s="3" t="inlineStr">
        <is>
          <t>140 shares of VTI on 28 Sep 2026, priced at $290: 100 bought at $210 in Mar 2023 and 40 at $265 in Jun 2026. Dividends of $420 and $405 this year; 20 shares bought at $200 were sold at $285.
GIVES: $290.00
(the test re-runs this through MK-NW-O-006 theHolding on every build)</t>
        </is>
      </c>
      <c r="AO35" s="8" t="inlineStr">
        <is>
          <t>VERIFIED — TESTED, NOT VERIFIED — you ruled on this row 2026-09-28; the</t>
        </is>
      </c>
    </row>
    <row r="36" ht="60" customHeight="1">
      <c r="A36" s="3" t="inlineStr">
        <is>
          <t>MK-NW-M-030</t>
        </is>
      </c>
      <c r="B36" s="3" t="inlineStr">
        <is>
          <t>Networth</t>
        </is>
      </c>
      <c r="C36" s="3" t="inlineStr">
        <is>
          <t>/holding-detail</t>
        </is>
      </c>
      <c r="D36" s="3" t="inlineStr">
        <is>
          <t>Current value</t>
        </is>
      </c>
      <c r="E36" s="3" t="inlineStr">
        <is>
          <t>current_value</t>
        </is>
      </c>
      <c r="F36" s="3" t="inlineStr">
        <is>
          <t>theHolding</t>
        </is>
      </c>
      <c r="G36" s="3" t="inlineStr">
        <is>
          <t>MK-NW-O-006</t>
        </is>
      </c>
      <c r="H36" s="3" t="inlineStr">
        <is>
          <t>shares × today’s price</t>
        </is>
      </c>
      <c r="I36" s="3" t="inlineStr">
        <is>
          <t>shares × today’s price</t>
        </is>
      </c>
      <c r="J36" s="3" t="inlineStr">
        <is>
          <t>MK-NW-I-001 your accounts
MK-NW-I-005 the price feed</t>
        </is>
      </c>
      <c r="K36" s="3" t="inlineStr">
        <is>
          <t>dollars, whole</t>
        </is>
      </c>
      <c r="L36" s="3" t="inlineStr">
        <is>
          <t>No price — it shows what you paid, labelled as that.</t>
        </is>
      </c>
      <c r="M36" s="3" t="inlineStr">
        <is>
          <t>one holding</t>
        </is>
      </c>
      <c r="N36" s="3" t="inlineStr">
        <is>
          <t>as of today</t>
        </is>
      </c>
      <c r="O36"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36" s="3" t="inlineStr">
        <is>
          <t>Declared by MK-NW-O-006 theHolding</t>
        </is>
      </c>
      <c r="Q36" s="3" t="inlineStr">
        <is>
          <t>r30: with NO price it shows what you paid, never a zero — a holding priced at zero would quietly shrink your whole portfolio.</t>
        </is>
      </c>
      <c r="R36" s="3" t="inlineStr">
        <is>
          <t>r30: with NO price it shows what you paid, never a zero — a holding priced at zero would quietly shrink your whole portfolio.</t>
        </is>
      </c>
      <c r="S36" s="3" t="inlineStr"/>
      <c r="T36" s="3" t="inlineStr">
        <is>
          <t>r30: with NO price it shows what you paid, never a zero — a holding priced at zero would quietly shrink your whole portfolio.</t>
        </is>
      </c>
      <c r="U36" s="3" t="inlineStr"/>
      <c r="V36" s="9" t="inlineStr">
        <is>
          <t>Q42 — Options (your Q06): 'stated otherwise' = a multiplier field on the position, default 100, filled by the broker's feed and editable by you — confirm?
Q43 — Foreign currency (your Q08/Q09): show in US dollars converted at the rate fetched with the prices, with the rate and date stated ('converted at 1 CHF = $1.12 on Sep 8') — recommended — or in the native currency with a label?
Q44 — Your A46 (coupon rate missing → 0) covers MK-NW-F-063 and the paycheck income lines. Two separate cases, NOT covered unless you say so: (c) the 4.2% EXPECTED RETURN on the fixed-income / high-yield-savings / CD kinds used in projections — keep or 0? (d) the 4% target-return fallback when a bond is added without a coupon — keep, or use the coupon only?</t>
        </is>
      </c>
      <c r="W36" s="9" t="inlineStr">
        <is>
          <t>Q06: value is contracts * 100 *price unless stated otherwise by broker or user.
Q07: 8 decimals is what coinbase uses. So use 8 decimals.
Q08: cash held as an institution in that currency. For example USD used to buy CHF is held in CHF in brokerage account at an institution. There is no interest or dividend for currencies held.
(typed 2026-08-26)</t>
        </is>
      </c>
      <c r="X36" s="3" t="inlineStr"/>
      <c r="Y36" s="3" t="inlineStr"/>
      <c r="Z36" s="3" t="inlineStr">
        <is>
          <t>DECLARED IN THE CODE (rule 11) — printed from the door, not typed. RULED 2026-09-28</t>
        </is>
      </c>
      <c r="AA36" s="3" t="inlineStr"/>
      <c r="AB36" s="3" t="inlineStr"/>
      <c r="AC36" s="3" t="inlineStr"/>
      <c r="AD36" s="3" t="inlineStr"/>
      <c r="AE36" s="3" t="inlineStr">
        <is>
          <t>Q06 / Q07 / Q08 — ANSWERED 2026-08-26 (see column W), NOT YET IN CODE: no contract multiplier, no quantity rounding, no currency conversion. Open.</t>
        </is>
      </c>
      <c r="AF36" s="3" t="inlineStr">
        <is>
          <t>ACTIVE</t>
        </is>
      </c>
      <c r="AG36" s="3" t="inlineStr">
        <is>
          <t>2026-10-04</t>
        </is>
      </c>
      <c r="AH36" s="3" t="inlineStr">
        <is>
          <t>[Dependency — function ID → the output it uses] why dependency on engine and not function?</t>
        </is>
      </c>
      <c r="AI36" s="6" t="inlineStr">
        <is>
          <t>That column was generated from the old inventory's function names (retired MK-XX-E identifiers), not the live function registry — 63 active rows, 202 citations; the same defect is G26 in the second-verification assessment. The live chain (column P) already says it right: MK-PF-F-001 (totalShares) → the unit count; MK-ST-F-055 (round2) → cents. VERDICT: file/generator defect, code untouched. FIX (file): regenerate column O from the F/O registry on all 63 rows; add a file-side check that no active row cites an E identifier. FIX (code): none.
YOUR TYPED ANSWERS (Q06/Q07/Q08), checked: Q06 — NOT APPLIED: market value (MK-PF-F-004) = units × price with no contract multiplier, so an option position can read one hundredth of its value (the ledger normalises a TRADE; the holdings path does not). Fix (code): a multiplier on the position, default 100 for contracts, filled by sync and editable; marketValue uses it; test: 3 contracts at $2.50 = $750. Fix (file): H = 'value = units × price × multiplier (100 for an option contract unless the broker or you state another)'; MK-XS-I-034 updated. Confirm the mechanism: Q42. · Q07 — nothing rounds a quantity today (summed and printed raw); executes with Q09: coin quantities stored and shown to 8 decimals. · Q08 — a currency position = cash in that currency, no income lines; today a non-USD account is never converted — sync keeps the prior balance and there is no exchange-rate input (no identifier). Display rule to settle: brief Q-43 (2026-08-20).</t>
        </is>
      </c>
      <c r="AJ36"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36" s="3" t="inlineStr">
        <is>
          <t>(the claim now stands in 'Inputs it needs' until the row is approved)</t>
        </is>
      </c>
      <c r="AL36" s="3" t="inlineStr"/>
      <c r="AM36" s="3" t="inlineStr">
        <is>
          <t>TESTED, NOT VERIFIED — you ruled on this row 2026-09-28; the figure, its formula, inputs and refusal live in MK-NW-O-006 theHolding</t>
        </is>
      </c>
      <c r="AN36" s="3" t="inlineStr">
        <is>
          <t>140 shares of VTI on 28 Sep 2026, priced at $290: 100 bought at $210 in Mar 2023 and 40 at $265 in Jun 2026. Dividends of $420 and $405 this year; 20 shares bought at $200 were sold at $285.
GIVES: $40,600
(the test re-runs this through MK-NW-O-006 theHolding on every build)</t>
        </is>
      </c>
      <c r="AO36" s="9" t="inlineStr">
        <is>
          <t>WAITING ON YOU — question Q42, Q43, Q44 · TESTED, NOT VERIFIED (Q06, Q08)</t>
        </is>
      </c>
    </row>
    <row r="37" ht="60" customHeight="1">
      <c r="A37" s="3" t="inlineStr">
        <is>
          <t>MK-NW-M-031</t>
        </is>
      </c>
      <c r="B37" s="3" t="inlineStr">
        <is>
          <t>Networth</t>
        </is>
      </c>
      <c r="C37" s="3" t="inlineStr">
        <is>
          <t>/holding-detail</t>
        </is>
      </c>
      <c r="D37" s="3" t="inlineStr">
        <is>
          <t>Quantity — n shares</t>
        </is>
      </c>
      <c r="E37" s="3" t="inlineStr">
        <is>
          <t>quantity__n_shares</t>
        </is>
      </c>
      <c r="F37" s="3" t="inlineStr">
        <is>
          <t>theHolding</t>
        </is>
      </c>
      <c r="G37" s="3" t="inlineStr">
        <is>
          <t>MK-NW-O-006</t>
        </is>
      </c>
      <c r="H37" s="3" t="inlineStr">
        <is>
          <t>quantity = Σ(shares on each lot);  a sale of shares REMOVES them from the lots (never a negative lot);  a sale entered as a dollar amount with no shares lowers the account balance instead</t>
        </is>
      </c>
      <c r="I37" s="3" t="inlineStr">
        <is>
          <t>the shares of every lot still held, added up</t>
        </is>
      </c>
      <c r="J37" s="3" t="inlineStr">
        <is>
          <t>MK-NW-I-001 your accounts</t>
        </is>
      </c>
      <c r="K37" s="3" t="inlineStr">
        <is>
          <t>a count</t>
        </is>
      </c>
      <c r="L37" s="3" t="inlineStr">
        <is>
          <t>$0, and under it the one line "Nothing entered yet. Add a holding ›" (mock approved 2026-09-12). A real zero that was entered shows a plain $0 with no line.</t>
        </is>
      </c>
      <c r="M37" s="3" t="inlineStr">
        <is>
          <t>one holding</t>
        </is>
      </c>
      <c r="N37" s="3" t="inlineStr">
        <is>
          <t>as of today</t>
        </is>
      </c>
      <c r="O37"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37" s="3" t="inlineStr">
        <is>
          <t>Declared by MK-NW-O-006 theHolding</t>
        </is>
      </c>
      <c r="Q37" s="3" t="inlineStr">
        <is>
          <t>NONE RECORDED — the declaration names none.</t>
        </is>
      </c>
      <c r="R37" s="3" t="inlineStr">
        <is>
          <t>NONE RECORDED — the declaration names none.</t>
        </is>
      </c>
      <c r="S37" s="3" t="inlineStr"/>
      <c r="T37" s="3" t="inlineStr">
        <is>
          <t>NONE RECORDED — the declaration names none.</t>
        </is>
      </c>
      <c r="U37" s="3" t="inlineStr"/>
      <c r="V37" s="3" t="inlineStr"/>
      <c r="W37" s="3" t="inlineStr">
        <is>
          <t>Q09: Yes, we should always capture units. Worth checking is CHF is held in account, is value displayed in CHF or USD? If USD, we need to make sure to capture Foreign exchange rate to do the conversion.
(typed 2026-08-26)</t>
        </is>
      </c>
      <c r="X37" s="3" t="inlineStr"/>
      <c r="Y37" s="3" t="inlineStr"/>
      <c r="Z37" s="3" t="inlineStr">
        <is>
          <t>DECLARED IN THE CODE (rule 11) — printed from the door, not typed. RULED 2026-09-28</t>
        </is>
      </c>
      <c r="AA37" s="3" t="inlineStr"/>
      <c r="AB37" s="3" t="inlineStr"/>
      <c r="AC37" s="3" t="inlineStr"/>
      <c r="AD37" s="3" t="inlineStr"/>
      <c r="AE37" s="3" t="inlineStr">
        <is>
          <t>Q09 — ANSWERED 2026-08-26 (see column W), NOT YET IN CODE: no unit on the quantity field. Open — the parent of Q06/Q07/Q08.
G32 / Q48 — RULED 2026-09-09: $0 stays, with the sentence '$0 — nothing entered yet.' and this row's door ('Add a holding ›'). File written; the screen follows the approved empty-state mock (one pattern, one screen), then every screen.</t>
        </is>
      </c>
      <c r="AF37" s="3" t="inlineStr">
        <is>
          <t>ACTIVE</t>
        </is>
      </c>
      <c r="AG37" s="3" t="inlineStr">
        <is>
          <t>2026-10-04</t>
        </is>
      </c>
      <c r="AH37" s="3" t="inlineStr">
        <is>
          <t>[YOUR ANSWER, column W] Q09 typed 2026-08-26 — see W on this row.</t>
        </is>
      </c>
      <c r="AI37" s="6" t="inlineStr">
        <is>
          <t>YOUR TYPED ANSWER (Q09), checked: NOT DONE — one quantity field holds shares, contracts, coins, face units and currency units with nothing marking which (column S). Fix (code): a 'unit' on the position (shares | contracts | coins | currency) set by sync, import and the editor; valuation keyed on it (× 100 for contracts; 8 decimals for coins; currency → cash). Fix (file): new input row 'unit' (ID to assign); K keyed on it; Q06/Q07/Q08 rules reference it. The parent of Q06/Q07/Q08 — build first. No new ruling.</t>
        </is>
      </c>
      <c r="AJ37"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37" s="3" t="inlineStr">
        <is>
          <t>(the claim now stands in 'Inputs it needs' until the row is approved)</t>
        </is>
      </c>
      <c r="AL37" s="3" t="inlineStr"/>
      <c r="AM37" s="3" t="inlineStr">
        <is>
          <t>TESTED, NOT VERIFIED — you ruled on this row 2026-09-28; the figure, its formula, inputs and refusal live in MK-NW-O-006 theHolding</t>
        </is>
      </c>
      <c r="AN37" s="3" t="inlineStr">
        <is>
          <t>140 shares of VTI on 28 Sep 2026, priced at $290: 100 bought at $210 in Mar 2023 and 40 at $265 in Jun 2026. Dividends of $420 and $405 this year; 20 shares bought at $200 were sold at $285.
GIVES: 140
(the test re-runs this through MK-NW-O-006 theHolding on every build)</t>
        </is>
      </c>
      <c r="AO37" s="8" t="inlineStr">
        <is>
          <t>VERIFIED — TESTED, NOT VERIFIED — you ruled on this row 2026-09-28; the</t>
        </is>
      </c>
    </row>
    <row r="38" ht="60" customHeight="1">
      <c r="A38" s="3" t="inlineStr">
        <is>
          <t>MK-NW-M-032</t>
        </is>
      </c>
      <c r="B38" s="3" t="inlineStr">
        <is>
          <t>Networth</t>
        </is>
      </c>
      <c r="C38" s="3" t="inlineStr">
        <is>
          <t>/holding-detail</t>
        </is>
      </c>
      <c r="D38" s="3" t="inlineStr">
        <is>
          <t>Price paid (average)</t>
        </is>
      </c>
      <c r="E38" s="3" t="inlineStr">
        <is>
          <t>price_paid_average</t>
        </is>
      </c>
      <c r="F38" s="3" t="inlineStr">
        <is>
          <t>theHolding</t>
        </is>
      </c>
      <c r="G38" s="3" t="inlineStr">
        <is>
          <t>MK-PF-F-003</t>
        </is>
      </c>
      <c r="H38" s="3" t="inlineStr">
        <is>
          <t>average price paid = cost basis ÷ shares held  (cost basis = Σ shares × cost per share across the lots)</t>
        </is>
      </c>
      <c r="I38" s="3" t="inlineStr">
        <is>
          <t>Cost basis divided by the shares held across every lot — the average price paid per share.</t>
        </is>
      </c>
      <c r="J38" s="3" t="inlineStr">
        <is>
          <t>MK-NW-I-001 your accounts</t>
        </is>
      </c>
      <c r="K38" s="3" t="inlineStr">
        <is>
          <t>dollars, two decimals</t>
        </is>
      </c>
      <c r="L38" s="3" t="inlineStr">
        <is>
          <t>$0, and under it the one line "Nothing entered yet. Add a holding ›" (mock approved 2026-09-12). A real zero that was entered shows a plain $0 with no line.</t>
        </is>
      </c>
      <c r="M38" s="3" t="inlineStr">
        <is>
          <t>one holding</t>
        </is>
      </c>
      <c r="N38" s="3" t="inlineStr">
        <is>
          <t>as of today</t>
        </is>
      </c>
      <c r="O38" s="3" t="inlineStr">
        <is>
          <t>1. MK-PF-F-002 (costBasis) → number
2. MK-PF-F-001 (totalShares) → number</t>
        </is>
      </c>
      <c r="P38" s="3" t="inlineStr">
        <is>
          <t>Declared by MK-NW-O-006 theHolding</t>
        </is>
      </c>
      <c r="Q38" s="3" t="inlineStr">
        <is>
          <t>Kept unrounded inside, rounded once at display (Q49) — rounding it early moved the total it multiplies back into.</t>
        </is>
      </c>
      <c r="R38" s="3" t="inlineStr">
        <is>
          <t>Kept unrounded inside, rounded once at display (Q49) — rounding it early moved the total it multiplies back into.</t>
        </is>
      </c>
      <c r="S38" s="3" t="inlineStr"/>
      <c r="T38" s="3" t="inlineStr">
        <is>
          <t>Kept unrounded inside, rounded once at display (Q49) — rounding it early moved the total it multiplies back into.</t>
        </is>
      </c>
      <c r="U38" s="3" t="inlineStr"/>
      <c r="V38" s="9" t="inlineStr">
        <is>
          <t>Q34 — Approve the exact wording for the average-price rule (info dot + column Q): 'Shares with no recorded purchase price are left out of the average. N of your shares are in that position.' — and the refusal: 'Average not available — none of these shares has a recorded price.'</t>
        </is>
      </c>
      <c r="W38" s="9" t="inlineStr"/>
      <c r="X38" s="3" t="inlineStr"/>
      <c r="Y38" s="3" t="inlineStr"/>
      <c r="Z38" s="3" t="inlineStr">
        <is>
          <t>DECLARED IN THE CODE (rule 11) — printed from the door, not typed. RULED 2026-09-28</t>
        </is>
      </c>
      <c r="AA38" s="3" t="inlineStr"/>
      <c r="AB38" s="3" t="inlineStr"/>
      <c r="AC38" s="3" t="inlineStr"/>
      <c r="AD38" s="3" t="inlineStr"/>
      <c r="AE38" s="3" t="inlineStr">
        <is>
          <t>JJ-1 — WRONG NUMBER ON SCREEN, found 2026-09-08 from the founder's comment: the average divides by shares that have no recorded cost. Open until the named function ships and this row's F/G/H/L/Q are rewritten.
G32 / Q48 — RULED 2026-09-09: $0 stays, with the sentence '$0 — nothing entered yet.' and this row's door ('Add a holding ›'). File written; the screen follows the approved empty-state mock (one pattern, one screen), then every screen.</t>
        </is>
      </c>
      <c r="AF38" s="3" t="inlineStr">
        <is>
          <t>ACTIVE</t>
        </is>
      </c>
      <c r="AG38" s="3" t="inlineStr">
        <is>
          <t>2026-10-04</t>
        </is>
      </c>
      <c r="AH38" s="3" t="inlineStr">
        <is>
          <t>[Formula (in words)] if price or share quantity not available it is eliminated from average calculation? Make sure total paid divided by quantity does not include quantity for which price is not listed or is zero. And info dot should call it out under assumptions that if price or quantity is not provided or zero it is excluded from average price calculation.</t>
        </is>
      </c>
      <c r="AI38" s="6" t="inlineStr">
        <is>
          <t>NO — today those shares STAY in the divisor. Total paid (MK-PF-F-002 costBasis) adds shares × (cost, or 0 when missing); the screen divides that by ALL shares (MK-PF-F-001 totalShares), inline, with no function. Example: 100 shares at $10 + 50 shares with no recorded cost → Total paid $1,000, average shown $6.67 (1,000 ÷ 150) instead of $10. A connected lot whose broker gives no cost is stored at cost $0 — same effect. No info dot, no assumption line. Column T on this row already records your decision that a no-cost lot is skipped — the code honours it for the total, not for the average. VERDICT: WRONG NUMBER ON SCREEN (finding JJ-1). FIX (code): one named function (averagePricePaid) = Σ(shares × cost) ÷ Σ(shares) over lots WITH a recorded cost &gt; 0; refusal when none; the screen calls it; info-dot assumption line; test on the example. FIX (file): F/G → the new function (ID to assign); H/I = that rule; L = the refusal; Q = the assumption line; B16 closes. Your wording to approve: Q34.</t>
        </is>
      </c>
      <c r="AJ38" s="3" t="inlineStr">
        <is>
          <t>1. MK-XS-I-004 holding quantity (shares) — read by MK-PF-F-001, MK-PF-F-002, MK-PF-F-003
2. MK-XS-I-007 purchase price and date (per lot) — read by MK-PF-F-002, MK-PF-F-003
3. MK-XS-I-055 the wrapper an account sits in — ISA, 401(k), IRA and the rest — read by MK-PF-F-031
4. MK-XS-I-063 option contract multiplier — 100 unless the broker or the person states otherwise — read by MK-PF-F-002, MK-PF-F-031
[the code's record, this build — evidence for the ruling, not the row's statement: it cannot see inputs handed in as arguments, and it counts every branch below the producer]</t>
        </is>
      </c>
      <c r="AK38" s="3" t="inlineStr">
        <is>
          <t>(the claim now stands in 'Inputs it needs' until the row is approved)</t>
        </is>
      </c>
      <c r="AL38" s="3" t="inlineStr"/>
      <c r="AM38" s="3" t="inlineStr">
        <is>
          <t>TESTED, NOT VERIFIED — you ruled on this row 2026-09-28; the figure, its formula, inputs and refusal live in MK-NW-O-006 theHolding</t>
        </is>
      </c>
      <c r="AN38" s="3" t="inlineStr">
        <is>
          <t>140 shares of VTI on 28 Sep 2026, priced at $290: 100 bought at $210 in Mar 2023 and 40 at $265 in Jun 2026. Dividends of $420 and $405 this year; 20 shares bought at $200 were sold at $285.
GIVES: $225.71
(the test re-runs this through MK-NW-O-006 theHolding on every build)</t>
        </is>
      </c>
      <c r="AO38" s="9" t="inlineStr">
        <is>
          <t>WAITING ON YOU — question Q34</t>
        </is>
      </c>
    </row>
    <row r="39" ht="60" customHeight="1">
      <c r="A39" s="3" t="inlineStr">
        <is>
          <t>MK-NW-M-033</t>
        </is>
      </c>
      <c r="B39" s="3" t="inlineStr">
        <is>
          <t>Networth</t>
        </is>
      </c>
      <c r="C39" s="3" t="inlineStr">
        <is>
          <t>/holding-detail · /invest</t>
        </is>
      </c>
      <c r="D39" s="3" t="inlineStr">
        <is>
          <t>Total paid</t>
        </is>
      </c>
      <c r="E39" s="3" t="inlineStr">
        <is>
          <t>total_paid</t>
        </is>
      </c>
      <c r="F39" s="3" t="inlineStr">
        <is>
          <t>theHolding</t>
        </is>
      </c>
      <c r="G39" s="3" t="inlineStr">
        <is>
          <t>MK-NW-O-006</t>
        </is>
      </c>
      <c r="H39" s="3" t="inlineStr">
        <is>
          <t>the cost of every lot still held, added up</t>
        </is>
      </c>
      <c r="I39" s="3" t="inlineStr">
        <is>
          <t>the cost of every lot still held, added up</t>
        </is>
      </c>
      <c r="J39" s="3" t="inlineStr">
        <is>
          <t>MK-NW-I-001 your accounts</t>
        </is>
      </c>
      <c r="K39" s="3" t="inlineStr">
        <is>
          <t>dollars, whole</t>
        </is>
      </c>
      <c r="L39" s="3" t="inlineStr">
        <is>
          <t>$0, and under it the one line "Nothing entered yet. Add a holding ›" (mock approved 2026-09-12). A real zero that was entered shows a plain $0 with no line.</t>
        </is>
      </c>
      <c r="M39" s="3" t="inlineStr">
        <is>
          <t>one holding</t>
        </is>
      </c>
      <c r="N39" s="3" t="inlineStr">
        <is>
          <t>as of today</t>
        </is>
      </c>
      <c r="O39"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39" s="3" t="inlineStr">
        <is>
          <t>Declared by MK-NW-O-006 theHolding</t>
        </is>
      </c>
      <c r="Q39" s="3" t="inlineStr">
        <is>
          <t>NONE RECORDED — the declaration names none.</t>
        </is>
      </c>
      <c r="R39" s="3" t="inlineStr">
        <is>
          <t>NONE RECORDED — the declaration names none.</t>
        </is>
      </c>
      <c r="S39" s="3" t="inlineStr"/>
      <c r="T39" s="3" t="inlineStr">
        <is>
          <t>NONE RECORDED — the declaration names none.</t>
        </is>
      </c>
      <c r="U39" s="3" t="inlineStr"/>
      <c r="V39" s="3" t="inlineStr"/>
      <c r="W39" s="3" t="inlineStr"/>
      <c r="X39" s="3" t="inlineStr"/>
      <c r="Y39" s="3" t="inlineStr"/>
      <c r="Z39" s="3" t="inlineStr">
        <is>
          <t>DECLARED IN THE CODE (rule 11) — printed from the door, not typed. RULED 2026-09-28</t>
        </is>
      </c>
      <c r="AA39" s="3" t="inlineStr"/>
      <c r="AB39" s="3" t="inlineStr"/>
      <c r="AC39" s="3" t="inlineStr"/>
      <c r="AD39" s="3" t="inlineStr"/>
      <c r="AE39" s="3" t="inlineStr">
        <is>
          <t>G32 / Q48 — RULED 2026-09-09: $0 stays, with the sentence '$0 — nothing entered yet.' and this row's door ('Add a holding ›'). File written; the screen follows the approved empty-state mock (one pattern, one screen), then every screen.</t>
        </is>
      </c>
      <c r="AF39" s="3" t="inlineStr">
        <is>
          <t>ACTIVE</t>
        </is>
      </c>
      <c r="AG39" s="3" t="inlineStr">
        <is>
          <t>2026-10-04</t>
        </is>
      </c>
      <c r="AH39" s="3" t="inlineStr">
        <is>
          <t>[Formula audit (B16)] Where is Total Price versus Price Paid (Average) displayed in the app? Are we trying to tell two different things to user and need to fix formulas or are we saying same thing and calling it differently?</t>
        </is>
      </c>
      <c r="AI39" s="6" t="inlineStr">
        <is>
          <t>Two different things, both on /holding-detail: 'Price paid (average)' = per share (total ÷ shares, 3 decimals, top table); 'Total paid' = the sum of every lot (under WHAT YOU BOUGHT). The FILE is wrong: it names the same function (costBasis) for both, and costBasis only produces the total; the average has no function of its own (MK-PF-F-003 avgCost exists but is unused — it clips to cents and the screen wants 3 decimals). VERDICT: two figures, correctly two labels; file defect B16. FIX (file): M-033 keeps MK-PF-F-002; M-032 points at the average function from JJ-1; retire or repurpose MK-PF-F-003. FIX (code): covered by JJ-1.</t>
        </is>
      </c>
      <c r="AJ39"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39" s="3" t="inlineStr">
        <is>
          <t>(the claim now stands in 'Inputs it needs' until the row is approved)</t>
        </is>
      </c>
      <c r="AL39" s="3" t="inlineStr"/>
      <c r="AM39" s="3" t="inlineStr">
        <is>
          <t>TESTED, NOT VERIFIED — you ruled on this row 2026-09-28; the figure, its formula, inputs and refusal live in MK-NW-O-006 theHolding</t>
        </is>
      </c>
      <c r="AN39" s="3" t="inlineStr">
        <is>
          <t>140 shares of VTI on 28 Sep 2026, priced at $290: 100 bought at $210 in Mar 2023 and 40 at $265 in Jun 2026. Dividends of $420 and $405 this year; 20 shares bought at $200 were sold at $285.
GIVES: $31,600
(the test re-runs this through MK-NW-O-006 theHolding on every build)</t>
        </is>
      </c>
      <c r="AO39" s="8" t="inlineStr">
        <is>
          <t>VERIFIED — TESTED, NOT VERIFIED — you ruled on this row 2026-09-28; the</t>
        </is>
      </c>
    </row>
    <row r="40" ht="60" customHeight="1">
      <c r="A40" s="3" t="inlineStr">
        <is>
          <t>MK-NW-M-034</t>
        </is>
      </c>
      <c r="B40" s="3" t="inlineStr">
        <is>
          <t>Networth</t>
        </is>
      </c>
      <c r="C40" s="3" t="inlineStr">
        <is>
          <t>/holding-detail</t>
        </is>
      </c>
      <c r="D40" s="3" t="inlineStr">
        <is>
          <t>Dividends received (12 mo)</t>
        </is>
      </c>
      <c r="E40" s="3" t="inlineStr">
        <is>
          <t>dividends_received_12_mo</t>
        </is>
      </c>
      <c r="F40" s="3" t="inlineStr">
        <is>
          <t>theHolding</t>
        </is>
      </c>
      <c r="G40" s="3" t="inlineStr">
        <is>
          <t>MK-NW-O-006</t>
        </is>
      </c>
      <c r="H40" s="3" t="inlineStr">
        <is>
          <t>the DIVIDEND records naming this ticker, dated within the last year</t>
        </is>
      </c>
      <c r="I40" s="3" t="inlineStr">
        <is>
          <t>the DIVIDEND records naming this ticker, dated within the last year</t>
        </is>
      </c>
      <c r="J40" s="3" t="inlineStr">
        <is>
          <t>MK-NW-I-004 the activity records</t>
        </is>
      </c>
      <c r="K40" s="3" t="inlineStr">
        <is>
          <t>dollars, whole</t>
        </is>
      </c>
      <c r="L40" s="3" t="inlineStr">
        <is>
          <t>$0, and under it the one line "Nothing entered yet. Add your income ›" (mock approved 2026-09-12). A real zero that was entered shows a plain $0 with no line.</t>
        </is>
      </c>
      <c r="M40" s="3" t="inlineStr">
        <is>
          <t>one holding</t>
        </is>
      </c>
      <c r="N40" s="3" t="inlineStr">
        <is>
          <t>as of today</t>
        </is>
      </c>
      <c r="O40"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40" s="3" t="inlineStr">
        <is>
          <t>Declared by MK-NW-O-006 theHolding</t>
        </is>
      </c>
      <c r="Q40" s="3" t="inlineStr">
        <is>
          <t>A record that names no ticker belongs to no holding — the same rule the account page carries.</t>
        </is>
      </c>
      <c r="R40" s="3" t="inlineStr">
        <is>
          <t>A record that names no ticker belongs to no holding — the same rule the account page carries.</t>
        </is>
      </c>
      <c r="S40" s="3" t="inlineStr"/>
      <c r="T40" s="3" t="inlineStr">
        <is>
          <t>A record that names no ticker belongs to no holding — the same rule the account page carries.</t>
        </is>
      </c>
      <c r="U40" s="3" t="inlineStr"/>
      <c r="V40" s="9" t="inlineStr">
        <is>
          <t>Q35 — Approve the exact label and the canon phrase for the twelve-month window. Proposed: 'Dividends received (trailing twelve months)' here, and 'trailing twelve months' in the other four places (spelled out — no initialism).
Q36 — Dividends on this card: THIS account only, matching 'Realized from sales' beside it? Recommended: yes.</t>
        </is>
      </c>
      <c r="W40" s="9" t="inlineStr"/>
      <c r="X40" s="3" t="inlineStr"/>
      <c r="Y40" s="3" t="inlineStr"/>
      <c r="Z40" s="3" t="inlineStr">
        <is>
          <t>DECLARED IN THE CODE (rule 11) — printed from the door, not typed. RULED 2026-09-28</t>
        </is>
      </c>
      <c r="AA40" s="3" t="inlineStr"/>
      <c r="AB40" s="3" t="inlineStr"/>
      <c r="AC40" s="3" t="inlineStr"/>
      <c r="AD40" s="3" t="inlineStr"/>
      <c r="AE40" s="3" t="inlineStr">
        <is>
          <t>JJ-2 — found 2026-09-08: inline on the screen, summed across every account, 365-day window mislabelled 'this calendar month'. Open.
G32 / Q48 — RULED 2026-09-09: $0 stays, with the sentence '$0 — nothing entered yet.' and this row's door ('Add your income ›'). File written; the screen follows the approved empty-state mock (one pattern, one screen), then every screen.</t>
        </is>
      </c>
      <c r="AF40" s="3" t="inlineStr">
        <is>
          <t>ACTIVE</t>
        </is>
      </c>
      <c r="AG40" s="3" t="inlineStr">
        <is>
          <t>2026-10-04</t>
        </is>
      </c>
      <c r="AH40" s="3" t="inlineStr">
        <is>
          <t>1. [Name on Screen] Screen should say Trailing Twelve Months and not just 12 months.
2. [Formula audit (B24)] Is it calculated directly in the code without any function?</t>
        </is>
      </c>
      <c r="AI40" s="6" t="inlineStr">
        <is>
          <t>1. Agree — and the app says this one idea five ways today: '(12 mo)' on holding detail; 'past 12 months' on account detail; 'over the last 12 months' and '% last 12 mo' on the Retirement cockpit; 'last 12 months + bond coupons' on Income manager. (Look back's '12 months ago' is a different concept — a point in time — and stays.) One-term-per-concept: one phrase everywhere, the losers into the guard in the same commit. VERDICT: copy ruling — synonym cluster #17. FIX (file): D = the ruled label; N = 'the 365 days ending today' (today's cell says 'this calendar month' — wrong). FIX (code): replace the five strings; retire '12 mo' / 'last 12 months' / 'past 12 months'. Exact label to approve: Q35.
2. Yes — calculated inline on the screen: adds the ledger's DIVIDEND rows for this ticker dated within the last 365 days (device clock). Two more things wrong: (1) it sums across EVERY account holding the ticker, while 'Realized from sales' two lines below is filtered to THIS account — a ticker held at two brokers shows both brokers' dividends under one account's holding; (2) the window is 365 days and column N says 'this calendar month'. VERDICT: no function + a cross-account mismatch on the same card (finding JJ-2). FIX (code): lift into a named, tested function filtered by account like the realized line. FIX (file): F/G = the new function (ID to assign); H = 'Σ amount of DIVIDEND rows for this ticker in this account within the 365 days ending today'; J = MK-XS-I-008, MK-XS-I-009; L = 'no dividend rows → $0 — nothing received' (a real zero). Per-account scope to confirm: Q36.</t>
        </is>
      </c>
      <c r="AJ40"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40" s="3" t="inlineStr">
        <is>
          <t>(the claim now stands in 'Inputs it needs' until the row is approved)</t>
        </is>
      </c>
      <c r="AL40" s="3" t="inlineStr"/>
      <c r="AM40" s="3" t="inlineStr">
        <is>
          <t>TESTED, NOT VERIFIED — you ruled on this row 2026-09-28; the figure, its formula, inputs and refusal live in MK-NW-O-006 theHolding</t>
        </is>
      </c>
      <c r="AN40" s="3" t="inlineStr">
        <is>
          <t>140 shares of VTI on 28 Sep 2026, priced at $290: 100 bought at $210 in Mar 2023 and 40 at $265 in Jun 2026. Dividends of $420 and $405 this year; 20 shares bought at $200 were sold at $285.
GIVES: $825
(the test re-runs this through MK-NW-O-006 theHolding on every build)</t>
        </is>
      </c>
      <c r="AO40" s="9" t="inlineStr">
        <is>
          <t>WAITING ON YOU — question Q35, Q36</t>
        </is>
      </c>
    </row>
    <row r="41" ht="60" customHeight="1">
      <c r="A41" s="3" t="inlineStr">
        <is>
          <t>MK-NW-M-035</t>
        </is>
      </c>
      <c r="B41" s="3" t="inlineStr">
        <is>
          <t>Networth</t>
        </is>
      </c>
      <c r="C41" s="3" t="inlineStr">
        <is>
          <t>/holding-detail</t>
        </is>
      </c>
      <c r="D41" s="3" t="inlineStr">
        <is>
          <t>Realized gain from your buys and sells</t>
        </is>
      </c>
      <c r="E41" s="3" t="inlineStr">
        <is>
          <t>realized_gain_from_your_buys_and_sells</t>
        </is>
      </c>
      <c r="F41" s="3" t="inlineStr">
        <is>
          <t>theHolding</t>
        </is>
      </c>
      <c r="G41" s="3" t="inlineStr">
        <is>
          <t>MK-NW-O-006</t>
        </is>
      </c>
      <c r="H41" s="3" t="inlineStr">
        <is>
          <t>for each sale: what it sold for, less what those shares cost</t>
        </is>
      </c>
      <c r="I41" s="3" t="inlineStr">
        <is>
          <t>for each sale: what it sold for, less what those shares cost</t>
        </is>
      </c>
      <c r="J41" s="3" t="inlineStr">
        <is>
          <t>MK-NW-I-004 the activity records</t>
        </is>
      </c>
      <c r="K41" s="3" t="inlineStr">
        <is>
          <t>dollars, whole</t>
        </is>
      </c>
      <c r="L41" s="3" t="inlineStr">
        <is>
          <t>Nothing sold yet.</t>
        </is>
      </c>
      <c r="M41" s="3" t="inlineStr">
        <is>
          <t>one holding</t>
        </is>
      </c>
      <c r="N41" s="3" t="inlineStr">
        <is>
          <t>as of today</t>
        </is>
      </c>
      <c r="O41"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41" s="3" t="inlineStr">
        <is>
          <t>Declared by MK-NW-O-006 theHolding</t>
        </is>
      </c>
      <c r="Q41" s="3" t="inlineStr">
        <is>
          <t>NONE RECORDED — the declaration names none.</t>
        </is>
      </c>
      <c r="R41" s="3" t="inlineStr">
        <is>
          <t>NONE RECORDED — the declaration names none.</t>
        </is>
      </c>
      <c r="S41" s="3" t="inlineStr"/>
      <c r="T41" s="3" t="inlineStr">
        <is>
          <t>NONE RECORDED — the declaration names none.</t>
        </is>
      </c>
      <c r="U41" s="3" t="inlineStr"/>
      <c r="V41" s="9" t="inlineStr">
        <is>
          <t>Q37 — For a connected account: log an 'Opening holding' row per broker lot at first sync (dated the lot's purchase date, at the broker's cost) so every later sale is covered — recommended — or keep 'not counted + say so' for pre-history purchases?</t>
        </is>
      </c>
      <c r="W41" s="9" t="inlineStr"/>
      <c r="X41" s="3" t="inlineStr"/>
      <c r="Y41" s="3" t="inlineStr"/>
      <c r="Z41" s="3" t="inlineStr">
        <is>
          <t>DECLARED IN THE CODE (rule 11) — printed from the door, not typed. RULED 2026-09-28</t>
        </is>
      </c>
      <c r="AA41" s="3" t="inlineStr"/>
      <c r="AB41" s="3" t="inlineStr"/>
      <c r="AC41" s="3" t="inlineStr"/>
      <c r="AD41" s="3" t="inlineStr"/>
      <c r="AE41" s="3" t="inlineStr"/>
      <c r="AF41" s="3" t="inlineStr">
        <is>
          <t>ACTIVE</t>
        </is>
      </c>
      <c r="AG41" s="3" t="inlineStr">
        <is>
          <t>2026-10-04</t>
        </is>
      </c>
      <c r="AH41" s="3" t="inlineStr">
        <is>
          <t>[Formula (mathematical)] The feed from an institution is likely to show quantity held net of sales. So, how do you determine the total quantity before sale?</t>
        </is>
      </c>
      <c r="AI41" s="6" t="inlineStr">
        <is>
          <t>It never uses the feed's holdings. It rebuilds the position from the LEDGER: every buy row for that ticker in that account (BUY, or 'Opening holding') is queued oldest-first; each sale takes shares from the oldest queued buys (first in, first out); basis = those shares × their buy price; gain = shares covered × sale price − basis, to the cent; a second total for sales dated this calendar year. Where the buy rows come from: a connected account's activity history is written into the ledger as BUY/SELL rows with shares and price; a hand-entered holding logs one 'Opening holding' row per lot when it is added. GAP, declared on screen and never guessed: shares bought BEFORE the activity history begins have no buy row, so that sale is not counted and the screen says 'N sales had no recorded purchase, so its gain isn't counted.' Sync does NOT log opening rows for the lots it brings in, although the broker supplies a cost per lot. VERDICT: method sound; one gap worth closing. FIX (file): H/I = the full rule above (today's cell stops at 'oldest first'). FIX (code, if you rule yes in Q37): at first sync log an 'Opening holding' row per broker lot at the broker's cost, so every later sale is covered.</t>
        </is>
      </c>
      <c r="AJ41"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41" s="3" t="inlineStr">
        <is>
          <t>(the claim now stands in 'Inputs it needs' until the row is approved)</t>
        </is>
      </c>
      <c r="AL41" s="3" t="inlineStr"/>
      <c r="AM41" s="3" t="inlineStr">
        <is>
          <t>TESTED, NOT VERIFIED — you ruled on this row 2026-09-28; the figure, its formula, inputs and refusal live in MK-NW-O-006 theHolding</t>
        </is>
      </c>
      <c r="AN41" s="3" t="inlineStr">
        <is>
          <t>140 shares of VTI on 28 Sep 2026, priced at $290: 100 bought at $210 in Mar 2023 and 40 at $265 in Jun 2026. Dividends of $420 and $405 this year; 20 shares bought at $200 were sold at $285.
GIVES: $1,700
(the test re-runs this through MK-NW-O-006 theHolding on every build)</t>
        </is>
      </c>
      <c r="AO41" s="9" t="inlineStr">
        <is>
          <t>WAITING ON YOU — question Q37</t>
        </is>
      </c>
    </row>
    <row r="42" ht="60" customHeight="1">
      <c r="A42" s="3" t="inlineStr">
        <is>
          <t>MK-NW-M-036</t>
        </is>
      </c>
      <c r="B42" s="3" t="inlineStr">
        <is>
          <t>Networth</t>
        </is>
      </c>
      <c r="C42" s="3" t="inlineStr">
        <is>
          <t>/holding-detail</t>
        </is>
      </c>
      <c r="D42" s="3" t="inlineStr">
        <is>
          <t>Gain — long-term (held over 1 yr)</t>
        </is>
      </c>
      <c r="E42" s="3" t="inlineStr">
        <is>
          <t>gain__longterm_held_over_1_yr</t>
        </is>
      </c>
      <c r="F42" s="3" t="inlineStr">
        <is>
          <t>theHolding</t>
        </is>
      </c>
      <c r="G42" s="3" t="inlineStr">
        <is>
          <t>MK-NW-O-006</t>
        </is>
      </c>
      <c r="H42" s="3" t="inlineStr">
        <is>
          <t>per lot: gain = shares × (price − cost per share);  long-term if the lot was held MORE than one year — from the day after the first anniversary of purchase — otherwise short-term;  a lot with no cost recorded is skipped</t>
        </is>
      </c>
      <c r="I42" s="3" t="inlineStr">
        <is>
          <t>Each LOT is judged on its OWN purchase date, not the position's: held MORE than one year — the day after the first anniversary — → long-term, otherwise short-term (a lot bought on 1 January and sold on 1 January the next year is still short-term). Gain per lot = shares × (price − cost per share). A lot with no cost recorded is SKIPPED, not treated as free shares. An unreadable purchase date is treated as SHORT-term, the cautious side.</t>
        </is>
      </c>
      <c r="J42" s="3" t="inlineStr">
        <is>
          <t>MK-NW-I-001 your accounts
MK-NW-I-005 the price feed</t>
        </is>
      </c>
      <c r="K42" s="3" t="inlineStr">
        <is>
          <t>dollars, whole</t>
        </is>
      </c>
      <c r="L42" s="3" t="inlineStr">
        <is>
          <t>No price today — no gain is stated at all.</t>
        </is>
      </c>
      <c r="M42" s="3" t="inlineStr">
        <is>
          <t>one holding</t>
        </is>
      </c>
      <c r="N42" s="3" t="inlineStr">
        <is>
          <t>as of today</t>
        </is>
      </c>
      <c r="O42"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42" s="3" t="inlineStr">
        <is>
          <t>Declared by MK-NW-O-006 theHolding</t>
        </is>
      </c>
      <c r="Q42" s="3" t="inlineStr">
        <is>
          <t>NONE RECORDED — the declaration names none.</t>
        </is>
      </c>
      <c r="R42" s="3" t="inlineStr">
        <is>
          <t>NONE RECORDED — the declaration names none.</t>
        </is>
      </c>
      <c r="S42" s="3" t="inlineStr"/>
      <c r="T42" s="3" t="inlineStr">
        <is>
          <t>NONE RECORDED — the declaration names none.</t>
        </is>
      </c>
      <c r="U42" s="3" t="inlineStr"/>
      <c r="V42" s="9" t="inlineStr">
        <is>
          <t>Q20 — A lot with no recorded purchase price is skipped, so its gain is simply absent. Should the screen SAY so — "gain not counted for N shares, no purchase price on record" — rather than quietly reporting less?</t>
        </is>
      </c>
      <c r="W42" s="9" t="inlineStr"/>
      <c r="X42" s="3" t="inlineStr"/>
      <c r="Y42" s="3" t="inlineStr"/>
      <c r="Z42" s="3" t="inlineStr">
        <is>
          <t>DECLARED IN THE CODE (rule 11) — printed from the door, not typed. RULED 2026-09-28</t>
        </is>
      </c>
      <c r="AA42" s="3" t="inlineStr"/>
      <c r="AB42" s="3" t="inlineStr"/>
      <c r="AC42" s="3" t="inlineStr"/>
      <c r="AD42" s="3" t="inlineStr"/>
      <c r="AE42" s="3" t="inlineStr"/>
      <c r="AF42" s="3" t="inlineStr">
        <is>
          <t>ACTIVE</t>
        </is>
      </c>
      <c r="AG42" s="3" t="inlineStr">
        <is>
          <t>2026-10-04</t>
        </is>
      </c>
      <c r="AH42" s="3" t="inlineStr"/>
      <c r="AI42" s="3" t="inlineStr"/>
      <c r="AJ42"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42" s="3" t="inlineStr">
        <is>
          <t>(the claim now stands in 'Inputs it needs' until the row is approved)</t>
        </is>
      </c>
      <c r="AL42" s="3" t="inlineStr"/>
      <c r="AM42" s="3" t="inlineStr">
        <is>
          <t>TESTED, NOT VERIFIED — you ruled on this row 2026-09-28; the figure, its formula, inputs and refusal live in MK-NW-O-006 theHolding</t>
        </is>
      </c>
      <c r="AN42" s="3" t="inlineStr">
        <is>
          <t>140 shares of VTI on 28 Sep 2026, priced at $290: 100 bought at $210 in Mar 2023 and 40 at $265 in Jun 2026. Dividends of $420 and $405 this year; 20 shares bought at $200 were sold at $285.
GIVES: $8,000
(the test re-runs this through MK-NW-O-006 theHolding on every build)</t>
        </is>
      </c>
      <c r="AO42" s="9" t="inlineStr">
        <is>
          <t>WAITING ON YOU — question Q20 · RULED, NOT CODED (Brief E1)</t>
        </is>
      </c>
    </row>
    <row r="43" ht="60" customHeight="1">
      <c r="A43" s="3" t="inlineStr">
        <is>
          <t>MK-NW-M-037</t>
        </is>
      </c>
      <c r="B43" s="3" t="inlineStr">
        <is>
          <t>Networth</t>
        </is>
      </c>
      <c r="C43" s="3" t="inlineStr">
        <is>
          <t>/holding-detail</t>
        </is>
      </c>
      <c r="D43" s="3" t="inlineStr">
        <is>
          <t>Gain — short-term (under 1 yr)</t>
        </is>
      </c>
      <c r="E43" s="3" t="inlineStr">
        <is>
          <t>gain__shortterm_under_1_yr</t>
        </is>
      </c>
      <c r="F43" s="3" t="inlineStr">
        <is>
          <t>theHolding</t>
        </is>
      </c>
      <c r="G43" s="3" t="inlineStr">
        <is>
          <t>MK-NW-O-006</t>
        </is>
      </c>
      <c r="H43" s="3" t="inlineStr">
        <is>
          <t>per lot: gain = shares × (price − cost per share);  long-term if the lot was held MORE than one year — from the day after the first anniversary of purchase — otherwise short-term;  a lot with no cost recorded is skipped</t>
        </is>
      </c>
      <c r="I43" s="3" t="inlineStr">
        <is>
          <t>Each LOT is judged on its OWN purchase date, not the position's: held MORE than one year — the day after the first anniversary — → long-term, otherwise short-term (a lot bought on 1 January and sold on 1 January the next year is still short-term). Gain per lot = shares × (price − cost per share). A lot with no cost recorded is SKIPPED, not treated as free shares. An unreadable purchase date is treated as SHORT-term, the cautious side.</t>
        </is>
      </c>
      <c r="J43" s="3" t="inlineStr">
        <is>
          <t>MK-NW-I-001 your accounts
MK-NW-I-005 the price feed</t>
        </is>
      </c>
      <c r="K43" s="3" t="inlineStr">
        <is>
          <t>dollars, whole</t>
        </is>
      </c>
      <c r="L43" s="3" t="inlineStr">
        <is>
          <t>No price today — no gain is stated at all.</t>
        </is>
      </c>
      <c r="M43" s="3" t="inlineStr">
        <is>
          <t>one holding</t>
        </is>
      </c>
      <c r="N43" s="3" t="inlineStr">
        <is>
          <t>as of today</t>
        </is>
      </c>
      <c r="O43"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43" s="3" t="inlineStr">
        <is>
          <t>Declared by MK-NW-O-006 theHolding</t>
        </is>
      </c>
      <c r="Q43" s="3" t="inlineStr">
        <is>
          <t>NONE RECORDED — the declaration names none.</t>
        </is>
      </c>
      <c r="R43" s="3" t="inlineStr">
        <is>
          <t>NONE RECORDED — the declaration names none.</t>
        </is>
      </c>
      <c r="S43" s="3" t="inlineStr"/>
      <c r="T43" s="3" t="inlineStr">
        <is>
          <t>NONE RECORDED — the declaration names none.</t>
        </is>
      </c>
      <c r="U43" s="3" t="inlineStr"/>
      <c r="V43" s="3" t="inlineStr"/>
      <c r="W43" s="3" t="inlineStr"/>
      <c r="X43" s="3" t="inlineStr"/>
      <c r="Y43" s="3" t="inlineStr"/>
      <c r="Z43" s="3" t="inlineStr">
        <is>
          <t>DECLARED IN THE CODE (rule 11) — printed from the door, not typed. RULED 2026-09-28</t>
        </is>
      </c>
      <c r="AA43" s="3" t="inlineStr"/>
      <c r="AB43" s="3" t="inlineStr"/>
      <c r="AC43" s="3" t="inlineStr"/>
      <c r="AD43" s="3" t="inlineStr"/>
      <c r="AE43" s="3" t="inlineStr"/>
      <c r="AF43" s="3" t="inlineStr">
        <is>
          <t>ACTIVE</t>
        </is>
      </c>
      <c r="AG43" s="3" t="inlineStr">
        <is>
          <t>2026-10-04</t>
        </is>
      </c>
      <c r="AH43" s="3" t="inlineStr"/>
      <c r="AI43" s="3" t="inlineStr"/>
      <c r="AJ43"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43" s="3" t="inlineStr">
        <is>
          <t>(the claim now stands in 'Inputs it needs' until the row is approved)</t>
        </is>
      </c>
      <c r="AL43" s="3" t="inlineStr"/>
      <c r="AM43" s="3" t="inlineStr">
        <is>
          <t>TESTED, NOT VERIFIED — you ruled on this row 2026-09-28; the figure, its formula, inputs and refusal live in MK-NW-O-006 theHolding</t>
        </is>
      </c>
      <c r="AN43" s="3" t="inlineStr">
        <is>
          <t>140 shares of VTI on 28 Sep 2026, priced at $290: 100 bought at $210 in Mar 2023 and 40 at $265 in Jun 2026. Dividends of $420 and $405 this year; 20 shares bought at $200 were sold at $285.
GIVES: $1,000
(the test re-runs this through MK-NW-O-006 theHolding on every build)</t>
        </is>
      </c>
      <c r="AO43" s="8" t="inlineStr">
        <is>
          <t>VERIFIED — TESTED, NOT VERIFIED — you ruled on this row 2026-09-28; the</t>
        </is>
      </c>
    </row>
    <row r="44" ht="60" customHeight="1">
      <c r="A44" s="3" t="inlineStr">
        <is>
          <t>MK-NW-M-038</t>
        </is>
      </c>
      <c r="B44" s="3" t="inlineStr">
        <is>
          <t>Networth</t>
        </is>
      </c>
      <c r="C44" s="3" t="inlineStr">
        <is>
          <t>/itemize</t>
        </is>
      </c>
      <c r="D44" s="3" t="inlineStr">
        <is>
          <t>We keep the total at $X</t>
        </is>
      </c>
      <c r="E44" s="3" t="inlineStr">
        <is>
          <t>we_keep_the_total_at_x</t>
        </is>
      </c>
      <c r="F44" s="3" t="inlineStr">
        <is>
          <t>theAccount</t>
        </is>
      </c>
      <c r="G44" s="3" t="inlineStr">
        <is>
          <t>MK-NW-O-002</t>
        </is>
      </c>
      <c r="H44" s="3" t="inlineStr">
        <is>
          <t>the lump account’s balance, unchanged by itemising</t>
        </is>
      </c>
      <c r="I44" s="3" t="inlineStr">
        <is>
          <t>the lump account’s balance, unchanged by itemising</t>
        </is>
      </c>
      <c r="J44" s="3" t="inlineStr">
        <is>
          <t>MK-NW-I-001 your accounts</t>
        </is>
      </c>
      <c r="K44" s="3" t="inlineStr">
        <is>
          <t>dollars, whole</t>
        </is>
      </c>
      <c r="L44" s="3" t="inlineStr">
        <is>
          <t>Nothing to itemise.</t>
        </is>
      </c>
      <c r="M44" s="3" t="inlineStr">
        <is>
          <t>one account</t>
        </is>
      </c>
      <c r="N44" s="3" t="inlineStr">
        <is>
          <t>as of today</t>
        </is>
      </c>
      <c r="O44"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44" s="3" t="inlineStr">
        <is>
          <t>Declared by MK-NW-O-002 theAccount</t>
        </is>
      </c>
      <c r="Q44" s="3" t="inlineStr">
        <is>
          <t>Itemising describes what is inside an account; it never changes what the account is worth.</t>
        </is>
      </c>
      <c r="R44" s="3" t="inlineStr">
        <is>
          <t>Itemising describes what is inside an account; it never changes what the account is worth.</t>
        </is>
      </c>
      <c r="S44" s="3" t="inlineStr"/>
      <c r="T44" s="3" t="inlineStr">
        <is>
          <t>Itemising describes what is inside an account; it never changes what the account is worth.</t>
        </is>
      </c>
      <c r="U44" s="3" t="inlineStr"/>
      <c r="V44" s="3" t="inlineStr"/>
      <c r="W44" s="3" t="inlineStr"/>
      <c r="X44" s="3" t="inlineStr"/>
      <c r="Y44" s="3" t="inlineStr"/>
      <c r="Z44" s="3" t="inlineStr">
        <is>
          <t>DECLARED IN THE CODE (rule 11) — printed from the door, not typed. RULED 2026-09-27</t>
        </is>
      </c>
      <c r="AA44" s="3" t="inlineStr"/>
      <c r="AB44" s="3" t="inlineStr"/>
      <c r="AC44" s="3" t="inlineStr"/>
      <c r="AD44" s="3" t="inlineStr"/>
      <c r="AE44" s="3" t="inlineStr"/>
      <c r="AF44" s="3" t="inlineStr">
        <is>
          <t>ACTIVE</t>
        </is>
      </c>
      <c r="AG44" s="3" t="inlineStr">
        <is>
          <t>2026-10-04</t>
        </is>
      </c>
      <c r="AH44" s="3" t="inlineStr"/>
      <c r="AI44" s="3" t="inlineStr"/>
      <c r="AJ44"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44" s="3" t="inlineStr">
        <is>
          <t>(the claim now stands in 'Inputs it needs' until the row is approved)</t>
        </is>
      </c>
      <c r="AL44" s="3" t="inlineStr"/>
      <c r="AM44" s="3" t="inlineStr">
        <is>
          <t>TESTED, NOT VERIFIED — you ruled on this row 2026-09-27; the figure, its formula, inputs and refusal live in MK-NW-O-002 theAccount</t>
        </is>
      </c>
      <c r="AN44" s="3" t="inlineStr">
        <is>
          <t>A linked Fidelity brokerage worth $46,600: $6,000 in cash and 140 shares of VTI marked at $290 ($40,600). Its records: dividends of $420 and $405, a buy of 20 shares at $200, a sell of 20 at $285.
GIVES: $46,600
(the test re-runs this through MK-NW-O-002 theAccount on every build)</t>
        </is>
      </c>
      <c r="AO44" s="7" t="inlineStr">
        <is>
          <t>RULED, NOT CODED (Q-NW-2 — one question, one function)</t>
        </is>
      </c>
    </row>
    <row r="45" ht="60" customHeight="1">
      <c r="A45" s="3" t="inlineStr">
        <is>
          <t>MK-NW-M-039</t>
        </is>
      </c>
      <c r="B45" s="3" t="inlineStr">
        <is>
          <t>Networth</t>
        </is>
      </c>
      <c r="C45" s="3" t="inlineStr">
        <is>
          <t>/itemize</t>
        </is>
      </c>
      <c r="D45" s="3" t="inlineStr">
        <is>
          <t>$X of $Y itemized · remainder</t>
        </is>
      </c>
      <c r="E45" s="3" t="inlineStr">
        <is>
          <t>x_of_y_itemized__remainder</t>
        </is>
      </c>
      <c r="F45" s="3" t="inlineStr">
        <is>
          <t>theAccount</t>
        </is>
      </c>
      <c r="G45" s="3" t="inlineStr">
        <is>
          <t>MK-NW-O-002</t>
        </is>
      </c>
      <c r="H45" s="3" t="inlineStr">
        <is>
          <t>the sum of the items entered; the remainder is the balance minus that sum</t>
        </is>
      </c>
      <c r="I45" s="3" t="inlineStr">
        <is>
          <t>the sum of the items entered; the remainder is the balance minus that sum</t>
        </is>
      </c>
      <c r="J45" s="3" t="inlineStr">
        <is>
          <t>MK-NW-I-001 your accounts</t>
        </is>
      </c>
      <c r="K45" s="3" t="inlineStr">
        <is>
          <t>dollars, whole</t>
        </is>
      </c>
      <c r="L45" s="3" t="inlineStr">
        <is>
          <t>Nothing entered yet — it reads $0 of the balance.</t>
        </is>
      </c>
      <c r="M45" s="3" t="inlineStr">
        <is>
          <t>one account</t>
        </is>
      </c>
      <c r="N45" s="3" t="inlineStr">
        <is>
          <t>as of today</t>
        </is>
      </c>
      <c r="O45"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45" s="3" t="inlineStr">
        <is>
          <t>Declared by MK-NW-O-002 theAccount</t>
        </is>
      </c>
      <c r="Q45" s="3" t="inlineStr">
        <is>
          <t>NONE RECORDED — the declaration names none.</t>
        </is>
      </c>
      <c r="R45" s="3" t="inlineStr">
        <is>
          <t>NONE RECORDED — the declaration names none.</t>
        </is>
      </c>
      <c r="S45" s="3" t="inlineStr"/>
      <c r="T45" s="3" t="inlineStr">
        <is>
          <t>NONE RECORDED — the declaration names none.</t>
        </is>
      </c>
      <c r="U45" s="3" t="inlineStr"/>
      <c r="V45" s="3" t="inlineStr"/>
      <c r="W45" s="3" t="inlineStr"/>
      <c r="X45" s="3" t="inlineStr"/>
      <c r="Y45" s="3" t="inlineStr"/>
      <c r="Z45" s="3" t="inlineStr">
        <is>
          <t>DECLARED IN THE CODE (rule 11) — printed from the door, not typed. RULED 2026-09-27</t>
        </is>
      </c>
      <c r="AA45" s="3" t="inlineStr"/>
      <c r="AB45" s="3" t="inlineStr"/>
      <c r="AC45" s="3" t="inlineStr"/>
      <c r="AD45" s="3" t="inlineStr"/>
      <c r="AE45" s="3" t="inlineStr"/>
      <c r="AF45" s="3" t="inlineStr">
        <is>
          <t>ACTIVE</t>
        </is>
      </c>
      <c r="AG45" s="3" t="inlineStr">
        <is>
          <t>2026-10-04</t>
        </is>
      </c>
      <c r="AH45" s="3" t="inlineStr"/>
      <c r="AI45" s="3" t="inlineStr"/>
      <c r="AJ45"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45" s="3" t="inlineStr">
        <is>
          <t>(the claim now stands in 'Inputs it needs' until the row is approved)</t>
        </is>
      </c>
      <c r="AL45" s="3" t="inlineStr"/>
      <c r="AM45" s="3" t="inlineStr">
        <is>
          <t>TESTED, NOT VERIFIED — you ruled on this row 2026-09-27; the figure, its formula, inputs and refusal live in MK-NW-O-002 theAccount</t>
        </is>
      </c>
      <c r="AN45" s="3" t="inlineStr">
        <is>
          <t>A linked Fidelity brokerage worth $46,600: $6,000 in cash and 140 shares of VTI marked at $290 ($40,600). Its records: dividends of $420 and $405, a buy of 20 shares at $200, a sell of 20 at $285.
GIVES: $40,600
(the test re-runs this through MK-NW-O-002 theAccount on every build)</t>
        </is>
      </c>
      <c r="AO45" s="7" t="inlineStr">
        <is>
          <t>RULED, NOT CODED (Q-NW-2 — one question, one function)</t>
        </is>
      </c>
    </row>
    <row r="46" ht="60" customHeight="1">
      <c r="A46" s="3" t="inlineStr">
        <is>
          <t>MK-NW-M-040</t>
        </is>
      </c>
      <c r="B46" s="3" t="inlineStr">
        <is>
          <t>Networth</t>
        </is>
      </c>
      <c r="C46" s="3" t="inlineStr">
        <is>
          <t>/itemize</t>
        </is>
      </c>
      <c r="D46" s="3" t="inlineStr">
        <is>
          <t>each holding and its value</t>
        </is>
      </c>
      <c r="E46" s="3" t="inlineStr">
        <is>
          <t>each_holding_and_its_value</t>
        </is>
      </c>
      <c r="F46" s="3" t="inlineStr">
        <is>
          <t>theAccount</t>
        </is>
      </c>
      <c r="G46" s="3" t="inlineStr">
        <is>
          <t>MK-NW-O-002</t>
        </is>
      </c>
      <c r="H46" s="3" t="inlineStr">
        <is>
          <t>the value of each thing inside the account, listed under the class it belongs to</t>
        </is>
      </c>
      <c r="I46" s="3" t="inlineStr">
        <is>
          <t>the value of each thing inside the account, listed under the class it belongs to</t>
        </is>
      </c>
      <c r="J46" s="3" t="inlineStr">
        <is>
          <t>MK-NW-I-001 your accounts
MK-XS-I-004 holding quantity (shares)
MK-XS-I-005 holding price</t>
        </is>
      </c>
      <c r="K46" s="3" t="inlineStr">
        <is>
          <t>dollars, whole</t>
        </is>
      </c>
      <c r="L46" s="3" t="inlineStr">
        <is>
          <t>Nothing entered yet.</t>
        </is>
      </c>
      <c r="M46" s="3" t="inlineStr">
        <is>
          <t>one holding</t>
        </is>
      </c>
      <c r="N46" s="3" t="inlineStr">
        <is>
          <t>as of today</t>
        </is>
      </c>
      <c r="O46"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46" s="3" t="inlineStr">
        <is>
          <t>Declared by MK-NW-O-002 theAccount</t>
        </is>
      </c>
      <c r="Q46" s="3" t="inlineStr">
        <is>
          <t>A CLASS HOLDING NOTHING IS NOT LISTED — a $0 line reads as "we checked and it is empty", which is a different claim from "there is none".
Uninvested money in the account is one of the lines, under the words he ruled on 2026-08-11: cash in this account.</t>
        </is>
      </c>
      <c r="R46" s="3" t="inlineStr">
        <is>
          <t>A CLASS HOLDING NOTHING IS NOT LISTED — a $0 line reads as "we checked and it is empty", which is a different claim from "there is none".
Uninvested money in the account is one of the lines, under the words he ruled on 2026-08-11: cash in this account.</t>
        </is>
      </c>
      <c r="S46" s="3" t="inlineStr"/>
      <c r="T46" s="3" t="inlineStr">
        <is>
          <t>A CLASS HOLDING NOTHING IS NOT LISTED — a $0 line reads as "we checked and it is empty", which is a different claim from "there is none".
Uninvested money in the account is one of the lines, under the words he ruled on 2026-08-11: cash in this account.</t>
        </is>
      </c>
      <c r="U46" s="3" t="inlineStr">
        <is>
          <t>THE LAST NET WORTH FIGURE WITHOUT A WORKED EXAMPLE, given one 2026-09-30. Its two lines add to the account’s own total — $6,000 of cash plus $40,600 of fund is the $46,600 the header shows — which is what makes the itemising checkable rather than asserted.</t>
        </is>
      </c>
      <c r="V46" s="3" t="inlineStr"/>
      <c r="W46" s="3" t="inlineStr"/>
      <c r="X46" s="3" t="inlineStr"/>
      <c r="Y46" s="3" t="inlineStr"/>
      <c r="Z46" s="3" t="inlineStr">
        <is>
          <t>DECLARED IN THE CODE (rule 11) — printed from the door, not typed. RULED 2026-09-27</t>
        </is>
      </c>
      <c r="AA46" s="3" t="inlineStr"/>
      <c r="AB46" s="3" t="inlineStr"/>
      <c r="AC46" s="3" t="inlineStr"/>
      <c r="AD46" s="3" t="inlineStr"/>
      <c r="AE46" s="3" t="inlineStr"/>
      <c r="AF46" s="3" t="inlineStr">
        <is>
          <t>ACTIVE</t>
        </is>
      </c>
      <c r="AG46" s="3" t="inlineStr">
        <is>
          <t>2026-10-04</t>
        </is>
      </c>
      <c r="AH46" s="3" t="inlineStr"/>
      <c r="AI46" s="3" t="inlineStr"/>
      <c r="AJ46"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46" s="3" t="inlineStr">
        <is>
          <t>(the claim now stands in 'Inputs it needs' until the row is approved)</t>
        </is>
      </c>
      <c r="AL46" s="3" t="inlineStr"/>
      <c r="AM46" s="3" t="inlineStr">
        <is>
          <t>TESTED, NOT VERIFIED — you ruled on this row 2026-09-27; the figure, its formula, inputs and refusal live in MK-NW-O-002 theAccount</t>
        </is>
      </c>
      <c r="AN46" s="3" t="inlineStr">
        <is>
          <t>A linked Fidelity brokerage worth $46,600: $6,000 in cash and 140 shares of VTI marked at $290 ($40,600). Its records: dividends of $420 and $405, a buy of 20 shares at $200, a sell of 20 at $285.
GIVES: $40,600
(the test re-runs this through MK-NW-O-002 theAccount on every build)</t>
        </is>
      </c>
      <c r="AO46" s="7" t="inlineStr">
        <is>
          <t>RULED, NOT CODED (Q-NW-2 — one question, one function)</t>
        </is>
      </c>
    </row>
    <row r="47" ht="60" customHeight="1">
      <c r="A47" s="3" t="inlineStr">
        <is>
          <t>MK-NW-M-041</t>
        </is>
      </c>
      <c r="B47" s="3" t="inlineStr">
        <is>
          <t>Networth</t>
        </is>
      </c>
      <c r="C47" s="3" t="inlineStr">
        <is>
          <t>/bonds</t>
        </is>
      </c>
      <c r="D47" s="3" t="inlineStr">
        <is>
          <t>total value of your bonds</t>
        </is>
      </c>
      <c r="E47" s="3" t="inlineStr">
        <is>
          <t>total_value_of_your_bonds</t>
        </is>
      </c>
      <c r="F47" s="3" t="inlineStr">
        <is>
          <t>theBonds</t>
        </is>
      </c>
      <c r="G47" s="3" t="inlineStr">
        <is>
          <t>MK-NW-O-001</t>
        </is>
      </c>
      <c r="H47" s="3" t="inlineStr">
        <is>
          <t>the sum of each bond account’s balance</t>
        </is>
      </c>
      <c r="I47" s="3" t="inlineStr">
        <is>
          <t>the sum of each bond account’s balance</t>
        </is>
      </c>
      <c r="J47" s="3" t="inlineStr">
        <is>
          <t>MK-NW-I-001 your accounts</t>
        </is>
      </c>
      <c r="K47" s="3" t="inlineStr">
        <is>
          <t>dollars, whole</t>
        </is>
      </c>
      <c r="L47" s="3" t="inlineStr">
        <is>
          <t>$0, and under it the one line "Nothing entered yet. Add a bond ›" (mock approved 2026-09-12). A real zero that was entered shows a plain $0 with no line.</t>
        </is>
      </c>
      <c r="M47" s="3" t="inlineStr">
        <is>
          <t>one figure per household</t>
        </is>
      </c>
      <c r="N47" s="3" t="inlineStr">
        <is>
          <t>as of today</t>
        </is>
      </c>
      <c r="O47"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47" s="3" t="inlineStr">
        <is>
          <t>Declared by MK-NW-O-001 theBonds</t>
        </is>
      </c>
      <c r="Q47" s="3" t="inlineStr">
        <is>
          <t>NONE RECORDED — the declaration names none.</t>
        </is>
      </c>
      <c r="R47" s="3" t="inlineStr">
        <is>
          <t>NONE RECORDED — the declaration names none.</t>
        </is>
      </c>
      <c r="S47" s="3" t="inlineStr"/>
      <c r="T47" s="3" t="inlineStr">
        <is>
          <t>NONE RECORDED — the declaration names none.</t>
        </is>
      </c>
      <c r="U47" s="3" t="inlineStr"/>
      <c r="V47" s="9" t="inlineStr">
        <is>
          <t>Q03 — Certificates of deposit: under Fixed Income, or their own class? They carry a term, a rate and an early-withdrawal penalty that a bond does not.
Q38 — Your bond display rule, three specifics before the mock: (1) 'quantity' for a bond = the number of bonds (each of face $1,000), or the total face amount? (2) 'earned interest' = the INTEREST rows recorded in the ledger for this bond — the only source we have — yes? (3) 'current price' = price per $100 of face as brokers quote it, or the dollar value of the position? Then I mock the bond card and screen before any code.</t>
        </is>
      </c>
      <c r="W47" s="9" t="inlineStr"/>
      <c r="X47" s="3" t="inlineStr"/>
      <c r="Y47" s="3" t="inlineStr"/>
      <c r="Z47" s="3" t="inlineStr">
        <is>
          <t>DECLARED IN THE CODE (rule 11) — printed from the door, not typed. RULED 2026-09-27</t>
        </is>
      </c>
      <c r="AA47" s="3" t="inlineStr"/>
      <c r="AB47" s="3" t="inlineStr"/>
      <c r="AC47" s="3" t="inlineStr"/>
      <c r="AD47" s="3" t="inlineStr"/>
      <c r="AE47" s="3" t="inlineStr">
        <is>
          <t>Bond display rule — RULED 2026-08-26 (nine facts; value current → cost → face; else 'need more information'), NOT YET BUILT: five of the nine facts have no field and no identifier. Mock first; three specifics in brief Q-38 (2026-08-20).
G32 / Q48 — RULED 2026-09-09: $0 stays, with the sentence '$0 — nothing entered yet.' and this row's door ('Add a bond ›'). File written; the screen follows the approved empty-state mock (one pattern, one screen), then every screen.</t>
        </is>
      </c>
      <c r="AF47" s="3" t="inlineStr">
        <is>
          <t>ACTIVE</t>
        </is>
      </c>
      <c r="AG47" s="3" t="inlineStr">
        <is>
          <t>2026-10-04</t>
        </is>
      </c>
      <c r="AH47" s="3" t="inlineStr">
        <is>
          <t>1. [Name of Underlying Metric] Is totalValue = sum of (current value of each bond) or sum of (total value of each bond)
2. [Formula (in words)] why is function computing yield, when coupon rate should be direct input from institution, file or user?
3.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t>
        </is>
      </c>
      <c r="AI47" s="6" t="inlineStr">
        <is>
          <t>1. Sum of each bond's VALUE field — the account balance, i.e. the current value you entered for that bond (or the broker's balance for a connected one). Not face, not cost. Missing value → 0 (one of the three 'counts as zero' lines in column Q). A bond has no 'cost' field today, so your fallback rule (current → cost → face) cannot run yet — see the Q42 comment on this row. VERDICT: answered; the cell holds a variable name, not an answer. FIX (file): E = 'the current value entered for each bond, added up'; F/G → MK-NW-F-061 (bondSummary) — the real producer; today's cell names bondInfo. FIX (code): none until the bond design change.
2. The coupon RATE is an input — MK-XS-I-012 (bond coupon rate), typed or from the download; nothing computes it. What the code computes is the YIELD, which depends on what the bond is worth today: current yield = annual coupon ÷ current value (MK-NW-F-059); yield to maturity ≈ (coupon + (face − value) ÷ years left) ÷ ((face + value) ÷ 2) (MK-NW-F-060). This row's words are wrong: the row is a sum of values and its words column carries bondInfo's note about yields, copied from the wrong function. VERDICT: code right; file words wrong. FIX (file): I = 'Adds up the current value of every bond you hold.' FIX (code): none.
3. This is a design change, not a fix — your ruling is recorded here. What a bond record holds today: face value (MK-XS-I-011), coupon rate (MK-XS-I-012), maturity date (MK-XS-I-013), current value (the balance — MK-XS-I-001 / MK-XS-I-049), issuer = the institution field, tax bucket. NOT held anywhere, no identifiers yet: quantity (number of bonds), cost paid, current price per bond, accrued interest, earned interest. Missing data today → counted as zero (face, coupon, value) — the three lines in column Q. The Bonds screen shows per bond: name, value, face, coupon %, matures (years) or (matured), $/yr coupon, yield, yield to maturity. VERDICT: ruling received; needs a mock first (standing order 2026-07-19) and five new fields with identifiers assigned per the identifier standard. FIX (file, after the mock is approved): M-041/M-042/M-045 rewritten; five new input rows; column Q loses the 'counts as zero' lines and gains the refusal rule. FIX (code): five fields on the bond record + editor + import mapping; value rule current → cost → face; refusal 'Need more information'. Three specifics to settle first: brief Q-38 (2026-08-20).</t>
        </is>
      </c>
      <c r="AJ47"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7" s="3" t="inlineStr">
        <is>
          <t>(the claim now stands in 'Inputs it needs' until the row is approved)</t>
        </is>
      </c>
      <c r="AL47" s="3" t="inlineStr"/>
      <c r="AM47" s="3" t="inlineStr">
        <is>
          <t>TESTED, NOT VERIFIED — you ruled on this row 2026-09-27; the figure, its formula, inputs and refusal live in MK-NW-O-001 theBonds</t>
        </is>
      </c>
      <c r="AN47" s="3" t="inlineStr">
        <is>
          <t>Two bonds on 28 Sep 2026: a $25,000-face Treasury paying 4.5%, maturing 30 Sep 2029, worth $24,200 today; and a $10,000 Ally CD paying 5.05%, maturing 15 Mar 2027, worth its $10,000.
GIVES: $34,200
(the test re-runs this through MK-NW-O-001 theBonds on every build)</t>
        </is>
      </c>
      <c r="AO47" s="9" t="inlineStr">
        <is>
          <t>WAITING ON YOU — question Q03, Q38 · WAITING ON YOU — answer to read · RULED, NOT CODED (Bond display rule, Q-NW-4 — one question, one function)</t>
        </is>
      </c>
    </row>
    <row r="48" ht="60" customHeight="1">
      <c r="A48" s="3" t="inlineStr">
        <is>
          <t>MK-NW-M-042</t>
        </is>
      </c>
      <c r="B48" s="3" t="inlineStr">
        <is>
          <t>Networth</t>
        </is>
      </c>
      <c r="C48" s="3" t="inlineStr">
        <is>
          <t>/bonds</t>
        </is>
      </c>
      <c r="D48" s="3" t="inlineStr">
        <is>
          <t>n bonds · face $X</t>
        </is>
      </c>
      <c r="E48" s="3" t="inlineStr">
        <is>
          <t>n_bonds__face_x</t>
        </is>
      </c>
      <c r="F48" s="3" t="inlineStr">
        <is>
          <t>theBonds</t>
        </is>
      </c>
      <c r="G48" s="3" t="inlineStr">
        <is>
          <t>MK-NW-O-001</t>
        </is>
      </c>
      <c r="H48" s="3" t="inlineStr">
        <is>
          <t>count of bond accounts, and the sum of their face values</t>
        </is>
      </c>
      <c r="I48" s="3" t="inlineStr">
        <is>
          <t>count of bond accounts, and the sum of their face values</t>
        </is>
      </c>
      <c r="J48" s="3" t="inlineStr">
        <is>
          <t>MK-NW-I-001 your accounts</t>
        </is>
      </c>
      <c r="K48" s="3" t="inlineStr">
        <is>
          <t>a sentence</t>
        </is>
      </c>
      <c r="L48" s="3" t="inlineStr">
        <is>
          <t>$0, and under it the one line "Nothing entered yet. Add a bond ›" (mock approved 2026-09-12). A real zero that was entered shows a plain $0 with no line.</t>
        </is>
      </c>
      <c r="M48" s="3" t="inlineStr">
        <is>
          <t>one figure per household</t>
        </is>
      </c>
      <c r="N48" s="3" t="inlineStr">
        <is>
          <t>as of today</t>
        </is>
      </c>
      <c r="O48"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48" s="3" t="inlineStr">
        <is>
          <t>Declared by MK-NW-O-001 theBonds</t>
        </is>
      </c>
      <c r="Q48" s="3" t="inlineStr">
        <is>
          <t>NONE RECORDED — the declaration names none.</t>
        </is>
      </c>
      <c r="R48" s="3" t="inlineStr">
        <is>
          <t>NONE RECORDED — the declaration names none.</t>
        </is>
      </c>
      <c r="S48" s="3" t="inlineStr"/>
      <c r="T48" s="3" t="inlineStr">
        <is>
          <t>NONE RECORDED — the declaration names none.</t>
        </is>
      </c>
      <c r="U48" s="3" t="inlineStr"/>
      <c r="V48" s="3" t="inlineStr"/>
      <c r="W48" s="3" t="inlineStr"/>
      <c r="X48" s="3" t="inlineStr"/>
      <c r="Y48" s="3" t="inlineStr"/>
      <c r="Z48" s="3" t="inlineStr">
        <is>
          <t>DECLARED IN THE CODE (rule 11) — printed from the door, not typed. RULED 2026-09-27</t>
        </is>
      </c>
      <c r="AA48" s="3" t="inlineStr"/>
      <c r="AB48" s="3" t="inlineStr"/>
      <c r="AC48" s="3" t="inlineStr"/>
      <c r="AD48" s="3" t="inlineStr"/>
      <c r="AE48" s="3" t="inlineStr">
        <is>
          <t>G32 / Q48 — RULED 2026-09-09: $0 stays, with the sentence '$0 — nothing entered yet.' and this row's door ('Add a bond ›'). File written; the screen follows the approved empty-state mock (one pattern, one screen), then every screen.</t>
        </is>
      </c>
      <c r="AF48" s="3" t="inlineStr">
        <is>
          <t>ACTIVE</t>
        </is>
      </c>
      <c r="AG48" s="3" t="inlineStr">
        <is>
          <t>2026-10-04</t>
        </is>
      </c>
      <c r="AH48" s="3" t="inlineStr">
        <is>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Input should be MK-XS-I-011 bond face value and not MK-XS-I-004</t>
        </is>
      </c>
      <c r="AI48" s="6" t="inlineStr">
        <is>
          <t>1. Same ruling as on MK-NW-M-041 — see that row for the full answer and brief Q-38 (2026-08-20).
2. Agree. The figure is the face values added up → reads MK-XS-I-011 (bond face value). MK-XS-I-004 is 'holding quantity (shares)' — wrong for a bond. The 'n' is a count of bond records — not an input; the row should say so. The producer is MK-NW-F-061 (bondSummary: count + totalFace), not bondInfo. VERDICT: comment right — file defect. FIX (file): J = '1. face value of each bond → face [MK-XS-I-011] · 2. the number of bond records — a count, not an input'; F/G → MK-NW-F-061. FIX (code): none.</t>
        </is>
      </c>
      <c r="AJ48"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8" s="3" t="inlineStr">
        <is>
          <t>(the claim now stands in 'Inputs it needs' until the row is approved)</t>
        </is>
      </c>
      <c r="AL48" s="3" t="inlineStr"/>
      <c r="AM48" s="3" t="inlineStr">
        <is>
          <t>TESTED, NOT VERIFIED — you ruled on this row 2026-09-27; the figure, its formula, inputs and refusal live in MK-NW-O-001 theBonds</t>
        </is>
      </c>
      <c r="AN48" s="3" t="inlineStr">
        <is>
          <t>Two bonds on 28 Sep 2026: a $25,000-face Treasury paying 4.5%, maturing 30 Sep 2029, worth $24,200 today; and a $10,000 Ally CD paying 5.05%, maturing 15 Mar 2027, worth its $10,000.
GIVES: 2 bonds · face $35,000
(the test re-runs this through MK-NW-O-001 theBonds on every build)</t>
        </is>
      </c>
      <c r="AO48" s="6" t="inlineStr">
        <is>
          <t>WAITING ON YOU — answer to read · RULED, NOT CODED (Bond display rule, Q-NW-4 — one question, one function)</t>
        </is>
      </c>
    </row>
    <row r="49" ht="60" customHeight="1">
      <c r="A49" s="3" t="inlineStr">
        <is>
          <t>MK-NW-M-043</t>
        </is>
      </c>
      <c r="B49" s="3" t="inlineStr">
        <is>
          <t>Networth</t>
        </is>
      </c>
      <c r="C49" s="3" t="inlineStr">
        <is>
          <t>/bonds</t>
        </is>
      </c>
      <c r="D49" s="3" t="inlineStr">
        <is>
          <t>COUPON</t>
        </is>
      </c>
      <c r="E49" s="3" t="inlineStr">
        <is>
          <t>coupon</t>
        </is>
      </c>
      <c r="F49" s="3" t="inlineStr">
        <is>
          <t>theBonds</t>
        </is>
      </c>
      <c r="G49" s="3" t="inlineStr">
        <is>
          <t>MK-NW-O-001</t>
        </is>
      </c>
      <c r="H49" s="3" t="inlineStr">
        <is>
          <t>for each bond: face value × coupon rate; then added up</t>
        </is>
      </c>
      <c r="I49" s="3" t="inlineStr">
        <is>
          <t>for each bond: face value × coupon rate; then added up</t>
        </is>
      </c>
      <c r="J49" s="3" t="inlineStr">
        <is>
          <t>MK-NW-I-001 your accounts</t>
        </is>
      </c>
      <c r="K49" s="3" t="inlineStr">
        <is>
          <t>dollars, whole a year</t>
        </is>
      </c>
      <c r="L49" s="3" t="inlineStr">
        <is>
          <t>Nothing entered yet.</t>
        </is>
      </c>
      <c r="M49" s="3" t="inlineStr">
        <is>
          <t>one figure per household</t>
        </is>
      </c>
      <c r="N49" s="3" t="inlineStr">
        <is>
          <t>a year</t>
        </is>
      </c>
      <c r="O49"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49" s="3" t="inlineStr">
        <is>
          <t>Declared by MK-NW-O-001 theBonds</t>
        </is>
      </c>
      <c r="Q49" s="3" t="inlineStr">
        <is>
          <t>NONE RECORDED — the declaration names none.</t>
        </is>
      </c>
      <c r="R49" s="3" t="inlineStr">
        <is>
          <t>NONE RECORDED — the declaration names none.</t>
        </is>
      </c>
      <c r="S49" s="3" t="inlineStr"/>
      <c r="T49" s="3" t="inlineStr">
        <is>
          <t>NONE RECORDED — the declaration names none.</t>
        </is>
      </c>
      <c r="U49" s="3" t="inlineStr"/>
      <c r="V49" s="9" t="inlineStr">
        <is>
          <t>Q39 — On a matured bond: show '$0/yr · matured' on the coupon line (recommended), or hide the line?
Q40 — Approve the one label for face × coupon rate (replaces 'COUPON / YR', '$X/yr coupon', 'Interest payments'). Your wording: 'Calculated annual interest'. Alternative in the pay-card pattern ('Base salary (take-home)'): 'Annual interest (calculated)'. Which?</t>
        </is>
      </c>
      <c r="W49" s="9" t="inlineStr">
        <is>
          <t>A15 - What the function is currently used as? Function to round off to 2 decimal? If yes, fix it. Column H and M on the functions tab are saying two different things none of which is making sense.
A46:If coupon rate is not available use 0.
(typed 2026-08-26)</t>
        </is>
      </c>
      <c r="X49" s="3" t="inlineStr"/>
      <c r="Y49" s="3" t="inlineStr"/>
      <c r="Z49" s="3" t="inlineStr">
        <is>
          <t>DECLARED IN THE CODE (rule 11) — printed from the door, not typed. RULED 2026-09-27</t>
        </is>
      </c>
      <c r="AA49" s="3" t="inlineStr"/>
      <c r="AB49" s="3" t="inlineStr"/>
      <c r="AC49" s="3" t="inlineStr"/>
      <c r="AD49" s="3" t="inlineStr"/>
      <c r="AE49" s="3" t="inlineStr">
        <is>
          <t>JJ-3 — WRONG NUMBER ON SCREEN, found 2026-09-08: a matured bond still earns its coupon in MK-NW-F-057 / F-061 / F-063. Open.
A46 — RULED 2026-08-26 (coupon rate missing → 0), NOT YET IN CODE: still 4.2% in MK-NW-F-063 and the paycheck income lines (JJ-4). Open.
C4 / A15 — CLOSED 2026-09-08: MK-ST-F-055 (round2) now reads 'Rounds the answer to two decimals (cents)' on every chain that reaches it — the extractor recognises the rounding idiom; the false 'whole number' and '×100' lines are gone; the function is reclassified 3 · DEPENDENT.</t>
        </is>
      </c>
      <c r="AF49" s="3" t="inlineStr">
        <is>
          <t>ACTIVE</t>
        </is>
      </c>
      <c r="AG49" s="3" t="inlineStr">
        <is>
          <t>2026-10-04</t>
        </is>
      </c>
      <c r="AH49" s="3" t="inlineStr">
        <is>
          <t>1. [Formula (mathematical)] Should also account for maturity as if bond has matured app should not be calculating coupon
2. [Inputs it needs] maturity date should also be input
3. [Assumptions made anywhere in that chain] does MK-ST-F-055 round to 2 decimal digits or found to whole number? Two contradicting statements?
4. [Same figure as (S16)] Since the formula is to calculate annual interest it should be labelled as "Calculated Annual interest" and not interest payments or coupon/yr. This does not tell that this is the interest received YTD or anything.</t>
        </is>
      </c>
      <c r="AI49" s="6" t="inlineStr">
        <is>
          <t>1. Today it does not. Annual coupon (MK-NW-F-057) = face × rate with no look at the maturity date, and everything built on it inherits that: the Bonds screen total COUPON / YR (MK-NW-F-061), each bond's '$X/yr coupon' line — even beside the word '(matured)' — the account-detail 'Interest payments' row (MK-NW-M-024), and interest income for the future paycheck (MK-NW-F-063). Example: a matured $10,000 bond at 5% still adds $500/yr to coupon income and to investment income. VERDICT: WRONG NUMBER ON SCREEN for any matured bond (finding JJ-3). FIX (code): annualCoupon takes the maturity date and today; returns 0 once matured; summary and income functions inherit; tests: day before / day of / day after maturity. FIX (file): MK-NW-F-057 formula = 'face × coupon rate while today is before the maturity date; 0 once matured'; J on M-043 / M-024 / M-045 adds MK-XS-I-013; same on MK-NW-F-061 and MK-NW-F-063. Display on a matured bond to rule: Q39.
2. Agree — it becomes an input with JJ-3: MK-XS-I-013 (bond maturity date), already on the inputs tab. FIX (file): J adds MK-XS-I-013.
3. Two decimals (cents): MK-ST-F-055 round2 is round(n × 100) ÷ 100 — the '× 100' is the rounding scale, not a percentage or an option contract. Both lines in the file are false — my finding A15 (Reference tab) and the reviewers' C4/G23/G24/G35: the header generator cannot read that idiom, and the false pair is carried onto every chain that reaches round2 (40-plus rows). Your typed A15 answer ('if it rounds to 2 decimals, fix it') — confirmed: the fix is the file/generator; the code is right. FIX (file): generator fix + re-extract — the two lines become one, 'Rounds to two decimals (cents)', wherever MK-ST-F-055 appears. FIX (code): none.
4. Agree: one figure, three labels today — 'COUPON / YR' (Bonds screen summary), '$X/yr coupon' (each bond line), 'Interest payments — 4.50%/yr · $450/yr' (account detail, MK-NW-M-024). The figure is what the bond PROMISES per year (face × rate), not what was received; 'calculated' is already the canon word for an app-computed figure. VERDICT: copy ruling — one label for one figure. FIX (file): D on M-024 and M-043 = the ruled label. FIX (code): replace the three strings; retire 'COUPON / YR' and 'Interest payments' in the guard. Exact label to approve: Q40.
YOUR TYPED ANSWERS (A15, A46), checked: A15 — see item 3 above (two decimals; fix the file/generator). A46 — STILL 4.2% in two places: MK-NW-F-063 (interestIncomeAnnual: a bond fund with no rate earns balance × 4.2% or its target return) and the account-income lines for the paycheck (same 4.2%, flagged 'assumed'). Fix (code): fallback 0 + the line text 'no rate recorded'; test: bond fund with no rate → $0 interest, shown as such. Fix (file): MK-NW-F-063 and the income-line function: assumption = 'coupon rate missing → 0'; A46 closes. Two OTHER 4.2%/4% figures are a different concept (expected return, not coupon) and are not covered unless you say so: Q44.</t>
        </is>
      </c>
      <c r="AJ49"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9" s="3" t="inlineStr">
        <is>
          <t>(the claim now stands in 'Inputs it needs' until the row is approved)</t>
        </is>
      </c>
      <c r="AL49" s="3" t="inlineStr"/>
      <c r="AM49" s="3" t="inlineStr">
        <is>
          <t>TESTED, NOT VERIFIED — you ruled on this row 2026-09-27; the figure, its formula, inputs and refusal live in MK-NW-O-001 theBonds</t>
        </is>
      </c>
      <c r="AN49" s="3" t="inlineStr">
        <is>
          <t>Two bonds on 28 Sep 2026: a $25,000-face Treasury paying 4.5%, maturing 30 Sep 2029, worth $24,200 today; and a $10,000 Ally CD paying 5.05%, maturing 15 Mar 2027, worth its $10,000.
GIVES: $1,630/year
(the test re-runs this through MK-NW-O-001 theBonds on every build)</t>
        </is>
      </c>
      <c r="AO49" s="9" t="inlineStr">
        <is>
          <t>WAITING ON YOU — question Q39, Q40 · WAITING ON YOU — answer to read · RULED, NOT CODED (Q-NW-4 — one question, one function)</t>
        </is>
      </c>
    </row>
    <row r="50" ht="60" customHeight="1">
      <c r="A50" s="3" t="inlineStr">
        <is>
          <t>MK-NW-M-044</t>
        </is>
      </c>
      <c r="B50" s="3" t="inlineStr">
        <is>
          <t>Networth</t>
        </is>
      </c>
      <c r="C50" s="3" t="inlineStr">
        <is>
          <t>/bonds</t>
        </is>
      </c>
      <c r="D50" s="3" t="inlineStr">
        <is>
          <t>AVG YIELD</t>
        </is>
      </c>
      <c r="E50" s="3" t="inlineStr">
        <is>
          <t>avg_yield</t>
        </is>
      </c>
      <c r="F50" s="3" t="inlineStr">
        <is>
          <t>theBonds</t>
        </is>
      </c>
      <c r="G50" s="3" t="inlineStr">
        <is>
          <t>MK-NW-O-001</t>
        </is>
      </c>
      <c r="H50" s="3" t="inlineStr">
        <is>
          <t>the coupon each pays ÷ what each is worth today, weighted by value</t>
        </is>
      </c>
      <c r="I50" s="3" t="inlineStr">
        <is>
          <t>the coupon each pays ÷ what each is worth today, weighted by value</t>
        </is>
      </c>
      <c r="J50" s="3" t="inlineStr">
        <is>
          <t>MK-NW-I-001 your accounts</t>
        </is>
      </c>
      <c r="K50" s="3" t="inlineStr">
        <is>
          <t>a percentage, two decimals</t>
        </is>
      </c>
      <c r="L50" s="3" t="inlineStr">
        <is>
          <t>A bond with no price today is left out rather than counted at zero.</t>
        </is>
      </c>
      <c r="M50" s="3" t="inlineStr">
        <is>
          <t>one figure per household</t>
        </is>
      </c>
      <c r="N50" s="3" t="inlineStr">
        <is>
          <t>as of today</t>
        </is>
      </c>
      <c r="O50"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50" s="3" t="inlineStr">
        <is>
          <t>Declared by MK-NW-O-001 theBonds</t>
        </is>
      </c>
      <c r="Q50" s="3" t="inlineStr">
        <is>
          <t>NONE RECORDED — the declaration names none.</t>
        </is>
      </c>
      <c r="R50" s="3" t="inlineStr">
        <is>
          <t>NONE RECORDED — the declaration names none.</t>
        </is>
      </c>
      <c r="S50" s="3" t="inlineStr"/>
      <c r="T50" s="3" t="inlineStr">
        <is>
          <t>NONE RECORDED — the declaration names none.</t>
        </is>
      </c>
      <c r="U50" s="3" t="inlineStr"/>
      <c r="V50" s="9" t="inlineStr">
        <is>
          <t>Q45 — Approve the caveat when accrued interest is not recorded: 'Yield uses the value you entered. If that value includes accrued interest, the true yield is slightly higher.'</t>
        </is>
      </c>
      <c r="W50" s="9" t="inlineStr">
        <is>
          <t>A47: If accrued interest information is available formula should be updated to subtract accrued interest, and if accrued interest in not available it should state on the screen (might be over stated if accrued interest in included in current bond value).
(typed 2026-08-26)</t>
        </is>
      </c>
      <c r="X50" s="3" t="inlineStr"/>
      <c r="Y50" s="3" t="inlineStr"/>
      <c r="Z50" s="3" t="inlineStr">
        <is>
          <t>DECLARED IN THE CODE (rule 11) — printed from the door, not typed. RULED 2026-09-27</t>
        </is>
      </c>
      <c r="AA50" s="3" t="inlineStr"/>
      <c r="AB50" s="3" t="inlineStr"/>
      <c r="AC50" s="3" t="inlineStr"/>
      <c r="AD50" s="3" t="inlineStr"/>
      <c r="AE50" s="3" t="inlineStr">
        <is>
          <t>A47 — RULED 2026-08-26 (subtract accrued interest when recorded; caveat when not), NOT YET IN CODE: no accrued-interest field exists. Open, sequenced after the bond fields (brief Q-38 (2026-08-20)).</t>
        </is>
      </c>
      <c r="AF50" s="3" t="inlineStr">
        <is>
          <t>ACTIVE</t>
        </is>
      </c>
      <c r="AG50" s="3" t="inlineStr">
        <is>
          <t>2026-10-04</t>
        </is>
      </c>
      <c r="AH50" s="3" t="inlineStr">
        <is>
          <t>[What comes out — unit and rounding] yield should always be two decimal digits</t>
        </is>
      </c>
      <c r="AI50" s="6" t="inlineStr">
        <is>
          <t>The Bonds screen already shows two decimals for AVG YIELD, each bond's 'yield' and 'Yield to maturity'. Account detail shows ONE decimal for 'Yield if held to maturity' (MK-NW-M-026) and 'Yield on today's value' (MK-NW-M-027). This cell ('one decimal shown [derived by rule — confirm]') is wrong for the Bonds screen. Coverage: 5 places — 3 already two decimals, 2 to fix. VERDICT: ruling received; 2 of 5 places still wrong. FIX (code): account detail's two yield rows to two decimals + a display test. FIX (file): K on M-044, M-045, M-026, M-027 = 'Percent · two decimals shown'. No further ruling — executes on your go.
YOUR TYPED ANSWER (A47), checked: no accrued-interest field exists (see the bond ruling on MK-NW-M-041), so nothing can be subtracted yet and no caveat is shown. One correction on direction: current yield = coupon ÷ value; a value that INCLUDES accrued interest is larger, so the yield reads slightly LOW (understated), not high — the fix is the same either way. Fix (code, after the bond fields exist): MK-NW-F-059 subtracts accrued interest when recorded; caveat when absent. Fix (file): MK-NW-F-059 formula = 'coupon ÷ (value − accrued interest when recorded)'; L = the caveat; A47 closes. Caveat wording to approve: Q45.</t>
        </is>
      </c>
      <c r="AJ50"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0" s="3" t="inlineStr">
        <is>
          <t>(the claim now stands in 'Inputs it needs' until the row is approved)</t>
        </is>
      </c>
      <c r="AL50" s="3" t="inlineStr"/>
      <c r="AM50" s="3" t="inlineStr">
        <is>
          <t>TESTED, NOT VERIFIED — you ruled on this row 2026-09-27; the figure, its formula, inputs and refusal live in MK-NW-O-001 theBonds</t>
        </is>
      </c>
      <c r="AN50" s="3" t="inlineStr">
        <is>
          <t>Two bonds on 28 Sep 2026: a $25,000-face Treasury paying 4.5%, maturing 30 Sep 2029, worth $24,200 today; and a $10,000 Ally CD paying 5.05%, maturing 15 Mar 2027, worth its $10,000.
GIVES: 4.77%
(the test re-runs this through MK-NW-O-001 theBonds on every build)</t>
        </is>
      </c>
      <c r="AO50" s="9" t="inlineStr">
        <is>
          <t>WAITING ON YOU — question Q45 · WAITING ON YOU — answer to read · RULED, NOT CODED (Q-NW-4 — one question, one function)</t>
        </is>
      </c>
    </row>
    <row r="51" ht="60" customHeight="1">
      <c r="A51" s="3" t="inlineStr">
        <is>
          <t>MK-NW-M-045</t>
        </is>
      </c>
      <c r="B51" s="3" t="inlineStr">
        <is>
          <t>Networth</t>
        </is>
      </c>
      <c r="C51" s="3" t="inlineStr">
        <is>
          <t>/bonds</t>
        </is>
      </c>
      <c r="D51" s="3" t="inlineStr">
        <is>
          <t>each bond — face, coupon, yield</t>
        </is>
      </c>
      <c r="E51" s="3" t="inlineStr">
        <is>
          <t>each_bond__face_coupon_yield</t>
        </is>
      </c>
      <c r="F51" s="3" t="inlineStr">
        <is>
          <t>theBonds</t>
        </is>
      </c>
      <c r="G51" s="3" t="inlineStr">
        <is>
          <t>MK-NW-O-001</t>
        </is>
      </c>
      <c r="H51" s="3" t="inlineStr">
        <is>
          <t>face value · coupon rate · coupon ÷ today’s value</t>
        </is>
      </c>
      <c r="I51" s="3" t="inlineStr">
        <is>
          <t>face value · coupon rate · coupon ÷ today’s value</t>
        </is>
      </c>
      <c r="J51" s="3" t="inlineStr">
        <is>
          <t>MK-NW-I-001 your accounts</t>
        </is>
      </c>
      <c r="K51" s="3" t="inlineStr">
        <is>
          <t>a sentence</t>
        </is>
      </c>
      <c r="L51" s="3" t="inlineStr">
        <is>
          <t>A bond fund has no face value or maturity, so it shows none.</t>
        </is>
      </c>
      <c r="M51" s="3" t="inlineStr">
        <is>
          <t>one bond</t>
        </is>
      </c>
      <c r="N51" s="3" t="inlineStr">
        <is>
          <t>as of today</t>
        </is>
      </c>
      <c r="O51"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51" s="3" t="inlineStr">
        <is>
          <t>Declared by MK-NW-O-001 theBonds</t>
        </is>
      </c>
      <c r="Q51" s="3" t="inlineStr">
        <is>
          <t>NONE RECORDED — the declaration names none.</t>
        </is>
      </c>
      <c r="R51" s="3" t="inlineStr">
        <is>
          <t>NONE RECORDED — the declaration names none.</t>
        </is>
      </c>
      <c r="S51" s="3" t="inlineStr"/>
      <c r="T51" s="3" t="inlineStr">
        <is>
          <t>NONE RECORDED — the declaration names none.</t>
        </is>
      </c>
      <c r="U51" s="3" t="inlineStr"/>
      <c r="V51" s="9" t="inlineStr">
        <is>
          <t>Q02 — How should a bond be NAMED on screen? Draft: "US Treasury 4.25% Nov 2029", with the identifying number shown as a detail rather than the headline. Approve or rewrite.
Q41 — One date format for maturity everywhere: 'Jan 15, 2030' (recommended) or '2030-01-15'? And NEXT MATURITY on the summary: full date, or year only as today?</t>
        </is>
      </c>
      <c r="W51" s="9" t="inlineStr">
        <is>
          <t>A46:If coupon rate is not available use 0.
(typed 2026-08-26)</t>
        </is>
      </c>
      <c r="X51" s="3" t="inlineStr"/>
      <c r="Y51" s="3" t="inlineStr"/>
      <c r="Z51" s="3" t="inlineStr">
        <is>
          <t>DECLARED IN THE CODE (rule 11) — printed from the door, not typed. RULED 2026-09-27</t>
        </is>
      </c>
      <c r="AA51" s="3" t="inlineStr"/>
      <c r="AB51" s="3" t="inlineStr"/>
      <c r="AC51" s="3" t="inlineStr"/>
      <c r="AD51" s="3" t="inlineStr"/>
      <c r="AE51" s="3" t="inlineStr">
        <is>
          <t>A46 — RULED 2026-08-26, NOT YET IN CODE (JJ-4). Open.</t>
        </is>
      </c>
      <c r="AF51" s="3" t="inlineStr">
        <is>
          <t>ACTIVE</t>
        </is>
      </c>
      <c r="AG51" s="3" t="inlineStr">
        <is>
          <t>2026-10-04</t>
        </is>
      </c>
      <c r="AH51" s="3" t="inlineStr">
        <is>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screen should display maturity date as well</t>
        </is>
      </c>
      <c r="AI51" s="6" t="inlineStr">
        <is>
          <t>1. Same ruling as on MK-NW-M-041 — see that row for the full answer and brief Q-38 (2026-08-20).
2. It already does, in two formats: Bonds screen line 'matures Jan 15, 2030 (3.4y)'; account detail 'Matures 2030-01-15 (4 years away)'; the summary cell NEXT MATURITY shows only the year. Two date formats for one fact is a one-term breach. This row's J omits MK-XS-I-013. VERDICT: displayed; format inconsistent; input list incomplete. FIX (file): J adds MK-XS-I-013 (bond maturity date); D lists 'maturity' among the facts shown. FIX (code): one date format on both screens and the summary cell. Format to rule: brief Q-41 (2026-08-20).
YOUR TYPED ANSWER (A46) — same as on MK-NW-M-043: still 4.2% in MK-NW-F-063 and the income lines; fix and Q44 recorded there.</t>
        </is>
      </c>
      <c r="AJ51"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1" s="3" t="inlineStr">
        <is>
          <t>(the claim now stands in 'Inputs it needs' until the row is approved)</t>
        </is>
      </c>
      <c r="AL51" s="3" t="inlineStr"/>
      <c r="AM51" s="3" t="inlineStr">
        <is>
          <t>TESTED, NOT VERIFIED — you ruled on this row 2026-09-27; the figure, its formula, inputs and refusal live in MK-NW-O-001 theBonds</t>
        </is>
      </c>
      <c r="AN51" s="3" t="inlineStr">
        <is>
          <t>Two bonds on 28 Sep 2026: a $25,000-face Treasury paying 4.5%, maturing 30 Sep 2029, worth $24,200 today; and a $10,000 Ally CD paying 5.05%, maturing 15 Mar 2027, worth its $10,000.
GIVES: Ally 12-month CD — face $10,000, $505/year, 5.05%
(the test re-runs this through MK-NW-O-001 theBonds on every build)</t>
        </is>
      </c>
      <c r="AO51" s="9" t="inlineStr">
        <is>
          <t>WAITING ON YOU — question Q02, Q41 · WAITING ON YOU — answer to read · RULED, NOT CODED (Bond display rule, Q-NW-4 — one question, one function)</t>
        </is>
      </c>
    </row>
    <row r="52" ht="60" customHeight="1">
      <c r="A52" s="3" t="inlineStr">
        <is>
          <t>MK-NW-M-046</t>
        </is>
      </c>
      <c r="B52" s="3" t="inlineStr">
        <is>
          <t>Networth</t>
        </is>
      </c>
      <c r="C52" s="3" t="inlineStr">
        <is>
          <t>/analytics</t>
        </is>
      </c>
      <c r="D52" s="3" t="inlineStr">
        <is>
          <t>at your planned spend</t>
        </is>
      </c>
      <c r="E52" s="3" t="inlineStr">
        <is>
          <t>at_your_planned_spend</t>
        </is>
      </c>
      <c r="F52" s="3" t="inlineStr">
        <is>
          <t>theEmergencyFund</t>
        </is>
      </c>
      <c r="G52" s="3" t="inlineStr">
        <is>
          <t>MK-NW-O-004</t>
        </is>
      </c>
      <c r="H52" s="3" t="inlineStr">
        <is>
          <t>your cash ÷ (everything you budget for a month + the debt payments you cannot stop)</t>
        </is>
      </c>
      <c r="I52" s="3" t="inlineStr">
        <is>
          <t>your cash ÷ (everything you budget for a month + the debt payments you cannot stop)</t>
        </is>
      </c>
      <c r="J52" s="3" t="inlineStr">
        <is>
          <t>MK-NW-I-001 your accounts
MK-NW-I-002 your debts
MK-CF-I-001 your logged expenses</t>
        </is>
      </c>
      <c r="K52" s="3" t="inlineStr">
        <is>
          <t>a number of months</t>
        </is>
      </c>
      <c r="L52" s="3" t="inlineStr">
        <is>
          <t>No expense figure yet — it shows nothing rather than dividing by nothing.</t>
        </is>
      </c>
      <c r="M52" s="3" t="inlineStr">
        <is>
          <t>the household</t>
        </is>
      </c>
      <c r="N52" s="3" t="inlineStr">
        <is>
          <t>as of today</t>
        </is>
      </c>
      <c r="O52" s="3" t="inlineStr">
        <is>
          <t>1. MK-CF-F-155 (cash) → number
2. MK-NW-F-016 (cashTotal) → number
3. MK-CF-F-010 (emergencyTest) → ShockResult
4. MK-CF-F-190 (essentialsMonthly) → EssentialsMonthly | null
5. MK-CF-F-009 (monthlyEssentials) → number
6. MK-CF-F-002 (plannedMonthlySpend) → number
7. MK-CF-F-023 (requiredPayment) → number</t>
        </is>
      </c>
      <c r="P52" s="3" t="inlineStr">
        <is>
          <t>Declared by MK-NW-O-004 theEmergencyFund</t>
        </is>
      </c>
      <c r="Q52" s="3" t="inlineStr">
        <is>
          <t>FOUNDER 2026-09-28: "give both numbers." The figure above it is what you could not stop paying; this one is the life you plan to live. Neither is the whole truth alone, so the screen shows both.</t>
        </is>
      </c>
      <c r="R52" s="3" t="inlineStr">
        <is>
          <t>FOUNDER 2026-09-28: "give both numbers." The figure above it is what you could not stop paying; this one is the life you plan to live. Neither is the whole truth alone, so the screen shows both.</t>
        </is>
      </c>
      <c r="S52" s="3" t="inlineStr"/>
      <c r="T52" s="3" t="inlineStr">
        <is>
          <t>FOUNDER 2026-09-28: "give both numbers." The figure above it is what you could not stop paying; this one is the life you plan to live. Neither is the whole truth alone, so the screen shows both.</t>
        </is>
      </c>
      <c r="U52" s="3" t="inlineStr"/>
      <c r="V52" s="3" t="inlineStr"/>
      <c r="W52" s="3" t="inlineStr"/>
      <c r="X52" s="3" t="inlineStr"/>
      <c r="Y52" s="3" t="inlineStr"/>
      <c r="Z52" s="3" t="inlineStr">
        <is>
          <t>DECLARED IN THE CODE (rule 11) — printed from the door, not typed. RULED 2026-09-28</t>
        </is>
      </c>
      <c r="AA52" s="3" t="inlineStr"/>
      <c r="AB52" s="3" t="inlineStr"/>
      <c r="AC52" s="3" t="inlineStr"/>
      <c r="AD52" s="3" t="inlineStr"/>
      <c r="AE52" s="3" t="inlineStr"/>
      <c r="AF52" s="3" t="inlineStr">
        <is>
          <t>ACTIVE</t>
        </is>
      </c>
      <c r="AG52" s="3" t="inlineStr">
        <is>
          <t>2026-10-04</t>
        </is>
      </c>
      <c r="AH52" s="3" t="inlineStr"/>
      <c r="AI52" s="3" t="inlineStr"/>
      <c r="AJ52" s="3" t="inlineStr">
        <is>
          <t>1. MK-XS-I-001 account balance — read by MK-NW-F-016, MK-NW-F-027, MK-NW-F-056, MK-NW-F-078, MK-NW-O-001, MK-NW-O-004, MK
2. MK-XS-I-002 account type (taxable, pre-tax, Roth) — read by MK-NW-F-011, MK-NW-O-001, MK-NW-O-004
3. MK-XS-I-003 institution name — read by MK-NW-F-071, MK-NW-F-072, MK-NW-O-001
4. MK-XS-I-004 holding quantity (shares) — read by MK-CF-F-062, MK-NW-F-027, MK-ST-F-027
5. MK-XS-I-005 holding price — read by MK-NW-F-027, MK-ST-F-027
6. MK-XS-I-007 purchase price and date (per lot) — read by MK-ST-F-027
7. MK-XS-I-010 transaction words (the institution's own wording) — read by MK-NW-F-027
8. MK-XS-I-011 bond face value — read by MK-NW-F-056, MK-NW-F-057, MK-NW-F-060, MK-NW-F-061, MK-NW-F-064, MK-NW-F-069, MK
9. MK-XS-I-012 bond coupon rate — read by MK-NW-F-056, MK-NW-F-057, MK-NW-F-064, MK-NW-F-071, MK-NW-F-072, MK-NW-F-078, MK
10. MK-XS-I-013 bond maturity date — read by MK-NW-F-011, MK-NW-F-056, MK-NW-F-058, MK-NW-F-060, MK-NW-F-061, MK-NW-F-069, MK
11. MK-XS-I-014 debt balance — read by MK-CF-F-157, MK-CF-O-010, MK-NW-O-004
12. MK-XS-I-015 debt interest rate — read by MK-CF-F-157, MK-CF-O-010, MK-NW-O-004
13. MK-XS-I-016 debt minimum payment — read by MK-CF-F-023, MK-CF-F-157, MK-CF-O-010, MK-NW-O-004
14. MK-XS-I-017 birth year — read by MK-CF-F-089
15. MK-XS-I-020 Social Security monthly amount — read by MK-CF-F-072, MK-CF-F-075
16. MK-XS-I-022 pension monthly amount — read by MK-CF-F-072, MK-CF-F-075
17. MK-XS-I-023 salary and other income — read by MK-CF-F-074, MK-CF-F-082, MK-CF-F-084, MK-CF-F-088, MK-CF-F-092, MK-CF-F-165, MK
18. MK-XS-I-024 logged expenses — read by MK-CF-F-005, MK-CF-F-067, MK-CF-F-068, MK-CF-F-150, MK-CF-F-151, MK-CF-F-153, MK
19. MK-XS-I-025 typical monthly essentials — read by MK-CF-F-009, MK-CF-F-010, MK-NW-O-004
20. MK-XS-I-027 goals (target, saved, date) — read by MK-PL-F-012
21. MK-XS-I-028 assumed return — read by MK-NW-O-001, MK-NW-O-004
22. MK-XS-I-030 tax filing status and age — read by MK-CF-F-085, MK-CF-F-089, MK-CF-F-099, MK-CF-F-100, MK-CF-F-101, MK-CF-F-187
23. MK-XS-I-031 daily and monthly snapshots — read by MK-ST-F-036
24. MK-XS-I-032 expenses categories the person set up — read by MK-CF-F-004, MK-CF-F-008, MK-CF-F-009, MK-NW-O-004
25. MK-XS-I-034 option positions — contracts, strike, expiry, put or call — read by MK-CF-F-062, MK-NW-F-027
26. MK-XS-I-035 annuity income — read by MK-CF-F-072, MK-CF-F-075
27. MK-XS-I-036 other guaranteed income — read by MK-CF-F-072, MK-CF-F-075
28. MK-XS-I-037 required-withdrawal income stream (ri_rmd) — read by MK-CF-F-075
29. MK-XS-I-038 withdrawal income stream (ri_withdrawals) — read by MK-CF-F-075
30. MK-XS-I-039 how often each income arrives — read by MK-CF-F-071, MK-CF-F-072, MK-CF-F-074, MK-CF-F-075, MK-CF-F-130
31. MK-XS-I-040 whether a stream is already being received — read by MK-CF-F-072
32. MK-XS-I-041 the payment the person chose to make on a debt — read by MK-CF-F-023
33. MK-XS-I-042 how a stream is paid — monthly, yearly or one lump — read by MK-CF-F-021, MK-CF-F-022, MK-CF-F-023, MK-CF-F-149, MK-CF-F-150, MK-CF-F-152, MK
34. MK-XS-I-043 their own retirement contribution — read by MK-CF-F-092, MK-CF-F-181, MK-CF-F-206
35. MK-XS-I-048 the person’s own asset-class answer — read by MK-NW-F-011, MK-NW-F-027, MK-NW-O-004, MK-ST-F-027
36. MK-XS-I-049 bond price — what the bond is worth today — read by MK-NW-F-056, MK-NW-F-057, MK-NW-F-059, MK-NW-F-060, MK-NW-F-061, MK-NW-F-064, MK
37. MK-XS-I-052 the day of the month a debt payment is due — read by MK-CF-F-005
38. MK-XS-I-055 the wrapper an account sits in — ISA, 401(k), IRA and the rest — read by MK-CF-F-005, MK-CF-F-075, MK-CF-F-156, MK-NW-F-011, MK-NW-O-001, MK-NW-O-004
39. MK-XS-I-059 the month a bonus lands — read by MK-CF-F-088, MK-CF-F-092
40. MK-XS-I-060 how a person is paid — weekly, fortnightly, monthly — read by MK-CF-F-130
41. MK-XS-I-064 the unit beside a quantity — shares, coins, contracts, ounces or units — read by MK-CF-F-003, MK-CF-F-008, MK-CF-F-009,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2" s="3" t="inlineStr">
        <is>
          <t>(the claim now stands in 'Inputs it needs' until the row is approved)</t>
        </is>
      </c>
      <c r="AL52" s="3" t="inlineStr"/>
      <c r="AM52" s="3" t="inlineStr">
        <is>
          <t>TESTED, NOT VERIFIED — you ruled on this row 2026-09-28; the figure, its formula, inputs and refusal live in MK-NW-O-004 theEmergencyFund</t>
        </is>
      </c>
      <c r="AN52"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4.7 months
(the test re-runs this through MK-NW-O-004 theEmergencyFund on every build)</t>
        </is>
      </c>
      <c r="AO52" s="3" t="inlineStr">
        <is>
          <t>NOTHING OPEN</t>
        </is>
      </c>
    </row>
    <row r="53" ht="60" customHeight="1">
      <c r="A53" s="3" t="inlineStr">
        <is>
          <t>MK-NW-M-047</t>
        </is>
      </c>
      <c r="B53" s="3" t="inlineStr">
        <is>
          <t>Networth</t>
        </is>
      </c>
      <c r="C53" s="3" t="inlineStr">
        <is>
          <t>/analytics · /insights</t>
        </is>
      </c>
      <c r="D53" s="3" t="inlineStr">
        <is>
          <t>Both include $X/month of debt payments you cannot stop</t>
        </is>
      </c>
      <c r="E53" s="3" t="inlineStr">
        <is>
          <t>both_include_xmonth_of_debt_payments_you</t>
        </is>
      </c>
      <c r="F53" s="3" t="inlineStr">
        <is>
          <t>theEmergencyFund</t>
        </is>
      </c>
      <c r="G53" s="3" t="inlineStr">
        <is>
          <t>MK-NW-O-004</t>
        </is>
      </c>
      <c r="H53" s="3" t="inlineStr">
        <is>
          <t>the required payment on every debt — except a mortgage, when a Rent / Mortgage budget already carries it</t>
        </is>
      </c>
      <c r="I53" s="3" t="inlineStr">
        <is>
          <t>the required payment on every debt — except a mortgage, when a Rent / Mortgage budget already carries it</t>
        </is>
      </c>
      <c r="J53" s="3" t="inlineStr">
        <is>
          <t>MK-NW-I-002 your debts</t>
        </is>
      </c>
      <c r="K53" s="3" t="inlineStr">
        <is>
          <t>dollars, whole a month</t>
        </is>
      </c>
      <c r="L53" s="3" t="inlineStr">
        <is>
          <t>No debts entered — the line does not appear at all.</t>
        </is>
      </c>
      <c r="M53" s="3" t="inlineStr">
        <is>
          <t>one figure per household</t>
        </is>
      </c>
      <c r="N53" s="3" t="inlineStr">
        <is>
          <t>a month</t>
        </is>
      </c>
      <c r="O53" s="3" t="inlineStr">
        <is>
          <t>1. MK-CF-F-155 (cash) → number
2. MK-NW-F-016 (cashTotal) → number
3. MK-CF-F-010 (emergencyTest) → ShockResult
4. MK-CF-F-190 (essentialsMonthly) → EssentialsMonthly | null
5. MK-CF-F-009 (monthlyEssentials) → number
6. MK-CF-F-002 (plannedMonthlySpend) → number
7. MK-CF-F-023 (requiredPayment) → number</t>
        </is>
      </c>
      <c r="P53" s="3" t="inlineStr">
        <is>
          <t>Declared by MK-NW-O-004 theEmergencyFund</t>
        </is>
      </c>
      <c r="Q53" s="3" t="inlineStr">
        <is>
          <t>FOUNDER 2026-09-28: "What about credit card debt, HELOC, car loan?" They were in NEITHER figure. You can skip dinner out; you cannot skip a car payment.
A mortgage is never counted twice: where the Rent / Mortgage budget carries it, its minimum is left out.</t>
        </is>
      </c>
      <c r="R53" s="3" t="inlineStr">
        <is>
          <t>FOUNDER 2026-09-28: "What about credit card debt, HELOC, car loan?" They were in NEITHER figure. You can skip dinner out; you cannot skip a car payment.
A mortgage is never counted twice: where the Rent / Mortgage budget carries it, its minimum is left out.</t>
        </is>
      </c>
      <c r="S53" s="3" t="inlineStr"/>
      <c r="T53" s="3" t="inlineStr">
        <is>
          <t>FOUNDER 2026-09-28: "What about credit card debt, HELOC, car loan?" They were in NEITHER figure. You can skip dinner out; you cannot skip a car payment.
A mortgage is never counted twice: where the Rent / Mortgage budget carries it, its minimum is left out.</t>
        </is>
      </c>
      <c r="U53" s="3" t="inlineStr">
        <is>
          <t>WHEN THE TWO MORTGAGE FIGURES DISAGREE (founder, 2026-09-28: "when budget is $2,300 rent / mortgage, why is debt $2,400/month for mortgage?"). A mortgage can be entered twice — as the Rent / Mortgage budget line and as a Mortgage debt — and this figure leaves the mortgage out so the home is not counted twice. That means the door takes the BUDGET figure and ignores the debt's own minimum, so someone who budgets $2,300 for a mortgage that costs $2,400 is read $100/month light on both runways. Counting both would overstate the whole payment, which is far worse, so the choice stands — but the app does not yet TELL them the two disagree. WAITING ON YOU: should the screen say so, and which figure should win?</t>
        </is>
      </c>
      <c r="V53" s="3" t="inlineStr"/>
      <c r="W53" s="3" t="inlineStr"/>
      <c r="X53" s="3" t="inlineStr"/>
      <c r="Y53" s="3" t="inlineStr"/>
      <c r="Z53" s="3" t="inlineStr">
        <is>
          <t>DECLARED IN THE CODE (rule 11) — printed from the door, not typed. RULED 2026-09-28</t>
        </is>
      </c>
      <c r="AA53" s="3" t="inlineStr"/>
      <c r="AB53" s="3" t="inlineStr"/>
      <c r="AC53" s="3" t="inlineStr"/>
      <c r="AD53" s="3" t="inlineStr"/>
      <c r="AE53" s="3" t="inlineStr"/>
      <c r="AF53" s="3" t="inlineStr">
        <is>
          <t>ACTIVE</t>
        </is>
      </c>
      <c r="AG53" s="3" t="inlineStr">
        <is>
          <t>2026-10-04</t>
        </is>
      </c>
      <c r="AH53" s="3" t="inlineStr"/>
      <c r="AI53" s="3" t="inlineStr"/>
      <c r="AJ53" s="3" t="inlineStr">
        <is>
          <t>1. MK-XS-I-001 account balance — read by MK-NW-F-016, MK-NW-F-027, MK-NW-F-056, MK-NW-F-078, MK-NW-O-001, MK-NW-O-004, MK
2. MK-XS-I-002 account type (taxable, pre-tax, Roth) — read by MK-NW-F-011, MK-NW-O-001, MK-NW-O-004
3. MK-XS-I-003 institution name — read by MK-NW-F-071, MK-NW-F-072, MK-NW-O-001
4. MK-XS-I-004 holding quantity (shares) — read by MK-CF-F-062, MK-NW-F-027, MK-ST-F-027
5. MK-XS-I-005 holding price — read by MK-NW-F-027, MK-ST-F-027
6. MK-XS-I-007 purchase price and date (per lot) — read by MK-ST-F-027
7. MK-XS-I-010 transaction words (the institution's own wording) — read by MK-NW-F-027
8. MK-XS-I-011 bond face value — read by MK-NW-F-056, MK-NW-F-057, MK-NW-F-060, MK-NW-F-061, MK-NW-F-064, MK-NW-F-069, MK
9. MK-XS-I-012 bond coupon rate — read by MK-NW-F-056, MK-NW-F-057, MK-NW-F-064, MK-NW-F-071, MK-NW-F-072, MK-NW-F-078, MK
10. MK-XS-I-013 bond maturity date — read by MK-NW-F-011, MK-NW-F-056, MK-NW-F-058, MK-NW-F-060, MK-NW-F-061, MK-NW-F-069, MK
11. MK-XS-I-014 debt balance — read by MK-CF-F-157, MK-CF-O-010, MK-NW-O-004
12. MK-XS-I-015 debt interest rate — read by MK-CF-F-157, MK-CF-O-010, MK-NW-O-004
13. MK-XS-I-016 debt minimum payment — read by MK-CF-F-023, MK-CF-F-157, MK-CF-O-010, MK-NW-O-004
14. MK-XS-I-017 birth year — read by MK-CF-F-089
15. MK-XS-I-020 Social Security monthly amount — read by MK-CF-F-072, MK-CF-F-075
16. MK-XS-I-022 pension monthly amount — read by MK-CF-F-072, MK-CF-F-075
17. MK-XS-I-023 salary and other income — read by MK-CF-F-074, MK-CF-F-082, MK-CF-F-084, MK-CF-F-088, MK-CF-F-092, MK-CF-F-165, MK
18. MK-XS-I-024 logged expenses — read by MK-CF-F-005, MK-CF-F-067, MK-CF-F-068, MK-CF-F-150, MK-CF-F-151, MK-CF-F-153, MK
19. MK-XS-I-025 typical monthly essentials — read by MK-CF-F-009, MK-CF-F-010, MK-NW-O-004
20. MK-XS-I-027 goals (target, saved, date) — read by MK-PL-F-012
21. MK-XS-I-028 assumed return — read by MK-NW-O-001, MK-NW-O-004
22. MK-XS-I-030 tax filing status and age — read by MK-CF-F-085, MK-CF-F-089, MK-CF-F-099, MK-CF-F-100, MK-CF-F-101, MK-CF-F-187
23. MK-XS-I-031 daily and monthly snapshots — read by MK-ST-F-036
24. MK-XS-I-032 expenses categories the person set up — read by MK-CF-F-004, MK-CF-F-008, MK-CF-F-009, MK-NW-O-004
25. MK-XS-I-034 option positions — contracts, strike, expiry, put or call — read by MK-CF-F-062, MK-NW-F-027
26. MK-XS-I-035 annuity income — read by MK-CF-F-072, MK-CF-F-075
27. MK-XS-I-036 other guaranteed income — read by MK-CF-F-072, MK-CF-F-075
28. MK-XS-I-037 required-withdrawal income stream (ri_rmd) — read by MK-CF-F-075
29. MK-XS-I-038 withdrawal income stream (ri_withdrawals) — read by MK-CF-F-075
30. MK-XS-I-039 how often each income arrives — read by MK-CF-F-071, MK-CF-F-072, MK-CF-F-074, MK-CF-F-075, MK-CF-F-130
31. MK-XS-I-040 whether a stream is already being received — read by MK-CF-F-072
32. MK-XS-I-041 the payment the person chose to make on a debt — read by MK-CF-F-023
33. MK-XS-I-042 how a stream is paid — monthly, yearly or one lump — read by MK-CF-F-021, MK-CF-F-022, MK-CF-F-023, MK-CF-F-149, MK-CF-F-150, MK-CF-F-152, MK
34. MK-XS-I-043 their own retirement contribution — read by MK-CF-F-092, MK-CF-F-181, MK-CF-F-206
35. MK-XS-I-048 the person’s own asset-class answer — read by MK-NW-F-011, MK-NW-F-027, MK-NW-O-004, MK-ST-F-027
36. MK-XS-I-049 bond price — what the bond is worth today — read by MK-NW-F-056, MK-NW-F-057, MK-NW-F-059, MK-NW-F-060, MK-NW-F-061, MK-NW-F-064, MK
37. MK-XS-I-052 the day of the month a debt payment is due — read by MK-CF-F-005
38. MK-XS-I-055 the wrapper an account sits in — ISA, 401(k), IRA and the rest — read by MK-CF-F-005, MK-CF-F-075, MK-CF-F-156, MK-NW-F-011, MK-NW-O-001, MK-NW-O-004
39. MK-XS-I-059 the month a bonus lands — read by MK-CF-F-088, MK-CF-F-092
40. MK-XS-I-060 how a person is paid — weekly, fortnightly, monthly — read by MK-CF-F-130
41. MK-XS-I-064 the unit beside a quantity — shares, coins, contracts, ounces or units — read by MK-CF-F-003, MK-CF-F-008, MK-CF-F-009,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3" s="3" t="inlineStr">
        <is>
          <t>(the claim now stands in 'Inputs it needs' until the row is approved)</t>
        </is>
      </c>
      <c r="AL53" s="3" t="inlineStr"/>
      <c r="AM53" s="3" t="inlineStr">
        <is>
          <t>TESTED, NOT VERIFIED — you ruled on this row 2026-09-28; the figure, its formula, inputs and refusal live in MK-NW-O-004 theEmergencyFund</t>
        </is>
      </c>
      <c r="AN53"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$370/month
(the test re-runs this through MK-NW-O-004 theEmergencyFund on every build)</t>
        </is>
      </c>
      <c r="AO53" s="3" t="inlineStr">
        <is>
          <t>NOTHING OPEN</t>
        </is>
      </c>
    </row>
    <row r="54" ht="60" customHeight="1">
      <c r="A54" s="3" t="inlineStr">
        <is>
          <t>MK-NW-M-048</t>
        </is>
      </c>
      <c r="B54" s="3" t="inlineStr">
        <is>
          <t>Networth</t>
        </is>
      </c>
      <c r="C54" s="3" t="inlineStr">
        <is>
          <t>/analytics · /insights</t>
        </is>
      </c>
      <c r="D54" s="3" t="inlineStr">
        <is>
          <t>cash ÷ planned spend</t>
        </is>
      </c>
      <c r="E54" s="3" t="inlineStr">
        <is>
          <t>cash__planned_spend</t>
        </is>
      </c>
      <c r="F54" s="3" t="inlineStr">
        <is>
          <t>theEmergencyFund</t>
        </is>
      </c>
      <c r="G54" s="3" t="inlineStr">
        <is>
          <t>MK-NW-O-004</t>
        </is>
      </c>
      <c r="H54" s="3" t="inlineStr">
        <is>
          <t>everything you budget for a month + the debt payments you cannot stop</t>
        </is>
      </c>
      <c r="I54" s="3" t="inlineStr">
        <is>
          <t>everything you budget for a month + the debt payments you cannot stop</t>
        </is>
      </c>
      <c r="J54" s="3" t="inlineStr">
        <is>
          <t>MK-NW-I-002 your debts
MK-CF-I-001 your logged expenses</t>
        </is>
      </c>
      <c r="K54" s="3" t="inlineStr">
        <is>
          <t>dollars, whole a month</t>
        </is>
      </c>
      <c r="L54" s="3" t="inlineStr">
        <is>
          <t>No expense figure yet.</t>
        </is>
      </c>
      <c r="M54" s="3" t="inlineStr">
        <is>
          <t>the household</t>
        </is>
      </c>
      <c r="N54" s="3" t="inlineStr">
        <is>
          <t>a month</t>
        </is>
      </c>
      <c r="O54" s="3" t="inlineStr">
        <is>
          <t>1. MK-CF-F-155 (cash) → number
2. MK-NW-F-016 (cashTotal) → number
3. MK-CF-F-010 (emergencyTest) → ShockResult
4. MK-CF-F-190 (essentialsMonthly) → EssentialsMonthly | null
5. MK-CF-F-009 (monthlyEssentials) → number
6. MK-CF-F-002 (plannedMonthlySpend) → number
7. MK-CF-F-023 (requiredPayment) → number</t>
        </is>
      </c>
      <c r="P54" s="3" t="inlineStr">
        <is>
          <t>Declared by MK-NW-O-004 theEmergencyFund</t>
        </is>
      </c>
      <c r="Q54" s="3" t="inlineStr">
        <is>
          <t>NONE RECORDED — the declaration names none.</t>
        </is>
      </c>
      <c r="R54" s="3" t="inlineStr">
        <is>
          <t>NONE RECORDED — the declaration names none.</t>
        </is>
      </c>
      <c r="S54" s="3" t="inlineStr"/>
      <c r="T54" s="3" t="inlineStr">
        <is>
          <t>NONE RECORDED — the declaration names none.</t>
        </is>
      </c>
      <c r="U54" s="3" t="inlineStr"/>
      <c r="V54" s="3" t="inlineStr"/>
      <c r="W54" s="3" t="inlineStr"/>
      <c r="X54" s="3" t="inlineStr"/>
      <c r="Y54" s="3" t="inlineStr"/>
      <c r="Z54" s="3" t="inlineStr">
        <is>
          <t>DECLARED IN THE CODE (rule 11) — printed from the door, not typed. RULED 2026-09-28</t>
        </is>
      </c>
      <c r="AA54" s="3" t="inlineStr"/>
      <c r="AB54" s="3" t="inlineStr"/>
      <c r="AC54" s="3" t="inlineStr"/>
      <c r="AD54" s="3" t="inlineStr"/>
      <c r="AE54" s="3" t="inlineStr"/>
      <c r="AF54" s="3" t="inlineStr">
        <is>
          <t>ACTIVE</t>
        </is>
      </c>
      <c r="AG54" s="3" t="inlineStr">
        <is>
          <t>2026-10-04</t>
        </is>
      </c>
      <c r="AH54" s="3" t="inlineStr"/>
      <c r="AI54" s="3" t="inlineStr"/>
      <c r="AJ54" s="3" t="inlineStr">
        <is>
          <t>1. MK-XS-I-001 account balance — read by MK-NW-F-016, MK-NW-F-027, MK-NW-F-056, MK-NW-F-078, MK-NW-O-001, MK-NW-O-004, MK
2. MK-XS-I-002 account type (taxable, pre-tax, Roth) — read by MK-NW-F-011, MK-NW-O-001, MK-NW-O-004
3. MK-XS-I-003 institution name — read by MK-NW-F-071, MK-NW-F-072, MK-NW-O-001
4. MK-XS-I-004 holding quantity (shares) — read by MK-CF-F-062, MK-NW-F-027, MK-ST-F-027
5. MK-XS-I-005 holding price — read by MK-NW-F-027, MK-ST-F-027
6. MK-XS-I-007 purchase price and date (per lot) — read by MK-ST-F-027
7. MK-XS-I-010 transaction words (the institution's own wording) — read by MK-NW-F-027
8. MK-XS-I-011 bond face value — read by MK-NW-F-056, MK-NW-F-057, MK-NW-F-060, MK-NW-F-061, MK-NW-F-064, MK-NW-F-069, MK
9. MK-XS-I-012 bond coupon rate — read by MK-NW-F-056, MK-NW-F-057, MK-NW-F-064, MK-NW-F-071, MK-NW-F-072, MK-NW-F-078, MK
10. MK-XS-I-013 bond maturity date — read by MK-NW-F-011, MK-NW-F-056, MK-NW-F-058, MK-NW-F-060, MK-NW-F-061, MK-NW-F-069, MK
11. MK-XS-I-014 debt balance — read by MK-CF-F-157, MK-CF-O-010, MK-NW-O-004
12. MK-XS-I-015 debt interest rate — read by MK-CF-F-157, MK-CF-O-010, MK-NW-O-004
13. MK-XS-I-016 debt minimum payment — read by MK-CF-F-023, MK-CF-F-157, MK-CF-O-010, MK-NW-O-004
14. MK-XS-I-017 birth year — read by MK-CF-F-089
15. MK-XS-I-020 Social Security monthly amount — read by MK-CF-F-072, MK-CF-F-075
16. MK-XS-I-022 pension monthly amount — read by MK-CF-F-072, MK-CF-F-075
17. MK-XS-I-023 salary and other income — read by MK-CF-F-074, MK-CF-F-082, MK-CF-F-084, MK-CF-F-088, MK-CF-F-092, MK-CF-F-165, MK
18. MK-XS-I-024 logged expenses — read by MK-CF-F-005, MK-CF-F-067, MK-CF-F-068, MK-CF-F-150, MK-CF-F-151, MK-CF-F-153, MK
19. MK-XS-I-025 typical monthly essentials — read by MK-CF-F-009, MK-CF-F-010, MK-NW-O-004
20. MK-XS-I-027 goals (target, saved, date) — read by MK-PL-F-012
21. MK-XS-I-028 assumed return — read by MK-NW-O-001, MK-NW-O-004
22. MK-XS-I-030 tax filing status and age — read by MK-CF-F-085, MK-CF-F-089, MK-CF-F-099, MK-CF-F-100, MK-CF-F-101, MK-CF-F-187
23. MK-XS-I-031 daily and monthly snapshots — read by MK-ST-F-036
24. MK-XS-I-032 expenses categories the person set up — read by MK-CF-F-004, MK-CF-F-008, MK-CF-F-009, MK-NW-O-004
25. MK-XS-I-034 option positions — contracts, strike, expiry, put or call — read by MK-CF-F-062, MK-NW-F-027
26. MK-XS-I-035 annuity income — read by MK-CF-F-072, MK-CF-F-075
27. MK-XS-I-036 other guaranteed income — read by MK-CF-F-072, MK-CF-F-075
28. MK-XS-I-037 required-withdrawal income stream (ri_rmd) — read by MK-CF-F-075
29. MK-XS-I-038 withdrawal income stream (ri_withdrawals) — read by MK-CF-F-075
30. MK-XS-I-039 how often each income arrives — read by MK-CF-F-071, MK-CF-F-072, MK-CF-F-074, MK-CF-F-075, MK-CF-F-130
31. MK-XS-I-040 whether a stream is already being received — read by MK-CF-F-072
32. MK-XS-I-041 the payment the person chose to make on a debt — read by MK-CF-F-023
33. MK-XS-I-042 how a stream is paid — monthly, yearly or one lump — read by MK-CF-F-021, MK-CF-F-022, MK-CF-F-023, MK-CF-F-149, MK-CF-F-150, MK-CF-F-152, MK
34. MK-XS-I-043 their own retirement contribution — read by MK-CF-F-092, MK-CF-F-181, MK-CF-F-206
35. MK-XS-I-048 the person’s own asset-class answer — read by MK-NW-F-011, MK-NW-F-027, MK-NW-O-004, MK-ST-F-027
36. MK-XS-I-049 bond price — what the bond is worth today — read by MK-NW-F-056, MK-NW-F-057, MK-NW-F-059, MK-NW-F-060, MK-NW-F-061, MK-NW-F-064, MK
37. MK-XS-I-052 the day of the month a debt payment is due — read by MK-CF-F-005
38. MK-XS-I-055 the wrapper an account sits in — ISA, 401(k), IRA and the rest — read by MK-CF-F-005, MK-CF-F-075, MK-CF-F-156, MK-NW-F-011, MK-NW-O-001, MK-NW-O-004
39. MK-XS-I-059 the month a bonus lands — read by MK-CF-F-088, MK-CF-F-092
40. MK-XS-I-060 how a person is paid — weekly, fortnightly, monthly — read by MK-CF-F-130
41. MK-XS-I-064 the unit beside a quantity — shares, coins, contracts, ounces or units — read by MK-CF-F-003, MK-CF-F-008, MK-CF-F-009,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4" s="3" t="inlineStr">
        <is>
          <t>(the claim now stands in 'Inputs it needs' until the row is approved)</t>
        </is>
      </c>
      <c r="AL54" s="3" t="inlineStr"/>
      <c r="AM54" s="3" t="inlineStr">
        <is>
          <t>TESTED, NOT VERIFIED — you ruled on this row 2026-09-28; the figure, its formula, inputs and refusal live in MK-NW-O-004 theEmergencyFund</t>
        </is>
      </c>
      <c r="AN54"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$3,870/month
(the test re-runs this through MK-NW-O-004 theEmergencyFund on every build)</t>
        </is>
      </c>
      <c r="AO54" s="3" t="inlineStr">
        <is>
          <t>NOTHING OPEN</t>
        </is>
      </c>
    </row>
    <row r="55" ht="60" customHeight="1">
      <c r="A55" s="3" t="inlineStr">
        <is>
          <t>MK-NW-M-049</t>
        </is>
      </c>
      <c r="B55" s="3" t="inlineStr">
        <is>
          <t>Networth</t>
        </is>
      </c>
      <c r="C55" s="3" t="inlineStr">
        <is>
          <t>/other-investments</t>
        </is>
      </c>
      <c r="D55" s="3" t="inlineStr">
        <is>
          <t>Total value</t>
        </is>
      </c>
      <c r="E55" s="3" t="inlineStr">
        <is>
          <t>total_value</t>
        </is>
      </c>
      <c r="F55" s="3" t="inlineStr">
        <is>
          <t>theNetWorth</t>
        </is>
      </c>
      <c r="G55" s="3" t="inlineStr">
        <is>
          <t>MK-NW-O-003</t>
        </is>
      </c>
      <c r="H55" s="3" t="inlineStr">
        <is>
          <t>the sum of every account whose class is alternatives</t>
        </is>
      </c>
      <c r="I55" s="3" t="inlineStr">
        <is>
          <t>the sum of every account whose class is alternatives</t>
        </is>
      </c>
      <c r="J55" s="3" t="inlineStr">
        <is>
          <t>MK-NW-I-001 your accounts</t>
        </is>
      </c>
      <c r="K55" s="3" t="inlineStr">
        <is>
          <t>dollars, whole</t>
        </is>
      </c>
      <c r="L55" s="3" t="inlineStr">
        <is>
          <t>None entered yet.</t>
        </is>
      </c>
      <c r="M55" s="3" t="inlineStr">
        <is>
          <t>one figure per household</t>
        </is>
      </c>
      <c r="N55" s="3" t="inlineStr">
        <is>
          <t>as of today</t>
        </is>
      </c>
      <c r="O55"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55" s="3" t="inlineStr">
        <is>
          <t>Declared by MK-NW-O-003 theNetWorth</t>
        </is>
      </c>
      <c r="Q55" s="3" t="inlineStr">
        <is>
          <t>It is the Alternatives SLICE of net worth and must equal what the Net worth tab shows for that class — which is why it sits behind this door (founder, 2026-09-27: "ok").</t>
        </is>
      </c>
      <c r="R55" s="3" t="inlineStr">
        <is>
          <t>It is the Alternatives SLICE of net worth and must equal what the Net worth tab shows for that class — which is why it sits behind this door (founder, 2026-09-27: "ok").</t>
        </is>
      </c>
      <c r="S55" s="3" t="inlineStr"/>
      <c r="T55" s="3" t="inlineStr">
        <is>
          <t>It is the Alternatives SLICE of net worth and must equal what the Net worth tab shows for that class — which is why it sits behind this door (founder, 2026-09-27: "ok").</t>
        </is>
      </c>
      <c r="U55" s="3" t="inlineStr"/>
      <c r="V55" s="3" t="inlineStr"/>
      <c r="W55" s="3" t="inlineStr"/>
      <c r="X55" s="3" t="inlineStr"/>
      <c r="Y55" s="3" t="inlineStr"/>
      <c r="Z55" s="3" t="inlineStr">
        <is>
          <t>DECLARED IN THE CODE (rule 11) — printed from the door, not typed. RULED 2026-09-27</t>
        </is>
      </c>
      <c r="AA55" s="3" t="inlineStr"/>
      <c r="AB55" s="3" t="inlineStr"/>
      <c r="AC55" s="3" t="inlineStr"/>
      <c r="AD55" s="3" t="inlineStr"/>
      <c r="AE55" s="3" t="inlineStr"/>
      <c r="AF55" s="3" t="inlineStr">
        <is>
          <t>ACTIVE</t>
        </is>
      </c>
      <c r="AG55" s="3" t="inlineStr">
        <is>
          <t>2026-10-04</t>
        </is>
      </c>
      <c r="AH55" s="3" t="inlineStr"/>
      <c r="AI55" s="3" t="inlineStr"/>
      <c r="AJ55"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5" s="3" t="inlineStr">
        <is>
          <t>(the claim now stands in 'Inputs it needs' until the row is approved)</t>
        </is>
      </c>
      <c r="AL55" s="3" t="inlineStr"/>
      <c r="AM55" s="3" t="inlineStr">
        <is>
          <t>TESTED, NOT VERIFIED — you ruled on this row 2026-09-27; the figure, its formula, inputs and refusal live in MK-NW-O-003 theNetWorth</t>
        </is>
      </c>
      <c r="AN55" s="3" t="inlineStr">
        <is>
          <t>$18,000 checking, $142,000 brokerage, a $24,200 Treasury, a $310,000 rental and $9,000 of gold; against a $228,000 mortgage at $2,400/month and a $14,000 car loan at $250/month. Cash + investments stood at $180,000 on 2 Jan 2026.
GIVES: $9,000
(the test re-runs this through MK-NW-O-003 theNetWorth on every build)</t>
        </is>
      </c>
      <c r="AO55" s="3" t="inlineStr">
        <is>
          <t>NOTHING OPEN</t>
        </is>
      </c>
    </row>
    <row r="56" ht="60" customHeight="1">
      <c r="A56" s="3" t="inlineStr">
        <is>
          <t>MK-NW-M-050</t>
        </is>
      </c>
      <c r="B56" s="3" t="inlineStr">
        <is>
          <t>Networth</t>
        </is>
      </c>
      <c r="C56" s="3" t="inlineStr">
        <is>
          <t>/other-investments</t>
        </is>
      </c>
      <c r="D56" s="3" t="inlineStr">
        <is>
          <t>EST. GROWTH /year</t>
        </is>
      </c>
      <c r="E56" s="3" t="inlineStr">
        <is>
          <t>est_growth_year</t>
        </is>
      </c>
      <c r="F56" s="3" t="inlineStr">
        <is>
          <t>theAlternativesOutlook</t>
        </is>
      </c>
      <c r="G56" s="3" t="inlineStr">
        <is>
          <t>MK-NW-O-005</t>
        </is>
      </c>
      <c r="H56" s="3" t="inlineStr">
        <is>
          <t>each holding’s value × the historical benchmark for its kind, added up</t>
        </is>
      </c>
      <c r="I56" s="3" t="inlineStr">
        <is>
          <t>each holding’s value × the historical benchmark for its kind, added up</t>
        </is>
      </c>
      <c r="J56" s="3" t="inlineStr">
        <is>
          <t>MK-NW-I-001 your accounts</t>
        </is>
      </c>
      <c r="K56" s="3" t="inlineStr">
        <is>
          <t>dollars, whole a year</t>
        </is>
      </c>
      <c r="L56" s="3" t="inlineStr">
        <is>
          <t>Nothing held — no figure at all, because a $0 forecast reads as a forecast.</t>
        </is>
      </c>
      <c r="M56" s="3" t="inlineStr">
        <is>
          <t>one figure per household</t>
        </is>
      </c>
      <c r="N56" s="3" t="inlineStr">
        <is>
          <t>a year</t>
        </is>
      </c>
      <c r="O56" s="3" t="inlineStr">
        <is>
          <t>1. MK-NW-F-002 (alternativesSummary) → AltSummary
2. MK-NW-F-011 (assetClassOf) → AssetClass
3. MK-NW-F-034 (benchmarkReturn) → number
4. MK-NW-F-037 (blendedReturn) → number
5. MK-CF-F-132 (map) → NOT DECLARED — the code does not say what it gives back</t>
        </is>
      </c>
      <c r="P56" s="3" t="inlineStr">
        <is>
          <t>Declared by MK-NW-O-005 theAlternativesOutlook</t>
        </is>
      </c>
      <c r="Q56" s="3" t="inlineStr">
        <is>
          <t>An ESTIMATE, and it wears the estimate label: a historical benchmark for the KIND of thing held, never a promise about this holding.
FOUNDER 2026-09-27 ("ok"): split out of "what am I worth". The Alternatives TOTAL belongs there because it must equal what the Net worth tab shows for that class; a projection does not.</t>
        </is>
      </c>
      <c r="R56" s="3" t="inlineStr">
        <is>
          <t>An ESTIMATE, and it wears the estimate label: a historical benchmark for the KIND of thing held, never a promise about this holding.
FOUNDER 2026-09-27 ("ok"): split out of "what am I worth". The Alternatives TOTAL belongs there because it must equal what the Net worth tab shows for that class; a projection does not.</t>
        </is>
      </c>
      <c r="S56" s="3" t="inlineStr"/>
      <c r="T56" s="3" t="inlineStr">
        <is>
          <t>An ESTIMATE, and it wears the estimate label: a historical benchmark for the KIND of thing held, never a promise about this holding.
FOUNDER 2026-09-27 ("ok"): split out of "what am I worth". The Alternatives TOTAL belongs there because it must equal what the Net worth tab shows for that class; a projection does not.</t>
        </is>
      </c>
      <c r="U56" s="3" t="inlineStr"/>
      <c r="V56" s="3" t="inlineStr"/>
      <c r="W56" s="3" t="inlineStr"/>
      <c r="X56" s="3" t="inlineStr"/>
      <c r="Y56" s="3" t="inlineStr"/>
      <c r="Z56" s="3" t="inlineStr">
        <is>
          <t>DECLARED IN THE CODE (rule 11) — printed from the door, not typed. RULED 2026-09-27</t>
        </is>
      </c>
      <c r="AA56" s="3" t="inlineStr"/>
      <c r="AB56" s="3" t="inlineStr"/>
      <c r="AC56" s="3" t="inlineStr"/>
      <c r="AD56" s="3" t="inlineStr"/>
      <c r="AE56" s="3" t="inlineStr"/>
      <c r="AF56" s="3" t="inlineStr">
        <is>
          <t>ACTIVE</t>
        </is>
      </c>
      <c r="AG56" s="3" t="inlineStr">
        <is>
          <t>2026-10-04</t>
        </is>
      </c>
      <c r="AH56" s="3" t="inlineStr"/>
      <c r="AI56" s="3" t="inlineStr"/>
      <c r="AJ56" s="3" t="inlineStr">
        <is>
          <t>1. MK-XS-I-001 account balance — read by MK-NW-F-002, MK-NW-F-031, MK-NW-F-032, MK-NW-O-005, MK-ST-F-027
2. MK-XS-I-002 account type (taxable, pre-tax, Roth) — read by MK-NW-F-001, MK-NW-F-011, MK-NW-F-037, MK-NW-O-005
3. MK-XS-I-003 institution name — read by MK-NW-O-005
4. MK-XS-I-004 holding quantity (shares) — read by MK-ST-F-027
5. MK-XS-I-005 holding price — read by MK-ST-F-027
6. MK-XS-I-007 purchase price and date (per lot) — read by MK-ST-F-027
7. MK-XS-I-013 bond maturity date — read by MK-NW-F-001, MK-NW-F-011, MK-ST-F-010
8. MK-XS-I-028 assumed return — read by MK-NW-O-005
9. MK-XS-I-048 the person’s own asset-class answer — read by MK-NW-F-011, MK-NW-O-005, MK-ST-F-027
10. MK-XS-I-050 the share of an account earmarked for retirement — read by MK-NW-F-032
11. MK-XS-I-055 the wrapper an account sits in — ISA, 401(k), IRA and the rest — read by MK-NW-F-001, MK-NW-F-002, MK-NW-F-011, MK-NW-F-030, MK-NW-F-031, MK-NW-F-034, MK
[the code's record, this build — evidence for the ruling, not the row's statement: it cannot see inputs handed in as arguments, and it counts every branch below the producer]</t>
        </is>
      </c>
      <c r="AK56" s="3" t="inlineStr">
        <is>
          <t>(the claim now stands in 'Inputs it needs' until the row is approved)</t>
        </is>
      </c>
      <c r="AL56" s="3" t="inlineStr"/>
      <c r="AM56" s="3" t="inlineStr">
        <is>
          <t>TESTED, NOT VERIFIED — you ruled on this row 2026-09-27; the figure, its formula, inputs and refusal live in MK-NW-O-005 theAlternativesOutlook</t>
        </is>
      </c>
      <c r="AN56" s="3" t="inlineStr">
        <is>
          <t>$9,000 of gold and $6,000 of bitcoin — $15,000 of other investments, at their kinds' own benchmark rates.
GIVES: $1,218/year
(the test re-runs this through MK-NW-O-005 theAlternativesOutlook on every build)</t>
        </is>
      </c>
      <c r="AO56" s="3" t="inlineStr">
        <is>
          <t>NOTHING OPEN</t>
        </is>
      </c>
    </row>
    <row r="57" ht="60" customHeight="1">
      <c r="A57" s="3" t="inlineStr">
        <is>
          <t>MK-NW-M-051</t>
        </is>
      </c>
      <c r="B57" s="3" t="inlineStr">
        <is>
          <t>Networth</t>
        </is>
      </c>
      <c r="C57" s="3" t="inlineStr">
        <is>
          <t>/other-investments</t>
        </is>
      </c>
      <c r="D57" s="3" t="inlineStr">
        <is>
          <t>EXP. RETURN</t>
        </is>
      </c>
      <c r="E57" s="3" t="inlineStr">
        <is>
          <t>exp_return</t>
        </is>
      </c>
      <c r="F57" s="3" t="inlineStr">
        <is>
          <t>theAlternativesOutlook</t>
        </is>
      </c>
      <c r="G57" s="3" t="inlineStr">
        <is>
          <t>MK-NW-O-005</t>
        </is>
      </c>
      <c r="H57" s="3" t="inlineStr">
        <is>
          <t>each holding's value × the benchmark for its kind, added up, ÷ the total value</t>
        </is>
      </c>
      <c r="I57" s="3" t="inlineStr">
        <is>
          <t>each holding's value × the benchmark for its kind, added up, ÷ the total value</t>
        </is>
      </c>
      <c r="J57" s="3" t="inlineStr">
        <is>
          <t>MK-XS-I-001 account balance</t>
        </is>
      </c>
      <c r="K57" s="3" t="inlineStr">
        <is>
          <t>a percentage, two decimals</t>
        </is>
      </c>
      <c r="L57" s="3" t="inlineStr">
        <is>
          <t>Nothing held — no figure at all, because a 0.00% expected return reads as a forecast of nothing rather than an absence of holdings.</t>
        </is>
      </c>
      <c r="M57" s="3" t="inlineStr">
        <is>
          <t>the household</t>
        </is>
      </c>
      <c r="N57" s="3" t="inlineStr">
        <is>
          <t>as of today</t>
        </is>
      </c>
      <c r="O57" s="3" t="inlineStr">
        <is>
          <t>1. MK-NW-F-002 (alternativesSummary) → AltSummary
2. MK-NW-F-011 (assetClassOf) → AssetClass
3. MK-NW-F-034 (benchmarkReturn) → number
4. MK-NW-F-037 (blendedReturn) → number
5. MK-CF-F-132 (map) → NOT DECLARED — the code does not say what it gives back</t>
        </is>
      </c>
      <c r="P57" s="3" t="inlineStr">
        <is>
          <t>Declared by MK-NW-O-005 theAlternativesOutlook</t>
        </is>
      </c>
      <c r="Q57" s="3" t="inlineStr">
        <is>
          <t>IT IS WEIGHTED BY VALUE, not an average of the rates: $28,000 of crypto and $500 of gold is almost entirely a crypto outlook, and averaging the two rates would say otherwise.
TWO DECIMALS, because it is a rate (the precision standard, Q49) — it read to one until 2026-09.</t>
        </is>
      </c>
      <c r="R57" s="3" t="inlineStr">
        <is>
          <t>IT IS WEIGHTED BY VALUE, not an average of the rates: $28,000 of crypto and $500 of gold is almost entirely a crypto outlook, and averaging the two rates would say otherwise.
TWO DECIMALS, because it is a rate (the precision standard, Q49) — it read to one until 2026-09.</t>
        </is>
      </c>
      <c r="S57" s="3" t="inlineStr"/>
      <c r="T57" s="3" t="inlineStr">
        <is>
          <t>IT IS WEIGHTED BY VALUE, not an average of the rates: $28,000 of crypto and $500 of gold is almost entirely a crypto outlook, and averaging the two rates would say otherwise.
TWO DECIMALS, because it is a rate (the precision standard, Q49) — it read to one until 2026-09.</t>
        </is>
      </c>
      <c r="U57" s="3" t="inlineStr"/>
      <c r="V57" s="3" t="inlineStr"/>
      <c r="W57" s="3" t="inlineStr"/>
      <c r="X57" s="3" t="inlineStr"/>
      <c r="Y57" s="3" t="inlineStr"/>
      <c r="Z57" s="3" t="inlineStr">
        <is>
          <t>DECLARED IN THE CODE (rule 11) — printed from the door, not typed. RULED 2026-10-01</t>
        </is>
      </c>
      <c r="AA57" s="3" t="inlineStr"/>
      <c r="AB57" s="3" t="inlineStr"/>
      <c r="AC57" s="3" t="inlineStr"/>
      <c r="AD57" s="3" t="inlineStr"/>
      <c r="AE57" s="3" t="inlineStr"/>
      <c r="AF57" s="3" t="inlineStr">
        <is>
          <t>ACTIVE</t>
        </is>
      </c>
      <c r="AG57" s="3" t="inlineStr">
        <is>
          <t>2026-10-04</t>
        </is>
      </c>
      <c r="AH57" s="3" t="inlineStr"/>
      <c r="AI57" s="3" t="inlineStr"/>
      <c r="AJ57" s="3" t="inlineStr">
        <is>
          <t>1. MK-XS-I-001 account balance — read by MK-NW-F-002, MK-NW-F-031, MK-NW-F-032, MK-NW-O-005, MK-ST-F-027
2. MK-XS-I-002 account type (taxable, pre-tax, Roth) — read by MK-NW-F-001, MK-NW-F-011, MK-NW-F-037, MK-NW-O-005
3. MK-XS-I-003 institution name — read by MK-NW-O-005
4. MK-XS-I-004 holding quantity (shares) — read by MK-ST-F-027
5. MK-XS-I-005 holding price — read by MK-ST-F-027
6. MK-XS-I-007 purchase price and date (per lot) — read by MK-ST-F-027
7. MK-XS-I-013 bond maturity date — read by MK-NW-F-001, MK-NW-F-011, MK-ST-F-010
8. MK-XS-I-028 assumed return — read by MK-NW-O-005
9. MK-XS-I-048 the person’s own asset-class answer — read by MK-NW-F-011, MK-NW-O-005, MK-ST-F-027
10. MK-XS-I-050 the share of an account earmarked for retirement — read by MK-NW-F-032
11. MK-XS-I-055 the wrapper an account sits in — ISA, 401(k), IRA and the rest — read by MK-NW-F-001, MK-NW-F-002, MK-NW-F-011, MK-NW-F-030, MK-NW-F-031, MK-NW-F-034, MK
[the code's record, this build — evidence for the ruling, not the row's statement: it cannot see inputs handed in as arguments, and it counts every branch below the producer]</t>
        </is>
      </c>
      <c r="AK57" s="3" t="inlineStr">
        <is>
          <t>(the claim now stands in 'Inputs it needs' until the row is approved)</t>
        </is>
      </c>
      <c r="AL57" s="3" t="inlineStr"/>
      <c r="AM57" s="3" t="inlineStr">
        <is>
          <t>TESTED, NOT VERIFIED — you ruled on this row 2026-10-01; the figure, its formula, inputs and refusal live in MK-NW-O-005 theAlternativesOutlook</t>
        </is>
      </c>
      <c r="AN57" s="3" t="inlineStr">
        <is>
          <t>$9,000 of gold and $6,000 of bitcoin — $15,000 of other investments, at their kinds' own benchmark rates.
GIVES: 8.12%
(the test re-runs this through MK-NW-O-005 theAlternativesOutlook on every build)</t>
        </is>
      </c>
      <c r="AO57" s="3" t="inlineStr">
        <is>
          <t>NOTHING OPEN</t>
        </is>
      </c>
    </row>
    <row r="58" ht="60" customHeight="1">
      <c r="A58" s="3" t="inlineStr">
        <is>
          <t>MK-NW-M-052</t>
        </is>
      </c>
      <c r="B58" s="3" t="inlineStr">
        <is>
          <t>Networth</t>
        </is>
      </c>
      <c r="C58" s="3" t="inlineStr">
        <is>
          <t>/other-investments</t>
        </is>
      </c>
      <c r="D58" s="3" t="inlineStr">
        <is>
          <t>each alternative and what it is worth</t>
        </is>
      </c>
      <c r="E58" s="3" t="inlineStr">
        <is>
          <t>each_alternative_and_what_it_is_worth</t>
        </is>
      </c>
      <c r="F58" s="3" t="inlineStr">
        <is>
          <t>theAlternativesOutlook</t>
        </is>
      </c>
      <c r="G58" s="3" t="inlineStr">
        <is>
          <t>MK-NW-O-005</t>
        </is>
      </c>
      <c r="H58" s="3" t="inlineStr">
        <is>
          <t>one row per account whose class is alternatives, its own balance beside it</t>
        </is>
      </c>
      <c r="I58" s="3" t="inlineStr">
        <is>
          <t>one row per account whose class is alternatives, its own balance beside it</t>
        </is>
      </c>
      <c r="J58" s="3" t="inlineStr">
        <is>
          <t>MK-XS-I-001 account balance</t>
        </is>
      </c>
      <c r="K58" s="3" t="inlineStr">
        <is>
          <t>dollars, whole</t>
        </is>
      </c>
      <c r="L58" s="3" t="inlineStr">
        <is>
          <t>No rows, and the screen shows the sentence that says what belongs here instead.</t>
        </is>
      </c>
      <c r="M58" s="3" t="inlineStr">
        <is>
          <t>one alternative holding</t>
        </is>
      </c>
      <c r="N58" s="3" t="inlineStr">
        <is>
          <t>as of today</t>
        </is>
      </c>
      <c r="O58" s="3" t="inlineStr">
        <is>
          <t>1. MK-NW-F-002 (alternativesSummary) → AltSummary
2. MK-NW-F-011 (assetClassOf) → AssetClass
3. MK-NW-F-034 (benchmarkReturn) → number
4. MK-NW-F-037 (blendedReturn) → number
5. MK-CF-F-132 (map) → NOT DECLARED — the code does not say what it gives back</t>
        </is>
      </c>
      <c r="P58" s="3" t="inlineStr">
        <is>
          <t>Declared by MK-NW-O-005 theAlternativesOutlook</t>
        </is>
      </c>
      <c r="Q58" s="3" t="inlineStr">
        <is>
          <t>THE ROWS MUST ADD TO THE TOTAL ABOVE THEM. That is the whole reason the rows exist: a total nobody can take apart is a number you have to trust rather than check.</t>
        </is>
      </c>
      <c r="R58" s="3" t="inlineStr">
        <is>
          <t>THE ROWS MUST ADD TO THE TOTAL ABOVE THEM. That is the whole reason the rows exist: a total nobody can take apart is a number you have to trust rather than check.</t>
        </is>
      </c>
      <c r="S58" s="3" t="inlineStr"/>
      <c r="T58" s="3" t="inlineStr">
        <is>
          <t>THE ROWS MUST ADD TO THE TOTAL ABOVE THEM. That is the whole reason the rows exist: a total nobody can take apart is a number you have to trust rather than check.</t>
        </is>
      </c>
      <c r="U58" s="3" t="inlineStr"/>
      <c r="V58" s="3" t="inlineStr"/>
      <c r="W58" s="3" t="inlineStr"/>
      <c r="X58" s="3" t="inlineStr"/>
      <c r="Y58" s="3" t="inlineStr"/>
      <c r="Z58" s="3" t="inlineStr">
        <is>
          <t>DECLARED IN THE CODE (rule 11) — printed from the door, not typed. RULED 2026-10-01</t>
        </is>
      </c>
      <c r="AA58" s="3" t="inlineStr"/>
      <c r="AB58" s="3" t="inlineStr"/>
      <c r="AC58" s="3" t="inlineStr"/>
      <c r="AD58" s="3" t="inlineStr"/>
      <c r="AE58" s="3" t="inlineStr"/>
      <c r="AF58" s="3" t="inlineStr">
        <is>
          <t>ACTIVE</t>
        </is>
      </c>
      <c r="AG58" s="3" t="inlineStr">
        <is>
          <t>2026-10-04</t>
        </is>
      </c>
      <c r="AH58" s="3" t="inlineStr"/>
      <c r="AI58" s="3" t="inlineStr"/>
      <c r="AJ58" s="3" t="inlineStr">
        <is>
          <t>1. MK-XS-I-001 account balance — read by MK-NW-F-002, MK-NW-F-031, MK-NW-F-032, MK-NW-O-005, MK-ST-F-027
2. MK-XS-I-002 account type (taxable, pre-tax, Roth) — read by MK-NW-F-001, MK-NW-F-011, MK-NW-F-037, MK-NW-O-005
3. MK-XS-I-003 institution name — read by MK-NW-O-005
4. MK-XS-I-004 holding quantity (shares) — read by MK-ST-F-027
5. MK-XS-I-005 holding price — read by MK-ST-F-027
6. MK-XS-I-007 purchase price and date (per lot) — read by MK-ST-F-027
7. MK-XS-I-013 bond maturity date — read by MK-NW-F-001, MK-NW-F-011, MK-ST-F-010
8. MK-XS-I-028 assumed return — read by MK-NW-O-005
9. MK-XS-I-048 the person’s own asset-class answer — read by MK-NW-F-011, MK-NW-O-005, MK-ST-F-027
10. MK-XS-I-050 the share of an account earmarked for retirement — read by MK-NW-F-032
11. MK-XS-I-055 the wrapper an account sits in — ISA, 401(k), IRA and the rest — read by MK-NW-F-001, MK-NW-F-002, MK-NW-F-011, MK-NW-F-030, MK-NW-F-031, MK-NW-F-034, MK
[the code's record, this build — evidence for the ruling, not the row's statement: it cannot see inputs handed in as arguments, and it counts every branch below the producer]</t>
        </is>
      </c>
      <c r="AK58" s="3" t="inlineStr">
        <is>
          <t>(the claim now stands in 'Inputs it needs' until the row is approved)</t>
        </is>
      </c>
      <c r="AL58" s="3" t="inlineStr"/>
      <c r="AM58" s="3" t="inlineStr">
        <is>
          <t>TESTED, NOT VERIFIED — you ruled on this row 2026-10-01; the figure, its formula, inputs and refusal live in MK-NW-O-005 theAlternativesOutlook</t>
        </is>
      </c>
      <c r="AN58" s="3" t="inlineStr">
        <is>
          <t>$9,000 of gold and $6,000 of bitcoin — $15,000 of other investments, at their kinds' own benchmark rates.
GIVES: $9,000
(the test re-runs this through MK-NW-O-005 theAlternativesOutlook on every build)</t>
        </is>
      </c>
      <c r="AO58" s="3" t="inlineStr">
        <is>
          <t>NOTHING OPEN</t>
        </is>
      </c>
    </row>
    <row r="59" ht="60" customHeight="1">
      <c r="A59" s="3" t="inlineStr">
        <is>
          <t>MK-NW-M-053</t>
        </is>
      </c>
      <c r="B59" s="3" t="inlineStr">
        <is>
          <t>Networth</t>
        </is>
      </c>
      <c r="C59" s="3" t="inlineStr">
        <is>
          <t>/bonds</t>
        </is>
      </c>
      <c r="D59" s="3" t="inlineStr">
        <is>
          <t>face</t>
        </is>
      </c>
      <c r="E59" s="3" t="inlineStr">
        <is>
          <t>face</t>
        </is>
      </c>
      <c r="F59" s="3" t="inlineStr">
        <is>
          <t>theBonds</t>
        </is>
      </c>
      <c r="G59" s="3" t="inlineStr">
        <is>
          <t>MK-NW-O-001</t>
        </is>
      </c>
      <c r="H59" s="3" t="inlineStr">
        <is>
          <t>the sum of each bond’s face value</t>
        </is>
      </c>
      <c r="I59" s="3" t="inlineStr">
        <is>
          <t>the sum of each bond’s face value</t>
        </is>
      </c>
      <c r="J59" s="3" t="inlineStr">
        <is>
          <t>MK-XS-I-001 account balance</t>
        </is>
      </c>
      <c r="K59" s="3" t="inlineStr">
        <is>
          <t>dollars, whole</t>
        </is>
      </c>
      <c r="L59" s="3" t="inlineStr">
        <is>
          <t>No bonds entered yet, so no face total either.</t>
        </is>
      </c>
      <c r="M59" s="3" t="inlineStr">
        <is>
          <t>the household</t>
        </is>
      </c>
      <c r="N59" s="3" t="inlineStr">
        <is>
          <t>as of today</t>
        </is>
      </c>
      <c r="O59"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59" s="3" t="inlineStr">
        <is>
          <t>Declared by MK-NW-O-001 theBonds</t>
        </is>
      </c>
      <c r="Q59" s="3" t="inlineStr">
        <is>
          <t>FACE AND VALUE ARE SHOWN SIDE BY SIDE because they differ, and the difference is the whole point: a bond bought below face pays back more than it is worth today.</t>
        </is>
      </c>
      <c r="R59" s="3" t="inlineStr">
        <is>
          <t>FACE AND VALUE ARE SHOWN SIDE BY SIDE because they differ, and the difference is the whole point: a bond bought below face pays back more than it is worth today.</t>
        </is>
      </c>
      <c r="S59" s="3" t="inlineStr"/>
      <c r="T59" s="3" t="inlineStr">
        <is>
          <t>FACE AND VALUE ARE SHOWN SIDE BY SIDE because they differ, and the difference is the whole point: a bond bought below face pays back more than it is worth today.</t>
        </is>
      </c>
      <c r="U59" s="3" t="inlineStr"/>
      <c r="V59" s="3" t="inlineStr"/>
      <c r="W59" s="3" t="inlineStr"/>
      <c r="X59" s="3" t="inlineStr"/>
      <c r="Y59" s="3" t="inlineStr"/>
      <c r="Z59" s="3" t="inlineStr">
        <is>
          <t>DECLARED IN THE CODE (rule 11) — printed from the door, not typed. RULED 2026-10-01</t>
        </is>
      </c>
      <c r="AA59" s="3" t="inlineStr"/>
      <c r="AB59" s="3" t="inlineStr"/>
      <c r="AC59" s="3" t="inlineStr"/>
      <c r="AD59" s="3" t="inlineStr"/>
      <c r="AE59" s="3" t="inlineStr"/>
      <c r="AF59" s="3" t="inlineStr">
        <is>
          <t>ACTIVE</t>
        </is>
      </c>
      <c r="AG59" s="3" t="inlineStr">
        <is>
          <t>2026-10-04</t>
        </is>
      </c>
      <c r="AH59" s="3" t="inlineStr"/>
      <c r="AI59" s="3" t="inlineStr"/>
      <c r="AJ59"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9" s="3" t="inlineStr">
        <is>
          <t>(the claim now stands in 'Inputs it needs' until the row is approved)</t>
        </is>
      </c>
      <c r="AL59" s="3" t="inlineStr"/>
      <c r="AM59" s="3" t="inlineStr">
        <is>
          <t>TESTED, NOT VERIFIED — you ruled on this row 2026-10-01; the figure, its formula, inputs and refusal live in MK-NW-O-001 theBonds</t>
        </is>
      </c>
      <c r="AN59" s="3" t="inlineStr">
        <is>
          <t>Two bonds on 28 Sep 2026: a $25,000-face Treasury paying 4.5%, maturing 30 Sep 2029, worth $24,200 today; and a $10,000 Ally CD paying 5.05%, maturing 15 Mar 2027, worth its $10,000.
GIVES: $35,000
(the test re-runs this through MK-NW-O-001 theBonds on every build)</t>
        </is>
      </c>
      <c r="AO59" s="3" t="inlineStr">
        <is>
          <t>NOTHING OPEN</t>
        </is>
      </c>
    </row>
    <row r="60" ht="60" customHeight="1">
      <c r="A60" s="3" t="inlineStr">
        <is>
          <t>MK-NW-M-054</t>
        </is>
      </c>
      <c r="B60" s="3" t="inlineStr">
        <is>
          <t>Networth</t>
        </is>
      </c>
      <c r="C60" s="3" t="inlineStr">
        <is>
          <t>/bonds</t>
        </is>
      </c>
      <c r="D60" s="3" t="inlineStr">
        <is>
          <t>one bond’s value</t>
        </is>
      </c>
      <c r="E60" s="3" t="inlineStr">
        <is>
          <t>one_bonds_value</t>
        </is>
      </c>
      <c r="F60" s="3" t="inlineStr">
        <is>
          <t>theBonds</t>
        </is>
      </c>
      <c r="G60" s="3" t="inlineStr">
        <is>
          <t>MK-NW-O-001</t>
        </is>
      </c>
      <c r="H60" s="3" t="inlineStr">
        <is>
          <t>the bond account’s own balance</t>
        </is>
      </c>
      <c r="I60" s="3" t="inlineStr">
        <is>
          <t>the bond account’s own balance</t>
        </is>
      </c>
      <c r="J60" s="3" t="inlineStr">
        <is>
          <t>MK-XS-I-001 account balance</t>
        </is>
      </c>
      <c r="K60" s="3" t="inlineStr">
        <is>
          <t>dollars, whole</t>
        </is>
      </c>
      <c r="L60" s="3" t="inlineStr">
        <is>
          <t>— the row is not drawn at all when there is no bond.</t>
        </is>
      </c>
      <c r="M60" s="3" t="inlineStr">
        <is>
          <t>one bond</t>
        </is>
      </c>
      <c r="N60" s="3" t="inlineStr">
        <is>
          <t>as of today</t>
        </is>
      </c>
      <c r="O60"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60" s="3" t="inlineStr">
        <is>
          <t>Declared by MK-NW-O-001 theBonds</t>
        </is>
      </c>
      <c r="Q60" s="3" t="inlineStr">
        <is>
          <t>NONE RECORDED — the declaration names none.</t>
        </is>
      </c>
      <c r="R60" s="3" t="inlineStr">
        <is>
          <t>NONE RECORDED — the declaration names none.</t>
        </is>
      </c>
      <c r="S60" s="3" t="inlineStr"/>
      <c r="T60" s="3" t="inlineStr">
        <is>
          <t>NONE RECORDED — the declaration names none.</t>
        </is>
      </c>
      <c r="U60" s="3" t="inlineStr"/>
      <c r="V60" s="3" t="inlineStr"/>
      <c r="W60" s="3" t="inlineStr"/>
      <c r="X60" s="3" t="inlineStr"/>
      <c r="Y60" s="3" t="inlineStr"/>
      <c r="Z60" s="3" t="inlineStr">
        <is>
          <t>DECLARED IN THE CODE (rule 11) — printed from the door, not typed. RULED 2026-10-01</t>
        </is>
      </c>
      <c r="AA60" s="3" t="inlineStr"/>
      <c r="AB60" s="3" t="inlineStr"/>
      <c r="AC60" s="3" t="inlineStr"/>
      <c r="AD60" s="3" t="inlineStr"/>
      <c r="AE60" s="3" t="inlineStr"/>
      <c r="AF60" s="3" t="inlineStr">
        <is>
          <t>ACTIVE</t>
        </is>
      </c>
      <c r="AG60" s="3" t="inlineStr">
        <is>
          <t>2026-10-04</t>
        </is>
      </c>
      <c r="AH60" s="3" t="inlineStr"/>
      <c r="AI60" s="3" t="inlineStr"/>
      <c r="AJ60"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0" s="3" t="inlineStr">
        <is>
          <t>(the claim now stands in 'Inputs it needs' until the row is approved)</t>
        </is>
      </c>
      <c r="AL60" s="3" t="inlineStr"/>
      <c r="AM60" s="3" t="inlineStr">
        <is>
          <t>TESTED, NOT VERIFIED — you ruled on this row 2026-10-01; the figure, its formula, inputs and refusal live in MK-NW-O-001 theBonds</t>
        </is>
      </c>
      <c r="AN60" s="3" t="inlineStr">
        <is>
          <t>Two bonds on 28 Sep 2026: a $25,000-face Treasury paying 4.5%, maturing 30 Sep 2029, worth $24,200 today; and a $10,000 Ally CD paying 5.05%, maturing 15 Mar 2027, worth its $10,000.
GIVES: $10,000
(the test re-runs this through MK-NW-O-001 theBonds on every build)</t>
        </is>
      </c>
      <c r="AO60" s="3" t="inlineStr">
        <is>
          <t>NOTHING OPEN</t>
        </is>
      </c>
    </row>
    <row r="61" ht="60" customHeight="1">
      <c r="A61" s="3" t="inlineStr">
        <is>
          <t>MK-NW-M-055</t>
        </is>
      </c>
      <c r="B61" s="3" t="inlineStr">
        <is>
          <t>Networth</t>
        </is>
      </c>
      <c r="C61" s="3" t="inlineStr">
        <is>
          <t>/bonds</t>
        </is>
      </c>
      <c r="D61" s="3" t="inlineStr">
        <is>
          <t>one bond’s face</t>
        </is>
      </c>
      <c r="E61" s="3" t="inlineStr">
        <is>
          <t>one_bonds_face</t>
        </is>
      </c>
      <c r="F61" s="3" t="inlineStr">
        <is>
          <t>theBonds</t>
        </is>
      </c>
      <c r="G61" s="3" t="inlineStr">
        <is>
          <t>MK-NW-O-001</t>
        </is>
      </c>
      <c r="H61" s="3" t="inlineStr">
        <is>
          <t>the face value as entered, or the balance when no face was given</t>
        </is>
      </c>
      <c r="I61" s="3" t="inlineStr">
        <is>
          <t>the face value as entered, or the balance when no face was given</t>
        </is>
      </c>
      <c r="J61" s="3" t="inlineStr">
        <is>
          <t>MK-XS-I-001 account balance</t>
        </is>
      </c>
      <c r="K61" s="3" t="inlineStr">
        <is>
          <t>dollars, whole</t>
        </is>
      </c>
      <c r="L61" s="3" t="inlineStr">
        <is>
          <t>Falls back to the value entered, and the row says face with that figure.</t>
        </is>
      </c>
      <c r="M61" s="3" t="inlineStr">
        <is>
          <t>one bond</t>
        </is>
      </c>
      <c r="N61" s="3" t="inlineStr">
        <is>
          <t>as of today</t>
        </is>
      </c>
      <c r="O61"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61" s="3" t="inlineStr">
        <is>
          <t>Declared by MK-NW-O-001 theBonds</t>
        </is>
      </c>
      <c r="Q61" s="3" t="inlineStr">
        <is>
          <t>NONE RECORDED — the declaration names none.</t>
        </is>
      </c>
      <c r="R61" s="3" t="inlineStr">
        <is>
          <t>NONE RECORDED — the declaration names none.</t>
        </is>
      </c>
      <c r="S61" s="3" t="inlineStr"/>
      <c r="T61" s="3" t="inlineStr">
        <is>
          <t>NONE RECORDED — the declaration names none.</t>
        </is>
      </c>
      <c r="U61" s="3" t="inlineStr"/>
      <c r="V61" s="3" t="inlineStr"/>
      <c r="W61" s="3" t="inlineStr"/>
      <c r="X61" s="3" t="inlineStr"/>
      <c r="Y61" s="3" t="inlineStr"/>
      <c r="Z61" s="3" t="inlineStr">
        <is>
          <t>DECLARED IN THE CODE (rule 11) — printed from the door, not typed. RULED 2026-10-01</t>
        </is>
      </c>
      <c r="AA61" s="3" t="inlineStr"/>
      <c r="AB61" s="3" t="inlineStr"/>
      <c r="AC61" s="3" t="inlineStr"/>
      <c r="AD61" s="3" t="inlineStr"/>
      <c r="AE61" s="3" t="inlineStr"/>
      <c r="AF61" s="3" t="inlineStr">
        <is>
          <t>ACTIVE</t>
        </is>
      </c>
      <c r="AG61" s="3" t="inlineStr">
        <is>
          <t>2026-10-04</t>
        </is>
      </c>
      <c r="AH61" s="3" t="inlineStr"/>
      <c r="AI61" s="3" t="inlineStr"/>
      <c r="AJ61"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1" s="3" t="inlineStr">
        <is>
          <t>(the claim now stands in 'Inputs it needs' until the row is approved)</t>
        </is>
      </c>
      <c r="AL61" s="3" t="inlineStr"/>
      <c r="AM61" s="3" t="inlineStr">
        <is>
          <t>TESTED, NOT VERIFIED — you ruled on this row 2026-10-01; the figure, its formula, inputs and refusal live in MK-NW-O-001 theBonds</t>
        </is>
      </c>
      <c r="AN61" s="3" t="inlineStr">
        <is>
          <t>Two bonds on 28 Sep 2026: a $25,000-face Treasury paying 4.5%, maturing 30 Sep 2029, worth $24,200 today; and a $10,000 Ally CD paying 5.05%, maturing 15 Mar 2027, worth its $10,000.
GIVES: $10,000
(the test re-runs this through MK-NW-O-001 theBonds on every build)</t>
        </is>
      </c>
      <c r="AO61" s="3" t="inlineStr">
        <is>
          <t>NOTHING OPEN</t>
        </is>
      </c>
    </row>
    <row r="62" ht="60" customHeight="1">
      <c r="A62" s="3" t="inlineStr">
        <is>
          <t>MK-NW-M-056</t>
        </is>
      </c>
      <c r="B62" s="3" t="inlineStr">
        <is>
          <t>Networth</t>
        </is>
      </c>
      <c r="C62" s="3" t="inlineStr">
        <is>
          <t>/bonds</t>
        </is>
      </c>
      <c r="D62" s="3" t="inlineStr">
        <is>
          <t>coupon</t>
        </is>
      </c>
      <c r="E62" s="3" t="inlineStr">
        <is>
          <t>coupon</t>
        </is>
      </c>
      <c r="F62" s="3" t="inlineStr">
        <is>
          <t>theBonds</t>
        </is>
      </c>
      <c r="G62" s="3" t="inlineStr">
        <is>
          <t>MK-NW-O-001</t>
        </is>
      </c>
      <c r="H62" s="3" t="inlineStr">
        <is>
          <t>its face value × its coupon rate</t>
        </is>
      </c>
      <c r="I62" s="3" t="inlineStr">
        <is>
          <t>its face value × its coupon rate</t>
        </is>
      </c>
      <c r="J62" s="3" t="inlineStr">
        <is>
          <t>MK-XS-I-001 account balance</t>
        </is>
      </c>
      <c r="K62" s="3" t="inlineStr">
        <is>
          <t>dollars, whole a year</t>
        </is>
      </c>
      <c r="L62" s="3" t="inlineStr">
        <is>
          <t>No coupon rate entered — the figure is left out rather than shown as $0.</t>
        </is>
      </c>
      <c r="M62" s="3" t="inlineStr">
        <is>
          <t>one bond</t>
        </is>
      </c>
      <c r="N62" s="3" t="inlineStr">
        <is>
          <t>a year</t>
        </is>
      </c>
      <c r="O62"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62" s="3" t="inlineStr">
        <is>
          <t>Declared by MK-NW-O-001 theBonds</t>
        </is>
      </c>
      <c r="Q62" s="3" t="inlineStr">
        <is>
          <t>IT IS PAID ON FACE, NOT ON VALUE. A $25,000 bond worth $24,200 still pays 4.5% of $25,000 — computing it on the market value understates the income.</t>
        </is>
      </c>
      <c r="R62" s="3" t="inlineStr">
        <is>
          <t>IT IS PAID ON FACE, NOT ON VALUE. A $25,000 bond worth $24,200 still pays 4.5% of $25,000 — computing it on the market value understates the income.</t>
        </is>
      </c>
      <c r="S62" s="3" t="inlineStr"/>
      <c r="T62" s="3" t="inlineStr">
        <is>
          <t>IT IS PAID ON FACE, NOT ON VALUE. A $25,000 bond worth $24,200 still pays 4.5% of $25,000 — computing it on the market value understates the income.</t>
        </is>
      </c>
      <c r="U62" s="3" t="inlineStr"/>
      <c r="V62" s="3" t="inlineStr"/>
      <c r="W62" s="3" t="inlineStr"/>
      <c r="X62" s="3" t="inlineStr"/>
      <c r="Y62" s="3" t="inlineStr"/>
      <c r="Z62" s="3" t="inlineStr">
        <is>
          <t>DECLARED IN THE CODE (rule 11) — printed from the door, not typed. RULED 2026-10-01</t>
        </is>
      </c>
      <c r="AA62" s="3" t="inlineStr"/>
      <c r="AB62" s="3" t="inlineStr"/>
      <c r="AC62" s="3" t="inlineStr"/>
      <c r="AD62" s="3" t="inlineStr"/>
      <c r="AE62" s="3" t="inlineStr"/>
      <c r="AF62" s="3" t="inlineStr">
        <is>
          <t>ACTIVE</t>
        </is>
      </c>
      <c r="AG62" s="3" t="inlineStr">
        <is>
          <t>2026-10-04</t>
        </is>
      </c>
      <c r="AH62" s="3" t="inlineStr"/>
      <c r="AI62" s="3" t="inlineStr"/>
      <c r="AJ62"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2" s="3" t="inlineStr">
        <is>
          <t>(the claim now stands in 'Inputs it needs' until the row is approved)</t>
        </is>
      </c>
      <c r="AL62" s="3" t="inlineStr"/>
      <c r="AM62" s="3" t="inlineStr">
        <is>
          <t>TESTED, NOT VERIFIED — you ruled on this row 2026-10-01; the figure, its formula, inputs and refusal live in MK-NW-O-001 theBonds</t>
        </is>
      </c>
      <c r="AN62" s="3" t="inlineStr">
        <is>
          <t>Two bonds on 28 Sep 2026: a $25,000-face Treasury paying 4.5%, maturing 30 Sep 2029, worth $24,200 today; and a $10,000 Ally CD paying 5.05%, maturing 15 Mar 2027, worth its $10,000.
GIVES: $505/year
(the test re-runs this through MK-NW-O-001 theBonds on every build)</t>
        </is>
      </c>
      <c r="AO62" s="3" t="inlineStr">
        <is>
          <t>NOTHING OPEN</t>
        </is>
      </c>
    </row>
    <row r="63" ht="60" customHeight="1">
      <c r="A63" s="3" t="inlineStr">
        <is>
          <t>MK-NW-M-057</t>
        </is>
      </c>
      <c r="B63" s="3" t="inlineStr">
        <is>
          <t>Networth</t>
        </is>
      </c>
      <c r="C63" s="3" t="inlineStr">
        <is>
          <t>/bonds</t>
        </is>
      </c>
      <c r="D63" s="3" t="inlineStr">
        <is>
          <t>yield</t>
        </is>
      </c>
      <c r="E63" s="3" t="inlineStr">
        <is>
          <t>yield</t>
        </is>
      </c>
      <c r="F63" s="3" t="inlineStr">
        <is>
          <t>theBonds</t>
        </is>
      </c>
      <c r="G63" s="3" t="inlineStr">
        <is>
          <t>MK-NW-O-001</t>
        </is>
      </c>
      <c r="H63" s="3" t="inlineStr">
        <is>
          <t>its coupon a year ÷ its value today, less accrued interest where that was entered</t>
        </is>
      </c>
      <c r="I63" s="3" t="inlineStr">
        <is>
          <t>its coupon a year ÷ its value today, less accrued interest where that was entered</t>
        </is>
      </c>
      <c r="J63" s="3" t="inlineStr">
        <is>
          <t>MK-XS-I-001 account balance
MK-XS-I-065 accrued interest</t>
        </is>
      </c>
      <c r="K63" s="3" t="inlineStr">
        <is>
          <t>a percentage, two decimals</t>
        </is>
      </c>
      <c r="L63" s="3" t="inlineStr">
        <is>
          <t>— when there is no coupon rate or no value to divide by.</t>
        </is>
      </c>
      <c r="M63" s="3" t="inlineStr">
        <is>
          <t>one bond</t>
        </is>
      </c>
      <c r="N63" s="3" t="inlineStr">
        <is>
          <t>as of today</t>
        </is>
      </c>
      <c r="O63"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63" s="3" t="inlineStr">
        <is>
          <t>Declared by MK-NW-O-001 theBonds</t>
        </is>
      </c>
      <c r="Q63" s="3" t="inlineStr">
        <is>
          <t>WHERE ACCRUED INTEREST WAS NOT ENTERED the row says so beneath the figures rather than quietly leaving it in the price (his ruling, DEC-0280).</t>
        </is>
      </c>
      <c r="R63" s="3" t="inlineStr">
        <is>
          <t>WHERE ACCRUED INTEREST WAS NOT ENTERED the row says so beneath the figures rather than quietly leaving it in the price (his ruling, DEC-0280).</t>
        </is>
      </c>
      <c r="S63" s="3" t="inlineStr"/>
      <c r="T63" s="3" t="inlineStr">
        <is>
          <t>WHERE ACCRUED INTEREST WAS NOT ENTERED the row says so beneath the figures rather than quietly leaving it in the price (his ruling, DEC-0280).</t>
        </is>
      </c>
      <c r="U63" s="3" t="inlineStr"/>
      <c r="V63" s="3" t="inlineStr"/>
      <c r="W63" s="3" t="inlineStr"/>
      <c r="X63" s="3" t="inlineStr"/>
      <c r="Y63" s="3" t="inlineStr"/>
      <c r="Z63" s="3" t="inlineStr">
        <is>
          <t>DECLARED IN THE CODE (rule 11) — printed from the door, not typed. RULED 2026-10-01</t>
        </is>
      </c>
      <c r="AA63" s="3" t="inlineStr"/>
      <c r="AB63" s="3" t="inlineStr"/>
      <c r="AC63" s="3" t="inlineStr"/>
      <c r="AD63" s="3" t="inlineStr"/>
      <c r="AE63" s="3" t="inlineStr"/>
      <c r="AF63" s="3" t="inlineStr">
        <is>
          <t>ACTIVE</t>
        </is>
      </c>
      <c r="AG63" s="3" t="inlineStr">
        <is>
          <t>2026-10-04</t>
        </is>
      </c>
      <c r="AH63" s="3" t="inlineStr"/>
      <c r="AI63" s="3" t="inlineStr"/>
      <c r="AJ63"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3" s="3" t="inlineStr">
        <is>
          <t>(the claim now stands in 'Inputs it needs' until the row is approved)</t>
        </is>
      </c>
      <c r="AL63" s="3" t="inlineStr"/>
      <c r="AM63" s="3" t="inlineStr">
        <is>
          <t>TESTED, NOT VERIFIED — you ruled on this row 2026-10-01; the figure, its formula, inputs and refusal live in MK-NW-O-001 theBonds</t>
        </is>
      </c>
      <c r="AN63" s="3" t="inlineStr">
        <is>
          <t>Two bonds on 28 Sep 2026: a $25,000-face Treasury paying 4.5%, maturing 30 Sep 2029, worth $24,200 today; and a $10,000 Ally CD paying 5.05%, maturing 15 Mar 2027, worth its $10,000.
GIVES: 5.05%
(the test re-runs this through MK-NW-O-001 theBonds on every build)</t>
        </is>
      </c>
      <c r="AO63" s="3" t="inlineStr">
        <is>
          <t>NOTHING OPEN</t>
        </is>
      </c>
    </row>
    <row r="64" ht="60" customHeight="1">
      <c r="A64" s="3" t="inlineStr">
        <is>
          <t>MK-NW-M-058</t>
        </is>
      </c>
      <c r="B64" s="3" t="inlineStr">
        <is>
          <t>Networth</t>
        </is>
      </c>
      <c r="C64" s="3" t="inlineStr">
        <is>
          <t>/bonds</t>
        </is>
      </c>
      <c r="D64" s="3" t="inlineStr">
        <is>
          <t>Yield to maturity</t>
        </is>
      </c>
      <c r="E64" s="3" t="inlineStr">
        <is>
          <t>yield_to_maturity</t>
        </is>
      </c>
      <c r="F64" s="3" t="inlineStr">
        <is>
          <t>theBonds</t>
        </is>
      </c>
      <c r="G64" s="3" t="inlineStr">
        <is>
          <t>MK-NW-O-001</t>
        </is>
      </c>
      <c r="H64" s="3" t="inlineStr">
        <is>
          <t>the coupon a year plus (face − value) spread over the years left, ÷ the value today</t>
        </is>
      </c>
      <c r="I64" s="3" t="inlineStr">
        <is>
          <t>the coupon a year plus (face − value) spread over the years left, ÷ the value today</t>
        </is>
      </c>
      <c r="J64" s="3" t="inlineStr">
        <is>
          <t>MK-XS-I-001 account balance</t>
        </is>
      </c>
      <c r="K64" s="3" t="inlineStr">
        <is>
          <t>a percentage, two decimals</t>
        </is>
      </c>
      <c r="L64" s="3" t="inlineStr">
        <is>
          <t>— with no maturity date there are no years to spread the difference over.</t>
        </is>
      </c>
      <c r="M64" s="3" t="inlineStr">
        <is>
          <t>one bond</t>
        </is>
      </c>
      <c r="N64" s="3" t="inlineStr">
        <is>
          <t>as of today</t>
        </is>
      </c>
      <c r="O64" s="3" t="inlineStr">
        <is>
          <t>1. MK-ST-F-027 (accountId) → string
2. MK-NW-F-057 (annualCoupon) → number
3. MK-NW-F-056 (bondInfo) → BondInfo
4. MK-NW-F-064 (bondRateSensitivity) → RateSensitivity | null
5. MK-NW-F-061 (bondSummary) → BondSummary
6. MK-NW-F-055 (isBond) → boolean
7. MK-CF-F-132 (map) → NOT DECLARED — the code does not say what it gives back
8. MK-NW-F-072 (rowOf) → BondRow</t>
        </is>
      </c>
      <c r="P64" s="3" t="inlineStr">
        <is>
          <t>Declared by MK-NW-O-001 theBonds</t>
        </is>
      </c>
      <c r="Q64" s="3" t="inlineStr">
        <is>
          <t>AN ESTIMATE, and the foot of the screen says so in those words.</t>
        </is>
      </c>
      <c r="R64" s="3" t="inlineStr">
        <is>
          <t>AN ESTIMATE, and the foot of the screen says so in those words.</t>
        </is>
      </c>
      <c r="S64" s="3" t="inlineStr"/>
      <c r="T64" s="3" t="inlineStr">
        <is>
          <t>AN ESTIMATE, and the foot of the screen says so in those words.</t>
        </is>
      </c>
      <c r="U64" s="3" t="inlineStr"/>
      <c r="V64" s="3" t="inlineStr"/>
      <c r="W64" s="3" t="inlineStr"/>
      <c r="X64" s="3" t="inlineStr"/>
      <c r="Y64" s="3" t="inlineStr"/>
      <c r="Z64" s="3" t="inlineStr">
        <is>
          <t>DECLARED IN THE CODE (rule 11) — printed from the door, not typed. RULED 2026-10-01</t>
        </is>
      </c>
      <c r="AA64" s="3" t="inlineStr"/>
      <c r="AB64" s="3" t="inlineStr"/>
      <c r="AC64" s="3" t="inlineStr"/>
      <c r="AD64" s="3" t="inlineStr"/>
      <c r="AE64" s="3" t="inlineStr"/>
      <c r="AF64" s="3" t="inlineStr">
        <is>
          <t>ACTIVE</t>
        </is>
      </c>
      <c r="AG64" s="3" t="inlineStr">
        <is>
          <t>2026-10-04</t>
        </is>
      </c>
      <c r="AH64" s="3" t="inlineStr"/>
      <c r="AI64" s="3" t="inlineStr"/>
      <c r="AJ64" s="3" t="inlineStr">
        <is>
          <t>1. MK-XS-I-001 account balance — read by MK-NW-F-056, MK-NW-O-001, MK-ST-F-027
2. MK-XS-I-002 account type (taxable, pre-tax, Roth) — read by MK-NW-F-011, MK-NW-O-001
3. MK-XS-I-003 institution name — read by MK-NW-F-071, MK-NW-F-072, MK-NW-O-001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MK-NW-O-001
9. MK-XS-I-013 bond maturity date — read by MK-NW-F-011, MK-NW-F-056, MK-NW-F-058, MK-NW-F-060, MK-NW-F-061, MK-NW-F-069, MK
10. MK-XS-I-028 assumed return — read by MK-NW-O-001
11. MK-XS-I-048 the person’s own asset-class answer — read by MK-NW-F-011, MK-ST-F-027
12. MK-XS-I-049 bond price — what the bond is worth today — read by MK-NW-F-056, MK-NW-F-057, MK-NW-F-059, MK-NW-F-060, MK-NW-F-061, MK-NW-F-064, MK
13. MK-XS-I-055 the wrapper an account sits in — ISA, 401(k), IRA and the rest — read by MK-NW-F-011,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4" s="3" t="inlineStr">
        <is>
          <t>(the claim now stands in 'Inputs it needs' until the row is approved)</t>
        </is>
      </c>
      <c r="AL64" s="3" t="inlineStr"/>
      <c r="AM64" s="3" t="inlineStr">
        <is>
          <t>TESTED, NOT VERIFIED — you ruled on this row 2026-10-01; the figure, its formula, inputs and refusal live in MK-NW-O-001 theBonds</t>
        </is>
      </c>
      <c r="AN64" s="3" t="inlineStr">
        <is>
          <t>Two bonds on 28 Sep 2026: a $25,000-face Treasury paying 4.5%, maturing 30 Sep 2029, worth $24,200 today; and a $10,000 Ally CD paying 5.05%, maturing 15 Mar 2027, worth its $10,000.
GIVES: 5.05%
(the test re-runs this through MK-NW-O-001 theBonds on every build)</t>
        </is>
      </c>
      <c r="AO64" s="3" t="inlineStr">
        <is>
          <t>NOTHING OPEN</t>
        </is>
      </c>
    </row>
    <row r="65" ht="60" customHeight="1">
      <c r="A65" s="3" t="inlineStr">
        <is>
          <t>MK-NW-M-059</t>
        </is>
      </c>
      <c r="B65" s="3" t="inlineStr">
        <is>
          <t>Networth</t>
        </is>
      </c>
      <c r="C65" s="3" t="inlineStr">
        <is>
          <t>/holding-detail</t>
        </is>
      </c>
      <c r="D65" s="3" t="inlineStr">
        <is>
          <t>Change since purchase</t>
        </is>
      </c>
      <c r="E65" s="3" t="inlineStr">
        <is>
          <t>change_since_purchase</t>
        </is>
      </c>
      <c r="F65" s="3" t="inlineStr">
        <is>
          <t>theHolding</t>
        </is>
      </c>
      <c r="G65" s="3" t="inlineStr">
        <is>
          <t>MK-NW-O-006</t>
        </is>
      </c>
      <c r="H65" s="3" t="inlineStr">
        <is>
          <t>what it is worth today − what was paid for it</t>
        </is>
      </c>
      <c r="I65" s="3" t="inlineStr">
        <is>
          <t>what it is worth today − what was paid for it</t>
        </is>
      </c>
      <c r="J65" s="3" t="inlineStr">
        <is>
          <t>MK-XS-I-001 account balance</t>
        </is>
      </c>
      <c r="K65" s="3" t="inlineStr">
        <is>
          <t>dollars, whole</t>
        </is>
      </c>
      <c r="L65" s="3" t="inlineStr">
        <is>
          <t>No price — the row is left out, and the screen says what was paid instead.</t>
        </is>
      </c>
      <c r="M65" s="3" t="inlineStr">
        <is>
          <t>one holding</t>
        </is>
      </c>
      <c r="N65" s="3" t="inlineStr">
        <is>
          <t>as of today</t>
        </is>
      </c>
      <c r="O65"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65" s="3" t="inlineStr">
        <is>
          <t>Declared by MK-NW-O-006 theHolding</t>
        </is>
      </c>
      <c r="Q65" s="3" t="inlineStr">
        <is>
          <t>IT IS AGAINST WHAT WAS PAID, not against any starting price: the figure answers "am I ahead on this holding", which only the cost basis can answer.
WITHOUT A PRICE THERE IS NO FIGURE at all, rather than a zero — a gain of zero reads as break-even when the truth is that nothing is known.</t>
        </is>
      </c>
      <c r="R65" s="3" t="inlineStr">
        <is>
          <t>IT IS AGAINST WHAT WAS PAID, not against any starting price: the figure answers "am I ahead on this holding", which only the cost basis can answer.
WITHOUT A PRICE THERE IS NO FIGURE at all, rather than a zero — a gain of zero reads as break-even when the truth is that nothing is known.</t>
        </is>
      </c>
      <c r="S65" s="3" t="inlineStr"/>
      <c r="T65" s="3" t="inlineStr">
        <is>
          <t>IT IS AGAINST WHAT WAS PAID, not against any starting price: the figure answers "am I ahead on this holding", which only the cost basis can answer.
WITHOUT A PRICE THERE IS NO FIGURE at all, rather than a zero — a gain of zero reads as break-even when the truth is that nothing is known.</t>
        </is>
      </c>
      <c r="U65" s="3" t="inlineStr"/>
      <c r="V65" s="3" t="inlineStr"/>
      <c r="W65" s="3" t="inlineStr"/>
      <c r="X65" s="3" t="inlineStr"/>
      <c r="Y65" s="3" t="inlineStr"/>
      <c r="Z65" s="3" t="inlineStr">
        <is>
          <t>DECLARED IN THE CODE (rule 11) — printed from the door, not typed. RULED 2026-10-01</t>
        </is>
      </c>
      <c r="AA65" s="3" t="inlineStr"/>
      <c r="AB65" s="3" t="inlineStr"/>
      <c r="AC65" s="3" t="inlineStr"/>
      <c r="AD65" s="3" t="inlineStr"/>
      <c r="AE65" s="3" t="inlineStr"/>
      <c r="AF65" s="3" t="inlineStr">
        <is>
          <t>ACTIVE</t>
        </is>
      </c>
      <c r="AG65" s="3" t="inlineStr">
        <is>
          <t>2026-10-04</t>
        </is>
      </c>
      <c r="AH65" s="3" t="inlineStr"/>
      <c r="AI65" s="3" t="inlineStr"/>
      <c r="AJ65"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65" s="3" t="inlineStr">
        <is>
          <t>(the claim now stands in 'Inputs it needs' until the row is approved)</t>
        </is>
      </c>
      <c r="AL65" s="3" t="inlineStr"/>
      <c r="AM65" s="3" t="inlineStr">
        <is>
          <t>TESTED, NOT VERIFIED — you ruled on this row 2026-10-01; the figure, its formula, inputs and refusal live in MK-NW-O-006 theHolding</t>
        </is>
      </c>
      <c r="AN65" s="3" t="inlineStr">
        <is>
          <t>140 shares of VTI on 28 Sep 2026, priced at $290: 100 bought at $210 in Mar 2023 and 40 at $265 in Jun 2026. Dividends of $420 and $405 this year; 20 shares bought at $200 were sold at $285.
GIVES: $9,000
(the test re-runs this through MK-NW-O-006 theHolding on every build)</t>
        </is>
      </c>
      <c r="AO65" s="3" t="inlineStr">
        <is>
          <t>NOTHING OPEN</t>
        </is>
      </c>
    </row>
    <row r="66" ht="60" customHeight="1">
      <c r="A66" s="3" t="inlineStr">
        <is>
          <t>MK-NW-M-060</t>
        </is>
      </c>
      <c r="B66" s="3" t="inlineStr">
        <is>
          <t>Networth</t>
        </is>
      </c>
      <c r="C66" s="3" t="inlineStr">
        <is>
          <t>/holding-detail</t>
        </is>
      </c>
      <c r="D66" s="3" t="inlineStr">
        <is>
          <t>up</t>
        </is>
      </c>
      <c r="E66" s="3" t="inlineStr">
        <is>
          <t>up</t>
        </is>
      </c>
      <c r="F66" s="3" t="inlineStr">
        <is>
          <t>theHolding</t>
        </is>
      </c>
      <c r="G66" s="3" t="inlineStr">
        <is>
          <t>MK-NW-O-006</t>
        </is>
      </c>
      <c r="H66" s="3" t="inlineStr">
        <is>
          <t>the last close − the close before it</t>
        </is>
      </c>
      <c r="I66" s="3" t="inlineStr">
        <is>
          <t>the last close − the close before it</t>
        </is>
      </c>
      <c r="J66" s="3" t="inlineStr">
        <is>
          <t>MK-XS-I-006 price fetched at</t>
        </is>
      </c>
      <c r="K66" s="3" t="inlineStr">
        <is>
          <t>dollars, two decimals</t>
        </is>
      </c>
      <c r="L66" s="3" t="inlineStr">
        <is>
          <t>Fewer than two closes known, or a previous close of zero — the line is not drawn.</t>
        </is>
      </c>
      <c r="M66" s="3" t="inlineStr">
        <is>
          <t>one holding</t>
        </is>
      </c>
      <c r="N66" s="3" t="inlineStr">
        <is>
          <t>as of today</t>
        </is>
      </c>
      <c r="O66"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66" s="3" t="inlineStr">
        <is>
          <t>Declared by MK-NW-O-006 theHolding</t>
        </is>
      </c>
      <c r="Q66" s="3" t="inlineStr">
        <is>
          <t>TWO CLOSES ARE NEEDED. One price is a price, not a change, so with a single point there is no figure rather than a change of zero.
IT CAME OFF THE SCREEN (2026-10-01). It was calculated inside HoldingDetailScreen from the price series — a money figure derived inline on a screen, which is what one door exists to prevent. The door computes it now and the screen prints what the door says.</t>
        </is>
      </c>
      <c r="R66" s="3" t="inlineStr">
        <is>
          <t>TWO CLOSES ARE NEEDED. One price is a price, not a change, so with a single point there is no figure rather than a change of zero.
IT CAME OFF THE SCREEN (2026-10-01). It was calculated inside HoldingDetailScreen from the price series — a money figure derived inline on a screen, which is what one door exists to prevent. The door computes it now and the screen prints what the door says.</t>
        </is>
      </c>
      <c r="S66" s="3" t="inlineStr"/>
      <c r="T66" s="3" t="inlineStr">
        <is>
          <t>TWO CLOSES ARE NEEDED. One price is a price, not a change, so with a single point there is no figure rather than a change of zero.
IT CAME OFF THE SCREEN (2026-10-01). It was calculated inside HoldingDetailScreen from the price series — a money figure derived inline on a screen, which is what one door exists to prevent. The door computes it now and the screen prints what the door says.</t>
        </is>
      </c>
      <c r="U66" s="3" t="inlineStr"/>
      <c r="V66" s="3" t="inlineStr"/>
      <c r="W66" s="3" t="inlineStr"/>
      <c r="X66" s="3" t="inlineStr"/>
      <c r="Y66" s="3" t="inlineStr"/>
      <c r="Z66" s="3" t="inlineStr">
        <is>
          <t>DECLARED IN THE CODE (rule 11) — printed from the door, not typed. RULED 2026-10-01</t>
        </is>
      </c>
      <c r="AA66" s="3" t="inlineStr"/>
      <c r="AB66" s="3" t="inlineStr"/>
      <c r="AC66" s="3" t="inlineStr"/>
      <c r="AD66" s="3" t="inlineStr"/>
      <c r="AE66" s="3" t="inlineStr"/>
      <c r="AF66" s="3" t="inlineStr">
        <is>
          <t>ACTIVE</t>
        </is>
      </c>
      <c r="AG66" s="3" t="inlineStr">
        <is>
          <t>2026-10-04</t>
        </is>
      </c>
      <c r="AH66" s="3" t="inlineStr"/>
      <c r="AI66" s="3" t="inlineStr"/>
      <c r="AJ66"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66" s="3" t="inlineStr">
        <is>
          <t>(the claim now stands in 'Inputs it needs' until the row is approved)</t>
        </is>
      </c>
      <c r="AL66" s="3" t="inlineStr"/>
      <c r="AM66" s="3" t="inlineStr">
        <is>
          <t>TESTED, NOT VERIFIED — you ruled on this row 2026-10-01; the figure, its formula, inputs and refusal live in MK-NW-O-006 theHolding</t>
        </is>
      </c>
      <c r="AN66" s="3" t="inlineStr">
        <is>
          <t>140 shares of VTI on 28 Sep 2026, priced at $290: 100 bought at $210 in Mar 2023 and 40 at $265 in Jun 2026. Dividends of $420 and $405 this year; 20 shares bought at $200 were sold at $285.
GIVES: $2.31
(the test re-runs this through MK-NW-O-006 theHolding on every build)</t>
        </is>
      </c>
      <c r="AO66" s="3" t="inlineStr">
        <is>
          <t>NOTHING OPEN</t>
        </is>
      </c>
    </row>
    <row r="67" ht="60" customHeight="1">
      <c r="A67" s="3" t="inlineStr">
        <is>
          <t>MK-NW-M-061</t>
        </is>
      </c>
      <c r="B67" s="3" t="inlineStr">
        <is>
          <t>Networth</t>
        </is>
      </c>
      <c r="C67" s="3" t="inlineStr">
        <is>
          <t>/holding-detail · /invest</t>
        </is>
      </c>
      <c r="D67" s="3" t="inlineStr">
        <is>
          <t>sh @</t>
        </is>
      </c>
      <c r="E67" s="3" t="inlineStr">
        <is>
          <t>sh</t>
        </is>
      </c>
      <c r="F67" s="3" t="inlineStr">
        <is>
          <t>theHolding</t>
        </is>
      </c>
      <c r="G67" s="3" t="inlineStr">
        <is>
          <t>MK-NW-O-006</t>
        </is>
      </c>
      <c r="H67" s="3" t="inlineStr">
        <is>
          <t>the cost per share as recorded on that purchase</t>
        </is>
      </c>
      <c r="I67" s="3" t="inlineStr">
        <is>
          <t>the cost per share as recorded on that purchase</t>
        </is>
      </c>
      <c r="J67" s="3" t="inlineStr">
        <is>
          <t>MK-XS-I-001 account balance</t>
        </is>
      </c>
      <c r="K67" s="3" t="inlineStr">
        <is>
          <t>dollars, two decimals</t>
        </is>
      </c>
      <c r="L67" s="3" t="inlineStr">
        <is>
          <t>No purchases recorded — the section is not drawn.</t>
        </is>
      </c>
      <c r="M67" s="3" t="inlineStr">
        <is>
          <t>one purchase</t>
        </is>
      </c>
      <c r="N67" s="3" t="inlineStr">
        <is>
          <t>as of today</t>
        </is>
      </c>
      <c r="O67" s="3" t="inlineStr">
        <is>
          <t>1. MK-PF-F-006 (capGains) → CapGains
2. MK-PF-F-002 (costBasis) → number
3. MK-CF-F-132 (map) → NOT DECLARED — the code does not say what it gives back
4. MK-PF-F-004 (marketValue) → number
5. MK-PF-F-028 (realizedFromLedger) → NOT DECLARED — the code does not say what it gives back
6. MK-PF-F-001 (totalShares) → number</t>
        </is>
      </c>
      <c r="P67" s="3" t="inlineStr">
        <is>
          <t>Declared by MK-NW-O-006 theHolding</t>
        </is>
      </c>
      <c r="Q67" s="3" t="inlineStr">
        <is>
          <t>EACH PURCHASE KEEPS ITS OWN PRICE. They are what the average above them is made of, so a person can check the average rather than having to trust it.</t>
        </is>
      </c>
      <c r="R67" s="3" t="inlineStr">
        <is>
          <t>EACH PURCHASE KEEPS ITS OWN PRICE. They are what the average above them is made of, so a person can check the average rather than having to trust it.</t>
        </is>
      </c>
      <c r="S67" s="3" t="inlineStr"/>
      <c r="T67" s="3" t="inlineStr">
        <is>
          <t>EACH PURCHASE KEEPS ITS OWN PRICE. They are what the average above them is made of, so a person can check the average rather than having to trust it.</t>
        </is>
      </c>
      <c r="U67" s="3" t="inlineStr"/>
      <c r="V67" s="3" t="inlineStr"/>
      <c r="W67" s="3" t="inlineStr"/>
      <c r="X67" s="3" t="inlineStr"/>
      <c r="Y67" s="3" t="inlineStr"/>
      <c r="Z67" s="3" t="inlineStr">
        <is>
          <t>DECLARED IN THE CODE (rule 11) — printed from the door, not typed. RULED 2026-10-01</t>
        </is>
      </c>
      <c r="AA67" s="3" t="inlineStr"/>
      <c r="AB67" s="3" t="inlineStr"/>
      <c r="AC67" s="3" t="inlineStr"/>
      <c r="AD67" s="3" t="inlineStr"/>
      <c r="AE67" s="3" t="inlineStr"/>
      <c r="AF67" s="3" t="inlineStr">
        <is>
          <t>ACTIVE</t>
        </is>
      </c>
      <c r="AG67" s="3" t="inlineStr">
        <is>
          <t>2026-10-04</t>
        </is>
      </c>
      <c r="AH67" s="3" t="inlineStr"/>
      <c r="AI67" s="3" t="inlineStr"/>
      <c r="AJ67" s="3" t="inlineStr">
        <is>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MK-XS-I-055 the wrapper an account sits in — ISA, 401(k), IRA and the rest — read by MK-PF-F-031
7. MK-XS-I-063 option contract multiplier — 100 unless the broker or the person states otherwise — read by MK-PF-F-002, MK-PF-F-004, MK-PF-F-031
8. MK-XS-I-064 the unit beside a quantity — shares, coins, contracts, ounces or units — read by MK-NW-O-006
[the code's record, this build — evidence for the ruling, not the row's statement: it cannot see inputs handed in as arguments, and it counts every branch below the producer]</t>
        </is>
      </c>
      <c r="AK67" s="3" t="inlineStr">
        <is>
          <t>(the claim now stands in 'Inputs it needs' until the row is approved)</t>
        </is>
      </c>
      <c r="AL67" s="3" t="inlineStr"/>
      <c r="AM67" s="3" t="inlineStr">
        <is>
          <t>TESTED, NOT VERIFIED — you ruled on this row 2026-10-01; the figure, its formula, inputs and refusal live in MK-NW-O-006 theHolding</t>
        </is>
      </c>
      <c r="AN67" s="3" t="inlineStr">
        <is>
          <t>140 shares of VTI on 28 Sep 2026, priced at $290: 100 bought at $210 in Mar 2023 and 40 at $265 in Jun 2026. Dividends of $420 and $405 this year; 20 shares bought at $200 were sold at $285.
GIVES: $210.00
(the test re-runs this through MK-NW-O-006 theHolding on every build)</t>
        </is>
      </c>
      <c r="AO67" s="3" t="inlineStr">
        <is>
          <t>NOTHING OPEN</t>
        </is>
      </c>
    </row>
    <row r="68" ht="60" customHeight="1">
      <c r="A68" s="3" t="inlineStr">
        <is>
          <t>MK-NW-M-062</t>
        </is>
      </c>
      <c r="B68" s="3" t="inlineStr">
        <is>
          <t>Networth</t>
        </is>
      </c>
      <c r="C68" s="3" t="inlineStr">
        <is>
          <t>/account-detail · /invest</t>
        </is>
      </c>
      <c r="D68" s="3" t="inlineStr">
        <is>
          <t>what one record moved</t>
        </is>
      </c>
      <c r="E68" s="3" t="inlineStr">
        <is>
          <t>what_one_record_moved</t>
        </is>
      </c>
      <c r="F68" s="3" t="inlineStr">
        <is>
          <t>theAccount</t>
        </is>
      </c>
      <c r="G68" s="3" t="inlineStr">
        <is>
          <t>MK-NW-O-002</t>
        </is>
      </c>
      <c r="H68" s="3" t="inlineStr">
        <is>
          <t>the amount on the record, positive where it came in and negative where it went out</t>
        </is>
      </c>
      <c r="I68" s="3" t="inlineStr">
        <is>
          <t>the amount on the record, positive where it came in and negative where it went out</t>
        </is>
      </c>
      <c r="J68" s="3" t="inlineStr">
        <is>
          <t>MK-NW-I-004 the activity records</t>
        </is>
      </c>
      <c r="K68" s="3" t="inlineStr">
        <is>
          <t>dollars, whole</t>
        </is>
      </c>
      <c r="L68" s="3" t="inlineStr">
        <is>
          <t>No records yet — the section keeps its heading and says so.</t>
        </is>
      </c>
      <c r="M68" s="3" t="inlineStr">
        <is>
          <t>one record</t>
        </is>
      </c>
      <c r="N68" s="3" t="inlineStr">
        <is>
          <t>as of today</t>
        </is>
      </c>
      <c r="O68" s="3" t="inlineStr">
        <is>
          <t>1. MK-NW-F-027 (accountClassBreakdown) → Record&lt;AssetClass, number&gt; | null
2. MK-CF-F-118 (cashEffect) → number
3. MK-CF-F-132 (map) → NOT DECLARED — the code does not say what it gives back
4. MK-ST-F-013 (personalFlowTotals) → PersonalFlowTotals
5. MK-ST-F-021 (toNumber) → number | null</t>
        </is>
      </c>
      <c r="P68" s="3" t="inlineStr">
        <is>
          <t>Declared by MK-NW-O-002 theAccount</t>
        </is>
      </c>
      <c r="Q68" s="3" t="inlineStr">
        <is>
          <t>THE SIGN IS SHOWN AS A WORD OR A MARK, never by colour alone — a plus or a minus in front of the figure, so it reads the same to someone who cannot tell the two colours apart.
A RECORD YOU TYPED AND ONE THE BROKER SENT BOTH APPEAR, each saying which it is (DEC-0107). A $500 deposit mistyped as $5,000 is only findable if the row says where it came from.</t>
        </is>
      </c>
      <c r="R68" s="3" t="inlineStr">
        <is>
          <t>THE SIGN IS SHOWN AS A WORD OR A MARK, never by colour alone — a plus or a minus in front of the figure, so it reads the same to someone who cannot tell the two colours apart.
A RECORD YOU TYPED AND ONE THE BROKER SENT BOTH APPEAR, each saying which it is (DEC-0107). A $500 deposit mistyped as $5,000 is only findable if the row says where it came from.</t>
        </is>
      </c>
      <c r="S68" s="3" t="inlineStr"/>
      <c r="T68" s="3" t="inlineStr">
        <is>
          <t>THE SIGN IS SHOWN AS A WORD OR A MARK, never by colour alone — a plus or a minus in front of the figure, so it reads the same to someone who cannot tell the two colours apart.
A RECORD YOU TYPED AND ONE THE BROKER SENT BOTH APPEAR, each saying which it is (DEC-0107). A $500 deposit mistyped as $5,000 is only findable if the row says where it came from.</t>
        </is>
      </c>
      <c r="U68" s="3" t="inlineStr"/>
      <c r="V68" s="3" t="inlineStr"/>
      <c r="W68" s="3" t="inlineStr"/>
      <c r="X68" s="3" t="inlineStr"/>
      <c r="Y68" s="3" t="inlineStr"/>
      <c r="Z68" s="3" t="inlineStr">
        <is>
          <t>DECLARED IN THE CODE (rule 11) — printed from the door, not typed. RULED 2026-10-01</t>
        </is>
      </c>
      <c r="AA68" s="3" t="inlineStr"/>
      <c r="AB68" s="3" t="inlineStr"/>
      <c r="AC68" s="3" t="inlineStr"/>
      <c r="AD68" s="3" t="inlineStr"/>
      <c r="AE68" s="3" t="inlineStr"/>
      <c r="AF68" s="3" t="inlineStr">
        <is>
          <t>ACTIVE</t>
        </is>
      </c>
      <c r="AG68" s="3" t="inlineStr">
        <is>
          <t>2026-10-04</t>
        </is>
      </c>
      <c r="AH68" s="3" t="inlineStr"/>
      <c r="AI68" s="3" t="inlineStr"/>
      <c r="AJ68" s="3" t="inlineStr">
        <is>
          <t>1. MK-XS-I-001 account balance — read by MK-NW-F-027, MK-NW-O-002, MK-ST-F-027
2. MK-XS-I-002 account type (taxable, pre-tax, Roth) — read by MK-NW-F-011
3. MK-XS-I-004 holding quantity (shares) — read by MK-CF-F-118, MK-NW-F-027, MK-ST-F-027
4. MK-XS-I-005 holding price — read by MK-NW-F-027, MK-ST-F-027
5. MK-XS-I-007 purchase price and date (per lot) — read by MK-ST-F-027
6. MK-XS-I-008 transaction amount — read by MK-CF-F-118, MK-NW-O-002
7. MK-XS-I-009 transaction date — read by MK-NW-O-002
8. MK-XS-I-010 transaction words (the institution's own wording) — read by MK-NW-F-027, MK-ST-F-013
9. MK-XS-I-013 bond maturity date — read by MK-NW-F-011, MK-ST-F-010
10. MK-XS-I-024 logged expenses — read by MK-NW-O-002
11. MK-XS-I-034 option positions — contracts, strike, expiry, put or call — read by MK-NW-F-027
12. MK-XS-I-048 the person’s own asset-class answer — read by MK-NW-F-011, MK-NW-F-027, MK-ST-F-027
13. MK-XS-I-055 the wrapper an account sits in — ISA, 401(k), IRA and the rest — read by MK-NW-F-011
[the code's record, this build — evidence for the ruling, not the row's statement: it cannot see inputs handed in as arguments, and it counts every branch below the producer]</t>
        </is>
      </c>
      <c r="AK68" s="3" t="inlineStr">
        <is>
          <t>(the claim now stands in 'Inputs it needs' until the row is approved)</t>
        </is>
      </c>
      <c r="AL68" s="3" t="inlineStr"/>
      <c r="AM68" s="3" t="inlineStr">
        <is>
          <t>TESTED, NOT VERIFIED — you ruled on this row 2026-10-01; the figure, its formula, inputs and refusal live in MK-NW-O-002 theAccount</t>
        </is>
      </c>
      <c r="AN68" s="3" t="inlineStr">
        <is>
          <t>A linked Fidelity brokerage worth $46,600: $6,000 in cash and 140 shares of VTI marked at $290 ($40,600). Its records: dividends of $420 and $405, a buy of 20 shares at $200, a sell of 20 at $285.
GIVES: $420
(the test re-runs this through MK-NW-O-002 theAccount on every build)</t>
        </is>
      </c>
      <c r="AO68" s="3" t="inlineStr">
        <is>
          <t>NOTHING OPEN</t>
        </is>
      </c>
    </row>
    <row r="69" ht="60" customHeight="1">
      <c r="A69" s="3" t="inlineStr">
        <is>
          <t>MK-NW-M-063</t>
        </is>
      </c>
      <c r="B69" s="3" t="inlineStr">
        <is>
          <t>Networth</t>
        </is>
      </c>
      <c r="C69" s="3" t="inlineStr">
        <is>
          <t>/analytics</t>
        </is>
      </c>
      <c r="D69" s="3" t="inlineStr">
        <is>
          <t>what is inside this institution</t>
        </is>
      </c>
      <c r="E69" s="3" t="inlineStr">
        <is>
          <t>what_is_inside_this_institution</t>
        </is>
      </c>
      <c r="F69" s="3" t="inlineStr">
        <is>
          <t>theNetWorth</t>
        </is>
      </c>
      <c r="G69" s="3" t="inlineStr">
        <is>
          <t>MK-NW-O-003</t>
        </is>
      </c>
      <c r="H69" s="3" t="inlineStr">
        <is>
          <t>the accounts at this institution, added up within each kind</t>
        </is>
      </c>
      <c r="I69" s="3" t="inlineStr">
        <is>
          <t>the accounts at this institution, added up within each kind</t>
        </is>
      </c>
      <c r="J69" s="3" t="inlineStr">
        <is>
          <t>MK-XS-I-001 account balance</t>
        </is>
      </c>
      <c r="K69" s="3" t="inlineStr">
        <is>
          <t>money-compact</t>
        </is>
      </c>
      <c r="L69" s="3" t="inlineStr">
        <is>
          <t>One kind only — the line is left out, because a roll-up of one thing is just the thing.</t>
        </is>
      </c>
      <c r="M69" s="3" t="inlineStr">
        <is>
          <t>one class in one institution</t>
        </is>
      </c>
      <c r="N69" s="3" t="inlineStr">
        <is>
          <t>as of today</t>
        </is>
      </c>
      <c r="O69"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69" s="3" t="inlineStr">
        <is>
          <t>Declared by MK-NW-O-003 theNetWorth</t>
        </is>
      </c>
      <c r="Q69" s="3" t="inlineStr">
        <is>
          <t>BIGGEST FIRST, so the largest thing inside an institution is the first thing read.
SHORTENED, because several of these share one line. It is the only place the app shortens a figure, and it is shortened only to fit — never to round a figure a person is checking.
THE PARTS ADD TO THE INSTITUTION’S OWN TOTAL above them, which is the point of showing them.</t>
        </is>
      </c>
      <c r="R69" s="3" t="inlineStr">
        <is>
          <t>BIGGEST FIRST, so the largest thing inside an institution is the first thing read.
SHORTENED, because several of these share one line. It is the only place the app shortens a figure, and it is shortened only to fit — never to round a figure a person is checking.
THE PARTS ADD TO THE INSTITUTION’S OWN TOTAL above them, which is the point of showing them.</t>
        </is>
      </c>
      <c r="S69" s="3" t="inlineStr"/>
      <c r="T69" s="3" t="inlineStr">
        <is>
          <t>BIGGEST FIRST, so the largest thing inside an institution is the first thing read.
SHORTENED, because several of these share one line. It is the only place the app shortens a figure, and it is shortened only to fit — never to round a figure a person is checking.
THE PARTS ADD TO THE INSTITUTION’S OWN TOTAL above them, which is the point of showing them.</t>
        </is>
      </c>
      <c r="U69" s="3" t="inlineStr"/>
      <c r="V69" s="3" t="inlineStr"/>
      <c r="W69" s="3" t="inlineStr"/>
      <c r="X69" s="3" t="inlineStr"/>
      <c r="Y69" s="3" t="inlineStr"/>
      <c r="Z69" s="3" t="inlineStr">
        <is>
          <t>DECLARED IN THE CODE (rule 11) — printed from the door, not typed. RULED 2026-10-01</t>
        </is>
      </c>
      <c r="AA69" s="3" t="inlineStr"/>
      <c r="AB69" s="3" t="inlineStr"/>
      <c r="AC69" s="3" t="inlineStr"/>
      <c r="AD69" s="3" t="inlineStr"/>
      <c r="AE69" s="3" t="inlineStr"/>
      <c r="AF69" s="3" t="inlineStr">
        <is>
          <t>ACTIVE</t>
        </is>
      </c>
      <c r="AG69" s="3" t="inlineStr">
        <is>
          <t>2026-10-04</t>
        </is>
      </c>
      <c r="AH69" s="3" t="inlineStr"/>
      <c r="AI69" s="3" t="inlineStr"/>
      <c r="AJ69"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9" s="3" t="inlineStr">
        <is>
          <t>(the claim now stands in 'Inputs it needs' until the row is approved)</t>
        </is>
      </c>
      <c r="AL69" s="3" t="inlineStr"/>
      <c r="AM69" s="3" t="inlineStr">
        <is>
          <t>TESTED, NOT VERIFIED — you ruled on this row 2026-10-01; the figure, its formula, inputs and refusal live in MK-NW-O-003 theNetWorth</t>
        </is>
      </c>
      <c r="AN69" s="3" t="inlineStr">
        <is>
          <t>$18,000 checking, $142,000 brokerage, a $24,200 Treasury, a $310,000 rental and $9,000 of gold; against a $228,000 mortgage at $2,400/month and a $14,000 car loan at $250/month. Cash + investments stood at $180,000 on 2 Jan 2026.
GIVES: $18K
(the test re-runs this through MK-NW-O-003 theNetWorth on every build)</t>
        </is>
      </c>
      <c r="AO69" s="3" t="inlineStr">
        <is>
          <t>NOTHING OPEN</t>
        </is>
      </c>
    </row>
  </sheetData>
  <autoFilter ref="A1:AO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25"/>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45" customHeight="1">
      <c r="A2" s="3" t="inlineStr"/>
      <c r="B2" s="3" t="inlineStr">
        <is>
          <t>Performance</t>
        </is>
      </c>
      <c r="C2" s="3" t="inlineStr">
        <is>
          <t>/account-detail</t>
        </is>
      </c>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is>
          <t>NOT STARTED — screen not yet read</t>
        </is>
      </c>
      <c r="Y2" s="3" t="n"/>
      <c r="Z2" s="3" t="n"/>
      <c r="AA2" s="3" t="n"/>
      <c r="AB2" s="3" t="n"/>
      <c r="AC2" s="3" t="n"/>
      <c r="AD2" s="3" t="n"/>
      <c r="AE2" s="3" t="n"/>
      <c r="AF2" s="3" t="n"/>
      <c r="AG2" s="3" t="n"/>
      <c r="AH2" s="3" t="n"/>
      <c r="AI2" s="3" t="n"/>
      <c r="AJ2" s="3" t="n"/>
      <c r="AK2" s="3" t="n"/>
      <c r="AL2" s="3" t="n"/>
      <c r="AM2" s="3" t="n"/>
      <c r="AN2" s="3" t="n"/>
      <c r="AO2" s="3" t="n"/>
    </row>
    <row r="3" ht="45" customHeight="1">
      <c r="A3" s="3" t="inlineStr"/>
      <c r="B3" s="3" t="inlineStr">
        <is>
          <t>Performance</t>
        </is>
      </c>
      <c r="C3" s="3" t="inlineStr">
        <is>
          <t>/bonds</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NOT STARTED — screen not yet read</t>
        </is>
      </c>
      <c r="Y3" s="3" t="n"/>
      <c r="Z3" s="3" t="n"/>
      <c r="AA3" s="3" t="n"/>
      <c r="AB3" s="3" t="n"/>
      <c r="AC3" s="3" t="n"/>
      <c r="AD3" s="3" t="n"/>
      <c r="AE3" s="3" t="n"/>
      <c r="AF3" s="3" t="n"/>
      <c r="AG3" s="3" t="n"/>
      <c r="AH3" s="3" t="n"/>
      <c r="AI3" s="3" t="n"/>
      <c r="AJ3" s="3" t="n"/>
      <c r="AK3" s="3" t="n"/>
      <c r="AL3" s="3" t="n"/>
      <c r="AM3" s="3" t="n"/>
      <c r="AN3" s="3" t="n"/>
      <c r="AO3" s="3" t="n"/>
    </row>
    <row r="4" ht="45" customHeight="1">
      <c r="A4" s="3" t="inlineStr"/>
      <c r="B4" s="3" t="inlineStr">
        <is>
          <t>Performance</t>
        </is>
      </c>
      <c r="C4" s="3" t="inlineStr">
        <is>
          <t>/holding-detail</t>
        </is>
      </c>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is>
          <t>NOT STARTED — screen not yet read</t>
        </is>
      </c>
      <c r="Y4" s="3" t="n"/>
      <c r="Z4" s="3" t="n"/>
      <c r="AA4" s="3" t="n"/>
      <c r="AB4" s="3" t="n"/>
      <c r="AC4" s="3" t="n"/>
      <c r="AD4" s="3" t="n"/>
      <c r="AE4" s="3" t="n"/>
      <c r="AF4" s="3" t="n"/>
      <c r="AG4" s="3" t="n"/>
      <c r="AH4" s="3" t="n"/>
      <c r="AI4" s="3" t="n"/>
      <c r="AJ4" s="3" t="n"/>
      <c r="AK4" s="3" t="n"/>
      <c r="AL4" s="3" t="n"/>
      <c r="AM4" s="3" t="n"/>
      <c r="AN4" s="3" t="n"/>
      <c r="AO4" s="3" t="n"/>
    </row>
    <row r="5" ht="45" customHeight="1">
      <c r="A5" s="3" t="inlineStr"/>
      <c r="B5" s="3" t="inlineStr">
        <is>
          <t>Performance</t>
        </is>
      </c>
      <c r="C5" s="3" t="inlineStr">
        <is>
          <t>/itemize</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is>
          <t>NOT STARTED — screen not yet read</t>
        </is>
      </c>
      <c r="Y5" s="3" t="n"/>
      <c r="Z5" s="3" t="n"/>
      <c r="AA5" s="3" t="n"/>
      <c r="AB5" s="3" t="n"/>
      <c r="AC5" s="3" t="n"/>
      <c r="AD5" s="3" t="n"/>
      <c r="AE5" s="3" t="n"/>
      <c r="AF5" s="3" t="n"/>
      <c r="AG5" s="3" t="n"/>
      <c r="AH5" s="3" t="n"/>
      <c r="AI5" s="3" t="n"/>
      <c r="AJ5" s="3" t="n"/>
      <c r="AK5" s="3" t="n"/>
      <c r="AL5" s="3" t="n"/>
      <c r="AM5" s="3" t="n"/>
      <c r="AN5" s="3" t="n"/>
      <c r="AO5" s="3" t="n"/>
    </row>
    <row r="6" ht="45" customHeight="1">
      <c r="A6" s="3" t="inlineStr"/>
      <c r="B6" s="3" t="inlineStr">
        <is>
          <t>Performance</t>
        </is>
      </c>
      <c r="C6" s="3" t="inlineStr">
        <is>
          <t>/look-back</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is>
          <t>NOT STARTED — screen not yet read</t>
        </is>
      </c>
      <c r="Y6" s="3" t="n"/>
      <c r="Z6" s="3" t="n"/>
      <c r="AA6" s="3" t="n"/>
      <c r="AB6" s="3" t="n"/>
      <c r="AC6" s="3" t="n"/>
      <c r="AD6" s="3" t="n"/>
      <c r="AE6" s="3" t="n"/>
      <c r="AF6" s="3" t="n"/>
      <c r="AG6" s="3" t="n"/>
      <c r="AH6" s="3" t="n"/>
      <c r="AI6" s="3" t="n"/>
      <c r="AJ6" s="3" t="n"/>
      <c r="AK6" s="3" t="n"/>
      <c r="AL6" s="3" t="n"/>
      <c r="AM6" s="3" t="n"/>
      <c r="AN6" s="3" t="n"/>
      <c r="AO6" s="3" t="n"/>
    </row>
    <row r="7" ht="60" customHeight="1">
      <c r="A7" s="3" t="inlineStr">
        <is>
          <t>MK-PF-M-001</t>
        </is>
      </c>
      <c r="B7" s="3" t="inlineStr">
        <is>
          <t>Performance</t>
        </is>
      </c>
      <c r="C7" s="3" t="inlineStr">
        <is>
          <t>/invest</t>
        </is>
      </c>
      <c r="D7" s="3" t="inlineStr">
        <is>
          <t>Ending value</t>
        </is>
      </c>
      <c r="E7" s="3" t="inlineStr">
        <is>
          <t>ending_value</t>
        </is>
      </c>
      <c r="F7" s="3" t="inlineStr">
        <is>
          <t>thePerformance</t>
        </is>
      </c>
      <c r="G7" s="3" t="inlineStr">
        <is>
          <t>MK-ST-F-031</t>
        </is>
      </c>
      <c r="H7" s="3" t="inlineStr">
        <is>
          <t>ending value = Σ over the accounts in scope of (snapshot value on the end date)</t>
        </is>
      </c>
      <c r="I7" s="3" t="inlineStr">
        <is>
          <t>the sum of every investment account’s value today</t>
        </is>
      </c>
      <c r="J7" s="3" t="inlineStr">
        <is>
          <t>MK-NW-I-001 your accounts
MK-NW-I-005 the price feed</t>
        </is>
      </c>
      <c r="K7" s="3" t="inlineStr">
        <is>
          <t>dollars, whole</t>
        </is>
      </c>
      <c r="L7" s="3" t="inlineStr">
        <is>
          <t>Nothing invested yet.</t>
        </is>
      </c>
      <c r="M7" s="3" t="inlineStr">
        <is>
          <t>one figure per household</t>
        </is>
      </c>
      <c r="N7" s="3" t="inlineStr">
        <is>
          <t>as of today</t>
        </is>
      </c>
      <c r="O7" s="3" t="inlineStr">
        <is>
          <t>1. MK-ST-F-027 (accountId) → string
2. MK-CF-F-155 (cash) → number
3. MK-ST-F-056 (has) → NOT DECLARED — the code does not say what it gives back
4. MK-ST-F-033 (onOrBefore) → T | null</t>
        </is>
      </c>
      <c r="P7" s="3" t="inlineStr">
        <is>
          <t>Declared by MK-NW-O-008 thePerformance</t>
        </is>
      </c>
      <c r="Q7" s="3" t="inlineStr">
        <is>
          <t>NONE RECORDED — the declaration names none.</t>
        </is>
      </c>
      <c r="R7" s="3" t="inlineStr">
        <is>
          <t>NONE RECORDED — the declaration names none.</t>
        </is>
      </c>
      <c r="S7" s="3" t="inlineStr"/>
      <c r="T7" s="3" t="inlineStr">
        <is>
          <t>NONE RECORDED — the declaration names none.</t>
        </is>
      </c>
      <c r="U7" s="3" t="inlineStr"/>
      <c r="V7" s="3" t="inlineStr"/>
      <c r="W7" s="3" t="inlineStr"/>
      <c r="X7" s="3" t="inlineStr"/>
      <c r="Y7" s="3" t="inlineStr"/>
      <c r="Z7" s="3" t="inlineStr">
        <is>
          <t>DECLARED IN THE CODE (rule 11) — printed from the door, not typed. RULED 2026-09-27</t>
        </is>
      </c>
      <c r="AA7" s="3" t="inlineStr"/>
      <c r="AB7" s="3" t="inlineStr"/>
      <c r="AC7" s="3" t="inlineStr"/>
      <c r="AD7" s="3" t="inlineStr"/>
      <c r="AE7" s="3" t="inlineStr"/>
      <c r="AF7" s="3" t="inlineStr">
        <is>
          <t>ACTIVE</t>
        </is>
      </c>
      <c r="AG7" s="3" t="inlineStr">
        <is>
          <t>2026-10-04</t>
        </is>
      </c>
      <c r="AH7" s="3" t="inlineStr"/>
      <c r="AI7" s="3" t="inlineStr"/>
      <c r="AJ7" s="3" t="inlineStr">
        <is>
          <t>1. MK-XS-I-001 account balance — read by MK-ST-F-027
2. MK-XS-I-004 holding quantity (shares) — read by MK-ST-F-027
3. MK-XS-I-005 holding price — read by MK-ST-F-027
4. MK-XS-I-007 purchase price and date (per lot) — read by MK-ST-F-027
5. MK-XS-I-031 daily and monthly snapshots — read by MK-ST-F-031
6. MK-XS-I-048 the person’s own asset-class answer — read by MK-ST-F-027
[the code's record, this build — evidence for the ruling, not the row's statement: it cannot see inputs handed in as arguments, and it counts every branch below the producer]</t>
        </is>
      </c>
      <c r="AK7" s="3" t="inlineStr">
        <is>
          <t>(the claim now stands in 'Inputs it needs' until the row is approved)</t>
        </is>
      </c>
      <c r="AL7" s="3" t="inlineStr"/>
      <c r="AM7" s="3" t="inlineStr">
        <is>
          <t>TESTED, NOT VERIFIED — you ruled on this row 2026-09-27; the figure, its formula, inputs and refusal live in MK-NW-O-008 thePerformance</t>
        </is>
      </c>
      <c r="AN7" s="3" t="inlineStr">
        <is>
          <t>An account worth $30,000 on 31 Dec 2025 (100 VTI at $260 plus $4,000 cash) and $46,600 on 28 Sep 2026, with $6,000 paid in on 1 Apr and $825 of dividends received.
GIVES: $46,600
(the test re-runs this through MK-NW-O-008 thePerformance on every build)</t>
        </is>
      </c>
      <c r="AO7" s="7" t="inlineStr">
        <is>
          <t>RULED, NOT CODED (Q-PF-1 — one question, one function)</t>
        </is>
      </c>
    </row>
    <row r="8" ht="60" customHeight="1">
      <c r="A8" s="3" t="inlineStr">
        <is>
          <t>MK-PF-M-002</t>
        </is>
      </c>
      <c r="B8" s="3" t="inlineStr">
        <is>
          <t>Performance</t>
        </is>
      </c>
      <c r="C8" s="3" t="inlineStr">
        <is>
          <t>/invest</t>
        </is>
      </c>
      <c r="D8" s="3" t="inlineStr">
        <is>
          <t>Wealth generated</t>
        </is>
      </c>
      <c r="E8" s="3" t="inlineStr">
        <is>
          <t>wealth_generated</t>
        </is>
      </c>
      <c r="F8" s="3" t="inlineStr">
        <is>
          <t>thePerformance</t>
        </is>
      </c>
      <c r="G8" s="3" t="inlineStr">
        <is>
          <t>MK-NW-O-008</t>
        </is>
      </c>
      <c r="H8" s="3" t="inlineStr">
        <is>
          <t>wealth generated = ending value − beginning value − net money in  (money in = deposits and transfers in − withdrawals and transfers out over the window)</t>
        </is>
      </c>
      <c r="I8" s="3" t="inlineStr">
        <is>
          <t>ending − beginning − what you put in + what you took out</t>
        </is>
      </c>
      <c r="J8" s="3" t="inlineStr">
        <is>
          <t>MK-NW-I-001 your accounts
MK-NW-I-004 the activity records
MK-NW-I-003 the recorded history</t>
        </is>
      </c>
      <c r="K8" s="3" t="inlineStr">
        <is>
          <t>dollars, whole</t>
        </is>
      </c>
      <c r="L8" s="3" t="inlineStr">
        <is>
          <t>The record cannot reach the start of this window, so there is nothing honest to subtract from.</t>
        </is>
      </c>
      <c r="M8" s="3" t="inlineStr">
        <is>
          <t>one figure per household</t>
        </is>
      </c>
      <c r="N8" s="3" t="inlineStr">
        <is>
          <t>as of today</t>
        </is>
      </c>
      <c r="O8"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8" s="3" t="inlineStr">
        <is>
          <t>Declared by MK-NW-O-008 thePerformance</t>
        </is>
      </c>
      <c r="Q8" s="3" t="inlineStr">
        <is>
          <t>ONE MEANING OF RETURN (B-97, 2026-09-25): dividends and interest are part of this, so the return beside it counts them too.</t>
        </is>
      </c>
      <c r="R8" s="3" t="inlineStr">
        <is>
          <t>ONE MEANING OF RETURN (B-97, 2026-09-25): dividends and interest are part of this, so the return beside it counts them too.</t>
        </is>
      </c>
      <c r="S8" s="3" t="inlineStr"/>
      <c r="T8" s="3" t="inlineStr">
        <is>
          <t>ONE MEANING OF RETURN (B-97, 2026-09-25): dividends and interest are part of this, so the return beside it counts them too.</t>
        </is>
      </c>
      <c r="U8" s="3" t="inlineStr"/>
      <c r="V8" s="3" t="inlineStr"/>
      <c r="W8" s="3" t="inlineStr"/>
      <c r="X8" s="3" t="inlineStr"/>
      <c r="Y8" s="3" t="inlineStr"/>
      <c r="Z8" s="3" t="inlineStr">
        <is>
          <t>DECLARED IN THE CODE (rule 11) — printed from the door, not typed. RULED 2026-09-27</t>
        </is>
      </c>
      <c r="AA8" s="3" t="inlineStr"/>
      <c r="AB8" s="3" t="inlineStr"/>
      <c r="AC8" s="3" t="inlineStr"/>
      <c r="AD8" s="3" t="inlineStr"/>
      <c r="AE8" s="3" t="inlineStr"/>
      <c r="AF8" s="3" t="inlineStr">
        <is>
          <t>ACTIVE</t>
        </is>
      </c>
      <c r="AG8" s="3" t="inlineStr">
        <is>
          <t>2026-10-04</t>
        </is>
      </c>
      <c r="AH8" s="3" t="inlineStr"/>
      <c r="AI8" s="3" t="inlineStr"/>
      <c r="AJ8"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8" s="3" t="inlineStr">
        <is>
          <t>(the claim now stands in 'Inputs it needs' until the row is approved)</t>
        </is>
      </c>
      <c r="AL8" s="3" t="inlineStr"/>
      <c r="AM8" s="3" t="inlineStr">
        <is>
          <t>TESTED, NOT VERIFIED — you ruled on this row 2026-09-27; the figure, its formula, inputs and refusal live in MK-NW-O-008 thePerformance</t>
        </is>
      </c>
      <c r="AN8" s="3" t="inlineStr">
        <is>
          <t>An account worth $30,000 on 31 Dec 2025 (100 VTI at $260 plus $4,000 cash) and $46,600 on 28 Sep 2026, with $6,000 paid in on 1 Apr and $825 of dividends received.
GIVES: $10,600
(the test re-runs this through MK-NW-O-008 thePerformance on every build)</t>
        </is>
      </c>
      <c r="AO8" s="7" t="inlineStr">
        <is>
          <t>RULED, NOT CODED (Q-PF-1 — one question, one function)</t>
        </is>
      </c>
    </row>
    <row r="9" ht="60" customHeight="1">
      <c r="A9" s="3" t="inlineStr">
        <is>
          <t>MK-PF-M-003</t>
        </is>
      </c>
      <c r="B9" s="3" t="inlineStr">
        <is>
          <t>Performance</t>
        </is>
      </c>
      <c r="C9" s="3" t="inlineStr">
        <is>
          <t>/invest</t>
        </is>
      </c>
      <c r="D9" s="3" t="inlineStr">
        <is>
          <t>HOW $X BECAME $Y · ALL ACCOUNTS</t>
        </is>
      </c>
      <c r="E9" s="3" t="inlineStr">
        <is>
          <t>how_x_became_y__all_accounts</t>
        </is>
      </c>
      <c r="F9" s="3" t="inlineStr">
        <is>
          <t>thePerformance</t>
        </is>
      </c>
      <c r="G9" s="3" t="inlineStr">
        <is>
          <t>MK-NW-O-008</t>
        </is>
      </c>
      <c r="H9" s="3" t="inlineStr">
        <is>
          <t>beginning + contributions − withdrawals + wealth generated = ending, by construction</t>
        </is>
      </c>
      <c r="I9" s="3" t="inlineStr">
        <is>
          <t>beginning + contributions − withdrawals + wealth generated = ending, by construction</t>
        </is>
      </c>
      <c r="J9" s="3" t="inlineStr">
        <is>
          <t>MK-NW-I-003 the recorded history
MK-NW-I-004 the activity records</t>
        </is>
      </c>
      <c r="K9" s="3" t="inlineStr">
        <is>
          <t>a sentence</t>
        </is>
      </c>
      <c r="L9" s="3" t="inlineStr">
        <is>
          <t>No beginning to walk from.</t>
        </is>
      </c>
      <c r="M9" s="3" t="inlineStr">
        <is>
          <t>one figure per household</t>
        </is>
      </c>
      <c r="N9" s="3" t="inlineStr">
        <is>
          <t>as of today</t>
        </is>
      </c>
      <c r="O9"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9" s="3" t="inlineStr">
        <is>
          <t>Declared by MK-NW-O-008 thePerformance</t>
        </is>
      </c>
      <c r="Q9" s="3" t="inlineStr">
        <is>
          <t>Whatever the records cannot explain lands in the change-in-value line rather than being silently dropped.</t>
        </is>
      </c>
      <c r="R9" s="3" t="inlineStr">
        <is>
          <t>Whatever the records cannot explain lands in the change-in-value line rather than being silently dropped.</t>
        </is>
      </c>
      <c r="S9" s="3" t="inlineStr"/>
      <c r="T9" s="3" t="inlineStr">
        <is>
          <t>Whatever the records cannot explain lands in the change-in-value line rather than being silently dropped.</t>
        </is>
      </c>
      <c r="U9" s="3" t="inlineStr"/>
      <c r="V9" s="3" t="inlineStr"/>
      <c r="W9" s="3" t="inlineStr"/>
      <c r="X9" s="3" t="inlineStr"/>
      <c r="Y9" s="3" t="inlineStr"/>
      <c r="Z9" s="3" t="inlineStr">
        <is>
          <t>DECLARED IN THE CODE (rule 11) — printed from the door, not typed. RULED 2026-09-27</t>
        </is>
      </c>
      <c r="AA9" s="3" t="inlineStr"/>
      <c r="AB9" s="3" t="inlineStr"/>
      <c r="AC9" s="3" t="inlineStr"/>
      <c r="AD9" s="3" t="inlineStr"/>
      <c r="AE9" s="3" t="inlineStr"/>
      <c r="AF9" s="3" t="inlineStr">
        <is>
          <t>ACTIVE</t>
        </is>
      </c>
      <c r="AG9" s="3" t="inlineStr">
        <is>
          <t>2026-10-04</t>
        </is>
      </c>
      <c r="AH9" s="3" t="inlineStr"/>
      <c r="AI9" s="3" t="inlineStr"/>
      <c r="AJ9"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9" s="3" t="inlineStr">
        <is>
          <t>(the claim now stands in 'Inputs it needs' until the row is approved)</t>
        </is>
      </c>
      <c r="AL9" s="3" t="inlineStr"/>
      <c r="AM9" s="3" t="inlineStr">
        <is>
          <t>TESTED, NOT VERIFIED — you ruled on this row 2026-09-27; the figure, its formula, inputs and refusal live in MK-NW-O-008 thePerformance</t>
        </is>
      </c>
      <c r="AN9" s="3" t="inlineStr">
        <is>
          <t>An account worth $30,000 on 31 Dec 2025 (100 VTI at $260 plus $4,000 cash) and $46,600 on 28 Sep 2026, with $6,000 paid in on 1 Apr and $825 of dividends received.
GIVES: HOW $30,000 BECAME $46,600 · ALL ACCOUNTS
(the test re-runs this through MK-NW-O-008 thePerformance on every build)</t>
        </is>
      </c>
      <c r="AO9" s="7" t="inlineStr">
        <is>
          <t>RULED, NOT CODED (Q-PF-1 — one question, one function)</t>
        </is>
      </c>
    </row>
    <row r="10" ht="60" customHeight="1">
      <c r="A10" s="3" t="inlineStr">
        <is>
          <t>MK-PF-M-004</t>
        </is>
      </c>
      <c r="B10" s="3" t="inlineStr">
        <is>
          <t>Performance</t>
        </is>
      </c>
      <c r="C10" s="3" t="inlineStr">
        <is>
          <t>/invest · /account-detail</t>
        </is>
      </c>
      <c r="D10" s="3" t="inlineStr">
        <is>
          <t>Ending market value (per account)</t>
        </is>
      </c>
      <c r="E10" s="3" t="inlineStr">
        <is>
          <t>ending_market_value_per_account</t>
        </is>
      </c>
      <c r="F10" s="3" t="inlineStr">
        <is>
          <t>thePerformance</t>
        </is>
      </c>
      <c r="G10" s="3" t="inlineStr">
        <is>
          <t>MK-ST-F-031</t>
        </is>
      </c>
      <c r="H10" s="3" t="inlineStr">
        <is>
          <t>ending market value (this account) = snapshot value of the account on the end date</t>
        </is>
      </c>
      <c r="I10" s="3" t="inlineStr">
        <is>
          <t>the sum of that account’s holdings, at today’s prices, plus its cash</t>
        </is>
      </c>
      <c r="J10" s="3" t="inlineStr">
        <is>
          <t>MK-NW-I-001 your accounts
MK-NW-I-005 the price feed</t>
        </is>
      </c>
      <c r="K10" s="3" t="inlineStr">
        <is>
          <t>dollars, whole</t>
        </is>
      </c>
      <c r="L10" s="3" t="inlineStr">
        <is>
          <t>Nothing in it.</t>
        </is>
      </c>
      <c r="M10" s="3" t="inlineStr">
        <is>
          <t>one account</t>
        </is>
      </c>
      <c r="N10" s="3" t="inlineStr">
        <is>
          <t>as of today</t>
        </is>
      </c>
      <c r="O10" s="3" t="inlineStr">
        <is>
          <t>1. MK-ST-F-027 (accountId) → string
2. MK-CF-F-155 (cash) → number
3. MK-ST-F-056 (has) → NOT DECLARED — the code does not say what it gives back
4. MK-ST-F-033 (onOrBefore) → T | null</t>
        </is>
      </c>
      <c r="P10" s="3" t="inlineStr">
        <is>
          <t>Declared by MK-NW-O-008 thePerformance</t>
        </is>
      </c>
      <c r="Q10" s="3" t="inlineStr">
        <is>
          <t>NONE RECORDED — the declaration names none.</t>
        </is>
      </c>
      <c r="R10" s="3" t="inlineStr">
        <is>
          <t>NONE RECORDED — the declaration names none.</t>
        </is>
      </c>
      <c r="S10" s="3" t="inlineStr"/>
      <c r="T10" s="3" t="inlineStr">
        <is>
          <t>NONE RECORDED — the declaration names none.</t>
        </is>
      </c>
      <c r="U10" s="3" t="inlineStr"/>
      <c r="V10" s="3" t="inlineStr"/>
      <c r="W10" s="3" t="inlineStr"/>
      <c r="X10" s="3" t="inlineStr"/>
      <c r="Y10" s="3" t="inlineStr"/>
      <c r="Z10" s="3" t="inlineStr">
        <is>
          <t>DECLARED IN THE CODE (rule 11) — printed from the door, not typed. RULED 2026-09-27</t>
        </is>
      </c>
      <c r="AA10" s="3" t="inlineStr"/>
      <c r="AB10" s="3" t="inlineStr"/>
      <c r="AC10" s="3" t="inlineStr"/>
      <c r="AD10" s="3" t="inlineStr"/>
      <c r="AE10" s="3" t="inlineStr"/>
      <c r="AF10" s="3" t="inlineStr">
        <is>
          <t>ACTIVE</t>
        </is>
      </c>
      <c r="AG10" s="3" t="inlineStr">
        <is>
          <t>2026-10-04</t>
        </is>
      </c>
      <c r="AH10" s="3" t="inlineStr"/>
      <c r="AI10" s="3" t="inlineStr"/>
      <c r="AJ10" s="3" t="inlineStr">
        <is>
          <t>1. MK-XS-I-001 account balance — read by MK-ST-F-027
2. MK-XS-I-004 holding quantity (shares) — read by MK-ST-F-027
3. MK-XS-I-005 holding price — read by MK-ST-F-027
4. MK-XS-I-007 purchase price and date (per lot) — read by MK-ST-F-027
5. MK-XS-I-031 daily and monthly snapshots — read by MK-ST-F-031
6. MK-XS-I-048 the person’s own asset-class answer — read by MK-ST-F-027
[the code's record, this build — evidence for the ruling, not the row's statement: it cannot see inputs handed in as arguments, and it counts every branch below the producer]</t>
        </is>
      </c>
      <c r="AK10" s="3" t="inlineStr">
        <is>
          <t>(the claim now stands in 'Inputs it needs' until the row is approved)</t>
        </is>
      </c>
      <c r="AL10" s="3" t="inlineStr"/>
      <c r="AM10" s="3" t="inlineStr">
        <is>
          <t>TESTED, NOT VERIFIED — you ruled on this row 2026-09-27; the figure, its formula, inputs and refusal live in MK-NW-O-008 thePerformance</t>
        </is>
      </c>
      <c r="AN10" s="3" t="inlineStr">
        <is>
          <t>An account worth $30,000 on 31 Dec 2025 (100 VTI at $260 plus $4,000 cash) and $46,600 on 28 Sep 2026, with $6,000 paid in on 1 Apr and $825 of dividends received. Asked of that one account.
GIVES: $46,600
(the test re-runs this through MK-NW-O-008 thePerformance on every build)</t>
        </is>
      </c>
      <c r="AO10" s="7" t="inlineStr">
        <is>
          <t>RULED, NOT CODED (Q-PF-1 — one question, one function)</t>
        </is>
      </c>
    </row>
    <row r="11" ht="60" customHeight="1">
      <c r="A11" s="3" t="inlineStr">
        <is>
          <t>MK-PF-M-005</t>
        </is>
      </c>
      <c r="B11" s="3" t="inlineStr">
        <is>
          <t>Performance</t>
        </is>
      </c>
      <c r="C11" s="3" t="inlineStr">
        <is>
          <t>/invest</t>
        </is>
      </c>
      <c r="D11" s="3" t="inlineStr">
        <is>
          <t>each account and its ending value</t>
        </is>
      </c>
      <c r="E11" s="3" t="inlineStr">
        <is>
          <t>each_account_and_its_ending_value</t>
        </is>
      </c>
      <c r="F11" s="3" t="inlineStr">
        <is>
          <t>thePerformance</t>
        </is>
      </c>
      <c r="G11" s="3" t="inlineStr">
        <is>
          <t>MK-NW-O-008</t>
        </is>
      </c>
      <c r="H11" s="3" t="inlineStr">
        <is>
          <t>each investment account’s value, named by the account</t>
        </is>
      </c>
      <c r="I11" s="3" t="inlineStr">
        <is>
          <t>each investment account’s value, named by the account</t>
        </is>
      </c>
      <c r="J11" s="3" t="inlineStr">
        <is>
          <t>MK-NW-I-001 your accounts</t>
        </is>
      </c>
      <c r="K11" s="3" t="inlineStr">
        <is>
          <t>dollars, whole</t>
        </is>
      </c>
      <c r="L11" s="3" t="inlineStr">
        <is>
          <t>$0, and under it the one line "Nothing entered yet. Add your accounts ›" (mock approved 2026-09-12). A real zero that was entered shows a plain $0 with no line.</t>
        </is>
      </c>
      <c r="M11" s="3" t="inlineStr">
        <is>
          <t>one account</t>
        </is>
      </c>
      <c r="N11" s="3" t="inlineStr">
        <is>
          <t>as of today</t>
        </is>
      </c>
      <c r="O11"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1" s="3" t="inlineStr">
        <is>
          <t>Declared by MK-NW-O-008 thePerformance</t>
        </is>
      </c>
      <c r="Q11" s="3" t="inlineStr">
        <is>
          <t>Named by ACCOUNT, not by institution — two accounts at one broker must be tellable apart (founder screenshot, 2026-08-17).</t>
        </is>
      </c>
      <c r="R11" s="3" t="inlineStr">
        <is>
          <t>Named by ACCOUNT, not by institution — two accounts at one broker must be tellable apart (founder screenshot, 2026-08-17).</t>
        </is>
      </c>
      <c r="S11" s="3" t="inlineStr"/>
      <c r="T11" s="3" t="inlineStr">
        <is>
          <t>Named by ACCOUNT, not by institution — two accounts at one broker must be tellable apart (founder screenshot, 2026-08-17).</t>
        </is>
      </c>
      <c r="U11" s="3" t="inlineStr"/>
      <c r="V11" s="3" t="inlineStr"/>
      <c r="W11" s="3" t="inlineStr"/>
      <c r="X11" s="3" t="inlineStr"/>
      <c r="Y11" s="3" t="inlineStr"/>
      <c r="Z11" s="3" t="inlineStr">
        <is>
          <t>DECLARED IN THE CODE (rule 11) — printed from the door, not typed. RULED 2026-09-27</t>
        </is>
      </c>
      <c r="AA11" s="3" t="inlineStr"/>
      <c r="AB11" s="3" t="inlineStr"/>
      <c r="AC11" s="3" t="inlineStr"/>
      <c r="AD11" s="3" t="inlineStr"/>
      <c r="AE11" s="3" t="inlineStr">
        <is>
          <t>G32 / Q48 — RULED 2026-09-09: $0 stays, with the sentence '$0 — nothing entered yet.' and this row's door ('Add your accounts ›'). File written; the screen follows the approved empty-state mock (one pattern, one screen), then every screen.</t>
        </is>
      </c>
      <c r="AF11" s="3" t="inlineStr">
        <is>
          <t>ACTIVE</t>
        </is>
      </c>
      <c r="AG11" s="3" t="inlineStr">
        <is>
          <t>2026-10-04</t>
        </is>
      </c>
      <c r="AH11" s="3" t="inlineStr"/>
      <c r="AI11" s="3" t="inlineStr"/>
      <c r="AJ11"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1" s="3" t="inlineStr">
        <is>
          <t>(the claim now stands in 'Inputs it needs' until the row is approved)</t>
        </is>
      </c>
      <c r="AL11" s="3" t="inlineStr"/>
      <c r="AM11" s="3" t="inlineStr">
        <is>
          <t>TESTED, NOT VERIFIED — you ruled on this row 2026-09-27; the figure, its formula, inputs and refusal live in MK-NW-O-008 thePerformance</t>
        </is>
      </c>
      <c r="AN11" s="3" t="inlineStr">
        <is>
          <t>An account worth $30,000 on 31 Dec 2025 (100 VTI at $260 plus $4,000 cash) and $46,600 on 28 Sep 2026, with $6,000 paid in on 1 Apr and $825 of dividends received. Each account is asked separately, from the same door as the total.
GIVES: $46,600
(the test re-runs this through MK-NW-O-008 thePerformance on every build)</t>
        </is>
      </c>
      <c r="AO11" s="7" t="inlineStr">
        <is>
          <t>RULED, NOT CODED (Q-PF-1 — one question, one function)</t>
        </is>
      </c>
    </row>
    <row r="12" ht="60" customHeight="1">
      <c r="A12" s="3" t="inlineStr">
        <is>
          <t>MK-PF-M-006</t>
        </is>
      </c>
      <c r="B12" s="3" t="inlineStr">
        <is>
          <t>Performance</t>
        </is>
      </c>
      <c r="C12" s="3" t="inlineStr">
        <is>
          <t>/invest</t>
        </is>
      </c>
      <c r="D12" s="3" t="inlineStr">
        <is>
          <t>WHAT EACH CATEGORY EARNED — RETURN</t>
        </is>
      </c>
      <c r="E12" s="3" t="inlineStr">
        <is>
          <t>what_each_category_earned__return</t>
        </is>
      </c>
      <c r="F12" s="3" t="inlineStr">
        <is>
          <t>thePerformance</t>
        </is>
      </c>
      <c r="G12" s="3" t="inlineStr">
        <is>
          <t>MK-NW-O-008</t>
        </is>
      </c>
      <c r="H12" s="3" t="inlineStr">
        <is>
          <t>each class's own return, weighted by what each holding in it is worth</t>
        </is>
      </c>
      <c r="I12" s="3" t="inlineStr">
        <is>
          <t>each class's own return, weighted by what each holding in it is worth</t>
        </is>
      </c>
      <c r="J12" s="3" t="inlineStr">
        <is>
          <t>MK-NW-I-001 your accounts
MK-XS-I-006 the price fetched at</t>
        </is>
      </c>
      <c r="K12" s="3" t="inlineStr">
        <is>
          <t>a return with its sign, two decimals</t>
        </is>
      </c>
      <c r="L12" s="3" t="inlineStr">
        <is>
          <t>$0, and under it the one line "Nothing entered yet. Add your accounts ›" (mock approved 2026-09-12). A real zero that was entered shows a plain $0 with no line.</t>
        </is>
      </c>
      <c r="M12" s="3" t="inlineStr">
        <is>
          <t>one figure per household</t>
        </is>
      </c>
      <c r="N12" s="3" t="inlineStr">
        <is>
          <t>as of today</t>
        </is>
      </c>
      <c r="O12"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2" s="3" t="inlineStr">
        <is>
          <t>Declared by MK-NW-O-008 thePerformance</t>
        </is>
      </c>
      <c r="Q12" s="3" t="inlineStr">
        <is>
          <t>A class with no holding we can price shows an em-dash, never a 0% — a zero reads as "it returned nothing", which is a different claim.
MOVED OFF THE SCREEN 2026-09-30: this was calculated inside PerformanceScreen, so it had no row, no example and nothing able to check it (his rule: a screen computes nothing).</t>
        </is>
      </c>
      <c r="R12" s="3" t="inlineStr">
        <is>
          <t>A class with no holding we can price shows an em-dash, never a 0% — a zero reads as "it returned nothing", which is a different claim.
MOVED OFF THE SCREEN 2026-09-30: this was calculated inside PerformanceScreen, so it had no row, no example and nothing able to check it (his rule: a screen computes nothing).</t>
        </is>
      </c>
      <c r="S12" s="3" t="inlineStr"/>
      <c r="T12" s="3" t="inlineStr">
        <is>
          <t>A class with no holding we can price shows an em-dash, never a 0% — a zero reads as "it returned nothing", which is a different claim.
MOVED OFF THE SCREEN 2026-09-30: this was calculated inside PerformanceScreen, so it had no row, no example and nothing able to check it (his rule: a screen computes nothing).</t>
        </is>
      </c>
      <c r="U12" s="3" t="inlineStr"/>
      <c r="V12" s="3" t="inlineStr"/>
      <c r="W12" s="3" t="inlineStr"/>
      <c r="X12" s="3" t="inlineStr"/>
      <c r="Y12" s="3" t="inlineStr"/>
      <c r="Z12" s="3" t="inlineStr">
        <is>
          <t>DECLARED IN THE CODE (rule 11) — printed from the door, not typed. RULED 2026-09-03</t>
        </is>
      </c>
      <c r="AA12" s="3" t="inlineStr"/>
      <c r="AB12" s="3" t="inlineStr"/>
      <c r="AC12" s="3" t="inlineStr"/>
      <c r="AD12" s="3" t="inlineStr"/>
      <c r="AE12" s="3" t="inlineStr">
        <is>
          <t>G32 / Q48 — RULED 2026-09-09: $0 stays, with the sentence '$0 — nothing entered yet.' and this row's door ('Add your accounts ›'). File written; the screen follows the approved empty-state mock (one pattern, one screen), then every screen.</t>
        </is>
      </c>
      <c r="AF12" s="3" t="inlineStr">
        <is>
          <t>ACTIVE</t>
        </is>
      </c>
      <c r="AG12" s="3" t="inlineStr">
        <is>
          <t>2026-10-04</t>
        </is>
      </c>
      <c r="AH12" s="3" t="inlineStr"/>
      <c r="AI12" s="3" t="inlineStr"/>
      <c r="AJ12"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2" s="3" t="inlineStr">
        <is>
          <t>(the claim now stands in 'Inputs it needs' until the row is approved)</t>
        </is>
      </c>
      <c r="AL12" s="3" t="inlineStr"/>
      <c r="AM12" s="3" t="inlineStr">
        <is>
          <t>TESTED, NOT VERIFIED — you ruled on this row 2026-09-03; the figure, its formula, inputs and refusal live in MK-NW-O-008 thePerformance</t>
        </is>
      </c>
      <c r="AN12" s="3" t="inlineStr">
        <is>
          <t>Since 1 Jan 2026: dividends of $420 and $405 on VTI, $505 of interest on an Ally CD, and one dividend of $40 with no ticker on it. A $900 dividend from Nov 2025 is outside the window. Holdings: $40,600 of VTI up 12%, $10,000 of CD up 5%.
GIVES: +12.00%
(the test re-runs this through MK-NW-O-008 thePerformance on every build)</t>
        </is>
      </c>
      <c r="AO12" s="7" t="inlineStr">
        <is>
          <t>RULED, NOT CODED (Q-PF-1 — one question, one function)</t>
        </is>
      </c>
    </row>
    <row r="13" ht="60" customHeight="1">
      <c r="A13" s="3" t="inlineStr">
        <is>
          <t>MK-PF-M-007</t>
        </is>
      </c>
      <c r="B13" s="3" t="inlineStr">
        <is>
          <t>Performance</t>
        </is>
      </c>
      <c r="C13" s="3" t="inlineStr">
        <is>
          <t>/invest</t>
        </is>
      </c>
      <c r="D13" s="3" t="inlineStr">
        <is>
          <t>All categories</t>
        </is>
      </c>
      <c r="E13" s="3" t="inlineStr">
        <is>
          <t>all_categories</t>
        </is>
      </c>
      <c r="F13" s="3" t="inlineStr">
        <is>
          <t>thePerformance</t>
        </is>
      </c>
      <c r="G13" s="3" t="inlineStr">
        <is>
          <t>MK-NW-O-008</t>
        </is>
      </c>
      <c r="H13" s="3" t="inlineStr">
        <is>
          <t>every dividend and interest record inside the window, added up by the class of the holding that paid it</t>
        </is>
      </c>
      <c r="I13" s="3" t="inlineStr">
        <is>
          <t>every dividend and interest record inside the window, added up by the class of the holding that paid it</t>
        </is>
      </c>
      <c r="J13" s="3" t="inlineStr">
        <is>
          <t>MK-XS-I-020 the records of money movements</t>
        </is>
      </c>
      <c r="K13" s="3" t="inlineStr">
        <is>
          <t>dollars, whole</t>
        </is>
      </c>
      <c r="L13" s="3" t="inlineStr">
        <is>
          <t>$0, and under it the one line "Nothing entered yet. Add your accounts ›" (mock approved 2026-09-12). A real zero that was entered shows a plain $0 with no line.</t>
        </is>
      </c>
      <c r="M13" s="3" t="inlineStr">
        <is>
          <t>one figure per household</t>
        </is>
      </c>
      <c r="N13" s="3" t="inlineStr">
        <is>
          <t>as of today</t>
        </is>
      </c>
      <c r="O13"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3" s="3" t="inlineStr">
        <is>
          <t>Declared by MK-NW-O-008 thePerformance</t>
        </is>
      </c>
      <c r="Q13" s="3" t="inlineStr">
        <is>
          <t>LEDGER ONLY: what was actually RECEIVED, never a rate applied to a balance.
A record with no ticker is classed by what it IS — a dividend comes from a fund, interest from a bond.
A class that received nothing is not shown at all; where nothing was received the table does not appear.</t>
        </is>
      </c>
      <c r="R13" s="3" t="inlineStr">
        <is>
          <t>LEDGER ONLY: what was actually RECEIVED, never a rate applied to a balance.
A record with no ticker is classed by what it IS — a dividend comes from a fund, interest from a bond.
A class that received nothing is not shown at all; where nothing was received the table does not appear.</t>
        </is>
      </c>
      <c r="S13" s="3" t="inlineStr"/>
      <c r="T13" s="3" t="inlineStr">
        <is>
          <t>LEDGER ONLY: what was actually RECEIVED, never a rate applied to a balance.
A record with no ticker is classed by what it IS — a dividend comes from a fund, interest from a bond.
A class that received nothing is not shown at all; where nothing was received the table does not appear.</t>
        </is>
      </c>
      <c r="U13" s="3" t="inlineStr"/>
      <c r="V13" s="3" t="inlineStr"/>
      <c r="W13" s="3" t="inlineStr"/>
      <c r="X13" s="3" t="inlineStr"/>
      <c r="Y13" s="3" t="inlineStr"/>
      <c r="Z13" s="3" t="inlineStr">
        <is>
          <t>DECLARED IN THE CODE (rule 11) — printed from the door, not typed. RULED 2026-09-03</t>
        </is>
      </c>
      <c r="AA13" s="3" t="inlineStr"/>
      <c r="AB13" s="3" t="inlineStr"/>
      <c r="AC13" s="3" t="inlineStr"/>
      <c r="AD13" s="3" t="inlineStr"/>
      <c r="AE13" s="3" t="inlineStr">
        <is>
          <t>G32 / Q48 — RULED 2026-09-09: $0 stays, with the sentence '$0 — nothing entered yet.' and this row's door ('Add your accounts ›'). File written; the screen follows the approved empty-state mock (one pattern, one screen), then every screen.</t>
        </is>
      </c>
      <c r="AF13" s="3" t="inlineStr">
        <is>
          <t>ACTIVE</t>
        </is>
      </c>
      <c r="AG13" s="3" t="inlineStr">
        <is>
          <t>2026-10-04</t>
        </is>
      </c>
      <c r="AH13" s="3" t="inlineStr"/>
      <c r="AI13" s="3" t="inlineStr"/>
      <c r="AJ13"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3" s="3" t="inlineStr">
        <is>
          <t>(the claim now stands in 'Inputs it needs' until the row is approved)</t>
        </is>
      </c>
      <c r="AL13" s="3" t="inlineStr"/>
      <c r="AM13" s="3" t="inlineStr">
        <is>
          <t>TESTED, NOT VERIFIED — you ruled on this row 2026-09-03; the figure, its formula, inputs and refusal live in MK-NW-O-008 thePerformance</t>
        </is>
      </c>
      <c r="AN13" s="3" t="inlineStr">
        <is>
          <t>Since 1 Jan 2026: dividends of $420 and $405 on VTI, $505 of interest on an Ally CD, and one dividend of $40 with no ticker on it. A $900 dividend from Nov 2025 is outside the window. Holdings: $40,600 of VTI up 12%, $10,000 of CD up 5%.
GIVES: $865
(the test re-runs this through MK-NW-O-008 thePerformance on every build)</t>
        </is>
      </c>
      <c r="AO13" s="7" t="inlineStr">
        <is>
          <t>RULED, NOT CODED (Q-PF-1 — one question, one function)</t>
        </is>
      </c>
    </row>
    <row r="14" ht="60" customHeight="1">
      <c r="A14" s="3" t="inlineStr">
        <is>
          <t>MK-PF-M-008</t>
        </is>
      </c>
      <c r="B14" s="3" t="inlineStr">
        <is>
          <t>Performance</t>
        </is>
      </c>
      <c r="C14" s="3" t="inlineStr">
        <is>
          <t>/home</t>
        </is>
      </c>
      <c r="D14" s="3" t="inlineStr">
        <is>
          <t>market +X%</t>
        </is>
      </c>
      <c r="E14" s="3" t="inlineStr">
        <is>
          <t>market_x</t>
        </is>
      </c>
      <c r="F14" s="3" t="inlineStr">
        <is>
          <t>thePerformance</t>
        </is>
      </c>
      <c r="G14" s="3" t="inlineStr">
        <is>
          <t>MK-NW-O-008</t>
        </is>
      </c>
      <c r="H14" s="3" t="inlineStr">
        <is>
          <t>each holding's own benchmark return over the same dates, weighted by what that holding is worth</t>
        </is>
      </c>
      <c r="I14" s="3" t="inlineStr">
        <is>
          <t>each holding's own benchmark return over the same dates, weighted by what that holding is worth</t>
        </is>
      </c>
      <c r="J14" s="3" t="inlineStr">
        <is>
          <t>MK-NW-I-001 your accounts
MK-XS-I-006 the price fetched at</t>
        </is>
      </c>
      <c r="K14" s="3" t="inlineStr">
        <is>
          <t>a percentage, two decimals</t>
        </is>
      </c>
      <c r="L14" s="3" t="inlineStr">
        <is>
          <t>$0, and under it the one line "Nothing entered yet. Add your accounts ›" (mock approved 2026-09-12). A real zero that was entered shows a plain $0 with no line.</t>
        </is>
      </c>
      <c r="M14" s="3" t="inlineStr">
        <is>
          <t>one figure per household</t>
        </is>
      </c>
      <c r="N14" s="3" t="inlineStr">
        <is>
          <t>as of today</t>
        </is>
      </c>
      <c r="O14"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4" s="3" t="inlineStr">
        <is>
          <t>Declared by MK-NW-O-008 thePerformance</t>
        </is>
      </c>
      <c r="Q14" s="3" t="inlineStr">
        <is>
          <t>The benchmark runs over the SAME DATES as your return — including where your window is cut short at your own purchase date. Comparing your three months against the market's twelve is not a comparison.
Weighted by what each holding is worth, so the blend answers "the market, matched to my mix" rather than a plain average of indices.</t>
        </is>
      </c>
      <c r="R14" s="3" t="inlineStr">
        <is>
          <t>The benchmark runs over the SAME DATES as your return — including where your window is cut short at your own purchase date. Comparing your three months against the market's twelve is not a comparison.
Weighted by what each holding is worth, so the blend answers "the market, matched to my mix" rather than a plain average of indices.</t>
        </is>
      </c>
      <c r="S14" s="3" t="inlineStr"/>
      <c r="T14" s="3" t="inlineStr">
        <is>
          <t>The benchmark runs over the SAME DATES as your return — including where your window is cut short at your own purchase date. Comparing your three months against the market's twelve is not a comparison.
Weighted by what each holding is worth, so the blend answers "the market, matched to my mix" rather than a plain average of indices.</t>
        </is>
      </c>
      <c r="U14" s="3" t="inlineStr">
        <is>
          <t>ITS SCREEN WAS WRONG UNTIL 2026-09-30. The row said /invest and called it HONEST COMPARISON — the name of a card the approved mock v14 removed on 2026-09-25 ("not in this design, so they go"). The figure itself is alive, on HOME, inside the glance line "you +3.69% · market +2.83% · ahead by 0.85%". Nothing showed it on Performance. Declared 2026-09-30; hand-typed before that, so nothing compared the row with the code. STILL OPEN FOR HIM: the market side counts PRICE CHANGE ONLY (we hold no dividend record for an index), while the "you" side beside it counts dividends and interest — so the "ahead by" is not a like-for-like gap.</t>
        </is>
      </c>
      <c r="V14" s="9" t="inlineStr">
        <is>
          <t>Q33 — Which index should each asset class be compared against, and should the person be able to change it?
Q51 — Home reads "you +3.69% · market +2.83% · ahead by 0.85%". The two sides are not measured the same way: YOUR figure counts the dividends and interest you received (your ruling of 2026-09-25, one meaning of return), while the MARKET figure is the index's PRICE only, because no price feed we have gives an index's dividends. So "ahead by" flatters you by roughly the dividend yield. Three ways out: (a) leave it and say underneath that the market figure is price only; (b) compare price against price, which means Home shows a return that disagrees with Performance again; (c) buy a total-return index feed. Which?</t>
        </is>
      </c>
      <c r="W14" s="9" t="inlineStr">
        <is>
          <t>Q51 — ANSWERED 2026-09-30: Q51 - make it "you +3.69% (including dividend), market + 2.83%, ahead by 0.85%." … Q51 - including dividend and interest. … Q51 -approved.
BUILT: The Home glance line reads: you +3.69% (including dividends and interest) · market +2.83% · ahead by 0.85%. Built and pinned by guard_d3_screens_agree MK-PF-M-008. Written 'dividends' plural — the word the change walk, the category table and the glossary already use; he approved it knowing so.</t>
        </is>
      </c>
      <c r="X14" s="3" t="inlineStr"/>
      <c r="Y14" s="3" t="inlineStr"/>
      <c r="Z14" s="3" t="inlineStr">
        <is>
          <t>DRAFT — declared in the code and printed here, WAITING FOR YOUR VERDICT before the screens move behind the door (rule 10)</t>
        </is>
      </c>
      <c r="AA14" s="3" t="inlineStr"/>
      <c r="AB14" s="3" t="inlineStr"/>
      <c r="AC14" s="3" t="inlineStr"/>
      <c r="AD14" s="3" t="inlineStr"/>
      <c r="AE14" s="3" t="inlineStr">
        <is>
          <t>G32 / Q48 — RULED 2026-09-09: $0 stays, with the sentence '$0 — nothing entered yet.' and this row's door ('Add your accounts ›'). File written; the screen follows the approved empty-state mock (one pattern, one screen), then every screen.</t>
        </is>
      </c>
      <c r="AF14" s="3" t="inlineStr">
        <is>
          <t>ACTIVE</t>
        </is>
      </c>
      <c r="AG14" s="3" t="inlineStr">
        <is>
          <t>2026-10-04</t>
        </is>
      </c>
      <c r="AH14" s="3" t="inlineStr"/>
      <c r="AI14" s="3" t="inlineStr"/>
      <c r="AJ14"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4" s="3" t="inlineStr">
        <is>
          <t>(the claim now stands in 'Inputs it needs' until the row is approved)</t>
        </is>
      </c>
      <c r="AL14" s="3" t="inlineStr"/>
      <c r="AM14" s="3" t="inlineStr">
        <is>
          <t>RULED? NOT YET — read this row and say yes, or say what changes. Nothing moves behind MK-NW-O-008 thePerformance until you do.</t>
        </is>
      </c>
      <c r="AN14" s="3" t="inlineStr">
        <is>
          <t>$40,000 of shares against a benchmark up 10% over the window, and $10,000 of bonds against one up 4% over the same days.
GIVES: 8.80%
(the test re-runs this through MK-NW-O-008 thePerformance on every build)</t>
        </is>
      </c>
      <c r="AO14" s="9" t="inlineStr">
        <is>
          <t>WAITING ON YOU — question Q33 · WAITING ON YOU — row to approve: say yes in YOUR ANSWER, or say what changes · RULED, NOT CODED (Q-PF-1 — one question, one function)</t>
        </is>
      </c>
    </row>
    <row r="15" ht="60" customHeight="1">
      <c r="A15" s="3" t="inlineStr">
        <is>
          <t>MK-PF-M-010</t>
        </is>
      </c>
      <c r="B15" s="3" t="inlineStr">
        <is>
          <t>Performance</t>
        </is>
      </c>
      <c r="C15" s="3" t="inlineStr">
        <is>
          <t>/look-back</t>
        </is>
      </c>
      <c r="D15" s="3" t="inlineStr">
        <is>
          <t>Left in &lt;fund&gt; it became $X (up/down $Y, Z%)</t>
        </is>
      </c>
      <c r="E15" s="3" t="inlineStr">
        <is>
          <t>left_in_fund_it_became_x_updown_y_z</t>
        </is>
      </c>
      <c r="F15" s="3" t="inlineStr">
        <is>
          <t>theLookBack</t>
        </is>
      </c>
      <c r="G15" s="3" t="inlineStr">
        <is>
          <t>MK-NW-O-007</t>
        </is>
      </c>
      <c r="H15" s="3" t="inlineStr">
        <is>
          <t>the amount × (the fund’s price today ÷ its price at the start of the window)</t>
        </is>
      </c>
      <c r="I15" s="3" t="inlineStr">
        <is>
          <t>the amount × (the fund’s price today ÷ its price at the start of the window)</t>
        </is>
      </c>
      <c r="J15" s="3" t="inlineStr">
        <is>
          <t>MK-NW-I-005 the price feed</t>
        </is>
      </c>
      <c r="K15" s="3" t="inlineStr">
        <is>
          <t>dollars, whole</t>
        </is>
      </c>
      <c r="L15" s="3" t="inlineStr">
        <is>
          <t>No price history over the whole window — the screen shows nothing rather than a shortened one.</t>
        </is>
      </c>
      <c r="M15" s="3" t="inlineStr">
        <is>
          <t>one figure per household</t>
        </is>
      </c>
      <c r="N15" s="3" t="inlineStr">
        <is>
          <t>as of today</t>
        </is>
      </c>
      <c r="O15" s="3" t="inlineStr">
        <is>
          <t>MK-PF-F-023 (lookBack) → LookBackResult | null</t>
        </is>
      </c>
      <c r="P15" s="3" t="inlineStr">
        <is>
          <t>Declared by MK-NW-O-007 theLookBack</t>
        </is>
      </c>
      <c r="Q15" s="3" t="inlineStr">
        <is>
          <t>Price changes only — dividends are not in it, and the screen says so.</t>
        </is>
      </c>
      <c r="R15" s="3" t="inlineStr">
        <is>
          <t>Price changes only — dividends are not in it, and the screen says so.</t>
        </is>
      </c>
      <c r="S15" s="3" t="inlineStr"/>
      <c r="T15" s="3" t="inlineStr">
        <is>
          <t>Price changes only — dividends are not in it, and the screen says so.</t>
        </is>
      </c>
      <c r="U15" s="3" t="inlineStr"/>
      <c r="V15" s="3" t="inlineStr"/>
      <c r="W15" s="3" t="inlineStr"/>
      <c r="X15" s="3" t="inlineStr"/>
      <c r="Y15" s="3" t="inlineStr"/>
      <c r="Z15" s="3" t="inlineStr">
        <is>
          <t>DECLARED IN THE CODE (rule 11) — printed from the door, not typed. RULED 2026-09-28</t>
        </is>
      </c>
      <c r="AA15" s="3" t="inlineStr"/>
      <c r="AB15" s="3" t="inlineStr"/>
      <c r="AC15" s="3" t="inlineStr"/>
      <c r="AD15" s="3" t="inlineStr"/>
      <c r="AE15" s="3" t="inlineStr"/>
      <c r="AF15" s="3" t="inlineStr">
        <is>
          <t>ACTIVE</t>
        </is>
      </c>
      <c r="AG15" s="3" t="inlineStr">
        <is>
          <t>2026-10-04</t>
        </is>
      </c>
      <c r="AH15" s="3" t="inlineStr"/>
      <c r="AI15" s="3" t="inlineStr"/>
      <c r="AJ15" s="3" t="inlineStr">
        <is>
          <t>MK-XS-I-005 holding price — read by MK-NW-O-007, MK-PF-F-022
[the code's record, this build — evidence for the ruling, not the row's statement: it cannot see inputs handed in as arguments, and it counts every branch below the producer]</t>
        </is>
      </c>
      <c r="AK15" s="3" t="inlineStr">
        <is>
          <t>(the claim now stands in 'Inputs it needs' until the row is approved)</t>
        </is>
      </c>
      <c r="AL15" s="3" t="inlineStr"/>
      <c r="AM15" s="3" t="inlineStr">
        <is>
          <t>TESTED, NOT VERIFIED — you ruled on this row 2026-09-28; the figure, its formula, inputs and refusal live in MK-NW-O-007 theLookBack</t>
        </is>
      </c>
      <c r="AN15" s="3" t="inlineStr">
        <is>
          <t>$10,000 left in BND for 12 months, against moving it to VTI. BND closed $72.00 a year ago and $73.80 now; VTI closed $250.00 and $290.00.
GIVES: $10,250
(the test re-runs this through MK-NW-O-007 theLookBack on every build)</t>
        </is>
      </c>
      <c r="AO15" s="3" t="inlineStr">
        <is>
          <t>NOTHING OPEN</t>
        </is>
      </c>
    </row>
    <row r="16" ht="60" customHeight="1">
      <c r="A16" s="3" t="inlineStr">
        <is>
          <t>MK-PF-M-011</t>
        </is>
      </c>
      <c r="B16" s="3" t="inlineStr">
        <is>
          <t>Performance</t>
        </is>
      </c>
      <c r="C16" s="3" t="inlineStr">
        <is>
          <t>/look-back</t>
        </is>
      </c>
      <c r="D16" s="3" t="inlineStr">
        <is>
          <t>Moved to &lt;fund&gt; it would be $X</t>
        </is>
      </c>
      <c r="E16" s="3" t="inlineStr">
        <is>
          <t>moved_to_fund_it_would_be_x</t>
        </is>
      </c>
      <c r="F16" s="3" t="inlineStr">
        <is>
          <t>theLookBack</t>
        </is>
      </c>
      <c r="G16" s="3" t="inlineStr">
        <is>
          <t>MK-NW-O-007</t>
        </is>
      </c>
      <c r="H16" s="3" t="inlineStr">
        <is>
          <t>the amount × (the other fund’s price today ÷ its price at the start of the window)</t>
        </is>
      </c>
      <c r="I16" s="3" t="inlineStr">
        <is>
          <t>the amount × (the other fund’s price today ÷ its price at the start of the window)</t>
        </is>
      </c>
      <c r="J16" s="3" t="inlineStr">
        <is>
          <t>MK-NW-I-005 the price feed</t>
        </is>
      </c>
      <c r="K16" s="3" t="inlineStr">
        <is>
          <t>dollars, whole</t>
        </is>
      </c>
      <c r="L16" s="3" t="inlineStr">
        <is>
          <t>No price history for the other fund over the whole window.</t>
        </is>
      </c>
      <c r="M16" s="3" t="inlineStr">
        <is>
          <t>one figure per household</t>
        </is>
      </c>
      <c r="N16" s="3" t="inlineStr">
        <is>
          <t>as of today</t>
        </is>
      </c>
      <c r="O16" s="3" t="inlineStr">
        <is>
          <t>MK-PF-F-023 (lookBack) → LookBackResult | null</t>
        </is>
      </c>
      <c r="P16" s="3" t="inlineStr">
        <is>
          <t>Declared by MK-NW-O-007 theLookBack</t>
        </is>
      </c>
      <c r="Q16" s="3" t="inlineStr">
        <is>
          <t>A road not taken, priced from real history — never a projection forward.</t>
        </is>
      </c>
      <c r="R16" s="3" t="inlineStr">
        <is>
          <t>A road not taken, priced from real history — never a projection forward.</t>
        </is>
      </c>
      <c r="S16" s="3" t="inlineStr"/>
      <c r="T16" s="3" t="inlineStr">
        <is>
          <t>A road not taken, priced from real history — never a projection forward.</t>
        </is>
      </c>
      <c r="U16" s="3" t="inlineStr"/>
      <c r="V16" s="3" t="inlineStr"/>
      <c r="W16" s="3" t="inlineStr"/>
      <c r="X16" s="3" t="inlineStr"/>
      <c r="Y16" s="3" t="inlineStr"/>
      <c r="Z16" s="3" t="inlineStr">
        <is>
          <t>DECLARED IN THE CODE (rule 11) — printed from the door, not typed. RULED 2026-09-28</t>
        </is>
      </c>
      <c r="AA16" s="3" t="inlineStr"/>
      <c r="AB16" s="3" t="inlineStr"/>
      <c r="AC16" s="3" t="inlineStr"/>
      <c r="AD16" s="3" t="inlineStr"/>
      <c r="AE16" s="3" t="inlineStr"/>
      <c r="AF16" s="3" t="inlineStr">
        <is>
          <t>ACTIVE</t>
        </is>
      </c>
      <c r="AG16" s="3" t="inlineStr">
        <is>
          <t>2026-10-04</t>
        </is>
      </c>
      <c r="AH16" s="3" t="inlineStr"/>
      <c r="AI16" s="3" t="inlineStr"/>
      <c r="AJ16" s="3" t="inlineStr">
        <is>
          <t>MK-XS-I-005 holding price — read by MK-NW-O-007, MK-PF-F-022
[the code's record, this build — evidence for the ruling, not the row's statement: it cannot see inputs handed in as arguments, and it counts every branch below the producer]</t>
        </is>
      </c>
      <c r="AK16" s="3" t="inlineStr">
        <is>
          <t>(the claim now stands in 'Inputs it needs' until the row is approved)</t>
        </is>
      </c>
      <c r="AL16" s="3" t="inlineStr"/>
      <c r="AM16" s="3" t="inlineStr">
        <is>
          <t>TESTED, NOT VERIFIED — you ruled on this row 2026-09-28; the figure, its formula, inputs and refusal live in MK-NW-O-007 theLookBack</t>
        </is>
      </c>
      <c r="AN16" s="3" t="inlineStr">
        <is>
          <t>$10,000 left in BND for 12 months, against moving it to VTI. BND closed $72.00 a year ago and $73.80 now; VTI closed $250.00 and $290.00.
GIVES: $11,600
(the test re-runs this through MK-NW-O-007 theLookBack on every build)</t>
        </is>
      </c>
      <c r="AO16" s="3" t="inlineStr">
        <is>
          <t>NOTHING OPEN</t>
        </is>
      </c>
    </row>
    <row r="17" ht="60" customHeight="1">
      <c r="A17" s="3" t="inlineStr">
        <is>
          <t>MK-PF-M-012</t>
        </is>
      </c>
      <c r="B17" s="3" t="inlineStr">
        <is>
          <t>Performance</t>
        </is>
      </c>
      <c r="C17" s="3" t="inlineStr">
        <is>
          <t>/look-back</t>
        </is>
      </c>
      <c r="D17" s="3" t="inlineStr">
        <is>
          <t>Difference: $X more/less if you had moved</t>
        </is>
      </c>
      <c r="E17" s="3" t="inlineStr">
        <is>
          <t>difference_x_moreless_if_you_had_moved</t>
        </is>
      </c>
      <c r="F17" s="3" t="inlineStr">
        <is>
          <t>theLookBack</t>
        </is>
      </c>
      <c r="G17" s="3" t="inlineStr">
        <is>
          <t>MK-NW-O-007</t>
        </is>
      </c>
      <c r="H17" s="3" t="inlineStr">
        <is>
          <t>what it would have become, less what it did become</t>
        </is>
      </c>
      <c r="I17" s="3" t="inlineStr">
        <is>
          <t>what it would have become, less what it did become</t>
        </is>
      </c>
      <c r="J17" s="3" t="inlineStr">
        <is>
          <t>MK-NW-I-005 the price feed</t>
        </is>
      </c>
      <c r="K17" s="3" t="inlineStr">
        <is>
          <t>dollars, whole</t>
        </is>
      </c>
      <c r="L17" s="3" t="inlineStr">
        <is>
          <t>Either fund missing its history means no difference is stated.</t>
        </is>
      </c>
      <c r="M17" s="3" t="inlineStr">
        <is>
          <t>one figure per household</t>
        </is>
      </c>
      <c r="N17" s="3" t="inlineStr">
        <is>
          <t>as of today</t>
        </is>
      </c>
      <c r="O17" s="3" t="inlineStr">
        <is>
          <t>MK-PF-F-023 (lookBack) → LookBackResult | null</t>
        </is>
      </c>
      <c r="P17" s="3" t="inlineStr">
        <is>
          <t>Declared by MK-NW-O-007 theLookBack</t>
        </is>
      </c>
      <c r="Q17" s="3" t="inlineStr">
        <is>
          <t>NONE RECORDED — the declaration names none.</t>
        </is>
      </c>
      <c r="R17" s="3" t="inlineStr">
        <is>
          <t>NONE RECORDED — the declaration names none.</t>
        </is>
      </c>
      <c r="S17" s="3" t="inlineStr"/>
      <c r="T17" s="3" t="inlineStr">
        <is>
          <t>NONE RECORDED — the declaration names none.</t>
        </is>
      </c>
      <c r="U17" s="3" t="inlineStr"/>
      <c r="V17" s="3" t="inlineStr"/>
      <c r="W17" s="3" t="inlineStr"/>
      <c r="X17" s="3" t="inlineStr"/>
      <c r="Y17" s="3" t="inlineStr"/>
      <c r="Z17" s="3" t="inlineStr">
        <is>
          <t>DECLARED IN THE CODE (rule 11) — printed from the door, not typed. RULED 2026-09-28</t>
        </is>
      </c>
      <c r="AA17" s="3" t="inlineStr"/>
      <c r="AB17" s="3" t="inlineStr"/>
      <c r="AC17" s="3" t="inlineStr"/>
      <c r="AD17" s="3" t="inlineStr"/>
      <c r="AE17" s="3" t="inlineStr"/>
      <c r="AF17" s="3" t="inlineStr">
        <is>
          <t>ACTIVE</t>
        </is>
      </c>
      <c r="AG17" s="3" t="inlineStr">
        <is>
          <t>2026-10-04</t>
        </is>
      </c>
      <c r="AH17" s="3" t="inlineStr"/>
      <c r="AI17" s="3" t="inlineStr"/>
      <c r="AJ17" s="3" t="inlineStr">
        <is>
          <t>MK-XS-I-005 holding price — read by MK-NW-O-007, MK-PF-F-022
[the code's record, this build — evidence for the ruling, not the row's statement: it cannot see inputs handed in as arguments, and it counts every branch below the producer]</t>
        </is>
      </c>
      <c r="AK17" s="3" t="inlineStr">
        <is>
          <t>(the claim now stands in 'Inputs it needs' until the row is approved)</t>
        </is>
      </c>
      <c r="AL17" s="3" t="inlineStr"/>
      <c r="AM17" s="3" t="inlineStr">
        <is>
          <t>TESTED, NOT VERIFIED — you ruled on this row 2026-09-28; the figure, its formula, inputs and refusal live in MK-NW-O-007 theLookBack</t>
        </is>
      </c>
      <c r="AN17" s="3" t="inlineStr">
        <is>
          <t>$10,000 left in BND for 12 months, against moving it to VTI. BND closed $72.00 a year ago and $73.80 now; VTI closed $250.00 and $290.00.
GIVES: $1,350
(the test re-runs this through MK-NW-O-007 theLookBack on every build)</t>
        </is>
      </c>
      <c r="AO17" s="3" t="inlineStr">
        <is>
          <t>NOTHING OPEN</t>
        </is>
      </c>
    </row>
    <row r="18" ht="60" customHeight="1">
      <c r="A18" s="3" t="inlineStr">
        <is>
          <t>MK-PF-M-013</t>
        </is>
      </c>
      <c r="B18" s="3" t="inlineStr">
        <is>
          <t>Performance</t>
        </is>
      </c>
      <c r="C18" s="3" t="inlineStr">
        <is>
          <t>/account-detail · /invest</t>
        </is>
      </c>
      <c r="D18" s="3" t="inlineStr">
        <is>
          <t>Beginning market value</t>
        </is>
      </c>
      <c r="E18" s="3" t="inlineStr">
        <is>
          <t>beginning_market_value</t>
        </is>
      </c>
      <c r="F18" s="3" t="inlineStr">
        <is>
          <t>thePerformance</t>
        </is>
      </c>
      <c r="G18" s="3" t="inlineStr">
        <is>
          <t>MK-NW-O-008</t>
        </is>
      </c>
      <c r="H18" s="3" t="inlineStr">
        <is>
          <t>the account’s value on the day before the window opens, as recorded</t>
        </is>
      </c>
      <c r="I18" s="3" t="inlineStr">
        <is>
          <t>the account’s value on the day before the window opens, as recorded</t>
        </is>
      </c>
      <c r="J18" s="3" t="inlineStr">
        <is>
          <t>MK-NW-I-003 the recorded history</t>
        </is>
      </c>
      <c r="K18" s="3" t="inlineStr">
        <is>
          <t>dollars, whole</t>
        </is>
      </c>
      <c r="L18" s="3" t="inlineStr">
        <is>
          <t>The record does not reach back that far, so the walk is not drawn at all rather than started from a guess.</t>
        </is>
      </c>
      <c r="M18" s="3" t="inlineStr">
        <is>
          <t>one account</t>
        </is>
      </c>
      <c r="N18" s="3" t="inlineStr">
        <is>
          <t>as of today</t>
        </is>
      </c>
      <c r="O18"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8" s="3" t="inlineStr">
        <is>
          <t>Declared by MK-NW-O-008 thePerformance</t>
        </is>
      </c>
      <c r="Q18" s="3" t="inlineStr">
        <is>
          <t>IT IS READ, NOT BACK-SOLVED. Working it out from today’s value less the flows would make the walk add up by construction and prove nothing (his ruling behind MK-NW-F-090).
THE DAY BEFORE THE WINDOW OPENS, not the day it opens — B-115, found 2026-09-30.</t>
        </is>
      </c>
      <c r="R18" s="3" t="inlineStr">
        <is>
          <t>IT IS READ, NOT BACK-SOLVED. Working it out from today’s value less the flows would make the walk add up by construction and prove nothing (his ruling behind MK-NW-F-090).
THE DAY BEFORE THE WINDOW OPENS, not the day it opens — B-115, found 2026-09-30.</t>
        </is>
      </c>
      <c r="S18" s="3" t="inlineStr"/>
      <c r="T18" s="3" t="inlineStr">
        <is>
          <t>IT IS READ, NOT BACK-SOLVED. Working it out from today’s value less the flows would make the walk add up by construction and prove nothing (his ruling behind MK-NW-F-090).
THE DAY BEFORE THE WINDOW OPENS, not the day it opens — B-115, found 2026-09-30.</t>
        </is>
      </c>
      <c r="U18" s="3" t="inlineStr"/>
      <c r="V18" s="3" t="inlineStr"/>
      <c r="W18" s="3" t="inlineStr"/>
      <c r="X18" s="3" t="inlineStr"/>
      <c r="Y18" s="3" t="inlineStr"/>
      <c r="Z18" s="3" t="inlineStr">
        <is>
          <t>DECLARED IN THE CODE (rule 11) — printed from the door, not typed. RULED 2026-10-01</t>
        </is>
      </c>
      <c r="AA18" s="3" t="inlineStr"/>
      <c r="AB18" s="3" t="inlineStr"/>
      <c r="AC18" s="3" t="inlineStr"/>
      <c r="AD18" s="3" t="inlineStr"/>
      <c r="AE18" s="3" t="inlineStr"/>
      <c r="AF18" s="3" t="inlineStr">
        <is>
          <t>ACTIVE</t>
        </is>
      </c>
      <c r="AG18" s="3" t="inlineStr">
        <is>
          <t>2026-10-04</t>
        </is>
      </c>
      <c r="AH18" s="3" t="inlineStr"/>
      <c r="AI18" s="3" t="inlineStr"/>
      <c r="AJ18"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8" s="3" t="inlineStr">
        <is>
          <t>(the claim now stands in 'Inputs it needs' until the row is approved)</t>
        </is>
      </c>
      <c r="AL18" s="3" t="inlineStr"/>
      <c r="AM18" s="3" t="inlineStr">
        <is>
          <t>TESTED, NOT VERIFIED — you ruled on this row 2026-10-01; the figure, its formula, inputs and refusal live in MK-NW-O-008 thePerformance</t>
        </is>
      </c>
      <c r="AN18" s="3" t="inlineStr">
        <is>
          <t>An account worth $30,000 on 31 Dec 2025 (100 VTI at $260 plus $4,000 cash) and $46,600 on 28 Sep 2026, with $6,000 paid in on 1 Apr and $825 of dividends received.
GIVES: $30,000
(the test re-runs this through MK-NW-O-008 thePerformance on every build)</t>
        </is>
      </c>
      <c r="AO18" s="3" t="inlineStr">
        <is>
          <t>NOTHING OPEN</t>
        </is>
      </c>
    </row>
    <row r="19" ht="60" customHeight="1">
      <c r="A19" s="3" t="inlineStr">
        <is>
          <t>MK-PF-M-014</t>
        </is>
      </c>
      <c r="B19" s="3" t="inlineStr">
        <is>
          <t>Performance</t>
        </is>
      </c>
      <c r="C19" s="3" t="inlineStr">
        <is>
          <t>/account-detail</t>
        </is>
      </c>
      <c r="D19" s="3" t="inlineStr">
        <is>
          <t>Wealth generated</t>
        </is>
      </c>
      <c r="E19" s="3" t="inlineStr">
        <is>
          <t>wealth_generated</t>
        </is>
      </c>
      <c r="F19" s="3" t="inlineStr">
        <is>
          <t>thePerformance</t>
        </is>
      </c>
      <c r="G19" s="3" t="inlineStr">
        <is>
          <t>MK-NW-O-008</t>
        </is>
      </c>
      <c r="H19" s="3" t="inlineStr">
        <is>
          <t>ending − beginning − contributions + withdrawals</t>
        </is>
      </c>
      <c r="I19" s="3" t="inlineStr">
        <is>
          <t>ending − beginning − contributions + withdrawals</t>
        </is>
      </c>
      <c r="J19" s="3" t="inlineStr">
        <is>
          <t>MK-NW-I-003 the recorded history
MK-NW-I-004 the activity records</t>
        </is>
      </c>
      <c r="K19" s="3" t="inlineStr">
        <is>
          <t>dollars, whole</t>
        </is>
      </c>
      <c r="L19" s="3" t="inlineStr">
        <is>
          <t>No beginning to measure from — the line shows nothing rather than a change.</t>
        </is>
      </c>
      <c r="M19" s="3" t="inlineStr">
        <is>
          <t>one account</t>
        </is>
      </c>
      <c r="N19" s="3" t="inlineStr">
        <is>
          <t>as of today</t>
        </is>
      </c>
      <c r="O19"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19" s="3" t="inlineStr">
        <is>
          <t>Declared by MK-NW-O-008 thePerformance</t>
        </is>
      </c>
      <c r="Q19" s="3" t="inlineStr">
        <is>
          <t>MONEY YOU ADDED IS NOT WEALTH YOU GENERATED. That is the whole distinction this figure exists to draw, and it is why a balance going up is not the same as having earned anything.
A DIVIDEND IS INSIDE IT, because it was earned by the holding rather than added by you.</t>
        </is>
      </c>
      <c r="R19" s="3" t="inlineStr">
        <is>
          <t>MONEY YOU ADDED IS NOT WEALTH YOU GENERATED. That is the whole distinction this figure exists to draw, and it is why a balance going up is not the same as having earned anything.
A DIVIDEND IS INSIDE IT, because it was earned by the holding rather than added by you.</t>
        </is>
      </c>
      <c r="S19" s="3" t="inlineStr"/>
      <c r="T19" s="3" t="inlineStr">
        <is>
          <t>MONEY YOU ADDED IS NOT WEALTH YOU GENERATED. That is the whole distinction this figure exists to draw, and it is why a balance going up is not the same as having earned anything.
A DIVIDEND IS INSIDE IT, because it was earned by the holding rather than added by you.</t>
        </is>
      </c>
      <c r="U19" s="3" t="inlineStr"/>
      <c r="V19" s="3" t="inlineStr"/>
      <c r="W19" s="3" t="inlineStr"/>
      <c r="X19" s="3" t="inlineStr"/>
      <c r="Y19" s="3" t="inlineStr"/>
      <c r="Z19" s="3" t="inlineStr">
        <is>
          <t>DECLARED IN THE CODE (rule 11) — printed from the door, not typed. RULED 2026-10-01</t>
        </is>
      </c>
      <c r="AA19" s="3" t="inlineStr"/>
      <c r="AB19" s="3" t="inlineStr"/>
      <c r="AC19" s="3" t="inlineStr"/>
      <c r="AD19" s="3" t="inlineStr"/>
      <c r="AE19" s="3" t="inlineStr"/>
      <c r="AF19" s="3" t="inlineStr">
        <is>
          <t>ACTIVE</t>
        </is>
      </c>
      <c r="AG19" s="3" t="inlineStr">
        <is>
          <t>2026-10-04</t>
        </is>
      </c>
      <c r="AH19" s="3" t="inlineStr"/>
      <c r="AI19" s="3" t="inlineStr"/>
      <c r="AJ19"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9" s="3" t="inlineStr">
        <is>
          <t>(the claim now stands in 'Inputs it needs' until the row is approved)</t>
        </is>
      </c>
      <c r="AL19" s="3" t="inlineStr"/>
      <c r="AM19" s="3" t="inlineStr">
        <is>
          <t>TESTED, NOT VERIFIED — you ruled on this row 2026-10-01; the figure, its formula, inputs and refusal live in MK-NW-O-008 thePerformance</t>
        </is>
      </c>
      <c r="AN19" s="3" t="inlineStr">
        <is>
          <t>An account worth $30,000 on 31 Dec 2025 (100 VTI at $260 plus $4,000 cash) and $46,600 on 28 Sep 2026, with $6,000 paid in on 1 Apr and $825 of dividends received.
GIVES: $10,600
(the test re-runs this through MK-NW-O-008 thePerformance on every build)</t>
        </is>
      </c>
      <c r="AO19" s="3" t="inlineStr">
        <is>
          <t>NOTHING OPEN</t>
        </is>
      </c>
    </row>
    <row r="20" ht="60" customHeight="1">
      <c r="A20" s="3" t="inlineStr">
        <is>
          <t>MK-PF-M-015</t>
        </is>
      </c>
      <c r="B20" s="3" t="inlineStr">
        <is>
          <t>Performance</t>
        </is>
      </c>
      <c r="C20" s="3" t="inlineStr">
        <is>
          <t>/account-detail · /invest</t>
        </is>
      </c>
      <c r="D20" s="3" t="inlineStr">
        <is>
          <t>one line of the walk</t>
        </is>
      </c>
      <c r="E20" s="3" t="inlineStr">
        <is>
          <t>one_line_of_the_walk</t>
        </is>
      </c>
      <c r="F20" s="3" t="inlineStr">
        <is>
          <t>thePerformance</t>
        </is>
      </c>
      <c r="G20" s="3" t="inlineStr">
        <is>
          <t>MK-NW-O-008</t>
        </is>
      </c>
      <c r="H20" s="3" t="inlineStr">
        <is>
          <t>each recorded flow over the window, and the remainder as the change in value</t>
        </is>
      </c>
      <c r="I20" s="3" t="inlineStr">
        <is>
          <t>each recorded flow over the window, and the remainder as the change in value</t>
        </is>
      </c>
      <c r="J20" s="3" t="inlineStr">
        <is>
          <t>MK-NW-I-004 the activity records</t>
        </is>
      </c>
      <c r="K20" s="3" t="inlineStr">
        <is>
          <t>dollars, whole</t>
        </is>
      </c>
      <c r="L20" s="3" t="inlineStr">
        <is>
          <t>No flows recorded — the line is not drawn.</t>
        </is>
      </c>
      <c r="M20" s="3" t="inlineStr">
        <is>
          <t>one line of one account’s walk</t>
        </is>
      </c>
      <c r="N20" s="3" t="inlineStr">
        <is>
          <t>as of today</t>
        </is>
      </c>
      <c r="O20"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0" s="3" t="inlineStr">
        <is>
          <t>Declared by MK-NW-O-008 thePerformance</t>
        </is>
      </c>
      <c r="Q20" s="3" t="inlineStr">
        <is>
          <t>THE LINES ALWAYS SUM TO THE ENDING, by construction. Whatever the records cannot explain lands in the change-in-value line rather than being silently dropped — a walk that does not add up is worse than no walk.</t>
        </is>
      </c>
      <c r="R20" s="3" t="inlineStr">
        <is>
          <t>THE LINES ALWAYS SUM TO THE ENDING, by construction. Whatever the records cannot explain lands in the change-in-value line rather than being silently dropped — a walk that does not add up is worse than no walk.</t>
        </is>
      </c>
      <c r="S20" s="3" t="inlineStr"/>
      <c r="T20" s="3" t="inlineStr">
        <is>
          <t>THE LINES ALWAYS SUM TO THE ENDING, by construction. Whatever the records cannot explain lands in the change-in-value line rather than being silently dropped — a walk that does not add up is worse than no walk.</t>
        </is>
      </c>
      <c r="U20" s="3" t="inlineStr"/>
      <c r="V20" s="3" t="inlineStr"/>
      <c r="W20" s="3" t="inlineStr"/>
      <c r="X20" s="3" t="inlineStr"/>
      <c r="Y20" s="3" t="inlineStr"/>
      <c r="Z20" s="3" t="inlineStr">
        <is>
          <t>DECLARED IN THE CODE (rule 11) — printed from the door, not typed. RULED 2026-10-01</t>
        </is>
      </c>
      <c r="AA20" s="3" t="inlineStr"/>
      <c r="AB20" s="3" t="inlineStr"/>
      <c r="AC20" s="3" t="inlineStr"/>
      <c r="AD20" s="3" t="inlineStr"/>
      <c r="AE20" s="3" t="inlineStr"/>
      <c r="AF20" s="3" t="inlineStr">
        <is>
          <t>ACTIVE</t>
        </is>
      </c>
      <c r="AG20" s="3" t="inlineStr">
        <is>
          <t>2026-10-04</t>
        </is>
      </c>
      <c r="AH20" s="3" t="inlineStr"/>
      <c r="AI20" s="3" t="inlineStr"/>
      <c r="AJ20"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0" s="3" t="inlineStr">
        <is>
          <t>(the claim now stands in 'Inputs it needs' until the row is approved)</t>
        </is>
      </c>
      <c r="AL20" s="3" t="inlineStr"/>
      <c r="AM20" s="3" t="inlineStr">
        <is>
          <t>TESTED, NOT VERIFIED — you ruled on this row 2026-10-01; the figure, its formula, inputs and refusal live in MK-NW-O-008 thePerformance</t>
        </is>
      </c>
      <c r="AN20" s="3" t="inlineStr">
        <is>
          <t>An account worth $30,000 on 31 Dec 2025 (100 VTI at $260 plus $4,000 cash) and $46,600 on 28 Sep 2026, with $6,000 paid in on 1 Apr and $825 of dividends received.
GIVES: $6,000
(the test re-runs this through MK-NW-O-008 thePerformance on every build)</t>
        </is>
      </c>
      <c r="AO20" s="3" t="inlineStr">
        <is>
          <t>NOTHING OPEN</t>
        </is>
      </c>
    </row>
    <row r="21" ht="60" customHeight="1">
      <c r="A21" s="3" t="inlineStr">
        <is>
          <t>MK-PF-M-016</t>
        </is>
      </c>
      <c r="B21" s="3" t="inlineStr">
        <is>
          <t>Performance</t>
        </is>
      </c>
      <c r="C21" s="3" t="inlineStr">
        <is>
          <t>/account-detail · /invest</t>
        </is>
      </c>
      <c r="D21" s="3" t="inlineStr">
        <is>
          <t>Return</t>
        </is>
      </c>
      <c r="E21" s="3" t="inlineStr">
        <is>
          <t>return</t>
        </is>
      </c>
      <c r="F21" s="3" t="inlineStr">
        <is>
          <t>thePerformance</t>
        </is>
      </c>
      <c r="G21" s="3" t="inlineStr">
        <is>
          <t>MK-NW-O-008</t>
        </is>
      </c>
      <c r="H21" s="3" t="inlineStr">
        <is>
          <t>(ending − beginning − net flows) ÷ (beginning + Σ each flow × the share of the window it was invested for) — Modified Dietz; a window longer than a year is turned into a yearly rate</t>
        </is>
      </c>
      <c r="I21" s="3" t="inlineStr">
        <is>
          <t>(ending − beginning − net flows) ÷ (beginning + Σ each flow × the share of the window it was invested for) — Modified Dietz; a window longer than a year is turned into a yearly rate</t>
        </is>
      </c>
      <c r="J21" s="3" t="inlineStr">
        <is>
          <t>MK-NW-I-003 the recorded history
MK-NW-I-004 the activity records</t>
        </is>
      </c>
      <c r="K21" s="3" t="inlineStr">
        <is>
          <t>a return with its sign, two decimals</t>
        </is>
      </c>
      <c r="L21" s="3" t="inlineStr">
        <is>
          <t>Money moved in and out in amounts where WHEN it moved would decide a window return, so none is shown; the rate per year stands in its place.</t>
        </is>
      </c>
      <c r="M21" s="3" t="inlineStr">
        <is>
          <t>one account</t>
        </is>
      </c>
      <c r="N21" s="3" t="inlineStr">
        <is>
          <t>as of today</t>
        </is>
      </c>
      <c r="O21"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1" s="3" t="inlineStr">
        <is>
          <t>Declared by MK-NW-O-008 thePerformance</t>
        </is>
      </c>
      <c r="Q21" s="3" t="inlineStr">
        <is>
          <t>TWO DECIMALS AND ITS SIGN, always (Q49): +6.67%, −0.57% — never +6.7%, never a bare 6.67%.
WHEN MONEY MOVED WOULD DECIDE THE FIGURE, IT REFUSES (Q52): the screen shows — and the exact rate per year stands in its place, with a sentence saying why.
ONE METHOD WITH THE PORTFOLIO: the same door the Performance tab calls, asked for this one account.</t>
        </is>
      </c>
      <c r="R21" s="3" t="inlineStr">
        <is>
          <t>TWO DECIMALS AND ITS SIGN, always (Q49): +6.67%, −0.57% — never +6.7%, never a bare 6.67%.
WHEN MONEY MOVED WOULD DECIDE THE FIGURE, IT REFUSES (Q52): the screen shows — and the exact rate per year stands in its place, with a sentence saying why.
ONE METHOD WITH THE PORTFOLIO: the same door the Performance tab calls, asked for this one account.</t>
        </is>
      </c>
      <c r="S21" s="3" t="inlineStr"/>
      <c r="T21" s="3" t="inlineStr">
        <is>
          <t>TWO DECIMALS AND ITS SIGN, always (Q49): +6.67%, −0.57% — never +6.7%, never a bare 6.67%.
WHEN MONEY MOVED WOULD DECIDE THE FIGURE, IT REFUSES (Q52): the screen shows — and the exact rate per year stands in its place, with a sentence saying why.
ONE METHOD WITH THE PORTFOLIO: the same door the Performance tab calls, asked for this one account.</t>
        </is>
      </c>
      <c r="U21" s="3" t="inlineStr"/>
      <c r="V21" s="3" t="inlineStr"/>
      <c r="W21" s="3" t="inlineStr"/>
      <c r="X21" s="3" t="inlineStr"/>
      <c r="Y21" s="3" t="inlineStr"/>
      <c r="Z21" s="3" t="inlineStr">
        <is>
          <t>DECLARED IN THE CODE (rule 11) — printed from the door, not typed. RULED 2026-10-01</t>
        </is>
      </c>
      <c r="AA21" s="3" t="inlineStr"/>
      <c r="AB21" s="3" t="inlineStr"/>
      <c r="AC21" s="3" t="inlineStr"/>
      <c r="AD21" s="3" t="inlineStr"/>
      <c r="AE21" s="3" t="inlineStr"/>
      <c r="AF21" s="3" t="inlineStr">
        <is>
          <t>ACTIVE</t>
        </is>
      </c>
      <c r="AG21" s="3" t="inlineStr">
        <is>
          <t>2026-10-04</t>
        </is>
      </c>
      <c r="AH21" s="3" t="inlineStr"/>
      <c r="AI21" s="3" t="inlineStr"/>
      <c r="AJ21"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1" s="3" t="inlineStr">
        <is>
          <t>(the claim now stands in 'Inputs it needs' until the row is approved)</t>
        </is>
      </c>
      <c r="AL21" s="3" t="inlineStr"/>
      <c r="AM21" s="3" t="inlineStr">
        <is>
          <t>TESTED, NOT VERIFIED — you ruled on this row 2026-10-01; the figure, its formula, inputs and refusal live in MK-NW-O-008 thePerformance</t>
        </is>
      </c>
      <c r="AN21" s="3" t="inlineStr">
        <is>
          <t>An account worth $30,000 on 31 Dec 2025 (100 VTI at $260 plus $4,000 cash) and $32,000 on 28 Sep 2026, with nothing paid in or taken out and $825 of it arriving as dividends.
GIVES: +6.67%
(the test re-runs this through MK-NW-O-008 thePerformance on every build)</t>
        </is>
      </c>
      <c r="AO21" s="3" t="inlineStr">
        <is>
          <t>NOTHING OPEN</t>
        </is>
      </c>
    </row>
    <row r="22" ht="60" customHeight="1">
      <c r="A22" s="3" t="inlineStr">
        <is>
          <t>MK-PF-M-017</t>
        </is>
      </c>
      <c r="B22" s="3" t="inlineStr">
        <is>
          <t>Performance</t>
        </is>
      </c>
      <c r="C22" s="3" t="inlineStr">
        <is>
          <t>/invest</t>
        </is>
      </c>
      <c r="D22" s="3" t="inlineStr">
        <is>
          <t>Return</t>
        </is>
      </c>
      <c r="E22" s="3" t="inlineStr">
        <is>
          <t>return</t>
        </is>
      </c>
      <c r="F22" s="3" t="inlineStr">
        <is>
          <t>thePerformance</t>
        </is>
      </c>
      <c r="G22" s="3" t="inlineStr">
        <is>
          <t>MK-NW-O-008</t>
        </is>
      </c>
      <c r="H22" s="3" t="inlineStr">
        <is>
          <t>(ending − beginning − net flows) ÷ (beginning + Σ each flow × the share of the window it was invested for) — Modified Dietz over every investment account; a window longer than a year becomes a yearly rate</t>
        </is>
      </c>
      <c r="I22" s="3" t="inlineStr">
        <is>
          <t>(ending − beginning − net flows) ÷ (beginning + Σ each flow × the share of the window it was invested for) — Modified Dietz over every investment account; a window longer than a year becomes a yearly rate</t>
        </is>
      </c>
      <c r="J22" s="3" t="inlineStr">
        <is>
          <t>MK-NW-I-003 the recorded history
MK-NW-I-004 the activity records</t>
        </is>
      </c>
      <c r="K22" s="3" t="inlineStr">
        <is>
          <t>a return with its sign, two decimals</t>
        </is>
      </c>
      <c r="L22" s="3" t="inlineStr">
        <is>
          <t>Money moved in and out in amounts where WHEN it moved would decide a window return, so none is shown; the rate per year stands in its place.</t>
        </is>
      </c>
      <c r="M22" s="3" t="inlineStr">
        <is>
          <t>every account together</t>
        </is>
      </c>
      <c r="N22" s="3" t="inlineStr">
        <is>
          <t>as of today</t>
        </is>
      </c>
      <c r="O22"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2" s="3" t="inlineStr">
        <is>
          <t>Declared by MK-NW-O-008 thePerformance</t>
        </is>
      </c>
      <c r="Q22" s="3" t="inlineStr">
        <is>
          <t>TWO DECIMALS AND ITS SIGN, always (Q49).
WHEN MONEY MOVED WOULD DECIDE THE FIGURE, IT REFUSES (Q52) and the exact rate per year stands in its place (mark 16, v17).
THE SAME DOOR AS ONE ACCOUNT’S RETURN (MK-PF-M-016), asked for every account at once — one method, never two.</t>
        </is>
      </c>
      <c r="R22" s="3" t="inlineStr">
        <is>
          <t>TWO DECIMALS AND ITS SIGN, always (Q49).
WHEN MONEY MOVED WOULD DECIDE THE FIGURE, IT REFUSES (Q52) and the exact rate per year stands in its place (mark 16, v17).
THE SAME DOOR AS ONE ACCOUNT’S RETURN (MK-PF-M-016), asked for every account at once — one method, never two.</t>
        </is>
      </c>
      <c r="S22" s="3" t="inlineStr"/>
      <c r="T22" s="3" t="inlineStr">
        <is>
          <t>TWO DECIMALS AND ITS SIGN, always (Q49).
WHEN MONEY MOVED WOULD DECIDE THE FIGURE, IT REFUSES (Q52) and the exact rate per year stands in its place (mark 16, v17).
THE SAME DOOR AS ONE ACCOUNT’S RETURN (MK-PF-M-016), asked for every account at once — one method, never two.</t>
        </is>
      </c>
      <c r="U22" s="3" t="inlineStr"/>
      <c r="V22" s="3" t="inlineStr"/>
      <c r="W22" s="3" t="inlineStr"/>
      <c r="X22" s="3" t="inlineStr"/>
      <c r="Y22" s="3" t="inlineStr"/>
      <c r="Z22" s="3" t="inlineStr">
        <is>
          <t>DECLARED IN THE CODE (rule 11) — printed from the door, not typed. RULED 2026-10-01</t>
        </is>
      </c>
      <c r="AA22" s="3" t="inlineStr"/>
      <c r="AB22" s="3" t="inlineStr"/>
      <c r="AC22" s="3" t="inlineStr"/>
      <c r="AD22" s="3" t="inlineStr"/>
      <c r="AE22" s="3" t="inlineStr"/>
      <c r="AF22" s="3" t="inlineStr">
        <is>
          <t>ACTIVE</t>
        </is>
      </c>
      <c r="AG22" s="3" t="inlineStr">
        <is>
          <t>2026-10-04</t>
        </is>
      </c>
      <c r="AH22" s="3" t="inlineStr"/>
      <c r="AI22" s="3" t="inlineStr"/>
      <c r="AJ22"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2" s="3" t="inlineStr">
        <is>
          <t>(the claim now stands in 'Inputs it needs' until the row is approved)</t>
        </is>
      </c>
      <c r="AL22" s="3" t="inlineStr"/>
      <c r="AM22" s="3" t="inlineStr">
        <is>
          <t>TESTED, NOT VERIFIED — you ruled on this row 2026-10-01; the figure, its formula, inputs and refusal live in MK-NW-O-008 thePerformance</t>
        </is>
      </c>
      <c r="AN22" s="3" t="inlineStr">
        <is>
          <t>An account worth $30,000 on 31 Dec 2025 (100 VTI at $260 plus $4,000 cash) and $32,000 on 28 Sep 2026, with nothing paid in or taken out and $825 of it arriving as dividends.
GIVES: +6.67%
(the test re-runs this through MK-NW-O-008 thePerformance on every build)</t>
        </is>
      </c>
      <c r="AO22" s="3" t="inlineStr">
        <is>
          <t>NOTHING OPEN</t>
        </is>
      </c>
    </row>
    <row r="23" ht="60" customHeight="1">
      <c r="A23" s="3" t="inlineStr">
        <is>
          <t>MK-PF-M-018</t>
        </is>
      </c>
      <c r="B23" s="3" t="inlineStr">
        <is>
          <t>Performance</t>
        </is>
      </c>
      <c r="C23" s="3" t="inlineStr">
        <is>
          <t>/invest</t>
        </is>
      </c>
      <c r="D23" s="3" t="inlineStr">
        <is>
          <t>Beginning market value</t>
        </is>
      </c>
      <c r="E23" s="3" t="inlineStr">
        <is>
          <t>beginning_market_value</t>
        </is>
      </c>
      <c r="F23" s="3" t="inlineStr">
        <is>
          <t>thePerformance</t>
        </is>
      </c>
      <c r="G23" s="3" t="inlineStr">
        <is>
          <t>MK-NW-O-008</t>
        </is>
      </c>
      <c r="H23" s="3" t="inlineStr">
        <is>
          <t>the recorded value of every investment account at the close of the day before the window opens</t>
        </is>
      </c>
      <c r="I23" s="3" t="inlineStr">
        <is>
          <t>the recorded value of every investment account at the close of the day before the window opens</t>
        </is>
      </c>
      <c r="J23" s="3" t="inlineStr">
        <is>
          <t>MK-NW-I-003 the recorded history</t>
        </is>
      </c>
      <c r="K23" s="3" t="inlineStr">
        <is>
          <t>dollars, whole</t>
        </is>
      </c>
      <c r="L23" s="3" t="inlineStr">
        <is>
          <t>No recorded value that far back — the walk starts the day the record does, and says so.</t>
        </is>
      </c>
      <c r="M23" s="3" t="inlineStr">
        <is>
          <t>every account together</t>
        </is>
      </c>
      <c r="N23" s="3" t="inlineStr">
        <is>
          <t>as of today</t>
        </is>
      </c>
      <c r="O23"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3" s="3" t="inlineStr">
        <is>
          <t>Declared by MK-NW-O-008 thePerformance</t>
        </is>
      </c>
      <c r="Q23" s="3" t="inlineStr">
        <is>
          <t>READ, NEVER BACK-SOLVED: with no recorded value the walk says so instead of inventing a start.</t>
        </is>
      </c>
      <c r="R23" s="3" t="inlineStr">
        <is>
          <t>READ, NEVER BACK-SOLVED: with no recorded value the walk says so instead of inventing a start.</t>
        </is>
      </c>
      <c r="S23" s="3" t="inlineStr"/>
      <c r="T23" s="3" t="inlineStr">
        <is>
          <t>READ, NEVER BACK-SOLVED: with no recorded value the walk says so instead of inventing a start.</t>
        </is>
      </c>
      <c r="U23" s="3" t="inlineStr"/>
      <c r="V23" s="3" t="inlineStr"/>
      <c r="W23" s="3" t="inlineStr"/>
      <c r="X23" s="3" t="inlineStr"/>
      <c r="Y23" s="3" t="inlineStr"/>
      <c r="Z23" s="3" t="inlineStr">
        <is>
          <t>DECLARED IN THE CODE (rule 11) — printed from the door, not typed. RULED 2026-10-01</t>
        </is>
      </c>
      <c r="AA23" s="3" t="inlineStr"/>
      <c r="AB23" s="3" t="inlineStr"/>
      <c r="AC23" s="3" t="inlineStr"/>
      <c r="AD23" s="3" t="inlineStr"/>
      <c r="AE23" s="3" t="inlineStr"/>
      <c r="AF23" s="3" t="inlineStr">
        <is>
          <t>ACTIVE</t>
        </is>
      </c>
      <c r="AG23" s="3" t="inlineStr">
        <is>
          <t>2026-10-04</t>
        </is>
      </c>
      <c r="AH23" s="3" t="inlineStr"/>
      <c r="AI23" s="3" t="inlineStr"/>
      <c r="AJ23"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3" s="3" t="inlineStr">
        <is>
          <t>(the claim now stands in 'Inputs it needs' until the row is approved)</t>
        </is>
      </c>
      <c r="AL23" s="3" t="inlineStr"/>
      <c r="AM23" s="3" t="inlineStr">
        <is>
          <t>TESTED, NOT VERIFIED — you ruled on this row 2026-10-01; the figure, its formula, inputs and refusal live in MK-NW-O-008 thePerformance</t>
        </is>
      </c>
      <c r="AN23" s="3" t="inlineStr">
        <is>
          <t>An account worth $30,000 on 31 Dec 2025 (100 VTI at $260 plus $4,000 cash) and $46,600 on 28 Sep 2026, with $6,000 paid in on 1 Apr and $825 of dividends received.
GIVES: $30,000
(the test re-runs this through MK-NW-O-008 thePerformance on every build)</t>
        </is>
      </c>
      <c r="AO23" s="3" t="inlineStr">
        <is>
          <t>NOTHING OPEN</t>
        </is>
      </c>
    </row>
    <row r="24" ht="60" customHeight="1">
      <c r="A24" s="3" t="inlineStr">
        <is>
          <t>MK-PF-M-019</t>
        </is>
      </c>
      <c r="B24" s="3" t="inlineStr">
        <is>
          <t>Performance</t>
        </is>
      </c>
      <c r="C24" s="3" t="inlineStr">
        <is>
          <t>/invest</t>
        </is>
      </c>
      <c r="D24" s="3" t="inlineStr">
        <is>
          <t>one line of the walk</t>
        </is>
      </c>
      <c r="E24" s="3" t="inlineStr">
        <is>
          <t>one_line_of_the_walk</t>
        </is>
      </c>
      <c r="F24" s="3" t="inlineStr">
        <is>
          <t>thePerformance</t>
        </is>
      </c>
      <c r="G24" s="3" t="inlineStr">
        <is>
          <t>MK-NW-O-008</t>
        </is>
      </c>
      <c r="H24" s="3" t="inlineStr">
        <is>
          <t>contributions and withdrawals from the records inside the window; dividends and interest received; change in value = ending − beginning − contributions + withdrawals − dividends − interest</t>
        </is>
      </c>
      <c r="I24" s="3" t="inlineStr">
        <is>
          <t>contributions and withdrawals from the records inside the window; dividends and interest received; change in value = ending − beginning − contributions + withdrawals − dividends − interest</t>
        </is>
      </c>
      <c r="J24" s="3" t="inlineStr">
        <is>
          <t>MK-NW-I-003 the recorded history
MK-NW-I-004 the activity records</t>
        </is>
      </c>
      <c r="K24" s="3" t="inlineStr">
        <is>
          <t>dollars, whole</t>
        </is>
      </c>
      <c r="L24" s="3" t="inlineStr">
        <is>
          <t>A real $0 — a line with nothing in it still prints, so the structure never changes.</t>
        </is>
      </c>
      <c r="M24" s="3" t="inlineStr">
        <is>
          <t>every account together</t>
        </is>
      </c>
      <c r="N24" s="3" t="inlineStr">
        <is>
          <t>as of today</t>
        </is>
      </c>
      <c r="O24"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4" s="3" t="inlineStr">
        <is>
          <t>Declared by MK-NW-O-008 thePerformance</t>
        </is>
      </c>
      <c r="Q24" s="3" t="inlineStr">
        <is>
          <t>THE LINES ALWAYS ADD UP TO THE ENDING — the change in investment value is what is left, so nothing is lost between the lines.</t>
        </is>
      </c>
      <c r="R24" s="3" t="inlineStr">
        <is>
          <t>THE LINES ALWAYS ADD UP TO THE ENDING — the change in investment value is what is left, so nothing is lost between the lines.</t>
        </is>
      </c>
      <c r="S24" s="3" t="inlineStr"/>
      <c r="T24" s="3" t="inlineStr">
        <is>
          <t>THE LINES ALWAYS ADD UP TO THE ENDING — the change in investment value is what is left, so nothing is lost between the lines.</t>
        </is>
      </c>
      <c r="U24" s="3" t="inlineStr"/>
      <c r="V24" s="3" t="inlineStr"/>
      <c r="W24" s="3" t="inlineStr"/>
      <c r="X24" s="3" t="inlineStr"/>
      <c r="Y24" s="3" t="inlineStr"/>
      <c r="Z24" s="3" t="inlineStr">
        <is>
          <t>DECLARED IN THE CODE (rule 11) — printed from the door, not typed. RULED 2026-10-01</t>
        </is>
      </c>
      <c r="AA24" s="3" t="inlineStr"/>
      <c r="AB24" s="3" t="inlineStr"/>
      <c r="AC24" s="3" t="inlineStr"/>
      <c r="AD24" s="3" t="inlineStr"/>
      <c r="AE24" s="3" t="inlineStr"/>
      <c r="AF24" s="3" t="inlineStr">
        <is>
          <t>ACTIVE</t>
        </is>
      </c>
      <c r="AG24" s="3" t="inlineStr">
        <is>
          <t>2026-10-04</t>
        </is>
      </c>
      <c r="AH24" s="3" t="inlineStr"/>
      <c r="AI24" s="3" t="inlineStr"/>
      <c r="AJ24"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4" s="3" t="inlineStr">
        <is>
          <t>(the claim now stands in 'Inputs it needs' until the row is approved)</t>
        </is>
      </c>
      <c r="AL24" s="3" t="inlineStr"/>
      <c r="AM24" s="3" t="inlineStr">
        <is>
          <t>TESTED, NOT VERIFIED — you ruled on this row 2026-10-01; the figure, its formula, inputs and refusal live in MK-NW-O-008 thePerformance</t>
        </is>
      </c>
      <c r="AN24" s="3" t="inlineStr">
        <is>
          <t>An account worth $30,000 on 31 Dec 2025 (100 VTI at $260 plus $4,000 cash) and $46,600 on 28 Sep 2026, with $6,000 paid in on 1 Apr and $825 of dividends received.
GIVES: $6,000
(the test re-runs this through MK-NW-O-008 thePerformance on every build)</t>
        </is>
      </c>
      <c r="AO24" s="3" t="inlineStr">
        <is>
          <t>NOTHING OPEN</t>
        </is>
      </c>
    </row>
    <row r="25" ht="60" customHeight="1">
      <c r="A25" s="3" t="inlineStr">
        <is>
          <t>MK-PF-M-020</t>
        </is>
      </c>
      <c r="B25" s="3" t="inlineStr">
        <is>
          <t>Performance</t>
        </is>
      </c>
      <c r="C25" s="3" t="inlineStr">
        <is>
          <t>/invest</t>
        </is>
      </c>
      <c r="D25" s="3" t="inlineStr">
        <is>
          <t>Available cash</t>
        </is>
      </c>
      <c r="E25" s="3" t="inlineStr">
        <is>
          <t>available_cash</t>
        </is>
      </c>
      <c r="F25" s="3" t="inlineStr">
        <is>
          <t>thePerformance</t>
        </is>
      </c>
      <c r="G25" s="3" t="inlineStr">
        <is>
          <t>MK-NW-O-008</t>
        </is>
      </c>
      <c r="H25" s="3" t="inlineStr">
        <is>
          <t>the cash sleeve of a brokerage account; the whole balance of a cash account</t>
        </is>
      </c>
      <c r="I25" s="3" t="inlineStr">
        <is>
          <t>the cash sleeve of a brokerage account; the whole balance of a cash account</t>
        </is>
      </c>
      <c r="J25" s="3" t="inlineStr">
        <is>
          <t>MK-NW-I-001 your accounts</t>
        </is>
      </c>
      <c r="K25" s="3" t="inlineStr">
        <is>
          <t>dollars, whole</t>
        </is>
      </c>
      <c r="L25" s="3" t="inlineStr">
        <is>
          <t>No account picked — the line is not shown.</t>
        </is>
      </c>
      <c r="M25" s="3" t="inlineStr">
        <is>
          <t>one account</t>
        </is>
      </c>
      <c r="N25" s="3" t="inlineStr">
        <is>
          <t>as of today</t>
        </is>
      </c>
      <c r="O25" s="3" t="inlineStr">
        <is>
          <t>1. MK-XS-F-011 (buildChangeWalk) → NOT DECLARED — the code does not say what it gives back
2. MK-CF-F-132 (map) → NOT DECLARED — the code does not say what it gives back
3. MK-ST-F-064 (modifiedDietzOverWindow) → NOT DECLARED — the code does not say what it gives back
4. MK-ST-F-013 (personalFlowTotals) → PersonalFlowTotals
5. MK-NW-F-102 (rateWhereItRefuses) → NOT DECLARED — the code does not say what it gives back
6. MK-ST-F-030 (record) → SnapshotDay[]
7. MK-ST-F-021 (toNumber) → number | null
8. MK-ST-F-031 (valueOn) → number | null
9. MK-ST-F-038 (windowBounds) → WindowBounds</t>
        </is>
      </c>
      <c r="P25" s="3" t="inlineStr">
        <is>
          <t>Declared by MK-NW-O-008 thePerformance</t>
        </is>
      </c>
      <c r="Q25" s="3" t="inlineStr">
        <is>
          <t>A BUY OR WITHDRAWAL BIGGER THAN THIS IS REFUSED on the sheet, with the words to deposit or transfer cash in first.</t>
        </is>
      </c>
      <c r="R25" s="3" t="inlineStr">
        <is>
          <t>A BUY OR WITHDRAWAL BIGGER THAN THIS IS REFUSED on the sheet, with the words to deposit or transfer cash in first.</t>
        </is>
      </c>
      <c r="S25" s="3" t="inlineStr"/>
      <c r="T25" s="3" t="inlineStr">
        <is>
          <t>A BUY OR WITHDRAWAL BIGGER THAN THIS IS REFUSED on the sheet, with the words to deposit or transfer cash in first.</t>
        </is>
      </c>
      <c r="U25" s="3" t="inlineStr"/>
      <c r="V25" s="3" t="inlineStr"/>
      <c r="W25" s="3" t="inlineStr"/>
      <c r="X25" s="3" t="inlineStr"/>
      <c r="Y25" s="3" t="inlineStr"/>
      <c r="Z25" s="3" t="inlineStr">
        <is>
          <t>DECLARED IN THE CODE (rule 11) — printed from the door, not typed. RULED 2026-10-01</t>
        </is>
      </c>
      <c r="AA25" s="3" t="inlineStr"/>
      <c r="AB25" s="3" t="inlineStr"/>
      <c r="AC25" s="3" t="inlineStr"/>
      <c r="AD25" s="3" t="inlineStr"/>
      <c r="AE25" s="3" t="inlineStr"/>
      <c r="AF25" s="3" t="inlineStr">
        <is>
          <t>ACTIVE</t>
        </is>
      </c>
      <c r="AG25" s="3" t="inlineStr">
        <is>
          <t>2026-10-04</t>
        </is>
      </c>
      <c r="AH25" s="3" t="inlineStr"/>
      <c r="AI25" s="3" t="inlineStr"/>
      <c r="AJ25" s="3" t="inlineStr">
        <is>
          <t>1. MK-XS-I-001 account balance — read by MK-NW-F-056, MK-NW-F-078, MK-NW-O-001, MK-ST-F-027
2. MK-XS-I-002 account type (taxable, pre-tax, Roth) — read by MK-NW-F-011, MK-NW-O-001
3. MK-XS-I-003 institution name — read by MK-NW-F-071, MK-NW-F-072, MK-NW-O-001
4. MK-XS-I-004 holding quantity (shares) — read by MK-PF-F-024, MK-ST-F-027
5. MK-XS-I-005 holding price — read by MK-ST-F-027
6. MK-XS-I-007 purchase price and date (per lot) — read by MK-ST-F-027
7. MK-XS-I-008 transaction amount — read by MK-NW-F-102, MK-NW-O-008, MK-PF-F-024
8. MK-XS-I-009 transaction date — read by MK-NW-F-102, MK-NW-O-008, MK-PF-F-024
9. MK-XS-I-010 transaction words (the institution's own wording) — read by MK-ST-F-013
10. MK-XS-I-011 bond face value — read by MK-NW-F-056, MK-NW-F-057, MK-NW-F-060, MK-NW-F-061, MK-NW-F-064, MK-NW-F-069, MK
11. MK-XS-I-012 bond coupon rate — read by MK-NW-F-056, MK-NW-F-057, MK-NW-F-064, MK-NW-F-071, MK-NW-F-072, MK-NW-F-078, MK
12. MK-XS-I-013 bond maturity date — read by MK-NW-F-011, MK-NW-F-056, MK-NW-F-058, MK-NW-F-060, MK-NW-F-061, MK-NW-F-069, MK
13. MK-XS-I-024 logged expenses — read by MK-NW-F-102, MK-NW-O-008, MK-PF-F-024, MK-PF-F-025, MK-PF-F-026
14. MK-XS-I-028 assumed return — read by MK-NW-O-001
15. MK-XS-I-031 daily and monthly snapshots — read by MK-ST-F-030, MK-ST-F-031
16. MK-XS-I-048 the person’s own asset-class answer — read by MK-NW-F-011, MK-ST-F-027
17. MK-XS-I-049 bond price — what the bond is worth today — read by MK-NW-F-056, MK-NW-F-057, MK-NW-F-059, MK-NW-F-060, MK-NW-F-061, MK-NW-F-064, MK
18. MK-XS-I-055 the wrapper an account sits in — ISA, 401(k), IRA and the rest — read by MK-NW-F-011, MK-NW-O-001
19. MK-XS-I-064 the unit beside a quantity — shares, coins, contracts, ounces or units — read by MK-NW-F-078
20.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5" s="3" t="inlineStr">
        <is>
          <t>(the claim now stands in 'Inputs it needs' until the row is approved)</t>
        </is>
      </c>
      <c r="AL25" s="3" t="inlineStr"/>
      <c r="AM25" s="3" t="inlineStr">
        <is>
          <t>TESTED, NOT VERIFIED — you ruled on this row 2026-10-01; the figure, its formula, inputs and refusal live in MK-NW-O-008 thePerformance</t>
        </is>
      </c>
      <c r="AN25" s="3" t="inlineStr">
        <is>
          <t>A savings account holding $5,000 and nothing else.
GIVES: $5,000
(the test re-runs this through MK-NW-O-008 thePerformance on every build)</t>
        </is>
      </c>
      <c r="AO25" s="3" t="inlineStr">
        <is>
          <t>NOTHING OPEN</t>
        </is>
      </c>
    </row>
  </sheetData>
  <autoFilter ref="A1:AO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46"/>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60" customHeight="1">
      <c r="A2" s="3" t="inlineStr">
        <is>
          <t>MK-PL-M-001</t>
        </is>
      </c>
      <c r="B2" s="3" t="inlineStr">
        <is>
          <t>Plan</t>
        </is>
      </c>
      <c r="C2" s="3" t="inlineStr">
        <is>
          <t>NA</t>
        </is>
      </c>
      <c r="D2" s="3" t="inlineStr">
        <is>
          <t>✓ What you have — already in: N accounts, $X counted</t>
        </is>
      </c>
      <c r="E2" s="3" t="inlineStr">
        <is>
          <t>door.credit.total</t>
        </is>
      </c>
      <c r="F2" s="3" t="inlineStr">
        <is>
          <t>planDoor</t>
        </is>
      </c>
      <c r="G2" s="3" t="inlineStr">
        <is>
          <t>MK-PL-F-026</t>
        </is>
      </c>
      <c r="H2" s="3" t="inlineStr">
        <is>
          <t>missing = the inputs with no answer;  counted = Σ(balances already in)</t>
        </is>
      </c>
      <c r="I2" s="3" t="inlineStr">
        <is>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is>
      </c>
      <c r="J2" s="3" t="inlineStr">
        <is>
          <t>1. their age → birthYear or age  [MK-XS-I-017]
2. what they spend → monthlySpending  [MK-XS-I-024]
3. money that counts toward retirement → NEST_EGG  [NOT AN INPUT — another function’s answer; see the dependency column]</t>
        </is>
      </c>
      <c r="K2" s="3" t="inlineStr">
        <is>
          <t>A count · whole units, except crypto which keeps its fractions  [derived by rule — confirm]</t>
        </is>
      </c>
      <c r="L2" s="3" t="inlineStr">
        <is>
          <t>This function IS the refusal: it names what is missing and what is already counted.</t>
        </is>
      </c>
      <c r="M2" s="3" t="inlineStr">
        <is>
          <t>One figure per account  [derived by rule — confirm]</t>
        </is>
      </c>
      <c r="N2" s="3" t="inlineStr">
        <is>
          <t>As of today, from the latest figures held  [derived by rule — confirm]</t>
        </is>
      </c>
      <c r="O2" s="3" t="inlineStr">
        <is>
          <t>MK-NW-F-033 (retirementEarmarkedValue) → number</t>
        </is>
      </c>
      <c r="P2" s="3" t="inlineStr">
        <is>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MK-CF-F-155 cash → MK-NW-F-008 incomeBearingClassOf → MK-NW-F-011 assetClassOf → MK-NW-F-031 primaryCarIdOf → MK-NW-F-033 retirementEarmarkedValue → MK-PL-F-026 planDoor
4. MK-ST-F-010 nameEvidence → MK-NW-F-008 incomeBearingClassOf → MK-NW-F-011 assetClassOf → MK-NW-F-031 primaryCarIdOf → MK-NW-F-033 retirementEarmarkedValue → MK-PL-F-026 planDoor</t>
        </is>
      </c>
      <c r="Q2" s="3" t="inlineStr">
        <is>
          <t>1. MK-PL-F-026 — If balance is missing it counts as zero, so nothing recorded and a real zero look the same.
2. MK-NW-F-032 — If balance is missing it counts as zero, so nothing recorded and a real zero look the same.
3. MK-NW-F-032 — Caps percent at 100.
4. MK-NW-F-031 — If balance is missing it counts as zero, so nothing recorded and a real zero look the same.</t>
        </is>
      </c>
      <c r="R2" s="3" t="inlineStr"/>
      <c r="S2" s="3" t="inlineStr"/>
      <c r="T2" s="3" t="inlineStr">
        <is>
          <t>NOT DETERMINED — no assumption recorded for this figure yet.</t>
        </is>
      </c>
      <c r="U2" s="3" t="inlineStr"/>
      <c r="V2" s="3" t="inlineStr"/>
      <c r="W2" s="3" t="inlineStr"/>
      <c r="X2" s="3" t="inlineStr"/>
      <c r="Y2" s="3" t="inlineStr">
        <is>
          <t>NOT DETERMINED</t>
        </is>
      </c>
      <c r="Z2" s="3" t="inlineStr">
        <is>
          <t>VERIFIED 2026-08-22</t>
        </is>
      </c>
      <c r="AA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 s="3" t="inlineStr">
        <is>
          <t>AGREES — the figure's arithmetic and the arithmetic of the function it names say the same thing. Checked 2026-08-26.</t>
        </is>
      </c>
      <c r="AC2" s="3" t="inlineStr">
        <is>
          <t>HAS A FUNCTION — traceable from the screen to the code.</t>
        </is>
      </c>
      <c r="AD2" s="3" t="inlineStr"/>
      <c r="AE2" s="3" t="inlineStr">
        <is>
          <t>No finding on this row. That is not a statement that the row is right — only that nothing has been written against it.</t>
        </is>
      </c>
      <c r="AF2" s="3" t="inlineStr">
        <is>
          <t>ACTIVE</t>
        </is>
      </c>
      <c r="AG2" s="3" t="inlineStr">
        <is>
          <t>2026-09-27</t>
        </is>
      </c>
      <c r="AH2" s="3" t="n"/>
      <c r="AI2" s="3" t="n"/>
      <c r="AJ2" s="3" t="inlineStr">
        <is>
          <t>1. MK-XS-I-001 account balance — read by MK-NW-F-031, MK-NW-F-032, MK-PL-F-026, MK-ST-F-027
2. MK-XS-I-002 account type (taxable, pre-tax, Roth) — read by MK-NW-F-011
3. MK-XS-I-004 holding quantity (shares) — read by MK-ST-F-027
4. MK-XS-I-005 holding price — read by MK-ST-F-027
5. MK-XS-I-007 purchase price and date (per lot) — read by MK-ST-F-027
6. MK-XS-I-013 bond maturity date — read by MK-NW-F-011, MK-ST-F-010
7. MK-XS-I-017 birth year — read by MK-PL-F-026
8. MK-XS-I-048 the person’s own asset-class answer — read by MK-NW-F-011, MK-ST-F-027
9. MK-XS-I-050 the share of an account earmarked for retirement — read by MK-NW-F-032
10. MK-XS-I-055 the wrapper an account sits in — ISA, 401(k), IRA and the rest — read by MK-NW-F-011, MK-NW-F-030, MK-NW-F-031, MK-PL-F-026
[the code's record, this build — evidence for the ruling, not the row's statement: it cannot see inputs handed in as arguments, and it counts every branch below the producer]</t>
        </is>
      </c>
      <c r="AK2" s="3" t="inlineStr">
        <is>
          <t>(the claim now stands in 'Inputs it needs' until the row is approved)</t>
        </is>
      </c>
      <c r="AL2" s="3" t="n"/>
      <c r="AM2" s="3" t="n"/>
      <c r="AN2" s="3" t="n"/>
      <c r="AO2" s="7" t="inlineStr">
        <is>
          <t>RULED, NOT CODED (Q-PL-1 — one question, one function)</t>
        </is>
      </c>
    </row>
    <row r="3" ht="60" customHeight="1">
      <c r="A3" s="3" t="inlineStr">
        <is>
          <t>MK-PL-M-002</t>
        </is>
      </c>
      <c r="B3" s="3" t="inlineStr">
        <is>
          <t>Plan</t>
        </is>
      </c>
      <c r="C3" s="3" t="inlineStr">
        <is>
          <t>NA</t>
        </is>
      </c>
      <c r="D3" s="3" t="inlineStr">
        <is>
          <t>Your odds — can't work them out yet. Add &lt;what&gt; below.</t>
        </is>
      </c>
      <c r="E3" s="3" t="inlineStr">
        <is>
          <t>door.missing</t>
        </is>
      </c>
      <c r="F3" s="3" t="inlineStr">
        <is>
          <t>planDoor</t>
        </is>
      </c>
      <c r="G3" s="3" t="inlineStr">
        <is>
          <t>MK-PL-F-026</t>
        </is>
      </c>
      <c r="H3" s="3" t="inlineStr">
        <is>
          <t>missing = the inputs with no answer;  counted = Σ(balances already in)</t>
        </is>
      </c>
      <c r="I3" s="3" t="inlineStr">
        <is>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is>
      </c>
      <c r="J3" s="3" t="inlineStr">
        <is>
          <t>1. their age → birthYear or age  [MK-XS-I-017]
2. what they spend → monthlySpending  [MK-XS-I-024]
3. money that counts toward retirement → NEST_EGG  [NOT AN INPUT — another function’s answer; see the dependency column]</t>
        </is>
      </c>
      <c r="K3" s="3" t="inlineStr">
        <is>
          <t>Percent · exact, no rounding — 1,000 futures give it to a tenth (founder, 2026-09-14)  [derived by rule — confirm]</t>
        </is>
      </c>
      <c r="L3" s="3" t="inlineStr">
        <is>
          <t>This function IS the refusal: it names what is missing and what is already counted.</t>
        </is>
      </c>
      <c r="M3" s="3" t="inlineStr">
        <is>
          <t>One figure per person — or per household when two people share one record  [derived by rule — confirm]</t>
        </is>
      </c>
      <c r="N3" s="3" t="inlineStr">
        <is>
          <t>As of today, from the latest figures held  [derived by rule — confirm]</t>
        </is>
      </c>
      <c r="O3" s="3" t="inlineStr">
        <is>
          <t>MK-NW-F-033 (retirementEarmarkedValue) → number</t>
        </is>
      </c>
      <c r="P3" s="3" t="inlineStr">
        <is>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MK-CF-F-155 cash → MK-NW-F-008 incomeBearingClassOf → MK-NW-F-011 assetClassOf → MK-NW-F-031 primaryCarIdOf → MK-NW-F-033 retirementEarmarkedValue → MK-PL-F-026 planDoor
4. MK-ST-F-010 nameEvidence → MK-NW-F-008 incomeBearingClassOf → MK-NW-F-011 assetClassOf → MK-NW-F-031 primaryCarIdOf → MK-NW-F-033 retirementEarmarkedValue → MK-PL-F-026 planDoor</t>
        </is>
      </c>
      <c r="Q3" s="3" t="inlineStr">
        <is>
          <t>1. MK-PL-F-026 — If balance is missing it counts as zero, so nothing recorded and a real zero look the same.
2. MK-NW-F-032 — If balance is missing it counts as zero, so nothing recorded and a real zero look the same.
3. MK-NW-F-032 — Caps percent at 100.
4. MK-NW-F-031 — If balance is missing it counts as zero, so nothing recorded and a real zero look the same.</t>
        </is>
      </c>
      <c r="R3" s="3" t="inlineStr"/>
      <c r="S3" s="3" t="inlineStr"/>
      <c r="T3" s="3" t="inlineStr">
        <is>
          <t>NOT DETERMINED — no assumption recorded for this figure yet.</t>
        </is>
      </c>
      <c r="U3" s="3" t="inlineStr"/>
      <c r="V3" s="3" t="inlineStr"/>
      <c r="W3" s="3" t="inlineStr"/>
      <c r="X3" s="3" t="inlineStr"/>
      <c r="Y3" s="3" t="inlineStr">
        <is>
          <t>NOT DETERMINED</t>
        </is>
      </c>
      <c r="Z3" s="3" t="inlineStr">
        <is>
          <t>VERIFIED 2026-08-22</t>
        </is>
      </c>
      <c r="AA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 s="3" t="inlineStr">
        <is>
          <t>AGREES — the figure's arithmetic and the arithmetic of the function it names say the same thing. Checked 2026-08-26.</t>
        </is>
      </c>
      <c r="AC3" s="3" t="inlineStr">
        <is>
          <t>HAS A FUNCTION — traceable from the screen to the code.</t>
        </is>
      </c>
      <c r="AD3" s="3" t="inlineStr"/>
      <c r="AE3" s="3" t="inlineStr">
        <is>
          <t>No finding on this row. That is not a statement that the row is right — only that nothing has been written against it.</t>
        </is>
      </c>
      <c r="AF3" s="3" t="inlineStr">
        <is>
          <t>ACTIVE</t>
        </is>
      </c>
      <c r="AG3" s="3" t="inlineStr">
        <is>
          <t>2026-09-27</t>
        </is>
      </c>
      <c r="AH3" s="3" t="n"/>
      <c r="AI3" s="3" t="n"/>
      <c r="AJ3" s="3" t="inlineStr">
        <is>
          <t>1. MK-XS-I-001 account balance — read by MK-NW-F-031, MK-NW-F-032, MK-PL-F-026, MK-ST-F-027
2. MK-XS-I-002 account type (taxable, pre-tax, Roth) — read by MK-NW-F-011
3. MK-XS-I-004 holding quantity (shares) — read by MK-ST-F-027
4. MK-XS-I-005 holding price — read by MK-ST-F-027
5. MK-XS-I-007 purchase price and date (per lot) — read by MK-ST-F-027
6. MK-XS-I-013 bond maturity date — read by MK-NW-F-011, MK-ST-F-010
7. MK-XS-I-017 birth year — read by MK-PL-F-026
8. MK-XS-I-048 the person’s own asset-class answer — read by MK-NW-F-011, MK-ST-F-027
9. MK-XS-I-050 the share of an account earmarked for retirement — read by MK-NW-F-032
10. MK-XS-I-055 the wrapper an account sits in — ISA, 401(k), IRA and the rest — read by MK-NW-F-011, MK-NW-F-030, MK-NW-F-031, MK-PL-F-026
[the code's record, this build — evidence for the ruling, not the row's statement: it cannot see inputs handed in as arguments, and it counts every branch below the producer]</t>
        </is>
      </c>
      <c r="AK3" s="3" t="inlineStr">
        <is>
          <t>(the claim now stands in 'Inputs it needs' until the row is approved)</t>
        </is>
      </c>
      <c r="AL3" s="3" t="n"/>
      <c r="AM3" s="3" t="n"/>
      <c r="AN3" s="3" t="n"/>
      <c r="AO3" s="7" t="inlineStr">
        <is>
          <t>RULED, NOT CODED (Q-PL-1 — one question, one function)</t>
        </is>
      </c>
    </row>
    <row r="4" ht="60" customHeight="1">
      <c r="A4" s="3" t="inlineStr">
        <is>
          <t>MK-PL-M-003</t>
        </is>
      </c>
      <c r="B4" s="3" t="inlineStr">
        <is>
          <t>Plan</t>
        </is>
      </c>
      <c r="C4" s="3" t="inlineStr">
        <is>
          <t>NA</t>
        </is>
      </c>
      <c r="D4" s="3" t="inlineStr">
        <is>
          <t>YOUR RETIREMENT PAYCHECK — each guaranteed source</t>
        </is>
      </c>
      <c r="E4" s="3" t="inlineStr">
        <is>
          <t>g.amount</t>
        </is>
      </c>
      <c r="F4" s="3" t="inlineStr">
        <is>
          <t>NOT ON RECORD — no function is recorded for this figure</t>
        </is>
      </c>
      <c r="G4" s="3" t="inlineStr"/>
      <c r="H4" s="3" t="inlineStr">
        <is>
          <t>for each month: guaranteed total = Σ(streams live that month);  paycheck = guaranteed total + draw from savings</t>
        </is>
      </c>
      <c r="I4" s="3" t="inlineStr">
        <is>
          <t>Builds the retirement paycheck month by month: what is guaranteed that month, plus what can safely be drawn from savings.</t>
        </is>
      </c>
      <c r="J4" s="3" t="inlineStr">
        <is>
          <t>NOT DETERMINED — no input list on record for this function</t>
        </is>
      </c>
      <c r="K4" s="3" t="inlineStr">
        <is>
          <t>US dollars · held to the cent · shown as whole dollars  [derived by rule — confirm]</t>
        </is>
      </c>
      <c r="L4" s="3" t="inlineStr">
        <is>
          <t>$0, and under it the one line "Nothing entered yet. Set up your plan ›" (mock approved 2026-09-12). A real zero that was entered shows a plain $0 with no line.</t>
        </is>
      </c>
      <c r="M4" s="3" t="inlineStr">
        <is>
          <t>One figure per person — or per household when two people share one record  [derived by rule — confirm]</t>
        </is>
      </c>
      <c r="N4" s="3" t="inlineStr">
        <is>
          <t>From today to the retirement age in the plan  [derived by rule — confirm]</t>
        </is>
      </c>
      <c r="O4" s="3" t="inlineStr">
        <is>
          <t>No function on record — nothing to chain</t>
        </is>
      </c>
      <c r="P4" s="3" t="inlineStr">
        <is>
          <t>No function on record — nothing to chain</t>
        </is>
      </c>
      <c r="Q4" s="3" t="inlineStr">
        <is>
          <t>No function on record — assumptions unknown</t>
        </is>
      </c>
      <c r="R4" s="3" t="inlineStr"/>
      <c r="S4" s="3" t="inlineStr"/>
      <c r="T4" s="3" t="inlineStr">
        <is>
          <t>NOT DETERMINED — no assumption recorded for this figure yet.</t>
        </is>
      </c>
      <c r="U4" s="3" t="inlineStr"/>
      <c r="V4" s="3" t="inlineStr"/>
      <c r="W4" s="3" t="inlineStr"/>
      <c r="X4" s="3" t="inlineStr"/>
      <c r="Y4" s="3" t="inlineStr">
        <is>
          <t>NOT DETERMINED</t>
        </is>
      </c>
      <c r="Z4" s="3" t="inlineStr">
        <is>
          <t>VERIFIED 2026-08-22</t>
        </is>
      </c>
      <c r="AA4"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4" s="3" t="inlineStr">
        <is>
          <t>B24 [NOT COMPARABLE] — This figure names no function, so its formula cannot be checked against anything. 69 of the 163 figures are in this position — the audit covers the 94 that name one.</t>
        </is>
      </c>
      <c r="AC4"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4" s="3" t="inlineStr"/>
      <c r="AE4" s="3" t="inlineStr">
        <is>
          <t>No finding on this row. That is not a statement that the row is right — only that nothing has been written against it.
G32 / Q48 — RULED 2026-09-09: $0 stays, with the sentence '$0 — nothing entered yet.' and this row's door ('Set up your plan ›'). File written; the screen follows the approved empty-state mock (one pattern, one screen), then every screen.</t>
        </is>
      </c>
      <c r="AF4" s="3" t="inlineStr">
        <is>
          <t>ACTIVE</t>
        </is>
      </c>
      <c r="AG4" s="3" t="inlineStr">
        <is>
          <t>2026-09-08</t>
        </is>
      </c>
      <c r="AH4" s="3" t="n"/>
      <c r="AI4" s="3" t="n"/>
      <c r="AJ4" s="3" t="inlineStr">
        <is>
          <t>No function on record — nothing to read from
[the code's record, this build — evidence for the ruling, not the row's statement: it cannot see inputs handed in as arguments, and it counts every branch below the producer]</t>
        </is>
      </c>
      <c r="AK4" s="3" t="inlineStr">
        <is>
          <t>(the claim now stands in 'Inputs it needs' until the row is approved)</t>
        </is>
      </c>
      <c r="AL4" s="3" t="n"/>
      <c r="AM4" s="3" t="n"/>
      <c r="AN4" s="3" t="n"/>
      <c r="AO4" s="7" t="inlineStr">
        <is>
          <t>RULED, NOT CODED (Q-PL-2 — one question, one function)</t>
        </is>
      </c>
    </row>
    <row r="5" ht="60" customHeight="1">
      <c r="A5" s="3" t="inlineStr">
        <is>
          <t>MK-PL-M-004</t>
        </is>
      </c>
      <c r="B5" s="3" t="inlineStr">
        <is>
          <t>Plan</t>
        </is>
      </c>
      <c r="C5" s="3" t="inlineStr">
        <is>
          <t>NA</t>
        </is>
      </c>
      <c r="D5" s="3">
        <f> Guaranteed</f>
        <v/>
      </c>
      <c r="E5" s="3" t="inlineStr">
        <is>
          <t>payMonth.guaranteedTotal</t>
        </is>
      </c>
      <c r="F5" s="3" t="inlineStr">
        <is>
          <t>NOT ON RECORD — no function is recorded for this figure</t>
        </is>
      </c>
      <c r="G5" s="3" t="inlineStr"/>
      <c r="H5" s="3" t="inlineStr">
        <is>
          <t>for each month: guaranteed total = Σ(streams live that month);  paycheck = guaranteed total + draw from savings</t>
        </is>
      </c>
      <c r="I5" s="3" t="inlineStr">
        <is>
          <t>Builds the retirement paycheck month by month: what is guaranteed that month, plus what can safely be drawn from savings.</t>
        </is>
      </c>
      <c r="J5" s="3" t="inlineStr">
        <is>
          <t>NOT DETERMINED — no input list on record for this function</t>
        </is>
      </c>
      <c r="K5" s="3" t="inlineStr">
        <is>
          <t>US dollars · held to the cent · shown as whole dollars  [derived by rule — confirm]</t>
        </is>
      </c>
      <c r="L5" s="3" t="inlineStr">
        <is>
          <t>$0, and under it the one line "Nothing entered yet. Set up your plan ›" (mock approved 2026-09-12). A real zero that was entered shows a plain $0 with no line.</t>
        </is>
      </c>
      <c r="M5" s="3" t="inlineStr">
        <is>
          <t>One figure per person — or per household when two people share one record  [derived by rule — confirm]</t>
        </is>
      </c>
      <c r="N5" s="3" t="inlineStr">
        <is>
          <t>As of today, from the latest figures held  [derived by rule — confirm]</t>
        </is>
      </c>
      <c r="O5" s="3" t="inlineStr">
        <is>
          <t>No function on record — nothing to chain</t>
        </is>
      </c>
      <c r="P5" s="3" t="inlineStr">
        <is>
          <t>No function on record — nothing to chain</t>
        </is>
      </c>
      <c r="Q5" s="3" t="inlineStr">
        <is>
          <t>No function on record — assumptions unknown</t>
        </is>
      </c>
      <c r="R5" s="3" t="inlineStr"/>
      <c r="S5" s="3" t="inlineStr"/>
      <c r="T5" s="3" t="inlineStr">
        <is>
          <t>NOT DETERMINED — no assumption recorded for this figure yet.</t>
        </is>
      </c>
      <c r="U5" s="3" t="inlineStr"/>
      <c r="V5" s="3" t="inlineStr"/>
      <c r="W5" s="3" t="inlineStr"/>
      <c r="X5" s="3" t="inlineStr"/>
      <c r="Y5" s="3" t="inlineStr">
        <is>
          <t>NOT DETERMINED</t>
        </is>
      </c>
      <c r="Z5" s="3" t="inlineStr">
        <is>
          <t>VERIFIED 2026-08-22</t>
        </is>
      </c>
      <c r="AA5" s="3" t="inlineStr">
        <is>
          <t>1. A49 — This row carries no name on screen, on a tab whose stated rule is that the label is copied exactly as it is worded on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5" s="3" t="inlineStr">
        <is>
          <t>B24 [NOT COMPARABLE] — This figure names no function, so its formula cannot be checked against anything. 69 of the 163 figures are in this position — the audit covers the 94 that name one.</t>
        </is>
      </c>
      <c r="AC5"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5" s="3" t="inlineStr"/>
      <c r="AE5" s="3" t="inlineStr">
        <is>
          <t>A49 — FIXED 2026-09-12
G32 / Q48 — RULED 2026-09-09: $0 stays, with the sentence '$0 — nothing entered yet.' and this row's door ('Set up your plan ›'). File written; the screen follows the approved empty-state mock (one pattern, one screen), then every screen.</t>
        </is>
      </c>
      <c r="AF5" s="3" t="inlineStr">
        <is>
          <t>ACTIVE</t>
        </is>
      </c>
      <c r="AG5" s="3" t="inlineStr">
        <is>
          <t>2026-09-08</t>
        </is>
      </c>
      <c r="AH5" s="3" t="n"/>
      <c r="AI5" s="3" t="n"/>
      <c r="AJ5" s="3" t="inlineStr">
        <is>
          <t>No function on record — nothing to read from
[the code's record, this build — evidence for the ruling, not the row's statement: it cannot see inputs handed in as arguments, and it counts every branch below the producer]</t>
        </is>
      </c>
      <c r="AK5" s="3" t="inlineStr">
        <is>
          <t>(the claim now stands in 'Inputs it needs' until the row is approved)</t>
        </is>
      </c>
      <c r="AL5" s="3" t="n"/>
      <c r="AM5" s="3" t="n"/>
      <c r="AN5" s="3" t="n"/>
      <c r="AO5" s="7" t="inlineStr">
        <is>
          <t>RULED, NOT CODED (Q-PL-2 — one question, one function)</t>
        </is>
      </c>
    </row>
    <row r="6" ht="60" customHeight="1">
      <c r="A6" s="3" t="inlineStr">
        <is>
          <t>MK-PL-M-005</t>
        </is>
      </c>
      <c r="B6" s="3" t="inlineStr">
        <is>
          <t>Plan</t>
        </is>
      </c>
      <c r="C6" s="3" t="inlineStr">
        <is>
          <t>NA</t>
        </is>
      </c>
      <c r="D6" s="3" t="inlineStr">
        <is>
          <t>+ Draw from savings</t>
        </is>
      </c>
      <c r="E6" s="3" t="inlineStr">
        <is>
          <t>payMonth.safeDraw</t>
        </is>
      </c>
      <c r="F6" s="3" t="inlineStr">
        <is>
          <t>NOT ON RECORD — no function is recorded for this figure</t>
        </is>
      </c>
      <c r="G6" s="3" t="inlineStr"/>
      <c r="H6" s="3" t="inlineStr">
        <is>
          <t>for each month: guaranteed total = Σ(streams live that month);  paycheck = guaranteed total + draw from savings</t>
        </is>
      </c>
      <c r="I6" s="3" t="inlineStr">
        <is>
          <t>Builds the retirement paycheck month by month: what is guaranteed that month, plus what can safely be drawn from savings.</t>
        </is>
      </c>
      <c r="J6" s="3" t="inlineStr">
        <is>
          <t>NOT DETERMINED — no input list on record for this function</t>
        </is>
      </c>
      <c r="K6" s="3" t="inlineStr">
        <is>
          <t>US dollars · held to the cent · shown as whole dollars  [derived by rule — confirm]</t>
        </is>
      </c>
      <c r="L6" s="3" t="inlineStr">
        <is>
          <t>$0, and under it the one line "Nothing entered yet. Set up your plan ›" (mock approved 2026-09-12). A real zero that was entered shows a plain $0 with no line.</t>
        </is>
      </c>
      <c r="M6" s="3" t="inlineStr">
        <is>
          <t>One figure per person — or per household when two people share one record  [derived by rule — confirm]</t>
        </is>
      </c>
      <c r="N6" s="3" t="inlineStr">
        <is>
          <t>As of today, from the latest figures held  [derived by rule — confirm]</t>
        </is>
      </c>
      <c r="O6" s="3" t="inlineStr">
        <is>
          <t>No function on record — nothing to chain</t>
        </is>
      </c>
      <c r="P6" s="3" t="inlineStr">
        <is>
          <t>No function on record — nothing to chain</t>
        </is>
      </c>
      <c r="Q6" s="3" t="inlineStr">
        <is>
          <t>No function on record — assumptions unknown</t>
        </is>
      </c>
      <c r="R6" s="3" t="inlineStr"/>
      <c r="S6" s="3" t="inlineStr"/>
      <c r="T6" s="3" t="inlineStr">
        <is>
          <t>NOT DETERMINED — no assumption recorded for this figure yet.</t>
        </is>
      </c>
      <c r="U6" s="3" t="inlineStr"/>
      <c r="V6" s="3" t="inlineStr"/>
      <c r="W6" s="3" t="inlineStr"/>
      <c r="X6" s="3" t="inlineStr"/>
      <c r="Y6" s="3" t="inlineStr">
        <is>
          <t>NOT DETERMINED</t>
        </is>
      </c>
      <c r="Z6" s="3" t="inlineStr">
        <is>
          <t>VERIFIED 2026-08-22</t>
        </is>
      </c>
      <c r="AA6"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6" s="3" t="inlineStr">
        <is>
          <t>B24 [NOT COMPARABLE] — This figure names no function, so its formula cannot be checked against anything. 69 of the 163 figures are in this position — the audit covers the 94 that name one.</t>
        </is>
      </c>
      <c r="AC6"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6" s="3" t="inlineStr"/>
      <c r="AE6" s="3" t="inlineStr">
        <is>
          <t>No finding on this row. That is not a statement that the row is right — only that nothing has been written against it.
G32 / Q48 — RULED 2026-09-09: $0 stays, with the sentence '$0 — nothing entered yet.' and this row's door ('Set up your plan ›'). File written; the screen follows the approved empty-state mock (one pattern, one screen), then every screen.</t>
        </is>
      </c>
      <c r="AF6" s="3" t="inlineStr">
        <is>
          <t>ACTIVE</t>
        </is>
      </c>
      <c r="AG6" s="3" t="inlineStr">
        <is>
          <t>2026-09-08</t>
        </is>
      </c>
      <c r="AH6" s="3" t="n"/>
      <c r="AI6" s="3" t="n"/>
      <c r="AJ6" s="3" t="inlineStr">
        <is>
          <t>No function on record — nothing to read from
[the code's record, this build — evidence for the ruling, not the row's statement: it cannot see inputs handed in as arguments, and it counts every branch below the producer]</t>
        </is>
      </c>
      <c r="AK6" s="3" t="inlineStr">
        <is>
          <t>(the claim now stands in 'Inputs it needs' until the row is approved)</t>
        </is>
      </c>
      <c r="AL6" s="3" t="n"/>
      <c r="AM6" s="3" t="n"/>
      <c r="AN6" s="3" t="n"/>
      <c r="AO6" s="7" t="inlineStr">
        <is>
          <t>RULED, NOT CODED (Q-PL-2 — one question, one function)</t>
        </is>
      </c>
    </row>
    <row r="7" ht="60" customHeight="1">
      <c r="A7" s="3" t="inlineStr">
        <is>
          <t>MK-PL-M-006</t>
        </is>
      </c>
      <c r="B7" s="3" t="inlineStr">
        <is>
          <t>Plan</t>
        </is>
      </c>
      <c r="C7" s="3" t="inlineStr">
        <is>
          <t>NA</t>
        </is>
      </c>
      <c r="D7" s="3" t="inlineStr">
        <is>
          <t>Your paycheck $X/mo</t>
        </is>
      </c>
      <c r="E7" s="3" t="inlineStr">
        <is>
          <t>paycheckTotal</t>
        </is>
      </c>
      <c r="F7" s="3" t="inlineStr">
        <is>
          <t>Worked out on the screen itself — no function behind it</t>
        </is>
      </c>
      <c r="G7" s="3" t="inlineStr"/>
      <c r="H7" s="3" t="inlineStr">
        <is>
          <t>paycheck = guaranteed income + draw from savings</t>
        </is>
      </c>
      <c r="I7" s="3" t="inlineStr">
        <is>
          <t>Worked out on the screen itself, with no function behind it — a place a second definition can appear.</t>
        </is>
      </c>
      <c r="J7" s="3" t="inlineStr">
        <is>
          <t>NOT DETERMINED — no input list on record for this function</t>
        </is>
      </c>
      <c r="K7" s="3" t="inlineStr">
        <is>
          <t>US dollars · held to the cent · shown as whole dollars  [derived by rule — confirm]</t>
        </is>
      </c>
      <c r="L7" s="3" t="inlineStr">
        <is>
          <t>Inherits the refusal of the figures it is built from: if either side is missing, this line is not shown.</t>
        </is>
      </c>
      <c r="M7" s="3" t="inlineStr">
        <is>
          <t>One figure per person — or per household when two people share one record  [derived by rule — confirm]</t>
        </is>
      </c>
      <c r="N7" s="3" t="inlineStr">
        <is>
          <t>As of today, from the latest figures held  [derived by rule — confirm]</t>
        </is>
      </c>
      <c r="O7" s="3" t="inlineStr">
        <is>
          <t>No function on record — nothing to chain</t>
        </is>
      </c>
      <c r="P7" s="3" t="inlineStr">
        <is>
          <t>No function on record — nothing to chain</t>
        </is>
      </c>
      <c r="Q7" s="3" t="inlineStr">
        <is>
          <t>No function on record — assumptions unknown</t>
        </is>
      </c>
      <c r="R7" s="3" t="inlineStr"/>
      <c r="S7" s="3" t="inlineStr"/>
      <c r="T7" s="3" t="inlineStr">
        <is>
          <t>NOT DETERMINED — no assumption recorded for this figure yet.</t>
        </is>
      </c>
      <c r="U7" s="3" t="inlineStr"/>
      <c r="V7" s="3" t="inlineStr"/>
      <c r="W7" s="3" t="inlineStr"/>
      <c r="X7" s="3" t="inlineStr"/>
      <c r="Y7" s="3" t="inlineStr">
        <is>
          <t>NOT DETERMINED</t>
        </is>
      </c>
      <c r="Z7" s="3" t="inlineStr">
        <is>
          <t>VERIFIED 2026-08-22</t>
        </is>
      </c>
      <c r="AA7"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7" s="3" t="inlineStr">
        <is>
          <t>B24 [NOT COMPARABLE] — This figure names no function, so its formula cannot be checked against anything. 69 of the 163 figures are in this position — the audit covers the 94 that name one.</t>
        </is>
      </c>
      <c r="AC7" s="3" t="inlineStr">
        <is>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is>
      </c>
      <c r="AD7" s="3" t="inlineStr"/>
      <c r="AE7" s="3" t="inlineStr">
        <is>
          <t>No finding on this row. That is not a statement that the row is right — only that nothing has been written against it.</t>
        </is>
      </c>
      <c r="AF7" s="3" t="inlineStr">
        <is>
          <t>ACTIVE</t>
        </is>
      </c>
      <c r="AG7" s="3" t="inlineStr">
        <is>
          <t>2026-08-27</t>
        </is>
      </c>
      <c r="AH7" s="3" t="n"/>
      <c r="AI7" s="3" t="n"/>
      <c r="AJ7" s="3" t="inlineStr">
        <is>
          <t>No function on record — nothing to read from
[the code's record, this build — evidence for the ruling, not the row's statement: it cannot see inputs handed in as arguments, and it counts every branch below the producer]</t>
        </is>
      </c>
      <c r="AK7" s="3" t="inlineStr">
        <is>
          <t>(the claim now stands in 'Inputs it needs' until the row is approved)</t>
        </is>
      </c>
      <c r="AL7" s="3" t="n"/>
      <c r="AM7" s="3" t="n"/>
      <c r="AN7" s="3" t="n"/>
      <c r="AO7" s="7" t="inlineStr">
        <is>
          <t>RULED, NOT CODED (Q-PL-2 — one question, one function)</t>
        </is>
      </c>
    </row>
    <row r="8" ht="60" customHeight="1">
      <c r="A8" s="3" t="inlineStr">
        <is>
          <t>MK-PL-M-007</t>
        </is>
      </c>
      <c r="B8" s="3" t="inlineStr">
        <is>
          <t>Plan</t>
        </is>
      </c>
      <c r="C8" s="3" t="inlineStr">
        <is>
          <t>NA</t>
        </is>
      </c>
      <c r="D8" s="3" t="inlineStr">
        <is>
          <t>SAVED SCENARIOS (n)</t>
        </is>
      </c>
      <c r="E8" s="3" t="inlineStr">
        <is>
          <t>scenarios.length</t>
        </is>
      </c>
      <c r="F8" s="3" t="inlineStr">
        <is>
          <t>NOT ON RECORD — no function is recorded for this figure</t>
        </is>
      </c>
      <c r="G8" s="3" t="inlineStr"/>
      <c r="H8" s="3" t="inlineStr">
        <is>
          <t>count of scenarios saved</t>
        </is>
      </c>
      <c r="I8" s="3" t="inlineStr">
        <is>
          <t>How many what-if scenarios have been saved.</t>
        </is>
      </c>
      <c r="J8" s="3" t="inlineStr">
        <is>
          <t>NOT DETERMINED — no input list on record for this function</t>
        </is>
      </c>
      <c r="K8" s="3" t="inlineStr">
        <is>
          <t>US dollars · held to the cent · shown as whole dollars  [derived by rule — confirm]</t>
        </is>
      </c>
      <c r="L8" s="3" t="inlineStr">
        <is>
          <t>NOT DETERMINED — this function has not been read for its refusal yet.</t>
        </is>
      </c>
      <c r="M8" s="3" t="inlineStr">
        <is>
          <t>One figure per person — or per household when two people share one record  [derived by rule — confirm]</t>
        </is>
      </c>
      <c r="N8" s="3" t="inlineStr">
        <is>
          <t>As of today, from the latest figures held  [derived by rule — confirm]</t>
        </is>
      </c>
      <c r="O8" s="3" t="inlineStr">
        <is>
          <t>No function on record — nothing to chain</t>
        </is>
      </c>
      <c r="P8" s="3" t="inlineStr">
        <is>
          <t>No function on record — nothing to chain</t>
        </is>
      </c>
      <c r="Q8" s="3" t="inlineStr">
        <is>
          <t>No function on record — assumptions unknown</t>
        </is>
      </c>
      <c r="R8" s="3" t="inlineStr"/>
      <c r="S8" s="3" t="inlineStr"/>
      <c r="T8" s="3" t="inlineStr">
        <is>
          <t>NOT DETERMINED — no assumption recorded for this figure yet.</t>
        </is>
      </c>
      <c r="U8" s="3" t="inlineStr"/>
      <c r="V8" s="3" t="inlineStr"/>
      <c r="W8" s="3" t="inlineStr"/>
      <c r="X8" s="3" t="inlineStr"/>
      <c r="Y8" s="3" t="inlineStr">
        <is>
          <t>NOT DETERMINED</t>
        </is>
      </c>
      <c r="Z8" s="3" t="inlineStr">
        <is>
          <t>VERIFIED 2026-08-22</t>
        </is>
      </c>
      <c r="AA8"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8" s="3" t="inlineStr">
        <is>
          <t>B24 [NOT COMPARABLE] — This figure names no function, so its formula cannot be checked against anything. 69 of the 163 figures are in this position — the audit covers the 94 that name one.</t>
        </is>
      </c>
      <c r="AC8"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8" s="3" t="inlineStr"/>
      <c r="AE8" s="3" t="inlineStr">
        <is>
          <t>No finding on this row. That is not a statement that the row is right — only that nothing has been written against it.</t>
        </is>
      </c>
      <c r="AF8" s="3" t="inlineStr">
        <is>
          <t>ACTIVE</t>
        </is>
      </c>
      <c r="AG8" s="3" t="inlineStr">
        <is>
          <t>2026-08-27</t>
        </is>
      </c>
      <c r="AH8" s="3" t="n"/>
      <c r="AI8" s="3" t="n"/>
      <c r="AJ8" s="3" t="inlineStr">
        <is>
          <t>No function on record — nothing to read from
[the code's record, this build — evidence for the ruling, not the row's statement: it cannot see inputs handed in as arguments, and it counts every branch below the producer]</t>
        </is>
      </c>
      <c r="AK8" s="3" t="inlineStr">
        <is>
          <t>(the claim now stands in 'Inputs it needs' until the row is approved)</t>
        </is>
      </c>
      <c r="AL8" s="3" t="n"/>
      <c r="AM8" s="3" t="n"/>
      <c r="AN8" s="3" t="n"/>
      <c r="AO8" s="7" t="inlineStr">
        <is>
          <t>RULED, NOT CODED (Q-PL-1 — one question, one function)</t>
        </is>
      </c>
    </row>
    <row r="9" ht="60" customHeight="1">
      <c r="A9" s="3" t="inlineStr">
        <is>
          <t>MK-PL-M-008</t>
        </is>
      </c>
      <c r="B9" s="3" t="inlineStr">
        <is>
          <t>Plan</t>
        </is>
      </c>
      <c r="C9" s="3" t="inlineStr">
        <is>
          <t>/will-it-last</t>
        </is>
      </c>
      <c r="D9" s="3" t="inlineStr">
        <is>
          <t>What you have (nest egg)</t>
        </is>
      </c>
      <c r="E9" s="3" t="inlineStr">
        <is>
          <t>inp.start_balance</t>
        </is>
      </c>
      <c r="F9" s="3" t="inlineStr">
        <is>
          <t>willItLastInputs</t>
        </is>
      </c>
      <c r="G9" s="3" t="inlineStr">
        <is>
          <t>MK-PL-F-067</t>
        </is>
      </c>
      <c r="H9" s="3" t="inlineStr">
        <is>
          <t>the inputs one plan is built from: what is held, what will be spent, what is guaranteed, and what is still being saved</t>
        </is>
      </c>
      <c r="I9" s="3" t="inlineStr">
        <is>
          <t>Gather everything the odds need. The person's own choices override every default, one by one.
NO AGE MEANS NO ANSWER — the odds are never computed from a guessed age.
SOCIAL SECURITY USES THE CHECK THE CHOSEN CLAIM AGE ACTUALLY PAYS. The figure on a statement is the amount at YOUR full retirement age — 66 to 67 by birth year (66 for 1943–1954, two months more a year for 1955–1959, 67 from 1960). Claiming before it reduces the check by the SSA formula — 5/9 of 1% a month for the first 36 months early, 5/12 of 1% a month beyond — and claiming after it adds 2/3 of 1% a month up to 70. Using the statement figure regardless would overstate guaranteed income for everyone claiming early.
Not eligible means ZERO guaranteed income, not a default.
A LEGACY TARGET — money someone means to leave behind — is taken off the pot from the day it is set: spendable pot = max(0, nest egg − legacy target), whether the person is working or retired (founder decision brief Q-41 (2026-08-20), 2026-08-20; the function does exactly this).</t>
        </is>
      </c>
      <c r="J9" s="3" t="inlineStr">
        <is>
          <t>1. their age → birthYear  [MK-XS-I-017]
2. the pot → NEST_EGG  [NOT AN INPUT — another function’s answer; see the dependency column]
3. return and swing → EXPECTED_RETURN_BLENDED, EXPECTED_SWING_BLENDED  [NOT AN INPUT — another function’s answer; see the dependency column]
4. expenses → RETIREMENT_SPENDING  [MK-XS-I-024]
5. guaranteed income → RETIREMENT_INCOME, SS_BENEFIT_AT_AGE  [NOT AN INPUT — another function’s answer; see the dependency column]
6. money to leave behind → legacyTarget  [MK-XS-I-047]
7. their own overrides → the Plan screen  [MK-XS-I-044]</t>
        </is>
      </c>
      <c r="K9" s="3" t="inlineStr">
        <is>
          <t>Percent · exact, no rounding — 1,000 futures give it to a tenth (founder, 2026-09-14)  [derived by rule — confirm]</t>
        </is>
      </c>
      <c r="L9" s="3" t="inlineStr">
        <is>
          <t>NOT DETERMINED — this function has not been read for its refusal yet.</t>
        </is>
      </c>
      <c r="M9" s="3" t="inlineStr">
        <is>
          <t>One figure per person — or per household when two people share one record  [derived by rule — confirm]</t>
        </is>
      </c>
      <c r="N9" s="3" t="inlineStr">
        <is>
          <t>From today to the retirement age in the plan  [derived by rule — confirm]</t>
        </is>
      </c>
      <c r="O9" s="3" t="inlineStr">
        <is>
          <t>1. MK-CF-F-197 (ageAttainedInYear) → number | null
2. MK-XS-F-179 (ageToday) → number | null
3. MK-NW-F-037 (blendedReturn) → number
4. MK-NW-F-035 (blendedVolatility) → number
5. MK-CF-F-102 (effectiveRateOnGrossFor) → number
6. MK-CF-O-002 (expenses) → Expenses
7. MK-CF-F-085 (filingStatusOf) → import('./tax').FilingStatus
8. MK-CF-F-076 (guaranteedOutsideStreams) → GuaranteedStream[]
9. MK-PL-F-083 (inflationRateInForce) → InflationInForce
10. MK-CF-F-132 (map) → NOT DECLARED — the code does not say what it gives back
11. MK-NW-F-041 (monthlyContributionsFromOnboarding) → number
12. MK-PL-F-079 (numOrZero) → n; };
13. MK-CF-F-089 (over65CountOf) → number
14. MK-NW-F-004 (portfolioActualReturn) → number | null
15. MK-NW-F-033 (retirementEarmarkedValue) → number
16. MK-PL-F-049 (retirementSpendMonthly) → number
17. MK-PL-F-060 (ssBenefitAt) → number
18. MK-CF-F-086 (stateRateOf) → number
19. MK-PL-F-001 (taxBucketSplit) → BucketSplit
20. MK-CF-F-083 (totalGrossAnnual) → number
21. MK-PL-F-065 (volOf) → NOT DECLARED — the code does not say what it gives back</t>
        </is>
      </c>
      <c r="P9" s="3" t="inlineStr">
        <is>
          <t>1. MK-CF-F-197 ageAttainedInYear → MK-PL-F-067 willItLastInputs
2. MK-XS-F-017 currentAge → MK-XS-F-179 ageToday → MK-PL-F-067 willItLastInputs
3. MK-NW-F-008 incomeBearingClassOf → MK-NW-F-011 assetClassOf → MK-NW-F-007 assetKind → MK-NW-F-034 benchmarkReturn → MK-NW-F-037 blendedReturn → MK-PL-F-067 willItLastInputs
4. MK-XS-F-122 n → MK-CF-F-155 cash → MK-NW-F-007 assetKind → MK-NW-F-034 benchmarkReturn → MK-NW-F-037 blendedReturn → MK-PL-F-067 willItLastInputs
5. MK-NW-F-008 incomeBearingClassOf → MK-NW-F-011 assetClassOf → MK-NW-F-030 earmarkDefault → MK-NW-F-032 earmarkedAmount → MK-NW-F-037 blendedReturn → MK-PL-F-067 willItLastInputs
6. MK-NW-F-013 realEstateUseOf → MK-NW-F-030 earmarkDefault → MK-NW-F-032 earmarkedAmount → MK-NW-F-037 blendedReturn → MK-PL-F-067 willItLastInputs
7. MK-CF-F-155 cash → MK-NW-F-008 incomeBearingClassOf → MK-NW-F-011 assetClassOf → MK-NW-F-031 primaryCarIdOf → MK-NW-F-037 blendedReturn → MK-PL-F-067 willItLastInputs
8. MK-ST-F-010 nameEvidence → MK-NW-F-008 incomeBearingClassOf → MK-NW-F-011 assetClassOf → MK-NW-F-031 primaryCarIdOf → MK-NW-F-037 blendedReturn → MK-PL-F-067 willItLastInputs
9. … and 5 more paths</t>
        </is>
      </c>
      <c r="Q9" s="3" t="inlineStr">
        <is>
          <t>1. MK-PL-F-067 — If social security claim age is missing it uses 67.
2. MK-PL-F-067 — If monthly is missing it uses 0.
3. MK-PL-F-067 — If salary growth is missing it uses 0.
4. MK-PL-F-067 — Turns a monthly figure into a year by multiplying by twelve.
5. MK-PL-F-067 — Uses today's date from the device clock, so the answer changes by itself overnight.
6. MK-PL-F-067 — Rounds the answer to a whole number.
7. MK-PL-F-067 — The current age is birthday-aware when the birth month is known, else the year-attained age (G9, 2026-09-12).
8. MK-PL-F-067 — Inflation: the percent figure entered (2.5) is divided by 100 before use — 0.025 a year (G5). The effective tax rate on pre-tax withdrawals is the person's own, from filing status and income (income floored at $30,000), clamped between 10% and 60% (G7 / G35).
9. MK-CF-F-197 — Uses today's date from the device clock, so the answer changes by itself overnight.
10. MK-CF-F-197 — The IRS convention for limits: a person attains an age at any point in the calendar year, so this year − birth year — not the birthday-aware age used for display (G1 / G9).
11. MK-XS-F-179 — Uses today's date from the device clock, so the answer changes by itself overnight.
12. MK-XS-F-179 — G9 (founder, 2026-09-12): birthday-aware when the birth month is known (the onboarding asks for it), the year-attained age when only the year is known, nothing when the birth year is unknown — never a stand-in month or age. Limits use the year-attained age instead (G1).
13. MK-NW-F-035 — If v is missing it uses 12%.
14. MK-PL-F-083 — Founder ruling brief Q-50 (2026-08-20), executed 2026-09-08 (G30): the default is the dated 30-year average — 2.5% a year, Bureau of Labor Statistics CPI-U 1996–2025, checked 2026-09-08 — never a live feed; the person's own rate outranks it.
15. MK-CF-F-089 — Uses today's date from the device clock, so the answer changes by itself overnight.
16. MK-PL-F-060 — If statement monthly is missing it counts as zero, so nothing recorded and a real zero look the same.
17. MK-CF-F-083 — Turns a monthly figure into a year by multiplying by twelve.
18. MK-CF-F-083 — Uses today's date from the device clock, so the answer changes by itself overnight.
19. MK-PL-F-065 — Never lets the answer fall below 5% or rise above 20%.
20. MK-XS-F-017 — Uses today's date from the device clock, so the answer changes by itself overnight.
21. MK-NW-F-034 — If return is missing it uses 6%.
22. MK-NW-F-032 — If balance is missing it counts as zero, so nothing recorded and a real zero look the same.
23. MK-NW-F-032 — Caps percent at 100.
24. MK-NW-F-031 — If balance is missing it counts as zero, so nothing recorded and a real zero look the same.
25. MK-CF-F-101 — Never lets state rate fall below 0.
… and 42 more, on the functions tab</t>
        </is>
      </c>
      <c r="R9" s="3" t="inlineStr"/>
      <c r="S9" s="3" t="inlineStr"/>
      <c r="T9" s="3" t="inlineStr">
        <is>
          <t>NOT DETERMINED — no assumption recorded for this figure yet.</t>
        </is>
      </c>
      <c r="U9" s="3" t="inlineStr"/>
      <c r="V9" s="3" t="inlineStr"/>
      <c r="W9" s="3" t="inlineStr"/>
      <c r="X9" s="3" t="inlineStr"/>
      <c r="Y9" s="3" t="inlineStr">
        <is>
          <t>NOT DETERMINED</t>
        </is>
      </c>
      <c r="Z9" s="3" t="inlineStr">
        <is>
          <t>VERIFIED 2026-08-22</t>
        </is>
      </c>
      <c r="AA9"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9" s="3" t="inlineStr">
        <is>
          <t>AGREES — the figure's arithmetic and the arithmetic of the function it names say the same thing. Checked 2026-08-26.</t>
        </is>
      </c>
      <c r="AC9" s="3" t="inlineStr">
        <is>
          <t>HAS A FUNCTION — traceable from the screen to the code.</t>
        </is>
      </c>
      <c r="AD9" s="3" t="inlineStr"/>
      <c r="AE9" s="3" t="inlineStr">
        <is>
          <t>No finding on this row. That is not a statement that the row is right — only that nothing has been written against it.
G16 — CLOSED 2026-09-08. The words to fix were this row's 'Formula (in words)': 'A LEGACY TARGET … is taken off the pot, but ONLY once they are retired.' They now read: taken off from the day it is set, spendable pot = max(0, nest egg − legacy target) — which is what MK-PL-F-067 does and what brief Q-41 (2026-08-20) ruled. ('check' in the same cell → 'check'.) No code change. G15 (the age-67 / 70% sentence in the same cell) is still open — not yet ruled.</t>
        </is>
      </c>
      <c r="AF9" s="3" t="inlineStr">
        <is>
          <t>ACTIVE</t>
        </is>
      </c>
      <c r="AG9" s="3" t="inlineStr">
        <is>
          <t>2026-09-30</t>
        </is>
      </c>
      <c r="AH9" s="3" t="n"/>
      <c r="AI9" s="3" t="n"/>
      <c r="AJ9" s="3" t="inlineStr">
        <is>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MK-CF-F-197, MK-PL-F-057, MK-PL-F-058, MK-PL-F-060, MK-PL-F-067, MK
9. MK-XS-I-018 retirement age — read by MK-PL-F-049, MK-PL-F-050, MK-PL-F-067
10. MK-XS-I-019 monthly expenses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expenses — read by MK-CF-F-067, MK-CF-F-068, MK-CF-F-150, MK-CF-F-151, MK-CF-F-153, MK-CF-O-002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is>
      </c>
      <c r="AK9" s="3" t="inlineStr">
        <is>
          <t>(the claim now stands in 'Inputs it needs' until the row is approved)</t>
        </is>
      </c>
      <c r="AL9" s="3" t="n"/>
      <c r="AM9" s="3" t="n"/>
      <c r="AN9" s="3" t="n"/>
      <c r="AO9" s="7" t="inlineStr">
        <is>
          <t>RULED, NOT CODED (Q-PL-1 — one question, one function)</t>
        </is>
      </c>
    </row>
    <row r="10" ht="60" customHeight="1">
      <c r="A10" s="3" t="inlineStr">
        <is>
          <t>MK-PL-M-009</t>
        </is>
      </c>
      <c r="B10" s="3" t="inlineStr">
        <is>
          <t>Plan</t>
        </is>
      </c>
      <c r="C10" s="3" t="inlineStr">
        <is>
          <t>/will-it-last</t>
        </is>
      </c>
      <c r="D10" s="3" t="inlineStr">
        <is>
          <t>Monthly expenses in retirement</t>
        </is>
      </c>
      <c r="E10" s="3" t="inlineStr">
        <is>
          <t>inp.retire_monthly_spend_today</t>
        </is>
      </c>
      <c r="F10" s="3" t="inlineStr">
        <is>
          <t>retirementSpendMonthly</t>
        </is>
      </c>
      <c r="G10" s="3" t="inlineStr">
        <is>
          <t>MK-PL-F-049</t>
        </is>
      </c>
      <c r="H10" s="3" t="inlineStr">
        <is>
          <t>expenses in retirement a month = what is spent today × the share expected to continue</t>
        </is>
      </c>
      <c r="I10" s="3" t="inlineStr">
        <is>
          <t>What the person said they expect to spend, adjusted for where they plan to live. Stated in TODAY'S dollars — the simulation inflates it to each future year, so inflating it here as well would count inflation twice.</t>
        </is>
      </c>
      <c r="J10" s="3" t="inlineStr">
        <is>
          <t>1. the answer → the retirement-expenses question  [MK-XS-I-024]
2. where they will live → the location answer  [MK-XS-I-045]</t>
        </is>
      </c>
      <c r="K10" s="3" t="inlineStr">
        <is>
          <t>US dollars · held to the cent · shown as whole dollars  [derived by rule — confirm]</t>
        </is>
      </c>
      <c r="L10" s="3" t="inlineStr">
        <is>
          <t>NOT DETERMINED — this function has not been read for its refusal yet.</t>
        </is>
      </c>
      <c r="M10" s="3" t="inlineStr">
        <is>
          <t>One figure per month  [derived by rule — confirm]</t>
        </is>
      </c>
      <c r="N10" s="3" t="inlineStr">
        <is>
          <t>From today to the retirement age in the plan  [derived by rule — confirm]</t>
        </is>
      </c>
      <c r="O10" s="3" t="inlineStr">
        <is>
          <t>1. MK-PL-F-047 (colFactor) → ColMatch
2. MK-CF-O-002 (expenses) → Expenses
3. MK-PL-F-001 (taxBucketSplit) → BucketSplit
4. MK-ST-F-052 (toNum) → number</t>
        </is>
      </c>
      <c r="P10" s="3" t="inlineStr">
        <is>
          <t>1. MK-PL-F-047 colFactor → MK-PL-F-049 retirementSpendMonthly
2. MK-CF-F-191 ym → MK-CF-F-148 inMonth → MK-CF-F-151 actualSpending → MK-CF-O-002 expenses → MK-PL-F-049 retirementSpendMonthly
3. MK-XS-F-122 n → MK-ST-F-052 toNum → MK-CF-F-151 actualSpending → MK-CF-O-002 expenses → MK-PL-F-049 retirementSpendMonthly
4. MK-CF-F-191 ym → MK-CF-F-151 actualSpending → MK-CF-O-002 expenses → MK-PL-F-049 retirementSpendMonthly
5. MK-ST-F-056 has → MK-CF-F-150 debtPaymentsCountedAsExpenses → MK-CF-O-002 expenses → MK-PL-F-049 retirementSpendMonthly
6. MK-CF-F-191 ym → MK-CF-F-148 inMonth → MK-CF-F-150 debtPaymentsCountedAsExpenses → MK-CF-O-002 expenses → MK-PL-F-049 retirementSpendMonthly
7. MK-CF-F-021 defaultPaymentType → MK-CF-F-022 paymentShape → MK-CF-F-150 debtPaymentsCountedAsExpenses → MK-CF-O-002 expenses → MK-PL-F-049 retirementSpendMonthly
8. MK-XS-F-122 n → MK-ST-F-052 toNum → MK-CF-F-150 debtPaymentsCountedAsExpenses → MK-CF-O-002 expenses → MK-PL-F-049 retirementSpendMonthly
9. … and 5 more paths</t>
        </is>
      </c>
      <c r="Q10" s="3" t="inlineStr">
        <is>
          <t>1. MK-CF-F-150 — Uses a built-in s h o w f i r s t of 5.
2. MK-NW-F-032 — If balance is missing it counts as zero, so nothing recorded and a real zero look the same.
3. MK-NW-F-032 — Caps percent at 100.
4. MK-CF-F-023 — If monthly payment is missing it uses 0.</t>
        </is>
      </c>
      <c r="R10" s="3" t="inlineStr"/>
      <c r="S10" s="3" t="inlineStr"/>
      <c r="T10" s="3" t="inlineStr">
        <is>
          <t>[The person] The retirement age in their plan.</t>
        </is>
      </c>
      <c r="U10" s="3" t="inlineStr"/>
      <c r="V10" s="3" t="inlineStr"/>
      <c r="W10" s="3" t="inlineStr"/>
      <c r="X10" s="3" t="inlineStr"/>
      <c r="Y10" s="3" t="inlineStr">
        <is>
          <t>NOT DETERMINED</t>
        </is>
      </c>
      <c r="Z10" s="3" t="inlineStr">
        <is>
          <t>VERIFIED 2026-08-22</t>
        </is>
      </c>
      <c r="AA10"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0" s="3" t="inlineStr">
        <is>
          <t>AGREES — the figure's arithmetic and the arithmetic of the function it names say the same thing. Checked 2026-08-26.</t>
        </is>
      </c>
      <c r="AC10" s="3" t="inlineStr">
        <is>
          <t>HAS A FUNCTION — traceable from the screen to the code.</t>
        </is>
      </c>
      <c r="AD10" s="3" t="inlineStr"/>
      <c r="AE10" s="3" t="inlineStr">
        <is>
          <t>No finding on this row. That is not a statement that the row is right — only that nothing has been written against it.</t>
        </is>
      </c>
      <c r="AF10" s="3" t="inlineStr">
        <is>
          <t>ACTIVE</t>
        </is>
      </c>
      <c r="AG10" s="3" t="inlineStr">
        <is>
          <t>2026-09-30</t>
        </is>
      </c>
      <c r="AH10" s="3" t="n"/>
      <c r="AI10" s="3" t="n"/>
      <c r="AJ10" s="3" t="inlineStr">
        <is>
          <t>1. MK-XS-I-001 account balance — read by MK-NW-F-032, MK-ST-F-027
2. MK-XS-I-002 account type (taxable, pre-tax, Roth) — read by MK-NW-F-011, MK-PL-F-001
3. MK-XS-I-004 holding quantity (shares) — read by MK-ST-F-027
4. MK-XS-I-005 holding price — read by MK-ST-F-027
5. MK-XS-I-007 purchase price and date (per lot) — read by MK-ST-F-027
6. MK-XS-I-013 bond maturity date — read by MK-NW-F-011, MK-ST-F-010
7. MK-XS-I-016 debt minimum payment — read by MK-CF-F-023
8. MK-XS-I-018 retirement age — read by MK-PL-F-049
9. MK-XS-I-019 monthly expenses in retirement — read by MK-PL-F-049
10. MK-XS-I-022 pension monthly amount — read by MK-PL-F-049
11. MK-XS-I-024 logged expenses — read by MK-CF-F-150, MK-CF-F-151, MK-CF-F-153, MK-CF-O-002
12. MK-XS-I-028 assumed return — read by MK-PL-F-049
13. MK-XS-I-029 inflation rate — read by MK-PL-F-049
14. MK-XS-I-035 annuity income — read by MK-PL-F-049
15. MK-XS-I-036 other guaranteed income — read by MK-PL-F-049
16. MK-XS-I-041 the payment the person chose to make on a debt — read by MK-CF-F-023
17. MK-XS-I-042 how a stream is paid — monthly, yearly or one lump — read by MK-CF-F-021, MK-CF-F-022, MK-CF-F-023, MK-CF-F-149, MK-CF-F-150, MK-CF-F-152
18. MK-XS-I-043 their own retirement contribution — read by MK-PL-F-049
19. MK-XS-I-044 the person’s own plan overrides — read by MK-PL-F-049
20. MK-XS-I-045 where they will live in retirement — read by MK-PL-F-049
21. MK-XS-I-048 the person’s own asset-class answer — read by MK-NW-F-011, MK-ST-F-027
22. MK-XS-I-050 the share of an account earmarked for retirement — read by MK-NW-F-032
23. MK-XS-I-055 the wrapper an account sits in — ISA, 401(k), IRA and the rest — read by MK-NW-F-011, MK-NW-F-030, MK-PL-F-049
[the code's record, this build — evidence for the ruling, not the row's statement: it cannot see inputs handed in as arguments, and it counts every branch below the producer]</t>
        </is>
      </c>
      <c r="AK10" s="3" t="inlineStr">
        <is>
          <t>(the claim now stands in 'Inputs it needs' until the row is approved)</t>
        </is>
      </c>
      <c r="AL10" s="3" t="n"/>
      <c r="AM10" s="3" t="n"/>
      <c r="AN10" s="3" t="n"/>
      <c r="AO10" s="7" t="inlineStr">
        <is>
          <t>RULED, NOT CODED (Q-PL-1 — one question, one function)</t>
        </is>
      </c>
    </row>
    <row r="11" ht="60" customHeight="1">
      <c r="A11" s="3" t="inlineStr">
        <is>
          <t>MK-PL-M-010</t>
        </is>
      </c>
      <c r="B11" s="3" t="inlineStr">
        <is>
          <t>Plan</t>
        </is>
      </c>
      <c r="C11" s="3" t="inlineStr">
        <is>
          <t>/will-it-last</t>
        </is>
      </c>
      <c r="D11" s="3" t="inlineStr">
        <is>
          <t>Guaranteed income — $X/mo from age Y</t>
        </is>
      </c>
      <c r="E11" s="3" t="inlineStr">
        <is>
          <t>inp.guaranteed_monthly_income</t>
        </is>
      </c>
      <c r="F11" s="3" t="inlineStr">
        <is>
          <t>NOT ON RECORD — no function is recorded for this figure</t>
        </is>
      </c>
      <c r="G11" s="3" t="inlineStr"/>
      <c r="H11" s="3" t="inlineStr">
        <is>
          <t>each stream grows on its own rule: Social Security rises with inflation, a fixed pension does not</t>
        </is>
      </c>
      <c r="I11" s="3" t="inlineStr">
        <is>
          <t>Each guaranteed stream grows on its own rule: Social Security rises with inflation, a fixed pension stays flat. They are never grown together.</t>
        </is>
      </c>
      <c r="J11" s="3" t="inlineStr">
        <is>
          <t>NOT DETERMINED — no input list on record for this function</t>
        </is>
      </c>
      <c r="K11" s="3" t="inlineStr">
        <is>
          <t>Age in whole years  [derived by rule — confirm]</t>
        </is>
      </c>
      <c r="L11" s="3" t="inlineStr">
        <is>
          <t>NOT DETERMINED — this function has not been read for its refusal yet.</t>
        </is>
      </c>
      <c r="M11" s="3" t="inlineStr">
        <is>
          <t>One figure per person — or per household when two people share one record  [derived by rule — confirm]</t>
        </is>
      </c>
      <c r="N11" s="3" t="inlineStr">
        <is>
          <t>As of today, from the latest figures held  [derived by rule — confirm]</t>
        </is>
      </c>
      <c r="O11" s="3" t="inlineStr">
        <is>
          <t>No function on record — nothing to chain</t>
        </is>
      </c>
      <c r="P11" s="3" t="inlineStr">
        <is>
          <t>No function on record — nothing to chain</t>
        </is>
      </c>
      <c r="Q11" s="3" t="inlineStr">
        <is>
          <t>No function on record — assumptions unknown</t>
        </is>
      </c>
      <c r="R11" s="3" t="inlineStr"/>
      <c r="S11" s="3" t="inlineStr"/>
      <c r="T11" s="3" t="inlineStr">
        <is>
          <t>[Founder] Each stream grows on its own rule: Social Security rises with inflation, a fixed pension stays flat. They are never inflated together (fix B1).
[Founder] brief Q-50 (2026-08-20): inflation defaults to the 30-year average of consumer prices — 2.5% a year (Bureau of Labor Statistics CPI-U, 1996–2025), fixed and dated, stated on screen, and the person can change it on the cockpit. No live feed feeds a calculation (G30, executed 2026-09-08).</t>
        </is>
      </c>
      <c r="U11" s="3" t="inlineStr"/>
      <c r="V11" s="3" t="inlineStr"/>
      <c r="W11" s="3" t="inlineStr"/>
      <c r="X11" s="3" t="inlineStr"/>
      <c r="Y11" s="3" t="inlineStr">
        <is>
          <t>NOT DETERMINED</t>
        </is>
      </c>
      <c r="Z11" s="3" t="inlineStr">
        <is>
          <t>VERIFIED 2026-08-22</t>
        </is>
      </c>
      <c r="AA11"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1" s="3" t="inlineStr">
        <is>
          <t>B24 [NOT COMPARABLE] — This figure names no function, so its formula cannot be checked against anything. 69 of the 163 figures are in this position — the audit covers the 94 that name one.</t>
        </is>
      </c>
      <c r="AC11"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1" s="3" t="inlineStr"/>
      <c r="AE11" s="3" t="inlineStr">
        <is>
          <t>No finding on this row. That is not a statement that the row is right — only that nothing has been written against it.</t>
        </is>
      </c>
      <c r="AF11" s="3" t="inlineStr">
        <is>
          <t>ACTIVE</t>
        </is>
      </c>
      <c r="AG11" s="3" t="inlineStr">
        <is>
          <t>2026-08-27</t>
        </is>
      </c>
      <c r="AH11" s="3" t="n"/>
      <c r="AI11" s="3" t="n"/>
      <c r="AJ11" s="3" t="inlineStr">
        <is>
          <t>No function on record — nothing to read from
[the code's record, this build — evidence for the ruling, not the row's statement: it cannot see inputs handed in as arguments, and it counts every branch below the producer]</t>
        </is>
      </c>
      <c r="AK11" s="3" t="inlineStr">
        <is>
          <t>(the claim now stands in 'Inputs it needs' until the row is approved)</t>
        </is>
      </c>
      <c r="AL11" s="3" t="n"/>
      <c r="AM11" s="3" t="n"/>
      <c r="AN11" s="3" t="n"/>
      <c r="AO11" s="7" t="inlineStr">
        <is>
          <t>RULED, NOT CODED (Q-PL-1 — one question, one function)</t>
        </is>
      </c>
    </row>
    <row r="12" ht="60" customHeight="1">
      <c r="A12" s="3" t="inlineStr">
        <is>
          <t>MK-PL-M-011</t>
        </is>
      </c>
      <c r="B12" s="3" t="inlineStr">
        <is>
          <t>Plan</t>
        </is>
      </c>
      <c r="C12" s="3" t="inlineStr">
        <is>
          <t>/will-it-last</t>
        </is>
      </c>
      <c r="D12" s="3" t="inlineStr">
        <is>
          <t>Monthly saving until then</t>
        </is>
      </c>
      <c r="E12" s="3" t="inlineStr">
        <is>
          <t>inp.annual_contrib</t>
        </is>
      </c>
      <c r="F12" s="3" t="inlineStr">
        <is>
          <t>willItLastInputs</t>
        </is>
      </c>
      <c r="G12" s="3" t="inlineStr">
        <is>
          <t>MK-PL-F-067</t>
        </is>
      </c>
      <c r="H12" s="3" t="inlineStr">
        <is>
          <t>the inputs one plan is built from: what is held, what will be spent, what is guaranteed, and what is still being saved</t>
        </is>
      </c>
      <c r="I12" s="3" t="inlineStr">
        <is>
          <t>Gather everything the odds need. The person's own choices override every default, one by one.
NO AGE MEANS NO ANSWER — the odds are never computed from a guessed age.
SOCIAL SECURITY USES THE CHECK THE CHOSEN CLAIM AGE ACTUALLY PAYS. The figure on a statement is the amount at YOUR full retirement age — 66 to 67 by birth year (66 for 1943–1954, two months more a year for 1955–1959, 67 from 1960). Claiming before it reduces the check by the SSA formula — 5/9 of 1% a month for the first 36 months early, 5/12 of 1% a month beyond — and claiming after it adds 2/3 of 1% a month up to 70. Using the statement figure regardless would overstate guaranteed income for everyone claiming early.
Not eligible means ZERO guaranteed income, not a default.
A LEGACY TARGET — money someone means to leave behind — is taken off the pot from the day it is set: spendable pot = max(0, nest egg − legacy target), whether the person is working or retired (founder decision brief Q-41 (2026-08-20), 2026-08-20; the function does exactly this).</t>
        </is>
      </c>
      <c r="J12" s="3" t="inlineStr">
        <is>
          <t>1. their age → birthYear  [MK-XS-I-017]
2. the pot → NEST_EGG  [NOT AN INPUT — another function’s answer; see the dependency column]
3. return and swing → EXPECTED_RETURN_BLENDED, EXPECTED_SWING_BLENDED  [NOT AN INPUT — another function’s answer; see the dependency column]
4. expenses → RETIREMENT_SPENDING  [MK-XS-I-024]
5. guaranteed income → RETIREMENT_INCOME, SS_BENEFIT_AT_AGE  [NOT AN INPUT — another function’s answer; see the dependency column]
6. money to leave behind → legacyTarget  [MK-XS-I-047]
7. their own overrides → the Plan screen  [MK-XS-I-044]</t>
        </is>
      </c>
      <c r="K12" s="3" t="inlineStr">
        <is>
          <t>Percent · exact, no rounding — 1,000 futures give it to a tenth (founder, 2026-09-14)  [derived by rule — confirm]</t>
        </is>
      </c>
      <c r="L12" s="3" t="inlineStr">
        <is>
          <t>NOT DETERMINED — this function has not been read for its refusal yet.</t>
        </is>
      </c>
      <c r="M12" s="3" t="inlineStr">
        <is>
          <t>One figure per month  [derived by rule — confirm]</t>
        </is>
      </c>
      <c r="N12" s="3" t="inlineStr">
        <is>
          <t>As of today, from the latest figures held  [derived by rule — confirm]</t>
        </is>
      </c>
      <c r="O12" s="3" t="inlineStr">
        <is>
          <t>1. MK-CF-F-197 (ageAttainedInYear) → number | null
2. MK-XS-F-179 (ageToday) → number | null
3. MK-NW-F-037 (blendedReturn) → number
4. MK-NW-F-035 (blendedVolatility) → number
5. MK-CF-F-102 (effectiveRateOnGrossFor) → number
6. MK-CF-O-002 (expenses) → Expenses
7. MK-CF-F-085 (filingStatusOf) → import('./tax').FilingStatus
8. MK-CF-F-076 (guaranteedOutsideStreams) → GuaranteedStream[]
9. MK-PL-F-083 (inflationRateInForce) → InflationInForce
10. MK-CF-F-132 (map) → NOT DECLARED — the code does not say what it gives back
11. MK-NW-F-041 (monthlyContributionsFromOnboarding) → number
12. MK-PL-F-079 (numOrZero) → n; };
13. MK-CF-F-089 (over65CountOf) → number
14. MK-NW-F-004 (portfolioActualReturn) → number | null
15. MK-NW-F-033 (retirementEarmarkedValue) → number
16. MK-PL-F-049 (retirementSpendMonthly) → number
17. MK-PL-F-060 (ssBenefitAt) → number
18. MK-CF-F-086 (stateRateOf) → number
19. MK-PL-F-001 (taxBucketSplit) → BucketSplit
20. MK-CF-F-083 (totalGrossAnnual) → number
21. MK-PL-F-065 (volOf) → NOT DECLARED — the code does not say what it gives back</t>
        </is>
      </c>
      <c r="P12" s="3" t="inlineStr">
        <is>
          <t>1. MK-CF-F-197 ageAttainedInYear → MK-PL-F-067 willItLastInputs
2. MK-XS-F-017 currentAge → MK-XS-F-179 ageToday → MK-PL-F-067 willItLastInputs
3. MK-NW-F-008 incomeBearingClassOf → MK-NW-F-011 assetClassOf → MK-NW-F-007 assetKind → MK-NW-F-034 benchmarkReturn → MK-NW-F-037 blendedReturn → MK-PL-F-067 willItLastInputs
4. MK-XS-F-122 n → MK-CF-F-155 cash → MK-NW-F-007 assetKind → MK-NW-F-034 benchmarkReturn → MK-NW-F-037 blendedReturn → MK-PL-F-067 willItLastInputs
5. MK-NW-F-008 incomeBearingClassOf → MK-NW-F-011 assetClassOf → MK-NW-F-030 earmarkDefault → MK-NW-F-032 earmarkedAmount → MK-NW-F-037 blendedReturn → MK-PL-F-067 willItLastInputs
6. MK-NW-F-013 realEstateUseOf → MK-NW-F-030 earmarkDefault → MK-NW-F-032 earmarkedAmount → MK-NW-F-037 blendedReturn → MK-PL-F-067 willItLastInputs
7. MK-CF-F-155 cash → MK-NW-F-008 incomeBearingClassOf → MK-NW-F-011 assetClassOf → MK-NW-F-031 primaryCarIdOf → MK-NW-F-037 blendedReturn → MK-PL-F-067 willItLastInputs
8. MK-ST-F-010 nameEvidence → MK-NW-F-008 incomeBearingClassOf → MK-NW-F-011 assetClassOf → MK-NW-F-031 primaryCarIdOf → MK-NW-F-037 blendedReturn → MK-PL-F-067 willItLastInputs
9. … and 5 more paths</t>
        </is>
      </c>
      <c r="Q12" s="3" t="inlineStr">
        <is>
          <t>1. MK-PL-F-067 — If social security claim age is missing it uses 67.
2. MK-PL-F-067 — If monthly is missing it uses 0.
3. MK-PL-F-067 — If salary growth is missing it uses 0.
4. MK-PL-F-067 — Turns a monthly figure into a year by multiplying by twelve.
5. MK-PL-F-067 — Uses today's date from the device clock, so the answer changes by itself overnight.
6. MK-PL-F-067 — Rounds the answer to a whole number.
7. MK-PL-F-067 — The current age is birthday-aware when the birth month is known, else the year-attained age (G9, 2026-09-12).
8. MK-PL-F-067 — Inflation: the percent figure entered (2.5) is divided by 100 before use — 0.025 a year (G5). The effective tax rate on pre-tax withdrawals is the person's own, from filing status and income (income floored at $30,000), clamped between 10% and 60% (G7 / G35).
9. MK-CF-F-197 — Uses today's date from the device clock, so the answer changes by itself overnight.
10. MK-CF-F-197 — The IRS convention for limits: a person attains an age at any point in the calendar year, so this year − birth year — not the birthday-aware age used for display (G1 / G9).
11. MK-XS-F-179 — Uses today's date from the device clock, so the answer changes by itself overnight.
12. MK-XS-F-179 — G9 (founder, 2026-09-12): birthday-aware when the birth month is known (the onboarding asks for it), the year-attained age when only the year is known, nothing when the birth year is unknown — never a stand-in month or age. Limits use the year-attained age instead (G1).
13. MK-NW-F-035 — If v is missing it uses 12%.
14. MK-PL-F-083 — Founder ruling brief Q-50 (2026-08-20), executed 2026-09-08 (G30): the default is the dated 30-year average — 2.5% a year, Bureau of Labor Statistics CPI-U 1996–2025, checked 2026-09-08 — never a live feed; the person's own rate outranks it.
15. MK-CF-F-089 — Uses today's date from the device clock, so the answer changes by itself overnight.
16. MK-PL-F-060 — If statement monthly is missing it counts as zero, so nothing recorded and a real zero look the same.
17. MK-CF-F-083 — Turns a monthly figure into a year by multiplying by twelve.
18. MK-CF-F-083 — Uses today's date from the device clock, so the answer changes by itself overnight.
19. MK-PL-F-065 — Never lets the answer fall below 5% or rise above 20%.
20. MK-XS-F-017 — Uses today's date from the device clock, so the answer changes by itself overnight.
21. MK-NW-F-034 — If return is missing it uses 6%.
22. MK-NW-F-032 — If balance is missing it counts as zero, so nothing recorded and a real zero look the same.
23. MK-NW-F-032 — Caps percent at 100.
24. MK-NW-F-031 — If balance is missing it counts as zero, so nothing recorded and a real zero look the same.
25. MK-CF-F-101 — Never lets state rate fall below 0.
… and 42 more, on the functions tab</t>
        </is>
      </c>
      <c r="R12" s="3" t="inlineStr"/>
      <c r="S12" s="3" t="inlineStr"/>
      <c r="T12" s="3" t="inlineStr">
        <is>
          <t>NOT DETERMINED — no assumption recorded for this figure yet.</t>
        </is>
      </c>
      <c r="U12" s="3" t="inlineStr">
        <is>
          <t>THE SURVIVING IDENTIFIER for this figure. Folded in: MK-PL-M-029. What is being saved each month towards retirement — "Monthly saving until then" and "Retirement saving $X/mo now".</t>
        </is>
      </c>
      <c r="V12" s="3" t="inlineStr"/>
      <c r="W12" s="3" t="inlineStr"/>
      <c r="X12" s="3" t="inlineStr"/>
      <c r="Y12" s="3" t="inlineStr">
        <is>
          <t>NOT DETERMINED</t>
        </is>
      </c>
      <c r="Z12" s="3" t="inlineStr">
        <is>
          <t>VERIFIED 2026-08-22</t>
        </is>
      </c>
      <c r="AA1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2" s="3" t="inlineStr">
        <is>
          <t>AGREES — the figure's arithmetic and the arithmetic of the function it names say the same thing. Checked 2026-08-26.</t>
        </is>
      </c>
      <c r="AC12" s="3" t="inlineStr">
        <is>
          <t>HAS A FUNCTION — traceable from the screen to the code.</t>
        </is>
      </c>
      <c r="AD12" s="3" t="inlineStr"/>
      <c r="AE12" s="3" t="inlineStr">
        <is>
          <t>No finding on this row. That is not a statement that the row is right — only that nothing has been written against it.</t>
        </is>
      </c>
      <c r="AF12" s="3" t="inlineStr">
        <is>
          <t>ACTIVE</t>
        </is>
      </c>
      <c r="AG12" s="3" t="inlineStr">
        <is>
          <t>2026-09-30</t>
        </is>
      </c>
      <c r="AH12" s="3" t="n"/>
      <c r="AI12" s="3" t="n"/>
      <c r="AJ12" s="3" t="inlineStr">
        <is>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MK-CF-F-197, MK-PL-F-057, MK-PL-F-058, MK-PL-F-060, MK-PL-F-067, MK
9. MK-XS-I-018 retirement age — read by MK-PL-F-049, MK-PL-F-050, MK-PL-F-067
10. MK-XS-I-019 monthly expenses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expenses — read by MK-CF-F-067, MK-CF-F-068, MK-CF-F-150, MK-CF-F-151, MK-CF-F-153, MK-CF-O-002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is>
      </c>
      <c r="AK12" s="3" t="inlineStr">
        <is>
          <t>(the claim now stands in 'Inputs it needs' until the row is approved)</t>
        </is>
      </c>
      <c r="AL12" s="3" t="n"/>
      <c r="AM12" s="3" t="n"/>
      <c r="AN12" s="3" t="n"/>
      <c r="AO12" s="7" t="inlineStr">
        <is>
          <t>RULED, NOT CODED (Q-PL-1 — one question, one function)</t>
        </is>
      </c>
    </row>
    <row r="13" ht="60" customHeight="1">
      <c r="A13" s="3" t="inlineStr">
        <is>
          <t>MK-PL-M-012</t>
        </is>
      </c>
      <c r="B13" s="3" t="inlineStr">
        <is>
          <t>Plan</t>
        </is>
      </c>
      <c r="C13" s="3" t="inlineStr">
        <is>
          <t>/required-withdrawals</t>
        </is>
      </c>
      <c r="D13" s="3" t="inlineStr">
        <is>
          <t>Yours starts in &lt;year&gt; (age N)</t>
        </is>
      </c>
      <c r="E13" s="3" t="inlineStr">
        <is>
          <t>rmdStartAgeFor(age)</t>
        </is>
      </c>
      <c r="F13" s="3" t="inlineStr">
        <is>
          <t>NOT ON RECORD — no function is recorded for this figure</t>
        </is>
      </c>
      <c r="G13" s="3" t="inlineStr"/>
      <c r="H13" s="3" t="inlineStr">
        <is>
          <t>start age = 73 for those born 1951–1959, 75 for those born 1960 or later;  Roth 401(k) is exempt</t>
        </is>
      </c>
      <c r="I13" s="3" t="inlineStr">
        <is>
          <t>The age required withdrawals begin, from one dated table: 73 for those born 1951 to 1959, 75 for those born in 1960 or later. A Roth 401(k) is exempt.</t>
        </is>
      </c>
      <c r="J13" s="3" t="inlineStr">
        <is>
          <t>NOT DETERMINED — no input list on record for this function</t>
        </is>
      </c>
      <c r="K13" s="3" t="inlineStr">
        <is>
          <t>Age in whole years  [derived by rule — confirm]</t>
        </is>
      </c>
      <c r="L13" s="3" t="inlineStr">
        <is>
          <t>NOT DETERMINED — this function has not been read for its refusal yet.</t>
        </is>
      </c>
      <c r="M13" s="3" t="inlineStr">
        <is>
          <t>One figure per person — or per household when two people share one record  [derived by rule — confirm]</t>
        </is>
      </c>
      <c r="N13" s="3" t="inlineStr">
        <is>
          <t>This calendar year, to today  [derived by rule — confirm]</t>
        </is>
      </c>
      <c r="O13" s="3" t="inlineStr">
        <is>
          <t>No function on record — nothing to chain</t>
        </is>
      </c>
      <c r="P13" s="3" t="inlineStr">
        <is>
          <t>No function on record — nothing to chain</t>
        </is>
      </c>
      <c r="Q13" s="3" t="inlineStr">
        <is>
          <t>No function on record — assumptions unknown</t>
        </is>
      </c>
      <c r="R13" s="3" t="inlineStr"/>
      <c r="S13" s="3" t="inlineStr"/>
      <c r="T13" s="3" t="inlineStr">
        <is>
          <t>[Founder] The same one dated table, after both earlier copies were deleted.</t>
        </is>
      </c>
      <c r="U13" s="3" t="inlineStr"/>
      <c r="V13" s="3" t="inlineStr"/>
      <c r="W13" s="3" t="inlineStr"/>
      <c r="X13" s="3" t="inlineStr"/>
      <c r="Y13" s="3" t="inlineStr">
        <is>
          <t>NOT DETERMINED</t>
        </is>
      </c>
      <c r="Z13" s="3" t="inlineStr">
        <is>
          <t>VERIFIED 2026-08-22</t>
        </is>
      </c>
      <c r="AA13" s="3" t="inlineStr">
        <is>
          <t>1. A36 — Required-withdrawal start age: this file says 73 for those born 1951-1959 and 75 for 1960 or later. The code returns 73 for EVERY birth year below 1960, and 73 again when the birth year is missing. Neither side names the age 72 (and 70 and a half) start ages that apply to earlier birth years, and neither says what should happen when the birth year is unknown rather than quietly assuming one.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3" s="3" t="inlineStr">
        <is>
          <t>B24 [NOT COMPARABLE] — This figure names no function, so its formula cannot be checked against anything. 69 of the 163 figures are in this position — the audit covers the 94 that name one.</t>
        </is>
      </c>
      <c r="AC13"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3" s="3" t="inlineStr"/>
      <c r="AE13" s="3" t="inlineStr">
        <is>
          <t>A36 — FIXED 2026-09-12
A41 — OPEN since 2026-08-26 — nothing has closed this. It is not known to be wrong; it is known to be unaddressed.</t>
        </is>
      </c>
      <c r="AF13" s="3" t="inlineStr">
        <is>
          <t>ACTIVE</t>
        </is>
      </c>
      <c r="AG13" s="3" t="inlineStr">
        <is>
          <t>2026-08-27</t>
        </is>
      </c>
      <c r="AH13" s="3" t="n"/>
      <c r="AI13" s="3" t="n"/>
      <c r="AJ13" s="3" t="inlineStr">
        <is>
          <t>No function on record — nothing to read from
[the code's record, this build — evidence for the ruling, not the row's statement: it cannot see inputs handed in as arguments, and it counts every branch below the producer]</t>
        </is>
      </c>
      <c r="AK13" s="3" t="inlineStr">
        <is>
          <t>(the claim now stands in 'Inputs it needs' until the row is approved)</t>
        </is>
      </c>
      <c r="AL13" s="3" t="n"/>
      <c r="AM13" s="3" t="n"/>
      <c r="AN13" s="3" t="n"/>
      <c r="AO13" s="7" t="inlineStr">
        <is>
          <t>OPEN FINDING A41 · CODED, NOT TESTED (finding A36 names no test)</t>
        </is>
      </c>
    </row>
    <row r="14" ht="60" customHeight="1">
      <c r="A14" s="3" t="inlineStr">
        <is>
          <t>MK-PL-M-013</t>
        </is>
      </c>
      <c r="B14" s="3" t="inlineStr">
        <is>
          <t>Plan</t>
        </is>
      </c>
      <c r="C14" s="3" t="inlineStr">
        <is>
          <t>/required-withdrawals</t>
        </is>
      </c>
      <c r="D14" s="3" t="inlineStr">
        <is>
          <t>Required $X</t>
        </is>
      </c>
      <c r="E14" s="3" t="inlineStr">
        <is>
          <t>required</t>
        </is>
      </c>
      <c r="F14" s="3" t="inlineStr">
        <is>
          <t>rmdRequiredThisYear</t>
        </is>
      </c>
      <c r="G14" s="3" t="inlineStr">
        <is>
          <t>MK-PL-F-080</t>
        </is>
      </c>
      <c r="H14" s="3" t="inlineStr">
        <is>
          <t>required this year = (last 31 December's pre-tax balance, when entered; otherwise today's pre-tax balance) ÷ the life-expectancy factor for this age</t>
        </is>
      </c>
      <c r="I14" s="3" t="inlineStr">
        <is>
          <t>The amount the law requires to be taken out this year: last 31 December's pre-tax balance divided by the life-expectancy factor for the person's age. If that balance has not been entered, today's balance is used and the screen says: 'Based on today's balance. Enter your pre-tax balance on Dec 31, &lt;last year&gt; to calculate it exactly — the law bases the required withdrawal on last Dec 31's balance.'</t>
        </is>
      </c>
      <c r="J14" s="3" t="inlineStr">
        <is>
          <t>1. today's pre-tax balance → the PRE_TAX bucket of every account [MK-XS-I-001]
2. last 31 December's pre-tax balance → rmdPriorYearEndPreTax [MK-XS-I-061]
3. age → birth year [MK-XS-I-017]</t>
        </is>
      </c>
      <c r="K14" s="3" t="inlineStr">
        <is>
          <t>US dollars · held to the cent · shown as whole dollars  [derived by rule — confirm]</t>
        </is>
      </c>
      <c r="L14" s="3" t="inlineStr">
        <is>
          <t>Not yet at the start age → the explainer, no figure. No pre-tax accounts → 'Add your retirement accounts'.</t>
        </is>
      </c>
      <c r="M14" s="3" t="inlineStr">
        <is>
          <t>One figure per person — or per household when two people share one record  [derived by rule — confirm]</t>
        </is>
      </c>
      <c r="N14" s="3" t="inlineStr">
        <is>
          <t>As of today, from the latest figures held  [derived by rule — confirm]</t>
        </is>
      </c>
      <c r="O14" s="3" t="inlineStr">
        <is>
          <t>MK-PL-F-007 (rmdAtAge) → number</t>
        </is>
      </c>
      <c r="P14" s="3" t="inlineStr">
        <is>
          <t>No function on record — nothing to chain</t>
        </is>
      </c>
      <c r="Q14" s="3" t="inlineStr">
        <is>
          <t>No function on record — assumptions unknown</t>
        </is>
      </c>
      <c r="R14" s="3" t="inlineStr"/>
      <c r="S14" s="3" t="inlineStr"/>
      <c r="T14" s="3" t="inlineStr">
        <is>
          <t>[Founder] One dated table. Start age is 73 for those born 1951–1959 and 75 for those born 1960 or later; a Roth 401(k) is exempt (fix B4).
[Founder] G8, 2026-09-08: the year's figure stands on last 31 December's balance when the person enters it; until then today's balance, stated in those words on the screen.</t>
        </is>
      </c>
      <c r="U14" s="3" t="inlineStr"/>
      <c r="V14" s="9" t="inlineStr">
        <is>
          <t>Q31 — Required withdrawals are estimated from balances we hold. When an institution states its own required figure, does theirs win?</t>
        </is>
      </c>
      <c r="W14" s="9" t="inlineStr"/>
      <c r="X14" s="3" t="inlineStr"/>
      <c r="Y14" s="3" t="inlineStr">
        <is>
          <t>NOT DETERMINED</t>
        </is>
      </c>
      <c r="Z14" s="3" t="inlineStr">
        <is>
          <t>VERIFIED 2026-08-22</t>
        </is>
      </c>
      <c r="AA14" s="3" t="inlineStr">
        <is>
          <t>1. A35 — The required-withdrawal divisor table lists ages 73-90, 92, 95 and 100 and interpolates the rest. Ages 93, 94, 97, 98 and 99 do not equal the published IRS Uniform Lifetime divisors. On a $500,000 pre-tax balance the required amount comes out short by $184 at 94, $811 at 97, $926 at 98 and $1,066 at 99. Taking less than the required amount is penalised by the IRS, so this errs in the direction that costs the person money.
2. A37 — The required withdrawal uses the Uniform Lifetime table for everybody. The Joint Life and Last Survivor table applies when the sole beneficiary is a spouse more than ten years younger, and gives a smaller required amount. Not named anywhere in the file.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4" s="3" t="inlineStr">
        <is>
          <t>B24 [NOT COMPARABLE] — This figure names no function, so its formula cannot be checked against anything. 69 of the 163 figures are in this position — the audit covers the 94 that name one.</t>
        </is>
      </c>
      <c r="AC14"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4" s="3" t="inlineStr"/>
      <c r="AE14" s="3" t="inlineStr">
        <is>
          <t>A35 — FIXED 2026-09-01
A37 — OPEN — DECLARED 2026-09-12
A41 — OPEN since 2026-08-26 — nothing has closed this. It is not known to be wrong; it is known to be unaddressed.
G8 — CLOSED 2026-09-08: one producer (MK-PL-F-080) for the this-year figure on the screen and the Plan hub; the balance basis is stated on screen in the founder's words; new input MK-XS-I-061. File and code are both updated and they match 100%.</t>
        </is>
      </c>
      <c r="AF14" s="3" t="inlineStr">
        <is>
          <t>ACTIVE</t>
        </is>
      </c>
      <c r="AG14" s="3" t="inlineStr">
        <is>
          <t>2026-08-27</t>
        </is>
      </c>
      <c r="AH14" s="3" t="n"/>
      <c r="AI14" s="3" t="n"/>
      <c r="AJ14" s="3" t="inlineStr">
        <is>
          <t>MK-XS-I-061 pre-tax balance on 31 December last year — read by MK-PL-F-080
[the code's record, this build — evidence for the ruling, not the row's statement: it cannot see inputs handed in as arguments, and it counts every branch below the producer]</t>
        </is>
      </c>
      <c r="AK14" s="3" t="inlineStr">
        <is>
          <t>(the claim now stands in 'Inputs it needs' until the row is approved)</t>
        </is>
      </c>
      <c r="AL14" s="3" t="n"/>
      <c r="AM14" s="3" t="n"/>
      <c r="AN14" s="3" t="n"/>
      <c r="AO14" s="9" t="inlineStr">
        <is>
          <t>WAITING ON YOU — question Q31 · TESTED, NOT VERIFIED (G8) · OPEN FINDING A37, A41</t>
        </is>
      </c>
    </row>
    <row r="15" ht="60" customHeight="1">
      <c r="A15" s="3" t="inlineStr">
        <is>
          <t>MK-PL-M-014</t>
        </is>
      </c>
      <c r="B15" s="3" t="inlineStr">
        <is>
          <t>Plan</t>
        </is>
      </c>
      <c r="C15" s="3" t="inlineStr">
        <is>
          <t>/required-withdrawals</t>
        </is>
      </c>
      <c r="D15" s="3" t="inlineStr">
        <is>
          <t>Taken so far $X · still to take</t>
        </is>
      </c>
      <c r="E15" s="3" t="inlineStr">
        <is>
          <t>taken / still</t>
        </is>
      </c>
      <c r="F15" s="3" t="inlineStr">
        <is>
          <t>Worked out on the screen itself — no function behind it</t>
        </is>
      </c>
      <c r="G15" s="3" t="inlineStr"/>
      <c r="H15" s="3" t="inlineStr">
        <is>
          <t>still to take = required this year − taken so far</t>
        </is>
      </c>
      <c r="I15" s="3" t="inlineStr">
        <is>
          <t>Worked out on the screen itself, with no function behind it — a place a second definition can appear.</t>
        </is>
      </c>
      <c r="J15" s="3" t="inlineStr">
        <is>
          <t>NOT DETERMINED — no input list on record for this function</t>
        </is>
      </c>
      <c r="K15" s="3" t="inlineStr">
        <is>
          <t>US dollars · held to the cent · shown as whole dollars  [derived by rule — confirm]</t>
        </is>
      </c>
      <c r="L15" s="3" t="inlineStr">
        <is>
          <t>Inherits the refusal of the figures it is built from: if either side is missing, this line is not shown.</t>
        </is>
      </c>
      <c r="M15" s="3" t="inlineStr">
        <is>
          <t>One figure per person — or per household when two people share one record  [derived by rule — confirm]</t>
        </is>
      </c>
      <c r="N15" s="3" t="inlineStr">
        <is>
          <t>As of today, from the latest figures held  [derived by rule — confirm]</t>
        </is>
      </c>
      <c r="O15" s="3" t="inlineStr">
        <is>
          <t>No function on record — nothing to chain</t>
        </is>
      </c>
      <c r="P15" s="3" t="inlineStr">
        <is>
          <t>No function on record — nothing to chain</t>
        </is>
      </c>
      <c r="Q15" s="3" t="inlineStr">
        <is>
          <t>No function on record — assumptions unknown</t>
        </is>
      </c>
      <c r="R15" s="3" t="inlineStr"/>
      <c r="S15" s="3" t="inlineStr"/>
      <c r="T15" s="3" t="inlineStr">
        <is>
          <t>NOT DETERMINED — no assumption recorded for this figure yet.</t>
        </is>
      </c>
      <c r="U15" s="3" t="inlineStr"/>
      <c r="V15" s="3" t="inlineStr"/>
      <c r="W15" s="3" t="inlineStr"/>
      <c r="X15" s="3" t="inlineStr"/>
      <c r="Y15" s="3" t="inlineStr">
        <is>
          <t>NOT DETERMINED</t>
        </is>
      </c>
      <c r="Z15" s="3" t="inlineStr">
        <is>
          <t>VERIFIED 2026-08-22</t>
        </is>
      </c>
      <c r="AA1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5" s="3" t="inlineStr">
        <is>
          <t>B24 [NOT COMPARABLE] — This figure names no function, so its formula cannot be checked against anything. 69 of the 163 figures are in this position — the audit covers the 94 that name one.</t>
        </is>
      </c>
      <c r="AC15" s="3" t="inlineStr">
        <is>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is>
      </c>
      <c r="AD15" s="3" t="inlineStr"/>
      <c r="AE15" s="3" t="inlineStr">
        <is>
          <t>No finding on this row. That is not a statement that the row is right — only that nothing has been written against it.</t>
        </is>
      </c>
      <c r="AF15" s="3" t="inlineStr">
        <is>
          <t>ACTIVE</t>
        </is>
      </c>
      <c r="AG15" s="3" t="inlineStr">
        <is>
          <t>2026-08-27</t>
        </is>
      </c>
      <c r="AH15" s="3" t="n"/>
      <c r="AI15" s="3" t="n"/>
      <c r="AJ15" s="3" t="inlineStr">
        <is>
          <t>No function on record — nothing to read from
[the code's record, this build — evidence for the ruling, not the row's statement: it cannot see inputs handed in as arguments, and it counts every branch below the producer]</t>
        </is>
      </c>
      <c r="AK15" s="3" t="inlineStr">
        <is>
          <t>(the claim now stands in 'Inputs it needs' until the row is approved)</t>
        </is>
      </c>
      <c r="AL15" s="3" t="n"/>
      <c r="AM15" s="3" t="n"/>
      <c r="AN15" s="3" t="n"/>
      <c r="AO15" s="3" t="inlineStr">
        <is>
          <t>NOTHING OPEN</t>
        </is>
      </c>
    </row>
    <row r="16" ht="60" customHeight="1">
      <c r="A16" s="3" t="inlineStr">
        <is>
          <t>MK-PL-M-015</t>
        </is>
      </c>
      <c r="B16" s="3" t="inlineStr">
        <is>
          <t>Plan</t>
        </is>
      </c>
      <c r="C16" s="3" t="inlineStr">
        <is>
          <t>/required-withdrawals</t>
        </is>
      </c>
      <c r="D16" s="3" t="inlineStr">
        <is>
          <t>YEAR BY YEAR (ESTIMATES) — each year and amount</t>
        </is>
      </c>
      <c r="E16" s="3" t="inlineStr">
        <is>
          <t>r.amount</t>
        </is>
      </c>
      <c r="F16" s="3" t="inlineStr">
        <is>
          <t>NOT ON RECORD — no function is recorded for this figure</t>
        </is>
      </c>
      <c r="G16" s="3" t="inlineStr"/>
      <c r="H16" s="3" t="inlineStr">
        <is>
          <t>first row = this year's required withdrawal (MK-PL-F-080); later rows = the pre-tax balance grown at the expected return to each year ÷ that year's factor</t>
        </is>
      </c>
      <c r="I16" s="3" t="inlineStr">
        <is>
          <t>The first row is this year's figure (see MK-PL-M-013 — last 31 December's balance when entered, today's otherwise). Every later row is a projection: today's balance grown at the expected return to that year, divided by that year's life-expectancy factor — the screen says these move with the balance and the IRS table.</t>
        </is>
      </c>
      <c r="J16" s="3" t="inlineStr">
        <is>
          <t>NOT DETERMINED — no input list on record for this function</t>
        </is>
      </c>
      <c r="K16" s="3" t="inlineStr">
        <is>
          <t>US dollars · held to the cent · shown as whole dollars  [derived by rule — confirm]</t>
        </is>
      </c>
      <c r="L16" s="3" t="inlineStr">
        <is>
          <t>Nothing before the start age for that birth year. A Roth 401(k) is exempt and says so.</t>
        </is>
      </c>
      <c r="M16" s="3" t="inlineStr">
        <is>
          <t>One figure per person — or per household when two people share one record  [derived by rule — confirm]</t>
        </is>
      </c>
      <c r="N16" s="3" t="inlineStr">
        <is>
          <t>This calendar year, to today  [derived by rule — confirm]</t>
        </is>
      </c>
      <c r="O16" s="3" t="inlineStr">
        <is>
          <t>No function on record — nothing to chain</t>
        </is>
      </c>
      <c r="P16" s="3" t="inlineStr">
        <is>
          <t>No function on record — nothing to chain</t>
        </is>
      </c>
      <c r="Q16" s="3" t="inlineStr">
        <is>
          <t>No function on record — assumptions unknown</t>
        </is>
      </c>
      <c r="R16" s="3" t="inlineStr"/>
      <c r="S16" s="3" t="inlineStr"/>
      <c r="T16" s="3" t="inlineStr">
        <is>
          <t>[Founder] One dated table. Start age is 73 for those born 1951–1959 and 75 for those born 1960 or later; a Roth 401(k) is exempt (fix B4).</t>
        </is>
      </c>
      <c r="U16" s="3" t="inlineStr"/>
      <c r="V16" s="3" t="inlineStr"/>
      <c r="W16" s="3" t="inlineStr"/>
      <c r="X16" s="3" t="inlineStr"/>
      <c r="Y16" s="3" t="inlineStr">
        <is>
          <t>NOT DETERMINED</t>
        </is>
      </c>
      <c r="Z16" s="3" t="inlineStr">
        <is>
          <t>VERIFIED 2026-08-22</t>
        </is>
      </c>
      <c r="AA16" s="3" t="inlineStr">
        <is>
          <t>1. A35 — The required-withdrawal divisor table lists ages 73-90, 92, 95 and 100 and interpolates the rest. Ages 93, 94, 97, 98 and 99 do not equal the published IRS Uniform Lifetime divisors. On a $500,000 pre-tax balance the required amount comes out short by $184 at 94, $811 at 97, $926 at 98 and $1,066 at 99. Taking less than the required amount is penalised by the IRS, so this errs in the direction that costs the person money.
2. A37 — The required withdrawal uses the Uniform Lifetime table for everybody. The Joint Life and Last Survivor table applies when the sole beneficiary is a spouse more than ten years younger, and gives a smaller required amount. Not named anywhere in the file.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6" s="3" t="inlineStr">
        <is>
          <t>B24 [NOT COMPARABLE] — This figure names no function, so its formula cannot be checked against anything. 69 of the 163 figures are in this position — the audit covers the 94 that name one.</t>
        </is>
      </c>
      <c r="AC16"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6" s="3" t="inlineStr"/>
      <c r="AE16" s="3" t="inlineStr">
        <is>
          <t>A35 — FIXED 2026-09-01
A37 — OPEN — DECLARED 2026-09-12
A41 — OPEN since 2026-08-26 — nothing has closed this. It is not known to be wrong; it is known to be unaddressed.
G8 — CLOSED 2026-09-08 for the first row (MK-PL-F-080); later rows are projections from today's balance and now say so here.</t>
        </is>
      </c>
      <c r="AF16" s="3" t="inlineStr">
        <is>
          <t>ACTIVE</t>
        </is>
      </c>
      <c r="AG16" s="3" t="inlineStr">
        <is>
          <t>2026-08-27</t>
        </is>
      </c>
      <c r="AH16" s="3" t="n"/>
      <c r="AI16" s="3" t="n"/>
      <c r="AJ16" s="3" t="inlineStr">
        <is>
          <t>No function on record — nothing to read from
[the code's record, this build — evidence for the ruling, not the row's statement: it cannot see inputs handed in as arguments, and it counts every branch below the producer]</t>
        </is>
      </c>
      <c r="AK16" s="3" t="inlineStr">
        <is>
          <t>(the claim now stands in 'Inputs it needs' until the row is approved)</t>
        </is>
      </c>
      <c r="AL16" s="3" t="n"/>
      <c r="AM16" s="3" t="n"/>
      <c r="AN16" s="3" t="n"/>
      <c r="AO16" s="6" t="inlineStr">
        <is>
          <t>TESTED, NOT VERIFIED (G8) · OPEN FINDING A37, A41</t>
        </is>
      </c>
    </row>
    <row r="17" ht="60" customHeight="1">
      <c r="A17" s="3" t="inlineStr">
        <is>
          <t>MK-PL-M-016</t>
        </is>
      </c>
      <c r="B17" s="3" t="inlineStr">
        <is>
          <t>Plan</t>
        </is>
      </c>
      <c r="C17" s="3" t="inlineStr">
        <is>
          <t>/required-withdrawals</t>
        </is>
      </c>
      <c r="D17" s="3" t="inlineStr">
        <is>
          <t>BASED ON THESE ACCOUNTS — each balance</t>
        </is>
      </c>
      <c r="E17" s="3" t="inlineStr">
        <is>
          <t>a.balance</t>
        </is>
      </c>
      <c r="F17" s="3" t="inlineStr">
        <is>
          <t>valueFreshness</t>
        </is>
      </c>
      <c r="G17" s="3" t="inlineStr"/>
      <c r="H17" s="3" t="inlineStr">
        <is>
          <t>value = the balance last recorded;  age = today − date it was recorded</t>
        </is>
      </c>
      <c r="I17" s="3" t="inlineStr">
        <is>
          <t>The balance as last recorded for the account (MK-XS-I-001) — or, for a live-priced account, today's price × the quantity held. The "as of" beside it is how old that balance is (MK-NW-F-003 valueFreshness: months between the date the value was set and today; six months or more → stale; nothing for a live-priced account).</t>
        </is>
      </c>
      <c r="J17" s="3" t="inlineStr">
        <is>
          <t>1. the account → a  [MK-XS-I-001]
2. when the value was set → value_as_of  [MK-XS-I-033]
3. today → now  [NOT AN INPUT — a setting or a filter, not data anyone supplies]</t>
        </is>
      </c>
      <c r="K17" s="3" t="inlineStr">
        <is>
          <t>A count · whole units, except crypto which keeps its fractions  [derived by rule — confirm]</t>
        </is>
      </c>
      <c r="L17" s="3" t="inlineStr">
        <is>
          <t>Always answers, but carries the age of the figure and warns once it is stale.</t>
        </is>
      </c>
      <c r="M17" s="3" t="inlineStr">
        <is>
          <t>One figure per account  [derived by rule — confirm]</t>
        </is>
      </c>
      <c r="N17" s="3" t="inlineStr">
        <is>
          <t>As of today, from the latest figures held  [derived by rule — confirm]</t>
        </is>
      </c>
      <c r="O17" s="3" t="inlineStr">
        <is>
          <t>No function on record — nothing to chain</t>
        </is>
      </c>
      <c r="P17" s="3" t="inlineStr">
        <is>
          <t>No dependent function — it reads its inputs and answers</t>
        </is>
      </c>
      <c r="Q17" s="3" t="inlineStr">
        <is>
          <t>1. MK-NW-F-003 — Turns a monthly figure into a year by multiplying by twelve.
2. MK-NW-F-003 — Uses today's date from the device clock, so the answer changes by itself overnight.</t>
        </is>
      </c>
      <c r="R17" s="3" t="inlineStr">
        <is>
          <t>DECIDES whether a stated value is fresh enough to show without a warning.</t>
        </is>
      </c>
      <c r="S17" s="3" t="inlineStr"/>
      <c r="T17" s="3" t="inlineStr">
        <is>
          <t>NOT DETERMINED — no assumption recorded for this figure yet.</t>
        </is>
      </c>
      <c r="U17" s="3" t="inlineStr">
        <is>
          <t>THE SAME FIGURE AS MK-NW-M-018 — An account's value. The balance listed under required withdrawals is the same figure as Market value on account detail.</t>
        </is>
      </c>
      <c r="V17" s="9" t="inlineStr">
        <is>
          <t>Q23 — Same question for a value you typed by hand: after how long should the app ask you to check it?</t>
        </is>
      </c>
      <c r="W17" s="9" t="inlineStr"/>
      <c r="X17" s="3" t="inlineStr"/>
      <c r="Y17" s="3" t="inlineStr">
        <is>
          <t>NOT DETERMINED</t>
        </is>
      </c>
      <c r="Z17" s="3" t="inlineStr">
        <is>
          <t>VERIFIED 2026-08-22</t>
        </is>
      </c>
      <c r="AA17"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7" s="3" t="inlineStr">
        <is>
          <t>1. B14 [MISNAMED] — The figure is "the balance last recorded". The function it names, MK-NW-F-003 valueFreshness, answers HOW OLD that balance is — and answers nothing at all for a live-priced account. It does not produce the value. The age half of the formula matches; the value half has no function behind it.</t>
        </is>
      </c>
      <c r="AC17" s="3" t="inlineStr">
        <is>
          <t>HAS A FUNCTION — traceable from the screen to the code.</t>
        </is>
      </c>
      <c r="AD17" s="3" t="inlineStr"/>
      <c r="AE17" s="3" t="inlineStr">
        <is>
          <t>B14 — FIXED 2026-09-12</t>
        </is>
      </c>
      <c r="AF17" s="3" t="inlineStr">
        <is>
          <t>SUPERSEDED BY MK-NW-M-018 — the same figure under another identifier. This number is retired and is never handed to anything else.</t>
        </is>
      </c>
      <c r="AG17" s="3" t="inlineStr">
        <is>
          <t>2026-08-27</t>
        </is>
      </c>
      <c r="AH17" s="3" t="n"/>
      <c r="AI17" s="3" t="n"/>
      <c r="AJ17" s="3" t="inlineStr">
        <is>
          <t>No function on record — nothing to read from
[the code's record, this build — evidence for the ruling, not the row's statement: it cannot see inputs handed in as arguments, and it counts every branch below the producer]</t>
        </is>
      </c>
      <c r="AK17" s="3" t="inlineStr">
        <is>
          <t>(the claim now stands in 'Inputs it needs' until the row is approved)</t>
        </is>
      </c>
      <c r="AL17" s="3" t="n"/>
      <c r="AM17" s="3" t="n"/>
      <c r="AN17" s="3" t="n"/>
      <c r="AO17" s="9" t="inlineStr">
        <is>
          <t>WAITING ON YOU — question Q23 · CODED, NOT TESTED (finding B14 names no test)</t>
        </is>
      </c>
    </row>
    <row r="18" ht="60" customHeight="1">
      <c r="A18" s="3" t="inlineStr">
        <is>
          <t>MK-PL-M-017</t>
        </is>
      </c>
      <c r="B18" s="3" t="inlineStr">
        <is>
          <t>Plan</t>
        </is>
      </c>
      <c r="C18" s="3" t="inlineStr">
        <is>
          <t>/ss-timing</t>
        </is>
      </c>
      <c r="D18" s="3" t="inlineStr">
        <is>
          <t>Monthly check (today's dollars)</t>
        </is>
      </c>
      <c r="E18" s="3" t="inlineStr">
        <is>
          <t>A.guaranteedMonthly</t>
        </is>
      </c>
      <c r="F18" s="3" t="inlineStr">
        <is>
          <t>ssBenefitAt</t>
        </is>
      </c>
      <c r="G18" s="3" t="inlineStr">
        <is>
          <t>MK-PL-F-060</t>
        </is>
      </c>
      <c r="H18" s="3" t="inlineStr">
        <is>
          <t>benefit at claim age = the statement amount at full retirement age × the claim factor for that age</t>
        </is>
      </c>
      <c r="I18" s="3" t="inlineStr">
        <is>
          <t>Statement monthly amount × the claim factor for (claim age, birth year), rounded to whole dollars.</t>
        </is>
      </c>
      <c r="J18" s="3" t="inlineStr">
        <is>
          <t>1. statement amount at their full retirement age (typed from their ssa.gov statement) → statement monthly  [MK-XS-I-020]
2. claim age (the slider) → the factor's input  [MK-XS-I-021]
3. birth year (setup) → the anchor  [MK-XS-I-017]</t>
        </is>
      </c>
      <c r="K18" s="3" t="inlineStr">
        <is>
          <t>US dollars · held to the cent · shown as whole dollars  [derived by rule — confirm]</t>
        </is>
      </c>
      <c r="L18" s="3" t="inlineStr">
        <is>
          <t>Without a statement amount a worked example is shown, labelled as an example throughout.</t>
        </is>
      </c>
      <c r="M18" s="3" t="inlineStr">
        <is>
          <t>One figure per month  [derived by rule — confirm]</t>
        </is>
      </c>
      <c r="N18" s="3" t="inlineStr">
        <is>
          <t>As of today, from the latest figures held  [derived by rule — confirm]</t>
        </is>
      </c>
      <c r="O18" s="3" t="inlineStr">
        <is>
          <t>MK-PL-F-058 (ssClaimFactorFor) → number</t>
        </is>
      </c>
      <c r="P18" s="3" t="inlineStr">
        <is>
          <t>MK-PL-F-057 fullRetirementAge → MK-PL-F-058 ssClaimFactorFor → MK-PL-F-060 ssBenefitAt</t>
        </is>
      </c>
      <c r="Q18" s="3" t="inlineStr">
        <is>
          <t>1. MK-PL-F-060 — If statement monthly is missing it counts as zero, so nothing recorded and a real zero look the same.
2. MK-PL-F-058 — Turns a monthly figure into a year by multiplying by twelve.
3. MK-PL-F-058 — Caps early at 36.
4. MK-PL-F-058 — Rounds the answer to a whole number.</t>
        </is>
      </c>
      <c r="R18" s="3" t="inlineStr"/>
      <c r="S18" s="3" t="inlineStr"/>
      <c r="T18" s="3" t="inlineStr">
        <is>
          <t>[Founder] The amount a person types from their statement is the amount at THEIR full retirement age, not at 62 and not at 70 (fix B2). The full-retirement age itself comes from a birth-year table, to the month.
[The person] The claim age they set, and the statement amount they typed.
[The person] The retirement age in their plan.</t>
        </is>
      </c>
      <c r="U18" s="3" t="inlineStr"/>
      <c r="V18" s="3" t="inlineStr"/>
      <c r="W18" s="3" t="inlineStr"/>
      <c r="X18" s="3" t="inlineStr"/>
      <c r="Y18" s="3" t="inlineStr">
        <is>
          <t>NOT DETERMINED</t>
        </is>
      </c>
      <c r="Z18" s="3" t="inlineStr">
        <is>
          <t>VERIFIED 2026-08-22</t>
        </is>
      </c>
      <c r="AA18" s="3" t="inlineStr">
        <is>
          <t>1. A38 — Social Security claim factor: this file's rule is stated per month. The code rounds the claim age to a whole year before counting months, so claiming at 62 and six months is priced as 63 — 3.3% of the benefit, about $83 a month for life on a $2,500 benefit. The code's own note above the function says "month-precise".
2. A39 — Full retirement age: the code returns 66 for every birth year at or below 1954. The published ages are 65 for 1937 and earlier and 65 plus two to ten months for 1938-1942. Outside the 55-70 group, but it is a silent wrong answer rather than a refusal.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8" s="3" t="inlineStr">
        <is>
          <t>AGREES — the figure's arithmetic and the arithmetic of the function it names say the same thing. Checked 2026-08-26.</t>
        </is>
      </c>
      <c r="AC18" s="3" t="inlineStr">
        <is>
          <t>HAS A FUNCTION — traceable from the screen to the code.</t>
        </is>
      </c>
      <c r="AD18" s="3" t="inlineStr"/>
      <c r="AE18" s="3" t="inlineStr">
        <is>
          <t>A38 — FIXED 2026-09-12
A39 — FIXED 2026-09-12
A41 — OPEN since 2026-08-26 — nothing has closed this. It is not known to be wrong; it is known to be unaddressed.
G25 — CLOSED 2026-09-08: the inputs column cited MK-XS-I-008 (a transaction amount) and MK-XS-I-018 (retirement age) for the statement figure; it now cites MK-XS-I-020 alone, with the claim age as MK-XS-I-021. File only; no code change.</t>
        </is>
      </c>
      <c r="AF18" s="3" t="inlineStr">
        <is>
          <t>ACTIVE</t>
        </is>
      </c>
      <c r="AG18" s="3" t="inlineStr">
        <is>
          <t>2026-09-30</t>
        </is>
      </c>
      <c r="AH18" s="3" t="n"/>
      <c r="AI18" s="3" t="n"/>
      <c r="AJ18" s="3" t="inlineStr">
        <is>
          <t>1. MK-XS-I-017 birth year — read by MK-PL-F-057, MK-PL-F-058, MK-PL-F-060
2. MK-XS-I-020 Social Security monthly amount — read by MK-PL-F-060
3. MK-XS-I-021 Social Security claim age — read by MK-PL-F-058, MK-PL-F-060
[the code's record, this build — evidence for the ruling, not the row's statement: it cannot see inputs handed in as arguments, and it counts every branch below the producer]</t>
        </is>
      </c>
      <c r="AK18" s="3" t="inlineStr">
        <is>
          <t>(the claim now stands in 'Inputs it needs' until the row is approved)</t>
        </is>
      </c>
      <c r="AL18" s="3" t="n"/>
      <c r="AM18" s="3" t="n"/>
      <c r="AN18" s="3" t="n"/>
      <c r="AO18" s="6" t="inlineStr">
        <is>
          <t>TESTED, NOT VERIFIED (G25) · OPEN FINDING A41</t>
        </is>
      </c>
    </row>
    <row r="19" ht="60" customHeight="1">
      <c r="A19" s="3" t="inlineStr">
        <is>
          <t>MK-PL-M-018</t>
        </is>
      </c>
      <c r="B19" s="3" t="inlineStr">
        <is>
          <t>Plan</t>
        </is>
      </c>
      <c r="C19" s="3" t="inlineStr">
        <is>
          <t>/ss-timing</t>
        </is>
      </c>
      <c r="D19" s="3" t="inlineStr">
        <is>
          <t>You receive $X/mo ✓</t>
        </is>
      </c>
      <c r="E19" s="3" t="inlineStr">
        <is>
          <t>op.ri_ss</t>
        </is>
      </c>
      <c r="F19" s="3" t="inlineStr">
        <is>
          <t>currentRetirementIncomeMonthly</t>
        </is>
      </c>
      <c r="G19" s="3" t="inlineStr">
        <is>
          <t>MK-CF-F-072</t>
        </is>
      </c>
      <c r="H19" s="3" t="inlineStr">
        <is>
          <t>guaranteed income now = Σ(streams already being received)</t>
        </is>
      </c>
      <c r="I19" s="3" t="inlineStr">
        <is>
          <t>Zero unless the person said retirement income is one of their current sources; otherwise the same total as above.
The distinction stops a future pension being counted as money arriving now — which would overstate today's income and flatter every current figure built on it.</t>
        </is>
      </c>
      <c r="J19" s="3" t="inlineStr">
        <is>
          <t>1. do they receive it now → incomeSources  [MK-XS-I-040]
2. the amounts → retirementIncomeMonthly  [MK-XS-I-008]</t>
        </is>
      </c>
      <c r="K19" s="3" t="inlineStr">
        <is>
          <t>US dollars · held to the cent · shown as whole dollars  [derived by rule — confirm]</t>
        </is>
      </c>
      <c r="L19" s="3" t="inlineStr">
        <is>
          <t>Adds up to $0 when there is nothing to add. Zero and "nothing recorded yet" look identical on screen — worth a decision.</t>
        </is>
      </c>
      <c r="M19" s="3" t="inlineStr">
        <is>
          <t>One figure per person — or per household when two people share one record  [derived by rule — confirm]</t>
        </is>
      </c>
      <c r="N19" s="3" t="inlineStr">
        <is>
          <t>As of today, from the latest figures held  [derived by rule — confirm]</t>
        </is>
      </c>
      <c r="O19" s="3" t="inlineStr">
        <is>
          <t>MK-CF-F-075 (retirementIncomeMonthly) → number</t>
        </is>
      </c>
      <c r="P19" s="3" t="inlineStr">
        <is>
          <t>MK-XS-F-122 n → MK-ST-F-052 toNum → MK-CF-F-075 retirementIncomeMonthly → MK-CF-F-072 currentRetirementIncomeMonthly</t>
        </is>
      </c>
      <c r="Q19" s="3" t="inlineStr">
        <is>
          <t>None found anywhere in this chain</t>
        </is>
      </c>
      <c r="R19" s="3" t="inlineStr"/>
      <c r="S19" s="3" t="inlineStr"/>
      <c r="T19" s="3" t="inlineStr">
        <is>
          <t>NOT DETERMINED — no assumption recorded for this figure yet.</t>
        </is>
      </c>
      <c r="U19" s="3" t="inlineStr">
        <is>
          <t>THE SAME FIGURE AS MK-CF-M-011 — Guaranteed income being received now. Shown four ways: "You receive $X/mo" on Social Security timing, "incl. Social Security $X/mo" on the cockpit, as a source on Cash flow, and as a list on Monthly income. One figure, four identifiers.</t>
        </is>
      </c>
      <c r="V19" s="3" t="inlineStr"/>
      <c r="W19" s="3" t="inlineStr"/>
      <c r="X19" s="3" t="inlineStr"/>
      <c r="Y19" s="3" t="inlineStr">
        <is>
          <t>NOT DETERMINED</t>
        </is>
      </c>
      <c r="Z19" s="3" t="inlineStr">
        <is>
          <t>VERIFIED 2026-08-22</t>
        </is>
      </c>
      <c r="AA19"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9" s="3" t="inlineStr">
        <is>
          <t>AGREES — the figure's arithmetic and the arithmetic of the function it names say the same thing. Checked 2026-08-26.</t>
        </is>
      </c>
      <c r="AC19" s="3" t="inlineStr">
        <is>
          <t>HAS A FUNCTION — traceable from the screen to the code.</t>
        </is>
      </c>
      <c r="AD19" s="3" t="inlineStr"/>
      <c r="AE19" s="3" t="inlineStr">
        <is>
          <t>No finding on this row. That is not a statement that the row is right — only that nothing has been written against it.</t>
        </is>
      </c>
      <c r="AF19" s="3" t="inlineStr">
        <is>
          <t>SUPERSEDED BY MK-CF-M-011 — the same figure under another identifier. This number is retired and is never handed to anything else.</t>
        </is>
      </c>
      <c r="AG19" s="3" t="inlineStr">
        <is>
          <t>2026-09-30</t>
        </is>
      </c>
      <c r="AH19" s="3" t="n"/>
      <c r="AI19" s="3" t="n"/>
      <c r="AJ19" s="3" t="inlineStr">
        <is>
          <t>1. MK-XS-I-020 Social Security monthly amount — read by MK-CF-F-072, MK-CF-F-075
2. MK-XS-I-022 pension monthly amount — read by MK-CF-F-072, MK-CF-F-075
3. MK-XS-I-035 annuity income — read by MK-CF-F-072, MK-CF-F-075
4. MK-XS-I-036 other guaranteed income — read by MK-CF-F-072, MK-CF-F-075
5. MK-XS-I-037 required-withdrawal income stream (ri_rmd) — read by MK-CF-F-075
6. MK-XS-I-038 withdrawal income stream (ri_withdrawals) — read by MK-CF-F-075
7. MK-XS-I-039 how often each income arrives — read by MK-CF-F-072, MK-CF-F-075
8. MK-XS-I-040 whether a stream is already being received — read by MK-CF-F-072
9. MK-XS-I-055 the wrapper an account sits in — ISA, 401(k), IRA and the rest — read by MK-CF-F-075
[the code's record, this build — evidence for the ruling, not the row's statement: it cannot see inputs handed in as arguments, and it counts every branch below the producer]</t>
        </is>
      </c>
      <c r="AK19" s="3" t="inlineStr">
        <is>
          <t>(the claim now stands in 'Inputs it needs' until the row is approved)</t>
        </is>
      </c>
      <c r="AL19" s="3" t="n"/>
      <c r="AM19" s="3" t="n"/>
      <c r="AN19" s="3" t="n"/>
      <c r="AO19" s="7" t="inlineStr">
        <is>
          <t>RULED, NOT CODED (Q-PL-2 — one question, one function)</t>
        </is>
      </c>
    </row>
    <row r="20" ht="60" customHeight="1">
      <c r="A20" s="3" t="inlineStr">
        <is>
          <t>MK-PL-M-019</t>
        </is>
      </c>
      <c r="B20" s="3" t="inlineStr">
        <is>
          <t>Plan</t>
        </is>
      </c>
      <c r="C20" s="3" t="inlineStr">
        <is>
          <t>/ss-timing</t>
        </is>
      </c>
      <c r="D20" s="3" t="inlineStr">
        <is>
          <t>Claiming at N pays $X a month</t>
        </is>
      </c>
      <c r="E20" s="3" t="inlineStr">
        <is>
          <t>r.monthly</t>
        </is>
      </c>
      <c r="F20" s="3" t="inlineStr">
        <is>
          <t>1. ssClaimFactorFor
2. ssBenefitAt</t>
        </is>
      </c>
      <c r="G20" s="3" t="inlineStr">
        <is>
          <t>1. MK-PL-F-058
2. MK-PL-F-060</t>
        </is>
      </c>
      <c r="H20" s="3" t="inlineStr">
        <is>
          <t>factor = 1 − 5/9% per month for the first 36 months early, − 5/12% per month beyond that; + 2/3% per month for each month claimed late up to 70</t>
        </is>
      </c>
      <c r="I20" s="3" t="inlineStr">
        <is>
          <t>Months between the claim age and the full retirement age. Early: minus 5/9 of 1% per month for the first 36 months, minus 5/12 of 1% per month beyond. Late: plus 2/3 of 1% per month (8% a year) to 70. At the full retirement age exactly: 100%. · Statement monthly amount × the claim factor for (claim age, birth year), rounded to whole dollars.</t>
        </is>
      </c>
      <c r="J20" s="3" t="inlineStr">
        <is>
          <t>1. claim age (the slider, 62–70) → months early or late vs their full retirement age  [MK-XS-I-021]
2. birth year (their setup answer) → the full retirement age it anchors to  [MK-XS-I-017]
3. statement amount at their full retirement age (typed from their ssa.gov statement) → statement monthly  [MK-XS-I-020]</t>
        </is>
      </c>
      <c r="K20" s="3" t="inlineStr">
        <is>
          <t>US dollars · held to the cent · shown as whole dollars  [derived by rule — confirm]</t>
        </is>
      </c>
      <c r="L20" s="3" t="inlineStr">
        <is>
          <t>Without a statement amount a worked example is shown, labelled as an example throughout.</t>
        </is>
      </c>
      <c r="M20" s="3" t="inlineStr">
        <is>
          <t>One figure per month  [derived by rule — confirm]</t>
        </is>
      </c>
      <c r="N20" s="3" t="inlineStr">
        <is>
          <t>As of today, from the latest figures held  [derived by rule — confirm]</t>
        </is>
      </c>
      <c r="O20" s="3" t="inlineStr">
        <is>
          <t>1. MK-PL-F-057 (fullRetirementAge) → number
2. MK-PL-F-058 (ssClaimFactorFor) → number</t>
        </is>
      </c>
      <c r="P20" s="3" t="inlineStr">
        <is>
          <t>1. MK-PL-F-057 fullRetirementAge → MK-PL-F-058 ssClaimFactorFor
2. MK-PL-F-057 fullRetirementAge → MK-PL-F-058 ssClaimFactorFor → MK-PL-F-060 ssBenefitAt</t>
        </is>
      </c>
      <c r="Q20" s="3" t="inlineStr">
        <is>
          <t>1. MK-PL-F-058 — Turns a monthly figure into a year by multiplying by twelve.
2. MK-PL-F-058 — Caps early at 36.
3. MK-PL-F-058 — Rounds the answer to a whole number.
4. MK-PL-F-060 — If statement monthly is missing it counts as zero, so nothing recorded and a real zero look the same.</t>
        </is>
      </c>
      <c r="R20" s="3" t="inlineStr"/>
      <c r="S20" s="3" t="inlineStr"/>
      <c r="T20" s="3" t="inlineStr">
        <is>
          <t>[Founder] The amount a person types from their statement is the amount at THEIR full retirement age, not at 62 and not at 70 (fix B2). The full-retirement age itself comes from a birth-year table, to the month.
[The person] The claim age they set, and the statement amount they typed.</t>
        </is>
      </c>
      <c r="U20" s="3" t="inlineStr"/>
      <c r="V20" s="3" t="inlineStr"/>
      <c r="W20" s="3" t="inlineStr"/>
      <c r="X20" s="3" t="inlineStr"/>
      <c r="Y20" s="3" t="inlineStr">
        <is>
          <t>NOT DETERMINED</t>
        </is>
      </c>
      <c r="Z20" s="3" t="inlineStr">
        <is>
          <t>VERIFIED 2026-08-22</t>
        </is>
      </c>
      <c r="AA20" s="3" t="inlineStr">
        <is>
          <t>1. A38 — Social Security claim factor: this file's rule is stated per month. The code rounds the claim age to a whole year before counting months, so claiming at 62 and six months is priced as 63 — 3.3% of the benefit, about $83 a month for life on a $2,500 benefit. The code's own note above the function says "month-precise".
2. A39 — Full retirement age: the code returns 66 for every birth year at or below 1954. The published ages are 65 for 1937 and earlier and 65 plus two to ten months for 1938-1942. Outside the 55-70 group, but it is a silent wrong answer rather than a refusal.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0" s="3" t="inlineStr">
        <is>
          <t>AGREES — the figure's arithmetic and the arithmetic of the function it names say the same thing. Checked 2026-08-26.</t>
        </is>
      </c>
      <c r="AC20" s="3" t="inlineStr">
        <is>
          <t>HAS A FUNCTION — traceable from the screen to the code.</t>
        </is>
      </c>
      <c r="AD20" s="3" t="inlineStr"/>
      <c r="AE20" s="3" t="inlineStr">
        <is>
          <t>A38 — FIXED 2026-09-12
A39 — FIXED 2026-09-12
A41 — OPEN since 2026-08-26 — nothing has closed this. It is not known to be wrong; it is known to be unaddressed.
G25 — CLOSED 2026-09-08: the inputs column cited MK-XS-I-008 (a transaction amount) and MK-XS-I-018 (retirement age) for the statement figure; it now cites MK-XS-I-020 alone, with the claim age as MK-XS-I-021. File only; no code change.</t>
        </is>
      </c>
      <c r="AF20" s="3" t="inlineStr">
        <is>
          <t>ACTIVE</t>
        </is>
      </c>
      <c r="AG20" s="3" t="inlineStr">
        <is>
          <t>2026-09-30</t>
        </is>
      </c>
      <c r="AH20" s="3" t="n"/>
      <c r="AI20" s="3" t="n"/>
      <c r="AJ20" s="3" t="inlineStr">
        <is>
          <t>1. MK-XS-I-017 birth year — read by MK-PL-F-057, MK-PL-F-058, MK-PL-F-060
2. MK-XS-I-020 Social Security monthly amount — read by MK-PL-F-060
3. MK-XS-I-021 Social Security claim age — read by MK-PL-F-058, MK-PL-F-060
[the code's record, this build — evidence for the ruling, not the row's statement: it cannot see inputs handed in as arguments, and it counts every branch below the producer]</t>
        </is>
      </c>
      <c r="AK20" s="3" t="inlineStr">
        <is>
          <t>(the claim now stands in 'Inputs it needs' until the row is approved)</t>
        </is>
      </c>
      <c r="AL20" s="3" t="n"/>
      <c r="AM20" s="3" t="n"/>
      <c r="AN20" s="3" t="n"/>
      <c r="AO20" s="6" t="inlineStr">
        <is>
          <t>TESTED, NOT VERIFIED (G25) · OPEN FINDING A41</t>
        </is>
      </c>
    </row>
    <row r="21" ht="60" customHeight="1">
      <c r="A21" s="3" t="inlineStr">
        <is>
          <t>MK-PL-M-020</t>
        </is>
      </c>
      <c r="B21" s="3" t="inlineStr">
        <is>
          <t>Plan</t>
        </is>
      </c>
      <c r="C21" s="3" t="inlineStr">
        <is>
          <t>/ss-timing</t>
        </is>
      </c>
      <c r="D21" s="3" t="inlineStr">
        <is>
          <t>about $X in total by age N</t>
        </is>
      </c>
      <c r="E21" s="3" t="inlineStr">
        <is>
          <t>r.lifetime</t>
        </is>
      </c>
      <c r="F21" s="3" t="inlineStr">
        <is>
          <t>NOT ON RECORD — no function is recorded for this figure</t>
        </is>
      </c>
      <c r="G21" s="3" t="inlineStr"/>
      <c r="H21" s="3" t="inlineStr">
        <is>
          <t>lifetime total = monthly benefit × 12 × (life expectancy − claim age)</t>
        </is>
      </c>
      <c r="I21" s="3" t="inlineStr">
        <is>
          <t>The monthly Social Security check multiplied out to a life expectancy, so claiming early and claiming late can be compared in total dollars.</t>
        </is>
      </c>
      <c r="J21" s="3" t="inlineStr">
        <is>
          <t>NOT DETERMINED — no input list on record for this function</t>
        </is>
      </c>
      <c r="K21" s="3" t="inlineStr">
        <is>
          <t>Age in whole years  [derived by rule — confirm]</t>
        </is>
      </c>
      <c r="L21" s="3" t="inlineStr">
        <is>
          <t>NOT DETERMINED — this function has not been read for its refusal yet.</t>
        </is>
      </c>
      <c r="M21" s="3" t="inlineStr">
        <is>
          <t>One figure per person — or per household when two people share one record  [derived by rule — confirm]</t>
        </is>
      </c>
      <c r="N21" s="3" t="inlineStr">
        <is>
          <t>As of today, from the latest figures held  [derived by rule — confirm]</t>
        </is>
      </c>
      <c r="O21" s="3" t="inlineStr">
        <is>
          <t>No function on record — nothing to chain</t>
        </is>
      </c>
      <c r="P21" s="3" t="inlineStr">
        <is>
          <t>No function on record — nothing to chain</t>
        </is>
      </c>
      <c r="Q21" s="3" t="inlineStr">
        <is>
          <t>No function on record — assumptions unknown</t>
        </is>
      </c>
      <c r="R21" s="3" t="inlineStr"/>
      <c r="S21" s="3" t="inlineStr"/>
      <c r="T21" s="3" t="inlineStr">
        <is>
          <t>[Built in] A life-expectancy figure the person never chose.
[The person] The claim age they set, and the statement amount they typed.</t>
        </is>
      </c>
      <c r="U21" s="3" t="inlineStr"/>
      <c r="V21" s="3" t="inlineStr"/>
      <c r="W21" s="3" t="inlineStr"/>
      <c r="X21" s="3" t="inlineStr"/>
      <c r="Y21" s="3" t="inlineStr">
        <is>
          <t>NOT DETERMINED</t>
        </is>
      </c>
      <c r="Z21" s="3" t="inlineStr">
        <is>
          <t>VERIFIED 2026-08-22</t>
        </is>
      </c>
      <c r="AA21" s="3" t="inlineStr">
        <is>
          <t>1. A40 — Lifetime Social Security = monthly x 12 x (life expectancy - claim age): no inflation and no discounting, while the retirement paycheck on another screen grows Social Security with inflation. Two assumptions about one stream, and this is the figure people use to choose a claim age.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1" s="3" t="inlineStr">
        <is>
          <t>B24 [NOT COMPARABLE] — This figure names no function, so its formula cannot be checked against anything. 69 of the 163 figures are in this position — the audit covers the 94 that name one.</t>
        </is>
      </c>
      <c r="AC21"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21" s="3" t="inlineStr"/>
      <c r="AE21" s="3" t="inlineStr">
        <is>
          <t>A40 — OPEN — DECLARED 2026-09-12
A41 — OPEN since 2026-08-26 — nothing has closed this. It is not known to be wrong; it is known to be unaddressed.</t>
        </is>
      </c>
      <c r="AF21" s="3" t="inlineStr">
        <is>
          <t>ACTIVE</t>
        </is>
      </c>
      <c r="AG21" s="3" t="inlineStr">
        <is>
          <t>2026-08-27</t>
        </is>
      </c>
      <c r="AH21" s="3" t="n"/>
      <c r="AI21" s="3" t="n"/>
      <c r="AJ21" s="3" t="inlineStr">
        <is>
          <t>No function on record — nothing to read from
[the code's record, this build — evidence for the ruling, not the row's statement: it cannot see inputs handed in as arguments, and it counts every branch below the producer]</t>
        </is>
      </c>
      <c r="AK21" s="3" t="inlineStr">
        <is>
          <t>(the claim now stands in 'Inputs it needs' until the row is approved)</t>
        </is>
      </c>
      <c r="AL21" s="3" t="n"/>
      <c r="AM21" s="3" t="n"/>
      <c r="AN21" s="3" t="n"/>
      <c r="AO21" s="7" t="inlineStr">
        <is>
          <t>OPEN FINDING A40, A41</t>
        </is>
      </c>
    </row>
    <row r="22" ht="60" customHeight="1">
      <c r="A22" s="3" t="inlineStr">
        <is>
          <t>MK-PL-M-021</t>
        </is>
      </c>
      <c r="B22" s="3" t="inlineStr">
        <is>
          <t>Plan</t>
        </is>
      </c>
      <c r="C22" s="3" t="inlineStr">
        <is>
          <t>/ss-timing</t>
        </is>
      </c>
      <c r="D22" s="3" t="inlineStr">
        <is>
          <t>Showing example numbers (a $X/mo statement)</t>
        </is>
      </c>
      <c r="E22" s="3" t="inlineStr">
        <is>
          <t>exampleStmt</t>
        </is>
      </c>
      <c r="F22" s="3" t="inlineStr">
        <is>
          <t>NOT ON RECORD — no function is recorded for this figure</t>
        </is>
      </c>
      <c r="G22" s="3" t="inlineStr"/>
      <c r="H22" s="3" t="inlineStr">
        <is>
          <t>a stated example amount, shown labelled as an example</t>
        </is>
      </c>
      <c r="I22" s="3" t="inlineStr">
        <is>
          <t>A worked example shown in place of a real Social Security statement, always labelled as such.</t>
        </is>
      </c>
      <c r="J22" s="3" t="inlineStr">
        <is>
          <t>NOT DETERMINED — no input list on record for this function</t>
        </is>
      </c>
      <c r="K22" s="3" t="inlineStr">
        <is>
          <t>US dollars · held to the cent · shown as whole dollars  [derived by rule — confirm]</t>
        </is>
      </c>
      <c r="L22" s="3" t="inlineStr">
        <is>
          <t>NOT DETERMINED — this function has not been read for its refusal yet.</t>
        </is>
      </c>
      <c r="M22" s="3" t="inlineStr">
        <is>
          <t>One figure per person — or per household when two people share one record  [derived by rule — confirm]</t>
        </is>
      </c>
      <c r="N22" s="3" t="inlineStr">
        <is>
          <t>As of today, from the latest figures held  [derived by rule — confirm]</t>
        </is>
      </c>
      <c r="O22" s="3" t="inlineStr">
        <is>
          <t>No function on record — nothing to chain</t>
        </is>
      </c>
      <c r="P22" s="3" t="inlineStr">
        <is>
          <t>No function on record — nothing to chain</t>
        </is>
      </c>
      <c r="Q22" s="3" t="inlineStr">
        <is>
          <t>No function on record — assumptions unknown</t>
        </is>
      </c>
      <c r="R22" s="3" t="inlineStr"/>
      <c r="S22" s="3" t="inlineStr"/>
      <c r="T22" s="3" t="inlineStr">
        <is>
          <t>NOT DETERMINED — no assumption recorded for this figure yet.</t>
        </is>
      </c>
      <c r="U22" s="3" t="inlineStr"/>
      <c r="V22" s="3" t="inlineStr"/>
      <c r="W22" s="3" t="inlineStr"/>
      <c r="X22" s="3" t="inlineStr"/>
      <c r="Y22" s="3" t="inlineStr">
        <is>
          <t>NOT DETERMINED</t>
        </is>
      </c>
      <c r="Z22" s="3" t="inlineStr">
        <is>
          <t>VERIFIED 2026-08-22</t>
        </is>
      </c>
      <c r="AA2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2" s="3" t="inlineStr">
        <is>
          <t>B24 [NOT COMPARABLE] — This figure names no function, so its formula cannot be checked against anything. 69 of the 163 figures are in this position — the audit covers the 94 that name one.</t>
        </is>
      </c>
      <c r="AC22"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22" s="3" t="inlineStr"/>
      <c r="AE22" s="3" t="inlineStr">
        <is>
          <t>No finding on this row. That is not a statement that the row is right — only that nothing has been written against it.</t>
        </is>
      </c>
      <c r="AF22" s="3" t="inlineStr">
        <is>
          <t>ACTIVE</t>
        </is>
      </c>
      <c r="AG22" s="3" t="inlineStr">
        <is>
          <t>2026-08-27</t>
        </is>
      </c>
      <c r="AH22" s="3" t="n"/>
      <c r="AI22" s="3" t="n"/>
      <c r="AJ22" s="3" t="inlineStr">
        <is>
          <t>No function on record — nothing to read from
[the code's record, this build — evidence for the ruling, not the row's statement: it cannot see inputs handed in as arguments, and it counts every branch below the producer]</t>
        </is>
      </c>
      <c r="AK22" s="3" t="inlineStr">
        <is>
          <t>(the claim now stands in 'Inputs it needs' until the row is approved)</t>
        </is>
      </c>
      <c r="AL22" s="3" t="n"/>
      <c r="AM22" s="3" t="n"/>
      <c r="AN22" s="3" t="n"/>
      <c r="AO22" s="3" t="inlineStr">
        <is>
          <t>NOTHING OPEN</t>
        </is>
      </c>
    </row>
    <row r="23" ht="60" customHeight="1">
      <c r="A23" s="3" t="inlineStr">
        <is>
          <t>MK-PL-M-022</t>
        </is>
      </c>
      <c r="B23" s="3" t="inlineStr">
        <is>
          <t>Plan</t>
        </is>
      </c>
      <c r="C23" s="3" t="inlineStr">
        <is>
          <t>/roth</t>
        </is>
      </c>
      <c r="D23" s="3" t="inlineStr">
        <is>
          <t>Convert to Roth this year (&lt;year&gt;)</t>
        </is>
      </c>
      <c r="E23" s="3" t="inlineStr">
        <is>
          <t>A.rothConversionThisYear</t>
        </is>
      </c>
      <c r="F23" s="3" t="inlineStr">
        <is>
          <t>Typed by the person — no function behind it</t>
        </is>
      </c>
      <c r="G23" s="3" t="inlineStr"/>
      <c r="H23" s="3" t="inlineStr">
        <is>
          <t>the value typed by the person</t>
        </is>
      </c>
      <c r="I23" s="3" t="inlineStr">
        <is>
          <t>A number the person entered; no calculation.</t>
        </is>
      </c>
      <c r="J23" s="3" t="inlineStr">
        <is>
          <t>NOT DETERMINED — no input list on record for this function</t>
        </is>
      </c>
      <c r="K23" s="3" t="inlineStr">
        <is>
          <t>US dollars · held to the cent · shown as whole dollars  [derived by rule — confirm]</t>
        </is>
      </c>
      <c r="L23" s="3" t="inlineStr">
        <is>
          <t>Nothing to compute — the person either entered it or has not, and the screen shows it only when they have.</t>
        </is>
      </c>
      <c r="M23" s="3" t="inlineStr">
        <is>
          <t>One figure per person — or per household when two people share one record  [derived by rule — confirm]</t>
        </is>
      </c>
      <c r="N23" s="3" t="inlineStr">
        <is>
          <t>This calendar year, to today  [derived by rule — confirm]</t>
        </is>
      </c>
      <c r="O23" s="3" t="inlineStr">
        <is>
          <t>No function on record — nothing to chain</t>
        </is>
      </c>
      <c r="P23" s="3" t="inlineStr">
        <is>
          <t>No function on record — nothing to chain</t>
        </is>
      </c>
      <c r="Q23" s="3" t="inlineStr">
        <is>
          <t>No function on record — assumptions unknown</t>
        </is>
      </c>
      <c r="R23" s="3" t="inlineStr"/>
      <c r="S23" s="3" t="inlineStr"/>
      <c r="T23" s="3" t="inlineStr">
        <is>
          <t>NOT DETERMINED — no assumption recorded for this figure yet.</t>
        </is>
      </c>
      <c r="U23" s="3" t="inlineStr"/>
      <c r="V23" s="3" t="inlineStr"/>
      <c r="W23" s="3" t="inlineStr"/>
      <c r="X23" s="3" t="inlineStr"/>
      <c r="Y23" s="3" t="inlineStr">
        <is>
          <t>NOT DETERMINED</t>
        </is>
      </c>
      <c r="Z23" s="3" t="inlineStr">
        <is>
          <t>VERIFIED 2026-08-22</t>
        </is>
      </c>
      <c r="AA2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3" s="3" t="inlineStr">
        <is>
          <t>B24 [NOT COMPARABLE] — This figure names no function, so its formula cannot be checked against anything. 69 of the 163 figures are in this position — the audit covers the 94 that name one.</t>
        </is>
      </c>
      <c r="AC23" s="3" t="inlineStr">
        <is>
          <t>TYPED — none needed. The person entered this number; nothing calculates it and nothing should. This row is already right and needs no work.</t>
        </is>
      </c>
      <c r="AD23" s="3" t="inlineStr"/>
      <c r="AE23" s="3" t="inlineStr">
        <is>
          <t>No finding on this row. That is not a statement that the row is right — only that nothing has been written against it.</t>
        </is>
      </c>
      <c r="AF23" s="3" t="inlineStr">
        <is>
          <t>ACTIVE</t>
        </is>
      </c>
      <c r="AG23" s="3" t="inlineStr">
        <is>
          <t>2026-08-27</t>
        </is>
      </c>
      <c r="AH23" s="3" t="n"/>
      <c r="AI23" s="3" t="n"/>
      <c r="AJ23" s="3" t="inlineStr">
        <is>
          <t>No function on record — nothing to read from
[the code's record, this build — evidence for the ruling, not the row's statement: it cannot see inputs handed in as arguments, and it counts every branch below the producer]</t>
        </is>
      </c>
      <c r="AK23" s="3" t="inlineStr">
        <is>
          <t>(the claim now stands in 'Inputs it needs' until the row is approved)</t>
        </is>
      </c>
      <c r="AL23" s="3" t="n"/>
      <c r="AM23" s="3" t="n"/>
      <c r="AN23" s="3" t="n"/>
      <c r="AO23" s="3" t="inlineStr">
        <is>
          <t>NOTHING OPEN</t>
        </is>
      </c>
    </row>
    <row r="24" ht="60" customHeight="1">
      <c r="A24" s="3" t="inlineStr">
        <is>
          <t>MK-PL-M-023</t>
        </is>
      </c>
      <c r="B24" s="3" t="inlineStr">
        <is>
          <t>Plan</t>
        </is>
      </c>
      <c r="C24" s="3" t="inlineStr">
        <is>
          <t>/roth</t>
        </is>
      </c>
      <c r="D24" s="3" t="inlineStr">
        <is>
          <t>Extra tax next April (calculated) — about $X</t>
        </is>
      </c>
      <c r="E24" s="3" t="inlineStr">
        <is>
          <t>taxCost</t>
        </is>
      </c>
      <c r="F24" s="3" t="inlineStr">
        <is>
          <t>NOT ON RECORD — no function is recorded for this figure</t>
        </is>
      </c>
      <c r="G24" s="3" t="inlineStr"/>
      <c r="H24" s="3" t="inlineStr">
        <is>
          <t>extra tax ≈ Σ over bands of (amount converted falling in that band × its rate)</t>
        </is>
      </c>
      <c r="I24" s="3" t="inlineStr">
        <is>
          <t>The extra tax a Roth conversion would cause: the converted amount is stacked on top of this year's income and taxed band by band.</t>
        </is>
      </c>
      <c r="J24" s="3" t="inlineStr">
        <is>
          <t>NOT DETERMINED — no input list on record for this function</t>
        </is>
      </c>
      <c r="K24" s="3" t="inlineStr">
        <is>
          <t>US dollars · held to the cent · shown as whole dollars  [derived by rule — confirm]</t>
        </is>
      </c>
      <c r="L24" s="3" t="inlineStr">
        <is>
          <t>$0, and under it the one line "Nothing entered yet. Set up your plan ›" (mock approved 2026-09-12). A real zero that was entered shows a plain $0 with no line.</t>
        </is>
      </c>
      <c r="M24" s="3" t="inlineStr">
        <is>
          <t>One figure per person — or per household when two people share one record  [derived by rule — confirm]</t>
        </is>
      </c>
      <c r="N24" s="3" t="inlineStr">
        <is>
          <t>As of today, from the latest figures held  [derived by rule — confirm]</t>
        </is>
      </c>
      <c r="O24" s="3" t="inlineStr">
        <is>
          <t>No function on record — nothing to chain</t>
        </is>
      </c>
      <c r="P24" s="3" t="inlineStr">
        <is>
          <t>No function on record — nothing to chain</t>
        </is>
      </c>
      <c r="Q24" s="3" t="inlineStr">
        <is>
          <t>No function on record — assumptions unknown</t>
        </is>
      </c>
      <c r="R24" s="3" t="inlineStr"/>
      <c r="S24" s="3" t="inlineStr"/>
      <c r="T24" s="3" t="inlineStr">
        <is>
          <t>NOT DETERMINED — no assumption recorded for this figure yet.</t>
        </is>
      </c>
      <c r="U24" s="3" t="inlineStr"/>
      <c r="V24" s="3" t="inlineStr"/>
      <c r="W24" s="3" t="inlineStr"/>
      <c r="X24" s="3" t="inlineStr"/>
      <c r="Y24" s="3" t="inlineStr">
        <is>
          <t>NOT DETERMINED</t>
        </is>
      </c>
      <c r="Z24" s="3" t="inlineStr">
        <is>
          <t>VERIFIED 2026-08-22</t>
        </is>
      </c>
      <c r="AA24" s="3" t="inlineStr">
        <is>
          <t>1. A42 — Roth conversion tax is stated as approximately the sum over bands. Three things that decide whether a conversion is worth doing for someone aged 55-70 are named nowhere: that the conversion stacks on top of existing ordinary income, the IRMAA surcharge on Medicare premiums two years later, and the share of Social Security that becomes taxable as a result.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4" s="3" t="inlineStr">
        <is>
          <t>B24 [NOT COMPARABLE] — This figure names no function, so its formula cannot be checked against anything. 69 of the 163 figures are in this position — the audit covers the 94 that name one.</t>
        </is>
      </c>
      <c r="AC24"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24" s="3" t="inlineStr"/>
      <c r="AE24" s="3" t="inlineStr">
        <is>
          <t>A42 — OPEN — DECLARED 2026-09-12
A41 — OPEN since 2026-08-26 — nothing has closed this. It is not known to be wrong; it is known to be unaddressed.
G32 / Q48 — RULED 2026-09-09: $0 stays, with the sentence '$0 — nothing entered yet.' and this row's door ('Set up your plan ›'). File written; the screen follows the approved empty-state mock (one pattern, one screen), then every screen.</t>
        </is>
      </c>
      <c r="AF24" s="3" t="inlineStr">
        <is>
          <t>ACTIVE</t>
        </is>
      </c>
      <c r="AG24" s="3" t="inlineStr">
        <is>
          <t>2026-08-27</t>
        </is>
      </c>
      <c r="AH24" s="3" t="n"/>
      <c r="AI24" s="3" t="n"/>
      <c r="AJ24" s="3" t="inlineStr">
        <is>
          <t>No function on record — nothing to read from
[the code's record, this build — evidence for the ruling, not the row's statement: it cannot see inputs handed in as arguments, and it counts every branch below the producer]</t>
        </is>
      </c>
      <c r="AK24" s="3" t="inlineStr">
        <is>
          <t>(the claim now stands in 'Inputs it needs' until the row is approved)</t>
        </is>
      </c>
      <c r="AL24" s="3" t="n"/>
      <c r="AM24" s="3" t="n"/>
      <c r="AN24" s="3" t="n"/>
      <c r="AO24" s="7" t="inlineStr">
        <is>
          <t>OPEN FINDING A41, A42</t>
        </is>
      </c>
    </row>
    <row r="25" ht="60" customHeight="1">
      <c r="A25" s="3" t="inlineStr">
        <is>
          <t>MK-PL-M-024</t>
        </is>
      </c>
      <c r="B25" s="3" t="inlineStr">
        <is>
          <t>Plan</t>
        </is>
      </c>
      <c r="C25" s="3" t="inlineStr">
        <is>
          <t>/roth</t>
        </is>
      </c>
      <c r="D25" s="3" t="inlineStr">
        <is>
          <t>from your pre-tax $X</t>
        </is>
      </c>
      <c r="E25" s="3" t="inlineStr">
        <is>
          <t>preTax</t>
        </is>
      </c>
      <c r="F25" s="3" t="inlineStr">
        <is>
          <t>NOT ON RECORD — no function is recorded for this figure</t>
        </is>
      </c>
      <c r="G25" s="3" t="inlineStr"/>
      <c r="H25" s="3" t="inlineStr">
        <is>
          <t>pre-tax balance = Σ(balance of accounts whose tax type = pre-tax)</t>
        </is>
      </c>
      <c r="I25" s="3" t="inlineStr">
        <is>
          <t>Adds the balances of accounts whose money has not been taxed yet — the pot a Roth move would come from.</t>
        </is>
      </c>
      <c r="J25" s="3" t="inlineStr">
        <is>
          <t>NOT DETERMINED — no input list on record for this function</t>
        </is>
      </c>
      <c r="K25" s="3" t="inlineStr">
        <is>
          <t>US dollars · held to the cent · shown as whole dollars  [derived by rule — confirm]</t>
        </is>
      </c>
      <c r="L25" s="3" t="inlineStr">
        <is>
          <t>$0, and under it the one line "Nothing entered yet. Add your accounts ›" (mock approved 2026-09-12). A real zero that was entered shows a plain $0 with no line.</t>
        </is>
      </c>
      <c r="M25" s="3" t="inlineStr">
        <is>
          <t>One figure per person — or per household when two people share one record  [derived by rule — confirm]</t>
        </is>
      </c>
      <c r="N25" s="3" t="inlineStr">
        <is>
          <t>As of today, from the latest figures held  [derived by rule — confirm]</t>
        </is>
      </c>
      <c r="O25" s="3" t="inlineStr">
        <is>
          <t>No function on record — nothing to chain</t>
        </is>
      </c>
      <c r="P25" s="3" t="inlineStr">
        <is>
          <t>No function on record — nothing to chain</t>
        </is>
      </c>
      <c r="Q25" s="3" t="inlineStr">
        <is>
          <t>No function on record — assumptions unknown</t>
        </is>
      </c>
      <c r="R25" s="3" t="inlineStr"/>
      <c r="S25" s="3" t="inlineStr"/>
      <c r="T25" s="3" t="inlineStr">
        <is>
          <t>NOT DETERMINED — no assumption recorded for this figure yet.</t>
        </is>
      </c>
      <c r="U25" s="3" t="inlineStr"/>
      <c r="V25" s="3" t="inlineStr"/>
      <c r="W25" s="3" t="inlineStr"/>
      <c r="X25" s="3" t="inlineStr"/>
      <c r="Y25" s="3" t="inlineStr">
        <is>
          <t>NOT DETERMINED</t>
        </is>
      </c>
      <c r="Z25" s="3" t="inlineStr">
        <is>
          <t>VERIFIED 2026-08-22</t>
        </is>
      </c>
      <c r="AA2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5" s="3" t="inlineStr">
        <is>
          <t>B24 [NOT COMPARABLE] — This figure names no function, so its formula cannot be checked against anything. 69 of the 163 figures are in this position — the audit covers the 94 that name one.</t>
        </is>
      </c>
      <c r="AC25"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25" s="3" t="inlineStr"/>
      <c r="AE25" s="3" t="inlineStr">
        <is>
          <t>No finding on this row. That is not a statement that the row is right — only that nothing has been written against it.
G32 / Q48 — RULED 2026-09-09: $0 stays, with the sentence '$0 — nothing entered yet.' and this row's door ('Add your accounts ›'). File written; the screen follows the approved empty-state mock (one pattern, one screen), then every screen.</t>
        </is>
      </c>
      <c r="AF25" s="3" t="inlineStr">
        <is>
          <t>ACTIVE</t>
        </is>
      </c>
      <c r="AG25" s="3" t="inlineStr">
        <is>
          <t>2026-08-27</t>
        </is>
      </c>
      <c r="AH25" s="3" t="n"/>
      <c r="AI25" s="3" t="n"/>
      <c r="AJ25" s="3" t="inlineStr">
        <is>
          <t>No function on record — nothing to read from
[the code's record, this build — evidence for the ruling, not the row's statement: it cannot see inputs handed in as arguments, and it counts every branch below the producer]</t>
        </is>
      </c>
      <c r="AK25" s="3" t="inlineStr">
        <is>
          <t>(the claim now stands in 'Inputs it needs' until the row is approved)</t>
        </is>
      </c>
      <c r="AL25" s="3" t="n"/>
      <c r="AM25" s="3" t="n"/>
      <c r="AN25" s="3" t="n"/>
      <c r="AO25" s="3" t="inlineStr">
        <is>
          <t>NOTHING OPEN</t>
        </is>
      </c>
    </row>
    <row r="26" ht="60" customHeight="1">
      <c r="A26" s="3" t="inlineStr">
        <is>
          <t>MK-PL-M-025</t>
        </is>
      </c>
      <c r="B26" s="3" t="inlineStr">
        <is>
          <t>Plan</t>
        </is>
      </c>
      <c r="C26" s="3" t="inlineStr">
        <is>
          <t>/what-if</t>
        </is>
      </c>
      <c r="D26" s="3" t="inlineStr">
        <is>
          <t>+$X/mo (the saving dial)</t>
        </is>
      </c>
      <c r="E26" s="3" t="inlineStr">
        <is>
          <t>addMonthly</t>
        </is>
      </c>
      <c r="F26" s="3" t="inlineStr">
        <is>
          <t>Typed by the person — no function behind it</t>
        </is>
      </c>
      <c r="G26" s="3" t="inlineStr"/>
      <c r="H26" s="3" t="inlineStr">
        <is>
          <t>the value typed by the person</t>
        </is>
      </c>
      <c r="I26" s="3" t="inlineStr">
        <is>
          <t>A number the person entered; no calculation.</t>
        </is>
      </c>
      <c r="J26" s="3" t="inlineStr">
        <is>
          <t>NOT DETERMINED — no input list on record for this function</t>
        </is>
      </c>
      <c r="K26" s="3" t="inlineStr">
        <is>
          <t>US dollars · held to the cent · shown as whole dollars  [derived by rule — confirm]</t>
        </is>
      </c>
      <c r="L26" s="3" t="inlineStr">
        <is>
          <t>Nothing to compute — the person either entered it or has not, and the screen shows it only when they have.</t>
        </is>
      </c>
      <c r="M26" s="3" t="inlineStr">
        <is>
          <t>One figure per person — or per household when two people share one record  [derived by rule — confirm]</t>
        </is>
      </c>
      <c r="N26" s="3" t="inlineStr">
        <is>
          <t>As of today, from the latest figures held  [derived by rule — confirm]</t>
        </is>
      </c>
      <c r="O26" s="3" t="inlineStr">
        <is>
          <t>No function on record — nothing to chain</t>
        </is>
      </c>
      <c r="P26" s="3" t="inlineStr">
        <is>
          <t>No function on record — nothing to chain</t>
        </is>
      </c>
      <c r="Q26" s="3" t="inlineStr">
        <is>
          <t>No function on record — assumptions unknown</t>
        </is>
      </c>
      <c r="R26" s="3" t="inlineStr"/>
      <c r="S26" s="3" t="inlineStr"/>
      <c r="T26" s="3" t="inlineStr">
        <is>
          <t>NOT DETERMINED — no assumption recorded for this figure yet.</t>
        </is>
      </c>
      <c r="U26" s="3" t="inlineStr"/>
      <c r="V26" s="3" t="inlineStr"/>
      <c r="W26" s="3" t="inlineStr"/>
      <c r="X26" s="3" t="inlineStr"/>
      <c r="Y26" s="3" t="inlineStr">
        <is>
          <t>NOT DETERMINED</t>
        </is>
      </c>
      <c r="Z26" s="3" t="inlineStr">
        <is>
          <t>VERIFIED 2026-08-22</t>
        </is>
      </c>
      <c r="AA26"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6" s="3" t="inlineStr">
        <is>
          <t>B24 [NOT COMPARABLE] — This figure names no function, so its formula cannot be checked against anything. 69 of the 163 figures are in this position — the audit covers the 94 that name one.</t>
        </is>
      </c>
      <c r="AC26" s="3" t="inlineStr">
        <is>
          <t>TYPED — none needed. The person entered this number; nothing calculates it and nothing should. This row is already right and needs no work.</t>
        </is>
      </c>
      <c r="AD26" s="3" t="inlineStr"/>
      <c r="AE26" s="3" t="inlineStr">
        <is>
          <t>No finding on this row. That is not a statement that the row is right — only that nothing has been written against it.</t>
        </is>
      </c>
      <c r="AF26" s="3" t="inlineStr">
        <is>
          <t>ACTIVE</t>
        </is>
      </c>
      <c r="AG26" s="3" t="inlineStr">
        <is>
          <t>2026-08-27</t>
        </is>
      </c>
      <c r="AH26" s="3" t="n"/>
      <c r="AI26" s="3" t="n"/>
      <c r="AJ26" s="3" t="inlineStr">
        <is>
          <t>No function on record — nothing to read from
[the code's record, this build — evidence for the ruling, not the row's statement: it cannot see inputs handed in as arguments, and it counts every branch below the producer]</t>
        </is>
      </c>
      <c r="AK26" s="3" t="inlineStr">
        <is>
          <t>(the claim now stands in 'Inputs it needs' until the row is approved)</t>
        </is>
      </c>
      <c r="AL26" s="3" t="n"/>
      <c r="AM26" s="3" t="n"/>
      <c r="AN26" s="3" t="n"/>
      <c r="AO26" s="7" t="inlineStr">
        <is>
          <t>RULED, NOT CODED (Q-PL-1 — one question, one function)</t>
        </is>
      </c>
    </row>
    <row r="27" ht="60" customHeight="1">
      <c r="A27" s="3" t="inlineStr">
        <is>
          <t>MK-PL-M-026</t>
        </is>
      </c>
      <c r="B27" s="3" t="inlineStr">
        <is>
          <t>Plan</t>
        </is>
      </c>
      <c r="C27" s="3" t="inlineStr">
        <is>
          <t>/what-if</t>
        </is>
      </c>
      <c r="D27" s="3" t="inlineStr">
        <is>
          <t>$X → $Y (nest egg before and after)</t>
        </is>
      </c>
      <c r="E27" s="3" t="inlineStr">
        <is>
          <t>result.before.egg / result.after.egg</t>
        </is>
      </c>
      <c r="F27" s="3" t="inlineStr">
        <is>
          <t>projectNestEgg</t>
        </is>
      </c>
      <c r="G27" s="3" t="inlineStr">
        <is>
          <t>MK-PL-F-055</t>
        </is>
      </c>
      <c r="H27" s="3" t="inlineStr">
        <is>
          <t>pot = balance × (1 + r)^n + Σ(contribution × (1 + r)^(n − year)),  n = years to retirement</t>
        </is>
      </c>
      <c r="I27" s="3" t="inlineStr">
        <is>
          <t>TWO FIGURES, no random runs anywhere in this one — it is the straight-line check beside the 1,000-run odds.
WHAT YOU WILL HAVE. Today's pot grown at your expected return for the years until you retire, plus every year's saving grown for however many years it has left. Worked at 6%: $600,000 today over 7 years becomes $902,000; $24,000 saved each of those years adds about $201,000; $1,103,000 in all.
WHAT YOU WILL NEED — the target pot. Walk every retirement year one at a time, from the year you retire to the age you plan to. In each year: take that year's expenses, take off the guaranteed income you receive that year, and that difference is what the pot must hand you. Bring each of those amounts back to a retirement-year value by dividing by your expected return once for every year you have to wait for it. Add them all up. That total is the pot that pays for the whole plan.
Two rules ride along: expenses rises with inflation every year, and so does Social Security, but a pension stays flat.
WHY THE NUMBER IS SMALLER THAN THE SUM OF THE EXPENSES. Money you do not need until year fifteen keeps earning until then, so you need less than fifteen years' expenses set aside today.
MONEY IS NEEDED AT THE START OF ITS YEAR. The first retirement year's expenses is not discounted at all — January's groceries cannot be paid out of December's growth. Some published calculators charge each year at its END, which gives every year one more year of growth and reports a target about (1 + return) / (1 + inflation) smaller — roughly 3% lower at a 6% return and 2.5% inflation. Neither is wrong; ours is the cautious side, and the difference is a timing convention, not a disagreement about the arithmetic.
HOW IT DIFFERS FROM THE 25 x YARDSTICK reported by the odds function: this one knows how long you plan for and what your money earns; the yardstick knows neither.</t>
        </is>
      </c>
      <c r="J27" s="3" t="inlineStr">
        <is>
          <t>the same inputs → inp  [MK-XS-I-001]</t>
        </is>
      </c>
      <c r="K27" s="3" t="inlineStr">
        <is>
          <t>US dollars · held to the cent · shown as whole dollars  [derived by rule — confirm]</t>
        </is>
      </c>
      <c r="L27" s="3" t="inlineStr">
        <is>
          <t>No figure when there is nothing to grow, or when retirement is not ahead of the person.</t>
        </is>
      </c>
      <c r="M27" s="3" t="inlineStr">
        <is>
          <t>One figure per person — or per household when two people share one record  [derived by rule — confirm]</t>
        </is>
      </c>
      <c r="N27" s="3" t="inlineStr">
        <is>
          <t>From today to the retirement age in the plan  [derived by rule — confirm]</t>
        </is>
      </c>
      <c r="O27" s="3" t="inlineStr">
        <is>
          <t>1. MK-CF-F-132 (map) → NOT DECLARED — the code does not say what it gives back
2. MK-PL-F-050 (simulate) → NOT DECLARED — the code does not say what it gives back</t>
        </is>
      </c>
      <c r="P27" s="3" t="inlineStr">
        <is>
          <t>1. MK-CF-F-132 map → MK-PL-F-055 projectNestEgg
2. MK-CF-F-191 ym → MK-CF-F-148 inMonth → MK-CF-F-151 actualSpending → MK-CF-O-002 expenses → MK-PL-F-050 simulate → MK-PL-F-055 projectNestEgg
3. MK-XS-F-122 n → MK-ST-F-052 toNum → MK-CF-F-151 actualSpending → MK-CF-O-002 expenses → MK-PL-F-050 simulate → MK-PL-F-055 projectNestEgg
4. MK-CF-F-191 ym → MK-CF-F-151 actualSpending → MK-CF-O-002 expenses → MK-PL-F-050 simulate → MK-PL-F-055 projectNestEgg
5. MK-ST-F-056 has → MK-CF-F-150 debtPaymentsCountedAsExpenses → MK-CF-O-002 expenses → MK-PL-F-050 simulate → MK-PL-F-055 projectNestEgg
6. MK-CF-F-191 ym → MK-CF-F-148 inMonth → MK-CF-F-150 debtPaymentsCountedAsExpenses → MK-CF-O-002 expenses → MK-PL-F-050 simulate → MK-PL-F-055 projectNestEgg
7. MK-CF-F-021 defaultPaymentType → MK-CF-F-022 paymentShape → MK-CF-F-150 debtPaymentsCountedAsExpenses → MK-CF-O-002 expenses → MK-PL-F-050 simulate → MK-PL-F-055 projectNestEgg
8. MK-XS-F-122 n → MK-ST-F-052 toNum → MK-CF-F-150 debtPaymentsCountedAsExpenses → MK-CF-O-002 expenses → MK-PL-F-050 simulate → MK-PL-F-055 projectNestEgg
9. … and 4 more paths</t>
        </is>
      </c>
      <c r="Q27" s="3" t="inlineStr">
        <is>
          <t>1. MK-PL-F-055 — If contribution growth is missing it uses 0.
2. MK-PL-F-055 — If monthly is missing it counts as zero, so nothing recorded and a real zero look the same.
3. MK-PL-F-055 — Uses a built-in need of 0.
4. MK-PL-F-055 — Turns a monthly figure into a year by multiplying by twelve.
5. MK-PL-F-055 —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
6. MK-PL-F-050 — If paths is missing it uses 1000.
7. MK-PL-F-050 — If seed is missing it uses 12345.
8. MK-PL-F-050 — If now year is missing it uses 2026.
9. MK-PL-F-050 — If contribution growth is missing it uses 0.
10. MK-PL-F-050 — If pre tax share is missing it uses 0.
11. MK-PL-F-050 — If monthly is missing it counts as zero, so nothing recorded and a real zero look the same.
12. MK-PL-F-050 — If one off by year[off] is missing it counts as zero, so nothing recorded and a real zero look the same.
13. MK-PL-F-050 — If recurring by year[y] is missing it counts as zero, so nothing recorded and a real zero look the same.
14. MK-PL-F-050 — If contrib by year[y] is missing it counts as zero, so nothing recorded and a real zero look the same.
15. MK-PL-F-050 — Uses a built-in successes of 0.
16. MK-PL-F-050 — Turns a monthly figure into a year by multiplying by twelve.
17. MK-PL-F-050 — Never lets off fall below 0.
18. MK-PL-F-050 — Never lets balance fall below 0.
19. MK-PL-F-050 — Never lets required withdrawal tax rate fall below 0.
20. MK-PL-F-050 — The tax on pre-tax withdrawals is the rate the caller passes, capped at 60%; when no rate is passed NO tax is applied and the result says so — never a built-in 22% (G7, founder 2026-09-12).
21. MK-PL-F-050 — Founder ruling 2026-09-08 (G17): one count, 1,000 futures, on every surface; the guard test simulation_paths.test.ts fails on any other number.
22. MK-PL-F-075 — Rounds the answer to a whole number.
23. MK-CF-F-150 — Uses a built-in s h o w f i r s t of 5.
24. MK-ST-F-024 — When the birth year is missing the start age is taken as 73 — the rule for those born 1951–1959, the middle of the 55–70 audience (A36). The whole schedule is coded: 70½ before 1949, 72 for 1949–1950, 73 for 1951–1959, 75 from 1960.
25. MK-CF-F-023 — If monthly payment is missing it uses 0.</t>
        </is>
      </c>
      <c r="R27" s="3" t="inlineStr"/>
      <c r="S27" s="3" t="inlineStr">
        <is>
          <t>The Net worth screen builds this projection WITHOUT the person's big costs, while Cash flow, Budget, Goals and Social Security timing all include them. Same person, same day, two different nest eggs. Seen in the code; not yet confirmed on screen.</t>
        </is>
      </c>
      <c r="T27" s="3" t="inlineStr">
        <is>
          <t>[Founder] The recommended nest egg is 25× the yearly expenses not covered by guaranteed income, counted from the start of the retirement year — which is why it differs from an outside calculator.
[Built in] The assumed rate of return, which the person can change on the cockpit.
[The person] The retirement age in their plan.</t>
        </is>
      </c>
      <c r="U27" s="3" t="inlineStr"/>
      <c r="V27" s="9" t="inlineStr">
        <is>
          <t>Q18 — Net worth projects the pot WITHOUT your big costs; Cash flow, Budget, Goals and Social Security timing all include them. Which is right for the Net worth screen?</t>
        </is>
      </c>
      <c r="W27" s="9" t="inlineStr"/>
      <c r="X27" s="3" t="inlineStr"/>
      <c r="Y27" s="3" t="inlineStr">
        <is>
          <t>NOT DETERMINED</t>
        </is>
      </c>
      <c r="Z27" s="3" t="inlineStr">
        <is>
          <t>VERIFIED 2026-08-22</t>
        </is>
      </c>
      <c r="AA27" s="3" t="inlineStr">
        <is>
          <t>1. A44 — Retirement pot: the file writes pot = balance × (1+r)^n + Σ(contribution × (1+r)^(n−year)) and stops there. Three things the code settles and the file does not: a contribution is treated as arriving at the END of its year, which changes the answer by a factor of (1+r) against the other reading; contributions grow at their own rate, which DEFAULTS TO ZERO when nobody sets one; and r is a nominal return, with inflation applied to the expenses side rather than here — so whether the headline is in today's money depends on a convention stated nowhere. (projectNestEgg, src/domain/retirement/index.ts:324.)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7" s="3" t="inlineStr">
        <is>
          <t>1. B11 [CLASH] — The file writes the pot as balance × (1+r)^n + Σ(contribution × (1+r)^(n−year)). The code (projectNestEgg) also grows each year's contribution at its own rate, (1+g)^y, and compounds it for (n − y − 1) years — an END-of-year contribution. Neither the growth rate nor the year convention is in the file, and the convention alone moves the answer by a factor of (1+r). Also finding A44.</t>
        </is>
      </c>
      <c r="AC27" s="3" t="inlineStr">
        <is>
          <t>HAS A FUNCTION — traceable from the screen to the code.</t>
        </is>
      </c>
      <c r="AD27" s="3" t="inlineStr">
        <is>
          <t>B11 — This month — the future-paycheck figure omits contribution growth the code applies</t>
        </is>
      </c>
      <c r="AE27" s="3" t="inlineStr">
        <is>
          <t>A44 — NOT A DEFECT 2026-08-26
B11 — FIXED 2026-09-12</t>
        </is>
      </c>
      <c r="AF27" s="3" t="inlineStr">
        <is>
          <t>ACTIVE</t>
        </is>
      </c>
      <c r="AG27" s="3" t="inlineStr">
        <is>
          <t>2026-09-27</t>
        </is>
      </c>
      <c r="AH27" s="3" t="n"/>
      <c r="AI27" s="3" t="n"/>
      <c r="AJ27" s="3" t="inlineStr">
        <is>
          <t>1. MK-XS-I-016 debt minimum payment — read by MK-CF-F-023
2. MK-XS-I-017 birth year — read by MK-ST-F-024
3. MK-XS-I-018 retirement age — read by MK-PL-F-050, MK-PL-F-055
4. MK-XS-I-024 logged expenses — read by MK-CF-F-150, MK-CF-F-151, MK-CF-F-153, MK-CF-O-002
5. MK-XS-I-028 assumed return — read by MK-PL-F-050, MK-PL-F-055
6. MK-XS-I-029 inflation rate — read by MK-PL-F-050, MK-PL-F-055
7. MK-XS-I-036 other guaranteed income — read by MK-PL-F-050, MK-PL-F-055
8. MK-XS-I-041 the payment the person chose to make on a debt — read by MK-CF-F-023
9. MK-XS-I-042 how a stream is paid — monthly, yearly or one lump — read by MK-CF-F-021, MK-CF-F-022, MK-CF-F-023, MK-CF-F-149, MK-CF-F-150, MK-CF-F-152
10. MK-XS-I-043 their own retirement contribution — read by MK-PL-F-050, MK-PL-F-055
[the code's record, this build — evidence for the ruling, not the row's statement: it cannot see inputs handed in as arguments, and it counts every branch below the producer]</t>
        </is>
      </c>
      <c r="AK27" s="3" t="inlineStr">
        <is>
          <t>(the claim now stands in 'Inputs it needs' until the row is approved)</t>
        </is>
      </c>
      <c r="AL27" s="3" t="n"/>
      <c r="AM27" s="3" t="n"/>
      <c r="AN27" s="3" t="n"/>
      <c r="AO27" s="9" t="inlineStr">
        <is>
          <t>WAITING ON YOU — question Q18 · RULED, NOT CODED (Q-PL-1 — one question, one function)</t>
        </is>
      </c>
    </row>
    <row r="28" ht="60" customHeight="1">
      <c r="A28" s="3" t="inlineStr">
        <is>
          <t>MK-PL-M-027</t>
        </is>
      </c>
      <c r="B28" s="3" t="inlineStr">
        <is>
          <t>Plan</t>
        </is>
      </c>
      <c r="C28" s="3" t="inlineStr">
        <is>
          <t>/what-if</t>
        </is>
      </c>
      <c r="D28" s="3" t="inlineStr">
        <is>
          <t>the difference the change makes</t>
        </is>
      </c>
      <c r="E28" s="3" t="inlineStr">
        <is>
          <t>result.after.egg - result.before.egg</t>
        </is>
      </c>
      <c r="F28" s="3" t="inlineStr">
        <is>
          <t>Worked out on the screen itself — no function behind it</t>
        </is>
      </c>
      <c r="G28" s="3" t="inlineStr"/>
      <c r="H28" s="3" t="inlineStr">
        <is>
          <t>difference = pot after the change − pot before it</t>
        </is>
      </c>
      <c r="I28" s="3" t="inlineStr">
        <is>
          <t>Worked out on the screen itself, with no function behind it — a place a second definition can appear.</t>
        </is>
      </c>
      <c r="J28" s="3" t="inlineStr">
        <is>
          <t>NOT DETERMINED — no input list on record for this function</t>
        </is>
      </c>
      <c r="K28" s="3" t="inlineStr">
        <is>
          <t>US dollars · held to the cent · shown as whole dollars  [derived by rule — confirm]</t>
        </is>
      </c>
      <c r="L28" s="3" t="inlineStr">
        <is>
          <t>Inherits the refusal of the figures it is built from: if either side is missing, this line is not shown.</t>
        </is>
      </c>
      <c r="M28" s="3" t="inlineStr">
        <is>
          <t>One figure per person — or per household when two people share one record  [derived by rule — confirm]</t>
        </is>
      </c>
      <c r="N28" s="3" t="inlineStr">
        <is>
          <t>As of today, from the latest figures held  [derived by rule — confirm]</t>
        </is>
      </c>
      <c r="O28" s="3" t="inlineStr">
        <is>
          <t>No function on record — nothing to chain</t>
        </is>
      </c>
      <c r="P28" s="3" t="inlineStr">
        <is>
          <t>No function on record — nothing to chain</t>
        </is>
      </c>
      <c r="Q28" s="3" t="inlineStr">
        <is>
          <t>No function on record — assumptions unknown</t>
        </is>
      </c>
      <c r="R28" s="3" t="inlineStr"/>
      <c r="S28" s="3" t="inlineStr"/>
      <c r="T28" s="3" t="inlineStr">
        <is>
          <t>NOT DETERMINED — no assumption recorded for this figure yet.</t>
        </is>
      </c>
      <c r="U28" s="3" t="inlineStr"/>
      <c r="V28" s="3" t="inlineStr"/>
      <c r="W28" s="3" t="inlineStr"/>
      <c r="X28" s="3" t="inlineStr"/>
      <c r="Y28" s="3" t="inlineStr">
        <is>
          <t>NOT DETERMINED</t>
        </is>
      </c>
      <c r="Z28" s="3" t="inlineStr">
        <is>
          <t>VERIFIED 2026-08-22</t>
        </is>
      </c>
      <c r="AA28"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8" s="3" t="inlineStr">
        <is>
          <t>B24 [NOT COMPARABLE] — This figure names no function, so its formula cannot be checked against anything. 69 of the 163 figures are in this position — the audit covers the 94 that name one.</t>
        </is>
      </c>
      <c r="AC28" s="3" t="inlineStr">
        <is>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is>
      </c>
      <c r="AD28" s="3" t="inlineStr"/>
      <c r="AE28" s="3" t="inlineStr">
        <is>
          <t>No finding on this row. That is not a statement that the row is right — only that nothing has been written against it.</t>
        </is>
      </c>
      <c r="AF28" s="3" t="inlineStr">
        <is>
          <t>ACTIVE</t>
        </is>
      </c>
      <c r="AG28" s="3" t="inlineStr">
        <is>
          <t>2026-08-27</t>
        </is>
      </c>
      <c r="AH28" s="3" t="n"/>
      <c r="AI28" s="3" t="n"/>
      <c r="AJ28" s="3" t="inlineStr">
        <is>
          <t>No function on record — nothing to read from
[the code's record, this build — evidence for the ruling, not the row's statement: it cannot see inputs handed in as arguments, and it counts every branch below the producer]</t>
        </is>
      </c>
      <c r="AK28" s="3" t="inlineStr">
        <is>
          <t>(the claim now stands in 'Inputs it needs' until the row is approved)</t>
        </is>
      </c>
      <c r="AL28" s="3" t="n"/>
      <c r="AM28" s="3" t="n"/>
      <c r="AN28" s="3" t="n"/>
      <c r="AO28" s="7" t="inlineStr">
        <is>
          <t>RULED, NOT CODED (Q-PL-1 — one question, one function)</t>
        </is>
      </c>
    </row>
    <row r="29" ht="60" customHeight="1">
      <c r="A29" s="3" t="inlineStr">
        <is>
          <t>MK-PL-M-028</t>
        </is>
      </c>
      <c r="B29" s="3" t="inlineStr">
        <is>
          <t>Plan</t>
        </is>
      </c>
      <c r="C29" s="3" t="inlineStr">
        <is>
          <t>/multi-goal</t>
        </is>
      </c>
      <c r="D29" s="3" t="inlineStr">
        <is>
          <t>each goal and its monthly amount</t>
        </is>
      </c>
      <c r="E29" s="3" t="inlineStr">
        <is>
          <t>d.monthlyAmount</t>
        </is>
      </c>
      <c r="F29" s="3" t="inlineStr">
        <is>
          <t>Typed by the person — no function behind it</t>
        </is>
      </c>
      <c r="G29" s="3" t="inlineStr"/>
      <c r="H29" s="3" t="inlineStr">
        <is>
          <t>the values typed by the person</t>
        </is>
      </c>
      <c r="I29" s="3" t="inlineStr">
        <is>
          <t>Amounts the person entered; no calculation.</t>
        </is>
      </c>
      <c r="J29" s="3" t="inlineStr">
        <is>
          <t>NOT DETERMINED — no input list on record for this function</t>
        </is>
      </c>
      <c r="K29" s="3" t="inlineStr">
        <is>
          <t>US dollars · held to the cent · shown as whole dollars  [derived by rule — confirm]</t>
        </is>
      </c>
      <c r="L29" s="3" t="inlineStr">
        <is>
          <t>Nothing to compute — the person either entered it or has not, and the screen shows it only when they have.</t>
        </is>
      </c>
      <c r="M29" s="3" t="inlineStr">
        <is>
          <t>One figure per goal  [derived by rule — confirm]</t>
        </is>
      </c>
      <c r="N29" s="3" t="inlineStr">
        <is>
          <t>As of today, from the latest figures held  [derived by rule — confirm]</t>
        </is>
      </c>
      <c r="O29" s="3" t="inlineStr">
        <is>
          <t>No function on record — nothing to chain</t>
        </is>
      </c>
      <c r="P29" s="3" t="inlineStr">
        <is>
          <t>No function on record — nothing to chain</t>
        </is>
      </c>
      <c r="Q29" s="3" t="inlineStr">
        <is>
          <t>No function on record — assumptions unknown</t>
        </is>
      </c>
      <c r="R29" s="3" t="inlineStr"/>
      <c r="S29" s="3" t="inlineStr"/>
      <c r="T29" s="3" t="inlineStr">
        <is>
          <t>NOT DETERMINED — no assumption recorded for this figure yet.</t>
        </is>
      </c>
      <c r="U29" s="3" t="inlineStr"/>
      <c r="V29" s="3" t="inlineStr"/>
      <c r="W29" s="3" t="inlineStr"/>
      <c r="X29" s="3" t="inlineStr"/>
      <c r="Y29" s="3" t="inlineStr">
        <is>
          <t>NOT DETERMINED</t>
        </is>
      </c>
      <c r="Z29" s="3" t="inlineStr">
        <is>
          <t>VERIFIED 2026-08-22</t>
        </is>
      </c>
      <c r="AA29"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9" s="3" t="inlineStr">
        <is>
          <t>B24 [NOT COMPARABLE] — This figure names no function, so its formula cannot be checked against anything. 69 of the 163 figures are in this position — the audit covers the 94 that name one.</t>
        </is>
      </c>
      <c r="AC29" s="3" t="inlineStr">
        <is>
          <t>TYPED — none needed. The person entered this number; nothing calculates it and nothing should. This row is already right and needs no work.</t>
        </is>
      </c>
      <c r="AD29" s="3" t="inlineStr"/>
      <c r="AE29" s="3" t="inlineStr">
        <is>
          <t>No finding on this row. That is not a statement that the row is right — only that nothing has been written against it.</t>
        </is>
      </c>
      <c r="AF29" s="3" t="inlineStr">
        <is>
          <t>ACTIVE</t>
        </is>
      </c>
      <c r="AG29" s="3" t="inlineStr">
        <is>
          <t>2026-08-27</t>
        </is>
      </c>
      <c r="AH29" s="3" t="n"/>
      <c r="AI29" s="3" t="n"/>
      <c r="AJ29" s="3" t="inlineStr">
        <is>
          <t>No function on record — nothing to read from
[the code's record, this build — evidence for the ruling, not the row's statement: it cannot see inputs handed in as arguments, and it counts every branch below the producer]</t>
        </is>
      </c>
      <c r="AK29" s="3" t="inlineStr">
        <is>
          <t>(the claim now stands in 'Inputs it needs' until the row is approved)</t>
        </is>
      </c>
      <c r="AL29" s="3" t="n"/>
      <c r="AM29" s="3" t="n"/>
      <c r="AN29" s="3" t="n"/>
      <c r="AO29" s="7" t="inlineStr">
        <is>
          <t>RULED, NOT CODED (Q-PL-6 — one question, one function)</t>
        </is>
      </c>
    </row>
    <row r="30" ht="60" customHeight="1">
      <c r="A30" s="3" t="inlineStr">
        <is>
          <t>MK-PL-M-029</t>
        </is>
      </c>
      <c r="B30" s="3" t="inlineStr">
        <is>
          <t>Plan</t>
        </is>
      </c>
      <c r="C30" s="3" t="inlineStr">
        <is>
          <t>/multi-goal</t>
        </is>
      </c>
      <c r="D30" s="3" t="inlineStr">
        <is>
          <t>Retirement saving — $X/mo now → $Y/mo</t>
        </is>
      </c>
      <c r="E30" s="3" t="inlineStr">
        <is>
          <t>A.contribMonthly / retirementMo</t>
        </is>
      </c>
      <c r="F30" s="3" t="inlineStr">
        <is>
          <t>willItLastInputs</t>
        </is>
      </c>
      <c r="G30" s="3" t="inlineStr">
        <is>
          <t>MK-PL-F-067</t>
        </is>
      </c>
      <c r="H30" s="3" t="inlineStr">
        <is>
          <t>the inputs one plan is built from: what is held, what will be spent, what is guaranteed, and what is still being saved</t>
        </is>
      </c>
      <c r="I30" s="3" t="inlineStr">
        <is>
          <t>Gather everything the odds need. The person's own choices override every default, one by one.
NO AGE MEANS NO ANSWER — the odds are never computed from a guessed age.
SOCIAL SECURITY USES THE CHECK THE CHOSEN CLAIM AGE ACTUALLY PAYS. The figure on a statement is the amount at YOUR full retirement age — 66 to 67 by birth year (66 for 1943–1954, two months more a year for 1955–1959, 67 from 1960). Claiming before it reduces the check by the SSA formula — 5/9 of 1% a month for the first 36 months early, 5/12 of 1% a month beyond — and claiming after it adds 2/3 of 1% a month up to 70. Using the statement figure regardless would overstate guaranteed income for everyone claiming early.
Not eligible means ZERO guaranteed income, not a default.
A LEGACY TARGET — money someone means to leave behind — is taken off the pot from the day it is set: spendable pot = max(0, nest egg − legacy target), whether the person is working or retired (founder decision brief Q-41 (2026-08-20), 2026-08-20; the function does exactly this).</t>
        </is>
      </c>
      <c r="J30" s="3" t="inlineStr">
        <is>
          <t>1. their age → birthYear  [MK-XS-I-017]
2. the pot → NEST_EGG  [NOT AN INPUT — another function’s answer; see the dependency column]
3. return and swing → EXPECTED_RETURN_BLENDED, EXPECTED_SWING_BLENDED  [NOT AN INPUT — another function’s answer; see the dependency column]
4. expenses → RETIREMENT_SPENDING  [MK-XS-I-024]
5. guaranteed income → RETIREMENT_INCOME, SS_BENEFIT_AT_AGE  [NOT AN INPUT — another function’s answer; see the dependency column]
6. money to leave behind → legacyTarget  [MK-XS-I-047]
7. their own overrides → the Plan screen  [MK-XS-I-044]</t>
        </is>
      </c>
      <c r="K30" s="3" t="inlineStr">
        <is>
          <t>Percent · exact, no rounding — 1,000 futures give it to a tenth (founder, 2026-09-14)  [derived by rule — confirm]</t>
        </is>
      </c>
      <c r="L30" s="3" t="inlineStr">
        <is>
          <t>NOT DETERMINED — this function has not been read for its refusal yet.</t>
        </is>
      </c>
      <c r="M30" s="3" t="inlineStr">
        <is>
          <t>One figure per person — or per household when two people share one record  [derived by rule — confirm]</t>
        </is>
      </c>
      <c r="N30" s="3" t="inlineStr">
        <is>
          <t>From today to the retirement age in the plan  [derived by rule — confirm]</t>
        </is>
      </c>
      <c r="O30" s="3" t="inlineStr">
        <is>
          <t>1. MK-CF-F-197 (ageAttainedInYear) → number | null
2. MK-XS-F-179 (ageToday) → number | null
3. MK-NW-F-037 (blendedReturn) → number
4. MK-NW-F-035 (blendedVolatility) → number
5. MK-CF-F-102 (effectiveRateOnGrossFor) → number
6. MK-CF-O-002 (expenses) → Expenses
7. MK-CF-F-085 (filingStatusOf) → import('./tax').FilingStatus
8. MK-CF-F-076 (guaranteedOutsideStreams) → GuaranteedStream[]
9. MK-PL-F-083 (inflationRateInForce) → InflationInForce
10. MK-CF-F-132 (map) → NOT DECLARED — the code does not say what it gives back
11. MK-NW-F-041 (monthlyContributionsFromOnboarding) → number
12. MK-PL-F-079 (numOrZero) → n; };
13. MK-CF-F-089 (over65CountOf) → number
14. MK-NW-F-004 (portfolioActualReturn) → number | null
15. MK-NW-F-033 (retirementEarmarkedValue) → number
16. MK-PL-F-049 (retirementSpendMonthly) → number
17. MK-PL-F-060 (ssBenefitAt) → number
18. MK-CF-F-086 (stateRateOf) → number
19. MK-PL-F-001 (taxBucketSplit) → BucketSplit
20. MK-CF-F-083 (totalGrossAnnual) → number
21. MK-PL-F-065 (volOf) → NOT DECLARED — the code does not say what it gives back</t>
        </is>
      </c>
      <c r="P30" s="3" t="inlineStr">
        <is>
          <t>1. MK-CF-F-197 ageAttainedInYear → MK-PL-F-067 willItLastInputs
2. MK-XS-F-017 currentAge → MK-XS-F-179 ageToday → MK-PL-F-067 willItLastInputs
3. MK-NW-F-008 incomeBearingClassOf → MK-NW-F-011 assetClassOf → MK-NW-F-007 assetKind → MK-NW-F-034 benchmarkReturn → MK-NW-F-037 blendedReturn → MK-PL-F-067 willItLastInputs
4. MK-XS-F-122 n → MK-CF-F-155 cash → MK-NW-F-007 assetKind → MK-NW-F-034 benchmarkReturn → MK-NW-F-037 blendedReturn → MK-PL-F-067 willItLastInputs
5. MK-NW-F-008 incomeBearingClassOf → MK-NW-F-011 assetClassOf → MK-NW-F-030 earmarkDefault → MK-NW-F-032 earmarkedAmount → MK-NW-F-037 blendedReturn → MK-PL-F-067 willItLastInputs
6. MK-NW-F-013 realEstateUseOf → MK-NW-F-030 earmarkDefault → MK-NW-F-032 earmarkedAmount → MK-NW-F-037 blendedReturn → MK-PL-F-067 willItLastInputs
7. MK-CF-F-155 cash → MK-NW-F-008 incomeBearingClassOf → MK-NW-F-011 assetClassOf → MK-NW-F-031 primaryCarIdOf → MK-NW-F-037 blendedReturn → MK-PL-F-067 willItLastInputs
8. MK-ST-F-010 nameEvidence → MK-NW-F-008 incomeBearingClassOf → MK-NW-F-011 assetClassOf → MK-NW-F-031 primaryCarIdOf → MK-NW-F-037 blendedReturn → MK-PL-F-067 willItLastInputs
9. … and 5 more paths</t>
        </is>
      </c>
      <c r="Q30" s="3" t="inlineStr">
        <is>
          <t>1. MK-PL-F-067 — If social security claim age is missing it uses 67.
2. MK-PL-F-067 — If monthly is missing it uses 0.
3. MK-PL-F-067 — If salary growth is missing it uses 0.
4. MK-PL-F-067 — Turns a monthly figure into a year by multiplying by twelve.
5. MK-PL-F-067 — Uses today's date from the device clock, so the answer changes by itself overnight.
6. MK-PL-F-067 — Rounds the answer to a whole number.
7. MK-PL-F-067 — The current age is birthday-aware when the birth month is known, else the year-attained age (G9, 2026-09-12).
8. MK-PL-F-067 — Inflation: the percent figure entered (2.5) is divided by 100 before use — 0.025 a year (G5). The effective tax rate on pre-tax withdrawals is the person's own, from filing status and income (income floored at $30,000), clamped between 10% and 60% (G7 / G35).
9. MK-CF-F-197 — Uses today's date from the device clock, so the answer changes by itself overnight.
10. MK-CF-F-197 — The IRS convention for limits: a person attains an age at any point in the calendar year, so this year − birth year — not the birthday-aware age used for display (G1 / G9).
11. MK-XS-F-179 — Uses today's date from the device clock, so the answer changes by itself overnight.
12. MK-XS-F-179 — G9 (founder, 2026-09-12): birthday-aware when the birth month is known (the onboarding asks for it), the year-attained age when only the year is known, nothing when the birth year is unknown — never a stand-in month or age. Limits use the year-attained age instead (G1).
13. MK-NW-F-035 — If v is missing it uses 12%.
14. MK-PL-F-083 — Founder ruling brief Q-50 (2026-08-20), executed 2026-09-08 (G30): the default is the dated 30-year average — 2.5% a year, Bureau of Labor Statistics CPI-U 1996–2025, checked 2026-09-08 — never a live feed; the person's own rate outranks it.
15. MK-CF-F-089 — Uses today's date from the device clock, so the answer changes by itself overnight.
16. MK-PL-F-060 — If statement monthly is missing it counts as zero, so nothing recorded and a real zero look the same.
17. MK-CF-F-083 — Turns a monthly figure into a year by multiplying by twelve.
18. MK-CF-F-083 — Uses today's date from the device clock, so the answer changes by itself overnight.
19. MK-PL-F-065 — Never lets the answer fall below 5% or rise above 20%.
20. MK-XS-F-017 — Uses today's date from the device clock, so the answer changes by itself overnight.
21. MK-NW-F-034 — If return is missing it uses 6%.
22. MK-NW-F-032 — If balance is missing it counts as zero, so nothing recorded and a real zero look the same.
23. MK-NW-F-032 — Caps percent at 100.
24. MK-NW-F-031 — If balance is missing it counts as zero, so nothing recorded and a real zero look the same.
25. MK-CF-F-101 — Never lets state rate fall below 0.
… and 42 more, on the functions tab</t>
        </is>
      </c>
      <c r="R30" s="3" t="inlineStr"/>
      <c r="S30" s="3" t="inlineStr"/>
      <c r="T30" s="3" t="inlineStr">
        <is>
          <t>NOT DETERMINED — no assumption recorded for this figure yet.</t>
        </is>
      </c>
      <c r="U30" s="3" t="inlineStr">
        <is>
          <t>THE SAME FIGURE AS MK-PL-M-011 — What is being saved each month towards retirement — "Monthly saving until then" and "Retirement saving $X/mo now".</t>
        </is>
      </c>
      <c r="V30" s="3" t="inlineStr"/>
      <c r="W30" s="3" t="inlineStr"/>
      <c r="X30" s="3" t="inlineStr"/>
      <c r="Y30" s="3" t="inlineStr">
        <is>
          <t>NOT DETERMINED</t>
        </is>
      </c>
      <c r="Z30" s="3" t="inlineStr">
        <is>
          <t>VERIFIED 2026-08-22</t>
        </is>
      </c>
      <c r="AA30"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0" s="3" t="inlineStr">
        <is>
          <t>AGREES — the figure's arithmetic and the arithmetic of the function it names say the same thing. Checked 2026-08-26.</t>
        </is>
      </c>
      <c r="AC30" s="3" t="inlineStr">
        <is>
          <t>HAS A FUNCTION — traceable from the screen to the code.</t>
        </is>
      </c>
      <c r="AD30" s="3" t="inlineStr"/>
      <c r="AE30" s="3" t="inlineStr">
        <is>
          <t>No finding on this row. That is not a statement that the row is right — only that nothing has been written against it.</t>
        </is>
      </c>
      <c r="AF30" s="3" t="inlineStr">
        <is>
          <t>SUPERSEDED BY MK-PL-M-011 — the same figure under another identifier. This number is retired and is never handed to anything else.</t>
        </is>
      </c>
      <c r="AG30" s="3" t="inlineStr">
        <is>
          <t>2026-09-30</t>
        </is>
      </c>
      <c r="AH30" s="3" t="n"/>
      <c r="AI30" s="3" t="n"/>
      <c r="AJ30" s="3" t="inlineStr">
        <is>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MK-CF-F-197, MK-PL-F-057, MK-PL-F-058, MK-PL-F-060, MK-PL-F-067, MK
9. MK-XS-I-018 retirement age — read by MK-PL-F-049, MK-PL-F-050, MK-PL-F-067
10. MK-XS-I-019 monthly expenses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expenses — read by MK-CF-F-067, MK-CF-F-068, MK-CF-F-150, MK-CF-F-151, MK-CF-F-153, MK-CF-O-002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is>
      </c>
      <c r="AK30" s="3" t="inlineStr">
        <is>
          <t>(the claim now stands in 'Inputs it needs' until the row is approved)</t>
        </is>
      </c>
      <c r="AL30" s="3" t="n"/>
      <c r="AM30" s="3" t="n"/>
      <c r="AN30" s="3" t="n"/>
      <c r="AO30" s="7" t="inlineStr">
        <is>
          <t>RULED, NOT CODED (Q-PL-6 — one question, one function)</t>
        </is>
      </c>
    </row>
    <row r="31" ht="60" customHeight="1">
      <c r="A31" s="3" t="inlineStr">
        <is>
          <t>MK-PL-M-030</t>
        </is>
      </c>
      <c r="B31" s="3" t="inlineStr">
        <is>
          <t>Plan</t>
        </is>
      </c>
      <c r="C31" s="3" t="inlineStr">
        <is>
          <t>/multi-goal</t>
        </is>
      </c>
      <c r="D31" s="3" t="inlineStr">
        <is>
          <t>Extra on debt $X/mo</t>
        </is>
      </c>
      <c r="E31" s="3" t="inlineStr">
        <is>
          <t>extraDebt</t>
        </is>
      </c>
      <c r="F31" s="3" t="inlineStr">
        <is>
          <t>Typed by the person — no function behind it</t>
        </is>
      </c>
      <c r="G31" s="3" t="inlineStr"/>
      <c r="H31" s="3" t="inlineStr">
        <is>
          <t>the value typed by the person</t>
        </is>
      </c>
      <c r="I31" s="3" t="inlineStr">
        <is>
          <t>A number the person entered; no calculation.</t>
        </is>
      </c>
      <c r="J31" s="3" t="inlineStr">
        <is>
          <t>NOT DETERMINED — no input list on record for this function</t>
        </is>
      </c>
      <c r="K31" s="3" t="inlineStr">
        <is>
          <t>US dollars · held to the cent · shown as whole dollars  [derived by rule — confirm]</t>
        </is>
      </c>
      <c r="L31" s="3" t="inlineStr">
        <is>
          <t>Nothing to compute — the person either entered it or has not, and the screen shows it only when they have.</t>
        </is>
      </c>
      <c r="M31" s="3" t="inlineStr">
        <is>
          <t>One figure per debt, and one total per person  [derived by rule — confirm]</t>
        </is>
      </c>
      <c r="N31" s="3" t="inlineStr">
        <is>
          <t>As of today, from the latest figures held  [derived by rule — confirm]</t>
        </is>
      </c>
      <c r="O31" s="3" t="inlineStr">
        <is>
          <t>No function on record — nothing to chain</t>
        </is>
      </c>
      <c r="P31" s="3" t="inlineStr">
        <is>
          <t>No function on record — nothing to chain</t>
        </is>
      </c>
      <c r="Q31" s="3" t="inlineStr">
        <is>
          <t>No function on record — assumptions unknown</t>
        </is>
      </c>
      <c r="R31" s="3" t="inlineStr"/>
      <c r="S31" s="3" t="inlineStr">
        <is>
          <t>CORRECTED 2026-08-25 — this row used to name DEBT_PICTURE. "Extra on debt $X/mo" is an amount the person chose on a dial, not a figure that function produces.</t>
        </is>
      </c>
      <c r="T31" s="3" t="inlineStr">
        <is>
          <t>NOT DETERMINED — no assumption recorded for this figure yet.</t>
        </is>
      </c>
      <c r="U31" s="3" t="inlineStr"/>
      <c r="V31" s="3" t="inlineStr"/>
      <c r="W31" s="3" t="inlineStr"/>
      <c r="X31" s="3" t="inlineStr"/>
      <c r="Y31" s="3" t="inlineStr">
        <is>
          <t>NOT DETERMINED</t>
        </is>
      </c>
      <c r="Z31" s="3" t="inlineStr">
        <is>
          <t>VERIFIED 2026-08-22</t>
        </is>
      </c>
      <c r="AA31"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1" s="3" t="inlineStr">
        <is>
          <t>B24 [NOT COMPARABLE] — This figure names no function, so its formula cannot be checked against anything. 69 of the 163 figures are in this position — the audit covers the 94 that name one.</t>
        </is>
      </c>
      <c r="AC31" s="3" t="inlineStr">
        <is>
          <t>TYPED — none needed. The person entered this number; nothing calculates it and nothing should. This row is already right and needs no work.</t>
        </is>
      </c>
      <c r="AD31" s="3" t="inlineStr"/>
      <c r="AE31" s="3" t="inlineStr">
        <is>
          <t>No finding on this row. That is not a statement that the row is right — only that nothing has been written against it.</t>
        </is>
      </c>
      <c r="AF31" s="3" t="inlineStr">
        <is>
          <t>ACTIVE</t>
        </is>
      </c>
      <c r="AG31" s="3" t="inlineStr">
        <is>
          <t>2026-08-27</t>
        </is>
      </c>
      <c r="AH31" s="3" t="n"/>
      <c r="AI31" s="3" t="n"/>
      <c r="AJ31" s="3" t="inlineStr">
        <is>
          <t>No function on record — nothing to read from
[the code's record, this build — evidence for the ruling, not the row's statement: it cannot see inputs handed in as arguments, and it counts every branch below the producer]</t>
        </is>
      </c>
      <c r="AK31" s="3" t="inlineStr">
        <is>
          <t>(the claim now stands in 'Inputs it needs' until the row is approved)</t>
        </is>
      </c>
      <c r="AL31" s="3" t="n"/>
      <c r="AM31" s="3" t="n"/>
      <c r="AN31" s="3" t="n"/>
      <c r="AO31" s="7" t="inlineStr">
        <is>
          <t>RULED, NOT CODED (Q-PL-6 — one question, one function)</t>
        </is>
      </c>
    </row>
    <row r="32" ht="60" customHeight="1">
      <c r="A32" s="3" t="inlineStr">
        <is>
          <t>MK-PL-M-031</t>
        </is>
      </c>
      <c r="B32" s="3" t="inlineStr">
        <is>
          <t>Plan</t>
        </is>
      </c>
      <c r="C32" s="3" t="inlineStr">
        <is>
          <t>/multi-goal</t>
        </is>
      </c>
      <c r="D32" s="3" t="inlineStr">
        <is>
          <t>paid off &lt;month&gt; · saves $X</t>
        </is>
      </c>
      <c r="E32" s="3" t="inlineStr">
        <is>
          <t>weighed.debtPayoff</t>
        </is>
      </c>
      <c r="F32" s="3" t="inlineStr">
        <is>
          <t>NOT ON RECORD — no function is recorded for this figure</t>
        </is>
      </c>
      <c r="G32" s="3" t="inlineStr">
        <is>
          <t>MK-CF-F-034</t>
        </is>
      </c>
      <c r="H32" s="3" t="inlineStr">
        <is>
          <t>each month: balance ← balance × (1 + rate ÷ 12) − payment, until balance ≤ 0;  payoff month = the first month it does</t>
        </is>
      </c>
      <c r="I32" s="3" t="inlineStr">
        <is>
          <t>Runs every debt forward month by month in the chosen order — highest rate first (avalanche) or smallest balance first (snowball): interest is added, the payment is taken off, and when one debt clears its payment rolls into the next. The month the last balance reaches zero is the payoff date; the interest saved is against paying minimums only.</t>
        </is>
      </c>
      <c r="J32" s="3" t="inlineStr">
        <is>
          <t>NOT DETERMINED — no input list on record for this function</t>
        </is>
      </c>
      <c r="K32" s="3" t="inlineStr">
        <is>
          <t>US dollars · held to the cent · shown as whole dollars  [derived by rule — confirm]</t>
        </is>
      </c>
      <c r="L32" s="3" t="inlineStr">
        <is>
          <t>No debt, or no extra payment chosen → the line is not shown; never a $0 saving.</t>
        </is>
      </c>
      <c r="M32" s="3" t="inlineStr">
        <is>
          <t>One figure per debt, and one total per person  [derived by rule — confirm]</t>
        </is>
      </c>
      <c r="N32" s="3" t="inlineStr">
        <is>
          <t>As of today, from the latest figures held  [derived by rule — confirm]</t>
        </is>
      </c>
      <c r="O32" s="3" t="inlineStr">
        <is>
          <t>1. MK-CF-F-132 (map) → NOT DECLARED — the code does not say what it gives back
2. MK-CF-F-022 (paymentShape) → NonNullable&lt;Debt['payment_type']&gt;</t>
        </is>
      </c>
      <c r="P32" s="3" t="inlineStr">
        <is>
          <t>No function on record — nothing to chain</t>
        </is>
      </c>
      <c r="Q32" s="3" t="inlineStr">
        <is>
          <t>No function on record — assumptions unknown</t>
        </is>
      </c>
      <c r="R32" s="3" t="inlineStr"/>
      <c r="S32" s="3" t="inlineStr"/>
      <c r="T32" s="3" t="inlineStr">
        <is>
          <t>NOT DETERMINED — no assumption recorded for this figure yet.</t>
        </is>
      </c>
      <c r="U32" s="3" t="inlineStr"/>
      <c r="V32" s="3" t="inlineStr"/>
      <c r="W32" s="3" t="inlineStr"/>
      <c r="X32" s="3" t="inlineStr"/>
      <c r="Y32" s="3" t="inlineStr">
        <is>
          <t>NOT DETERMINED</t>
        </is>
      </c>
      <c r="Z32" s="3" t="inlineStr">
        <is>
          <t>VERIFIED 2026-08-22</t>
        </is>
      </c>
      <c r="AA32" s="3" t="inlineStr">
        <is>
          <t>1. A43 — Debt payoff: this file's formula is one balance rolled forward at the rate over twelve until it clears. The code (src/domain/debt/index.ts:140) also orders debts by avalanche or snowball, rolls a cleared debt's payment into the next, defers loans whose first payment has not arrived, settles due-in-full debts as dated lumps, clears at a one-cent tolerance and gives up at 600 months with a never-pays-off flag. None of that is in the file, and the roll-over is what makes the answer right.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2" s="3" t="inlineStr">
        <is>
          <t>B24 [NOT COMPARABLE] — This figure names no function, so its formula cannot be checked against anything. 69 of the 163 figures are in this position — the audit covers the 94 that name one.</t>
        </is>
      </c>
      <c r="AC32"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32" s="3" t="inlineStr"/>
      <c r="AE32" s="3" t="inlineStr">
        <is>
          <t>A43 — FIXED 2026-09-12
G32 / Q48 — 2026-09-09: the 'division with nothing on the bottom' boilerplate is gone; this cell now states the row's real refusal. Where it says 'built', the screen already does it; the rest follow the empty-state mock.</t>
        </is>
      </c>
      <c r="AF32" s="3" t="inlineStr">
        <is>
          <t>ACTIVE</t>
        </is>
      </c>
      <c r="AG32" s="3" t="inlineStr">
        <is>
          <t>2026-08-27</t>
        </is>
      </c>
      <c r="AH32" s="3" t="n"/>
      <c r="AI32" s="3" t="n"/>
      <c r="AJ32" s="3" t="inlineStr">
        <is>
          <t>1. MK-XS-I-014 debt balance — read by MK-CF-F-034
2. MK-XS-I-015 debt interest rate — read by MK-CF-F-034
3. MK-XS-I-016 debt minimum payment — read by MK-CF-F-034
4. MK-XS-I-042 how a stream is paid — monthly, yearly or one lump — read by MK-CF-F-021, MK-CF-F-022, MK-CF-F-034
5. MK-XS-I-053 the month a debt is first paid — read by MK-CF-F-034
6. MK-XS-I-054 the date a debt is due to be paid off in full — read by MK-CF-F-034
[the code's record, this build — evidence for the ruling, not the row's statement: it cannot see inputs handed in as arguments, and it counts every branch below the producer]</t>
        </is>
      </c>
      <c r="AK32" s="3" t="inlineStr">
        <is>
          <t>(the claim now stands in 'Inputs it needs' until the row is approved)</t>
        </is>
      </c>
      <c r="AL32" s="3" t="n"/>
      <c r="AM32" s="3" t="n"/>
      <c r="AN32" s="3" t="n"/>
      <c r="AO32" s="7" t="inlineStr">
        <is>
          <t>RULED, NOT CODED (Q-PL-6 — one question, one function)</t>
        </is>
      </c>
    </row>
    <row r="33" ht="60" customHeight="1">
      <c r="A33" s="3" t="inlineStr">
        <is>
          <t>MK-PL-M-032</t>
        </is>
      </c>
      <c r="B33" s="3" t="inlineStr">
        <is>
          <t>Plan</t>
        </is>
      </c>
      <c r="C33" s="3" t="inlineStr">
        <is>
          <t>/retirement</t>
        </is>
      </c>
      <c r="D33" s="3" t="inlineStr">
        <is>
          <t>incl. Social Security $X/mo from age N</t>
        </is>
      </c>
      <c r="E33" s="3" t="inlineStr">
        <is>
          <t>ssIncome</t>
        </is>
      </c>
      <c r="F33" s="3" t="inlineStr">
        <is>
          <t>currentRetirementIncomeMonthly</t>
        </is>
      </c>
      <c r="G33" s="3" t="inlineStr">
        <is>
          <t>MK-CF-F-072</t>
        </is>
      </c>
      <c r="H33" s="3" t="inlineStr">
        <is>
          <t>guaranteed income now = Σ(streams already being received)</t>
        </is>
      </c>
      <c r="I33" s="3" t="inlineStr">
        <is>
          <t>Zero unless the person said retirement income is one of their current sources; otherwise the same total as above.
The distinction stops a future pension being counted as money arriving now — which would overstate today's income and flatter every current figure built on it.</t>
        </is>
      </c>
      <c r="J33" s="3" t="inlineStr">
        <is>
          <t>1. do they receive it now → incomeSources  [MK-XS-I-040]
2. the amounts → retirementIncomeMonthly  [MK-XS-I-008]</t>
        </is>
      </c>
      <c r="K33" s="3" t="inlineStr">
        <is>
          <t>Age in whole years  [derived by rule — confirm]</t>
        </is>
      </c>
      <c r="L33" s="3" t="inlineStr">
        <is>
          <t>Adds up to $0 when there is nothing to add. Zero and "nothing recorded yet" look identical on screen — worth a decision.</t>
        </is>
      </c>
      <c r="M33" s="3" t="inlineStr">
        <is>
          <t>One figure per person — or per household when two people share one record  [derived by rule — confirm]</t>
        </is>
      </c>
      <c r="N33" s="3" t="inlineStr">
        <is>
          <t>As of today, from the latest figures held  [derived by rule — confirm]</t>
        </is>
      </c>
      <c r="O33" s="3" t="inlineStr">
        <is>
          <t>MK-CF-F-075 (retirementIncomeMonthly) → number</t>
        </is>
      </c>
      <c r="P33" s="3" t="inlineStr">
        <is>
          <t>MK-XS-F-122 n → MK-ST-F-052 toNum → MK-CF-F-075 retirementIncomeMonthly → MK-CF-F-072 currentRetirementIncomeMonthly</t>
        </is>
      </c>
      <c r="Q33" s="3" t="inlineStr">
        <is>
          <t>None found anywhere in this chain</t>
        </is>
      </c>
      <c r="R33" s="3" t="inlineStr"/>
      <c r="S33" s="3" t="inlineStr"/>
      <c r="T33" s="3" t="inlineStr">
        <is>
          <t>NOT DETERMINED — no assumption recorded for this figure yet.</t>
        </is>
      </c>
      <c r="U33" s="3" t="inlineStr">
        <is>
          <t>THE SAME FIGURE AS MK-CF-M-011 — Guaranteed income being received now. Shown four ways: "You receive $X/mo" on Social Security timing, "incl. Social Security $X/mo" on the cockpit, as a source on Cash flow, and as a list on Monthly income. One figure, four identifiers.</t>
        </is>
      </c>
      <c r="V33" s="3" t="inlineStr"/>
      <c r="W33" s="3" t="inlineStr"/>
      <c r="X33" s="3" t="inlineStr"/>
      <c r="Y33" s="3" t="inlineStr">
        <is>
          <t>NOT DETERMINED</t>
        </is>
      </c>
      <c r="Z33" s="3" t="inlineStr">
        <is>
          <t>VERIFIED 2026-08-22</t>
        </is>
      </c>
      <c r="AA3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3" s="3" t="inlineStr">
        <is>
          <t>AGREES — the figure's arithmetic and the arithmetic of the function it names say the same thing. Checked 2026-08-26.</t>
        </is>
      </c>
      <c r="AC33" s="3" t="inlineStr">
        <is>
          <t>HAS A FUNCTION — traceable from the screen to the code.</t>
        </is>
      </c>
      <c r="AD33" s="3" t="inlineStr"/>
      <c r="AE33" s="3" t="inlineStr">
        <is>
          <t>No finding on this row. That is not a statement that the row is right — only that nothing has been written against it.</t>
        </is>
      </c>
      <c r="AF33" s="3" t="inlineStr">
        <is>
          <t>SUPERSEDED BY MK-CF-M-011 — the same figure under another identifier. This number is retired and is never handed to anything else.</t>
        </is>
      </c>
      <c r="AG33" s="3" t="inlineStr">
        <is>
          <t>2026-09-30</t>
        </is>
      </c>
      <c r="AH33" s="3" t="n"/>
      <c r="AI33" s="3" t="n"/>
      <c r="AJ33" s="3" t="inlineStr">
        <is>
          <t>1. MK-XS-I-020 Social Security monthly amount — read by MK-CF-F-072, MK-CF-F-075
2. MK-XS-I-022 pension monthly amount — read by MK-CF-F-072, MK-CF-F-075
3. MK-XS-I-035 annuity income — read by MK-CF-F-072, MK-CF-F-075
4. MK-XS-I-036 other guaranteed income — read by MK-CF-F-072, MK-CF-F-075
5. MK-XS-I-037 required-withdrawal income stream (ri_rmd) — read by MK-CF-F-075
6. MK-XS-I-038 withdrawal income stream (ri_withdrawals) — read by MK-CF-F-075
7. MK-XS-I-039 how often each income arrives — read by MK-CF-F-072, MK-CF-F-075
8. MK-XS-I-040 whether a stream is already being received — read by MK-CF-F-072
9. MK-XS-I-055 the wrapper an account sits in — ISA, 401(k), IRA and the rest — read by MK-CF-F-075
[the code's record, this build — evidence for the ruling, not the row's statement: it cannot see inputs handed in as arguments, and it counts every branch below the producer]</t>
        </is>
      </c>
      <c r="AK33" s="3" t="inlineStr">
        <is>
          <t>(the claim now stands in 'Inputs it needs' until the row is approved)</t>
        </is>
      </c>
      <c r="AL33" s="3" t="n"/>
      <c r="AM33" s="3" t="n"/>
      <c r="AN33" s="3" t="n"/>
      <c r="AO33" s="7" t="inlineStr">
        <is>
          <t>RULED, NOT CODED (Q-PL-2 — one question, one function)</t>
        </is>
      </c>
    </row>
    <row r="34" ht="60" customHeight="1">
      <c r="A34" s="3" t="inlineStr">
        <is>
          <t>MK-PL-M-033</t>
        </is>
      </c>
      <c r="B34" s="3" t="inlineStr">
        <is>
          <t>Plan</t>
        </is>
      </c>
      <c r="C34" s="3" t="inlineStr">
        <is>
          <t>/retirement</t>
        </is>
      </c>
      <c r="D34" s="3" t="inlineStr">
        <is>
          <t>your $X grows to $Y by age N at Z%/yr</t>
        </is>
      </c>
      <c r="E34" s="3" t="inlineStr">
        <is>
          <t>nestEgg / scProjected</t>
        </is>
      </c>
      <c r="F34" s="3" t="inlineStr">
        <is>
          <t>projectNestEgg</t>
        </is>
      </c>
      <c r="G34" s="3" t="inlineStr">
        <is>
          <t>MK-PL-F-055</t>
        </is>
      </c>
      <c r="H34" s="3" t="inlineStr">
        <is>
          <t>pot = balance × (1 + r)^n + Σ(contribution × (1 + r)^(n − year)),  n = years to retirement</t>
        </is>
      </c>
      <c r="I34" s="3" t="inlineStr">
        <is>
          <t>TWO FIGURES, no random runs anywhere in this one — it is the straight-line check beside the 1,000-run odds.
WHAT YOU WILL HAVE. Today's pot grown at your expected return for the years until you retire, plus every year's saving grown for however many years it has left. Worked at 6%: $600,000 today over 7 years becomes $902,000; $24,000 saved each of those years adds about $201,000; $1,103,000 in all.
WHAT YOU WILL NEED — the target pot. Walk every retirement year one at a time, from the year you retire to the age you plan to. In each year: take that year's expenses, take off the guaranteed income you receive that year, and that difference is what the pot must hand you. Bring each of those amounts back to a retirement-year value by dividing by your expected return once for every year you have to wait for it. Add them all up. That total is the pot that pays for the whole plan.
Two rules ride along: expenses rises with inflation every year, and so does Social Security, but a pension stays flat.
WHY THE NUMBER IS SMALLER THAN THE SUM OF THE EXPENSES. Money you do not need until year fifteen keeps earning until then, so you need less than fifteen years' expenses set aside today.
MONEY IS NEEDED AT THE START OF ITS YEAR. The first retirement year's expenses is not discounted at all — January's groceries cannot be paid out of December's growth. Some published calculators charge each year at its END, which gives every year one more year of growth and reports a target about (1 + return) / (1 + inflation) smaller — roughly 3% lower at a 6% return and 2.5% inflation. Neither is wrong; ours is the cautious side, and the difference is a timing convention, not a disagreement about the arithmetic.
HOW IT DIFFERS FROM THE 25 x YARDSTICK reported by the odds function: this one knows how long you plan for and what your money earns; the yardstick knows neither.</t>
        </is>
      </c>
      <c r="J34" s="3" t="inlineStr">
        <is>
          <t>the same inputs → inp  [MK-XS-I-001]</t>
        </is>
      </c>
      <c r="K34" s="3" t="inlineStr">
        <is>
          <t>Percent · one decimal shown  [derived by rule — confirm]</t>
        </is>
      </c>
      <c r="L34" s="3" t="inlineStr">
        <is>
          <t>No figure when there is nothing to grow, or when retirement is not ahead of the person.</t>
        </is>
      </c>
      <c r="M34" s="3" t="inlineStr">
        <is>
          <t>One figure per person — or per household when two people share one record  [derived by rule — confirm]</t>
        </is>
      </c>
      <c r="N34" s="3" t="inlineStr">
        <is>
          <t>The last twelve months  [derived by rule — confirm]</t>
        </is>
      </c>
      <c r="O34" s="3" t="inlineStr">
        <is>
          <t>1. MK-CF-F-132 (map) → NOT DECLARED — the code does not say what it gives back
2. MK-PL-F-050 (simulate) → NOT DECLARED — the code does not say what it gives back</t>
        </is>
      </c>
      <c r="P34" s="3" t="inlineStr">
        <is>
          <t>1. MK-CF-F-132 map → MK-PL-F-055 projectNestEgg
2. MK-CF-F-191 ym → MK-CF-F-148 inMonth → MK-CF-F-151 actualSpending → MK-CF-O-002 expenses → MK-PL-F-050 simulate → MK-PL-F-055 projectNestEgg
3. MK-XS-F-122 n → MK-ST-F-052 toNum → MK-CF-F-151 actualSpending → MK-CF-O-002 expenses → MK-PL-F-050 simulate → MK-PL-F-055 projectNestEgg
4. MK-CF-F-191 ym → MK-CF-F-151 actualSpending → MK-CF-O-002 expenses → MK-PL-F-050 simulate → MK-PL-F-055 projectNestEgg
5. MK-ST-F-056 has → MK-CF-F-150 debtPaymentsCountedAsExpenses → MK-CF-O-002 expenses → MK-PL-F-050 simulate → MK-PL-F-055 projectNestEgg
6. MK-CF-F-191 ym → MK-CF-F-148 inMonth → MK-CF-F-150 debtPaymentsCountedAsExpenses → MK-CF-O-002 expenses → MK-PL-F-050 simulate → MK-PL-F-055 projectNestEgg
7. MK-CF-F-021 defaultPaymentType → MK-CF-F-022 paymentShape → MK-CF-F-150 debtPaymentsCountedAsExpenses → MK-CF-O-002 expenses → MK-PL-F-050 simulate → MK-PL-F-055 projectNestEgg
8. MK-XS-F-122 n → MK-ST-F-052 toNum → MK-CF-F-150 debtPaymentsCountedAsExpenses → MK-CF-O-002 expenses → MK-PL-F-050 simulate → MK-PL-F-055 projectNestEgg
9. … and 4 more paths</t>
        </is>
      </c>
      <c r="Q34" s="3" t="inlineStr">
        <is>
          <t>1. MK-PL-F-055 — If contribution growth is missing it uses 0.
2. MK-PL-F-055 — If monthly is missing it counts as zero, so nothing recorded and a real zero look the same.
3. MK-PL-F-055 — Uses a built-in need of 0.
4. MK-PL-F-055 — Turns a monthly figure into a year by multiplying by twelve.
5. MK-PL-F-055 —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
6. MK-PL-F-050 — If paths is missing it uses 1000.
7. MK-PL-F-050 — If seed is missing it uses 12345.
8. MK-PL-F-050 — If now year is missing it uses 2026.
9. MK-PL-F-050 — If contribution growth is missing it uses 0.
10. MK-PL-F-050 — If pre tax share is missing it uses 0.
11. MK-PL-F-050 — If monthly is missing it counts as zero, so nothing recorded and a real zero look the same.
12. MK-PL-F-050 — If one off by year[off] is missing it counts as zero, so nothing recorded and a real zero look the same.
13. MK-PL-F-050 — If recurring by year[y] is missing it counts as zero, so nothing recorded and a real zero look the same.
14. MK-PL-F-050 — If contrib by year[y] is missing it counts as zero, so nothing recorded and a real zero look the same.
15. MK-PL-F-050 — Uses a built-in successes of 0.
16. MK-PL-F-050 — Turns a monthly figure into a year by multiplying by twelve.
17. MK-PL-F-050 — Never lets off fall below 0.
18. MK-PL-F-050 — Never lets balance fall below 0.
19. MK-PL-F-050 — Never lets required withdrawal tax rate fall below 0.
20. MK-PL-F-050 — The tax on pre-tax withdrawals is the rate the caller passes, capped at 60%; when no rate is passed NO tax is applied and the result says so — never a built-in 22% (G7, founder 2026-09-12).
21. MK-PL-F-050 — Founder ruling 2026-09-08 (G17): one count, 1,000 futures, on every surface; the guard test simulation_paths.test.ts fails on any other number.
22. MK-PL-F-075 — Rounds the answer to a whole number.
23. MK-CF-F-150 — Uses a built-in s h o w f i r s t of 5.
24. MK-ST-F-024 — When the birth year is missing the start age is taken as 73 — the rule for those born 1951–1959, the middle of the 55–70 audience (A36). The whole schedule is coded: 70½ before 1949, 72 for 1949–1950, 73 for 1951–1959, 75 from 1960.
25. MK-CF-F-023 — If monthly payment is missing it uses 0.</t>
        </is>
      </c>
      <c r="R34" s="3" t="inlineStr"/>
      <c r="S34" s="3" t="inlineStr">
        <is>
          <t>The Net worth screen builds this projection WITHOUT the person's big costs, while Cash flow, Budget, Goals and Social Security timing all include them. Same person, same day, two different nest eggs. Seen in the code; not yet confirmed on screen.</t>
        </is>
      </c>
      <c r="T34" s="3" t="inlineStr">
        <is>
          <t>[Founder] The recommended nest egg is 25× the yearly expenses not covered by guaranteed income, counted from the start of the retirement year — which is why it differs from an outside calculator.
[Built in] The assumed rate of return, which the person can change on the cockpit.
[The person] The retirement age in their plan.</t>
        </is>
      </c>
      <c r="U34" s="3" t="inlineStr">
        <is>
          <t>THE SURVIVING IDENTIFIER for this figure. Folded in: MK-NW-M-015. The projected pot at retirement, shown on Net worth as "on track for $X by age Y" and on the cockpit as "your $X grows to $Y". One figure, two screens — the founder spotted this one himself.</t>
        </is>
      </c>
      <c r="V34" s="3" t="inlineStr"/>
      <c r="W34" s="3" t="inlineStr"/>
      <c r="X34" s="3" t="inlineStr"/>
      <c r="Y34" s="3" t="inlineStr">
        <is>
          <t>NOT DETERMINED</t>
        </is>
      </c>
      <c r="Z34" s="3" t="inlineStr">
        <is>
          <t>VERIFIED 2026-08-22</t>
        </is>
      </c>
      <c r="AA34" s="3" t="inlineStr">
        <is>
          <t>1. A44 — Retirement pot: the file writes pot = balance × (1+r)^n + Σ(contribution × (1+r)^(n−year)) and stops there. Three things the code settles and the file does not: a contribution is treated as arriving at the END of its year, which changes the answer by a factor of (1+r) against the other reading; contributions grow at their own rate, which DEFAULTS TO ZERO when nobody sets one; and r is a nominal return, with inflation applied to the expenses side rather than here — so whether the headline is in today's money depends on a convention stated nowhere. (projectNestEgg, src/domain/retirement/index.ts:324.)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4" s="3" t="inlineStr">
        <is>
          <t>1. B11 [CLASH] — The file writes the pot as balance × (1+r)^n + Σ(contribution × (1+r)^(n−year)). The code (projectNestEgg) also grows each year's contribution at its own rate, (1+g)^y, and compounds it for (n − y − 1) years — an END-of-year contribution. Neither the growth rate nor the year convention is in the file, and the convention alone moves the answer by a factor of (1+r). Also finding A44.</t>
        </is>
      </c>
      <c r="AC34" s="3" t="inlineStr">
        <is>
          <t>HAS A FUNCTION — traceable from the screen to the code.</t>
        </is>
      </c>
      <c r="AD34" s="3" t="inlineStr">
        <is>
          <t>B11 — This month — the future-paycheck figure omits contribution growth the code applies</t>
        </is>
      </c>
      <c r="AE34" s="3" t="inlineStr">
        <is>
          <t>A44 — NOT A DEFECT 2026-08-26
B11 — FIXED 2026-09-12</t>
        </is>
      </c>
      <c r="AF34" s="3" t="inlineStr">
        <is>
          <t>ACTIVE</t>
        </is>
      </c>
      <c r="AG34" s="3" t="inlineStr">
        <is>
          <t>2026-09-27</t>
        </is>
      </c>
      <c r="AH34" s="3" t="n"/>
      <c r="AI34" s="3" t="n"/>
      <c r="AJ34" s="3" t="inlineStr">
        <is>
          <t>1. MK-XS-I-016 debt minimum payment — read by MK-CF-F-023
2. MK-XS-I-017 birth year — read by MK-ST-F-024
3. MK-XS-I-018 retirement age — read by MK-PL-F-050, MK-PL-F-055
4. MK-XS-I-024 logged expenses — read by MK-CF-F-150, MK-CF-F-151, MK-CF-F-153, MK-CF-O-002
5. MK-XS-I-028 assumed return — read by MK-PL-F-050, MK-PL-F-055
6. MK-XS-I-029 inflation rate — read by MK-PL-F-050, MK-PL-F-055
7. MK-XS-I-036 other guaranteed income — read by MK-PL-F-050, MK-PL-F-055
8. MK-XS-I-041 the payment the person chose to make on a debt — read by MK-CF-F-023
9. MK-XS-I-042 how a stream is paid — monthly, yearly or one lump — read by MK-CF-F-021, MK-CF-F-022, MK-CF-F-023, MK-CF-F-149, MK-CF-F-150, MK-CF-F-152
10. MK-XS-I-043 their own retirement contribution — read by MK-PL-F-050, MK-PL-F-055
[the code's record, this build — evidence for the ruling, not the row's statement: it cannot see inputs handed in as arguments, and it counts every branch below the producer]</t>
        </is>
      </c>
      <c r="AK34" s="3" t="inlineStr">
        <is>
          <t>(the claim now stands in 'Inputs it needs' until the row is approved)</t>
        </is>
      </c>
      <c r="AL34" s="3" t="n"/>
      <c r="AM34" s="3" t="n"/>
      <c r="AN34" s="3" t="n"/>
      <c r="AO34" s="7" t="inlineStr">
        <is>
          <t>RULED, NOT CODED (Q-PL-1 — one question, one function)</t>
        </is>
      </c>
    </row>
    <row r="35" ht="60" customHeight="1">
      <c r="A35" s="3" t="inlineStr">
        <is>
          <t>MK-PL-M-034</t>
        </is>
      </c>
      <c r="B35" s="3" t="inlineStr">
        <is>
          <t>Plan</t>
        </is>
      </c>
      <c r="C35" s="3" t="inlineStr">
        <is>
          <t>/retirement</t>
        </is>
      </c>
      <c r="D35" s="3" t="inlineStr">
        <is>
          <t>At Z% return, your money lasts past age N</t>
        </is>
      </c>
      <c r="E35" s="3" t="inlineStr">
        <is>
          <t>scDeplete</t>
        </is>
      </c>
      <c r="F35" s="3" t="inlineStr">
        <is>
          <t>selectWillItLast</t>
        </is>
      </c>
      <c r="G35" s="3" t="inlineStr">
        <is>
          <t>1. MK-PL-F-068
2. MK-PL-F-050</t>
        </is>
      </c>
      <c r="H35" s="3" t="inlineStr">
        <is>
          <t>run 1,000 futures; in each year: balance ← balance × (1 + random return) − (expenses − guaranteed income);  odds = futures that never run out ÷ 1,000</t>
        </is>
      </c>
      <c r="I35" s="3" t="inlineStr">
        <is>
          <t>If age, expenses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is>
      </c>
      <c r="J35" s="3" t="inlineStr">
        <is>
          <t>1. everything → WILL_IT_LAST_INPUTS  [NOT AN INPUT — another function’s answer; see the dependency column]
2. is a range wanted → withBand  [NOT AN INPUT — a setting or a filter, not data anyone supplies]</t>
        </is>
      </c>
      <c r="K35" s="3" t="inlineStr">
        <is>
          <t>Percent · exact, no rounding — 1,000 futures give it to a tenth (founder, 2026-09-14)  [derived by rule — confirm]</t>
        </is>
      </c>
      <c r="L35" s="3" t="inlineStr">
        <is>
          <t>No odds at all until the three facts are answered. A sample is shown in their place, labelled as a sample, never as the person's own number.</t>
        </is>
      </c>
      <c r="M35" s="3" t="inlineStr">
        <is>
          <t>One figure per person — or per household when two people share one record  [derived by rule — confirm]</t>
        </is>
      </c>
      <c r="N35" s="3" t="inlineStr">
        <is>
          <t>The window the person chose on screen  [derived by rule — confirm]</t>
        </is>
      </c>
      <c r="O35" s="3" t="inlineStr">
        <is>
          <t>1. MK-PL-F-066 (displayOdds) → number
2. MK-PL-F-079 (numOrZero) → n; };
3. MK-NW-F-033 (retirementEarmarkedValue) → number
4. MK-PL-F-049 (retirementSpendMonthly) → number
5. MK-PL-F-050 (simulate) → NOT DECLARED — the code does not say what it gives back
6. MK-PL-F-067 (willItLastInputs) → RetirementInputs | null
7. MK-CF-O-002 (expenses) → Expenses
8. MK-CF-F-132 (map) → NOT DECLARED — the code does not say what it gives back
9. MK-PL-F-074 (median) → number
10. MK-PL-F-072 (mulberry32) → NOT DECLARED — the code does not say what it gives back
11. MK-XS-F-122 (n) → number
12. MK-PL-F-073 (normal) → number
13. MK-PL-F-075 (pctOfSorted) → number
14. MK-ST-F-025 (rmdStartAgeFromAge) → number</t>
        </is>
      </c>
      <c r="P35" s="3" t="inlineStr">
        <is>
          <t>1. MK-PL-F-066 displayOdds → MK-PL-F-068 selectWillItLast
2. MK-XS-F-122 n → MK-PL-F-079 numOrZero → MK-PL-F-068 selectWillItLast
3. MK-NW-F-008 incomeBearingClassOf → MK-NW-F-011 assetClassOf → MK-NW-F-030 earmarkDefault → MK-NW-F-032 earmarkedAmount → MK-NW-F-033 retirementEarmarkedValue → MK-PL-F-068 selectWillItLast
4. MK-NW-F-013 realEstateUseOf → MK-NW-F-030 earmarkDefault → MK-NW-F-032 earmarkedAmount → MK-NW-F-033 retirementEarmarkedValue → MK-PL-F-068 selectWillItLast
5. MK-CF-F-155 cash → MK-NW-F-008 incomeBearingClassOf → MK-NW-F-011 assetClassOf → MK-NW-F-031 primaryCarIdOf → MK-NW-F-033 retirementEarmarkedValue → MK-PL-F-068 selectWillItLast
6. MK-ST-F-010 nameEvidence → MK-NW-F-008 incomeBearingClassOf → MK-NW-F-011 assetClassOf → MK-NW-F-031 primaryCarIdOf → MK-NW-F-033 retirementEarmarkedValue → MK-PL-F-068 selectWillItLast
7. MK-PL-F-047 colFactor → MK-PL-F-049 retirementSpendMonthly → MK-PL-F-068 selectWillItLast
8. MK-CF-F-191 ym → MK-CF-F-148 inMonth → MK-CF-F-151 actualSpending → MK-CF-O-002 expenses → MK-PL-F-049 retirementSpendMonthly → MK-PL-F-068 selectWillItLast
9. … and 5 more paths</t>
        </is>
      </c>
      <c r="Q35" s="3" t="inlineStr">
        <is>
          <t>1. MK-PL-F-066 — Rounds the answer to 6 decimal places.
2. MK-PL-F-050 — If paths is missing it uses 1000.
3. MK-PL-F-050 — If seed is missing it uses 12345.
4. MK-PL-F-050 — If now year is missing it uses 2026.
5. MK-PL-F-050 — If contribution growth is missing it uses 0.
6. MK-PL-F-050 — If pre tax share is missing it uses 0.
7. MK-PL-F-050 — If monthly is missing it counts as zero, so nothing recorded and a real zero look the same.
8. MK-PL-F-050 — If one off by year[off] is missing it counts as zero, so nothing recorded and a real zero look the same.
9. MK-PL-F-050 — If recurring by year[y] is missing it counts as zero, so nothing recorded and a real zero look the same.
10. MK-PL-F-050 — If contrib by year[y] is missing it counts as zero, so nothing recorded and a real zero look the same.
11. MK-PL-F-050 — Uses a built-in successes of 0.
12. MK-PL-F-050 — Turns a monthly figure into a year by multiplying by twelve.
13. MK-PL-F-050 — Never lets off fall below 0.
14. MK-PL-F-050 — Never lets balance fall below 0.
15. MK-PL-F-050 — Never lets required withdrawal tax rate fall below 0.
16. MK-PL-F-050 — The tax on pre-tax withdrawals is the rate the caller passes, capped at 60%; when no rate is passed NO tax is applied and the result says so — never a built-in 22% (G7, founder 2026-09-12).
17. MK-PL-F-050 — Founder ruling 2026-09-08 (G17): one count, 1,000 futures, on every surface; the guard test simulation_paths.test.ts fails on any other number.
18. MK-PL-F-067 — If social security claim age is missing it uses 67.
19. MK-PL-F-067 — If monthly is missing it uses 0.
20. MK-PL-F-067 — If salary growth is missing it uses 0.
21. MK-PL-F-067 — Turns a monthly figure into a year by multiplying by twelve.
22. MK-PL-F-067 — Uses today's date from the device clock, so the answer changes by itself overnight.
23. MK-PL-F-067 — Rounds the answer to a whole number.
24. MK-PL-F-067 — The current age is birthday-aware when the birth month is known, else the year-attained age (G9, 2026-09-12).
25. MK-PL-F-067 — Inflation: the percent figure entered (2.5) is divided by 100 before use — 0.025 a year (G5). The effective tax rate on pre-tax withdrawals is the person's own, from filing status and income (income floored at $30,000), clamped between 10% and 60% (G7 / G35).
… and 43 more, on the functions tab</t>
        </is>
      </c>
      <c r="R35" s="3" t="inlineStr"/>
      <c r="S35" s="3" t="inlineStr">
        <is>
          <t>The odds shown on Home, Plan and Cash flow are rounded to the nearest 5, while the compare tables still show them exact. One figure, two precisions — founder's open question.</t>
        </is>
      </c>
      <c r="T35" s="3" t="inlineStr">
        <is>
          <t>[Founder] One thousand futures, and the odds are rounded to the nearest 5. A genuine 100 or 0 is shown literally; 98 shows as 95, never as 100 (fix B6). The best-to-worst band was removed.
[Built in] The assumed rate of return, which the person can change on the cockpit.</t>
        </is>
      </c>
      <c r="U35" s="3" t="inlineStr"/>
      <c r="V35" s="3" t="inlineStr"/>
      <c r="W35" s="3" t="inlineStr"/>
      <c r="X35" s="3" t="inlineStr"/>
      <c r="Y35" s="3" t="inlineStr">
        <is>
          <t>NOT DETERMINED</t>
        </is>
      </c>
      <c r="Z35" s="3" t="inlineStr">
        <is>
          <t>VERIFIED 2026-08-22</t>
        </is>
      </c>
      <c r="AA3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5" s="3" t="inlineStr">
        <is>
          <t>1. B13 [MISNAMED] — The figure is the thousand-futures simulation. The function it names, MK-PL-F-068 selectWillItLast, is the GATE that decides whether the question can be answered at all — it checks an age, a expenses figure and a nest egg are present. The simulation is a different function and is named on no row of this file.</t>
        </is>
      </c>
      <c r="AC35" s="3" t="inlineStr">
        <is>
          <t>HAS A FUNCTION — traceable from the screen to the code.</t>
        </is>
      </c>
      <c r="AD35" s="3" t="inlineStr"/>
      <c r="AE35" s="3" t="inlineStr">
        <is>
          <t>B13 — FIXED 2026-09-12</t>
        </is>
      </c>
      <c r="AF35" s="3" t="inlineStr">
        <is>
          <t>ACTIVE</t>
        </is>
      </c>
      <c r="AG35" s="3" t="inlineStr">
        <is>
          <t>2026-09-27</t>
        </is>
      </c>
      <c r="AH35" s="3" t="n"/>
      <c r="AI35" s="3" t="n"/>
      <c r="AJ35" s="3" t="inlineStr">
        <is>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MK-CF-F-197, MK-PL-F-057, MK-PL-F-058, MK-PL-F-060, MK-PL-F-067, MK
9. MK-XS-I-018 retirement age — read by MK-PL-F-049, MK-PL-F-050, MK-PL-F-067
10. MK-XS-I-019 monthly expenses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expenses — read by MK-CF-F-067, MK-CF-F-068, MK-CF-F-150, MK-CF-F-151, MK-CF-F-153, MK-CF-O-002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MK-PL-F-068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is>
      </c>
      <c r="AK35" s="3" t="inlineStr">
        <is>
          <t>(the claim now stands in 'Inputs it needs' until the row is approved)</t>
        </is>
      </c>
      <c r="AL35" s="3" t="n"/>
      <c r="AM35" s="3" t="n"/>
      <c r="AN35" s="3" t="n"/>
      <c r="AO35" s="7" t="inlineStr">
        <is>
          <t>RULED, NOT CODED (Q-PL-1 — one question, one function)</t>
        </is>
      </c>
    </row>
    <row r="36" ht="60" customHeight="1">
      <c r="A36" s="3" t="inlineStr">
        <is>
          <t>MK-PL-M-035</t>
        </is>
      </c>
      <c r="B36" s="3" t="inlineStr">
        <is>
          <t>Plan</t>
        </is>
      </c>
      <c r="C36" s="3" t="inlineStr">
        <is>
          <t>/retirement</t>
        </is>
      </c>
      <c r="D36" s="3" t="inlineStr">
        <is>
          <t>Retire at age (the dial)</t>
        </is>
      </c>
      <c r="E36" s="3" t="inlineStr">
        <is>
          <t>rAge</t>
        </is>
      </c>
      <c r="F36" s="3" t="inlineStr">
        <is>
          <t>Typed by the person — no function behind it</t>
        </is>
      </c>
      <c r="G36" s="3" t="inlineStr"/>
      <c r="H36" s="3" t="inlineStr">
        <is>
          <t>the age set by the person</t>
        </is>
      </c>
      <c r="I36" s="3" t="inlineStr">
        <is>
          <t>An age the person set on a dial; no calculation.</t>
        </is>
      </c>
      <c r="J36" s="3" t="inlineStr">
        <is>
          <t>NOT DETERMINED — no input list on record for this function</t>
        </is>
      </c>
      <c r="K36" s="3" t="inlineStr">
        <is>
          <t>Age in whole years  [derived by rule — confirm]</t>
        </is>
      </c>
      <c r="L36" s="3" t="inlineStr">
        <is>
          <t>Nothing to compute — the person either entered it or has not, and the screen shows it only when they have.</t>
        </is>
      </c>
      <c r="M36" s="3" t="inlineStr">
        <is>
          <t>One figure per person — or per household when two people share one record  [derived by rule — confirm]</t>
        </is>
      </c>
      <c r="N36" s="3" t="inlineStr">
        <is>
          <t>From today to the retirement age in the plan  [derived by rule — confirm]</t>
        </is>
      </c>
      <c r="O36" s="3" t="inlineStr">
        <is>
          <t>No function on record — nothing to chain</t>
        </is>
      </c>
      <c r="P36" s="3" t="inlineStr">
        <is>
          <t>No function on record — nothing to chain</t>
        </is>
      </c>
      <c r="Q36" s="3" t="inlineStr">
        <is>
          <t>No function on record — assumptions unknown</t>
        </is>
      </c>
      <c r="R36" s="3" t="inlineStr"/>
      <c r="S36" s="3" t="inlineStr"/>
      <c r="T36" s="3" t="inlineStr">
        <is>
          <t>NOT DETERMINED — no assumption recorded for this figure yet.</t>
        </is>
      </c>
      <c r="U36" s="3" t="inlineStr"/>
      <c r="V36" s="3" t="inlineStr"/>
      <c r="W36" s="3" t="inlineStr"/>
      <c r="X36" s="3" t="inlineStr"/>
      <c r="Y36" s="3" t="inlineStr">
        <is>
          <t>NOT DETERMINED</t>
        </is>
      </c>
      <c r="Z36" s="3" t="inlineStr">
        <is>
          <t>VERIFIED 2026-08-22</t>
        </is>
      </c>
      <c r="AA36"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6" s="3" t="inlineStr">
        <is>
          <t>B24 [NOT COMPARABLE] — This figure names no function, so its formula cannot be checked against anything. 69 of the 163 figures are in this position — the audit covers the 94 that name one.</t>
        </is>
      </c>
      <c r="AC36" s="3" t="inlineStr">
        <is>
          <t>TYPED — none needed. The person entered this number; nothing calculates it and nothing should. This row is already right and needs no work.</t>
        </is>
      </c>
      <c r="AD36" s="3" t="inlineStr"/>
      <c r="AE36" s="3" t="inlineStr">
        <is>
          <t>No finding on this row. That is not a statement that the row is right — only that nothing has been written against it.</t>
        </is>
      </c>
      <c r="AF36" s="3" t="inlineStr">
        <is>
          <t>ACTIVE</t>
        </is>
      </c>
      <c r="AG36" s="3" t="inlineStr">
        <is>
          <t>2026-08-27</t>
        </is>
      </c>
      <c r="AH36" s="3" t="n"/>
      <c r="AI36" s="3" t="n"/>
      <c r="AJ36" s="3" t="inlineStr">
        <is>
          <t>No function on record — nothing to read from
[the code's record, this build — evidence for the ruling, not the row's statement: it cannot see inputs handed in as arguments, and it counts every branch below the producer]</t>
        </is>
      </c>
      <c r="AK36" s="3" t="inlineStr">
        <is>
          <t>(the claim now stands in 'Inputs it needs' until the row is approved)</t>
        </is>
      </c>
      <c r="AL36" s="3" t="n"/>
      <c r="AM36" s="3" t="n"/>
      <c r="AN36" s="3" t="n"/>
      <c r="AO36" s="7" t="inlineStr">
        <is>
          <t>RULED, NOT CODED (Q-PL-1 — one question, one function)</t>
        </is>
      </c>
    </row>
    <row r="37" ht="60" customHeight="1">
      <c r="A37" s="3" t="inlineStr">
        <is>
          <t>MK-PL-M-036</t>
        </is>
      </c>
      <c r="B37" s="3" t="inlineStr">
        <is>
          <t>Plan</t>
        </is>
      </c>
      <c r="C37" s="3" t="inlineStr">
        <is>
          <t>/education</t>
        </is>
      </c>
      <c r="D37" s="3" t="inlineStr">
        <is>
          <t>the future total cost of school</t>
        </is>
      </c>
      <c r="E37" s="3" t="inlineStr">
        <is>
          <t>plan.futureTotalCost</t>
        </is>
      </c>
      <c r="F37" s="3" t="inlineStr">
        <is>
          <t>NOT ON RECORD — no function is recorded for this figure</t>
        </is>
      </c>
      <c r="G37" s="3" t="inlineStr">
        <is>
          <t>MK-PL-F-033</t>
        </is>
      </c>
      <c r="H37" s="3" t="inlineStr">
        <is>
          <t>future cost = today’s cost × (1 + education inflation)^years;  monthly needed = gap ÷ months until school starts</t>
        </is>
      </c>
      <c r="I37" s="3" t="inlineStr">
        <is>
          <t>Grows each school year's cost by education inflation to the year it is paid, and grows today's savings at the assumed return to the start. The monthly amount is the LEVEL contribution whose future value at the start closes the gap — an annuity at the assumed return ÷ 12, so money saved between now and the first term does earn a return.</t>
        </is>
      </c>
      <c r="J37" s="3" t="inlineStr">
        <is>
          <t>NOT DETERMINED — no input list on record for this function</t>
        </is>
      </c>
      <c r="K37" s="3" t="inlineStr">
        <is>
          <t>US dollars · held to the cent · shown as whole dollars  [derived by rule — confirm]</t>
        </is>
      </c>
      <c r="L37" s="3" t="inlineStr">
        <is>
          <t>No school cost, or no years to go → the projection is not shown; never a $0 cost.</t>
        </is>
      </c>
      <c r="M37" s="3" t="inlineStr">
        <is>
          <t>One figure per person — or per household when two people share one record  [derived by rule — confirm]</t>
        </is>
      </c>
      <c r="N37" s="3" t="inlineStr">
        <is>
          <t>As of today, from the latest figures held  [derived by rule — confirm]</t>
        </is>
      </c>
      <c r="O37" s="3" t="inlineStr">
        <is>
          <t>MK-XS-F-122 (n) → number</t>
        </is>
      </c>
      <c r="P37" s="3" t="inlineStr">
        <is>
          <t>No function on record — nothing to chain</t>
        </is>
      </c>
      <c r="Q37" s="3" t="inlineStr">
        <is>
          <t>No function on record — assumptions unknown</t>
        </is>
      </c>
      <c r="R37" s="3" t="inlineStr"/>
      <c r="S37" s="3" t="inlineStr"/>
      <c r="T37" s="3" t="inlineStr">
        <is>
          <t>[Founder] brief Q-50 (2026-08-20): inflation defaults to the 30-year average of consumer prices — 2.5% a year (Bureau of Labor Statistics CPI-U, 1996–2025), fixed and dated, stated on screen, and the person can change it on the cockpit. No live feed feeds a calculation (G30, executed 2026-09-08).</t>
        </is>
      </c>
      <c r="U37" s="3" t="inlineStr"/>
      <c r="V37" s="9" t="inlineStr">
        <is>
          <t>Q26 — What education inflation rate should the college projection use, and should it be visible and editable on the screen?</t>
        </is>
      </c>
      <c r="W37" s="9" t="inlineStr"/>
      <c r="X37" s="3" t="inlineStr"/>
      <c r="Y37" s="3" t="inlineStr">
        <is>
          <t>NOT DETERMINED</t>
        </is>
      </c>
      <c r="Z37" s="3" t="inlineStr">
        <is>
          <t>VERIFIED 2026-08-22</t>
        </is>
      </c>
      <c r="AA37" s="3" t="inlineStr">
        <is>
          <t>1. A45 — Education saving: monthly needed = gap over months assumes no return whatever on money saved between now and the first term, while the retirement pot on another screen compounds its contributions. Two treatments of the same idea, and this one overstates what the person must put aside.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7" s="3" t="inlineStr">
        <is>
          <t>B24 [NOT COMPARABLE] — This figure names no function, so its formula cannot be checked against anything. 69 of the 163 figures are in this position — the audit covers the 94 that name one.</t>
        </is>
      </c>
      <c r="AC37"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37" s="3" t="inlineStr"/>
      <c r="AE37" s="3" t="inlineStr">
        <is>
          <t>A45 — FIXED 2026-09-12
G32 / Q48 — 2026-09-09: the 'division with nothing on the bottom' boilerplate is gone; this cell now states the row's real refusal. Where it says 'built', the screen already does it; the rest follow the empty-state mock.</t>
        </is>
      </c>
      <c r="AF37" s="3" t="inlineStr">
        <is>
          <t>ACTIVE</t>
        </is>
      </c>
      <c r="AG37" s="3" t="inlineStr">
        <is>
          <t>2026-08-27</t>
        </is>
      </c>
      <c r="AH37" s="3" t="n"/>
      <c r="AI37" s="3" t="n"/>
      <c r="AJ37" s="3" t="inlineStr">
        <is>
          <t>NONE — no function in this chain reads a stored input the sweep knows
[the code's record, this build — evidence for the ruling, not the row's statement: it cannot see inputs handed in as arguments, and it counts every branch below the producer]</t>
        </is>
      </c>
      <c r="AK37" s="3" t="inlineStr">
        <is>
          <t>(the claim now stands in 'Inputs it needs' until the row is approved)</t>
        </is>
      </c>
      <c r="AL37" s="3" t="n"/>
      <c r="AM37" s="3" t="n"/>
      <c r="AN37" s="3" t="n"/>
      <c r="AO37" s="9" t="inlineStr">
        <is>
          <t>WAITING ON YOU — question Q26 · CODED, NOT TESTED (finding A45 names no test)</t>
        </is>
      </c>
    </row>
    <row r="38" ht="60" customHeight="1">
      <c r="A38" s="3" t="inlineStr">
        <is>
          <t>MK-PL-M-037</t>
        </is>
      </c>
      <c r="B38" s="3" t="inlineStr">
        <is>
          <t>Plan</t>
        </is>
      </c>
      <c r="C38" s="3" t="inlineStr">
        <is>
          <t>/education</t>
        </is>
      </c>
      <c r="D38" s="3" t="inlineStr">
        <is>
          <t>$X/mo set aside closes the $Y gap</t>
        </is>
      </c>
      <c r="E38" s="3" t="inlineStr">
        <is>
          <t>plan.monthlyNeeded / plan.gap</t>
        </is>
      </c>
      <c r="F38" s="3" t="inlineStr">
        <is>
          <t>NOT ON RECORD — no function is recorded for this figure</t>
        </is>
      </c>
      <c r="G38" s="3" t="inlineStr">
        <is>
          <t>MK-PL-F-033</t>
        </is>
      </c>
      <c r="H38" s="3" t="inlineStr">
        <is>
          <t>future cost = today’s cost × (1 + education inflation)^years;  monthly needed = gap ÷ months until school starts</t>
        </is>
      </c>
      <c r="I38" s="3" t="inlineStr">
        <is>
          <t>Grows each school year's cost by education inflation to the year it is paid, and grows today's savings at the assumed return to the start. The monthly amount is the LEVEL contribution whose future value at the start closes the gap — an annuity at the assumed return ÷ 12, so money saved between now and the first term does earn a return.</t>
        </is>
      </c>
      <c r="J38" s="3" t="inlineStr">
        <is>
          <t>NOT DETERMINED — no input list on record for this function</t>
        </is>
      </c>
      <c r="K38" s="3" t="inlineStr">
        <is>
          <t>US dollars · held to the cent · shown as whole dollars  [derived by rule — confirm]</t>
        </is>
      </c>
      <c r="L38" s="3" t="inlineStr">
        <is>
          <t>No gap (already covered) → 'covered', not $0/mo; no school cost → not shown.</t>
        </is>
      </c>
      <c r="M38" s="3" t="inlineStr">
        <is>
          <t>One figure per person — or per household when two people share one record  [derived by rule — confirm]</t>
        </is>
      </c>
      <c r="N38" s="3" t="inlineStr">
        <is>
          <t>As of today, from the latest figures held  [derived by rule — confirm]</t>
        </is>
      </c>
      <c r="O38" s="3" t="inlineStr">
        <is>
          <t>MK-XS-F-122 (n) → number</t>
        </is>
      </c>
      <c r="P38" s="3" t="inlineStr">
        <is>
          <t>No function on record — nothing to chain</t>
        </is>
      </c>
      <c r="Q38" s="3" t="inlineStr">
        <is>
          <t>No function on record — assumptions unknown</t>
        </is>
      </c>
      <c r="R38" s="3" t="inlineStr"/>
      <c r="S38" s="3" t="inlineStr"/>
      <c r="T38" s="3" t="inlineStr">
        <is>
          <t>[Founder] brief Q-50 (2026-08-20): inflation defaults to the 30-year average of consumer prices — 2.5% a year (Bureau of Labor Statistics CPI-U, 1996–2025), fixed and dated, stated on screen, and the person can change it on the cockpit. No live feed feeds a calculation (G30, executed 2026-09-08).</t>
        </is>
      </c>
      <c r="U38" s="3" t="inlineStr"/>
      <c r="V38" s="3" t="inlineStr"/>
      <c r="W38" s="3" t="inlineStr"/>
      <c r="X38" s="3" t="inlineStr"/>
      <c r="Y38" s="3" t="inlineStr">
        <is>
          <t>NOT DETERMINED</t>
        </is>
      </c>
      <c r="Z38" s="3" t="inlineStr">
        <is>
          <t>VERIFIED 2026-08-22</t>
        </is>
      </c>
      <c r="AA38" s="3" t="inlineStr">
        <is>
          <t>1. A45 — Education saving: monthly needed = gap over months assumes no return whatever on money saved between now and the first term, while the retirement pot on another screen compounds its contributions. Two treatments of the same idea, and this one overstates what the person must put aside.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8" s="3" t="inlineStr">
        <is>
          <t>B24 [NOT COMPARABLE] — This figure names no function, so its formula cannot be checked against anything. 69 of the 163 figures are in this position — the audit covers the 94 that name one.</t>
        </is>
      </c>
      <c r="AC38"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38" s="3" t="inlineStr"/>
      <c r="AE38" s="3" t="inlineStr">
        <is>
          <t>A45 — FIXED 2026-09-12
G32 / Q48 — 2026-09-09: the 'division with nothing on the bottom' boilerplate is gone; this cell now states the row's real refusal. Where it says 'built', the screen already does it; the rest follow the empty-state mock.</t>
        </is>
      </c>
      <c r="AF38" s="3" t="inlineStr">
        <is>
          <t>ACTIVE</t>
        </is>
      </c>
      <c r="AG38" s="3" t="inlineStr">
        <is>
          <t>2026-08-27</t>
        </is>
      </c>
      <c r="AH38" s="3" t="n"/>
      <c r="AI38" s="3" t="n"/>
      <c r="AJ38" s="3" t="inlineStr">
        <is>
          <t>NONE — no function in this chain reads a stored input the sweep knows
[the code's record, this build — evidence for the ruling, not the row's statement: it cannot see inputs handed in as arguments, and it counts every branch below the producer]</t>
        </is>
      </c>
      <c r="AK38" s="3" t="inlineStr">
        <is>
          <t>(the claim now stands in 'Inputs it needs' until the row is approved)</t>
        </is>
      </c>
      <c r="AL38" s="3" t="n"/>
      <c r="AM38" s="3" t="n"/>
      <c r="AN38" s="3" t="n"/>
      <c r="AO38" s="9" t="inlineStr">
        <is>
          <t>CODED, NOT TESTED (finding A45 names no test)</t>
        </is>
      </c>
    </row>
    <row r="39" ht="45" customHeight="1">
      <c r="A39" s="3" t="inlineStr"/>
      <c r="B39" s="3" t="inlineStr">
        <is>
          <t>Plan</t>
        </is>
      </c>
      <c r="C39" s="3" t="inlineStr">
        <is>
          <t>/account-detail</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is>
          <t>NOT STARTED — screen not yet read</t>
        </is>
      </c>
      <c r="Y39" s="3" t="n"/>
      <c r="Z39" s="3" t="n"/>
      <c r="AA39" s="3" t="n"/>
      <c r="AB39" s="3" t="n"/>
      <c r="AC39" s="3" t="n"/>
      <c r="AD39" s="3" t="n"/>
      <c r="AE39" s="3" t="n"/>
      <c r="AF39" s="3" t="n"/>
      <c r="AG39" s="3" t="n"/>
      <c r="AH39" s="3" t="n"/>
      <c r="AI39" s="3" t="n"/>
      <c r="AJ39" s="3" t="n"/>
      <c r="AK39" s="3" t="n"/>
      <c r="AL39" s="3" t="n"/>
      <c r="AM39" s="3" t="n"/>
      <c r="AN39" s="3" t="n"/>
      <c r="AO39" s="3" t="n"/>
    </row>
    <row r="40" ht="45" customHeight="1">
      <c r="A40" s="3" t="inlineStr"/>
      <c r="B40" s="3" t="inlineStr">
        <is>
          <t>Plan</t>
        </is>
      </c>
      <c r="C40" s="3" t="inlineStr">
        <is>
          <t>/bonds</t>
        </is>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is>
          <t>NOT STARTED — screen not yet read</t>
        </is>
      </c>
      <c r="Y40" s="3" t="n"/>
      <c r="Z40" s="3" t="n"/>
      <c r="AA40" s="3" t="n"/>
      <c r="AB40" s="3" t="n"/>
      <c r="AC40" s="3" t="n"/>
      <c r="AD40" s="3" t="n"/>
      <c r="AE40" s="3" t="n"/>
      <c r="AF40" s="3" t="n"/>
      <c r="AG40" s="3" t="n"/>
      <c r="AH40" s="3" t="n"/>
      <c r="AI40" s="3" t="n"/>
      <c r="AJ40" s="3" t="n"/>
      <c r="AK40" s="3" t="n"/>
      <c r="AL40" s="3" t="n"/>
      <c r="AM40" s="3" t="n"/>
      <c r="AN40" s="3" t="n"/>
      <c r="AO40" s="3" t="n"/>
    </row>
    <row r="41" ht="45" customHeight="1">
      <c r="A41" s="3" t="inlineStr"/>
      <c r="B41" s="3" t="inlineStr">
        <is>
          <t>Plan</t>
        </is>
      </c>
      <c r="C41" s="3" t="inlineStr">
        <is>
          <t>/holding-detail</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is>
          <t>NOT STARTED — screen not yet read</t>
        </is>
      </c>
      <c r="Y41" s="3" t="n"/>
      <c r="Z41" s="3" t="n"/>
      <c r="AA41" s="3" t="n"/>
      <c r="AB41" s="3" t="n"/>
      <c r="AC41" s="3" t="n"/>
      <c r="AD41" s="3" t="n"/>
      <c r="AE41" s="3" t="n"/>
      <c r="AF41" s="3" t="n"/>
      <c r="AG41" s="3" t="n"/>
      <c r="AH41" s="3" t="n"/>
      <c r="AI41" s="3" t="n"/>
      <c r="AJ41" s="3" t="n"/>
      <c r="AK41" s="3" t="n"/>
      <c r="AL41" s="3" t="n"/>
      <c r="AM41" s="3" t="n"/>
      <c r="AN41" s="3" t="n"/>
      <c r="AO41" s="3" t="n"/>
    </row>
    <row r="42" ht="45" customHeight="1">
      <c r="A42" s="3" t="inlineStr"/>
      <c r="B42" s="3" t="inlineStr">
        <is>
          <t>Plan</t>
        </is>
      </c>
      <c r="C42" s="3" t="inlineStr">
        <is>
          <t>/itemize</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is>
          <t>NOT STARTED — screen not yet read</t>
        </is>
      </c>
      <c r="Y42" s="3" t="n"/>
      <c r="Z42" s="3" t="n"/>
      <c r="AA42" s="3" t="n"/>
      <c r="AB42" s="3" t="n"/>
      <c r="AC42" s="3" t="n"/>
      <c r="AD42" s="3" t="n"/>
      <c r="AE42" s="3" t="n"/>
      <c r="AF42" s="3" t="n"/>
      <c r="AG42" s="3" t="n"/>
      <c r="AH42" s="3" t="n"/>
      <c r="AI42" s="3" t="n"/>
      <c r="AJ42" s="3" t="n"/>
      <c r="AK42" s="3" t="n"/>
      <c r="AL42" s="3" t="n"/>
      <c r="AM42" s="3" t="n"/>
      <c r="AN42" s="3" t="n"/>
      <c r="AO42" s="3" t="n"/>
    </row>
    <row r="43" ht="45" customHeight="1">
      <c r="A43" s="3" t="inlineStr"/>
      <c r="B43" s="3" t="inlineStr">
        <is>
          <t>Plan</t>
        </is>
      </c>
      <c r="C43" s="3" t="inlineStr">
        <is>
          <t>/look-back</t>
        </is>
      </c>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is>
          <t>NOT STARTED — screen not yet read</t>
        </is>
      </c>
      <c r="Y43" s="3" t="n"/>
      <c r="Z43" s="3" t="n"/>
      <c r="AA43" s="3" t="n"/>
      <c r="AB43" s="3" t="n"/>
      <c r="AC43" s="3" t="n"/>
      <c r="AD43" s="3" t="n"/>
      <c r="AE43" s="3" t="n"/>
      <c r="AF43" s="3" t="n"/>
      <c r="AG43" s="3" t="n"/>
      <c r="AH43" s="3" t="n"/>
      <c r="AI43" s="3" t="n"/>
      <c r="AJ43" s="3" t="n"/>
      <c r="AK43" s="3" t="n"/>
      <c r="AL43" s="3" t="n"/>
      <c r="AM43" s="3" t="n"/>
      <c r="AN43" s="3" t="n"/>
      <c r="AO43" s="3" t="n"/>
    </row>
    <row r="44" ht="45" customHeight="1">
      <c r="A44" s="3" t="inlineStr"/>
      <c r="B44" s="3" t="inlineStr">
        <is>
          <t>Plan</t>
        </is>
      </c>
      <c r="C44" s="3" t="inlineStr">
        <is>
          <t>/monthly-income</t>
        </is>
      </c>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is>
          <t>NOT STARTED — screen not yet read</t>
        </is>
      </c>
      <c r="Y44" s="3" t="n"/>
      <c r="Z44" s="3" t="n"/>
      <c r="AA44" s="3" t="n"/>
      <c r="AB44" s="3" t="n"/>
      <c r="AC44" s="3" t="n"/>
      <c r="AD44" s="3" t="n"/>
      <c r="AE44" s="3" t="n"/>
      <c r="AF44" s="3" t="n"/>
      <c r="AG44" s="3" t="n"/>
      <c r="AH44" s="3" t="n"/>
      <c r="AI44" s="3" t="n"/>
      <c r="AJ44" s="3" t="n"/>
      <c r="AK44" s="3" t="n"/>
      <c r="AL44" s="3" t="n"/>
      <c r="AM44" s="3" t="n"/>
      <c r="AN44" s="3" t="n"/>
      <c r="AO44" s="3" t="n"/>
    </row>
    <row r="45" ht="60" customHeight="1">
      <c r="A45" s="3" t="inlineStr"/>
      <c r="B45" s="3" t="inlineStr">
        <is>
          <t>Plan</t>
        </is>
      </c>
      <c r="C45" s="3" t="inlineStr">
        <is>
          <t>/performance</t>
        </is>
      </c>
      <c r="D45" s="3" t="inlineStr">
        <is>
          <t>—</t>
        </is>
      </c>
      <c r="E45" s="3" t="inlineStr">
        <is>
          <t>—</t>
        </is>
      </c>
      <c r="F45" s="3" t="inlineStr">
        <is>
          <t>—</t>
        </is>
      </c>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is>
          <t>NOT DETERMINED</t>
        </is>
      </c>
      <c r="Y45" s="3" t="inlineStr">
        <is>
          <t>READ 2026-08-22 — the same screen as /invest, reached by a second route</t>
        </is>
      </c>
      <c r="Z45" s="3" t="n"/>
      <c r="AA45" s="3" t="n"/>
      <c r="AB45" s="3" t="n"/>
      <c r="AC45" s="3" t="n"/>
      <c r="AD45" s="3" t="n"/>
      <c r="AE45" s="3" t="n"/>
      <c r="AF45" s="3" t="n"/>
      <c r="AG45" s="3" t="n"/>
      <c r="AH45" s="3" t="n"/>
      <c r="AI45" s="3" t="n"/>
      <c r="AJ45" s="3" t="n"/>
      <c r="AK45" s="3" t="n"/>
      <c r="AL45" s="3" t="n"/>
      <c r="AM45" s="3" t="n"/>
      <c r="AN45" s="3" t="n"/>
      <c r="AO45" s="3" t="n"/>
    </row>
    <row r="46" ht="60" customHeight="1">
      <c r="A46" s="3" t="inlineStr"/>
      <c r="B46" s="3" t="inlineStr">
        <is>
          <t>Plan</t>
        </is>
      </c>
      <c r="C46" s="3" t="inlineStr">
        <is>
          <t>/sharpen</t>
        </is>
      </c>
      <c r="D46" s="3" t="inlineStr">
        <is>
          <t>—</t>
        </is>
      </c>
      <c r="E46" s="3" t="inlineStr">
        <is>
          <t>—</t>
        </is>
      </c>
      <c r="F46" s="3" t="inlineStr">
        <is>
          <t>—</t>
        </is>
      </c>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is>
          <t>NOT DETERMINED</t>
        </is>
      </c>
      <c r="Y46" s="3" t="inlineStr">
        <is>
          <t>READ 2026-08-22 — no calculated figure on this screen</t>
        </is>
      </c>
      <c r="Z46" s="3" t="n"/>
      <c r="AA46" s="3" t="n"/>
      <c r="AB46" s="3" t="n"/>
      <c r="AC46" s="3" t="n"/>
      <c r="AD46" s="3" t="n"/>
      <c r="AE46" s="3" t="n"/>
      <c r="AF46" s="3" t="n"/>
      <c r="AG46" s="3" t="n"/>
      <c r="AH46" s="3" t="n"/>
      <c r="AI46" s="3" t="n"/>
      <c r="AJ46" s="3" t="n"/>
      <c r="AK46" s="3" t="n"/>
      <c r="AL46" s="3" t="n"/>
      <c r="AM46" s="3" t="n"/>
      <c r="AN46" s="3" t="n"/>
      <c r="AO46" s="3" t="n"/>
    </row>
  </sheetData>
  <autoFilter ref="A1:AO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O7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45" customHeight="1">
      <c r="A2" s="3" t="inlineStr"/>
      <c r="B2" s="3" t="inlineStr">
        <is>
          <t>Cashflow</t>
        </is>
      </c>
      <c r="C2" s="3" t="inlineStr">
        <is>
          <t>/account-detail</t>
        </is>
      </c>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is>
          <t>NOT STARTED — screen not yet read</t>
        </is>
      </c>
      <c r="Y2" s="3" t="n"/>
      <c r="Z2" s="3" t="n"/>
      <c r="AA2" s="3" t="n"/>
      <c r="AB2" s="3" t="n"/>
      <c r="AC2" s="3" t="n"/>
      <c r="AD2" s="3" t="n"/>
      <c r="AE2" s="3" t="n"/>
      <c r="AF2" s="3" t="n"/>
      <c r="AG2" s="3" t="n"/>
      <c r="AH2" s="3" t="n"/>
      <c r="AI2" s="3" t="n"/>
      <c r="AJ2" s="3" t="n"/>
      <c r="AK2" s="3" t="n"/>
      <c r="AL2" s="3" t="n"/>
      <c r="AM2" s="3" t="n"/>
      <c r="AN2" s="3" t="n"/>
      <c r="AO2" s="3" t="n"/>
    </row>
    <row r="3" ht="60" customHeight="1">
      <c r="A3" s="3" t="inlineStr"/>
      <c r="B3" s="3" t="inlineStr">
        <is>
          <t>Cashflow</t>
        </is>
      </c>
      <c r="C3" s="3" t="inlineStr">
        <is>
          <t>/add-account</t>
        </is>
      </c>
      <c r="D3" s="3" t="inlineStr">
        <is>
          <t>—</t>
        </is>
      </c>
      <c r="E3" s="3" t="inlineStr">
        <is>
          <t>—</t>
        </is>
      </c>
      <c r="F3" s="3" t="inlineStr">
        <is>
          <t>—</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NOT DETERMINED</t>
        </is>
      </c>
      <c r="Y3" s="3" t="inlineStr">
        <is>
          <t>READ 2026-08-22 — no calculated figure on this screen</t>
        </is>
      </c>
      <c r="Z3" s="3" t="n"/>
      <c r="AA3" s="3" t="n"/>
      <c r="AB3" s="3" t="n"/>
      <c r="AC3" s="3" t="n"/>
      <c r="AD3" s="3" t="n"/>
      <c r="AE3" s="3" t="n"/>
      <c r="AF3" s="3" t="n"/>
      <c r="AG3" s="3" t="n"/>
      <c r="AH3" s="3" t="n"/>
      <c r="AI3" s="3" t="n"/>
      <c r="AJ3" s="3" t="n"/>
      <c r="AK3" s="3" t="n"/>
      <c r="AL3" s="3" t="n"/>
      <c r="AM3" s="3" t="n"/>
      <c r="AN3" s="3" t="n"/>
      <c r="AO3" s="3" t="n"/>
    </row>
    <row r="4" ht="45" customHeight="1">
      <c r="A4" s="3" t="inlineStr"/>
      <c r="B4" s="3" t="inlineStr">
        <is>
          <t>Cashflow</t>
        </is>
      </c>
      <c r="C4" s="3" t="inlineStr">
        <is>
          <t>/bill-calendar</t>
        </is>
      </c>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is>
          <t>NOT STARTED — screen not yet read</t>
        </is>
      </c>
      <c r="Y4" s="3" t="n"/>
      <c r="Z4" s="3" t="n"/>
      <c r="AA4" s="3" t="n"/>
      <c r="AB4" s="3" t="n"/>
      <c r="AC4" s="3" t="n"/>
      <c r="AD4" s="3" t="n"/>
      <c r="AE4" s="3" t="n"/>
      <c r="AF4" s="3" t="n"/>
      <c r="AG4" s="3" t="n"/>
      <c r="AH4" s="3" t="n"/>
      <c r="AI4" s="3" t="n"/>
      <c r="AJ4" s="3" t="n"/>
      <c r="AK4" s="3" t="n"/>
      <c r="AL4" s="3" t="n"/>
      <c r="AM4" s="3" t="n"/>
      <c r="AN4" s="3" t="n"/>
      <c r="AO4" s="3" t="n"/>
    </row>
    <row r="5" ht="45" customHeight="1">
      <c r="A5" s="3" t="inlineStr"/>
      <c r="B5" s="3" t="inlineStr">
        <is>
          <t>Cashflow</t>
        </is>
      </c>
      <c r="C5" s="3" t="inlineStr">
        <is>
          <t>/bonds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is>
          <t>NOT STARTED — screen not yet read</t>
        </is>
      </c>
      <c r="Y5" s="3" t="n"/>
      <c r="Z5" s="3" t="n"/>
      <c r="AA5" s="3" t="n"/>
      <c r="AB5" s="3" t="n"/>
      <c r="AC5" s="3" t="n"/>
      <c r="AD5" s="3" t="n"/>
      <c r="AE5" s="3" t="n"/>
      <c r="AF5" s="3" t="n"/>
      <c r="AG5" s="3" t="n"/>
      <c r="AH5" s="3" t="n"/>
      <c r="AI5" s="3" t="n"/>
      <c r="AJ5" s="3" t="n"/>
      <c r="AK5" s="3" t="n"/>
      <c r="AL5" s="3" t="n"/>
      <c r="AM5" s="3" t="n"/>
      <c r="AN5" s="3" t="n"/>
      <c r="AO5" s="3" t="n"/>
    </row>
    <row r="6" ht="45" customHeight="1">
      <c r="A6" s="3" t="inlineStr"/>
      <c r="B6" s="3" t="inlineStr">
        <is>
          <t>Cashflow</t>
        </is>
      </c>
      <c r="C6" s="3" t="inlineStr">
        <is>
          <t>/holding-detail</t>
        </is>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is>
          <t>NOT STARTED — screen not yet read</t>
        </is>
      </c>
      <c r="Y6" s="3" t="n"/>
      <c r="Z6" s="3" t="n"/>
      <c r="AA6" s="3" t="n"/>
      <c r="AB6" s="3" t="n"/>
      <c r="AC6" s="3" t="n"/>
      <c r="AD6" s="3" t="n"/>
      <c r="AE6" s="3" t="n"/>
      <c r="AF6" s="3" t="n"/>
      <c r="AG6" s="3" t="n"/>
      <c r="AH6" s="3" t="n"/>
      <c r="AI6" s="3" t="n"/>
      <c r="AJ6" s="3" t="n"/>
      <c r="AK6" s="3" t="n"/>
      <c r="AL6" s="3" t="n"/>
      <c r="AM6" s="3" t="n"/>
      <c r="AN6" s="3" t="n"/>
      <c r="AO6" s="3" t="n"/>
    </row>
    <row r="7" ht="45" customHeight="1">
      <c r="A7" s="3" t="inlineStr"/>
      <c r="B7" s="3" t="inlineStr">
        <is>
          <t>Cashflow</t>
        </is>
      </c>
      <c r="C7" s="3" t="inlineStr">
        <is>
          <t>/income-manager</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is>
          <t>NOT STARTED — screen not yet read</t>
        </is>
      </c>
      <c r="Y7" s="3" t="n"/>
      <c r="Z7" s="3" t="n"/>
      <c r="AA7" s="3" t="n"/>
      <c r="AB7" s="3" t="n"/>
      <c r="AC7" s="3" t="n"/>
      <c r="AD7" s="3" t="n"/>
      <c r="AE7" s="3" t="n"/>
      <c r="AF7" s="3" t="n"/>
      <c r="AG7" s="3" t="n"/>
      <c r="AH7" s="3" t="n"/>
      <c r="AI7" s="3" t="n"/>
      <c r="AJ7" s="3" t="n"/>
      <c r="AK7" s="3" t="n"/>
      <c r="AL7" s="3" t="n"/>
      <c r="AM7" s="3" t="n"/>
      <c r="AN7" s="3" t="n"/>
      <c r="AO7" s="3" t="n"/>
    </row>
    <row r="8" ht="45" customHeight="1">
      <c r="A8" s="3" t="inlineStr"/>
      <c r="B8" s="3" t="inlineStr">
        <is>
          <t>Cashflow</t>
        </is>
      </c>
      <c r="C8" s="3" t="inlineStr">
        <is>
          <t>/itemize</t>
        </is>
      </c>
      <c r="D8" s="3" t="inlineStr"/>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is>
          <t>NOT STARTED — screen not yet read</t>
        </is>
      </c>
      <c r="Y8" s="3" t="n"/>
      <c r="Z8" s="3" t="n"/>
      <c r="AA8" s="3" t="n"/>
      <c r="AB8" s="3" t="n"/>
      <c r="AC8" s="3" t="n"/>
      <c r="AD8" s="3" t="n"/>
      <c r="AE8" s="3" t="n"/>
      <c r="AF8" s="3" t="n"/>
      <c r="AG8" s="3" t="n"/>
      <c r="AH8" s="3" t="n"/>
      <c r="AI8" s="3" t="n"/>
      <c r="AJ8" s="3" t="n"/>
      <c r="AK8" s="3" t="n"/>
      <c r="AL8" s="3" t="n"/>
      <c r="AM8" s="3" t="n"/>
      <c r="AN8" s="3" t="n"/>
      <c r="AO8" s="3" t="n"/>
    </row>
    <row r="9" ht="45" customHeight="1">
      <c r="A9" s="3" t="inlineStr"/>
      <c r="B9" s="3" t="inlineStr">
        <is>
          <t>Cashflow</t>
        </is>
      </c>
      <c r="C9" s="3" t="inlineStr">
        <is>
          <t>/look-back</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is>
          <t>NOT STARTED — screen not yet read</t>
        </is>
      </c>
      <c r="Y9" s="3" t="n"/>
      <c r="Z9" s="3" t="n"/>
      <c r="AA9" s="3" t="n"/>
      <c r="AB9" s="3" t="n"/>
      <c r="AC9" s="3" t="n"/>
      <c r="AD9" s="3" t="n"/>
      <c r="AE9" s="3" t="n"/>
      <c r="AF9" s="3" t="n"/>
      <c r="AG9" s="3" t="n"/>
      <c r="AH9" s="3" t="n"/>
      <c r="AI9" s="3" t="n"/>
      <c r="AJ9" s="3" t="n"/>
      <c r="AK9" s="3" t="n"/>
      <c r="AL9" s="3" t="n"/>
      <c r="AM9" s="3" t="n"/>
      <c r="AN9" s="3" t="n"/>
      <c r="AO9" s="3" t="n"/>
    </row>
    <row r="10" ht="45" customHeight="1">
      <c r="A10" s="3" t="inlineStr"/>
      <c r="B10" s="3" t="inlineStr">
        <is>
          <t>Cashflow</t>
        </is>
      </c>
      <c r="C10" s="3" t="inlineStr">
        <is>
          <t>/monthly-income</t>
        </is>
      </c>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is>
          <t>NOT STARTED — screen not yet read</t>
        </is>
      </c>
      <c r="Y10" s="3" t="n"/>
      <c r="Z10" s="3" t="n"/>
      <c r="AA10" s="3" t="n"/>
      <c r="AB10" s="3" t="n"/>
      <c r="AC10" s="3" t="n"/>
      <c r="AD10" s="3" t="n"/>
      <c r="AE10" s="3" t="n"/>
      <c r="AF10" s="3" t="n"/>
      <c r="AG10" s="3" t="n"/>
      <c r="AH10" s="3" t="n"/>
      <c r="AI10" s="3" t="n"/>
      <c r="AJ10" s="3" t="n"/>
      <c r="AK10" s="3" t="n"/>
      <c r="AL10" s="3" t="n"/>
      <c r="AM10" s="3" t="n"/>
      <c r="AN10" s="3" t="n"/>
      <c r="AO10" s="3" t="n"/>
    </row>
    <row r="11" ht="60" customHeight="1">
      <c r="A11" s="3" t="inlineStr"/>
      <c r="B11" s="3" t="inlineStr">
        <is>
          <t>Cashflow</t>
        </is>
      </c>
      <c r="C11" s="3" t="inlineStr">
        <is>
          <t>/onboarding</t>
        </is>
      </c>
      <c r="D11" s="3" t="inlineStr">
        <is>
          <t>—</t>
        </is>
      </c>
      <c r="E11" s="3" t="inlineStr">
        <is>
          <t>—</t>
        </is>
      </c>
      <c r="F11" s="3" t="inlineStr">
        <is>
          <t>—</t>
        </is>
      </c>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is>
          <t>NOT DETERMINED</t>
        </is>
      </c>
      <c r="Y11" s="3" t="inlineStr">
        <is>
          <t>READ 2026-08-22 — no calculated figure on this screen</t>
        </is>
      </c>
      <c r="Z11" s="3" t="n"/>
      <c r="AA11" s="3" t="n"/>
      <c r="AB11" s="3" t="n"/>
      <c r="AC11" s="3" t="n"/>
      <c r="AD11" s="3" t="n"/>
      <c r="AE11" s="3" t="n"/>
      <c r="AF11" s="3" t="n"/>
      <c r="AG11" s="3" t="n"/>
      <c r="AH11" s="3" t="n"/>
      <c r="AI11" s="3" t="n"/>
      <c r="AJ11" s="3" t="n"/>
      <c r="AK11" s="3" t="n"/>
      <c r="AL11" s="3" t="n"/>
      <c r="AM11" s="3" t="n"/>
      <c r="AN11" s="3" t="n"/>
      <c r="AO11" s="3" t="n"/>
    </row>
    <row r="12" ht="60" customHeight="1">
      <c r="A12" s="3" t="inlineStr"/>
      <c r="B12" s="3" t="inlineStr">
        <is>
          <t>Cashflow</t>
        </is>
      </c>
      <c r="C12" s="3" t="inlineStr">
        <is>
          <t>/performance</t>
        </is>
      </c>
      <c r="D12" s="3" t="inlineStr">
        <is>
          <t>—</t>
        </is>
      </c>
      <c r="E12" s="3" t="inlineStr">
        <is>
          <t>—</t>
        </is>
      </c>
      <c r="F12" s="3" t="inlineStr">
        <is>
          <t>—</t>
        </is>
      </c>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is>
          <t>NOT DETERMINED</t>
        </is>
      </c>
      <c r="Y12" s="3" t="inlineStr">
        <is>
          <t>READ 2026-08-22 — the same screen as /invest, reached by a second route</t>
        </is>
      </c>
      <c r="Z12" s="3" t="n"/>
      <c r="AA12" s="3" t="n"/>
      <c r="AB12" s="3" t="n"/>
      <c r="AC12" s="3" t="n"/>
      <c r="AD12" s="3" t="n"/>
      <c r="AE12" s="3" t="n"/>
      <c r="AF12" s="3" t="n"/>
      <c r="AG12" s="3" t="n"/>
      <c r="AH12" s="3" t="n"/>
      <c r="AI12" s="3" t="n"/>
      <c r="AJ12" s="3" t="n"/>
      <c r="AK12" s="3" t="n"/>
      <c r="AL12" s="3" t="n"/>
      <c r="AM12" s="3" t="n"/>
      <c r="AN12" s="3" t="n"/>
      <c r="AO12" s="3" t="n"/>
    </row>
    <row r="13" ht="60" customHeight="1">
      <c r="A13" s="3" t="inlineStr">
        <is>
          <t>MK-CF-M-001</t>
        </is>
      </c>
      <c r="B13" s="3" t="inlineStr">
        <is>
          <t>Cashflow</t>
        </is>
      </c>
      <c r="C13" s="3" t="inlineStr">
        <is>
          <t>/cashflow</t>
        </is>
      </c>
      <c r="D13" s="3" t="inlineStr">
        <is>
          <t>Expenses</t>
        </is>
      </c>
      <c r="E13" s="3" t="inlineStr">
        <is>
          <t>expenses</t>
        </is>
      </c>
      <c r="F13" s="3" t="inlineStr">
        <is>
          <t>theMonth</t>
        </is>
      </c>
      <c r="G13" s="3" t="inlineStr">
        <is>
          <t>MK-CF-O-010</t>
        </is>
      </c>
      <c r="H13" s="3" t="inlineStr">
        <is>
          <t>your budget — the per-category plan added up</t>
        </is>
      </c>
      <c r="I13" s="3" t="inlineStr">
        <is>
          <t>your budget — the per-category plan added up</t>
        </is>
      </c>
      <c r="J13" s="3" t="inlineStr">
        <is>
          <t>MK-CF-I-001 your logged expenses</t>
        </is>
      </c>
      <c r="K13" s="3" t="inlineStr">
        <is>
          <t>dollars, whole a month</t>
        </is>
      </c>
      <c r="L13" s="3" t="inlineStr">
        <is>
          <t>$0, and under it the one line "Nothing entered yet. Add your income ›" (mock approved 2026-09-12). A real zero that was entered shows a plain $0 with no line.</t>
        </is>
      </c>
      <c r="M13" s="3" t="inlineStr">
        <is>
          <t>one figure per household</t>
        </is>
      </c>
      <c r="N13" s="3" t="inlineStr">
        <is>
          <t>a month</t>
        </is>
      </c>
      <c r="O13" s="3" t="inlineStr">
        <is>
          <t>1. MK-CF-F-203 (MONTH) → NOT DECLARED — the code does not say what it gives back
2. MK-CF-F-155 (cash) → number
3. MK-CF-O-002 (expenses) → Expenses
4. MK-CF-O-003 (thisMonth) → ThisMonth</t>
        </is>
      </c>
      <c r="P13" s="3" t="inlineStr">
        <is>
          <t>Declared by MK-CF-O-010 theMonth</t>
        </is>
      </c>
      <c r="Q13" s="3" t="inlineStr">
        <is>
          <t>One line on This month, and the Expenses tab is its detail — not a second answer to the same question (his correction, 2026-09-28).</t>
        </is>
      </c>
      <c r="R13" s="3" t="inlineStr">
        <is>
          <t>One line on This month, and the Expenses tab is its detail — not a second answer to the same question (his correction, 2026-09-28).</t>
        </is>
      </c>
      <c r="S13" s="3" t="inlineStr"/>
      <c r="T13" s="3" t="inlineStr">
        <is>
          <t>One line on This month, and the Expenses tab is its detail — not a second answer to the same question (his correction, 2026-09-28).</t>
        </is>
      </c>
      <c r="U13" s="3" t="inlineStr"/>
      <c r="V13" s="3" t="inlineStr"/>
      <c r="W13" s="3" t="inlineStr"/>
      <c r="X13" s="3" t="inlineStr"/>
      <c r="Y13" s="3" t="inlineStr"/>
      <c r="Z13" s="3" t="inlineStr">
        <is>
          <t>DECLARED IN THE CODE (rule 11) — printed from the door, not typed. RULED 2026-09-27</t>
        </is>
      </c>
      <c r="AA13" s="3" t="inlineStr"/>
      <c r="AB13" s="3" t="inlineStr"/>
      <c r="AC13" s="3" t="inlineStr"/>
      <c r="AD13" s="3" t="inlineStr"/>
      <c r="AE13" s="3" t="inlineStr">
        <is>
          <t>G32 / Q48 — RULED 2026-09-09: $0 stays, with the sentence '$0 — nothing entered yet.' and this row's door ('Add your income ›'). File written; the screen follows the approved empty-state mock (one pattern, one screen), then every screen.</t>
        </is>
      </c>
      <c r="AF13" s="3" t="inlineStr">
        <is>
          <t>ACTIVE</t>
        </is>
      </c>
      <c r="AG13" s="3" t="inlineStr">
        <is>
          <t>2026-10-04</t>
        </is>
      </c>
      <c r="AH13" s="3" t="inlineStr"/>
      <c r="AI13" s="3" t="inlineStr"/>
      <c r="AJ1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3" s="3" t="inlineStr">
        <is>
          <t>(the claim now stands in 'Inputs it needs' until the row is approved)</t>
        </is>
      </c>
      <c r="AL13" s="3" t="inlineStr"/>
      <c r="AM13" s="3" t="inlineStr">
        <is>
          <t>TESTED, NOT VERIFIED — you ruled on this row 2026-09-27; the figure, its formula, inputs and refusal live in MK-CF-O-010 theMonth</t>
        </is>
      </c>
      <c r="AN13"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-$3,400/month
(the test re-runs this through MK-CF-O-010 theMonth on every build)</t>
        </is>
      </c>
      <c r="AO13" s="7" t="inlineStr">
        <is>
          <t>RULED, NOT CODED (Q-CF-2 — one question, one function)</t>
        </is>
      </c>
    </row>
    <row r="14" ht="60" customHeight="1">
      <c r="A14" s="3" t="inlineStr">
        <is>
          <t>MK-CF-M-002</t>
        </is>
      </c>
      <c r="B14" s="3" t="inlineStr">
        <is>
          <t>Cashflow</t>
        </is>
      </c>
      <c r="C14" s="3" t="inlineStr">
        <is>
          <t>/cashflow · /home</t>
        </is>
      </c>
      <c r="D14" s="3">
        <f> Planned surplus</f>
        <v/>
      </c>
      <c r="E14" s="3" t="inlineStr">
        <is>
          <t>planned_surplus</t>
        </is>
      </c>
      <c r="F14" s="3" t="inlineStr">
        <is>
          <t>theMonth</t>
        </is>
      </c>
      <c r="G14" s="3" t="inlineStr">
        <is>
          <t>MK-CF-O-010</t>
        </is>
      </c>
      <c r="H14" s="3" t="inlineStr">
        <is>
          <t>the inflow, less every debt payment due, less the budget, less each big-ticket item</t>
        </is>
      </c>
      <c r="I14" s="3" t="inlineStr">
        <is>
          <t>the inflow, less every debt payment due, less the budget, less each big-ticket item</t>
        </is>
      </c>
      <c r="J14" s="3" t="inlineStr">
        <is>
          <t>MK-XS-I-023 salary and other income
MK-NW-I-002 your debts
MK-CF-I-001 your logged expenses</t>
        </is>
      </c>
      <c r="K14" s="3" t="inlineStr">
        <is>
          <t>dollars, whole a month</t>
        </is>
      </c>
      <c r="L14" s="3" t="inlineStr">
        <is>
          <t>$0, and under it the one line "Nothing entered yet. Add your bills ›" (mock approved 2026-09-12). A real zero that was entered shows a plain $0 with no line.</t>
        </is>
      </c>
      <c r="M14" s="3" t="inlineStr">
        <is>
          <t>one figure per household</t>
        </is>
      </c>
      <c r="N14" s="3" t="inlineStr">
        <is>
          <t>a month</t>
        </is>
      </c>
      <c r="O14" s="3" t="inlineStr">
        <is>
          <t>1. MK-CF-F-203 (MONTH) → NOT DECLARED — the code does not say what it gives back
2. MK-CF-F-155 (cash) → number
3. MK-CF-O-002 (expenses) → Expenses
4. MK-CF-O-003 (thisMonth) → ThisMonth</t>
        </is>
      </c>
      <c r="P14" s="3" t="inlineStr">
        <is>
          <t>Declared by MK-CF-O-010 theMonth</t>
        </is>
      </c>
      <c r="Q14" s="3" t="inlineStr">
        <is>
          <t>EVERY ROW SHOWN IS A ROW DEDUCTED (his rule under the approved design): nothing appears on This month without being in the sum.</t>
        </is>
      </c>
      <c r="R14" s="3" t="inlineStr">
        <is>
          <t>EVERY ROW SHOWN IS A ROW DEDUCTED (his rule under the approved design): nothing appears on This month without being in the sum.</t>
        </is>
      </c>
      <c r="S14" s="3" t="inlineStr"/>
      <c r="T14" s="3" t="inlineStr">
        <is>
          <t>EVERY ROW SHOWN IS A ROW DEDUCTED (his rule under the approved design): nothing appears on This month without being in the sum.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t>
        </is>
      </c>
      <c r="U14" s="3" t="inlineStr"/>
      <c r="V14" s="3" t="inlineStr"/>
      <c r="W14" s="3" t="inlineStr"/>
      <c r="X14" s="3" t="inlineStr"/>
      <c r="Y14" s="3" t="inlineStr"/>
      <c r="Z14" s="3" t="inlineStr">
        <is>
          <t>DECLARED IN THE CODE (rule 11) — printed from the door, not typed. RULED 2026-09-27</t>
        </is>
      </c>
      <c r="AA14" s="3" t="inlineStr"/>
      <c r="AB14" s="3" t="inlineStr"/>
      <c r="AC14" s="3" t="inlineStr"/>
      <c r="AD14" s="3" t="inlineStr"/>
      <c r="AE14" s="3" t="inlineStr">
        <is>
          <t>G32 / Q48 — RULED 2026-09-09: $0 stays, with the sentence '$0 — nothing entered yet.' and this row's door ('Add your bills ›'). File written; the screen follows the approved empty-state mock (one pattern, one screen), then every screen.</t>
        </is>
      </c>
      <c r="AF14" s="3" t="inlineStr">
        <is>
          <t>ACTIVE</t>
        </is>
      </c>
      <c r="AG14" s="3" t="inlineStr">
        <is>
          <t>2026-10-04</t>
        </is>
      </c>
      <c r="AH14" s="3" t="inlineStr"/>
      <c r="AI14" s="3" t="inlineStr"/>
      <c r="AJ1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4" s="3" t="inlineStr">
        <is>
          <t>(the claim now stands in 'Inputs it needs' until the row is approved)</t>
        </is>
      </c>
      <c r="AL14" s="3" t="inlineStr"/>
      <c r="AM14" s="3" t="inlineStr">
        <is>
          <t>TESTED, NOT VERIFIED — you ruled on this row 2026-09-27; the figure, its formula, inputs and refusal live in MK-CF-O-010 theMonth</t>
        </is>
      </c>
      <c r="AN14"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$1,150/month
(the test re-runs this through MK-CF-O-010 theMonth on every build)</t>
        </is>
      </c>
      <c r="AO14" s="7" t="inlineStr">
        <is>
          <t>RULED, NOT CODED (Q-CF-2 — one question, one function)</t>
        </is>
      </c>
    </row>
    <row r="15" ht="60" customHeight="1">
      <c r="A15" s="3" t="inlineStr">
        <is>
          <t>MK-CF-M-003</t>
        </is>
      </c>
      <c r="B15" s="3" t="inlineStr">
        <is>
          <t>Cashflow</t>
        </is>
      </c>
      <c r="C15" s="3" t="inlineStr">
        <is>
          <t>/cashflow</t>
        </is>
      </c>
      <c r="D15" s="3">
        <f> Actual surplus so far</f>
        <v/>
      </c>
      <c r="E15" s="3" t="inlineStr">
        <is>
          <t>actual_surplus_so_far</t>
        </is>
      </c>
      <c r="F15" s="3" t="inlineStr">
        <is>
          <t>theMonth</t>
        </is>
      </c>
      <c r="G15" s="3" t="inlineStr">
        <is>
          <t>MK-CF-O-010</t>
        </is>
      </c>
      <c r="H15" s="3" t="inlineStr">
        <is>
          <t>the inflow received, less each debt actually paid, less everything logged by hand and imported</t>
        </is>
      </c>
      <c r="I15" s="3" t="inlineStr">
        <is>
          <t>the inflow received, less each debt actually paid, less everything logged by hand and imported</t>
        </is>
      </c>
      <c r="J15" s="3" t="inlineStr">
        <is>
          <t>MK-NW-I-004 the activity records
MK-CF-I-001 your logged expenses</t>
        </is>
      </c>
      <c r="K15" s="3" t="inlineStr">
        <is>
          <t>dollars, whole a month</t>
        </is>
      </c>
      <c r="L15" s="3" t="inlineStr">
        <is>
          <t>Nothing logged and no card linked — it says so and offers the door.</t>
        </is>
      </c>
      <c r="M15" s="3" t="inlineStr">
        <is>
          <t>one figure per household</t>
        </is>
      </c>
      <c r="N15" s="3" t="inlineStr">
        <is>
          <t>a month</t>
        </is>
      </c>
      <c r="O15" s="3" t="inlineStr">
        <is>
          <t>1. MK-CF-F-203 (MONTH) → NOT DECLARED — the code does not say what it gives back
2. MK-CF-F-155 (cash) → number
3. MK-CF-O-002 (expenses) → Expenses
4. MK-CF-O-003 (thisMonth) → ThisMonth</t>
        </is>
      </c>
      <c r="P15" s="3" t="inlineStr">
        <is>
          <t>Declared by MK-CF-O-010 theMonth</t>
        </is>
      </c>
      <c r="Q15" s="3" t="inlineStr">
        <is>
          <t>An unpaid debt shows $0 with its due date — never silently dropped, or the surplus would flatter the month.
A card payment is counted ONCE: connected card → the imported purchases are the expense and the payment is a radar note; not connected → the payment IS the expense.</t>
        </is>
      </c>
      <c r="R15" s="3" t="inlineStr">
        <is>
          <t>An unpaid debt shows $0 with its due date — never silently dropped, or the surplus would flatter the month.
A card payment is counted ONCE: connected card → the imported purchases are the expense and the payment is a radar note; not connected → the payment IS the expense.</t>
        </is>
      </c>
      <c r="S15" s="3" t="inlineStr"/>
      <c r="T15" s="3" t="inlineStr">
        <is>
          <t>An unpaid debt shows $0 with its due date — never silently dropped, or the surplus would flatter the month.
A card payment is counted ONCE: connected card → the imported purchases are the expense and the payment is a radar note; not connected → the payment IS the expense.</t>
        </is>
      </c>
      <c r="U15" s="3" t="inlineStr"/>
      <c r="V15" s="3" t="inlineStr"/>
      <c r="W15" s="3" t="inlineStr"/>
      <c r="X15" s="3" t="inlineStr"/>
      <c r="Y15" s="3" t="inlineStr"/>
      <c r="Z15" s="3" t="inlineStr">
        <is>
          <t>DECLARED IN THE CODE (rule 11) — printed from the door, not typed. RULED 2026-09-27</t>
        </is>
      </c>
      <c r="AA15" s="3" t="inlineStr"/>
      <c r="AB15" s="3" t="inlineStr"/>
      <c r="AC15" s="3" t="inlineStr"/>
      <c r="AD15" s="3" t="inlineStr"/>
      <c r="AE15" s="3" t="inlineStr"/>
      <c r="AF15" s="3" t="inlineStr">
        <is>
          <t>ACTIVE</t>
        </is>
      </c>
      <c r="AG15" s="3" t="inlineStr">
        <is>
          <t>2026-10-04</t>
        </is>
      </c>
      <c r="AH15" s="3" t="inlineStr"/>
      <c r="AI15" s="3" t="inlineStr"/>
      <c r="AJ1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5" s="3" t="inlineStr">
        <is>
          <t>(the claim now stands in 'Inputs it needs' until the row is approved)</t>
        </is>
      </c>
      <c r="AL15" s="3" t="inlineStr"/>
      <c r="AM15" s="3" t="inlineStr">
        <is>
          <t>TESTED, NOT VERIFIED — you ruled on this row 2026-09-27; the figure, its formula, inputs and refusal live in MK-CF-O-010 theMonth</t>
        </is>
      </c>
      <c r="AN15"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$3,952/month
(the test re-runs this through MK-CF-O-010 theMonth on every build)</t>
        </is>
      </c>
      <c r="AO15" s="7" t="inlineStr">
        <is>
          <t>RULED, NOT CODED (Q-CF-2 — one question, one function)</t>
        </is>
      </c>
    </row>
    <row r="16" ht="60" customHeight="1">
      <c r="A16" s="3" t="inlineStr">
        <is>
          <t>MK-CF-M-004</t>
        </is>
      </c>
      <c r="B16" s="3" t="inlineStr">
        <is>
          <t>Cashflow</t>
        </is>
      </c>
      <c r="C16" s="3" t="inlineStr">
        <is>
          <t>/cashflow</t>
        </is>
      </c>
      <c r="D16" s="3" t="inlineStr">
        <is>
          <t>each row of the month — what it is and what it costs</t>
        </is>
      </c>
      <c r="E16" s="3" t="inlineStr">
        <is>
          <t>each_row_of_the_month__what_it_is_and_wh</t>
        </is>
      </c>
      <c r="F16" s="3" t="inlineStr">
        <is>
          <t>theMonth</t>
        </is>
      </c>
      <c r="G16" s="3" t="inlineStr">
        <is>
          <t>MK-CF-F-194</t>
        </is>
      </c>
      <c r="H16" s="3" t="inlineStr">
        <is>
          <t>outflow = expenses this month + debt actually paid this month  (a month with a saved snapshot: its expenses + debt paid; a month without one: the expenses logged so far)</t>
        </is>
      </c>
      <c r="I16" s="3" t="inlineStr">
        <is>
          <t>This month's outflow: everything logged as an expense plus every debt payment actually made — from one function (MK-CF-F-194 monthOutflow), never added on the screen. The label says what is inside: "Outflow (expenses + debt)".</t>
        </is>
      </c>
      <c r="J16" s="3" t="inlineStr">
        <is>
          <t>MK-XS-I-023 salary and other income
MK-NW-I-002 your debts
MK-CF-I-001 your logged expenses</t>
        </is>
      </c>
      <c r="K16" s="3" t="inlineStr">
        <is>
          <t>dollars, whole</t>
        </is>
      </c>
      <c r="L16" s="3" t="inlineStr">
        <is>
          <t>$0, and under it the one line "Nothing entered yet. Log your expenses ›" (mock approved 2026-09-12). A real zero that was entered shows a plain $0 with no line.</t>
        </is>
      </c>
      <c r="M16" s="3" t="inlineStr">
        <is>
          <t>one row</t>
        </is>
      </c>
      <c r="N16" s="3" t="inlineStr">
        <is>
          <t>as of today</t>
        </is>
      </c>
      <c r="O16" s="3" t="inlineStr">
        <is>
          <t>None — it reads its inputs and answers</t>
        </is>
      </c>
      <c r="P16" s="3" t="inlineStr">
        <is>
          <t>Declared by MK-CF-O-010 theMonth</t>
        </is>
      </c>
      <c r="Q16" s="3" t="inlineStr">
        <is>
          <t>Drawn from the approved design (cash-flow_v01): the flow is SPELLED OUT, not summarised into three numbers.</t>
        </is>
      </c>
      <c r="R16" s="3" t="inlineStr">
        <is>
          <t>Drawn from the approved design (cash-flow_v01): the flow is SPELLED OUT, not summarised into three numbers.</t>
        </is>
      </c>
      <c r="S16" s="3" t="inlineStr"/>
      <c r="T16" s="3" t="inlineStr">
        <is>
          <t>Drawn from the approved design (cash-flow_v01): the flow is SPELLED OUT, not summarised into three numbers.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t>
        </is>
      </c>
      <c r="U16" s="3" t="inlineStr"/>
      <c r="V16" s="9" t="inlineStr">
        <is>
          <t>Q50 — Your 2026-08-27 worked example: planned surplus 750 = 5,000 − 2,000 − 250 − 2,000 and actual 1,300 = 5,000 − 2,000 − 0 − 500 − 1,200 — neither subtracts the HELOC 200 or the card payment 200 that your expenses section says are counted as expenses. Which is right for the surplus line: count them (planned 350, actual 900) or not (750, 1,300)?</t>
        </is>
      </c>
      <c r="W16" s="9" t="inlineStr">
        <is>
          <t>count them</t>
        </is>
      </c>
      <c r="X16" s="3" t="inlineStr"/>
      <c r="Y16" s="3" t="inlineStr"/>
      <c r="Z16" s="3" t="inlineStr">
        <is>
          <t>DECLARED IN THE CODE (rule 11) — printed from the door, not typed. RULED 2026-09-27</t>
        </is>
      </c>
      <c r="AA16" s="3" t="inlineStr"/>
      <c r="AB16" s="3" t="inlineStr"/>
      <c r="AC16" s="3" t="inlineStr"/>
      <c r="AD16" s="3" t="inlineStr"/>
      <c r="AE16" s="3" t="inlineStr">
        <is>
          <t>G32 / Q48 — RULED 2026-09-09: $0 stays, with the sentence '$0 — nothing entered yet.' and this row's door ('Log your expenses ›'). File written; the screen follows the approved empty-state mock (one pattern, one screen), then every screen.</t>
        </is>
      </c>
      <c r="AF16" s="3" t="inlineStr">
        <is>
          <t>ACTIVE</t>
        </is>
      </c>
      <c r="AG16" s="3" t="inlineStr">
        <is>
          <t>2026-10-04</t>
        </is>
      </c>
      <c r="AH16" s="3" t="inlineStr"/>
      <c r="AI16" s="3" t="inlineStr"/>
      <c r="AJ16" s="3" t="inlineStr">
        <is>
          <t>NONE — no function in this chain reads a stored input the sweep knows
[the code's record, this build — evidence for the ruling, not the row's statement: it cannot see inputs handed in as arguments, and it counts every branch below the producer]</t>
        </is>
      </c>
      <c r="AK16" s="3" t="inlineStr">
        <is>
          <t>(the claim now stands in 'Inputs it needs' until the row is approved)</t>
        </is>
      </c>
      <c r="AL16" s="3" t="inlineStr"/>
      <c r="AM16" s="3" t="inlineStr">
        <is>
          <t>TESTED, NOT VERIFIED — you ruled on this row 2026-09-27; the figure, its formula, inputs and refusal live in MK-CF-O-010 theMonth</t>
        </is>
      </c>
      <c r="AN16"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-$250
(the test re-runs this through MK-CF-O-010 theMonth on every build)</t>
        </is>
      </c>
      <c r="AO16" s="9" t="inlineStr">
        <is>
          <t>WAITING ON YOU — question Q50 · RULED, NOT CODED (Q-CF-2 — one question, one function)</t>
        </is>
      </c>
    </row>
    <row r="17" ht="60" customHeight="1">
      <c r="A17" s="3" t="inlineStr">
        <is>
          <t>MK-CF-M-006</t>
        </is>
      </c>
      <c r="B17" s="3" t="inlineStr">
        <is>
          <t>Cashflow</t>
        </is>
      </c>
      <c r="C17" s="3" t="inlineStr">
        <is>
          <t>/cashflow</t>
        </is>
      </c>
      <c r="D17" s="3" t="inlineStr">
        <is>
          <t>YOUR SOURCES — Base salary</t>
        </is>
      </c>
      <c r="E17" s="3" t="inlineStr">
        <is>
          <t>your_sources__base_salary</t>
        </is>
      </c>
      <c r="F17" s="3" t="inlineStr">
        <is>
          <t>incomeSummary</t>
        </is>
      </c>
      <c r="G17" s="3" t="inlineStr">
        <is>
          <t>MK-CF-O-004</t>
        </is>
      </c>
      <c r="H17" s="3" t="inlineStr">
        <is>
          <t>the base salary of each earner, in the period it was entered</t>
        </is>
      </c>
      <c r="I17" s="3" t="inlineStr">
        <is>
          <t>the base salary of each earner, in the period it was entered</t>
        </is>
      </c>
      <c r="J17" s="3" t="inlineStr">
        <is>
          <t>MK-XS-I-023 salary and other income
MK-XS-I-060 how a person is paid — weekly, fortnightly, monthly</t>
        </is>
      </c>
      <c r="K17" s="3" t="inlineStr">
        <is>
          <t>dollars, whole</t>
        </is>
      </c>
      <c r="L17" s="3" t="inlineStr">
        <is>
          <t>$0, and under it the one line "Nothing entered yet. Add your income ›" (mock approved 2026-09-12). A real zero that was entered shows a plain $0 with no line.</t>
        </is>
      </c>
      <c r="M17" s="3" t="inlineStr">
        <is>
          <t>one earner</t>
        </is>
      </c>
      <c r="N17" s="3" t="inlineStr">
        <is>
          <t>as of today</t>
        </is>
      </c>
      <c r="O17"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17" s="3" t="inlineStr">
        <is>
          <t>Declared by MK-CF-O-004 incomeSummary</t>
        </is>
      </c>
      <c r="Q17" s="3" t="inlineStr">
        <is>
          <t>NEVER CONVERTED SILENTLY: the amount is shown in the period it was entered, and the period is said beside it.</t>
        </is>
      </c>
      <c r="R17" s="3" t="inlineStr">
        <is>
          <t>NEVER CONVERTED SILENTLY: the amount is shown in the period it was entered, and the period is said beside it.</t>
        </is>
      </c>
      <c r="S17" s="3" t="inlineStr"/>
      <c r="T17" s="3" t="inlineStr">
        <is>
          <t>NEVER CONVERTED SILENTLY: the amount is shown in the period it was entered, and the period is said beside it.</t>
        </is>
      </c>
      <c r="U17" s="3" t="inlineStr"/>
      <c r="V17" s="3" t="inlineStr"/>
      <c r="W17" s="3" t="inlineStr"/>
      <c r="X17" s="3" t="inlineStr"/>
      <c r="Y17" s="3" t="inlineStr"/>
      <c r="Z17" s="3" t="inlineStr">
        <is>
          <t>DECLARED IN THE CODE (rule 11) — printed from the door, not typed. RULED 2026-10-02</t>
        </is>
      </c>
      <c r="AA17" s="3" t="inlineStr"/>
      <c r="AB17" s="3" t="inlineStr"/>
      <c r="AC17" s="3" t="inlineStr"/>
      <c r="AD17" s="3" t="inlineStr"/>
      <c r="AE17" s="3" t="inlineStr">
        <is>
          <t>G32 / Q48 — 2026-09-09: the 'division with nothing on the bottom' boilerplate is gone; this cell now states the row's real refusal. Where it says 'built', the screen already does it; the rest follow the empty-state mock.</t>
        </is>
      </c>
      <c r="AF17" s="3" t="inlineStr">
        <is>
          <t>ACTIVE</t>
        </is>
      </c>
      <c r="AG17" s="3" t="inlineStr">
        <is>
          <t>2026-10-04</t>
        </is>
      </c>
      <c r="AH17" s="3" t="inlineStr"/>
      <c r="AI17" s="3" t="inlineStr"/>
      <c r="AJ17"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7" s="3" t="inlineStr">
        <is>
          <t>(the claim now stands in 'Inputs it needs' until the row is approved)</t>
        </is>
      </c>
      <c r="AL17" s="3" t="inlineStr"/>
      <c r="AM17" s="3" t="inlineStr">
        <is>
          <t>TESTED, NOT VERIFIED — you ruled on this row 2026-10-02; the figure, its formula, inputs and refusal live in MK-CF-O-004 incomeSummary</t>
        </is>
      </c>
      <c r="AN17" s="3" t="inlineStr">
        <is>
          <t>The two earners above, plus $24,000/year of self-employment, a $12,000 bonus in March, 50 shares vesting at $400, a rental bringing in $2,000/month against $800 of costs, and $2,100/month of Social Security.
GIVES: $4,200
(the test re-runs this through MK-CF-O-004 incomeSummary on every build)</t>
        </is>
      </c>
      <c r="AO17" s="7" t="inlineStr">
        <is>
          <t>RULED, NOT CODED (Q-CF-1 — one question, one function)</t>
        </is>
      </c>
    </row>
    <row r="18" ht="60" customHeight="1">
      <c r="A18" s="3" t="inlineStr">
        <is>
          <t>MK-CF-M-007</t>
        </is>
      </c>
      <c r="B18" s="3" t="inlineStr">
        <is>
          <t>Cashflow</t>
        </is>
      </c>
      <c r="C18" s="3" t="inlineStr">
        <is>
          <t>/cashflow</t>
        </is>
      </c>
      <c r="D18" s="3" t="inlineStr">
        <is>
          <t>YOUR SOURCES — Self-employment</t>
        </is>
      </c>
      <c r="E18" s="3" t="inlineStr">
        <is>
          <t>your_sources__selfemployment</t>
        </is>
      </c>
      <c r="F18" s="3" t="inlineStr">
        <is>
          <t>incomeSummary</t>
        </is>
      </c>
      <c r="G18" s="3" t="inlineStr">
        <is>
          <t>MK-CF-O-004</t>
        </is>
      </c>
      <c r="H18" s="3" t="inlineStr">
        <is>
          <t>the self-employment amount as entered, monthly or yearly</t>
        </is>
      </c>
      <c r="I18" s="3" t="inlineStr">
        <is>
          <t>the self-employment amount as entered, monthly or yearly</t>
        </is>
      </c>
      <c r="J18" s="3" t="inlineStr">
        <is>
          <t>MK-XS-I-023 salary and other income</t>
        </is>
      </c>
      <c r="K18" s="3" t="inlineStr">
        <is>
          <t>dollars, whole</t>
        </is>
      </c>
      <c r="L18" s="3" t="inlineStr">
        <is>
          <t>$0, and under it the one line "Nothing entered yet. Add your income ›" (mock approved 2026-09-12). A real zero that was entered shows a plain $0 with no line.</t>
        </is>
      </c>
      <c r="M18" s="3" t="inlineStr">
        <is>
          <t>one figure per household</t>
        </is>
      </c>
      <c r="N18" s="3" t="inlineStr">
        <is>
          <t>as of today</t>
        </is>
      </c>
      <c r="O18"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18" s="3" t="inlineStr">
        <is>
          <t>Declared by MK-CF-O-004 incomeSummary</t>
        </is>
      </c>
      <c r="Q18" s="3" t="inlineStr">
        <is>
          <t>NONE RECORDED — the declaration names none.</t>
        </is>
      </c>
      <c r="R18" s="3" t="inlineStr">
        <is>
          <t>NONE RECORDED — the declaration names none.</t>
        </is>
      </c>
      <c r="S18" s="3" t="inlineStr"/>
      <c r="T18" s="3" t="inlineStr">
        <is>
          <t>NONE RECORDED — the declaration names none.</t>
        </is>
      </c>
      <c r="U18" s="3" t="inlineStr"/>
      <c r="V18" s="3" t="inlineStr"/>
      <c r="W18" s="3" t="inlineStr"/>
      <c r="X18" s="3" t="inlineStr"/>
      <c r="Y18" s="3" t="inlineStr"/>
      <c r="Z18" s="3" t="inlineStr">
        <is>
          <t>DECLARED IN THE CODE (rule 11) — printed from the door, not typed. RULED 2026-10-02</t>
        </is>
      </c>
      <c r="AA18" s="3" t="inlineStr"/>
      <c r="AB18" s="3" t="inlineStr"/>
      <c r="AC18" s="3" t="inlineStr"/>
      <c r="AD18" s="3" t="inlineStr"/>
      <c r="AE18" s="3" t="inlineStr">
        <is>
          <t>G32 / Q48 — 2026-09-09: the 'division with nothing on the bottom' boilerplate is gone; this cell now states the row's real refusal. Where it says 'built', the screen already does it; the rest follow the empty-state mock.</t>
        </is>
      </c>
      <c r="AF18" s="3" t="inlineStr">
        <is>
          <t>ACTIVE</t>
        </is>
      </c>
      <c r="AG18" s="3" t="inlineStr">
        <is>
          <t>2026-10-04</t>
        </is>
      </c>
      <c r="AH18" s="3" t="inlineStr"/>
      <c r="AI18" s="3" t="inlineStr"/>
      <c r="AJ1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8" s="3" t="inlineStr">
        <is>
          <t>(the claim now stands in 'Inputs it needs' until the row is approved)</t>
        </is>
      </c>
      <c r="AL18" s="3" t="inlineStr"/>
      <c r="AM18" s="3" t="inlineStr">
        <is>
          <t>TESTED, NOT VERIFIED — you ruled on this row 2026-10-02; the figure, its formula, inputs and refusal live in MK-CF-O-004 incomeSummary</t>
        </is>
      </c>
      <c r="AN18" s="3" t="inlineStr">
        <is>
          <t>The two earners above, plus $24,000/year of self-employment, a $12,000 bonus in March, 50 shares vesting at $400, a rental bringing in $2,000/month against $800 of costs, and $2,100/month of Social Security.
GIVES: $24,000
(the test re-runs this through MK-CF-O-004 incomeSummary on every build)</t>
        </is>
      </c>
      <c r="AO18" s="7" t="inlineStr">
        <is>
          <t>RULED, NOT CODED (Q-CF-1 — one question, one function)</t>
        </is>
      </c>
    </row>
    <row r="19" ht="60" customHeight="1">
      <c r="A19" s="3" t="inlineStr">
        <is>
          <t>MK-CF-M-008</t>
        </is>
      </c>
      <c r="B19" s="3" t="inlineStr">
        <is>
          <t>Cashflow</t>
        </is>
      </c>
      <c r="C19" s="3" t="inlineStr">
        <is>
          <t>/cashflow</t>
        </is>
      </c>
      <c r="D19" s="3" t="inlineStr">
        <is>
          <t>YOUR SOURCES — Bonus</t>
        </is>
      </c>
      <c r="E19" s="3" t="inlineStr">
        <is>
          <t>your_sources__bonus</t>
        </is>
      </c>
      <c r="F19" s="3" t="inlineStr">
        <is>
          <t>incomeSummary</t>
        </is>
      </c>
      <c r="G19" s="3" t="inlineStr">
        <is>
          <t>MK-CF-O-004</t>
        </is>
      </c>
      <c r="H19" s="3" t="inlineStr">
        <is>
          <t>the bonus as entered, a year; shown in the month it lands, never spread</t>
        </is>
      </c>
      <c r="I19" s="3" t="inlineStr">
        <is>
          <t>the bonus as entered, a year; shown in the month it lands, never spread</t>
        </is>
      </c>
      <c r="J19" s="3" t="inlineStr">
        <is>
          <t>MK-CF-I-009 bonus
MK-XS-I-059 the month a bonus lands</t>
        </is>
      </c>
      <c r="K19" s="3" t="inlineStr">
        <is>
          <t>dollars, whole a year</t>
        </is>
      </c>
      <c r="L19" s="3" t="inlineStr">
        <is>
          <t>$0, and under it the one line "Nothing entered yet. Add your income ›" (mock approved 2026-09-12). A real zero that was entered shows a plain $0 with no line.</t>
        </is>
      </c>
      <c r="M19" s="3" t="inlineStr">
        <is>
          <t>one figure per household</t>
        </is>
      </c>
      <c r="N19" s="3" t="inlineStr">
        <is>
          <t>a year</t>
        </is>
      </c>
      <c r="O19"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19" s="3" t="inlineStr">
        <is>
          <t>Declared by MK-CF-O-004 incomeSummary</t>
        </is>
      </c>
      <c r="Q19" s="3" t="inlineStr">
        <is>
          <t>A LUMP THAT LANDS ONCE IS NEVER AVERAGED across the year (founder, 2026-08-28).</t>
        </is>
      </c>
      <c r="R19" s="3" t="inlineStr">
        <is>
          <t>A LUMP THAT LANDS ONCE IS NEVER AVERAGED across the year (founder, 2026-08-28).</t>
        </is>
      </c>
      <c r="S19" s="3" t="inlineStr"/>
      <c r="T19" s="3" t="inlineStr">
        <is>
          <t>A LUMP THAT LANDS ONCE IS NEVER AVERAGED across the year (founder, 2026-08-28).</t>
        </is>
      </c>
      <c r="U19" s="3" t="inlineStr"/>
      <c r="V19" s="3" t="inlineStr"/>
      <c r="W19" s="3" t="inlineStr"/>
      <c r="X19" s="3" t="inlineStr"/>
      <c r="Y19" s="3" t="inlineStr"/>
      <c r="Z19" s="3" t="inlineStr">
        <is>
          <t>DECLARED IN THE CODE (rule 11) — printed from the door, not typed. RULED 2026-10-02</t>
        </is>
      </c>
      <c r="AA19" s="3" t="inlineStr"/>
      <c r="AB19" s="3" t="inlineStr"/>
      <c r="AC19" s="3" t="inlineStr"/>
      <c r="AD19" s="3" t="inlineStr"/>
      <c r="AE19" s="3" t="inlineStr">
        <is>
          <t>G32 / Q48 — 2026-09-09: the 'division with nothing on the bottom' boilerplate is gone; this cell now states the row's real refusal. Where it says 'built', the screen already does it; the rest follow the empty-state mock.</t>
        </is>
      </c>
      <c r="AF19" s="3" t="inlineStr">
        <is>
          <t>ACTIVE</t>
        </is>
      </c>
      <c r="AG19" s="3" t="inlineStr">
        <is>
          <t>2026-10-04</t>
        </is>
      </c>
      <c r="AH19" s="3" t="inlineStr"/>
      <c r="AI19" s="3" t="inlineStr"/>
      <c r="AJ1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9" s="3" t="inlineStr">
        <is>
          <t>(the claim now stands in 'Inputs it needs' until the row is approved)</t>
        </is>
      </c>
      <c r="AL19" s="3" t="inlineStr"/>
      <c r="AM19" s="3" t="inlineStr">
        <is>
          <t>TESTED, NOT VERIFIED — you ruled on this row 2026-10-02; the figure, its formula, inputs and refusal live in MK-CF-O-004 incomeSummary</t>
        </is>
      </c>
      <c r="AN19" s="3" t="inlineStr">
        <is>
          <t>The two earners above, plus $24,000/year of self-employment, a $12,000 bonus in March, 50 shares vesting at $400, a rental bringing in $2,000/month against $800 of costs, and $2,100/month of Social Security.
GIVES: $12,000/year
(the test re-runs this through MK-CF-O-004 incomeSummary on every build)</t>
        </is>
      </c>
      <c r="AO19" s="7" t="inlineStr">
        <is>
          <t>RULED, NOT CODED (Q-CF-1 — one question, one function)</t>
        </is>
      </c>
    </row>
    <row r="20" ht="60" customHeight="1">
      <c r="A20" s="3" t="inlineStr">
        <is>
          <t>MK-CF-M-009</t>
        </is>
      </c>
      <c r="B20" s="3" t="inlineStr">
        <is>
          <t>Cashflow</t>
        </is>
      </c>
      <c r="C20" s="3" t="inlineStr">
        <is>
          <t>/cashflow</t>
        </is>
      </c>
      <c r="D20" s="3" t="inlineStr">
        <is>
          <t>YOUR SOURCES — Stock vesting (equity)</t>
        </is>
      </c>
      <c r="E20" s="3" t="inlineStr">
        <is>
          <t>your_sources__stock_vesting_equity</t>
        </is>
      </c>
      <c r="F20" s="3" t="inlineStr">
        <is>
          <t>incomeSummary</t>
        </is>
      </c>
      <c r="G20" s="3" t="inlineStr">
        <is>
          <t>MK-CF-O-004</t>
        </is>
      </c>
      <c r="H20" s="3" t="inlineStr">
        <is>
          <t>shares vesting × price per share; with a grant schedule, the total ÷ the years it vests over</t>
        </is>
      </c>
      <c r="I20" s="3" t="inlineStr">
        <is>
          <t>shares vesting × price per share; with a grant schedule, the total ÷ the years it vests over</t>
        </is>
      </c>
      <c r="J20" s="3" t="inlineStr">
        <is>
          <t>MK-CF-I-010 equity vesting
MK-XS-I-005 holding price</t>
        </is>
      </c>
      <c r="K20" s="3" t="inlineStr">
        <is>
          <t>dollars, whole a year</t>
        </is>
      </c>
      <c r="L20" s="3" t="inlineStr">
        <is>
          <t>$0, and under it the one line "Nothing entered yet. Add your income ›" (mock approved 2026-09-12). A real zero that was entered shows a plain $0 with no line.</t>
        </is>
      </c>
      <c r="M20" s="3" t="inlineStr">
        <is>
          <t>one figure per household</t>
        </is>
      </c>
      <c r="N20" s="3" t="inlineStr">
        <is>
          <t>a year</t>
        </is>
      </c>
      <c r="O20"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20" s="3" t="inlineStr">
        <is>
          <t>Declared by MK-CF-O-004 incomeSummary</t>
        </is>
      </c>
      <c r="Q20" s="3" t="inlineStr">
        <is>
          <t>NONE RECORDED — the declaration names none.</t>
        </is>
      </c>
      <c r="R20" s="3" t="inlineStr">
        <is>
          <t>NONE RECORDED — the declaration names none.</t>
        </is>
      </c>
      <c r="S20" s="3" t="inlineStr"/>
      <c r="T20" s="3" t="inlineStr">
        <is>
          <t>NONE RECORDED — the declaration names none.</t>
        </is>
      </c>
      <c r="U20" s="3" t="inlineStr"/>
      <c r="V20" s="3" t="inlineStr"/>
      <c r="W20" s="3" t="inlineStr"/>
      <c r="X20" s="3" t="inlineStr"/>
      <c r="Y20" s="3" t="inlineStr"/>
      <c r="Z20" s="3" t="inlineStr">
        <is>
          <t>DECLARED IN THE CODE (rule 11) — printed from the door, not typed. RULED 2026-10-02</t>
        </is>
      </c>
      <c r="AA20" s="3" t="inlineStr"/>
      <c r="AB20" s="3" t="inlineStr"/>
      <c r="AC20" s="3" t="inlineStr"/>
      <c r="AD20" s="3" t="inlineStr"/>
      <c r="AE20" s="3" t="inlineStr">
        <is>
          <t>G32 / Q48 — 2026-09-09: the 'division with nothing on the bottom' boilerplate is gone; this cell now states the row's real refusal. Where it says 'built', the screen already does it; the rest follow the empty-state mock.</t>
        </is>
      </c>
      <c r="AF20" s="3" t="inlineStr">
        <is>
          <t>ACTIVE</t>
        </is>
      </c>
      <c r="AG20" s="3" t="inlineStr">
        <is>
          <t>2026-10-04</t>
        </is>
      </c>
      <c r="AH20" s="3" t="inlineStr"/>
      <c r="AI20" s="3" t="inlineStr"/>
      <c r="AJ20"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0" s="3" t="inlineStr">
        <is>
          <t>(the claim now stands in 'Inputs it needs' until the row is approved)</t>
        </is>
      </c>
      <c r="AL20" s="3" t="inlineStr"/>
      <c r="AM20" s="3" t="inlineStr">
        <is>
          <t>TESTED, NOT VERIFIED — you ruled on this row 2026-10-02; the figure, its formula, inputs and refusal live in MK-CF-O-004 incomeSummary</t>
        </is>
      </c>
      <c r="AN20" s="3" t="inlineStr">
        <is>
          <t>The two earners above, plus $24,000/year of self-employment, a $12,000 bonus in March, 50 shares vesting at $400, a rental bringing in $2,000/month against $800 of costs, and $2,100/month of Social Security.
GIVES: $20,000/year
(the test re-runs this through MK-CF-O-004 incomeSummary on every build)</t>
        </is>
      </c>
      <c r="AO20" s="7" t="inlineStr">
        <is>
          <t>RULED, NOT CODED (Q-CF-1 — one question, one function)</t>
        </is>
      </c>
    </row>
    <row r="21" ht="60" customHeight="1">
      <c r="A21" s="3" t="inlineStr">
        <is>
          <t>MK-CF-M-010</t>
        </is>
      </c>
      <c r="B21" s="3" t="inlineStr">
        <is>
          <t>Cashflow</t>
        </is>
      </c>
      <c r="C21" s="3" t="inlineStr">
        <is>
          <t>/cashflow</t>
        </is>
      </c>
      <c r="D21" s="3" t="inlineStr">
        <is>
          <t>YOUR SOURCES — Rental property</t>
        </is>
      </c>
      <c r="E21" s="3" t="inlineStr">
        <is>
          <t>your_sources__rental_property</t>
        </is>
      </c>
      <c r="F21" s="3" t="inlineStr">
        <is>
          <t>incomeSummary</t>
        </is>
      </c>
      <c r="G21" s="3" t="inlineStr">
        <is>
          <t>MK-CF-O-004</t>
        </is>
      </c>
      <c r="H21" s="3" t="inlineStr">
        <is>
          <t>(rent − running costs) for each rental, added up</t>
        </is>
      </c>
      <c r="I21" s="3" t="inlineStr">
        <is>
          <t>(rent − running costs) for each rental, added up</t>
        </is>
      </c>
      <c r="J21" s="3" t="inlineStr">
        <is>
          <t>MK-CF-I-007 rental income</t>
        </is>
      </c>
      <c r="K21" s="3" t="inlineStr">
        <is>
          <t>dollars, whole a month</t>
        </is>
      </c>
      <c r="L21" s="3" t="inlineStr">
        <is>
          <t>No rental entered — the row does not appear.</t>
        </is>
      </c>
      <c r="M21" s="3" t="inlineStr">
        <is>
          <t>one figure per household</t>
        </is>
      </c>
      <c r="N21" s="3" t="inlineStr">
        <is>
          <t>a month</t>
        </is>
      </c>
      <c r="O21"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21" s="3" t="inlineStr">
        <is>
          <t>Declared by MK-CF-O-004 incomeSummary</t>
        </is>
      </c>
      <c r="Q21" s="3" t="inlineStr">
        <is>
          <t>NONE RECORDED — the declaration names none.</t>
        </is>
      </c>
      <c r="R21" s="3" t="inlineStr">
        <is>
          <t>NONE RECORDED — the declaration names none.</t>
        </is>
      </c>
      <c r="S21" s="3" t="inlineStr"/>
      <c r="T21" s="3" t="inlineStr">
        <is>
          <t>NONE RECORDED — the declaration names none.</t>
        </is>
      </c>
      <c r="U21" s="3" t="inlineStr"/>
      <c r="V21" s="3" t="inlineStr"/>
      <c r="W21" s="3" t="inlineStr"/>
      <c r="X21" s="3" t="inlineStr"/>
      <c r="Y21" s="3" t="inlineStr"/>
      <c r="Z21" s="3" t="inlineStr">
        <is>
          <t>DECLARED IN THE CODE (rule 11) — printed from the door, not typed. RULED 2026-10-02</t>
        </is>
      </c>
      <c r="AA21" s="3" t="inlineStr"/>
      <c r="AB21" s="3" t="inlineStr"/>
      <c r="AC21" s="3" t="inlineStr"/>
      <c r="AD21" s="3" t="inlineStr"/>
      <c r="AE21" s="3" t="inlineStr"/>
      <c r="AF21" s="3" t="inlineStr">
        <is>
          <t>ACTIVE</t>
        </is>
      </c>
      <c r="AG21" s="3" t="inlineStr">
        <is>
          <t>2026-10-04</t>
        </is>
      </c>
      <c r="AH21" s="3" t="inlineStr"/>
      <c r="AI21" s="3" t="inlineStr"/>
      <c r="AJ21"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1" s="3" t="inlineStr">
        <is>
          <t>(the claim now stands in 'Inputs it needs' until the row is approved)</t>
        </is>
      </c>
      <c r="AL21" s="3" t="inlineStr"/>
      <c r="AM21" s="3" t="inlineStr">
        <is>
          <t>TESTED, NOT VERIFIED — you ruled on this row 2026-10-02; the figure, its formula, inputs and refusal live in MK-CF-O-004 incomeSummary</t>
        </is>
      </c>
      <c r="AN21" s="3" t="inlineStr">
        <is>
          <t>The two earners above, plus $24,000/year of self-employment, a $12,000 bonus in March, 50 shares vesting at $400, a rental bringing in $2,000/month against $800 of costs, and $2,100/month of Social Security.
GIVES: $1,200/month
(the test re-runs this through MK-CF-O-004 incomeSummary on every build)</t>
        </is>
      </c>
      <c r="AO21" s="7" t="inlineStr">
        <is>
          <t>RULED, NOT CODED (Q-CF-1 — one question, one function)</t>
        </is>
      </c>
    </row>
    <row r="22" ht="60" customHeight="1">
      <c r="A22" s="3" t="inlineStr">
        <is>
          <t>MK-CF-M-011</t>
        </is>
      </c>
      <c r="B22" s="3" t="inlineStr">
        <is>
          <t>Cashflow</t>
        </is>
      </c>
      <c r="C22" s="3" t="inlineStr">
        <is>
          <t>/cashflow</t>
        </is>
      </c>
      <c r="D22" s="3" t="inlineStr">
        <is>
          <t>YOUR SOURCES — Social Security · pension</t>
        </is>
      </c>
      <c r="E22" s="3" t="inlineStr">
        <is>
          <t>your_sources__social_security__pension</t>
        </is>
      </c>
      <c r="F22" s="3" t="inlineStr">
        <is>
          <t>incomeSummary</t>
        </is>
      </c>
      <c r="G22" s="3" t="inlineStr">
        <is>
          <t>MK-CF-O-004</t>
        </is>
      </c>
      <c r="H22" s="3" t="inlineStr">
        <is>
          <t>Social Security + pension + annuity + other, each brought to a monthly amount</t>
        </is>
      </c>
      <c r="I22" s="3" t="inlineStr">
        <is>
          <t>Social Security + pension + annuity + other, each brought to a monthly amount</t>
        </is>
      </c>
      <c r="J22" s="3" t="inlineStr">
        <is>
          <t>MK-XS-I-020 Social Security monthly amount
MK-XS-I-022 pension monthly amount
MK-XS-I-035 annuity income
MK-XS-I-036 other guaranteed income</t>
        </is>
      </c>
      <c r="K22" s="3" t="inlineStr">
        <is>
          <t>dollars, whole a month</t>
        </is>
      </c>
      <c r="L22" s="3" t="inlineStr">
        <is>
          <t>$0, and under it the one line "Nothing entered yet. Add your income ›" (mock approved 2026-09-12). A real zero that was entered shows a plain $0 with no line.</t>
        </is>
      </c>
      <c r="M22" s="3" t="inlineStr">
        <is>
          <t>one figure per household</t>
        </is>
      </c>
      <c r="N22" s="3" t="inlineStr">
        <is>
          <t>a month</t>
        </is>
      </c>
      <c r="O22"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22" s="3" t="inlineStr">
        <is>
          <t>Declared by MK-CF-O-004 incomeSummary</t>
        </is>
      </c>
      <c r="Q22" s="3" t="inlineStr">
        <is>
          <t>NONE RECORDED — the declaration names none.</t>
        </is>
      </c>
      <c r="R22" s="3" t="inlineStr">
        <is>
          <t>NONE RECORDED — the declaration names none.</t>
        </is>
      </c>
      <c r="S22" s="3" t="inlineStr"/>
      <c r="T22" s="3" t="inlineStr">
        <is>
          <t>NONE RECORDED — the declaration names none.</t>
        </is>
      </c>
      <c r="U22" s="3" t="inlineStr"/>
      <c r="V22" s="3" t="inlineStr"/>
      <c r="W22" s="3" t="inlineStr"/>
      <c r="X22" s="3" t="inlineStr"/>
      <c r="Y22" s="3" t="inlineStr"/>
      <c r="Z22" s="3" t="inlineStr">
        <is>
          <t>DECLARED IN THE CODE (rule 11) — printed from the door, not typed. RULED 2026-10-02</t>
        </is>
      </c>
      <c r="AA22" s="3" t="inlineStr"/>
      <c r="AB22" s="3" t="inlineStr"/>
      <c r="AC22" s="3" t="inlineStr"/>
      <c r="AD22" s="3" t="inlineStr"/>
      <c r="AE22" s="3" t="inlineStr">
        <is>
          <t>G32 / Q48 — RULED 2026-09-09: $0 stays, with the sentence '$0 — nothing entered yet.' and this row's door ('Add your income ›'). File written; the screen follows the approved empty-state mock (one pattern, one screen), then every screen.</t>
        </is>
      </c>
      <c r="AF22" s="3" t="inlineStr">
        <is>
          <t>ACTIVE</t>
        </is>
      </c>
      <c r="AG22" s="3" t="inlineStr">
        <is>
          <t>2026-10-04</t>
        </is>
      </c>
      <c r="AH22" s="3" t="inlineStr"/>
      <c r="AI22" s="3" t="inlineStr"/>
      <c r="AJ22"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2" s="3" t="inlineStr">
        <is>
          <t>(the claim now stands in 'Inputs it needs' until the row is approved)</t>
        </is>
      </c>
      <c r="AL22" s="3" t="inlineStr"/>
      <c r="AM22" s="3" t="inlineStr">
        <is>
          <t>TESTED, NOT VERIFIED — you ruled on this row 2026-10-02; the figure, its formula, inputs and refusal live in MK-CF-O-004 incomeSummary</t>
        </is>
      </c>
      <c r="AN22" s="3" t="inlineStr">
        <is>
          <t>The two earners above, plus $24,000/year of self-employment, a $12,000 bonus in March, 50 shares vesting at $400, a rental bringing in $2,000/month against $800 of costs, and $2,100/month of Social Security.
GIVES: $2,100/month
(the test re-runs this through MK-CF-O-004 incomeSummary on every build)</t>
        </is>
      </c>
      <c r="AO22" s="7" t="inlineStr">
        <is>
          <t>RULED, NOT CODED (Q-PL-2 — one question, one function)</t>
        </is>
      </c>
    </row>
    <row r="23" ht="60" customHeight="1">
      <c r="A23" s="3" t="inlineStr">
        <is>
          <t>MK-CF-M-012</t>
        </is>
      </c>
      <c r="B23" s="3" t="inlineStr">
        <is>
          <t>Cashflow</t>
        </is>
      </c>
      <c r="C23" s="3" t="inlineStr">
        <is>
          <t>/cashflow · /income-manager</t>
        </is>
      </c>
      <c r="D23" s="3" t="inlineStr">
        <is>
          <t>RECEIVED · &lt;month&gt; — each payment</t>
        </is>
      </c>
      <c r="E23" s="3" t="inlineStr">
        <is>
          <t>received__month__each_payment</t>
        </is>
      </c>
      <c r="F23" s="3" t="inlineStr">
        <is>
          <t>whatsComing</t>
        </is>
      </c>
      <c r="G23" s="3" t="inlineStr">
        <is>
          <t>MK-CF-O-008</t>
        </is>
      </c>
      <c r="H23" s="3" t="inlineStr">
        <is>
          <t>the income records dated inside the month</t>
        </is>
      </c>
      <c r="I23" s="3" t="inlineStr">
        <is>
          <t>the income records dated inside the month</t>
        </is>
      </c>
      <c r="J23" s="3" t="inlineStr">
        <is>
          <t>MK-NW-I-004 the activity records</t>
        </is>
      </c>
      <c r="K23" s="3" t="inlineStr">
        <is>
          <t>dollars, two decimals</t>
        </is>
      </c>
      <c r="L23" s="3" t="inlineStr">
        <is>
          <t>Nothing received yet this month.</t>
        </is>
      </c>
      <c r="M23" s="3" t="inlineStr">
        <is>
          <t>one payment</t>
        </is>
      </c>
      <c r="N23" s="3" t="inlineStr">
        <is>
          <t>as of today</t>
        </is>
      </c>
      <c r="O23" s="3" t="inlineStr">
        <is>
          <t>MK-CF-F-019 (upcomingBills) → NOT DECLARED — the code does not say what it gives back</t>
        </is>
      </c>
      <c r="P23" s="3" t="inlineStr">
        <is>
          <t>Declared by MK-CF-O-008 whatsComing</t>
        </is>
      </c>
      <c r="Q23" s="3" t="inlineStr">
        <is>
          <t>NONE RECORDED — the declaration names none.</t>
        </is>
      </c>
      <c r="R23" s="3" t="inlineStr">
        <is>
          <t>NONE RECORDED — the declaration names none.</t>
        </is>
      </c>
      <c r="S23" s="3" t="inlineStr"/>
      <c r="T23" s="3" t="inlineStr">
        <is>
          <t>NONE RECORDED — the declaration names none.</t>
        </is>
      </c>
      <c r="U23" s="3" t="inlineStr"/>
      <c r="V23" s="3" t="inlineStr"/>
      <c r="W23" s="3" t="inlineStr"/>
      <c r="X23" s="3" t="inlineStr"/>
      <c r="Y23" s="3" t="inlineStr"/>
      <c r="Z23" s="3" t="inlineStr">
        <is>
          <t>DECLARED IN THE CODE (rule 11) — printed from the door, not typed. RULED 2026-09-27</t>
        </is>
      </c>
      <c r="AA23" s="3" t="inlineStr"/>
      <c r="AB23" s="3" t="inlineStr"/>
      <c r="AC23" s="3" t="inlineStr"/>
      <c r="AD23" s="3" t="inlineStr"/>
      <c r="AE23" s="3" t="inlineStr"/>
      <c r="AF23" s="3" t="inlineStr">
        <is>
          <t>ACTIVE</t>
        </is>
      </c>
      <c r="AG23" s="3" t="inlineStr">
        <is>
          <t>2026-10-04</t>
        </is>
      </c>
      <c r="AH23" s="3" t="inlineStr"/>
      <c r="AI23" s="3" t="inlineStr"/>
      <c r="AJ23"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3" s="3" t="inlineStr">
        <is>
          <t>(the claim now stands in 'Inputs it needs' until the row is approved)</t>
        </is>
      </c>
      <c r="AL23" s="3" t="inlineStr"/>
      <c r="AM23" s="3" t="inlineStr">
        <is>
          <t>TESTED, NOT VERIFIED — you ruled on this row 2026-09-27; the figure, its formula, inputs and refusal live in MK-CF-O-008 whatsComing</t>
        </is>
      </c>
      <c r="AN23" s="3" t="inlineStr">
        <is>
          <t>Two $3,600 salary payments landed in September, on the 15th and the 30th; one landed on 31 August.
GIVES: $3,600.00
(the test re-runs this through MK-CF-O-008 whatsComing on every build)</t>
        </is>
      </c>
      <c r="AO23" s="7" t="inlineStr">
        <is>
          <t>RULED, NOT CODED (Q-CF-3 — one question, one function)</t>
        </is>
      </c>
    </row>
    <row r="24" ht="60" customHeight="1">
      <c r="A24" s="3" t="inlineStr">
        <is>
          <t>MK-CF-M-013</t>
        </is>
      </c>
      <c r="B24" s="3" t="inlineStr">
        <is>
          <t>Cashflow</t>
        </is>
      </c>
      <c r="C24" s="3" t="inlineStr">
        <is>
          <t>/cashflow</t>
        </is>
      </c>
      <c r="D24" s="3" t="inlineStr">
        <is>
          <t>Actual expenses</t>
        </is>
      </c>
      <c r="E24" s="3" t="inlineStr">
        <is>
          <t>actual_expenses</t>
        </is>
      </c>
      <c r="F24" s="3" t="inlineStr">
        <is>
          <t>theMonth</t>
        </is>
      </c>
      <c r="G24" s="3" t="inlineStr">
        <is>
          <t>MK-CF-O-010</t>
        </is>
      </c>
      <c r="H24" s="3" t="inlineStr">
        <is>
          <t>every expense logged inside the month, added up — a debt payment logged as an expense is counted with the debts, not here</t>
        </is>
      </c>
      <c r="I24" s="3" t="inlineStr">
        <is>
          <t>every expense logged inside the month, added up — a debt payment logged as an expense is counted with the debts, not here</t>
        </is>
      </c>
      <c r="J24" s="3" t="inlineStr">
        <is>
          <t>MK-CF-I-001 your logged expenses</t>
        </is>
      </c>
      <c r="K24" s="3" t="inlineStr">
        <is>
          <t>dollars, whole</t>
        </is>
      </c>
      <c r="L24" s="3" t="inlineStr">
        <is>
          <t>$0, and under it the one line "Nothing entered yet. Log your expenses ›" (mock approved 2026-09-12). A real zero that was entered shows a plain $0 with no line.</t>
        </is>
      </c>
      <c r="M24" s="3" t="inlineStr">
        <is>
          <t>one figure per household</t>
        </is>
      </c>
      <c r="N24" s="3" t="inlineStr">
        <is>
          <t>as of today</t>
        </is>
      </c>
      <c r="O24" s="3" t="inlineStr">
        <is>
          <t>1. MK-CF-F-203 (MONTH) → NOT DECLARED — the code does not say what it gives back
2. MK-CF-F-155 (cash) → number
3. MK-CF-O-002 (expenses) → Expenses
4. MK-CF-O-003 (thisMonth) → ThisMonth</t>
        </is>
      </c>
      <c r="P24" s="3" t="inlineStr">
        <is>
          <t>Declared by MK-CF-O-010 theMonth</t>
        </is>
      </c>
      <c r="Q24" s="3" t="inlineStr">
        <is>
          <t>NONE RECORDED — the declaration names none.</t>
        </is>
      </c>
      <c r="R24" s="3" t="inlineStr">
        <is>
          <t>NONE RECORDED — the declaration names none.</t>
        </is>
      </c>
      <c r="S24" s="3" t="inlineStr"/>
      <c r="T24" s="3" t="inlineStr">
        <is>
          <t>NONE RECORDED — the declaration names none.</t>
        </is>
      </c>
      <c r="U24" s="3" t="inlineStr"/>
      <c r="V24" s="3" t="inlineStr"/>
      <c r="W24" s="3" t="inlineStr"/>
      <c r="X24" s="3" t="inlineStr"/>
      <c r="Y24" s="3" t="inlineStr"/>
      <c r="Z24" s="3" t="inlineStr">
        <is>
          <t>DECLARED IN THE CODE (rule 11) — printed from the door, not typed. RULED 2026-10-02</t>
        </is>
      </c>
      <c r="AA24" s="3" t="inlineStr"/>
      <c r="AB24" s="3" t="inlineStr"/>
      <c r="AC24" s="3" t="inlineStr"/>
      <c r="AD24" s="3" t="inlineStr"/>
      <c r="AE24" s="3" t="inlineStr">
        <is>
          <t>G32 / Q48 — RULED 2026-09-09: $0 stays, with the sentence '$0 — nothing entered yet.' and this row's door ('Log your expenses ›'). File written; the screen follows the approved empty-state mock (one pattern, one screen), then every screen.</t>
        </is>
      </c>
      <c r="AF24" s="3" t="inlineStr">
        <is>
          <t>ACTIVE</t>
        </is>
      </c>
      <c r="AG24" s="3" t="inlineStr">
        <is>
          <t>2026-10-04</t>
        </is>
      </c>
      <c r="AH24" s="3" t="inlineStr"/>
      <c r="AI24" s="3" t="inlineStr"/>
      <c r="AJ2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4" s="3" t="inlineStr">
        <is>
          <t>(the claim now stands in 'Inputs it needs' until the row is approved)</t>
        </is>
      </c>
      <c r="AL24" s="3" t="inlineStr"/>
      <c r="AM24" s="3" t="inlineStr">
        <is>
          <t>TESTED, NOT VERIFIED — you ruled on this row 2026-10-02; the figure, its formula, inputs and refusal live in MK-CF-O-010 theMonth</t>
        </is>
      </c>
      <c r="AN24"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$2,998
(the test re-runs this through MK-CF-O-010 theMonth on every build)</t>
        </is>
      </c>
      <c r="AO24" s="7" t="inlineStr">
        <is>
          <t>RULED, NOT CODED (Q-CF-2 — one question, one function)</t>
        </is>
      </c>
    </row>
    <row r="25" ht="60" customHeight="1">
      <c r="A25" s="3" t="inlineStr">
        <is>
          <t>MK-CF-M-014</t>
        </is>
      </c>
      <c r="B25" s="3" t="inlineStr">
        <is>
          <t>Cashflow</t>
        </is>
      </c>
      <c r="C25" s="3" t="inlineStr">
        <is>
          <t>/cashflow</t>
        </is>
      </c>
      <c r="D25" s="3" t="inlineStr">
        <is>
          <t>each expense and its amount</t>
        </is>
      </c>
      <c r="E25" s="3" t="inlineStr">
        <is>
          <t>each_expense_and_its_amount</t>
        </is>
      </c>
      <c r="F25" s="3" t="inlineStr">
        <is>
          <t>theMonth</t>
        </is>
      </c>
      <c r="G25" s="3" t="inlineStr">
        <is>
          <t>MK-CF-O-010</t>
        </is>
      </c>
      <c r="H25" s="3" t="inlineStr">
        <is>
          <t>the amount as logged</t>
        </is>
      </c>
      <c r="I25" s="3" t="inlineStr">
        <is>
          <t>the amount as logged</t>
        </is>
      </c>
      <c r="J25" s="3" t="inlineStr">
        <is>
          <t>MK-CF-I-016 logged expense</t>
        </is>
      </c>
      <c r="K25" s="3" t="inlineStr">
        <is>
          <t>dollars, two decimals</t>
        </is>
      </c>
      <c r="L25" s="3" t="inlineStr">
        <is>
          <t>$0, and under it the one line "Nothing entered yet. Log your expenses ›" (mock approved 2026-09-12). A real zero that was entered shows a plain $0 with no line.</t>
        </is>
      </c>
      <c r="M25" s="3" t="inlineStr">
        <is>
          <t>one expense</t>
        </is>
      </c>
      <c r="N25" s="3" t="inlineStr">
        <is>
          <t>as of today</t>
        </is>
      </c>
      <c r="O25" s="3" t="inlineStr">
        <is>
          <t>1. MK-CF-F-203 (MONTH) → NOT DECLARED — the code does not say what it gives back
2. MK-CF-F-155 (cash) → number
3. MK-CF-O-002 (expenses) → Expenses
4. MK-CF-O-003 (thisMonth) → ThisMonth</t>
        </is>
      </c>
      <c r="P25" s="3" t="inlineStr">
        <is>
          <t>Declared by MK-CF-O-010 theMonth</t>
        </is>
      </c>
      <c r="Q25" s="3" t="inlineStr">
        <is>
          <t>NONE RECORDED — the declaration names none.</t>
        </is>
      </c>
      <c r="R25" s="3" t="inlineStr">
        <is>
          <t>NONE RECORDED — the declaration names none.</t>
        </is>
      </c>
      <c r="S25" s="3" t="inlineStr"/>
      <c r="T25" s="3" t="inlineStr">
        <is>
          <t>NONE RECORDED — the declaration names none.</t>
        </is>
      </c>
      <c r="U25" s="3" t="inlineStr"/>
      <c r="V25" s="3" t="inlineStr"/>
      <c r="W25" s="3" t="inlineStr"/>
      <c r="X25" s="3" t="inlineStr"/>
      <c r="Y25" s="3" t="inlineStr"/>
      <c r="Z25" s="3" t="inlineStr">
        <is>
          <t>DECLARED IN THE CODE (rule 11) — printed from the door, not typed. RULED 2026-10-02</t>
        </is>
      </c>
      <c r="AA25" s="3" t="inlineStr"/>
      <c r="AB25" s="3" t="inlineStr"/>
      <c r="AC25" s="3" t="inlineStr"/>
      <c r="AD25" s="3" t="inlineStr"/>
      <c r="AE25" s="3" t="inlineStr">
        <is>
          <t>G32 / Q48 — RULED 2026-09-09: $0 stays, with the sentence '$0 — nothing entered yet.' and this row's door ('Log your expenses ›'). File written; the screen follows the approved empty-state mock (one pattern, one screen), then every screen.</t>
        </is>
      </c>
      <c r="AF25" s="3" t="inlineStr">
        <is>
          <t>ACTIVE</t>
        </is>
      </c>
      <c r="AG25" s="3" t="inlineStr">
        <is>
          <t>2026-10-04</t>
        </is>
      </c>
      <c r="AH25" s="3" t="inlineStr"/>
      <c r="AI25" s="3" t="inlineStr"/>
      <c r="AJ2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5" s="3" t="inlineStr">
        <is>
          <t>(the claim now stands in 'Inputs it needs' until the row is approved)</t>
        </is>
      </c>
      <c r="AL25" s="3" t="inlineStr"/>
      <c r="AM25" s="3" t="inlineStr">
        <is>
          <t>TESTED, NOT VERIFIED — you ruled on this row 2026-10-02; the figure, its formula, inputs and refusal live in MK-CF-O-010 theMonth</t>
        </is>
      </c>
      <c r="AN25"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$186.00
(the test re-runs this through MK-CF-O-010 theMonth on every build)</t>
        </is>
      </c>
      <c r="AO25" s="7" t="inlineStr">
        <is>
          <t>RULED, NOT CODED (Q-CF-2 — one question, one function)</t>
        </is>
      </c>
    </row>
    <row r="26" ht="60" customHeight="1">
      <c r="A26" s="3" t="inlineStr">
        <is>
          <t>MK-CF-M-015</t>
        </is>
      </c>
      <c r="B26" s="3" t="inlineStr">
        <is>
          <t>Cashflow</t>
        </is>
      </c>
      <c r="C26" s="3" t="inlineStr">
        <is>
          <t>/cashflow</t>
        </is>
      </c>
      <c r="D26" s="3" t="inlineStr">
        <is>
          <t>Planned expenses — each category</t>
        </is>
      </c>
      <c r="E26" s="3" t="inlineStr">
        <is>
          <t>planned_expenses__each_category</t>
        </is>
      </c>
      <c r="F26" s="3" t="inlineStr">
        <is>
          <t>theMonth</t>
        </is>
      </c>
      <c r="G26" s="3" t="inlineStr">
        <is>
          <t>MK-CF-O-010</t>
        </is>
      </c>
      <c r="H26" s="3" t="inlineStr">
        <is>
          <t>planned = the category’s budget line; spent = the expenses logged in that category inside the month</t>
        </is>
      </c>
      <c r="I26" s="3" t="inlineStr">
        <is>
          <t>planned = the category’s budget line; spent = the expenses logged in that category inside the month</t>
        </is>
      </c>
      <c r="J26" s="3" t="inlineStr">
        <is>
          <t>MK-CF-I-012 planned expenses
MK-CF-I-001 your logged expenses</t>
        </is>
      </c>
      <c r="K26" s="3" t="inlineStr">
        <is>
          <t>dollars, whole</t>
        </is>
      </c>
      <c r="L26" s="3" t="inlineStr">
        <is>
          <t>$0, and under it the one line "Nothing entered yet. Log your expenses ›" (mock approved 2026-09-12). A real zero that was entered shows a plain $0 with no line.</t>
        </is>
      </c>
      <c r="M26" s="3" t="inlineStr">
        <is>
          <t>one category</t>
        </is>
      </c>
      <c r="N26" s="3" t="inlineStr">
        <is>
          <t>as of today</t>
        </is>
      </c>
      <c r="O26" s="3" t="inlineStr">
        <is>
          <t>1. MK-CF-F-203 (MONTH) → NOT DECLARED — the code does not say what it gives back
2. MK-CF-F-155 (cash) → number
3. MK-CF-O-002 (expenses) → Expenses
4. MK-CF-O-003 (thisMonth) → ThisMonth</t>
        </is>
      </c>
      <c r="P26" s="3" t="inlineStr">
        <is>
          <t>Declared by MK-CF-O-010 theMonth</t>
        </is>
      </c>
      <c r="Q26" s="3" t="inlineStr">
        <is>
          <t>NONE RECORDED — the declaration names none.</t>
        </is>
      </c>
      <c r="R26" s="3" t="inlineStr">
        <is>
          <t>NONE RECORDED — the declaration names none.</t>
        </is>
      </c>
      <c r="S26" s="3" t="inlineStr"/>
      <c r="T26" s="3" t="inlineStr">
        <is>
          <t>NONE RECORDED — the declaration names none.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t>
        </is>
      </c>
      <c r="U26" s="3" t="inlineStr"/>
      <c r="V26" s="3" t="inlineStr"/>
      <c r="W26" s="3" t="inlineStr"/>
      <c r="X26" s="3" t="inlineStr"/>
      <c r="Y26" s="3" t="inlineStr"/>
      <c r="Z26" s="3" t="inlineStr">
        <is>
          <t>DECLARED IN THE CODE (rule 11) — printed from the door, not typed. RULED 2026-10-02</t>
        </is>
      </c>
      <c r="AA26" s="3" t="inlineStr"/>
      <c r="AB26" s="3" t="inlineStr"/>
      <c r="AC26" s="3" t="inlineStr"/>
      <c r="AD26" s="3" t="inlineStr"/>
      <c r="AE26" s="3" t="inlineStr">
        <is>
          <t>G32 / Q48 — RULED 2026-09-09: $0 stays, with the sentence '$0 — nothing entered yet.' and this row's door ('Log your expenses ›'). File written; the screen follows the approved empty-state mock (one pattern, one screen), then every screen.</t>
        </is>
      </c>
      <c r="AF26" s="3" t="inlineStr">
        <is>
          <t>ACTIVE</t>
        </is>
      </c>
      <c r="AG26" s="3" t="inlineStr">
        <is>
          <t>2026-10-04</t>
        </is>
      </c>
      <c r="AH26" s="3" t="inlineStr"/>
      <c r="AI26" s="3" t="inlineStr"/>
      <c r="AJ2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6" s="3" t="inlineStr">
        <is>
          <t>(the claim now stands in 'Inputs it needs' until the row is approved)</t>
        </is>
      </c>
      <c r="AL26" s="3" t="inlineStr"/>
      <c r="AM26" s="3" t="inlineStr">
        <is>
          <t>TESTED, NOT VERIFIED — you ruled on this row 2026-10-02; the figure, its formula, inputs and refusal live in MK-CF-O-010 theMonth</t>
        </is>
      </c>
      <c r="AN26"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$2,300
(the test re-runs this through MK-CF-O-010 theMonth on every build)</t>
        </is>
      </c>
      <c r="AO26" s="7" t="inlineStr">
        <is>
          <t>RULED, NOT CODED (Q-CF-2 — one question, one function)</t>
        </is>
      </c>
    </row>
    <row r="27" ht="60" customHeight="1">
      <c r="A27" s="3" t="inlineStr">
        <is>
          <t>MK-CF-M-016</t>
        </is>
      </c>
      <c r="B27" s="3" t="inlineStr">
        <is>
          <t>Cashflow</t>
        </is>
      </c>
      <c r="C27" s="3" t="inlineStr">
        <is>
          <t>/cashflow · /bill-calendar</t>
        </is>
      </c>
      <c r="D27" s="3" t="inlineStr">
        <is>
          <t>BIG-TICKET RADAR — &lt;bill&gt; · due &lt;month&gt;</t>
        </is>
      </c>
      <c r="E27" s="3" t="inlineStr">
        <is>
          <t>bigticket_radar__bill__due_month</t>
        </is>
      </c>
      <c r="F27" s="3" t="inlineStr">
        <is>
          <t>whatsComing</t>
        </is>
      </c>
      <c r="G27" s="3" t="inlineStr">
        <is>
          <t>MK-CF-O-008</t>
        </is>
      </c>
      <c r="H27" s="3" t="inlineStr">
        <is>
          <t>the dated bills above the everyday size, in date order</t>
        </is>
      </c>
      <c r="I27" s="3" t="inlineStr">
        <is>
          <t>the dated bills above the everyday size, in date order</t>
        </is>
      </c>
      <c r="J27" s="3" t="inlineStr">
        <is>
          <t>MK-CF-I-002 your bills</t>
        </is>
      </c>
      <c r="K27" s="3" t="inlineStr">
        <is>
          <t>dollars, whole</t>
        </is>
      </c>
      <c r="L27" s="3" t="inlineStr">
        <is>
          <t>Nothing unusual ahead — the section keeps its heading and says so.</t>
        </is>
      </c>
      <c r="M27" s="3" t="inlineStr">
        <is>
          <t>one bill</t>
        </is>
      </c>
      <c r="N27" s="3" t="inlineStr">
        <is>
          <t>as of today</t>
        </is>
      </c>
      <c r="O27" s="3" t="inlineStr">
        <is>
          <t>MK-CF-F-019 (upcomingBills) → NOT DECLARED — the code does not say what it gives back</t>
        </is>
      </c>
      <c r="P27" s="3" t="inlineStr">
        <is>
          <t>Declared by MK-CF-O-008 whatsComing</t>
        </is>
      </c>
      <c r="Q27" s="3" t="inlineStr">
        <is>
          <t>A regular monthly debt is never a radar item: a warning you see every month stops being a warning.</t>
        </is>
      </c>
      <c r="R27" s="3" t="inlineStr">
        <is>
          <t>A regular monthly debt is never a radar item: a warning you see every month stops being a warning.</t>
        </is>
      </c>
      <c r="S27" s="3" t="inlineStr"/>
      <c r="T27" s="3" t="inlineStr">
        <is>
          <t>A regular monthly debt is never a radar item: a warning you see every month stops being a warning.</t>
        </is>
      </c>
      <c r="U27" s="3" t="inlineStr"/>
      <c r="V27" s="3" t="inlineStr"/>
      <c r="W27" s="3" t="inlineStr"/>
      <c r="X27" s="3" t="inlineStr"/>
      <c r="Y27" s="3" t="inlineStr"/>
      <c r="Z27" s="3" t="inlineStr">
        <is>
          <t>DECLARED IN THE CODE (rule 11) — printed from the door, not typed. RULED 2026-09-27</t>
        </is>
      </c>
      <c r="AA27" s="3" t="inlineStr"/>
      <c r="AB27" s="3" t="inlineStr"/>
      <c r="AC27" s="3" t="inlineStr"/>
      <c r="AD27" s="3" t="inlineStr"/>
      <c r="AE27" s="3" t="inlineStr"/>
      <c r="AF27" s="3" t="inlineStr">
        <is>
          <t>ACTIVE</t>
        </is>
      </c>
      <c r="AG27" s="3" t="inlineStr">
        <is>
          <t>2026-10-04</t>
        </is>
      </c>
      <c r="AH27" s="3" t="inlineStr"/>
      <c r="AI27" s="3" t="inlineStr"/>
      <c r="AJ27"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7" s="3" t="inlineStr">
        <is>
          <t>(the claim now stands in 'Inputs it needs' until the row is approved)</t>
        </is>
      </c>
      <c r="AL27" s="3" t="inlineStr"/>
      <c r="AM27" s="3" t="inlineStr">
        <is>
          <t>TESTED, NOT VERIFIED — you ruled on this row 2026-09-27; the figure, its formula, inputs and refusal live in MK-CF-O-008 whatsComing</t>
        </is>
      </c>
      <c r="AN27" s="3" t="inlineStr">
        <is>
          <t>On 28 Sep 2026, with $8,000 in the account: car insurance of $1,400 due 15 Oct and property tax of $4,800 due 1 Nov. Nothing else is dated.
GIVES: $1,400
(the test re-runs this through MK-CF-O-008 whatsComing on every build)</t>
        </is>
      </c>
      <c r="AO27" s="7" t="inlineStr">
        <is>
          <t>RULED, NOT CODED (Q-CF-3 — one question, one function)</t>
        </is>
      </c>
    </row>
    <row r="28" ht="60" customHeight="1">
      <c r="A28" s="3" t="inlineStr">
        <is>
          <t>MK-CF-M-020</t>
        </is>
      </c>
      <c r="B28" s="3" t="inlineStr">
        <is>
          <t>Cashflow</t>
        </is>
      </c>
      <c r="C28" s="3" t="inlineStr">
        <is>
          <t>/cashflow</t>
        </is>
      </c>
      <c r="D28" s="3" t="inlineStr">
        <is>
          <t>THIS MONTH — free to use</t>
        </is>
      </c>
      <c r="E28" s="3" t="inlineStr">
        <is>
          <t>this_month__free_to_use</t>
        </is>
      </c>
      <c r="F28" s="3" t="inlineStr">
        <is>
          <t>theMonth</t>
        </is>
      </c>
      <c r="G28" s="3" t="inlineStr">
        <is>
          <t>MK-CF-O-010</t>
        </is>
      </c>
      <c r="H28" s="3">
        <f> Planned surplus (MK-CF-M-002) − the goals’ commitments (MK-CF-M-021)</f>
        <v/>
      </c>
      <c r="I28" s="3">
        <f> Planned surplus (MK-CF-M-002) − the goals’ commitments (MK-CF-M-021)</f>
        <v/>
      </c>
      <c r="J28" s="3" t="inlineStr">
        <is>
          <t>MK-XS-I-023 salary and other income
MK-NW-I-002 your debts
MK-CF-I-012 planned expenses
MK-XS-I-027 goals (target, saved, date)</t>
        </is>
      </c>
      <c r="K28" s="3" t="inlineStr">
        <is>
          <t>dollars, whole</t>
        </is>
      </c>
      <c r="L28" s="3" t="inlineStr">
        <is>
          <t>No budget set — nothing is called free until there is a plan to be free of.</t>
        </is>
      </c>
      <c r="M28" s="3" t="inlineStr">
        <is>
          <t>one figure per household</t>
        </is>
      </c>
      <c r="N28" s="3" t="inlineStr">
        <is>
          <t>as of today</t>
        </is>
      </c>
      <c r="O28" s="3" t="inlineStr">
        <is>
          <t>1. MK-CF-F-203 (MONTH) → NOT DECLARED — the code does not say what it gives back
2. MK-CF-F-155 (cash) → number
3. MK-CF-O-002 (expenses) → Expenses
4. MK-CF-O-003 (thisMonth) → ThisMonth</t>
        </is>
      </c>
      <c r="P28" s="3" t="inlineStr">
        <is>
          <t>Declared by MK-CF-O-010 theMonth</t>
        </is>
      </c>
      <c r="Q28" s="3" t="inlineStr">
        <is>
          <t>A PROMISE TO A GOAL IS MONEY ALREADY SPOKEN FOR — it never reads as free.</t>
        </is>
      </c>
      <c r="R28" s="3" t="inlineStr">
        <is>
          <t>A PROMISE TO A GOAL IS MONEY ALREADY SPOKEN FOR — it never reads as free.</t>
        </is>
      </c>
      <c r="S28" s="3" t="inlineStr"/>
      <c r="T28" s="3" t="inlineStr">
        <is>
          <t>A PROMISE TO A GOAL IS MONEY ALREADY SPOKEN FOR — it never reads as free.</t>
        </is>
      </c>
      <c r="U28" s="3" t="inlineStr"/>
      <c r="V28" s="3" t="inlineStr"/>
      <c r="W28" s="3" t="inlineStr"/>
      <c r="X28" s="3" t="inlineStr"/>
      <c r="Y28" s="3" t="inlineStr"/>
      <c r="Z28" s="3" t="inlineStr">
        <is>
          <t>DECLARED IN THE CODE (rule 11) — printed from the door, not typed. RULED 2026-10-02</t>
        </is>
      </c>
      <c r="AA28" s="3" t="inlineStr"/>
      <c r="AB28" s="3" t="inlineStr"/>
      <c r="AC28" s="3" t="inlineStr"/>
      <c r="AD28" s="3" t="inlineStr"/>
      <c r="AE28" s="3" t="inlineStr"/>
      <c r="AF28" s="3" t="inlineStr">
        <is>
          <t>ACTIVE</t>
        </is>
      </c>
      <c r="AG28" s="3" t="inlineStr">
        <is>
          <t>2026-10-04</t>
        </is>
      </c>
      <c r="AH28" s="3" t="inlineStr"/>
      <c r="AI28" s="3" t="inlineStr"/>
      <c r="AJ2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8" s="3" t="inlineStr">
        <is>
          <t>(the claim now stands in 'Inputs it needs' until the row is approved)</t>
        </is>
      </c>
      <c r="AL28" s="3" t="inlineStr"/>
      <c r="AM28" s="3" t="inlineStr">
        <is>
          <t>TESTED, NOT VERIFIED — you ruled on this row 2026-10-02; the figure, its formula, inputs and refusal live in MK-CF-O-010 theMonth</t>
        </is>
      </c>
      <c r="AN28"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$850
(the test re-runs this through MK-CF-O-010 theMonth on every build)</t>
        </is>
      </c>
      <c r="AO28" s="7" t="inlineStr">
        <is>
          <t>RULED, NOT CODED (Q-CF-2 — one question, one function)</t>
        </is>
      </c>
    </row>
    <row r="29" ht="60" customHeight="1">
      <c r="A29" s="3" t="inlineStr">
        <is>
          <t>MK-CF-M-021</t>
        </is>
      </c>
      <c r="B29" s="3" t="inlineStr">
        <is>
          <t>Cashflow</t>
        </is>
      </c>
      <c r="C29" s="3" t="inlineStr">
        <is>
          <t>/cashflow</t>
        </is>
      </c>
      <c r="D29" s="3" t="inlineStr">
        <is>
          <t>&lt;goal&gt; · from your Plan</t>
        </is>
      </c>
      <c r="E29" s="3" t="inlineStr">
        <is>
          <t>goal__from_your_plan</t>
        </is>
      </c>
      <c r="F29" s="3" t="inlineStr">
        <is>
          <t>theMonth</t>
        </is>
      </c>
      <c r="G29" s="3" t="inlineStr">
        <is>
          <t>MK-CF-O-010</t>
        </is>
      </c>
      <c r="H29" s="3" t="inlineStr">
        <is>
          <t>the goal’s monthly amount, as the Plan set it</t>
        </is>
      </c>
      <c r="I29" s="3" t="inlineStr">
        <is>
          <t>the goal’s monthly amount, as the Plan set it</t>
        </is>
      </c>
      <c r="J29" s="3" t="inlineStr">
        <is>
          <t>MK-XS-I-027 goals (target, saved, date)</t>
        </is>
      </c>
      <c r="K29" s="3" t="inlineStr">
        <is>
          <t>dollars, whole a month</t>
        </is>
      </c>
      <c r="L29" s="3" t="inlineStr">
        <is>
          <t>$0, and under it the one line "Nothing entered yet. Add a goal ›" (mock approved 2026-09-12). A real zero that was entered shows a plain $0 with no line.</t>
        </is>
      </c>
      <c r="M29" s="3" t="inlineStr">
        <is>
          <t>one goal</t>
        </is>
      </c>
      <c r="N29" s="3" t="inlineStr">
        <is>
          <t>a month</t>
        </is>
      </c>
      <c r="O29" s="3" t="inlineStr">
        <is>
          <t>1. MK-CF-F-203 (MONTH) → NOT DECLARED — the code does not say what it gives back
2. MK-CF-F-155 (cash) → number
3. MK-CF-O-002 (expenses) → Expenses
4. MK-CF-O-003 (thisMonth) → ThisMonth</t>
        </is>
      </c>
      <c r="P29" s="3" t="inlineStr">
        <is>
          <t>Declared by MK-CF-O-010 theMonth</t>
        </is>
      </c>
      <c r="Q29" s="3" t="inlineStr">
        <is>
          <t>NONE RECORDED — the declaration names none.</t>
        </is>
      </c>
      <c r="R29" s="3" t="inlineStr">
        <is>
          <t>NONE RECORDED — the declaration names none.</t>
        </is>
      </c>
      <c r="S29" s="3" t="inlineStr"/>
      <c r="T29" s="3" t="inlineStr">
        <is>
          <t>NONE RECORDED — the declaration names none.</t>
        </is>
      </c>
      <c r="U29" s="3" t="inlineStr"/>
      <c r="V29" s="3" t="inlineStr"/>
      <c r="W29" s="3" t="inlineStr"/>
      <c r="X29" s="3" t="inlineStr"/>
      <c r="Y29" s="3" t="inlineStr"/>
      <c r="Z29" s="3" t="inlineStr">
        <is>
          <t>DECLARED IN THE CODE (rule 11) — printed from the door, not typed. RULED 2026-10-02</t>
        </is>
      </c>
      <c r="AA29" s="3" t="inlineStr"/>
      <c r="AB29" s="3" t="inlineStr"/>
      <c r="AC29" s="3" t="inlineStr"/>
      <c r="AD29" s="3" t="inlineStr"/>
      <c r="AE29" s="3" t="inlineStr">
        <is>
          <t>G32 / Q48 — RULED 2026-09-09: $0 stays, with the sentence '$0 — nothing entered yet.' and this row's door ('Add a goal ›'). File written; the screen follows the approved empty-state mock (one pattern, one screen), then every screen.</t>
        </is>
      </c>
      <c r="AF29" s="3" t="inlineStr">
        <is>
          <t>ACTIVE</t>
        </is>
      </c>
      <c r="AG29" s="3" t="inlineStr">
        <is>
          <t>2026-10-04</t>
        </is>
      </c>
      <c r="AH29" s="3" t="inlineStr"/>
      <c r="AI29" s="3" t="inlineStr"/>
      <c r="AJ2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29" s="3" t="inlineStr">
        <is>
          <t>(the claim now stands in 'Inputs it needs' until the row is approved)</t>
        </is>
      </c>
      <c r="AL29" s="3" t="inlineStr"/>
      <c r="AM29" s="3" t="inlineStr">
        <is>
          <t>TESTED, NOT VERIFIED — you ruled on this row 2026-10-02; the figure, its formula, inputs and refusal live in MK-CF-O-010 theMonth</t>
        </is>
      </c>
      <c r="AN29"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$300/month
(the test re-runs this through MK-CF-O-010 theMonth on every build)</t>
        </is>
      </c>
      <c r="AO29" s="7" t="inlineStr">
        <is>
          <t>RULED, NOT CODED (Q-PL-6 — one question, one function)</t>
        </is>
      </c>
    </row>
    <row r="30" ht="60" customHeight="1">
      <c r="A30" s="3" t="inlineStr">
        <is>
          <t>MK-CF-M-022</t>
        </is>
      </c>
      <c r="B30" s="3" t="inlineStr">
        <is>
          <t>Cashflow</t>
        </is>
      </c>
      <c r="C30" s="3" t="inlineStr">
        <is>
          <t>/cashflow</t>
        </is>
      </c>
      <c r="D30" s="3" t="inlineStr">
        <is>
          <t>YOUR FUTURE PAYCHECK — At &lt;age&gt;: ~$X/month</t>
        </is>
      </c>
      <c r="E30" s="3" t="inlineStr">
        <is>
          <t>your_future_paycheck__at_age_xmonth</t>
        </is>
      </c>
      <c r="F30" s="3" t="inlineStr">
        <is>
          <t>1. buildPaycheckYear (the draw from savings)
2. guaranteedOutsideStreams (summed)
3. simulate (the projected pot it draws from)</t>
        </is>
      </c>
      <c r="G30" s="3" t="inlineStr">
        <is>
          <t>1. MK-CF-F-107
2. MK-CF-F-076
3. MK-PL-F-050</t>
        </is>
      </c>
      <c r="H30" s="3" t="inlineStr">
        <is>
          <t>monthly at retirement = guaranteed outside income a month (MK-CF-F-076) + draw from savings a month (MK-CF-F-107)
draw from savings = the largest level monthly draw from the projected pot that keeps the odds of the money lasting at or above 80, found by binary search over seeded runs of MK-PL-F-050
projected pot = simulate(the plan's inputs).projected_at_retirement — the pot at the retirement age, from MK-PL-F-050</t>
        </is>
      </c>
      <c r="I30" s="3" t="inlineStr">
        <is>
          <t>Two lines make the figure. The first is outside money at retirement — Social Security, pension, annuity, other — converted to monthly. The second is the draw from savings: the biggest steady monthly amount the projected pot can hand over while the odds of it lasting stay at 80 or better; the app searches for that amount by re-running the plan. The pot itself is what today's savings and the years of contributions grow to by the retirement age, in the same simulation the odds use. Shown as '~$X / mo' with the estimate label because every part of it is projected. Answer to the founder's question (2026-09-08): yes — the row named the pot function (projectNestEgg) as if it produced a monthly figure; the screen never used it for this card. Fixed here; the screen was right.</t>
        </is>
      </c>
      <c r="J30" s="3" t="inlineStr">
        <is>
          <t>MK-NW-I-001 your accounts
MK-XS-I-017 birth year
MK-XS-I-018 retirement age
MK-XS-I-028 assumed return
MK-XS-I-020 Social Security monthly amount</t>
        </is>
      </c>
      <c r="K30" s="3" t="inlineStr">
        <is>
          <t>dollars, whole a month</t>
        </is>
      </c>
      <c r="L30" s="3" t="inlineStr">
        <is>
          <t>No pot to project from, or retirement age already reached — the card is not drawn.</t>
        </is>
      </c>
      <c r="M30" s="3" t="inlineStr">
        <is>
          <t>one figure per household</t>
        </is>
      </c>
      <c r="N30" s="3" t="inlineStr">
        <is>
          <t>a month</t>
        </is>
      </c>
      <c r="O30" s="3" t="inlineStr">
        <is>
          <t>1. MK-XS-F-004 (buildDatedGrid) → DatedGrid
2. MK-CF-F-105 (guaranteedRows) → GuaranteedRow[]
3. MK-CF-F-132 (map) → NOT DECLARED — the code does not say what it gives back
4. MK-NW-F-033 (retirementEarmarkedValue) → number
5. MK-CF-F-106 (solveSafeDraw) → number
6. MK-ST-F-052 (toNum) → number
7. MK-CF-O-002 (expenses) → Expenses
8. MK-PL-F-074 (median) → number
9. MK-PL-F-072 (mulberry32) → NOT DECLARED — the code does not say what it gives back
10. MK-XS-F-122 (n) → number
11. MK-PL-F-073 (normal) → number
12. MK-PL-F-075 (pctOfSorted) → number
13. MK-ST-F-025 (rmdStartAgeFromAge) → number</t>
        </is>
      </c>
      <c r="P30" s="3" t="inlineStr">
        <is>
          <t>Declared by MK-CF-O-017 futurePaycheck</t>
        </is>
      </c>
      <c r="Q30" s="3" t="inlineStr">
        <is>
          <t>AN ESTIMATE, SAID TO BE ONE on the screen — never a promise.
NOTHING BEFORE THERE IS A POT: with no accounts, or past retirement age, the card is not drawn.</t>
        </is>
      </c>
      <c r="R30" s="3" t="inlineStr">
        <is>
          <t>AN ESTIMATE, SAID TO BE ONE on the screen — never a promise.
NOTHING BEFORE THERE IS A POT: with no accounts, or past retirement age, the card is not drawn.</t>
        </is>
      </c>
      <c r="S30" s="3" t="inlineStr"/>
      <c r="T30" s="3" t="inlineStr">
        <is>
          <t>AN ESTIMATE, SAID TO BE ONE on the screen — never a promise.
NOTHING BEFORE THERE IS A POT: with no accounts, or past retirement age, the card is not drawn.</t>
        </is>
      </c>
      <c r="U30" s="3" t="inlineStr"/>
      <c r="V30" s="3" t="inlineStr"/>
      <c r="W30" s="3" t="inlineStr"/>
      <c r="X30" s="3" t="inlineStr"/>
      <c r="Y30" s="3" t="inlineStr"/>
      <c r="Z30" s="3" t="inlineStr">
        <is>
          <t>DECLARED IN THE CODE (rule 11) — printed from the door, not typed. RULED 2026-10-02</t>
        </is>
      </c>
      <c r="AA30" s="3" t="inlineStr"/>
      <c r="AB30" s="3" t="inlineStr"/>
      <c r="AC30" s="3" t="inlineStr"/>
      <c r="AD30" s="3" t="inlineStr"/>
      <c r="AE30" s="3" t="inlineStr">
        <is>
          <t>G17 — the draw from savings behind this figure now runs 1,000 futures (was 300). Closed 2026-09-08.
G14 — CLOSED 2026-09-08: the row now names the three real producers and states the draw rule. File matches code; no code change.</t>
        </is>
      </c>
      <c r="AF30" s="3" t="inlineStr">
        <is>
          <t>ACTIVE</t>
        </is>
      </c>
      <c r="AG30" s="3" t="inlineStr">
        <is>
          <t>2026-10-04</t>
        </is>
      </c>
      <c r="AH30" s="3" t="inlineStr"/>
      <c r="AI30" s="3" t="inlineStr"/>
      <c r="AJ30" s="3" t="inlineStr">
        <is>
          <t>1. MK-XS-I-001 account balance — read by MK-NW-F-031, MK-NW-F-032,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MK-XS-F-004
11. MK-XS-I-015 debt interest rate — read by MK-CF-F-157, MK-CF-O-010
12. MK-XS-I-016 debt minimum payment — read by MK-CF-F-023, MK-CF-F-157, MK-CF-O-010
13. MK-XS-I-017 birth year — read by MK-CF-F-089, MK-ST-F-024
14. MK-XS-I-018 retirement age — read by MK-CF-F-106, MK-PL-F-050
15. MK-XS-I-020 Social Security monthly amount — read by MK-CF-F-072, MK-CF-F-075, MK-CF-F-076
16. MK-XS-I-022 pension monthly amount — read by MK-CF-F-072, MK-CF-F-075, MK-CF-F-076
17. MK-XS-I-023 salary and other income — read by MK-CF-F-074, MK-CF-F-082, MK-CF-F-084, MK-CF-F-088, MK-CF-F-092, MK-CF-F-165, MK
18. MK-XS-I-024 logged expenses — read by MK-CF-F-005, MK-CF-F-067, MK-CF-F-068, MK-CF-F-107, MK-CF-F-150, MK-CF-F-151, MK
19. MK-XS-I-026 big costs (amount and year) — read by MK-XS-F-004
20. MK-XS-I-027 goals (target, saved, date) — read by MK-CF-F-204, MK-PL-F-012
21. MK-XS-I-028 assumed return — read by MK-CF-F-106, MK-NW-O-001, MK-PL-F-050
22. MK-XS-I-029 inflation rate — read by MK-CF-F-106, MK-PL-F-050
23. MK-XS-I-030 tax filing status and age — read by MK-CF-F-085, MK-CF-F-089, MK-CF-F-099, MK-CF-F-100, MK-CF-F-101, MK-CF-F-187
24. MK-XS-I-031 daily and monthly snapshots — read by MK-ST-F-036
25. MK-XS-I-032 expenses categories the person set up — read by MK-CF-F-004, MK-CF-F-008, MK-XS-F-004
26. MK-XS-I-034 option positions — contracts, strike, expiry, put or call — read by MK-CF-F-062
27. MK-XS-I-035 annuity income — read by MK-CF-F-072, MK-CF-F-075, MK-CF-F-076
28. MK-XS-I-036 other guaranteed income — read by MK-CF-F-072, MK-CF-F-075, MK-CF-F-076, MK-PL-F-050
29. MK-XS-I-037 required-withdrawal income stream (ri_rmd) — read by MK-CF-F-075
30. MK-XS-I-038 withdrawal income stream (ri_withdrawals) — read by MK-CF-F-075
31. MK-XS-I-039 how often each income arrives — read by MK-CF-F-071, MK-CF-F-072, MK-CF-F-074, MK-CF-F-075, MK-CF-F-076, MK-CF-F-105, MK
32. MK-XS-I-040 whether a stream is already being received — read by MK-CF-F-072, MK-CF-F-105
33. MK-XS-I-041 the payment the person chose to make on a debt — read by MK-CF-F-023
34. MK-XS-I-042 how a stream is paid — monthly, yearly or one lump — read by MK-CF-F-021, MK-CF-F-022, MK-CF-F-023, MK-CF-F-149, MK-CF-F-150, MK-CF-F-152, MK
35. MK-XS-I-043 their own retirement contribution — read by MK-CF-F-092, MK-CF-F-106, MK-CF-F-181, MK-CF-F-206, MK-PL-F-050
36. MK-XS-I-048 the person’s own asset-class answer — read by MK-NW-F-011, MK-ST-F-027
37. MK-XS-I-049 bond price — what the bond is worth today — read by MK-NW-F-056, MK-NW-F-057, MK-NW-F-059, MK-NW-F-060, MK-NW-F-061, MK-NW-F-064, MK
38. MK-XS-I-050 the share of an account earmarked for retirement — read by MK-NW-F-032
39. MK-XS-I-052 the day of the month a debt payment is due — read by MK-CF-F-005, MK-XS-F-004
40. MK-XS-I-053 the month a debt is first paid — read by MK-XS-F-004
41. MK-XS-I-054 the date a debt is due to be paid off in full — read by MK-XS-F-004
42. MK-XS-I-055 the wrapper an account sits in — ISA, 401(k), IRA and the rest — read by MK-CF-F-005, MK-CF-F-075, MK-CF-F-076, MK-CF-F-107, MK-CF-F-156, MK-NW-F-011, MK
43. MK-XS-I-059 the month a bonus lands — read by MK-CF-F-088, MK-CF-F-092, MK-XS-F-004
44. MK-XS-I-060 how a person is paid — weekly, fortnightly, monthly — read by MK-CF-F-130
45. MK-XS-I-064 the unit beside a quantity — shares, coins, contracts, ounces or units — read by MK-CF-F-003, MK-CF-F-008, MK-CF-F-204, MK-NW-F-078, MK-XS-F-004
46.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0" s="3" t="inlineStr">
        <is>
          <t>(the claim now stands in 'Inputs it needs' until the row is approved)</t>
        </is>
      </c>
      <c r="AL30" s="3" t="inlineStr"/>
      <c r="AM30" s="3" t="inlineStr">
        <is>
          <t>TESTED, NOT VERIFIED — you ruled on this row 2026-10-02; the figure, its formula, inputs and refusal live in MK-CF-O-017 futurePaycheck</t>
        </is>
      </c>
      <c r="AN30" s="3" t="inlineStr">
        <is>
          <t>Born in 1981, retiring at 67, with $200,000 in a 401(k) earning 6% and $2,000/month of Social Security from 67.
GIVES: $4,345/month
(the test re-runs this through MK-CF-O-017 futurePaycheck on every build)</t>
        </is>
      </c>
      <c r="AO30" s="7" t="inlineStr">
        <is>
          <t>RULED, NOT CODED (Q-PL-2 — one question, one function)</t>
        </is>
      </c>
    </row>
    <row r="31" ht="60" customHeight="1">
      <c r="A31" s="3" t="inlineStr">
        <is>
          <t>MK-CF-M-023</t>
        </is>
      </c>
      <c r="B31" s="3" t="inlineStr">
        <is>
          <t>Cashflow</t>
        </is>
      </c>
      <c r="C31" s="3" t="inlineStr">
        <is>
          <t>/cashflow</t>
        </is>
      </c>
      <c r="D31" s="3" t="inlineStr">
        <is>
          <t>YOUR FUTURE PAYCHECK — Social Security · pension</t>
        </is>
      </c>
      <c r="E31" s="3" t="inlineStr">
        <is>
          <t>your_future_paycheck__social_security__p</t>
        </is>
      </c>
      <c r="F31" s="3" t="inlineStr">
        <is>
          <t>guaranteedOutsideStreams (summed)</t>
        </is>
      </c>
      <c r="G31" s="3" t="inlineStr">
        <is>
          <t>MK-CF-F-076</t>
        </is>
      </c>
      <c r="H31" s="3" t="inlineStr">
        <is>
          <t>guaranteed income a month = Social Security + pension + annuity + other stated income — the four OUTSIDE sources, each converted to a monthly figure</t>
        </is>
      </c>
      <c r="I31" s="3" t="inlineStr">
        <is>
          <t>Add Social Security, pension, annuity and other stated retirement income — each converted to a monthly figure from however it was entered (yearly, quarterly, monthly). Planned withdrawals and the required withdrawal are NOT in this line: the card prints 'Draw from savings' beside it, and counting a savings draw twice is what founder decision brief Q-38 (2026-08-20) forbids.</t>
        </is>
      </c>
      <c r="J31" s="3" t="inlineStr">
        <is>
          <t>1. Social Security → ri_ss [MK-XS-I-020]
2. pension → ri_pension [MK-XS-I-022]
3. annuity → ri_annuities [MK-XS-I-035]
4. other → ri_other [MK-XS-I-036]
5. how often each arrives → the matching frequency [MK-XS-I-039]</t>
        </is>
      </c>
      <c r="K31" s="3" t="inlineStr">
        <is>
          <t>dollars, whole a month</t>
        </is>
      </c>
      <c r="L31" s="3" t="inlineStr">
        <is>
          <t>No pot to project from, or retirement age already reached — the card is not drawn.</t>
        </is>
      </c>
      <c r="M31" s="3" t="inlineStr">
        <is>
          <t>one figure per household</t>
        </is>
      </c>
      <c r="N31" s="3" t="inlineStr">
        <is>
          <t>a month</t>
        </is>
      </c>
      <c r="O31" s="3" t="inlineStr">
        <is>
          <t>MK-ST-F-052 (toNum) → number</t>
        </is>
      </c>
      <c r="P31" s="3" t="inlineStr">
        <is>
          <t>Declared by MK-CF-O-017 futurePaycheck</t>
        </is>
      </c>
      <c r="Q31" s="3" t="inlineStr">
        <is>
          <t>NONE RECORDED — the declaration names none.</t>
        </is>
      </c>
      <c r="R31" s="3" t="inlineStr">
        <is>
          <t>NONE RECORDED — the declaration names none.</t>
        </is>
      </c>
      <c r="S31" s="3" t="inlineStr"/>
      <c r="T31" s="3" t="inlineStr">
        <is>
          <t>NONE RECORDED — the declaration names none.
[Founder] brief Q-38 (2026-08-20): the paycheck DISPLAY shows every line; the plan's guaranteed INPUT — and this card's guaranteed line, which sits beside a savings draw — takes outside money only.</t>
        </is>
      </c>
      <c r="U31" s="3" t="inlineStr"/>
      <c r="V31" s="3" t="inlineStr"/>
      <c r="W31" s="3" t="inlineStr"/>
      <c r="X31" s="3" t="inlineStr"/>
      <c r="Y31" s="3" t="inlineStr"/>
      <c r="Z31" s="3" t="inlineStr">
        <is>
          <t>DECLARED IN THE CODE (rule 11) — printed from the door, not typed. RULED 2026-10-02</t>
        </is>
      </c>
      <c r="AA31" s="3" t="inlineStr"/>
      <c r="AB31" s="3" t="inlineStr"/>
      <c r="AC31" s="3" t="inlineStr"/>
      <c r="AD31" s="3" t="inlineStr"/>
      <c r="AE31" s="3" t="inlineStr">
        <is>
          <t>G13 — CLOSED 2026-09-08, and it was CODE as well as file: the card read the six-source function (MK-CF-F-075, withdrawals and required withdrawal included) beside its own 'Draw from savings' line — a double count. The screen now sums MK-CF-F-076 (four outside sources); this row names it. File and code are both updated and they match 100%.</t>
        </is>
      </c>
      <c r="AF31" s="3" t="inlineStr">
        <is>
          <t>ACTIVE</t>
        </is>
      </c>
      <c r="AG31" s="3" t="inlineStr">
        <is>
          <t>2026-10-04</t>
        </is>
      </c>
      <c r="AH31" s="3" t="inlineStr"/>
      <c r="AI31" s="3" t="inlineStr"/>
      <c r="AJ31" s="3" t="inlineStr">
        <is>
          <t>1. MK-XS-I-020 Social Security monthly amount — read by MK-CF-F-076
2. MK-XS-I-022 pension monthly amount — read by MK-CF-F-076
3. MK-XS-I-035 annuity income — read by MK-CF-F-076
4. MK-XS-I-036 other guaranteed income — read by MK-CF-F-076
5. MK-XS-I-039 how often each income arrives — read by MK-CF-F-076
6. MK-XS-I-055 the wrapper an account sits in — ISA, 401(k), IRA and the rest — read by MK-CF-F-076
[the code's record, this build — evidence for the ruling, not the row's statement: it cannot see inputs handed in as arguments, and it counts every branch below the producer]</t>
        </is>
      </c>
      <c r="AK31" s="3" t="inlineStr">
        <is>
          <t>(the claim now stands in 'Inputs it needs' until the row is approved)</t>
        </is>
      </c>
      <c r="AL31" s="3" t="inlineStr"/>
      <c r="AM31" s="3" t="inlineStr">
        <is>
          <t>TESTED, NOT VERIFIED — you ruled on this row 2026-10-02; the figure, its formula, inputs and refusal live in MK-CF-O-017 futurePaycheck</t>
        </is>
      </c>
      <c r="AN31" s="3" t="inlineStr">
        <is>
          <t>Born in 1981, retiring at 67, with $200,000 in a 401(k) earning 6% and $2,000/month of Social Security from 67.
GIVES: $2,000/month
(the test re-runs this through MK-CF-O-017 futurePaycheck on every build)</t>
        </is>
      </c>
      <c r="AO31" s="7" t="inlineStr">
        <is>
          <t>RULED, NOT CODED (Q-PL-2 — one question, one function)</t>
        </is>
      </c>
    </row>
    <row r="32" ht="60" customHeight="1">
      <c r="A32" s="3" t="inlineStr">
        <is>
          <t>MK-CF-M-024</t>
        </is>
      </c>
      <c r="B32" s="3" t="inlineStr">
        <is>
          <t>Cashflow</t>
        </is>
      </c>
      <c r="C32" s="3" t="inlineStr">
        <is>
          <t>/monthly-income</t>
        </is>
      </c>
      <c r="D32" s="3" t="inlineStr">
        <is>
          <t>each source of guaranteed income</t>
        </is>
      </c>
      <c r="E32" s="3" t="inlineStr">
        <is>
          <t>each_source_of_guaranteed_income</t>
        </is>
      </c>
      <c r="F32" s="3" t="inlineStr">
        <is>
          <t>incomeSummary</t>
        </is>
      </c>
      <c r="G32" s="3" t="inlineStr">
        <is>
          <t>MK-CF-O-004</t>
        </is>
      </c>
      <c r="H32" s="3" t="inlineStr">
        <is>
          <t>each stream as entered, brought to a monthly amount</t>
        </is>
      </c>
      <c r="I32" s="3" t="inlineStr">
        <is>
          <t>each stream as entered, brought to a monthly amount</t>
        </is>
      </c>
      <c r="J32" s="3" t="inlineStr">
        <is>
          <t>MK-XS-I-020 Social Security monthly amount
MK-XS-I-022 pension monthly amount
MK-XS-I-035 annuity income
MK-XS-I-036 other guaranteed income</t>
        </is>
      </c>
      <c r="K32" s="3" t="inlineStr">
        <is>
          <t>dollars, whole a month</t>
        </is>
      </c>
      <c r="L32" s="3" t="inlineStr">
        <is>
          <t>Nothing entered — the list is replaced by the door to enter it.</t>
        </is>
      </c>
      <c r="M32" s="3" t="inlineStr">
        <is>
          <t>one source</t>
        </is>
      </c>
      <c r="N32" s="3" t="inlineStr">
        <is>
          <t>a month</t>
        </is>
      </c>
      <c r="O32"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32" s="3" t="inlineStr">
        <is>
          <t>Declared by MK-CF-O-004 incomeSummary</t>
        </is>
      </c>
      <c r="Q32" s="3" t="inlineStr">
        <is>
          <t>NONE RECORDED — the declaration names none.</t>
        </is>
      </c>
      <c r="R32" s="3" t="inlineStr">
        <is>
          <t>NONE RECORDED — the declaration names none.</t>
        </is>
      </c>
      <c r="S32" s="3" t="inlineStr"/>
      <c r="T32" s="3" t="inlineStr">
        <is>
          <t>NONE RECORDED — the declaration names none.</t>
        </is>
      </c>
      <c r="U32" s="3" t="inlineStr"/>
      <c r="V32" s="3" t="inlineStr"/>
      <c r="W32" s="3" t="inlineStr"/>
      <c r="X32" s="3" t="inlineStr"/>
      <c r="Y32" s="3" t="inlineStr"/>
      <c r="Z32" s="3" t="inlineStr">
        <is>
          <t>DECLARED IN THE CODE (rule 11) — printed from the door, not typed. RULED 2026-10-02</t>
        </is>
      </c>
      <c r="AA32" s="3" t="inlineStr"/>
      <c r="AB32" s="3" t="inlineStr"/>
      <c r="AC32" s="3" t="inlineStr"/>
      <c r="AD32" s="3" t="inlineStr"/>
      <c r="AE32" s="3" t="inlineStr"/>
      <c r="AF32" s="3" t="inlineStr">
        <is>
          <t>ACTIVE</t>
        </is>
      </c>
      <c r="AG32" s="3" t="inlineStr">
        <is>
          <t>2026-10-04</t>
        </is>
      </c>
      <c r="AH32" s="3" t="inlineStr"/>
      <c r="AI32" s="3" t="inlineStr"/>
      <c r="AJ32"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2" s="3" t="inlineStr">
        <is>
          <t>(the claim now stands in 'Inputs it needs' until the row is approved)</t>
        </is>
      </c>
      <c r="AL32" s="3" t="inlineStr"/>
      <c r="AM32" s="3" t="inlineStr">
        <is>
          <t>TESTED, NOT VERIFIED — you ruled on this row 2026-10-02; the figure, its formula, inputs and refusal live in MK-CF-O-004 incomeSummary</t>
        </is>
      </c>
      <c r="AN32" s="3" t="inlineStr">
        <is>
          <t>The two earners above, plus $24,000/year of self-employment, a $12,000 bonus in March, 50 shares vesting at $400, a rental bringing in $2,000/month against $800 of costs, and $2,100/month of Social Security.
GIVES: $2,100/month
(the test re-runs this through MK-CF-O-004 incomeSummary on every build)</t>
        </is>
      </c>
      <c r="AO32" s="7" t="inlineStr">
        <is>
          <t>RULED, NOT CODED (Q-PL-2 — one question, one function)</t>
        </is>
      </c>
    </row>
    <row r="33" ht="60" customHeight="1">
      <c r="A33" s="3" t="inlineStr">
        <is>
          <t>MK-CF-M-027</t>
        </is>
      </c>
      <c r="B33" s="3" t="inlineStr">
        <is>
          <t>Cashflow</t>
        </is>
      </c>
      <c r="C33" s="3" t="inlineStr">
        <is>
          <t>/income-manager</t>
        </is>
      </c>
      <c r="D33" s="3" t="inlineStr">
        <is>
          <t>each income source and its amount</t>
        </is>
      </c>
      <c r="E33" s="3" t="inlineStr">
        <is>
          <t>each_income_source_and_its_amount</t>
        </is>
      </c>
      <c r="F33" s="3" t="inlineStr">
        <is>
          <t>incomeSummary</t>
        </is>
      </c>
      <c r="G33" s="3" t="inlineStr">
        <is>
          <t>MK-CF-O-004</t>
        </is>
      </c>
      <c r="H33" s="3" t="inlineStr">
        <is>
          <t>a monthly source × 12; a yearly source as it is; a salary from its pay period</t>
        </is>
      </c>
      <c r="I33" s="3" t="inlineStr">
        <is>
          <t>a monthly source × 12; a yearly source as it is; a salary from its pay period</t>
        </is>
      </c>
      <c r="J33" s="3" t="inlineStr">
        <is>
          <t>MK-XS-I-023 salary and other income
MK-CF-I-009 bonus
MK-CF-I-010 equity vesting
MK-CF-I-007 rental income</t>
        </is>
      </c>
      <c r="K33" s="3" t="inlineStr">
        <is>
          <t>dollars, whole a year</t>
        </is>
      </c>
      <c r="L33" s="3" t="inlineStr">
        <is>
          <t>$0, and under it the one line "Nothing entered yet. Add your income ›" (mock approved 2026-09-12). A real zero that was entered shows a plain $0 with no line.</t>
        </is>
      </c>
      <c r="M33" s="3" t="inlineStr">
        <is>
          <t>one source</t>
        </is>
      </c>
      <c r="N33" s="3" t="inlineStr">
        <is>
          <t>a year</t>
        </is>
      </c>
      <c r="O33"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33" s="3" t="inlineStr">
        <is>
          <t>Declared by MK-CF-O-004 incomeSummary</t>
        </is>
      </c>
      <c r="Q33" s="3" t="inlineStr">
        <is>
          <t>NONE RECORDED — the declaration names none.</t>
        </is>
      </c>
      <c r="R33" s="3" t="inlineStr">
        <is>
          <t>NONE RECORDED — the declaration names none.</t>
        </is>
      </c>
      <c r="S33" s="3" t="inlineStr"/>
      <c r="T33" s="3" t="inlineStr">
        <is>
          <t>NONE RECORDED — the declaration names none.</t>
        </is>
      </c>
      <c r="U33" s="3" t="inlineStr"/>
      <c r="V33" s="3" t="inlineStr"/>
      <c r="W33" s="3" t="inlineStr"/>
      <c r="X33" s="3" t="inlineStr"/>
      <c r="Y33" s="3" t="inlineStr"/>
      <c r="Z33" s="3" t="inlineStr">
        <is>
          <t>DECLARED IN THE CODE (rule 11) — printed from the door, not typed. RULED 2026-10-02</t>
        </is>
      </c>
      <c r="AA33" s="3" t="inlineStr"/>
      <c r="AB33" s="3" t="inlineStr"/>
      <c r="AC33" s="3" t="inlineStr"/>
      <c r="AD33" s="3" t="inlineStr"/>
      <c r="AE33" s="3" t="inlineStr">
        <is>
          <t>G32 / Q48 — 2026-09-09: the 'division with nothing on the bottom' boilerplate is gone; this cell now states the row's real refusal. Where it says 'built', the screen already does it; the rest follow the empty-state mock.</t>
        </is>
      </c>
      <c r="AF33" s="3" t="inlineStr">
        <is>
          <t>ACTIVE</t>
        </is>
      </c>
      <c r="AG33" s="3" t="inlineStr">
        <is>
          <t>2026-10-04</t>
        </is>
      </c>
      <c r="AH33" s="3" t="inlineStr"/>
      <c r="AI33" s="3" t="inlineStr"/>
      <c r="AJ3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3" s="3" t="inlineStr">
        <is>
          <t>(the claim now stands in 'Inputs it needs' until the row is approved)</t>
        </is>
      </c>
      <c r="AL33" s="3" t="inlineStr"/>
      <c r="AM33" s="3" t="inlineStr">
        <is>
          <t>TESTED, NOT VERIFIED — you ruled on this row 2026-10-02; the figure, its formula, inputs and refusal live in MK-CF-O-004 incomeSummary</t>
        </is>
      </c>
      <c r="AN33" s="3" t="inlineStr">
        <is>
          <t>The two earners above, plus $24,000/year of self-employment, a $12,000 bonus in March, 50 shares vesting at $400, a rental bringing in $2,000/month against $800 of costs, and $2,100/month of Social Security.
GIVES: $14,400/year
(the test re-runs this through MK-CF-O-004 incomeSummary on every build)</t>
        </is>
      </c>
      <c r="AO33" s="7" t="inlineStr">
        <is>
          <t>RULED, NOT CODED (Q-CF-1 — one question, one function)</t>
        </is>
      </c>
    </row>
    <row r="34" ht="60" customHeight="1">
      <c r="A34" s="3" t="inlineStr">
        <is>
          <t>MK-CF-M-028</t>
        </is>
      </c>
      <c r="B34" s="3" t="inlineStr">
        <is>
          <t>Cashflow</t>
        </is>
      </c>
      <c r="C34" s="3" t="inlineStr">
        <is>
          <t>/bill-calendar</t>
        </is>
      </c>
      <c r="D34" s="3" t="inlineStr">
        <is>
          <t>each bill and the day it falls</t>
        </is>
      </c>
      <c r="E34" s="3" t="inlineStr">
        <is>
          <t>each_bill_and_the_day_it_falls</t>
        </is>
      </c>
      <c r="F34" s="3" t="inlineStr">
        <is>
          <t>whatsComing</t>
        </is>
      </c>
      <c r="G34" s="3" t="inlineStr">
        <is>
          <t>MK-CF-O-008</t>
        </is>
      </c>
      <c r="H34" s="3" t="inlineStr">
        <is>
          <t>each dated bill in the window, in date order, with the running balance after it</t>
        </is>
      </c>
      <c r="I34" s="3" t="inlineStr">
        <is>
          <t>each dated bill in the window, in date order, with the running balance after it</t>
        </is>
      </c>
      <c r="J34" s="3" t="inlineStr">
        <is>
          <t>MK-CF-I-002 your bills
MK-NW-I-001 your accounts</t>
        </is>
      </c>
      <c r="K34" s="3" t="inlineStr">
        <is>
          <t>dollars, whole</t>
        </is>
      </c>
      <c r="L34" s="3" t="inlineStr">
        <is>
          <t>$0, and under it the one line "Nothing entered yet. Add your bills ›" (mock approved 2026-09-12). A real zero that was entered shows a plain $0 with no line.</t>
        </is>
      </c>
      <c r="M34" s="3" t="inlineStr">
        <is>
          <t>one bill</t>
        </is>
      </c>
      <c r="N34" s="3" t="inlineStr">
        <is>
          <t>as of today</t>
        </is>
      </c>
      <c r="O34" s="3" t="inlineStr">
        <is>
          <t>MK-CF-F-019 (upcomingBills) → NOT DECLARED — the code does not say what it gives back</t>
        </is>
      </c>
      <c r="P34" s="3" t="inlineStr">
        <is>
          <t>Declared by MK-CF-O-008 whatsComing</t>
        </is>
      </c>
      <c r="Q34" s="3" t="inlineStr">
        <is>
          <t>A bill with NO date is not on the calendar — a date nobody gave would be read as one they did. It is still counted in the month’s total.</t>
        </is>
      </c>
      <c r="R34" s="3" t="inlineStr">
        <is>
          <t>A bill with NO date is not on the calendar — a date nobody gave would be read as one they did. It is still counted in the month’s total.</t>
        </is>
      </c>
      <c r="S34" s="3" t="inlineStr"/>
      <c r="T34" s="3" t="inlineStr">
        <is>
          <t>A bill with NO date is not on the calendar — a date nobody gave would be read as one they did. It is still counted in the month’s total.</t>
        </is>
      </c>
      <c r="U34" s="3" t="inlineStr"/>
      <c r="V34" s="3" t="inlineStr"/>
      <c r="W34" s="3" t="inlineStr"/>
      <c r="X34" s="3" t="inlineStr"/>
      <c r="Y34" s="3" t="inlineStr"/>
      <c r="Z34" s="3" t="inlineStr">
        <is>
          <t>DECLARED IN THE CODE (rule 11) — printed from the door, not typed. RULED 2026-09-27</t>
        </is>
      </c>
      <c r="AA34" s="3" t="inlineStr"/>
      <c r="AB34" s="3" t="inlineStr"/>
      <c r="AC34" s="3" t="inlineStr"/>
      <c r="AD34" s="3" t="inlineStr"/>
      <c r="AE34" s="3" t="inlineStr">
        <is>
          <t>G32 / Q48 — RULED 2026-09-09: $0 stays, with the sentence '$0 — nothing entered yet.' and this row's door ('Add your bills ›'). File written; the screen follows the approved empty-state mock (one pattern, one screen), then every screen.</t>
        </is>
      </c>
      <c r="AF34" s="3" t="inlineStr">
        <is>
          <t>ACTIVE</t>
        </is>
      </c>
      <c r="AG34" s="3" t="inlineStr">
        <is>
          <t>2026-10-04</t>
        </is>
      </c>
      <c r="AH34" s="3" t="inlineStr"/>
      <c r="AI34" s="3" t="inlineStr"/>
      <c r="AJ34"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4" s="3" t="inlineStr">
        <is>
          <t>(the claim now stands in 'Inputs it needs' until the row is approved)</t>
        </is>
      </c>
      <c r="AL34" s="3" t="inlineStr"/>
      <c r="AM34" s="3" t="inlineStr">
        <is>
          <t>TESTED, NOT VERIFIED — you ruled on this row 2026-09-27; the figure, its formula, inputs and refusal live in MK-CF-O-008 whatsComing</t>
        </is>
      </c>
      <c r="AN34" s="3" t="inlineStr">
        <is>
          <t>On 28 Sep 2026, with $8,000 in the account: car insurance of $1,400 due 15 Oct and property tax of $4,800 due 1 Nov. Nothing else is dated.
GIVES: $4,800
(the test re-runs this through MK-CF-O-008 whatsComing on every build)</t>
        </is>
      </c>
      <c r="AO34" s="7" t="inlineStr">
        <is>
          <t>RULED, NOT CODED (Q-CF-3 — one question, one function)</t>
        </is>
      </c>
    </row>
    <row r="35" ht="60" customHeight="1">
      <c r="A35" s="3" t="inlineStr">
        <is>
          <t>MK-CF-M-030</t>
        </is>
      </c>
      <c r="B35" s="3" t="inlineStr">
        <is>
          <t>Cashflow</t>
        </is>
      </c>
      <c r="C35" s="3" t="inlineStr">
        <is>
          <t>/base-pay</t>
        </is>
      </c>
      <c r="D35" s="3" t="inlineStr">
        <is>
          <t>Each person’s pay</t>
        </is>
      </c>
      <c r="E35" s="3" t="inlineStr">
        <is>
          <t>each_persons_pay</t>
        </is>
      </c>
      <c r="F35" s="3" t="inlineStr">
        <is>
          <t>basePay</t>
        </is>
      </c>
      <c r="G35" s="3" t="inlineStr">
        <is>
          <t>MK-CF-O-001</t>
        </is>
      </c>
      <c r="H35" s="3" t="inlineStr">
        <is>
          <t>gross a year = the sum of every earner’s wage, each annualised from the rhythm they are paid in</t>
        </is>
      </c>
      <c r="I35" s="3" t="inlineStr">
        <is>
          <t>gross a year = the sum of every earner’s wage, each annualised from the rhythm they are paid in</t>
        </is>
      </c>
      <c r="J35" s="3" t="inlineStr">
        <is>
          <t>MK-CF-I-001 wage
MK-CF-I-002 how often it is paid
MK-XS-I-021 spouse wage</t>
        </is>
      </c>
      <c r="K35" s="3" t="inlineStr">
        <is>
          <t>dollars, whole a year</t>
        </is>
      </c>
      <c r="L35" s="3" t="inlineStr">
        <is>
          <t>Shows $0 until a wage is entered; the screen offers the door to enter one.</t>
        </is>
      </c>
      <c r="M35" s="3" t="inlineStr">
        <is>
          <t>one figure per household</t>
        </is>
      </c>
      <c r="N35" s="3" t="inlineStr">
        <is>
          <t>a year</t>
        </is>
      </c>
      <c r="O35"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35" s="3" t="inlineStr">
        <is>
          <t>Declared by MK-CF-O-001 basePay</t>
        </is>
      </c>
      <c r="Q35" s="3" t="inlineStr">
        <is>
          <t>A wage entered for a rhythm is annualised by that rhythm, never by a flat twelve.</t>
        </is>
      </c>
      <c r="R35" s="3" t="inlineStr">
        <is>
          <t>A wage entered for a rhythm is annualised by that rhythm, never by a flat twelve.</t>
        </is>
      </c>
      <c r="S35" s="3" t="inlineStr"/>
      <c r="T35" s="3" t="inlineStr">
        <is>
          <t>A wage entered for a rhythm is annualised by that rhythm, never by a flat twelve.</t>
        </is>
      </c>
      <c r="U35" s="3" t="inlineStr"/>
      <c r="V35" s="3" t="inlineStr"/>
      <c r="W35" s="3" t="inlineStr"/>
      <c r="X35" s="3" t="inlineStr"/>
      <c r="Y35" s="3" t="inlineStr"/>
      <c r="Z35" s="3" t="inlineStr">
        <is>
          <t>DECLARED IN THE CODE (rule 11) — printed from the door, not typed. RULED 2026-09-14</t>
        </is>
      </c>
      <c r="AA35" s="3" t="inlineStr"/>
      <c r="AB35" s="3" t="inlineStr"/>
      <c r="AC35" s="3" t="inlineStr"/>
      <c r="AD35" s="3" t="inlineStr"/>
      <c r="AE35" s="3" t="inlineStr"/>
      <c r="AF35" s="3" t="inlineStr">
        <is>
          <t>ACTIVE</t>
        </is>
      </c>
      <c r="AG35" s="3" t="inlineStr">
        <is>
          <t>2026-10-04</t>
        </is>
      </c>
      <c r="AH35" s="3" t="inlineStr"/>
      <c r="AI35" s="3" t="inlineStr"/>
      <c r="AJ3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5" s="3" t="inlineStr">
        <is>
          <t>(the claim now stands in 'Inputs it needs' until the row is approved)</t>
        </is>
      </c>
      <c r="AL35" s="3" t="inlineStr"/>
      <c r="AM35" s="3" t="inlineStr">
        <is>
          <t>TESTED, NOT VERIFIED — you ruled on this row 2026-09-14; the figure, its formula, inputs and refusal live in MK-CF-O-001 basePay</t>
        </is>
      </c>
      <c r="AN35" s="3" t="inlineStr">
        <is>
          <t>Two earners filing jointly: $4,200 every two weeks ($109,200/year) and $5,000/month ($60,000), paying $1,200 and $400/month into their 401(k)s — $14,100/month of wages in all. They have typed their tax rate: 22%.
GIVES: $109,200/year
(the test re-runs this through MK-CF-O-001 basePay on every build)</t>
        </is>
      </c>
      <c r="AO35" s="7" t="inlineStr">
        <is>
          <t>RULED, NOT CODED (Q-CF-1 — one question, one function)</t>
        </is>
      </c>
    </row>
    <row r="36" ht="60" customHeight="1">
      <c r="A36" s="3" t="inlineStr">
        <is>
          <t>MK-CF-M-031</t>
        </is>
      </c>
      <c r="B36" s="3" t="inlineStr">
        <is>
          <t>Cashflow</t>
        </is>
      </c>
      <c r="C36" s="3" t="inlineStr">
        <is>
          <t>/base-pay · /cashflow</t>
        </is>
      </c>
      <c r="D36" s="3" t="inlineStr">
        <is>
          <t>Take-home</t>
        </is>
      </c>
      <c r="E36" s="3" t="inlineStr">
        <is>
          <t>takehome</t>
        </is>
      </c>
      <c r="F36" s="3" t="inlineStr">
        <is>
          <t>basePay</t>
        </is>
      </c>
      <c r="G36" s="3" t="inlineStr">
        <is>
          <t>MK-CF-O-001</t>
        </is>
      </c>
      <c r="H36" s="3" t="inlineStr">
        <is>
          <t>for one earner: what they entered, or their gross less federal tax less their own 401(k). For the household: the sum of the earners’ figures, never a second calculation.</t>
        </is>
      </c>
      <c r="I36" s="3" t="inlineStr">
        <is>
          <t>for one earner: what they entered, or their gross less federal tax less their own 401(k). For the household: the sum of the earners’ figures, never a second calculation.</t>
        </is>
      </c>
      <c r="J36" s="3" t="inlineStr">
        <is>
          <t>MK-CF-I-001 wage
MK-CF-I-003 take-home as entered
MK-CF-I-004 401(k) contribution
MK-CF-I-005 tax rate as entered</t>
        </is>
      </c>
      <c r="K36" s="3" t="inlineStr">
        <is>
          <t>dollars, whole a month</t>
        </is>
      </c>
      <c r="L36" s="3" t="inlineStr">
        <is>
          <t>Shows $0 until a wage is entered.</t>
        </is>
      </c>
      <c r="M36" s="3" t="inlineStr">
        <is>
          <t>one figure per household</t>
        </is>
      </c>
      <c r="N36" s="3" t="inlineStr">
        <is>
          <t>a month</t>
        </is>
      </c>
      <c r="O36"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36" s="3" t="inlineStr">
        <is>
          <t>Declared by MK-CF-O-001 basePay</t>
        </is>
      </c>
      <c r="Q36" s="3" t="inlineStr">
        <is>
          <t>Federal income tax only when it is calculated — no Social Security, Medicare or state tax (MK-CF-D-001).</t>
        </is>
      </c>
      <c r="R36" s="3" t="inlineStr">
        <is>
          <t>Federal income tax only when it is calculated — no Social Security, Medicare or state tax (MK-CF-D-001).</t>
        </is>
      </c>
      <c r="S36" s="3" t="inlineStr"/>
      <c r="T36" s="3" t="inlineStr">
        <is>
          <t>Federal income tax only when it is calculated — no Social Security, Medicare or state tax (MK-CF-D-001).</t>
        </is>
      </c>
      <c r="U36" s="3" t="inlineStr">
        <is>
          <t>ONE figure over two sets: one earner, and the household — so a total and its parts cannot disagree (rule 2). It wears ≈ whenever the figure was calculated rather than entered.</t>
        </is>
      </c>
      <c r="V36" s="3" t="inlineStr"/>
      <c r="W36" s="3" t="inlineStr"/>
      <c r="X36" s="3" t="inlineStr"/>
      <c r="Y36" s="3" t="inlineStr"/>
      <c r="Z36" s="3" t="inlineStr">
        <is>
          <t>DECLARED IN THE CODE (rule 11) — printed from the door, not typed. RULED 2026-09-14</t>
        </is>
      </c>
      <c r="AA36" s="3" t="inlineStr"/>
      <c r="AB36" s="3" t="inlineStr"/>
      <c r="AC36" s="3" t="inlineStr"/>
      <c r="AD36" s="3" t="inlineStr"/>
      <c r="AE36" s="3" t="inlineStr"/>
      <c r="AF36" s="3" t="inlineStr">
        <is>
          <t>ACTIVE</t>
        </is>
      </c>
      <c r="AG36" s="3" t="inlineStr">
        <is>
          <t>2026-10-04</t>
        </is>
      </c>
      <c r="AH36" s="3" t="inlineStr"/>
      <c r="AI36" s="3" t="inlineStr"/>
      <c r="AJ3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6" s="3" t="inlineStr">
        <is>
          <t>(the claim now stands in 'Inputs it needs' until the row is approved)</t>
        </is>
      </c>
      <c r="AL36" s="3" t="inlineStr"/>
      <c r="AM36" s="3" t="inlineStr">
        <is>
          <t>TESTED, NOT VERIFIED — you ruled on this row 2026-09-14; the figure, its formula, inputs and refusal live in MK-CF-O-001 basePay</t>
        </is>
      </c>
      <c r="AN36" s="3" t="inlineStr">
        <is>
          <t>Two earners filing jointly: $4,200 every two weeks ($109,200/year) and $5,000/month ($60,000), paying $1,200 and $400/month into their 401(k)s — $14,100/month of wages in all. They have typed their tax rate: 22%.
GIVES: $9,398/month
(the test re-runs this through MK-CF-O-001 basePay on every build)</t>
        </is>
      </c>
      <c r="AO36" s="7" t="inlineStr">
        <is>
          <t>RULED, NOT CODED (Q-CF-1 — one question, one function)</t>
        </is>
      </c>
    </row>
    <row r="37" ht="60" customHeight="1">
      <c r="A37" s="3" t="inlineStr">
        <is>
          <t>MK-CF-M-032</t>
        </is>
      </c>
      <c r="B37" s="3" t="inlineStr">
        <is>
          <t>Cashflow</t>
        </is>
      </c>
      <c r="C37" s="3" t="inlineStr">
        <is>
          <t>/base-pay</t>
        </is>
      </c>
      <c r="D37" s="3" t="inlineStr">
        <is>
          <t>Federal tax bracket</t>
        </is>
      </c>
      <c r="E37" s="3" t="inlineStr">
        <is>
          <t>federal_tax_bracket</t>
        </is>
      </c>
      <c r="F37" s="3" t="inlineStr">
        <is>
          <t>basePay</t>
        </is>
      </c>
      <c r="G37" s="3" t="inlineStr">
        <is>
          <t>MK-CF-O-001</t>
        </is>
      </c>
      <c r="H37" s="3" t="inlineStr">
        <is>
          <t>the published bracket the household’s gross falls in, for their filing status</t>
        </is>
      </c>
      <c r="I37" s="3" t="inlineStr">
        <is>
          <t>the published bracket the household’s gross falls in, for their filing status</t>
        </is>
      </c>
      <c r="J37" s="3" t="inlineStr">
        <is>
          <t>MK-CF-M-030 gross a year
MK-XS-I-024 filing status</t>
        </is>
      </c>
      <c r="K37" s="3" t="inlineStr">
        <is>
          <t>a percentage, whole</t>
        </is>
      </c>
      <c r="L37" s="3" t="inlineStr">
        <is>
          <t>The row is not shown until a wage is entered.</t>
        </is>
      </c>
      <c r="M37" s="3" t="inlineStr">
        <is>
          <t>one figure per household</t>
        </is>
      </c>
      <c r="N37" s="3" t="inlineStr">
        <is>
          <t>as of today</t>
        </is>
      </c>
      <c r="O37"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37" s="3" t="inlineStr">
        <is>
          <t>Declared by MK-CF-O-001 basePay</t>
        </is>
      </c>
      <c r="Q37" s="3" t="inlineStr">
        <is>
          <t>Filing status is assumed to be jointly when two people earn and nobody has said (MK-CF-D-004).</t>
        </is>
      </c>
      <c r="R37" s="3" t="inlineStr">
        <is>
          <t>Filing status is assumed to be jointly when two people earn and nobody has said (MK-CF-D-004).</t>
        </is>
      </c>
      <c r="S37" s="3" t="inlineStr"/>
      <c r="T37" s="3" t="inlineStr">
        <is>
          <t>Filing status is assumed to be jointly when two people earn and nobody has said (MK-CF-D-004).</t>
        </is>
      </c>
      <c r="U37" s="3" t="inlineStr"/>
      <c r="V37" s="3" t="inlineStr"/>
      <c r="W37" s="3" t="inlineStr"/>
      <c r="X37" s="3" t="inlineStr"/>
      <c r="Y37" s="3" t="inlineStr"/>
      <c r="Z37" s="3" t="inlineStr">
        <is>
          <t>DECLARED IN THE CODE (rule 11) — printed from the door, not typed. RULED 2026-09-14</t>
        </is>
      </c>
      <c r="AA37" s="3" t="inlineStr"/>
      <c r="AB37" s="3" t="inlineStr"/>
      <c r="AC37" s="3" t="inlineStr"/>
      <c r="AD37" s="3" t="inlineStr"/>
      <c r="AE37" s="3" t="inlineStr"/>
      <c r="AF37" s="3" t="inlineStr">
        <is>
          <t>ACTIVE</t>
        </is>
      </c>
      <c r="AG37" s="3" t="inlineStr">
        <is>
          <t>2026-10-04</t>
        </is>
      </c>
      <c r="AH37" s="3" t="inlineStr"/>
      <c r="AI37" s="3" t="inlineStr"/>
      <c r="AJ37"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7" s="3" t="inlineStr">
        <is>
          <t>(the claim now stands in 'Inputs it needs' until the row is approved)</t>
        </is>
      </c>
      <c r="AL37" s="3" t="inlineStr"/>
      <c r="AM37" s="3" t="inlineStr">
        <is>
          <t>TESTED, NOT VERIFIED — you ruled on this row 2026-09-14; the figure, its formula, inputs and refusal live in MK-CF-O-001 basePay</t>
        </is>
      </c>
      <c r="AN37" s="3" t="inlineStr">
        <is>
          <t>Two earners filing jointly: $4,200 every two weeks ($109,200/year) and $5,000/month ($60,000), paying $1,200 and $400/month into their 401(k)s — $14,100/month of wages in all. They have typed their tax rate: 22%.
GIVES: 22%
(the test re-runs this through MK-CF-O-001 basePay on every build)</t>
        </is>
      </c>
      <c r="AO37" s="7" t="inlineStr">
        <is>
          <t>RULED, NOT CODED (Q-CF-1 — one question, one function)</t>
        </is>
      </c>
    </row>
    <row r="38" ht="60" customHeight="1">
      <c r="A38" s="3" t="inlineStr">
        <is>
          <t>MK-CF-M-033</t>
        </is>
      </c>
      <c r="B38" s="3" t="inlineStr">
        <is>
          <t>Cashflow</t>
        </is>
      </c>
      <c r="C38" s="3" t="inlineStr">
        <is>
          <t>/base-pay</t>
        </is>
      </c>
      <c r="D38" s="3" t="inlineStr">
        <is>
          <t>Calculated federal tax</t>
        </is>
      </c>
      <c r="E38" s="3" t="inlineStr">
        <is>
          <t>calculated_federal_tax</t>
        </is>
      </c>
      <c r="F38" s="3" t="inlineStr">
        <is>
          <t>basePay</t>
        </is>
      </c>
      <c r="G38" s="3" t="inlineStr">
        <is>
          <t>MK-CF-O-001</t>
        </is>
      </c>
      <c r="H38" s="3" t="inlineStr">
        <is>
          <t>tax a month = federal tax on (gross less the standard deduction, at the published bands) ÷ 12</t>
        </is>
      </c>
      <c r="I38" s="3" t="inlineStr">
        <is>
          <t>tax a month = federal tax on (gross less the standard deduction, at the published bands) ÷ 12</t>
        </is>
      </c>
      <c r="J38" s="3" t="inlineStr">
        <is>
          <t>MK-CF-M-030 gross a year
MK-XS-I-024 filing status
MK-XS-I-025 how many are over 65</t>
        </is>
      </c>
      <c r="K38" s="3" t="inlineStr">
        <is>
          <t>dollars, whole a month</t>
        </is>
      </c>
      <c r="L38" s="3" t="inlineStr">
        <is>
          <t>The row appears only when the figure is ours; an entered take-home already has tax inside it.</t>
        </is>
      </c>
      <c r="M38" s="3" t="inlineStr">
        <is>
          <t>one figure per household</t>
        </is>
      </c>
      <c r="N38" s="3" t="inlineStr">
        <is>
          <t>a month</t>
        </is>
      </c>
      <c r="O38"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38" s="3" t="inlineStr">
        <is>
          <t>Declared by MK-CF-O-001 basePay</t>
        </is>
      </c>
      <c r="Q38" s="3" t="inlineStr">
        <is>
          <t>Assumes the standard deduction, never itemised (MK-CF-D-002).</t>
        </is>
      </c>
      <c r="R38" s="3" t="inlineStr">
        <is>
          <t>Assumes the standard deduction, never itemised (MK-CF-D-002).</t>
        </is>
      </c>
      <c r="S38" s="3" t="inlineStr"/>
      <c r="T38" s="3" t="inlineStr">
        <is>
          <t>Assumes the standard deduction, never itemised (MK-CF-D-002).</t>
        </is>
      </c>
      <c r="U38" s="3" t="inlineStr"/>
      <c r="V38" s="3" t="inlineStr"/>
      <c r="W38" s="3" t="inlineStr"/>
      <c r="X38" s="3" t="inlineStr"/>
      <c r="Y38" s="3" t="inlineStr"/>
      <c r="Z38" s="3" t="inlineStr">
        <is>
          <t>DECLARED IN THE CODE (rule 11) — printed from the door, not typed. RULED 2026-09-14</t>
        </is>
      </c>
      <c r="AA38" s="3" t="inlineStr"/>
      <c r="AB38" s="3" t="inlineStr"/>
      <c r="AC38" s="3" t="inlineStr"/>
      <c r="AD38" s="3" t="inlineStr"/>
      <c r="AE38" s="3" t="inlineStr"/>
      <c r="AF38" s="3" t="inlineStr">
        <is>
          <t>ACTIVE</t>
        </is>
      </c>
      <c r="AG38" s="3" t="inlineStr">
        <is>
          <t>2026-10-04</t>
        </is>
      </c>
      <c r="AH38" s="3" t="inlineStr"/>
      <c r="AI38" s="3" t="inlineStr"/>
      <c r="AJ3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8" s="3" t="inlineStr">
        <is>
          <t>(the claim now stands in 'Inputs it needs' until the row is approved)</t>
        </is>
      </c>
      <c r="AL38" s="3" t="inlineStr"/>
      <c r="AM38" s="3" t="inlineStr">
        <is>
          <t>TESTED, NOT VERIFIED — you ruled on this row 2026-09-14; the figure, its formula, inputs and refusal live in MK-CF-O-001 basePay</t>
        </is>
      </c>
      <c r="AN38" s="3" t="inlineStr">
        <is>
          <t>Two earners filing jointly: $4,200 every two weeks ($109,200/year) and $5,000/month ($60,000), paying $1,200 and $400/month into their 401(k)s — $14,100/month of wages in all. They have typed their tax rate: 22%.
GIVES: $3,102/month
(the test re-runs this through MK-CF-O-001 basePay on every build)</t>
        </is>
      </c>
      <c r="AO38" s="7" t="inlineStr">
        <is>
          <t>RULED, NOT CODED (Q-CF-1 — one question, one function)</t>
        </is>
      </c>
    </row>
    <row r="39" ht="60" customHeight="1">
      <c r="A39" s="3" t="inlineStr">
        <is>
          <t>MK-CF-M-034</t>
        </is>
      </c>
      <c r="B39" s="3" t="inlineStr">
        <is>
          <t>Cashflow</t>
        </is>
      </c>
      <c r="C39" s="3" t="inlineStr">
        <is>
          <t>/base-pay</t>
        </is>
      </c>
      <c r="D39" s="3" t="inlineStr">
        <is>
          <t>Your 401(k)s</t>
        </is>
      </c>
      <c r="E39" s="3" t="inlineStr">
        <is>
          <t>your_401ks</t>
        </is>
      </c>
      <c r="F39" s="3" t="inlineStr">
        <is>
          <t>basePay</t>
        </is>
      </c>
      <c r="G39" s="3" t="inlineStr">
        <is>
          <t>MK-CF-O-001</t>
        </is>
      </c>
      <c r="H39" s="3" t="inlineStr">
        <is>
          <t>401(k) a month = the sum of every earner’s own contribution, the employer’s match excluded</t>
        </is>
      </c>
      <c r="I39" s="3" t="inlineStr">
        <is>
          <t>401(k) a month = the sum of every earner’s own contribution, the employer’s match excluded</t>
        </is>
      </c>
      <c r="J39" s="3" t="inlineStr">
        <is>
          <t>MK-CF-I-004 401(k) contribution</t>
        </is>
      </c>
      <c r="K39" s="3" t="inlineStr">
        <is>
          <t>dollars, whole a month</t>
        </is>
      </c>
      <c r="L39" s="3" t="inlineStr">
        <is>
          <t>The row is hidden when nobody contributes.</t>
        </is>
      </c>
      <c r="M39" s="3" t="inlineStr">
        <is>
          <t>one figure per household</t>
        </is>
      </c>
      <c r="N39" s="3" t="inlineStr">
        <is>
          <t>a month</t>
        </is>
      </c>
      <c r="O39"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39" s="3" t="inlineStr">
        <is>
          <t>Declared by MK-CF-O-001 basePay</t>
        </is>
      </c>
      <c r="Q39" s="3" t="inlineStr">
        <is>
          <t>The employer’s match is not counted here — it is not taken out of take-home (MK-CF-D-003).</t>
        </is>
      </c>
      <c r="R39" s="3" t="inlineStr">
        <is>
          <t>The employer’s match is not counted here — it is not taken out of take-home (MK-CF-D-003).</t>
        </is>
      </c>
      <c r="S39" s="3" t="inlineStr"/>
      <c r="T39" s="3" t="inlineStr">
        <is>
          <t>The employer’s match is not counted here — it is not taken out of take-home (MK-CF-D-003).</t>
        </is>
      </c>
      <c r="U39" s="3" t="inlineStr"/>
      <c r="V39" s="3" t="inlineStr"/>
      <c r="W39" s="3" t="inlineStr"/>
      <c r="X39" s="3" t="inlineStr"/>
      <c r="Y39" s="3" t="inlineStr"/>
      <c r="Z39" s="3" t="inlineStr">
        <is>
          <t>DECLARED IN THE CODE (rule 11) — printed from the door, not typed. RULED 2026-09-14</t>
        </is>
      </c>
      <c r="AA39" s="3" t="inlineStr"/>
      <c r="AB39" s="3" t="inlineStr"/>
      <c r="AC39" s="3" t="inlineStr"/>
      <c r="AD39" s="3" t="inlineStr"/>
      <c r="AE39" s="3" t="inlineStr"/>
      <c r="AF39" s="3" t="inlineStr">
        <is>
          <t>ACTIVE</t>
        </is>
      </c>
      <c r="AG39" s="3" t="inlineStr">
        <is>
          <t>2026-10-04</t>
        </is>
      </c>
      <c r="AH39" s="3" t="inlineStr"/>
      <c r="AI39" s="3" t="inlineStr"/>
      <c r="AJ3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9" s="3" t="inlineStr">
        <is>
          <t>(the claim now stands in 'Inputs it needs' until the row is approved)</t>
        </is>
      </c>
      <c r="AL39" s="3" t="inlineStr"/>
      <c r="AM39" s="3" t="inlineStr">
        <is>
          <t>TESTED, NOT VERIFIED — you ruled on this row 2026-09-14; the figure, its formula, inputs and refusal live in MK-CF-O-001 basePay</t>
        </is>
      </c>
      <c r="AN39" s="3" t="inlineStr">
        <is>
          <t>Two earners filing jointly: $4,200 every two weeks ($109,200/year) and $5,000/month ($60,000), paying $1,200 and $400/month into their 401(k)s — $14,100/month of wages in all. They have typed their tax rate: 22%.
GIVES: $1,600/month
(the test re-runs this through MK-CF-O-001 basePay on every build)</t>
        </is>
      </c>
      <c r="AO39" s="7" t="inlineStr">
        <is>
          <t>RULED, NOT CODED (Q-CF-1 — one question, one function)</t>
        </is>
      </c>
    </row>
    <row r="40" ht="60" customHeight="1">
      <c r="A40" s="3" t="inlineStr">
        <is>
          <t>MK-CF-M-035</t>
        </is>
      </c>
      <c r="B40" s="3" t="inlineStr">
        <is>
          <t>Cashflow</t>
        </is>
      </c>
      <c r="C40" s="3" t="inlineStr">
        <is>
          <t>/base-pay</t>
        </is>
      </c>
      <c r="D40" s="3" t="inlineStr">
        <is>
          <t>The take-home above is higher than it will really be</t>
        </is>
      </c>
      <c r="E40" s="3" t="inlineStr">
        <is>
          <t>the_takehome_above_is_higher_than_it_wil</t>
        </is>
      </c>
      <c r="F40" s="3" t="inlineStr">
        <is>
          <t>basePay</t>
        </is>
      </c>
      <c r="G40" s="3" t="inlineStr">
        <is>
          <t>MK-CF-O-001</t>
        </is>
      </c>
      <c r="H40" s="3" t="inlineStr">
        <is>
          <t>overstated by = Σ over earners of (Social Security 6.2% of the wage up to the wage base + Medicare 1.45% of the whole wage + 0.9% of the wage above the additional-tax threshold) ÷ 12</t>
        </is>
      </c>
      <c r="I40" s="3" t="inlineStr">
        <is>
          <t>overstated by = Σ over earners of (Social Security 6.2% of the wage up to the wage base + Medicare 1.45% of the whole wage + 0.9% of the wage above the additional-tax threshold) ÷ 12</t>
        </is>
      </c>
      <c r="J40" s="3" t="inlineStr">
        <is>
          <t>MK-CF-I-001 wage
MK-ST-I-030 Social Security wage base
MK-ST-I-031 Medicare additional-tax threshold</t>
        </is>
      </c>
      <c r="K40" s="3" t="inlineStr">
        <is>
          <t>dollars, whole a month</t>
        </is>
      </c>
      <c r="L40" s="3" t="inlineStr">
        <is>
          <t>The warning appears only when the take-home is ours and estimated.</t>
        </is>
      </c>
      <c r="M40" s="3" t="inlineStr">
        <is>
          <t>one figure per household</t>
        </is>
      </c>
      <c r="N40" s="3" t="inlineStr">
        <is>
          <t>a month</t>
        </is>
      </c>
      <c r="O40"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40" s="3" t="inlineStr">
        <is>
          <t>Declared by MK-CF-O-001 basePay</t>
        </is>
      </c>
      <c r="Q40" s="3" t="inlineStr">
        <is>
          <t>State tax is not in this figure, because we do not know their state (MK-CF-D-005).</t>
        </is>
      </c>
      <c r="R40" s="3" t="inlineStr">
        <is>
          <t>State tax is not in this figure, because we do not know their state (MK-CF-D-005).</t>
        </is>
      </c>
      <c r="S40" s="3" t="inlineStr"/>
      <c r="T40" s="3" t="inlineStr">
        <is>
          <t>State tax is not in this figure, because we do not know their state (MK-CF-D-005).</t>
        </is>
      </c>
      <c r="U40" s="3" t="inlineStr"/>
      <c r="V40" s="3" t="inlineStr"/>
      <c r="W40" s="3" t="inlineStr"/>
      <c r="X40" s="3" t="inlineStr"/>
      <c r="Y40" s="3" t="inlineStr"/>
      <c r="Z40" s="3" t="inlineStr">
        <is>
          <t>DECLARED IN THE CODE (rule 11) — printed from the door, not typed. RULED 2026-09-14</t>
        </is>
      </c>
      <c r="AA40" s="3" t="inlineStr"/>
      <c r="AB40" s="3" t="inlineStr"/>
      <c r="AC40" s="3" t="inlineStr"/>
      <c r="AD40" s="3" t="inlineStr"/>
      <c r="AE40" s="3" t="inlineStr"/>
      <c r="AF40" s="3" t="inlineStr">
        <is>
          <t>ACTIVE</t>
        </is>
      </c>
      <c r="AG40" s="3" t="inlineStr">
        <is>
          <t>2026-10-04</t>
        </is>
      </c>
      <c r="AH40" s="3" t="inlineStr"/>
      <c r="AI40" s="3" t="inlineStr"/>
      <c r="AJ40"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0" s="3" t="inlineStr">
        <is>
          <t>(the claim now stands in 'Inputs it needs' until the row is approved)</t>
        </is>
      </c>
      <c r="AL40" s="3" t="inlineStr"/>
      <c r="AM40" s="3" t="inlineStr">
        <is>
          <t>TESTED, NOT VERIFIED — you ruled on this row 2026-09-14; the figure, its formula, inputs and refusal live in MK-CF-O-001 basePay</t>
        </is>
      </c>
      <c r="AN40" s="3" t="inlineStr">
        <is>
          <t>Two earners filing jointly: $4,200 every two weeks ($109,200/year) and $5,000/month ($60,000), paying $1,200 and $400/month into their 401(k)s — $14,100/month of wages in all. They have told us no tax rate and no take-home, so the take-home shown is ours.
GIVES: $1,079/month
(the test re-runs this through MK-CF-O-001 basePay on every build)</t>
        </is>
      </c>
      <c r="AO40" s="7" t="inlineStr">
        <is>
          <t>RULED, NOT CODED (Q-CF-1 — one question, one function)</t>
        </is>
      </c>
    </row>
    <row r="41" ht="60" customHeight="1">
      <c r="A41" s="3" t="inlineStr">
        <is>
          <t>MK-CF-M-036</t>
        </is>
      </c>
      <c r="B41" s="3" t="inlineStr">
        <is>
          <t>Cashflow</t>
        </is>
      </c>
      <c r="C41" s="3" t="inlineStr">
        <is>
          <t>/base-pay</t>
        </is>
      </c>
      <c r="D41" s="3" t="inlineStr">
        <is>
          <t>Everything else taken out</t>
        </is>
      </c>
      <c r="E41" s="3" t="inlineStr">
        <is>
          <t>everything_else_taken_out</t>
        </is>
      </c>
      <c r="F41" s="3" t="inlineStr">
        <is>
          <t>basePay</t>
        </is>
      </c>
      <c r="G41" s="3" t="inlineStr">
        <is>
          <t>MK-CF-O-001</t>
        </is>
      </c>
      <c r="H41" s="3" t="inlineStr">
        <is>
          <t>for one earner: everything else = (their gross a year − their 401(k) a year − their take-home /year) ÷ 12. For the household: the sum of the earners’ figures, never a second subtraction.</t>
        </is>
      </c>
      <c r="I41" s="3" t="inlineStr">
        <is>
          <t>for one earner: everything else = (their gross a year − their 401(k) a year − their take-home /year) ÷ 12. For the household: the sum of the earners’ figures, never a second subtraction.</t>
        </is>
      </c>
      <c r="J41" s="3" t="inlineStr">
        <is>
          <t>MK-CF-I-001 wage
MK-CF-I-003 take-home as entered
MK-CF-I-004 401(k) contribution</t>
        </is>
      </c>
      <c r="K41" s="3" t="inlineStr">
        <is>
          <t>dollars, whole a month</t>
        </is>
      </c>
      <c r="L41" s="3" t="inlineStr">
        <is>
          <t>The row is hidden for anyone whose take-home was calculated rather than entered; the household row is hidden unless every earner entered one.</t>
        </is>
      </c>
      <c r="M41" s="3" t="inlineStr">
        <is>
          <t>one figure per household</t>
        </is>
      </c>
      <c r="N41" s="3" t="inlineStr">
        <is>
          <t>a month</t>
        </is>
      </c>
      <c r="O41"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41" s="3" t="inlineStr">
        <is>
          <t>Declared by MK-CF-O-001 basePay</t>
        </is>
      </c>
      <c r="Q41" s="3" t="inlineStr">
        <is>
          <t>Shown only when the person entered their own take-home, so the difference is theirs and not ours.
The household figure is the sum of the earners’, so a total and its parts cannot disagree (rule 2).</t>
        </is>
      </c>
      <c r="R41" s="3" t="inlineStr">
        <is>
          <t>Shown only when the person entered their own take-home, so the difference is theirs and not ours.
The household figure is the sum of the earners’, so a total and its parts cannot disagree (rule 2).</t>
        </is>
      </c>
      <c r="S41" s="3" t="inlineStr"/>
      <c r="T41" s="3" t="inlineStr">
        <is>
          <t>Shown only when the person entered their own take-home, so the difference is theirs and not ours.
The household figure is the sum of the earners’, so a total and its parts cannot disagree (rule 2).</t>
        </is>
      </c>
      <c r="U41" s="3" t="inlineStr">
        <is>
          <t>ONE figure over two sets: one earner, and the household. Moved off the screen into this door on 2026-09-14 — the base-pay card used to do the subtraction itself (rule 5).</t>
        </is>
      </c>
      <c r="V41" s="3" t="inlineStr"/>
      <c r="W41" s="3" t="inlineStr"/>
      <c r="X41" s="3" t="inlineStr"/>
      <c r="Y41" s="3" t="inlineStr"/>
      <c r="Z41" s="3" t="inlineStr">
        <is>
          <t>DECLARED IN THE CODE (rule 11) — printed from the door, not typed. RULED 2026-09-14</t>
        </is>
      </c>
      <c r="AA41" s="3" t="inlineStr"/>
      <c r="AB41" s="3" t="inlineStr"/>
      <c r="AC41" s="3" t="inlineStr"/>
      <c r="AD41" s="3" t="inlineStr"/>
      <c r="AE41" s="3" t="inlineStr"/>
      <c r="AF41" s="3" t="inlineStr">
        <is>
          <t>ACTIVE</t>
        </is>
      </c>
      <c r="AG41" s="3" t="inlineStr">
        <is>
          <t>2026-10-04</t>
        </is>
      </c>
      <c r="AH41" s="3" t="inlineStr"/>
      <c r="AI41" s="3" t="inlineStr"/>
      <c r="AJ41"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1" s="3" t="inlineStr">
        <is>
          <t>(the claim now stands in 'Inputs it needs' until the row is approved)</t>
        </is>
      </c>
      <c r="AL41" s="3" t="inlineStr"/>
      <c r="AM41" s="3" t="inlineStr">
        <is>
          <t>TESTED, NOT VERIFIED — you ruled on this row 2026-09-14; the figure, its formula, inputs and refusal live in MK-CF-O-001 basePay</t>
        </is>
      </c>
      <c r="AN41" s="3" t="inlineStr">
        <is>
          <t>Two earners filing jointly: $4,200 every two weeks ($109,200/year) and $5,000/month ($60,000), paying $1,200 and $400/month into their 401(k)s — $14,100/month of wages in all. Each has typed their take-home each month: $5,850 and $3,400.
GIVES: $3,250/month
(the test re-runs this through MK-CF-O-001 basePay on every build)</t>
        </is>
      </c>
      <c r="AO41" s="7" t="inlineStr">
        <is>
          <t>RULED, NOT CODED (Q-CF-1 — one question, one function)</t>
        </is>
      </c>
    </row>
    <row r="42" ht="60" customHeight="1">
      <c r="A42" s="3" t="inlineStr">
        <is>
          <t>MK-CF-M-037</t>
        </is>
      </c>
      <c r="B42" s="3" t="inlineStr">
        <is>
          <t>Cashflow</t>
        </is>
      </c>
      <c r="C42" s="3" t="inlineStr">
        <is>
          <t>/income-summary</t>
        </is>
      </c>
      <c r="D42" s="3" t="inlineStr">
        <is>
          <t>Take-home each month</t>
        </is>
      </c>
      <c r="E42" s="3" t="inlineStr">
        <is>
          <t>takehome_each_month</t>
        </is>
      </c>
      <c r="F42" s="3" t="inlineStr">
        <is>
          <t>incomeSummary</t>
        </is>
      </c>
      <c r="G42" s="3" t="inlineStr">
        <is>
          <t>MK-CF-O-004</t>
        </is>
      </c>
      <c r="H42" s="3" t="inlineStr">
        <is>
          <t>take-home a usual month = Σ of every source’s take-home in a usual month; a source that lands in one month of the year is not spread across twelve</t>
        </is>
      </c>
      <c r="I42" s="3" t="inlineStr">
        <is>
          <t>take-home a usual month = Σ of every source’s take-home in a usual month; a source that lands in one month of the year is not spread across twelve</t>
        </is>
      </c>
      <c r="J42" s="3" t="inlineStr">
        <is>
          <t>MK-CF-M-031 household take-home
MK-CF-I-006 other income
MK-CF-I-007 rental income
MK-CF-I-008 retirement income</t>
        </is>
      </c>
      <c r="K42" s="3" t="inlineStr">
        <is>
          <t>dollars, whole a month</t>
        </is>
      </c>
      <c r="L42" s="3" t="inlineStr">
        <is>
          <t>Shows $0 on a fresh account, with the door to enter income — never a dash.</t>
        </is>
      </c>
      <c r="M42" s="3" t="inlineStr">
        <is>
          <t>one figure per household</t>
        </is>
      </c>
      <c r="N42" s="3" t="inlineStr">
        <is>
          <t>a month</t>
        </is>
      </c>
      <c r="O42"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2" s="3" t="inlineStr">
        <is>
          <t>Declared by MK-CF-O-004 incomeSummary</t>
        </is>
      </c>
      <c r="Q42" s="3" t="inlineStr">
        <is>
          <t>A once-a-year source keeps its own month and is shown separately, never averaged in.</t>
        </is>
      </c>
      <c r="R42" s="3" t="inlineStr">
        <is>
          <t>A once-a-year source keeps its own month and is shown separately, never averaged in.</t>
        </is>
      </c>
      <c r="S42" s="3" t="inlineStr"/>
      <c r="T42" s="3" t="inlineStr">
        <is>
          <t>A once-a-year source keeps its own month and is shown separately, never averaged in.</t>
        </is>
      </c>
      <c r="U42" s="3" t="inlineStr">
        <is>
          <t>FOUND BY THE WORKED EXAMPLE AND FIXED THE SAME DAY, 2026-09-28. This total read $9,798/month while the two take-home lines beneath it (MK-CF-M-038) added to $9,398 — $400 apart, exactly the spouse's monthly 401(k). MK-CF-F-060 salaryGrossByMonth sums EVERY earner's wage (his ruling, 2026-08-27) but the 401(k) taken off that household gross was written as the first earner's alone, so a spouse's was never subtracted — the take-home read too high by their contribution, and the taxable base too. NOT A NEW QUESTION: he ruled this on 2026-09-12 on income-end-to-end v07 — "one card disagreeing with itself; corrected to the take-home line" — and the correction reached the mock and not the code. Now MK-CF-F-206 householdK401ByMonth counts every earner in the months that earner is paid, and src/__tests__/guard_total_agrees_with_its_lines.test.ts holds the ruling. The six personas all passed throughout because none had a spouse with their own wage AND their own 401(k); twoEarnersBoth401k now does.</t>
        </is>
      </c>
      <c r="V42" s="3" t="inlineStr"/>
      <c r="W42" s="3" t="inlineStr"/>
      <c r="X42" s="3" t="inlineStr"/>
      <c r="Y42" s="3" t="inlineStr"/>
      <c r="Z42" s="3" t="inlineStr">
        <is>
          <t>DECLARED IN THE CODE (rule 11) — printed from the door, not typed. RULED 2026-09-14</t>
        </is>
      </c>
      <c r="AA42" s="3" t="inlineStr"/>
      <c r="AB42" s="3" t="inlineStr"/>
      <c r="AC42" s="3" t="inlineStr"/>
      <c r="AD42" s="3" t="inlineStr"/>
      <c r="AE42" s="3" t="inlineStr"/>
      <c r="AF42" s="3" t="inlineStr">
        <is>
          <t>ACTIVE</t>
        </is>
      </c>
      <c r="AG42" s="3" t="inlineStr">
        <is>
          <t>2026-10-04</t>
        </is>
      </c>
      <c r="AH42" s="3" t="inlineStr"/>
      <c r="AI42" s="3" t="inlineStr"/>
      <c r="AJ42"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2" s="3" t="inlineStr">
        <is>
          <t>(the claim now stands in 'Inputs it needs' until the row is approved)</t>
        </is>
      </c>
      <c r="AL42" s="3" t="inlineStr"/>
      <c r="AM42" s="3" t="inlineStr">
        <is>
          <t>TESTED, NOT VERIFIED — you ruled on this row 2026-09-14; the figure, its formula, inputs and refusal live in MK-CF-O-004 incomeSummary</t>
        </is>
      </c>
      <c r="AN42" s="3" t="inlineStr">
        <is>
          <t>Two earners filing jointly: $4,200 every two weeks ($109,200/year) and $5,000/month ($60,000), paying $1,200 and $400/month into their 401(k)s, with the tax rate typed at 22%.
GIVES: $9,398/month
(the test re-runs this through MK-CF-O-004 incomeSummary on every build)</t>
        </is>
      </c>
      <c r="AO42" s="7" t="inlineStr">
        <is>
          <t>RULED, NOT CODED (Q-CF-1 — one question, one function)</t>
        </is>
      </c>
    </row>
    <row r="43" ht="60" customHeight="1">
      <c r="A43" s="3" t="inlineStr">
        <is>
          <t>MK-CF-M-038</t>
        </is>
      </c>
      <c r="B43" s="3" t="inlineStr">
        <is>
          <t>Cashflow</t>
        </is>
      </c>
      <c r="C43" s="3" t="inlineStr">
        <is>
          <t>/income-summary</t>
        </is>
      </c>
      <c r="D43" s="3" t="inlineStr">
        <is>
          <t>each source of take-home</t>
        </is>
      </c>
      <c r="E43" s="3" t="inlineStr">
        <is>
          <t>each_source_of_takehome</t>
        </is>
      </c>
      <c r="F43" s="3" t="inlineStr">
        <is>
          <t>incomeSummary</t>
        </is>
      </c>
      <c r="G43" s="3" t="inlineStr">
        <is>
          <t>MK-CF-O-004</t>
        </is>
      </c>
      <c r="H43" s="3" t="inlineStr">
        <is>
          <t>one line per source: the earner’s take-home, or the source’s monthly amount</t>
        </is>
      </c>
      <c r="I43" s="3" t="inlineStr">
        <is>
          <t>one line per source: the earner’s take-home, or the source’s monthly amount</t>
        </is>
      </c>
      <c r="J43" s="3" t="inlineStr">
        <is>
          <t>MK-CF-M-031 household take-home
MK-CF-I-006 other income
MK-CF-I-007 rental income</t>
        </is>
      </c>
      <c r="K43" s="3" t="inlineStr">
        <is>
          <t>dollars, whole a month</t>
        </is>
      </c>
      <c r="L43" s="3" t="inlineStr">
        <is>
          <t>The list is replaced by the door to enter income when nothing is entered.</t>
        </is>
      </c>
      <c r="M43" s="3" t="inlineStr">
        <is>
          <t>one figure per household</t>
        </is>
      </c>
      <c r="N43" s="3" t="inlineStr">
        <is>
          <t>a month</t>
        </is>
      </c>
      <c r="O43"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3" s="3" t="inlineStr">
        <is>
          <t>Declared by MK-CF-O-004 incomeSummary</t>
        </is>
      </c>
      <c r="Q43" s="3" t="inlineStr">
        <is>
          <t>NONE RECORDED — the declaration names none.</t>
        </is>
      </c>
      <c r="R43" s="3" t="inlineStr">
        <is>
          <t>NONE RECORDED — the declaration names none.</t>
        </is>
      </c>
      <c r="S43" s="3" t="inlineStr"/>
      <c r="T43" s="3" t="inlineStr">
        <is>
          <t>NONE RECORDED — the declaration names none.</t>
        </is>
      </c>
      <c r="U43" s="3" t="inlineStr"/>
      <c r="V43" s="3" t="inlineStr"/>
      <c r="W43" s="3" t="inlineStr"/>
      <c r="X43" s="3" t="inlineStr"/>
      <c r="Y43" s="3" t="inlineStr"/>
      <c r="Z43" s="3" t="inlineStr">
        <is>
          <t>DECLARED IN THE CODE (rule 11) — printed from the door, not typed. RULED 2026-09-14</t>
        </is>
      </c>
      <c r="AA43" s="3" t="inlineStr"/>
      <c r="AB43" s="3" t="inlineStr"/>
      <c r="AC43" s="3" t="inlineStr"/>
      <c r="AD43" s="3" t="inlineStr"/>
      <c r="AE43" s="3" t="inlineStr"/>
      <c r="AF43" s="3" t="inlineStr">
        <is>
          <t>ACTIVE</t>
        </is>
      </c>
      <c r="AG43" s="3" t="inlineStr">
        <is>
          <t>2026-10-04</t>
        </is>
      </c>
      <c r="AH43" s="3" t="inlineStr"/>
      <c r="AI43" s="3" t="inlineStr"/>
      <c r="AJ4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3" s="3" t="inlineStr">
        <is>
          <t>(the claim now stands in 'Inputs it needs' until the row is approved)</t>
        </is>
      </c>
      <c r="AL43" s="3" t="inlineStr"/>
      <c r="AM43" s="3" t="inlineStr">
        <is>
          <t>TESTED, NOT VERIFIED — you ruled on this row 2026-09-14; the figure, its formula, inputs and refusal live in MK-CF-O-004 incomeSummary</t>
        </is>
      </c>
      <c r="AN43" s="3" t="inlineStr">
        <is>
          <t>Two earners filing jointly: $4,200 every two weeks ($109,200/year) and $5,000/month ($60,000), paying $1,200 and $400/month into their 401(k)s, with the tax rate typed at 22%.
GIVES: $5,898/month
(the test re-runs this through MK-CF-O-004 incomeSummary on every build)</t>
        </is>
      </c>
      <c r="AO43" s="7" t="inlineStr">
        <is>
          <t>RULED, NOT CODED (Q-CF-1 — one question, one function)</t>
        </is>
      </c>
    </row>
    <row r="44" ht="60" customHeight="1">
      <c r="A44" s="3" t="inlineStr">
        <is>
          <t>MK-CF-M-039</t>
        </is>
      </c>
      <c r="B44" s="3" t="inlineStr">
        <is>
          <t>Cashflow</t>
        </is>
      </c>
      <c r="C44" s="3" t="inlineStr">
        <is>
          <t>/income-summary</t>
        </is>
      </c>
      <c r="D44" s="3" t="inlineStr">
        <is>
          <t>its own month, never spread</t>
        </is>
      </c>
      <c r="E44" s="3" t="inlineStr">
        <is>
          <t>its_own_month_never_spread</t>
        </is>
      </c>
      <c r="F44" s="3" t="inlineStr">
        <is>
          <t>incomeSummary</t>
        </is>
      </c>
      <c r="G44" s="3" t="inlineStr">
        <is>
          <t>MK-CF-O-004</t>
        </is>
      </c>
      <c r="H44" s="3" t="inlineStr">
        <is>
          <t>the standout month = the source whose whole year lands in a single month, with that amount and that month</t>
        </is>
      </c>
      <c r="I44" s="3" t="inlineStr">
        <is>
          <t>the standout month = the source whose whole year lands in a single month, with that amount and that month</t>
        </is>
      </c>
      <c r="J44" s="3" t="inlineStr">
        <is>
          <t>MK-CF-I-009 bonus
MK-CF-I-010 equity vesting</t>
        </is>
      </c>
      <c r="K44" s="3" t="inlineStr">
        <is>
          <t>dollars, whole</t>
        </is>
      </c>
      <c r="L44" s="3" t="inlineStr">
        <is>
          <t>The line is hidden when no source behaves this way.</t>
        </is>
      </c>
      <c r="M44" s="3" t="inlineStr">
        <is>
          <t>one figure per household</t>
        </is>
      </c>
      <c r="N44" s="3" t="inlineStr">
        <is>
          <t>as of today</t>
        </is>
      </c>
      <c r="O44"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4" s="3" t="inlineStr">
        <is>
          <t>Declared by MK-CF-O-004 incomeSummary</t>
        </is>
      </c>
      <c r="Q44" s="3" t="inlineStr">
        <is>
          <t>A lump that lands once is never averaged across the year (founder, 2026-08-28).</t>
        </is>
      </c>
      <c r="R44" s="3" t="inlineStr">
        <is>
          <t>A lump that lands once is never averaged across the year (founder, 2026-08-28).</t>
        </is>
      </c>
      <c r="S44" s="3" t="inlineStr"/>
      <c r="T44" s="3" t="inlineStr">
        <is>
          <t>A lump that lands once is never averaged across the year (founder, 2026-08-28).</t>
        </is>
      </c>
      <c r="U44" s="3" t="inlineStr"/>
      <c r="V44" s="3" t="inlineStr"/>
      <c r="W44" s="3" t="inlineStr"/>
      <c r="X44" s="3" t="inlineStr"/>
      <c r="Y44" s="3" t="inlineStr"/>
      <c r="Z44" s="3" t="inlineStr">
        <is>
          <t>DECLARED IN THE CODE (rule 11) — printed from the door, not typed. RULED 2026-09-14</t>
        </is>
      </c>
      <c r="AA44" s="3" t="inlineStr"/>
      <c r="AB44" s="3" t="inlineStr"/>
      <c r="AC44" s="3" t="inlineStr"/>
      <c r="AD44" s="3" t="inlineStr"/>
      <c r="AE44" s="3" t="inlineStr"/>
      <c r="AF44" s="3" t="inlineStr">
        <is>
          <t>ACTIVE</t>
        </is>
      </c>
      <c r="AG44" s="3" t="inlineStr">
        <is>
          <t>2026-10-04</t>
        </is>
      </c>
      <c r="AH44" s="3" t="inlineStr"/>
      <c r="AI44" s="3" t="inlineStr"/>
      <c r="AJ4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4" s="3" t="inlineStr">
        <is>
          <t>(the claim now stands in 'Inputs it needs' until the row is approved)</t>
        </is>
      </c>
      <c r="AL44" s="3" t="inlineStr"/>
      <c r="AM44" s="3" t="inlineStr">
        <is>
          <t>TESTED, NOT VERIFIED — you ruled on this row 2026-09-14; the figure, its formula, inputs and refusal live in MK-CF-O-004 incomeSummary</t>
        </is>
      </c>
      <c r="AN44" s="3" t="inlineStr">
        <is>
          <t>The two earners above, plus $24,000/year of self-employment, a $12,000 bonus in March, 50 shares vesting at $400, a rental bringing in $2,000/month against $800 of costs, and $2,100/month of Social Security.
GIVES: $40,316
(the test re-runs this through MK-CF-O-004 incomeSummary on every build)</t>
        </is>
      </c>
      <c r="AO44" s="7" t="inlineStr">
        <is>
          <t>RULED, NOT CODED (Q-CF-1 — one question, one function)</t>
        </is>
      </c>
    </row>
    <row r="45" ht="60" customHeight="1">
      <c r="A45" s="3" t="inlineStr">
        <is>
          <t>MK-CF-M-040</t>
        </is>
      </c>
      <c r="B45" s="3" t="inlineStr">
        <is>
          <t>Cashflow</t>
        </is>
      </c>
      <c r="C45" s="3" t="inlineStr">
        <is>
          <t>/income-summary</t>
        </is>
      </c>
      <c r="D45" s="3" t="inlineStr">
        <is>
          <t>is not here — it is reinvested where it is earned</t>
        </is>
      </c>
      <c r="E45" s="3" t="inlineStr">
        <is>
          <t>is_not_here__it_is_reinvested_where_it_i</t>
        </is>
      </c>
      <c r="F45" s="3" t="inlineStr">
        <is>
          <t>incomeSummary</t>
        </is>
      </c>
      <c r="G45" s="3" t="inlineStr">
        <is>
          <t>MK-CF-O-004</t>
        </is>
      </c>
      <c r="H45" s="3" t="inlineStr">
        <is>
          <t>taxed but not landed = interest and dividends earned inside accounts, which stay where they are earned</t>
        </is>
      </c>
      <c r="I45" s="3" t="inlineStr">
        <is>
          <t>taxed but not landed = interest and dividends earned inside accounts, which stay where they are earned</t>
        </is>
      </c>
      <c r="J45" s="3" t="inlineStr">
        <is>
          <t>MK-CF-I-011 interest and dividends</t>
        </is>
      </c>
      <c r="K45" s="3" t="inlineStr">
        <is>
          <t>dollars, whole a month</t>
        </is>
      </c>
      <c r="L45" s="3" t="inlineStr">
        <is>
          <t>The sentence is hidden when there is none.</t>
        </is>
      </c>
      <c r="M45" s="3" t="inlineStr">
        <is>
          <t>one figure per household</t>
        </is>
      </c>
      <c r="N45" s="3" t="inlineStr">
        <is>
          <t>a month</t>
        </is>
      </c>
      <c r="O45"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5" s="3" t="inlineStr">
        <is>
          <t>Declared by MK-CF-O-004 incomeSummary</t>
        </is>
      </c>
      <c r="Q45" s="3" t="inlineStr">
        <is>
          <t>NONE RECORDED — the declaration names none.</t>
        </is>
      </c>
      <c r="R45" s="3" t="inlineStr">
        <is>
          <t>NONE RECORDED — the declaration names none.</t>
        </is>
      </c>
      <c r="S45" s="3" t="inlineStr"/>
      <c r="T45" s="3" t="inlineStr">
        <is>
          <t>NONE RECORDED — the declaration names none.</t>
        </is>
      </c>
      <c r="U45" s="3" t="inlineStr"/>
      <c r="V45" s="3" t="inlineStr"/>
      <c r="W45" s="3" t="inlineStr"/>
      <c r="X45" s="3" t="inlineStr"/>
      <c r="Y45" s="3" t="inlineStr"/>
      <c r="Z45" s="3" t="inlineStr">
        <is>
          <t>DECLARED IN THE CODE (rule 11) — printed from the door, not typed. RULED 2026-09-14</t>
        </is>
      </c>
      <c r="AA45" s="3" t="inlineStr"/>
      <c r="AB45" s="3" t="inlineStr"/>
      <c r="AC45" s="3" t="inlineStr"/>
      <c r="AD45" s="3" t="inlineStr"/>
      <c r="AE45" s="3" t="inlineStr"/>
      <c r="AF45" s="3" t="inlineStr">
        <is>
          <t>ACTIVE</t>
        </is>
      </c>
      <c r="AG45" s="3" t="inlineStr">
        <is>
          <t>2026-10-04</t>
        </is>
      </c>
      <c r="AH45" s="3" t="inlineStr"/>
      <c r="AI45" s="3" t="inlineStr"/>
      <c r="AJ4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5" s="3" t="inlineStr">
        <is>
          <t>(the claim now stands in 'Inputs it needs' until the row is approved)</t>
        </is>
      </c>
      <c r="AL45" s="3" t="inlineStr"/>
      <c r="AM45" s="3" t="inlineStr">
        <is>
          <t>TESTED, NOT VERIFIED — you ruled on this row 2026-09-14; the figure, its formula, inputs and refusal live in MK-CF-O-004 incomeSummary</t>
        </is>
      </c>
      <c r="AN45" s="3" t="inlineStr">
        <is>
          <t>The two earners above, with $3,600/year of interest and dividends earned inside their accounts and left there.
GIVES: $300/month
(the test re-runs this through MK-CF-O-004 incomeSummary on every build)</t>
        </is>
      </c>
      <c r="AO45" s="7" t="inlineStr">
        <is>
          <t>RULED, NOT CODED (Q-CF-1 — one question, one function)</t>
        </is>
      </c>
    </row>
    <row r="46" ht="60" customHeight="1">
      <c r="A46" s="3" t="inlineStr">
        <is>
          <t>MK-CF-M-041</t>
        </is>
      </c>
      <c r="B46" s="3" t="inlineStr">
        <is>
          <t>Cashflow</t>
        </is>
      </c>
      <c r="C46" s="3" t="inlineStr">
        <is>
          <t>/income-summary</t>
        </is>
      </c>
      <c r="D46" s="3" t="inlineStr">
        <is>
          <t>What it is taxed on</t>
        </is>
      </c>
      <c r="E46" s="3" t="inlineStr">
        <is>
          <t>what_it_is_taxed_on</t>
        </is>
      </c>
      <c r="F46" s="3" t="inlineStr">
        <is>
          <t>incomeSummary</t>
        </is>
      </c>
      <c r="G46" s="3" t="inlineStr">
        <is>
          <t>MK-CF-O-004</t>
        </is>
      </c>
      <c r="H46" s="3" t="inlineStr">
        <is>
          <t>gross a year = Σ of every taxable source over the year, wages included at gross</t>
        </is>
      </c>
      <c r="I46" s="3" t="inlineStr">
        <is>
          <t>gross a year = Σ of every taxable source over the year, wages included at gross</t>
        </is>
      </c>
      <c r="J46" s="3" t="inlineStr">
        <is>
          <t>MK-CF-M-030 gross a year
MK-CF-I-006 other income
MK-CF-I-007 rental income
MK-CF-I-011 interest and dividends</t>
        </is>
      </c>
      <c r="K46" s="3" t="inlineStr">
        <is>
          <t>dollars, whole a year</t>
        </is>
      </c>
      <c r="L46" s="3" t="inlineStr">
        <is>
          <t>Shows $0 on a fresh account, with the door to enter income.</t>
        </is>
      </c>
      <c r="M46" s="3" t="inlineStr">
        <is>
          <t>one figure per household</t>
        </is>
      </c>
      <c r="N46" s="3" t="inlineStr">
        <is>
          <t>a year</t>
        </is>
      </c>
      <c r="O46"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6" s="3" t="inlineStr">
        <is>
          <t>Declared by MK-CF-O-004 incomeSummary</t>
        </is>
      </c>
      <c r="Q46" s="3" t="inlineStr">
        <is>
          <t>NONE RECORDED — the declaration names none.</t>
        </is>
      </c>
      <c r="R46" s="3" t="inlineStr">
        <is>
          <t>NONE RECORDED — the declaration names none.</t>
        </is>
      </c>
      <c r="S46" s="3" t="inlineStr"/>
      <c r="T46" s="3" t="inlineStr">
        <is>
          <t>NONE RECORDED — the declaration names none.</t>
        </is>
      </c>
      <c r="U46" s="3" t="inlineStr"/>
      <c r="V46" s="3" t="inlineStr"/>
      <c r="W46" s="3" t="inlineStr"/>
      <c r="X46" s="3" t="inlineStr"/>
      <c r="Y46" s="3" t="inlineStr"/>
      <c r="Z46" s="3" t="inlineStr">
        <is>
          <t>DECLARED IN THE CODE (rule 11) — printed from the door, not typed. RULED 2026-09-14</t>
        </is>
      </c>
      <c r="AA46" s="3" t="inlineStr"/>
      <c r="AB46" s="3" t="inlineStr"/>
      <c r="AC46" s="3" t="inlineStr"/>
      <c r="AD46" s="3" t="inlineStr"/>
      <c r="AE46" s="3" t="inlineStr"/>
      <c r="AF46" s="3" t="inlineStr">
        <is>
          <t>ACTIVE</t>
        </is>
      </c>
      <c r="AG46" s="3" t="inlineStr">
        <is>
          <t>2026-10-04</t>
        </is>
      </c>
      <c r="AH46" s="3" t="inlineStr"/>
      <c r="AI46" s="3" t="inlineStr"/>
      <c r="AJ4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6" s="3" t="inlineStr">
        <is>
          <t>(the claim now stands in 'Inputs it needs' until the row is approved)</t>
        </is>
      </c>
      <c r="AL46" s="3" t="inlineStr"/>
      <c r="AM46" s="3" t="inlineStr">
        <is>
          <t>TESTED, NOT VERIFIED — you ruled on this row 2026-09-14; the figure, its formula, inputs and refusal live in MK-CF-O-004 incomeSummary</t>
        </is>
      </c>
      <c r="AN46" s="3" t="inlineStr">
        <is>
          <t>Two earners filing jointly: $4,200 every two weeks ($109,200/year) and $5,000/month ($60,000), paying $1,200 and $400/month into their 401(k)s, with the tax rate typed at 22%.
GIVES: $169,200/year
(the test re-runs this through MK-CF-O-004 incomeSummary on every build)</t>
        </is>
      </c>
      <c r="AO46" s="7" t="inlineStr">
        <is>
          <t>RULED, NOT CODED (Q-CF-1 — one question, one function)</t>
        </is>
      </c>
    </row>
    <row r="47" ht="60" customHeight="1">
      <c r="A47" s="3" t="inlineStr">
        <is>
          <t>MK-CF-M-042</t>
        </is>
      </c>
      <c r="B47" s="3" t="inlineStr">
        <is>
          <t>Cashflow</t>
        </is>
      </c>
      <c r="C47" s="3" t="inlineStr">
        <is>
          <t>/income-summary</t>
        </is>
      </c>
      <c r="D47" s="3" t="inlineStr">
        <is>
          <t>each taxed source</t>
        </is>
      </c>
      <c r="E47" s="3" t="inlineStr">
        <is>
          <t>each_taxed_source</t>
        </is>
      </c>
      <c r="F47" s="3" t="inlineStr">
        <is>
          <t>incomeSummary</t>
        </is>
      </c>
      <c r="G47" s="3" t="inlineStr">
        <is>
          <t>MK-CF-O-004</t>
        </is>
      </c>
      <c r="H47" s="3" t="inlineStr">
        <is>
          <t>one line per taxable source, at its yearly amount</t>
        </is>
      </c>
      <c r="I47" s="3" t="inlineStr">
        <is>
          <t>one line per taxable source, at its yearly amount</t>
        </is>
      </c>
      <c r="J47" s="3" t="inlineStr">
        <is>
          <t>MK-CF-M-041 gross a year</t>
        </is>
      </c>
      <c r="K47" s="3" t="inlineStr">
        <is>
          <t>dollars, whole a year</t>
        </is>
      </c>
      <c r="L47" s="3" t="inlineStr">
        <is>
          <t>The list is replaced by the door to enter income when nothing is entered.</t>
        </is>
      </c>
      <c r="M47" s="3" t="inlineStr">
        <is>
          <t>one figure per household</t>
        </is>
      </c>
      <c r="N47" s="3" t="inlineStr">
        <is>
          <t>a year</t>
        </is>
      </c>
      <c r="O47"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7" s="3" t="inlineStr">
        <is>
          <t>Declared by MK-CF-O-004 incomeSummary</t>
        </is>
      </c>
      <c r="Q47" s="3" t="inlineStr">
        <is>
          <t>NONE RECORDED — the declaration names none.</t>
        </is>
      </c>
      <c r="R47" s="3" t="inlineStr">
        <is>
          <t>NONE RECORDED — the declaration names none.</t>
        </is>
      </c>
      <c r="S47" s="3" t="inlineStr"/>
      <c r="T47" s="3" t="inlineStr">
        <is>
          <t>NONE RECORDED — the declaration names none.</t>
        </is>
      </c>
      <c r="U47" s="3" t="inlineStr"/>
      <c r="V47" s="3" t="inlineStr"/>
      <c r="W47" s="3" t="inlineStr"/>
      <c r="X47" s="3" t="inlineStr"/>
      <c r="Y47" s="3" t="inlineStr"/>
      <c r="Z47" s="3" t="inlineStr">
        <is>
          <t>DECLARED IN THE CODE (rule 11) — printed from the door, not typed. RULED 2026-09-14</t>
        </is>
      </c>
      <c r="AA47" s="3" t="inlineStr"/>
      <c r="AB47" s="3" t="inlineStr"/>
      <c r="AC47" s="3" t="inlineStr"/>
      <c r="AD47" s="3" t="inlineStr"/>
      <c r="AE47" s="3" t="inlineStr"/>
      <c r="AF47" s="3" t="inlineStr">
        <is>
          <t>ACTIVE</t>
        </is>
      </c>
      <c r="AG47" s="3" t="inlineStr">
        <is>
          <t>2026-10-04</t>
        </is>
      </c>
      <c r="AH47" s="3" t="inlineStr"/>
      <c r="AI47" s="3" t="inlineStr"/>
      <c r="AJ47"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7" s="3" t="inlineStr">
        <is>
          <t>(the claim now stands in 'Inputs it needs' until the row is approved)</t>
        </is>
      </c>
      <c r="AL47" s="3" t="inlineStr"/>
      <c r="AM47" s="3" t="inlineStr">
        <is>
          <t>TESTED, NOT VERIFIED — you ruled on this row 2026-09-14; the figure, its formula, inputs and refusal live in MK-CF-O-004 incomeSummary</t>
        </is>
      </c>
      <c r="AN47" s="3" t="inlineStr">
        <is>
          <t>Two earners filing jointly: $4,200 every two weeks ($109,200/year) and $5,000/month ($60,000), paying $1,200 and $400/month into their 401(k)s, with the tax rate typed at 22%.
GIVES: $109,200/year
(the test re-runs this through MK-CF-O-004 incomeSummary on every build)</t>
        </is>
      </c>
      <c r="AO47" s="7" t="inlineStr">
        <is>
          <t>RULED, NOT CODED (Q-CF-1 — one question, one function)</t>
        </is>
      </c>
    </row>
    <row r="48" ht="60" customHeight="1">
      <c r="A48" s="3" t="inlineStr">
        <is>
          <t>MK-CF-M-043</t>
        </is>
      </c>
      <c r="B48" s="3" t="inlineStr">
        <is>
          <t>Cashflow</t>
        </is>
      </c>
      <c r="C48" s="3" t="inlineStr">
        <is>
          <t>/income-summary</t>
        </is>
      </c>
      <c r="D48" s="3" t="inlineStr">
        <is>
          <t>Federal tax bracket</t>
        </is>
      </c>
      <c r="E48" s="3" t="inlineStr">
        <is>
          <t>federal_tax_bracket</t>
        </is>
      </c>
      <c r="F48" s="3" t="inlineStr">
        <is>
          <t>incomeSummary</t>
        </is>
      </c>
      <c r="G48" s="3" t="inlineStr">
        <is>
          <t>MK-CF-O-004</t>
        </is>
      </c>
      <c r="H48" s="3" t="inlineStr">
        <is>
          <t>the published bracket that the whole year’s gross falls in, for their filing status</t>
        </is>
      </c>
      <c r="I48" s="3" t="inlineStr">
        <is>
          <t>the published bracket that the whole year’s gross falls in, for their filing status</t>
        </is>
      </c>
      <c r="J48" s="3" t="inlineStr">
        <is>
          <t>MK-CF-M-041 gross a year
MK-XS-I-024 filing status</t>
        </is>
      </c>
      <c r="K48" s="3" t="inlineStr">
        <is>
          <t>a percentage, whole</t>
        </is>
      </c>
      <c r="L48" s="3" t="inlineStr">
        <is>
          <t>The row is not shown until income is entered.</t>
        </is>
      </c>
      <c r="M48" s="3" t="inlineStr">
        <is>
          <t>one figure per household</t>
        </is>
      </c>
      <c r="N48" s="3" t="inlineStr">
        <is>
          <t>as of today</t>
        </is>
      </c>
      <c r="O48"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8" s="3" t="inlineStr">
        <is>
          <t>Declared by MK-CF-O-004 incomeSummary</t>
        </is>
      </c>
      <c r="Q48" s="3" t="inlineStr">
        <is>
          <t>NONE RECORDED — the declaration names none.</t>
        </is>
      </c>
      <c r="R48" s="3" t="inlineStr">
        <is>
          <t>NONE RECORDED — the declaration names none.</t>
        </is>
      </c>
      <c r="S48" s="3" t="inlineStr"/>
      <c r="T48" s="3" t="inlineStr">
        <is>
          <t>NONE RECORDED — the declaration names none.</t>
        </is>
      </c>
      <c r="U48" s="3" t="inlineStr">
        <is>
          <t>The same concept as MK-CF-M-032 on the base-pay screen, over a wider base: that one counts wages, this one counts every source. Conflict C-5 on the orchestrator map asks whether they stay two figures.</t>
        </is>
      </c>
      <c r="V48" s="3" t="inlineStr"/>
      <c r="W48" s="3" t="inlineStr"/>
      <c r="X48" s="3" t="inlineStr"/>
      <c r="Y48" s="3" t="inlineStr"/>
      <c r="Z48" s="3" t="inlineStr">
        <is>
          <t>DECLARED IN THE CODE (rule 11) — printed from the door, not typed. RULED 2026-09-14</t>
        </is>
      </c>
      <c r="AA48" s="3" t="inlineStr"/>
      <c r="AB48" s="3" t="inlineStr"/>
      <c r="AC48" s="3" t="inlineStr"/>
      <c r="AD48" s="3" t="inlineStr"/>
      <c r="AE48" s="3" t="inlineStr"/>
      <c r="AF48" s="3" t="inlineStr">
        <is>
          <t>ACTIVE</t>
        </is>
      </c>
      <c r="AG48" s="3" t="inlineStr">
        <is>
          <t>2026-10-04</t>
        </is>
      </c>
      <c r="AH48" s="3" t="inlineStr"/>
      <c r="AI48" s="3" t="inlineStr"/>
      <c r="AJ4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8" s="3" t="inlineStr">
        <is>
          <t>(the claim now stands in 'Inputs it needs' until the row is approved)</t>
        </is>
      </c>
      <c r="AL48" s="3" t="inlineStr"/>
      <c r="AM48" s="3" t="inlineStr">
        <is>
          <t>TESTED, NOT VERIFIED — you ruled on this row 2026-09-14; the figure, its formula, inputs and refusal live in MK-CF-O-004 incomeSummary</t>
        </is>
      </c>
      <c r="AN48" s="3" t="inlineStr">
        <is>
          <t>Two earners filing jointly: $4,200 every two weeks ($109,200/year) and $5,000/month ($60,000), paying $1,200 and $400/month into their 401(k)s, with the tax rate typed at 22%.
GIVES: 22%
(the test re-runs this through MK-CF-O-004 incomeSummary on every build)</t>
        </is>
      </c>
      <c r="AO48" s="7" t="inlineStr">
        <is>
          <t>RULED, NOT CODED (Q-CF-1 — one question, one function)</t>
        </is>
      </c>
    </row>
    <row r="49" ht="60" customHeight="1">
      <c r="A49" s="3" t="inlineStr">
        <is>
          <t>MK-CF-M-044</t>
        </is>
      </c>
      <c r="B49" s="3" t="inlineStr">
        <is>
          <t>Cashflow</t>
        </is>
      </c>
      <c r="C49" s="3" t="inlineStr">
        <is>
          <t>/income-summary</t>
        </is>
      </c>
      <c r="D49" s="3" t="inlineStr">
        <is>
          <t>Calculated federal tax</t>
        </is>
      </c>
      <c r="E49" s="3" t="inlineStr">
        <is>
          <t>calculated_federal_tax</t>
        </is>
      </c>
      <c r="F49" s="3" t="inlineStr">
        <is>
          <t>incomeSummary</t>
        </is>
      </c>
      <c r="G49" s="3" t="inlineStr">
        <is>
          <t>MK-CF-O-004</t>
        </is>
      </c>
      <c r="H49" s="3" t="inlineStr">
        <is>
          <t>tax a year = the rate in force × the year’s gross; when it is ours, federal tax on gross less the standard deduction at the published bands</t>
        </is>
      </c>
      <c r="I49" s="3" t="inlineStr">
        <is>
          <t>tax a year = the rate in force × the year’s gross; when it is ours, federal tax on gross less the standard deduction at the published bands</t>
        </is>
      </c>
      <c r="J49" s="3" t="inlineStr">
        <is>
          <t>MK-CF-M-041 gross a year
MK-CF-I-005 tax rate as entered
MK-XS-I-024 filing status</t>
        </is>
      </c>
      <c r="K49" s="3" t="inlineStr">
        <is>
          <t>dollars, whole a year</t>
        </is>
      </c>
      <c r="L49" s="3" t="inlineStr">
        <is>
          <t>The row is not shown until income is entered.</t>
        </is>
      </c>
      <c r="M49" s="3" t="inlineStr">
        <is>
          <t>one figure per household</t>
        </is>
      </c>
      <c r="N49" s="3" t="inlineStr">
        <is>
          <t>a year</t>
        </is>
      </c>
      <c r="O49"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49" s="3" t="inlineStr">
        <is>
          <t>Declared by MK-CF-O-004 incomeSummary</t>
        </is>
      </c>
      <c r="Q49" s="3" t="inlineStr">
        <is>
          <t>When it is ours it assumes the standard deduction and is federal only (MK-CF-D-002).</t>
        </is>
      </c>
      <c r="R49" s="3" t="inlineStr">
        <is>
          <t>When it is ours it assumes the standard deduction and is federal only (MK-CF-D-002).</t>
        </is>
      </c>
      <c r="S49" s="3" t="inlineStr"/>
      <c r="T49" s="3" t="inlineStr">
        <is>
          <t>When it is ours it assumes the standard deduction and is federal only (MK-CF-D-002).</t>
        </is>
      </c>
      <c r="U49" s="3" t="inlineStr"/>
      <c r="V49" s="3" t="inlineStr"/>
      <c r="W49" s="3" t="inlineStr"/>
      <c r="X49" s="3" t="inlineStr"/>
      <c r="Y49" s="3" t="inlineStr"/>
      <c r="Z49" s="3" t="inlineStr">
        <is>
          <t>DECLARED IN THE CODE (rule 11) — printed from the door, not typed. RULED 2026-09-14</t>
        </is>
      </c>
      <c r="AA49" s="3" t="inlineStr"/>
      <c r="AB49" s="3" t="inlineStr"/>
      <c r="AC49" s="3" t="inlineStr"/>
      <c r="AD49" s="3" t="inlineStr"/>
      <c r="AE49" s="3" t="inlineStr"/>
      <c r="AF49" s="3" t="inlineStr">
        <is>
          <t>ACTIVE</t>
        </is>
      </c>
      <c r="AG49" s="3" t="inlineStr">
        <is>
          <t>2026-10-04</t>
        </is>
      </c>
      <c r="AH49" s="3" t="inlineStr"/>
      <c r="AI49" s="3" t="inlineStr"/>
      <c r="AJ4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9" s="3" t="inlineStr">
        <is>
          <t>(the claim now stands in 'Inputs it needs' until the row is approved)</t>
        </is>
      </c>
      <c r="AL49" s="3" t="inlineStr"/>
      <c r="AM49" s="3" t="inlineStr">
        <is>
          <t>TESTED, NOT VERIFIED — you ruled on this row 2026-09-14; the figure, its formula, inputs and refusal live in MK-CF-O-004 incomeSummary</t>
        </is>
      </c>
      <c r="AN49" s="3" t="inlineStr">
        <is>
          <t>Two earners filing jointly: $4,200 every two weeks ($109,200/year) and $5,000/month ($60,000), paying $1,200 and $400/month into their 401(k)s, with the tax rate typed at 22%.
GIVES: $37,224/year
(the test re-runs this through MK-CF-O-004 incomeSummary on every build)</t>
        </is>
      </c>
      <c r="AO49" s="7" t="inlineStr">
        <is>
          <t>RULED, NOT CODED (Q-CF-1 — one question, one function)</t>
        </is>
      </c>
    </row>
    <row r="50" ht="60" customHeight="1">
      <c r="A50" s="3" t="inlineStr">
        <is>
          <t>MK-CF-M-045</t>
        </is>
      </c>
      <c r="B50" s="3" t="inlineStr">
        <is>
          <t>Cashflow</t>
        </is>
      </c>
      <c r="C50" s="3" t="inlineStr">
        <is>
          <t>/base-pay</t>
        </is>
      </c>
      <c r="D50" s="3" t="inlineStr">
        <is>
          <t>Social Security takes 6.2% of a wage up to</t>
        </is>
      </c>
      <c r="E50" s="3" t="inlineStr">
        <is>
          <t>social_security_takes_62_of_a_wage_up_to</t>
        </is>
      </c>
      <c r="F50" s="3" t="inlineStr">
        <is>
          <t>basePay</t>
        </is>
      </c>
      <c r="G50" s="3" t="inlineStr">
        <is>
          <t>MK-CF-O-001</t>
        </is>
      </c>
      <c r="H50" s="3" t="inlineStr">
        <is>
          <t>the published wage base for the tax year</t>
        </is>
      </c>
      <c r="I50" s="3" t="inlineStr">
        <is>
          <t>the published wage base for the tax year</t>
        </is>
      </c>
      <c r="J50" s="3" t="inlineStr">
        <is>
          <t>MK-ST-I-030 Social Security wage base</t>
        </is>
      </c>
      <c r="K50" s="3" t="inlineStr">
        <is>
          <t>dollars, whole a year</t>
        </is>
      </c>
      <c r="L50" s="3" t="inlineStr">
        <is>
          <t>Never absent — it is a published figure, not a calculation.</t>
        </is>
      </c>
      <c r="M50" s="3" t="inlineStr">
        <is>
          <t>one figure per household</t>
        </is>
      </c>
      <c r="N50" s="3" t="inlineStr">
        <is>
          <t>a year</t>
        </is>
      </c>
      <c r="O50"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50" s="3" t="inlineStr">
        <is>
          <t>Declared by MK-CF-O-001 basePay</t>
        </is>
      </c>
      <c r="Q50" s="3" t="inlineStr">
        <is>
          <t>Published figure — the source and the year it applies to are on the master file’s Reference tab (guard D4).</t>
        </is>
      </c>
      <c r="R50" s="3" t="inlineStr">
        <is>
          <t>Published figure — the source and the year it applies to are on the master file’s Reference tab (guard D4).</t>
        </is>
      </c>
      <c r="S50" s="3" t="inlineStr"/>
      <c r="T50" s="3" t="inlineStr">
        <is>
          <t>Published figure — the source and the year it applies to are on the master file’s Reference tab (guard D4).</t>
        </is>
      </c>
      <c r="U50" s="3" t="inlineStr"/>
      <c r="V50" s="3" t="inlineStr"/>
      <c r="W50" s="3" t="inlineStr"/>
      <c r="X50" s="3" t="inlineStr"/>
      <c r="Y50" s="3" t="inlineStr"/>
      <c r="Z50" s="3" t="inlineStr">
        <is>
          <t>DECLARED IN THE CODE (rule 11) — printed from the door, not typed. RULED 2026-09-14</t>
        </is>
      </c>
      <c r="AA50" s="3" t="inlineStr"/>
      <c r="AB50" s="3" t="inlineStr"/>
      <c r="AC50" s="3" t="inlineStr"/>
      <c r="AD50" s="3" t="inlineStr"/>
      <c r="AE50" s="3" t="inlineStr"/>
      <c r="AF50" s="3" t="inlineStr">
        <is>
          <t>ACTIVE</t>
        </is>
      </c>
      <c r="AG50" s="3" t="inlineStr">
        <is>
          <t>2026-10-04</t>
        </is>
      </c>
      <c r="AH50" s="3" t="inlineStr"/>
      <c r="AI50" s="3" t="inlineStr"/>
      <c r="AJ50"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0" s="3" t="inlineStr">
        <is>
          <t>(the claim now stands in 'Inputs it needs' until the row is approved)</t>
        </is>
      </c>
      <c r="AL50" s="3" t="inlineStr"/>
      <c r="AM50" s="3" t="inlineStr">
        <is>
          <t>TESTED, NOT VERIFIED — you ruled on this row 2026-09-14; the figure, its formula, inputs and refusal live in MK-CF-O-001 basePay</t>
        </is>
      </c>
      <c r="AN50" s="3" t="inlineStr">
        <is>
          <t>The payroll-tax figures Congress publishes for the 2026 tax year — not a calculation, and not ours to choose; they are read back so the sentence on screen can be checked against the law.
GIVES: $184,500/year
(the test re-runs this through MK-CF-O-001 basePay on every build)</t>
        </is>
      </c>
      <c r="AO50" s="7" t="inlineStr">
        <is>
          <t>RULED, NOT CODED (Q-CF-1 — one question, one function)</t>
        </is>
      </c>
    </row>
    <row r="51" ht="60" customHeight="1">
      <c r="A51" s="3" t="inlineStr">
        <is>
          <t>MK-CF-M-046</t>
        </is>
      </c>
      <c r="B51" s="3" t="inlineStr">
        <is>
          <t>Cashflow</t>
        </is>
      </c>
      <c r="C51" s="3" t="inlineStr">
        <is>
          <t>/base-pay</t>
        </is>
      </c>
      <c r="D51" s="3" t="inlineStr">
        <is>
          <t>Medicare 1.45% of everything, 0.9% more above</t>
        </is>
      </c>
      <c r="E51" s="3" t="inlineStr">
        <is>
          <t>medicare_145_of_everything_09_more_above</t>
        </is>
      </c>
      <c r="F51" s="3" t="inlineStr">
        <is>
          <t>basePay</t>
        </is>
      </c>
      <c r="G51" s="3" t="inlineStr">
        <is>
          <t>MK-CF-O-001</t>
        </is>
      </c>
      <c r="H51" s="3" t="inlineStr">
        <is>
          <t>the published additional-Medicare-tax threshold for the tax year</t>
        </is>
      </c>
      <c r="I51" s="3" t="inlineStr">
        <is>
          <t>the published additional-Medicare-tax threshold for the tax year</t>
        </is>
      </c>
      <c r="J51" s="3" t="inlineStr">
        <is>
          <t>MK-ST-I-031 Medicare additional-tax threshold</t>
        </is>
      </c>
      <c r="K51" s="3" t="inlineStr">
        <is>
          <t>dollars, whole a year</t>
        </is>
      </c>
      <c r="L51" s="3" t="inlineStr">
        <is>
          <t>Never absent — it is a published figure, not a calculation.</t>
        </is>
      </c>
      <c r="M51" s="3" t="inlineStr">
        <is>
          <t>one figure per household</t>
        </is>
      </c>
      <c r="N51" s="3" t="inlineStr">
        <is>
          <t>a year</t>
        </is>
      </c>
      <c r="O51" s="3" t="inlineStr">
        <is>
          <t>1. MK-ST-F-035 (covers) → boolean
2. MK-CF-F-171 (earnerPay) → EarnerPay
3. MK-CF-F-204 (line) → NOT DECLARED — the code does not say what it gives back
4. MK-CF-F-132 (map) → NOT DECLARED — the code does not say what it gives back
5. MK-CF-F-103 (marginalBracketFor) → number
6. MK-ST-F-053 (money) → string
7. MK-HM-F-006 (money0) → NOT DECLARED — the code does not say what it gives back
8. MK-XS-F-122 (n) → number
9. MK-CF-F-198 (payrollTaxWithheld) → number
10. MK-CF-F-181 (rateInForce) → RateInForce</t>
        </is>
      </c>
      <c r="P51" s="3" t="inlineStr">
        <is>
          <t>Declared by MK-CF-O-001 basePay</t>
        </is>
      </c>
      <c r="Q51" s="3" t="inlineStr">
        <is>
          <t>Published figure — the source and the year it applies to are on the master file’s Reference tab (guard D4).</t>
        </is>
      </c>
      <c r="R51" s="3" t="inlineStr">
        <is>
          <t>Published figure — the source and the year it applies to are on the master file’s Reference tab (guard D4).</t>
        </is>
      </c>
      <c r="S51" s="3" t="inlineStr"/>
      <c r="T51" s="3" t="inlineStr">
        <is>
          <t>Published figure — the source and the year it applies to are on the master file’s Reference tab (guard D4).</t>
        </is>
      </c>
      <c r="U51" s="3" t="inlineStr"/>
      <c r="V51" s="3" t="inlineStr"/>
      <c r="W51" s="3" t="inlineStr"/>
      <c r="X51" s="3" t="inlineStr"/>
      <c r="Y51" s="3" t="inlineStr"/>
      <c r="Z51" s="3" t="inlineStr">
        <is>
          <t>DECLARED IN THE CODE (rule 11) — printed from the door, not typed. RULED 2026-09-14</t>
        </is>
      </c>
      <c r="AA51" s="3" t="inlineStr"/>
      <c r="AB51" s="3" t="inlineStr"/>
      <c r="AC51" s="3" t="inlineStr"/>
      <c r="AD51" s="3" t="inlineStr"/>
      <c r="AE51" s="3" t="inlineStr"/>
      <c r="AF51" s="3" t="inlineStr">
        <is>
          <t>ACTIVE</t>
        </is>
      </c>
      <c r="AG51" s="3" t="inlineStr">
        <is>
          <t>2026-10-04</t>
        </is>
      </c>
      <c r="AH51" s="3" t="inlineStr"/>
      <c r="AI51" s="3" t="inlineStr"/>
      <c r="AJ51"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1" s="3" t="inlineStr">
        <is>
          <t>(the claim now stands in 'Inputs it needs' until the row is approved)</t>
        </is>
      </c>
      <c r="AL51" s="3" t="inlineStr"/>
      <c r="AM51" s="3" t="inlineStr">
        <is>
          <t>TESTED, NOT VERIFIED — you ruled on this row 2026-09-14; the figure, its formula, inputs and refusal live in MK-CF-O-001 basePay</t>
        </is>
      </c>
      <c r="AN51" s="3" t="inlineStr">
        <is>
          <t>The payroll-tax figures Congress publishes for the 2026 tax year — not a calculation, and not ours to choose; they are read back so the sentence on screen can be checked against the law.
GIVES: $200,000/year
(the test re-runs this through MK-CF-O-001 basePay on every build)</t>
        </is>
      </c>
      <c r="AO51" s="7" t="inlineStr">
        <is>
          <t>RULED, NOT CODED (Q-CF-1 — one question, one function)</t>
        </is>
      </c>
    </row>
    <row r="52" ht="60" customHeight="1">
      <c r="A52" s="3" t="inlineStr">
        <is>
          <t>MK-CF-M-047</t>
        </is>
      </c>
      <c r="B52" s="3" t="inlineStr">
        <is>
          <t>Cashflow</t>
        </is>
      </c>
      <c r="C52" s="3" t="inlineStr">
        <is>
          <t>/cashflow</t>
        </is>
      </c>
      <c r="D52" s="3" t="inlineStr">
        <is>
          <t>Expected inflow</t>
        </is>
      </c>
      <c r="E52" s="3" t="inlineStr">
        <is>
          <t>expected_inflow</t>
        </is>
      </c>
      <c r="F52" s="3" t="inlineStr">
        <is>
          <t>thisMonth</t>
        </is>
      </c>
      <c r="G52" s="3" t="inlineStr">
        <is>
          <t>MK-CF-O-003</t>
        </is>
      </c>
      <c r="H52" s="3" t="inlineStr">
        <is>
          <t>expected inflow = Σ of every income source that lands in this month, at its take-home amount; a source that lands once a year counts only in the month it lands</t>
        </is>
      </c>
      <c r="I52" s="3" t="inlineStr">
        <is>
          <t>expected inflow = Σ of every income source that lands in this month, at its take-home amount; a source that lands once a year counts only in the month it lands</t>
        </is>
      </c>
      <c r="J52" s="3" t="inlineStr">
        <is>
          <t>MK-CF-M-037 take-home each month
MK-CF-I-006 other income
MK-CF-I-007 rental income
MK-CF-I-008 retirement income</t>
        </is>
      </c>
      <c r="K52" s="3" t="inlineStr">
        <is>
          <t>dollars, whole a month</t>
        </is>
      </c>
      <c r="L52" s="3" t="inlineStr">
        <is>
          <t>Shows $0 until income is entered, with the door to enter it.</t>
        </is>
      </c>
      <c r="M52" s="3" t="inlineStr">
        <is>
          <t>one figure per household per month</t>
        </is>
      </c>
      <c r="N52" s="3" t="inlineStr">
        <is>
          <t>a month</t>
        </is>
      </c>
      <c r="O52" s="3" t="inlineStr">
        <is>
          <t>1. MK-CF-F-005 (actualMonthFlow) → MonthBlock
2. MK-CF-F-156 (plannedMonthFlow) → MonthBlock</t>
        </is>
      </c>
      <c r="P52" s="3" t="inlineStr">
        <is>
          <t>Declared by MK-CF-O-003 thisMonth</t>
        </is>
      </c>
      <c r="Q52" s="3" t="inlineStr">
        <is>
          <t>A month is a real calendar month, never a twelfth of a year (founder, 2026-08-28).</t>
        </is>
      </c>
      <c r="R52" s="3" t="inlineStr">
        <is>
          <t>A month is a real calendar month, never a twelfth of a year (founder, 2026-08-28).</t>
        </is>
      </c>
      <c r="S52" s="3" t="inlineStr"/>
      <c r="T52" s="3" t="inlineStr">
        <is>
          <t>A month is a real calendar month, never a twelfth of a year (founder, 2026-08-28).</t>
        </is>
      </c>
      <c r="U52" s="3" t="inlineStr"/>
      <c r="V52" s="3" t="inlineStr"/>
      <c r="W52" s="3" t="inlineStr">
        <is>
          <t>yes</t>
        </is>
      </c>
      <c r="X52" s="3" t="inlineStr"/>
      <c r="Y52" s="3" t="inlineStr"/>
      <c r="Z52" s="3" t="inlineStr">
        <is>
          <t>DRAFT — declared in the code and printed here, WAITING FOR YOUR VERDICT before the screens move behind the door (rule 10)</t>
        </is>
      </c>
      <c r="AA52" s="3" t="inlineStr"/>
      <c r="AB52" s="3" t="inlineStr"/>
      <c r="AC52" s="3" t="inlineStr"/>
      <c r="AD52" s="3" t="inlineStr"/>
      <c r="AE52" s="3" t="inlineStr"/>
      <c r="AF52" s="3" t="inlineStr">
        <is>
          <t>ACTIVE</t>
        </is>
      </c>
      <c r="AG52" s="3" t="inlineStr">
        <is>
          <t>2026-10-04</t>
        </is>
      </c>
      <c r="AH52" s="3" t="inlineStr"/>
      <c r="AI52" s="3" t="inlineStr"/>
      <c r="AJ52"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2" s="3" t="inlineStr">
        <is>
          <t>(the claim now stands in 'Inputs it needs' until the row is approved)</t>
        </is>
      </c>
      <c r="AL52" s="3" t="inlineStr"/>
      <c r="AM52" s="3" t="inlineStr">
        <is>
          <t>RULED? NOT YET — read this row and say yes, or say what changes. Nothing moves behind MK-CF-O-003 thisMonth until you do.</t>
        </is>
      </c>
      <c r="AN52" s="3" t="inlineStr">
        <is>
          <t>September 2026: $7,200 take-home; a $2,400 mortgage and a $250 car loan due; a $3,400 budget. Logged so far: $2,300 rent, $512 groceries, $186 eating out, and the $250 car loan paid.
GIVES: $7,200/month
(the test re-runs this through MK-CF-O-003 thisMonth on every build)</t>
        </is>
      </c>
      <c r="AO52" s="9" t="inlineStr">
        <is>
          <t>WAITING ON YOU — row to approve: say yes in YOUR ANSWER, or say what changes · RULED, NOT CODED (Q-CF-2 — one question, one function)</t>
        </is>
      </c>
    </row>
    <row r="53" ht="60" customHeight="1">
      <c r="A53" s="3" t="inlineStr">
        <is>
          <t>MK-CF-M-048</t>
        </is>
      </c>
      <c r="B53" s="3" t="inlineStr">
        <is>
          <t>Cashflow</t>
        </is>
      </c>
      <c r="C53" s="3" t="inlineStr">
        <is>
          <t>/cashflow</t>
        </is>
      </c>
      <c r="D53" s="3" t="inlineStr">
        <is>
          <t>Planned outflow (expenses + debt)</t>
        </is>
      </c>
      <c r="E53" s="3" t="inlineStr">
        <is>
          <t>planned_outflow_expenses__debt</t>
        </is>
      </c>
      <c r="F53" s="3" t="inlineStr">
        <is>
          <t>thisMonth</t>
        </is>
      </c>
      <c r="G53" s="3" t="inlineStr">
        <is>
          <t>MK-CF-O-003</t>
        </is>
      </c>
      <c r="H53" s="3" t="inlineStr">
        <is>
          <t>planned outflow = planned everyday expenses + Σ of the debt payments due this month + Σ of the big bills that fall in this month</t>
        </is>
      </c>
      <c r="I53" s="3" t="inlineStr">
        <is>
          <t>planned outflow = planned everyday expenses + Σ of the debt payments due this month + Σ of the big bills that fall in this month</t>
        </is>
      </c>
      <c r="J53" s="3" t="inlineStr">
        <is>
          <t>MK-CF-I-012 planned expenses
MK-CF-I-013 debt payment
MK-CF-I-014 big bill</t>
        </is>
      </c>
      <c r="K53" s="3" t="inlineStr">
        <is>
          <t>dollars, whole a month</t>
        </is>
      </c>
      <c r="L53" s="3" t="inlineStr">
        <is>
          <t>Shows $0 until expenses or debts are entered.</t>
        </is>
      </c>
      <c r="M53" s="3" t="inlineStr">
        <is>
          <t>one figure per household per month</t>
        </is>
      </c>
      <c r="N53" s="3" t="inlineStr">
        <is>
          <t>a month</t>
        </is>
      </c>
      <c r="O53" s="3" t="inlineStr">
        <is>
          <t>1. MK-CF-F-005 (actualMonthFlow) → MonthBlock
2. MK-CF-F-156 (plannedMonthFlow) → MonthBlock</t>
        </is>
      </c>
      <c r="P53" s="3" t="inlineStr">
        <is>
          <t>Declared by MK-CF-O-003 thisMonth</t>
        </is>
      </c>
      <c r="Q53" s="3" t="inlineStr">
        <is>
          <t>A debt payment is counted as an outflow, not as saving (founder, 2026-06-21).
A bill that falls once a year is shown in its own month, never spread.</t>
        </is>
      </c>
      <c r="R53" s="3" t="inlineStr">
        <is>
          <t>A debt payment is counted as an outflow, not as saving (founder, 2026-06-21).
A bill that falls once a year is shown in its own month, never spread.</t>
        </is>
      </c>
      <c r="S53" s="3" t="inlineStr"/>
      <c r="T53" s="3" t="inlineStr">
        <is>
          <t>A debt payment is counted as an outflow, not as saving (founder, 2026-06-21).
A bill that falls once a year is shown in its own month, never spread.</t>
        </is>
      </c>
      <c r="U53" s="3" t="inlineStr"/>
      <c r="V53" s="3" t="inlineStr"/>
      <c r="W53" s="3" t="inlineStr">
        <is>
          <t>yes</t>
        </is>
      </c>
      <c r="X53" s="3" t="inlineStr"/>
      <c r="Y53" s="3" t="inlineStr"/>
      <c r="Z53" s="3" t="inlineStr">
        <is>
          <t>DRAFT — declared in the code and printed here, WAITING FOR YOUR VERDICT before the screens move behind the door (rule 10)</t>
        </is>
      </c>
      <c r="AA53" s="3" t="inlineStr"/>
      <c r="AB53" s="3" t="inlineStr"/>
      <c r="AC53" s="3" t="inlineStr"/>
      <c r="AD53" s="3" t="inlineStr"/>
      <c r="AE53" s="3" t="inlineStr"/>
      <c r="AF53" s="3" t="inlineStr">
        <is>
          <t>ACTIVE</t>
        </is>
      </c>
      <c r="AG53" s="3" t="inlineStr">
        <is>
          <t>2026-10-04</t>
        </is>
      </c>
      <c r="AH53" s="3" t="inlineStr"/>
      <c r="AI53" s="3" t="inlineStr"/>
      <c r="AJ5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3" s="3" t="inlineStr">
        <is>
          <t>(the claim now stands in 'Inputs it needs' until the row is approved)</t>
        </is>
      </c>
      <c r="AL53" s="3" t="inlineStr"/>
      <c r="AM53" s="3" t="inlineStr">
        <is>
          <t>RULED? NOT YET — read this row and say yes, or say what changes. Nothing moves behind MK-CF-O-003 thisMonth until you do.</t>
        </is>
      </c>
      <c r="AN53" s="3" t="inlineStr">
        <is>
          <t>September 2026: $7,200 take-home; a $2,400 mortgage and a $250 car loan due; a $3,400 budget. Logged so far: $2,300 rent, $512 groceries, $186 eating out, and the $250 car loan paid.
GIVES: -$6,050/month
(the test re-runs this through MK-CF-O-003 thisMonth on every build)</t>
        </is>
      </c>
      <c r="AO53" s="9" t="inlineStr">
        <is>
          <t>WAITING ON YOU — row to approve: say yes in YOUR ANSWER, or say what changes · RULED, NOT CODED (Q-CF-2 — one question, one function)</t>
        </is>
      </c>
    </row>
    <row r="54" ht="60" customHeight="1">
      <c r="A54" s="3" t="inlineStr">
        <is>
          <t>MK-CF-M-049</t>
        </is>
      </c>
      <c r="B54" s="3" t="inlineStr">
        <is>
          <t>Cashflow</t>
        </is>
      </c>
      <c r="C54" s="3" t="inlineStr">
        <is>
          <t>/cashflow</t>
        </is>
      </c>
      <c r="D54" s="3">
        <f> Planned surplus</f>
        <v/>
      </c>
      <c r="E54" s="3" t="inlineStr">
        <is>
          <t>planned_surplus</t>
        </is>
      </c>
      <c r="F54" s="3" t="inlineStr">
        <is>
          <t>thisMonth</t>
        </is>
      </c>
      <c r="G54" s="3" t="inlineStr">
        <is>
          <t>MK-CF-O-003</t>
        </is>
      </c>
      <c r="H54" s="3" t="inlineStr">
        <is>
          <t>planned surplus = expected inflow − planned outflow</t>
        </is>
      </c>
      <c r="I54" s="3" t="inlineStr">
        <is>
          <t>planned surplus = expected inflow − planned outflow</t>
        </is>
      </c>
      <c r="J54" s="3" t="inlineStr">
        <is>
          <t>MK-CF-M-047 expected inflow
MK-CF-M-048 planned outflow</t>
        </is>
      </c>
      <c r="K54" s="3" t="inlineStr">
        <is>
          <t>dollars, whole a month</t>
        </is>
      </c>
      <c r="L54" s="3" t="inlineStr">
        <is>
          <t>Shows $0 until both sides are entered.</t>
        </is>
      </c>
      <c r="M54" s="3" t="inlineStr">
        <is>
          <t>one figure per household per month</t>
        </is>
      </c>
      <c r="N54" s="3" t="inlineStr">
        <is>
          <t>a month</t>
        </is>
      </c>
      <c r="O54" s="3" t="inlineStr">
        <is>
          <t>1. MK-CF-F-005 (actualMonthFlow) → MonthBlock
2. MK-CF-F-156 (plannedMonthFlow) → MonthBlock</t>
        </is>
      </c>
      <c r="P54" s="3" t="inlineStr">
        <is>
          <t>Declared by MK-CF-O-003 thisMonth</t>
        </is>
      </c>
      <c r="Q54" s="3" t="inlineStr">
        <is>
          <t>NONE RECORDED — the declaration names none.</t>
        </is>
      </c>
      <c r="R54" s="3" t="inlineStr">
        <is>
          <t>NONE RECORDED — the declaration names none.</t>
        </is>
      </c>
      <c r="S54" s="3" t="inlineStr"/>
      <c r="T54" s="3" t="inlineStr">
        <is>
          <t>NONE RECORDED — the declaration names none.</t>
        </is>
      </c>
      <c r="U54" s="3" t="inlineStr">
        <is>
          <t>The Cash flow screen used to subtract this itself (rule 5). It is the door’s figure now.</t>
        </is>
      </c>
      <c r="V54" s="3" t="inlineStr"/>
      <c r="W54" s="3" t="inlineStr"/>
      <c r="X54" s="3" t="inlineStr"/>
      <c r="Y54" s="3" t="inlineStr"/>
      <c r="Z54" s="3" t="inlineStr">
        <is>
          <t>DRAFT — declared in the code and printed here, WAITING FOR YOUR VERDICT before the screens move behind the door (rule 10)</t>
        </is>
      </c>
      <c r="AA54" s="3" t="inlineStr"/>
      <c r="AB54" s="3" t="inlineStr"/>
      <c r="AC54" s="3" t="inlineStr"/>
      <c r="AD54" s="3" t="inlineStr"/>
      <c r="AE54" s="3" t="inlineStr"/>
      <c r="AF54" s="3" t="inlineStr">
        <is>
          <t>ACTIVE</t>
        </is>
      </c>
      <c r="AG54" s="3" t="inlineStr">
        <is>
          <t>2026-10-04</t>
        </is>
      </c>
      <c r="AH54" s="3" t="inlineStr"/>
      <c r="AI54" s="3" t="inlineStr"/>
      <c r="AJ5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4" s="3" t="inlineStr">
        <is>
          <t>(the claim now stands in 'Inputs it needs' until the row is approved)</t>
        </is>
      </c>
      <c r="AL54" s="3" t="inlineStr"/>
      <c r="AM54" s="3" t="inlineStr">
        <is>
          <t>RULED? NOT YET — read this row and say yes, or say what changes. Nothing moves behind MK-CF-O-003 thisMonth until you do.</t>
        </is>
      </c>
      <c r="AN54" s="3" t="inlineStr">
        <is>
          <t>September 2026: $7,200 take-home; a $2,400 mortgage and a $250 car loan due; a $3,400 budget. Logged so far: $2,300 rent, $512 groceries, $186 eating out, and the $250 car loan paid.
GIVES: $1,150/month
(the test re-runs this through MK-CF-O-003 thisMonth on every build)</t>
        </is>
      </c>
      <c r="AO54" s="9" t="inlineStr">
        <is>
          <t>WAITING ON YOU — row to approve: say yes in YOUR ANSWER, or say what changes · RULED, NOT CODED (Q-CF-2 — one question, one function)</t>
        </is>
      </c>
    </row>
    <row r="55" ht="60" customHeight="1">
      <c r="A55" s="3" t="inlineStr">
        <is>
          <t>MK-CF-M-050</t>
        </is>
      </c>
      <c r="B55" s="3" t="inlineStr">
        <is>
          <t>Cashflow</t>
        </is>
      </c>
      <c r="C55" s="3" t="inlineStr">
        <is>
          <t>/cashflow</t>
        </is>
      </c>
      <c r="D55" s="3" t="inlineStr">
        <is>
          <t>each planned line</t>
        </is>
      </c>
      <c r="E55" s="3" t="inlineStr">
        <is>
          <t>each_planned_line</t>
        </is>
      </c>
      <c r="F55" s="3" t="inlineStr">
        <is>
          <t>thisMonth</t>
        </is>
      </c>
      <c r="G55" s="3" t="inlineStr">
        <is>
          <t>MK-CF-O-003</t>
        </is>
      </c>
      <c r="H55" s="3" t="inlineStr">
        <is>
          <t>one line per source or commitment that falls in this month, at its amount for this month</t>
        </is>
      </c>
      <c r="I55" s="3" t="inlineStr">
        <is>
          <t>one line per source or commitment that falls in this month, at its amount for this month</t>
        </is>
      </c>
      <c r="J55" s="3" t="inlineStr">
        <is>
          <t>MK-CF-M-047 expected inflow
MK-CF-M-048 planned outflow</t>
        </is>
      </c>
      <c r="K55" s="3" t="inlineStr">
        <is>
          <t>dollars, whole a month</t>
        </is>
      </c>
      <c r="L55" s="3" t="inlineStr">
        <is>
          <t>The list is replaced by the door to enter income or expenses when nothing is entered.</t>
        </is>
      </c>
      <c r="M55" s="3" t="inlineStr">
        <is>
          <t>one figure per line per month</t>
        </is>
      </c>
      <c r="N55" s="3" t="inlineStr">
        <is>
          <t>a month</t>
        </is>
      </c>
      <c r="O55" s="3" t="inlineStr">
        <is>
          <t>1. MK-CF-F-005 (actualMonthFlow) → MonthBlock
2. MK-CF-F-156 (plannedMonthFlow) → MonthBlock</t>
        </is>
      </c>
      <c r="P55" s="3" t="inlineStr">
        <is>
          <t>Declared by MK-CF-O-003 thisMonth</t>
        </is>
      </c>
      <c r="Q55" s="3" t="inlineStr">
        <is>
          <t>NONE RECORDED — the declaration names none.</t>
        </is>
      </c>
      <c r="R55" s="3" t="inlineStr">
        <is>
          <t>NONE RECORDED — the declaration names none.</t>
        </is>
      </c>
      <c r="S55" s="3" t="inlineStr"/>
      <c r="T55" s="3" t="inlineStr">
        <is>
          <t>NONE RECORDED — the declaration names none.</t>
        </is>
      </c>
      <c r="U55" s="3" t="inlineStr"/>
      <c r="V55" s="3" t="inlineStr"/>
      <c r="W55" s="3" t="inlineStr"/>
      <c r="X55" s="3" t="inlineStr"/>
      <c r="Y55" s="3" t="inlineStr"/>
      <c r="Z55" s="3" t="inlineStr">
        <is>
          <t>DRAFT — declared in the code and printed here, WAITING FOR YOUR VERDICT before the screens move behind the door (rule 10)</t>
        </is>
      </c>
      <c r="AA55" s="3" t="inlineStr"/>
      <c r="AB55" s="3" t="inlineStr"/>
      <c r="AC55" s="3" t="inlineStr"/>
      <c r="AD55" s="3" t="inlineStr"/>
      <c r="AE55" s="3" t="inlineStr"/>
      <c r="AF55" s="3" t="inlineStr">
        <is>
          <t>ACTIVE</t>
        </is>
      </c>
      <c r="AG55" s="3" t="inlineStr">
        <is>
          <t>2026-10-04</t>
        </is>
      </c>
      <c r="AH55" s="3" t="inlineStr"/>
      <c r="AI55" s="3" t="inlineStr"/>
      <c r="AJ5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5" s="3" t="inlineStr">
        <is>
          <t>(the claim now stands in 'Inputs it needs' until the row is approved)</t>
        </is>
      </c>
      <c r="AL55" s="3" t="inlineStr"/>
      <c r="AM55" s="3" t="inlineStr">
        <is>
          <t>RULED? NOT YET — read this row and say yes, or say what changes. Nothing moves behind MK-CF-O-003 thisMonth until you do.</t>
        </is>
      </c>
      <c r="AN55" s="3" t="inlineStr">
        <is>
          <t>September 2026: $7,200 take-home; a $2,400 mortgage and a $250 car loan due; a $3,400 budget. Logged so far: $2,300 rent, $512 groceries, $186 eating out, and the $250 car loan paid.
GIVES: -$2,400/month
(the test re-runs this through MK-CF-O-003 thisMonth on every build)</t>
        </is>
      </c>
      <c r="AO55" s="9" t="inlineStr">
        <is>
          <t>WAITING ON YOU — row to approve: say yes in YOUR ANSWER, or say what changes · RULED, NOT CODED (Q-CF-2 — one question, one function)</t>
        </is>
      </c>
    </row>
    <row r="56" ht="60" customHeight="1">
      <c r="A56" s="3" t="inlineStr">
        <is>
          <t>MK-CF-M-051</t>
        </is>
      </c>
      <c r="B56" s="3" t="inlineStr">
        <is>
          <t>Cashflow</t>
        </is>
      </c>
      <c r="C56" s="3" t="inlineStr">
        <is>
          <t>/cashflow · /home</t>
        </is>
      </c>
      <c r="D56" s="3" t="inlineStr">
        <is>
          <t>Inflow</t>
        </is>
      </c>
      <c r="E56" s="3" t="inlineStr">
        <is>
          <t>inflow</t>
        </is>
      </c>
      <c r="F56" s="3" t="inlineStr">
        <is>
          <t>thisMonth</t>
        </is>
      </c>
      <c r="G56" s="3" t="inlineStr">
        <is>
          <t>MK-CF-O-003</t>
        </is>
      </c>
      <c r="H56" s="3" t="inlineStr">
        <is>
          <t>inflow so far = Σ of the income recorded as received in this month up to today</t>
        </is>
      </c>
      <c r="I56" s="3" t="inlineStr">
        <is>
          <t>inflow so far = Σ of the income recorded as received in this month up to today</t>
        </is>
      </c>
      <c r="J56" s="3" t="inlineStr">
        <is>
          <t>MK-CF-I-015 income recorded as received</t>
        </is>
      </c>
      <c r="K56" s="3" t="inlineStr">
        <is>
          <t>dollars, whole a month</t>
        </is>
      </c>
      <c r="L56" s="3" t="inlineStr">
        <is>
          <t>Shows $0 until something is recorded as received.</t>
        </is>
      </c>
      <c r="M56" s="3" t="inlineStr">
        <is>
          <t>one figure per household per month</t>
        </is>
      </c>
      <c r="N56" s="3" t="inlineStr">
        <is>
          <t>a month</t>
        </is>
      </c>
      <c r="O56" s="3" t="inlineStr">
        <is>
          <t>1. MK-CF-F-005 (actualMonthFlow) → MonthBlock
2. MK-CF-F-156 (plannedMonthFlow) → MonthBlock</t>
        </is>
      </c>
      <c r="P56" s="3" t="inlineStr">
        <is>
          <t>Declared by MK-CF-O-003 thisMonth</t>
        </is>
      </c>
      <c r="Q56" s="3" t="inlineStr">
        <is>
          <t>Nothing is assumed to have arrived; a source counts only once it is recorded (founder, 2026-08-28).</t>
        </is>
      </c>
      <c r="R56" s="3" t="inlineStr">
        <is>
          <t>Nothing is assumed to have arrived; a source counts only once it is recorded (founder, 2026-08-28).</t>
        </is>
      </c>
      <c r="S56" s="3" t="inlineStr"/>
      <c r="T56" s="3" t="inlineStr">
        <is>
          <t>Nothing is assumed to have arrived; a source counts only once it is recorded (founder, 2026-08-28).</t>
        </is>
      </c>
      <c r="U56" s="3" t="inlineStr">
        <is>
          <t>The words beside it name what is inside it — "Inflow (income (take-home) + rent)" — his cluster 5 ruling of 2026-09-10.</t>
        </is>
      </c>
      <c r="V56" s="3" t="inlineStr"/>
      <c r="W56" s="3" t="inlineStr"/>
      <c r="X56" s="3" t="inlineStr"/>
      <c r="Y56" s="3" t="inlineStr"/>
      <c r="Z56" s="3" t="inlineStr">
        <is>
          <t>DRAFT — declared in the code and printed here, WAITING FOR YOUR VERDICT before the screens move behind the door (rule 10)</t>
        </is>
      </c>
      <c r="AA56" s="3" t="inlineStr"/>
      <c r="AB56" s="3" t="inlineStr"/>
      <c r="AC56" s="3" t="inlineStr"/>
      <c r="AD56" s="3" t="inlineStr"/>
      <c r="AE56" s="3" t="inlineStr"/>
      <c r="AF56" s="3" t="inlineStr">
        <is>
          <t>ACTIVE</t>
        </is>
      </c>
      <c r="AG56" s="3" t="inlineStr">
        <is>
          <t>2026-10-04</t>
        </is>
      </c>
      <c r="AH56" s="3" t="inlineStr"/>
      <c r="AI56" s="3" t="inlineStr"/>
      <c r="AJ5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6" s="3" t="inlineStr">
        <is>
          <t>(the claim now stands in 'Inputs it needs' until the row is approved)</t>
        </is>
      </c>
      <c r="AL56" s="3" t="inlineStr"/>
      <c r="AM56" s="3" t="inlineStr">
        <is>
          <t>RULED? NOT YET — read this row and say yes, or say what changes. Nothing moves behind MK-CF-O-003 thisMonth until you do.</t>
        </is>
      </c>
      <c r="AN56" s="3" t="inlineStr">
        <is>
          <t>September 2026: $7,200 take-home; a $2,400 mortgage and a $250 car loan due; a $3,400 budget. Logged so far: $2,300 rent, $512 groceries, $186 eating out, and the $250 car loan paid.
GIVES: $7,200/month
(the test re-runs this through MK-CF-O-003 thisMonth on every build)</t>
        </is>
      </c>
      <c r="AO56" s="9" t="inlineStr">
        <is>
          <t>WAITING ON YOU — row to approve: say yes in YOUR ANSWER, or say what changes · RULED, NOT CODED (Q-CF-2 — one question, one function)</t>
        </is>
      </c>
    </row>
    <row r="57" ht="60" customHeight="1">
      <c r="A57" s="3" t="inlineStr">
        <is>
          <t>MK-CF-M-052</t>
        </is>
      </c>
      <c r="B57" s="3" t="inlineStr">
        <is>
          <t>Cashflow</t>
        </is>
      </c>
      <c r="C57" s="3" t="inlineStr">
        <is>
          <t>/cashflow · /home</t>
        </is>
      </c>
      <c r="D57" s="3" t="inlineStr">
        <is>
          <t>Outflow (expenses + debt)</t>
        </is>
      </c>
      <c r="E57" s="3" t="inlineStr">
        <is>
          <t>outflow_expenses__debt</t>
        </is>
      </c>
      <c r="F57" s="3" t="inlineStr">
        <is>
          <t>thisMonth</t>
        </is>
      </c>
      <c r="G57" s="3" t="inlineStr">
        <is>
          <t>MK-CF-O-003</t>
        </is>
      </c>
      <c r="H57" s="3" t="inlineStr">
        <is>
          <t>outflow so far = expenses logged so far this month + Σ of the debt payments due this month</t>
        </is>
      </c>
      <c r="I57" s="3" t="inlineStr">
        <is>
          <t>outflow so far = expenses logged so far this month + Σ of the debt payments due this month</t>
        </is>
      </c>
      <c r="J57" s="3" t="inlineStr">
        <is>
          <t>MK-CF-I-016 logged expense
MK-CF-I-013 debt payment</t>
        </is>
      </c>
      <c r="K57" s="3" t="inlineStr">
        <is>
          <t>dollars, whole a month</t>
        </is>
      </c>
      <c r="L57" s="3" t="inlineStr">
        <is>
          <t>Shows $0 until an expense is logged or a debt is entered.</t>
        </is>
      </c>
      <c r="M57" s="3" t="inlineStr">
        <is>
          <t>one figure per household per month</t>
        </is>
      </c>
      <c r="N57" s="3" t="inlineStr">
        <is>
          <t>a month</t>
        </is>
      </c>
      <c r="O57" s="3" t="inlineStr">
        <is>
          <t>1. MK-CF-F-005 (actualMonthFlow) → MonthBlock
2. MK-CF-F-156 (plannedMonthFlow) → MonthBlock</t>
        </is>
      </c>
      <c r="P57" s="3" t="inlineStr">
        <is>
          <t>Declared by MK-CF-O-003 thisMonth</t>
        </is>
      </c>
      <c r="Q57" s="3" t="inlineStr">
        <is>
          <t>Debt payments are counted in full for the month, logged or not, because they are committed.</t>
        </is>
      </c>
      <c r="R57" s="3" t="inlineStr">
        <is>
          <t>Debt payments are counted in full for the month, logged or not, because they are committed.</t>
        </is>
      </c>
      <c r="S57" s="3" t="inlineStr"/>
      <c r="T57" s="3" t="inlineStr">
        <is>
          <t>Debt payments are counted in full for the month, logged or not, because they are committed.</t>
        </is>
      </c>
      <c r="U57" s="3" t="inlineStr"/>
      <c r="V57" s="3" t="inlineStr"/>
      <c r="W57" s="3" t="inlineStr"/>
      <c r="X57" s="3" t="inlineStr"/>
      <c r="Y57" s="3" t="inlineStr"/>
      <c r="Z57" s="3" t="inlineStr">
        <is>
          <t>DRAFT — declared in the code and printed here, WAITING FOR YOUR VERDICT before the screens move behind the door (rule 10)</t>
        </is>
      </c>
      <c r="AA57" s="3" t="inlineStr"/>
      <c r="AB57" s="3" t="inlineStr"/>
      <c r="AC57" s="3" t="inlineStr"/>
      <c r="AD57" s="3" t="inlineStr"/>
      <c r="AE57" s="3" t="inlineStr"/>
      <c r="AF57" s="3" t="inlineStr">
        <is>
          <t>ACTIVE</t>
        </is>
      </c>
      <c r="AG57" s="3" t="inlineStr">
        <is>
          <t>2026-10-04</t>
        </is>
      </c>
      <c r="AH57" s="3" t="inlineStr"/>
      <c r="AI57" s="3" t="inlineStr"/>
      <c r="AJ57"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7" s="3" t="inlineStr">
        <is>
          <t>(the claim now stands in 'Inputs it needs' until the row is approved)</t>
        </is>
      </c>
      <c r="AL57" s="3" t="inlineStr"/>
      <c r="AM57" s="3" t="inlineStr">
        <is>
          <t>RULED? NOT YET — read this row and say yes, or say what changes. Nothing moves behind MK-CF-O-003 thisMonth until you do.</t>
        </is>
      </c>
      <c r="AN57" s="3" t="inlineStr">
        <is>
          <t>September 2026: $7,200 take-home; a $2,400 mortgage and a $250 car loan due; a $3,400 budget. Logged so far: $2,300 rent, $512 groceries, $186 eating out, and the $250 car loan paid.
GIVES: -$3,248/month
(the test re-runs this through MK-CF-O-003 thisMonth on every build)</t>
        </is>
      </c>
      <c r="AO57" s="9" t="inlineStr">
        <is>
          <t>WAITING ON YOU — row to approve: say yes in YOUR ANSWER, or say what changes · RULED, NOT CODED (Q-CF-2 — one question, one function)</t>
        </is>
      </c>
    </row>
    <row r="58" ht="60" customHeight="1">
      <c r="A58" s="3" t="inlineStr">
        <is>
          <t>MK-CF-M-053</t>
        </is>
      </c>
      <c r="B58" s="3" t="inlineStr">
        <is>
          <t>Cashflow</t>
        </is>
      </c>
      <c r="C58" s="3" t="inlineStr">
        <is>
          <t>/cashflow · /home</t>
        </is>
      </c>
      <c r="D58" s="3">
        <f> Surplus</f>
        <v/>
      </c>
      <c r="E58" s="3" t="inlineStr">
        <is>
          <t>surplus</t>
        </is>
      </c>
      <c r="F58" s="3" t="inlineStr">
        <is>
          <t>thisMonth</t>
        </is>
      </c>
      <c r="G58" s="3" t="inlineStr">
        <is>
          <t>MK-CF-O-003</t>
        </is>
      </c>
      <c r="H58" s="3" t="inlineStr">
        <is>
          <t>surplus so far = inflow so far − outflow so far</t>
        </is>
      </c>
      <c r="I58" s="3" t="inlineStr">
        <is>
          <t>surplus so far = inflow so far − outflow so far</t>
        </is>
      </c>
      <c r="J58" s="3" t="inlineStr">
        <is>
          <t>MK-CF-M-051 inflow so far
MK-CF-M-052 outflow so far</t>
        </is>
      </c>
      <c r="K58" s="3" t="inlineStr">
        <is>
          <t>dollars, whole a month</t>
        </is>
      </c>
      <c r="L58" s="3" t="inlineStr">
        <is>
          <t>Shows $0 until something is recorded.</t>
        </is>
      </c>
      <c r="M58" s="3" t="inlineStr">
        <is>
          <t>one figure per household per month</t>
        </is>
      </c>
      <c r="N58" s="3" t="inlineStr">
        <is>
          <t>a month</t>
        </is>
      </c>
      <c r="O58" s="3" t="inlineStr">
        <is>
          <t>1. MK-CF-F-005 (actualMonthFlow) → MonthBlock
2. MK-CF-F-156 (plannedMonthFlow) → MonthBlock</t>
        </is>
      </c>
      <c r="P58" s="3" t="inlineStr">
        <is>
          <t>Declared by MK-CF-O-003 thisMonth</t>
        </is>
      </c>
      <c r="Q58" s="3" t="inlineStr">
        <is>
          <t>NONE RECORDED — the declaration names none.</t>
        </is>
      </c>
      <c r="R58" s="3" t="inlineStr">
        <is>
          <t>NONE RECORDED — the declaration names none.</t>
        </is>
      </c>
      <c r="S58" s="3" t="inlineStr"/>
      <c r="T58" s="3" t="inlineStr">
        <is>
          <t>NONE RECORDED — the declaration names none.</t>
        </is>
      </c>
      <c r="U58" s="3" t="inlineStr">
        <is>
          <t>The Cash flow screen used to subtract this itself (rule 5). It is the door’s figure now.</t>
        </is>
      </c>
      <c r="V58" s="3" t="inlineStr"/>
      <c r="W58" s="3" t="inlineStr"/>
      <c r="X58" s="3" t="inlineStr"/>
      <c r="Y58" s="3" t="inlineStr"/>
      <c r="Z58" s="3" t="inlineStr">
        <is>
          <t>DRAFT — declared in the code and printed here, WAITING FOR YOUR VERDICT before the screens move behind the door (rule 10)</t>
        </is>
      </c>
      <c r="AA58" s="3" t="inlineStr"/>
      <c r="AB58" s="3" t="inlineStr"/>
      <c r="AC58" s="3" t="inlineStr"/>
      <c r="AD58" s="3" t="inlineStr"/>
      <c r="AE58" s="3" t="inlineStr"/>
      <c r="AF58" s="3" t="inlineStr">
        <is>
          <t>ACTIVE</t>
        </is>
      </c>
      <c r="AG58" s="3" t="inlineStr">
        <is>
          <t>2026-10-04</t>
        </is>
      </c>
      <c r="AH58" s="3" t="inlineStr"/>
      <c r="AI58" s="3" t="inlineStr"/>
      <c r="AJ5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8" s="3" t="inlineStr">
        <is>
          <t>(the claim now stands in 'Inputs it needs' until the row is approved)</t>
        </is>
      </c>
      <c r="AL58" s="3" t="inlineStr"/>
      <c r="AM58" s="3" t="inlineStr">
        <is>
          <t>RULED? NOT YET — read this row and say yes, or say what changes. Nothing moves behind MK-CF-O-003 thisMonth until you do.</t>
        </is>
      </c>
      <c r="AN58" s="3" t="inlineStr">
        <is>
          <t>September 2026: $7,200 take-home; a $2,400 mortgage and a $250 car loan due; a $3,400 budget. Logged so far: $2,300 rent, $512 groceries, $186 eating out, and the $250 car loan paid.
GIVES: $3,952/month
(the test re-runs this through MK-CF-O-003 thisMonth on every build)</t>
        </is>
      </c>
      <c r="AO58" s="9" t="inlineStr">
        <is>
          <t>WAITING ON YOU — row to approve: say yes in YOUR ANSWER, or say what changes · RULED, NOT CODED (Q-CF-2 — one question, one function)</t>
        </is>
      </c>
    </row>
    <row r="59" ht="60" customHeight="1">
      <c r="A59" s="3" t="inlineStr">
        <is>
          <t>MK-CF-M-054</t>
        </is>
      </c>
      <c r="B59" s="3" t="inlineStr">
        <is>
          <t>Cashflow</t>
        </is>
      </c>
      <c r="C59" s="3" t="inlineStr">
        <is>
          <t>/cashflow</t>
        </is>
      </c>
      <c r="D59" s="3" t="inlineStr">
        <is>
          <t>each received line</t>
        </is>
      </c>
      <c r="E59" s="3" t="inlineStr">
        <is>
          <t>each_received_line</t>
        </is>
      </c>
      <c r="F59" s="3" t="inlineStr">
        <is>
          <t>thisMonth</t>
        </is>
      </c>
      <c r="G59" s="3" t="inlineStr">
        <is>
          <t>MK-CF-O-003</t>
        </is>
      </c>
      <c r="H59" s="3" t="inlineStr">
        <is>
          <t>one line per payment recorded as received in this month, at its amount</t>
        </is>
      </c>
      <c r="I59" s="3" t="inlineStr">
        <is>
          <t>one line per payment recorded as received in this month, at its amount</t>
        </is>
      </c>
      <c r="J59" s="3" t="inlineStr">
        <is>
          <t>MK-CF-I-015 income recorded as received</t>
        </is>
      </c>
      <c r="K59" s="3" t="inlineStr">
        <is>
          <t>dollars, whole a month</t>
        </is>
      </c>
      <c r="L59" s="3" t="inlineStr">
        <is>
          <t>The list is replaced by the door to record income when nothing is recorded.</t>
        </is>
      </c>
      <c r="M59" s="3" t="inlineStr">
        <is>
          <t>one figure per payment</t>
        </is>
      </c>
      <c r="N59" s="3" t="inlineStr">
        <is>
          <t>a month</t>
        </is>
      </c>
      <c r="O59" s="3" t="inlineStr">
        <is>
          <t>1. MK-CF-F-005 (actualMonthFlow) → MonthBlock
2. MK-CF-F-156 (plannedMonthFlow) → MonthBlock</t>
        </is>
      </c>
      <c r="P59" s="3" t="inlineStr">
        <is>
          <t>Declared by MK-CF-O-003 thisMonth</t>
        </is>
      </c>
      <c r="Q59" s="3" t="inlineStr">
        <is>
          <t>NONE RECORDED — the declaration names none.</t>
        </is>
      </c>
      <c r="R59" s="3" t="inlineStr">
        <is>
          <t>NONE RECORDED — the declaration names none.</t>
        </is>
      </c>
      <c r="S59" s="3" t="inlineStr"/>
      <c r="T59" s="3" t="inlineStr">
        <is>
          <t>NONE RECORDED — the declaration names none.</t>
        </is>
      </c>
      <c r="U59" s="3" t="inlineStr"/>
      <c r="V59" s="3" t="inlineStr"/>
      <c r="W59" s="3" t="inlineStr"/>
      <c r="X59" s="3" t="inlineStr"/>
      <c r="Y59" s="3" t="inlineStr"/>
      <c r="Z59" s="3" t="inlineStr">
        <is>
          <t>DRAFT — declared in the code and printed here, WAITING FOR YOUR VERDICT before the screens move behind the door (rule 10)</t>
        </is>
      </c>
      <c r="AA59" s="3" t="inlineStr"/>
      <c r="AB59" s="3" t="inlineStr"/>
      <c r="AC59" s="3" t="inlineStr"/>
      <c r="AD59" s="3" t="inlineStr"/>
      <c r="AE59" s="3" t="inlineStr"/>
      <c r="AF59" s="3" t="inlineStr">
        <is>
          <t>ACTIVE</t>
        </is>
      </c>
      <c r="AG59" s="3" t="inlineStr">
        <is>
          <t>2026-10-04</t>
        </is>
      </c>
      <c r="AH59" s="3" t="inlineStr"/>
      <c r="AI59" s="3" t="inlineStr"/>
      <c r="AJ5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59" s="3" t="inlineStr">
        <is>
          <t>(the claim now stands in 'Inputs it needs' until the row is approved)</t>
        </is>
      </c>
      <c r="AL59" s="3" t="inlineStr"/>
      <c r="AM59" s="3" t="inlineStr">
        <is>
          <t>RULED? NOT YET — read this row and say yes, or say what changes. Nothing moves behind MK-CF-O-003 thisMonth until you do.</t>
        </is>
      </c>
      <c r="AN59" s="3" t="inlineStr">
        <is>
          <t>September 2026: $7,200 take-home; a $2,400 mortgage and a $250 car loan due; a $3,400 budget. Logged so far: $2,300 rent, $512 groceries, $186 eating out, and the $250 car loan paid.
GIVES: -$250/month
(the test re-runs this through MK-CF-O-003 thisMonth on every build)</t>
        </is>
      </c>
      <c r="AO59" s="9" t="inlineStr">
        <is>
          <t>WAITING ON YOU — row to approve: say yes in YOUR ANSWER, or say what changes · RULED, NOT CODED (Q-CF-2 — one question, one function)</t>
        </is>
      </c>
    </row>
    <row r="60" ht="60" customHeight="1">
      <c r="A60" s="3" t="inlineStr">
        <is>
          <t>MK-CF-M-055</t>
        </is>
      </c>
      <c r="B60" s="3" t="inlineStr">
        <is>
          <t>Cashflow</t>
        </is>
      </c>
      <c r="C60" s="3" t="inlineStr">
        <is>
          <t>/cashflow</t>
        </is>
      </c>
      <c r="D60" s="3" t="inlineStr">
        <is>
          <t>Draw from savings</t>
        </is>
      </c>
      <c r="E60" s="3" t="inlineStr">
        <is>
          <t>draw_from_savings</t>
        </is>
      </c>
      <c r="F60" s="3" t="inlineStr">
        <is>
          <t>futurePaycheck</t>
        </is>
      </c>
      <c r="G60" s="3" t="inlineStr">
        <is>
          <t>MK-CF-O-017</t>
        </is>
      </c>
      <c r="H60" s="3" t="inlineStr">
        <is>
          <t>the paycheck year’s level draw from the pot, at the assumed return and horizon</t>
        </is>
      </c>
      <c r="I60" s="3" t="inlineStr">
        <is>
          <t>the paycheck year’s level draw from the pot, at the assumed return and horizon</t>
        </is>
      </c>
      <c r="J60" s="3" t="inlineStr">
        <is>
          <t>MK-NW-I-001 your accounts
MK-XS-I-028 assumed return
MK-XS-I-018 retirement age</t>
        </is>
      </c>
      <c r="K60" s="3" t="inlineStr">
        <is>
          <t>dollars, whole a month</t>
        </is>
      </c>
      <c r="L60" s="3" t="inlineStr">
        <is>
          <t>No pot — no draw; the paycheck is the guaranteed income alone.</t>
        </is>
      </c>
      <c r="M60" s="3" t="inlineStr">
        <is>
          <t>one figure per household</t>
        </is>
      </c>
      <c r="N60" s="3" t="inlineStr">
        <is>
          <t>a month</t>
        </is>
      </c>
      <c r="O60" s="3" t="inlineStr">
        <is>
          <t>1. MK-CF-F-107 (buildPaycheckYear) → PaycheckYear
2. MK-XS-F-180 (declareFigures) → T
3. MK-CF-F-076 (guaranteedOutsideStreams) → GuaranteedStream[]
4. MK-ST-F-039 (on) → ()
5. MK-PL-F-050 (simulate) → NOT DECLARED — the code does not say what it gives back
6. MK-PL-F-001 (taxBucketSplit) → BucketSplit
7. MK-PL-F-067 (willItLastInputs) → RetirementInputs | null
8. MK-PL-F-004 (withdrawalOrder) → OrderStep[]</t>
        </is>
      </c>
      <c r="P60" s="3" t="inlineStr">
        <is>
          <t>Declared by MK-CF-O-017 futurePaycheck</t>
        </is>
      </c>
      <c r="Q60" s="3" t="inlineStr">
        <is>
          <t>IN TODAY’S DOLLARS (decided 2026-10-03, the master’s old Q30): the draw keeps its buying power — the figure shown is what it buys today, and the dollars paid rise with inflation each year. It is what the simulation behind the odds already charges, so the draw shown and the odds beside it are the same plan. To reverse: hold the dollars flat instead, and the odds must be re-run that way.</t>
        </is>
      </c>
      <c r="R60" s="3" t="inlineStr">
        <is>
          <t>IN TODAY’S DOLLARS (decided 2026-10-03, the master’s old Q30): the draw keeps its buying power — the figure shown is what it buys today, and the dollars paid rise with inflation each year. It is what the simulation behind the odds already charges, so the draw shown and the odds beside it are the same plan. To reverse: hold the dollars flat instead, and the odds must be re-run that way.</t>
        </is>
      </c>
      <c r="S60" s="3" t="inlineStr"/>
      <c r="T60" s="3" t="inlineStr">
        <is>
          <t>IN TODAY’S DOLLARS (decided 2026-10-03, the master’s old Q30): the draw keeps its buying power — the figure shown is what it buys today, and the dollars paid rise with inflation each year. It is what the simulation behind the odds already charges, so the draw shown and the odds beside it are the same plan. To reverse: hold the dollars flat instead, and the odds must be re-run that way.</t>
        </is>
      </c>
      <c r="U60" s="3" t="inlineStr"/>
      <c r="V60" s="3" t="inlineStr"/>
      <c r="W60" s="3" t="inlineStr"/>
      <c r="X60" s="3" t="inlineStr"/>
      <c r="Y60" s="3" t="inlineStr"/>
      <c r="Z60" s="3" t="inlineStr">
        <is>
          <t>DECLARED IN THE CODE (rule 11) — printed from the door, not typed. RULED 2026-10-02</t>
        </is>
      </c>
      <c r="AA60" s="3" t="inlineStr"/>
      <c r="AB60" s="3" t="inlineStr"/>
      <c r="AC60" s="3" t="inlineStr"/>
      <c r="AD60" s="3" t="inlineStr"/>
      <c r="AE60" s="3" t="inlineStr"/>
      <c r="AF60" s="3" t="inlineStr">
        <is>
          <t>ACTIVE</t>
        </is>
      </c>
      <c r="AG60" s="3" t="inlineStr">
        <is>
          <t>2026-10-04</t>
        </is>
      </c>
      <c r="AH60" s="3" t="inlineStr"/>
      <c r="AI60" s="3" t="inlineStr"/>
      <c r="AJ60" s="3" t="inlineStr">
        <is>
          <t>1. MK-XS-I-001 account balance — read by MK-CF-O-017, MK-NW-F-031, MK-NW-F-032, MK-NW-F-056, MK-NW-F-078, MK-NW-O-001, MK
2. MK-XS-I-002 account type (taxable, pre-tax, Roth) — read by MK-CF-O-017, MK-NW-F-004, MK-NW-F-011, MK-NW-F-035, MK-NW-F-037, MK-NW-O-001, MK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MK-XS-F-004
11. MK-XS-I-015 debt interest rate — read by MK-CF-F-157, MK-CF-O-010
12. MK-XS-I-016 debt minimum payment — read by MK-CF-F-023, MK-CF-F-157, MK-CF-O-010
13. MK-XS-I-017 birth year — read by MK-CF-F-089, MK-CF-F-197, MK-CF-O-017, MK-PL-F-057, MK-PL-F-058, MK-PL-F-060, MK
14. MK-XS-I-018 retirement age — read by MK-CF-F-106, MK-CF-O-017, MK-PL-F-049, MK-PL-F-050, MK-PL-F-067
15. MK-XS-I-019 monthly expenses in retirement — read by MK-PL-F-049
16. MK-XS-I-020 Social Security monthly amount — read by MK-CF-F-072, MK-CF-F-075, MK-CF-F-076, MK-PL-F-060, MK-PL-F-067
17. MK-XS-I-021 Social Security claim age — read by MK-PL-F-058, MK-PL-F-060, MK-PL-F-067
18. MK-XS-I-022 pension monthly amount — read by MK-CF-F-072, MK-CF-F-075, MK-CF-F-076, MK-CF-O-017, MK-PL-F-049
19. MK-XS-I-023 salary and other income — read by MK-CF-F-074, MK-CF-F-082, MK-CF-F-083, MK-CF-F-084, MK-CF-F-088, MK-CF-F-092, MK
20. MK-XS-I-024 logged expenses — read by MK-CF-F-005, MK-CF-F-067, MK-CF-F-068, MK-CF-F-107, MK-CF-F-150, MK-CF-F-151, MK
21. MK-XS-I-026 big costs (amount and year) — read by MK-CF-O-017, MK-PL-F-065, MK-PL-F-067, MK-XS-F-004
22. MK-XS-I-027 goals (target, saved, date) — read by MK-CF-F-204, MK-PL-F-012
23. MK-XS-I-028 assumed return — read by MK-CF-F-106, MK-CF-O-017, MK-NW-O-001, MK-PL-F-049, MK-PL-F-050, MK-PL-F-067
24. MK-XS-I-029 inflation rate — read by MK-CF-F-106, MK-CF-O-017, MK-PL-F-004, MK-PL-F-049, MK-PL-F-050, MK-PL-F-065, MK
25. MK-XS-I-030 tax filing status and age — read by MK-CF-F-085, MK-CF-F-089, MK-CF-F-099, MK-CF-F-100, MK-CF-F-101, MK-CF-F-102, MK
26. MK-XS-I-031 daily and monthly snapshots — read by MK-ST-F-036
27. MK-XS-I-032 expenses categories the person set up — read by MK-CF-F-004, MK-CF-F-008, MK-XS-F-004
28. MK-XS-I-034 option positions — contracts, strike, expiry, put or call — read by MK-CF-F-062
29. MK-XS-I-035 annuity income — read by MK-CF-F-072, MK-CF-F-075, MK-CF-F-076, MK-CF-O-017, MK-NW-F-035, MK-PL-F-049
30. MK-XS-I-036 other guaranteed income — read by MK-CF-F-072, MK-CF-F-075, MK-CF-F-076, MK-PL-F-049, MK-PL-F-050, MK-PL-F-067
31. MK-XS-I-037 required-withdrawal income stream (ri_rmd) — read by MK-CF-F-075
32. MK-XS-I-038 withdrawal income stream (ri_withdrawals) — read by MK-CF-F-075
33. MK-XS-I-039 how often each income arrives — read by MK-CF-F-071, MK-CF-F-072, MK-CF-F-074, MK-CF-F-075, MK-CF-F-076, MK-CF-F-105, MK
34. MK-XS-I-040 whether a stream is already being received — read by MK-CF-F-072, MK-CF-F-105, MK-CF-O-017
35. MK-XS-I-041 the payment the person chose to make on a debt — read by MK-CF-F-023
36. MK-XS-I-042 how a stream is paid — monthly, yearly or one lump — read by MK-CF-F-021, MK-CF-F-022, MK-CF-F-023, MK-CF-F-149, MK-CF-F-150, MK-CF-F-152, MK
37. MK-XS-I-043 their own retirement contribution — read by MK-CF-F-092, MK-CF-F-106, MK-CF-F-178, MK-CF-F-181, MK-CF-F-206, MK-NW-F-041, MK
38. MK-XS-I-044 the person’s own plan overrides — read by MK-CF-O-017, MK-PL-F-049, MK-PL-F-065, MK-PL-F-067
39. MK-XS-I-045 where they will live in retirement — read by MK-PL-F-049
40. MK-XS-I-046 how the employer match is expressed — percent or dollars — read by MK-CF-F-178
41. MK-XS-I-047 money to leave behind — read by MK-PL-F-067
42. MK-XS-I-048 the person’s own asset-class answer — read by MK-NW-F-011, MK-ST-F-027
43. MK-XS-I-049 bond price — what the bond is worth today — read by MK-NW-F-056, MK-NW-F-057, MK-NW-F-059, MK-NW-F-060, MK-NW-F-061, MK-NW-F-064, MK
44. MK-XS-I-050 the share of an account earmarked for retirement — read by MK-CF-O-017, MK-NW-F-032
45. MK-XS-I-051 what an account actually returned over the last twelve months — read by MK-NW-F-004
46. MK-XS-I-052 the day of the month a debt payment is due — read by MK-CF-F-005, MK-XS-F-004
47. MK-XS-I-053 the month a debt is first paid — read by MK-XS-F-004
48. MK-XS-I-054 the date a debt is due to be paid off in full — read by MK-XS-F-004
49. MK-XS-I-055 the wrapper an account sits in — ISA, 401(k), IRA and the rest — read by MK-CF-F-005, MK-CF-F-075, MK-CF-F-076, MK-CF-F-107, MK-CF-F-156, MK-NW-F-011, MK
50. MK-XS-I-059 the month a bonus lands — read by MK-CF-F-088, MK-CF-F-092, MK-XS-F-004
51. MK-XS-I-060 how a person is paid — weekly, fortnightly, monthly — read by MK-CF-F-130
52. MK-XS-I-064 the unit beside a quantity — shares, coins, contracts, ounces or units — read by MK-CF-F-003, MK-CF-F-008, MK-CF-F-204, MK-CF-O-017, MK-NW-F-078, MK-XS-F-004
53.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0" s="3" t="inlineStr">
        <is>
          <t>(the claim now stands in 'Inputs it needs' until the row is approved)</t>
        </is>
      </c>
      <c r="AL60" s="3" t="inlineStr"/>
      <c r="AM60" s="3" t="inlineStr">
        <is>
          <t>TESTED, NOT VERIFIED — you ruled on this row 2026-10-02; the figure, its formula, inputs and refusal live in MK-CF-O-017 futurePaycheck</t>
        </is>
      </c>
      <c r="AN60" s="3" t="inlineStr">
        <is>
          <t>Born in 1981, retiring at 67, with $200,000 in a 401(k) earning 6% and $2,000/month of Social Security from 67.
GIVES: $2,345/month
(the test re-runs this through MK-CF-O-017 futurePaycheck on every build)</t>
        </is>
      </c>
      <c r="AO60" s="3" t="inlineStr">
        <is>
          <t>NOTHING OPEN</t>
        </is>
      </c>
    </row>
    <row r="61" ht="60" customHeight="1">
      <c r="A61" s="3" t="inlineStr">
        <is>
          <t>MK-CF-M-056</t>
        </is>
      </c>
      <c r="B61" s="3" t="inlineStr">
        <is>
          <t>Cashflow</t>
        </is>
      </c>
      <c r="C61" s="3" t="inlineStr">
        <is>
          <t>/cashflow</t>
        </is>
      </c>
      <c r="D61" s="3" t="inlineStr">
        <is>
          <t>left of your budget</t>
        </is>
      </c>
      <c r="E61" s="3" t="inlineStr">
        <is>
          <t>left_of_your_budget</t>
        </is>
      </c>
      <c r="F61" s="3" t="inlineStr">
        <is>
          <t>theMonth</t>
        </is>
      </c>
      <c r="G61" s="3" t="inlineStr">
        <is>
          <t>MK-CF-O-010</t>
        </is>
      </c>
      <c r="H61" s="3" t="inlineStr">
        <is>
          <t>the budget (MK-CF-M-001) − spent so far (MK-CF-M-013); below zero it reads as over</t>
        </is>
      </c>
      <c r="I61" s="3" t="inlineStr">
        <is>
          <t>the budget (MK-CF-M-001) − spent so far (MK-CF-M-013); below zero it reads as over</t>
        </is>
      </c>
      <c r="J61" s="3" t="inlineStr">
        <is>
          <t>MK-CF-I-012 planned expenses
MK-CF-I-001 your logged expenses</t>
        </is>
      </c>
      <c r="K61" s="3" t="inlineStr">
        <is>
          <t>dollars, whole</t>
        </is>
      </c>
      <c r="L61" s="3" t="inlineStr">
        <is>
          <t>No budget set — nothing to be left of.</t>
        </is>
      </c>
      <c r="M61" s="3" t="inlineStr">
        <is>
          <t>one figure per household</t>
        </is>
      </c>
      <c r="N61" s="3" t="inlineStr">
        <is>
          <t>as of today</t>
        </is>
      </c>
      <c r="O61" s="3" t="inlineStr">
        <is>
          <t>1. MK-CF-F-203 (MONTH) → NOT DECLARED — the code does not say what it gives back
2. MK-CF-F-155 (cash) → number
3. MK-CF-O-002 (expenses) → Expenses
4. MK-CF-O-003 (thisMonth) → ThisMonth</t>
        </is>
      </c>
      <c r="P61" s="3" t="inlineStr">
        <is>
          <t>Declared by MK-CF-O-010 theMonth</t>
        </is>
      </c>
      <c r="Q61" s="3" t="inlineStr">
        <is>
          <t>NONE RECORDED — the declaration names none.</t>
        </is>
      </c>
      <c r="R61" s="3" t="inlineStr">
        <is>
          <t>NONE RECORDED — the declaration names none.</t>
        </is>
      </c>
      <c r="S61" s="3" t="inlineStr"/>
      <c r="T61" s="3" t="inlineStr">
        <is>
          <t>NONE RECORDED — the declaration names none.</t>
        </is>
      </c>
      <c r="U61" s="3" t="inlineStr"/>
      <c r="V61" s="3" t="inlineStr"/>
      <c r="W61" s="3" t="inlineStr"/>
      <c r="X61" s="3" t="inlineStr"/>
      <c r="Y61" s="3" t="inlineStr"/>
      <c r="Z61" s="3" t="inlineStr">
        <is>
          <t>DECLARED IN THE CODE (rule 11) — printed from the door, not typed. RULED 2026-10-02</t>
        </is>
      </c>
      <c r="AA61" s="3" t="inlineStr"/>
      <c r="AB61" s="3" t="inlineStr"/>
      <c r="AC61" s="3" t="inlineStr"/>
      <c r="AD61" s="3" t="inlineStr"/>
      <c r="AE61" s="3" t="inlineStr"/>
      <c r="AF61" s="3" t="inlineStr">
        <is>
          <t>ACTIVE</t>
        </is>
      </c>
      <c r="AG61" s="3" t="inlineStr">
        <is>
          <t>2026-10-04</t>
        </is>
      </c>
      <c r="AH61" s="3" t="inlineStr"/>
      <c r="AI61" s="3" t="inlineStr"/>
      <c r="AJ61"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1" s="3" t="inlineStr">
        <is>
          <t>(the claim now stands in 'Inputs it needs' until the row is approved)</t>
        </is>
      </c>
      <c r="AL61" s="3" t="inlineStr"/>
      <c r="AM61" s="3" t="inlineStr">
        <is>
          <t>TESTED, NOT VERIFIED — you ruled on this row 2026-10-02; the figure, its formula, inputs and refusal live in MK-CF-O-010 theMonth</t>
        </is>
      </c>
      <c r="AN61" s="3" t="inlineStr">
        <is>
          <t>September 2026: $7,200 take-home; a $2,400 mortgage and a $250 car loan due; a $3,400 budget ($2,300 rent, $700 groceries, $400 eating out). Logged so far: $2,300 rent, $512 groceries, $186 eating out, and the $250 car loan paid. The Plan already promises $300/month to the emergency fund.
GIVES: $402
(the test re-runs this through MK-CF-O-010 theMonth on every build)</t>
        </is>
      </c>
      <c r="AO61" s="3" t="inlineStr">
        <is>
          <t>NOTHING OPEN</t>
        </is>
      </c>
    </row>
    <row r="62" ht="60" customHeight="1">
      <c r="A62" s="3" t="inlineStr">
        <is>
          <t>MK-CF-M-057</t>
        </is>
      </c>
      <c r="B62" s="3" t="inlineStr">
        <is>
          <t>Cashflow</t>
        </is>
      </c>
      <c r="C62" s="3" t="inlineStr">
        <is>
          <t>/cashflow</t>
        </is>
      </c>
      <c r="D62" s="3" t="inlineStr">
        <is>
          <t>/month interest</t>
        </is>
      </c>
      <c r="E62" s="3" t="inlineStr">
        <is>
          <t>month_interest</t>
        </is>
      </c>
      <c r="F62" s="3" t="inlineStr">
        <is>
          <t>theDebts</t>
        </is>
      </c>
      <c r="G62" s="3" t="inlineStr">
        <is>
          <t>MK-CF-O-018</t>
        </is>
      </c>
      <c r="H62" s="3" t="inlineStr">
        <is>
          <t>Σ balance × yearly rate ÷ 12, over every debt still owed</t>
        </is>
      </c>
      <c r="I62" s="3" t="inlineStr">
        <is>
          <t>Σ balance × yearly rate ÷ 12, over every debt still owed</t>
        </is>
      </c>
      <c r="J62" s="3" t="inlineStr">
        <is>
          <t>MK-XS-I-014 debt balance
MK-XS-I-015 debt interest rate</t>
        </is>
      </c>
      <c r="K62" s="3" t="inlineStr">
        <is>
          <t>dollars, whole a month</t>
        </is>
      </c>
      <c r="L62" s="3" t="inlineStr">
        <is>
          <t>No debts — $0.</t>
        </is>
      </c>
      <c r="M62" s="3" t="inlineStr">
        <is>
          <t>one figure per household</t>
        </is>
      </c>
      <c r="N62" s="3" t="inlineStr">
        <is>
          <t>a month</t>
        </is>
      </c>
      <c r="O62" s="3" t="inlineStr">
        <is>
          <t>1. MK-CF-F-025 (minimumDebtService) → number
2. MK-CF-F-034 (payoffPlan) → PayoffResult
3. MK-CF-F-024 (totalDebtMonthly) → number</t>
        </is>
      </c>
      <c r="P62" s="3" t="inlineStr">
        <is>
          <t>Declared by MK-CF-O-018 theDebts</t>
        </is>
      </c>
      <c r="Q62" s="3" t="inlineStr">
        <is>
          <t>NONE RECORDED — the declaration names none.</t>
        </is>
      </c>
      <c r="R62" s="3" t="inlineStr">
        <is>
          <t>NONE RECORDED — the declaration names none.</t>
        </is>
      </c>
      <c r="S62" s="3" t="inlineStr"/>
      <c r="T62" s="3" t="inlineStr">
        <is>
          <t>NONE RECORDED — the declaration names none.</t>
        </is>
      </c>
      <c r="U62" s="3" t="inlineStr"/>
      <c r="V62" s="3" t="inlineStr"/>
      <c r="W62" s="3" t="inlineStr"/>
      <c r="X62" s="3" t="inlineStr"/>
      <c r="Y62" s="3" t="inlineStr"/>
      <c r="Z62" s="3" t="inlineStr">
        <is>
          <t>DECLARED IN THE CODE (rule 11) — printed from the door, not typed. RULED 2026-10-02</t>
        </is>
      </c>
      <c r="AA62" s="3" t="inlineStr"/>
      <c r="AB62" s="3" t="inlineStr"/>
      <c r="AC62" s="3" t="inlineStr"/>
      <c r="AD62" s="3" t="inlineStr"/>
      <c r="AE62" s="3" t="inlineStr"/>
      <c r="AF62" s="3" t="inlineStr">
        <is>
          <t>ACTIVE</t>
        </is>
      </c>
      <c r="AG62" s="3" t="inlineStr">
        <is>
          <t>2026-10-04</t>
        </is>
      </c>
      <c r="AH62" s="3" t="inlineStr"/>
      <c r="AI62" s="3" t="inlineStr"/>
      <c r="AJ62"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2" s="3" t="inlineStr">
        <is>
          <t>(the claim now stands in 'Inputs it needs' until the row is approved)</t>
        </is>
      </c>
      <c r="AL62" s="3" t="inlineStr"/>
      <c r="AM62" s="3" t="inlineStr">
        <is>
          <t>TESTED, NOT VERIFIED — you ruled on this row 2026-10-02; the figure, its formula, inputs and refusal live in MK-CF-O-018 theDebts</t>
        </is>
      </c>
      <c r="AN62" s="3" t="inlineStr">
        <is>
          <t>A $9,000 card at 24% with a $200 minimum and a $14,000 car loan at 6.9% with a $250 minimum, nothing extra paid.
GIVES: $261/month
(the test re-runs this through MK-CF-O-018 theDebts on every build)</t>
        </is>
      </c>
      <c r="AO62" s="3" t="inlineStr">
        <is>
          <t>NOTHING OPEN</t>
        </is>
      </c>
    </row>
    <row r="63" ht="60" customHeight="1">
      <c r="A63" s="3" t="inlineStr">
        <is>
          <t>MK-CF-M-058</t>
        </is>
      </c>
      <c r="B63" s="3" t="inlineStr">
        <is>
          <t>Cashflow</t>
        </is>
      </c>
      <c r="C63" s="3" t="inlineStr">
        <is>
          <t>/cashflow</t>
        </is>
      </c>
      <c r="D63" s="3" t="inlineStr">
        <is>
          <t>debt-free</t>
        </is>
      </c>
      <c r="E63" s="3" t="inlineStr">
        <is>
          <t>debtfree</t>
        </is>
      </c>
      <c r="F63" s="3" t="inlineStr">
        <is>
          <t>theDebts</t>
        </is>
      </c>
      <c r="G63" s="3" t="inlineStr">
        <is>
          <t>MK-CF-O-018</t>
        </is>
      </c>
      <c r="H63" s="3" t="inlineStr">
        <is>
          <t>the payoff plan: each month pay every minimum, put the extra on the costliest debt, roll a cleared debt’s payment onto the next</t>
        </is>
      </c>
      <c r="I63" s="3" t="inlineStr">
        <is>
          <t>the payoff plan: each month pay every minimum, put the extra on the costliest debt, roll a cleared debt’s payment onto the next</t>
        </is>
      </c>
      <c r="J63" s="3" t="inlineStr">
        <is>
          <t>MK-XS-I-014 debt balance
MK-XS-I-015 debt interest rate
MK-XS-I-016 debt minimum payment</t>
        </is>
      </c>
      <c r="K63" s="3" t="inlineStr">
        <is>
          <t>a count</t>
        </is>
      </c>
      <c r="L63" s="3" t="inlineStr">
        <is>
          <t>The payments cannot cover the interest — the screen says never, not a number.</t>
        </is>
      </c>
      <c r="M63" s="3" t="inlineStr">
        <is>
          <t>one figure per household</t>
        </is>
      </c>
      <c r="N63" s="3" t="inlineStr">
        <is>
          <t>as of today</t>
        </is>
      </c>
      <c r="O63" s="3" t="inlineStr">
        <is>
          <t>1. MK-CF-F-025 (minimumDebtService) → number
2. MK-CF-F-034 (payoffPlan) → PayoffResult
3. MK-CF-F-024 (totalDebtMonthly) → number</t>
        </is>
      </c>
      <c r="P63" s="3" t="inlineStr">
        <is>
          <t>Declared by MK-CF-O-018 theDebts</t>
        </is>
      </c>
      <c r="Q63" s="3" t="inlineStr">
        <is>
          <t>NONE RECORDED — the declaration names none.</t>
        </is>
      </c>
      <c r="R63" s="3" t="inlineStr">
        <is>
          <t>NONE RECORDED — the declaration names none.</t>
        </is>
      </c>
      <c r="S63" s="3" t="inlineStr"/>
      <c r="T63" s="3" t="inlineStr">
        <is>
          <t>NONE RECORDED — the declaration names none.</t>
        </is>
      </c>
      <c r="U63" s="3" t="inlineStr"/>
      <c r="V63" s="3" t="inlineStr"/>
      <c r="W63" s="3" t="inlineStr"/>
      <c r="X63" s="3" t="inlineStr"/>
      <c r="Y63" s="3" t="inlineStr"/>
      <c r="Z63" s="3" t="inlineStr">
        <is>
          <t>DECLARED IN THE CODE (rule 11) — printed from the door, not typed. RULED 2026-10-02</t>
        </is>
      </c>
      <c r="AA63" s="3" t="inlineStr"/>
      <c r="AB63" s="3" t="inlineStr"/>
      <c r="AC63" s="3" t="inlineStr"/>
      <c r="AD63" s="3" t="inlineStr"/>
      <c r="AE63" s="3" t="inlineStr"/>
      <c r="AF63" s="3" t="inlineStr">
        <is>
          <t>ACTIVE</t>
        </is>
      </c>
      <c r="AG63" s="3" t="inlineStr">
        <is>
          <t>2026-10-04</t>
        </is>
      </c>
      <c r="AH63" s="3" t="inlineStr"/>
      <c r="AI63" s="3" t="inlineStr"/>
      <c r="AJ6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3" s="3" t="inlineStr">
        <is>
          <t>(the claim now stands in 'Inputs it needs' until the row is approved)</t>
        </is>
      </c>
      <c r="AL63" s="3" t="inlineStr"/>
      <c r="AM63" s="3" t="inlineStr">
        <is>
          <t>TESTED, NOT VERIFIED — you ruled on this row 2026-10-02; the figure, its formula, inputs and refusal live in MK-CF-O-018 theDebts</t>
        </is>
      </c>
      <c r="AN63" s="3" t="inlineStr">
        <is>
          <t>A $9,000 card at 24% with a $200 minimum and a $14,000 car loan at 6.9% with a $250 minimum, nothing extra paid.
GIVES: 84
(the test re-runs this through MK-CF-O-018 theDebts on every build)</t>
        </is>
      </c>
      <c r="AO63" s="3" t="inlineStr">
        <is>
          <t>NOTHING OPEN</t>
        </is>
      </c>
    </row>
    <row r="64" ht="60" customHeight="1">
      <c r="A64" s="3" t="inlineStr">
        <is>
          <t>MK-CF-M-059</t>
        </is>
      </c>
      <c r="B64" s="3" t="inlineStr">
        <is>
          <t>Cashflow</t>
        </is>
      </c>
      <c r="C64" s="3" t="inlineStr">
        <is>
          <t>/cashflow</t>
        </is>
      </c>
      <c r="D64" s="3" t="inlineStr">
        <is>
          <t>total interest</t>
        </is>
      </c>
      <c r="E64" s="3" t="inlineStr">
        <is>
          <t>total_interest</t>
        </is>
      </c>
      <c r="F64" s="3" t="inlineStr">
        <is>
          <t>theDebts</t>
        </is>
      </c>
      <c r="G64" s="3" t="inlineStr">
        <is>
          <t>MK-CF-O-018</t>
        </is>
      </c>
      <c r="H64" s="3" t="inlineStr">
        <is>
          <t>the interest paid month by month over the payoff plan, added up</t>
        </is>
      </c>
      <c r="I64" s="3" t="inlineStr">
        <is>
          <t>the interest paid month by month over the payoff plan, added up</t>
        </is>
      </c>
      <c r="J64" s="3" t="inlineStr">
        <is>
          <t>MK-XS-I-014 debt balance
MK-XS-I-015 debt interest rate
MK-XS-I-016 debt minimum payment</t>
        </is>
      </c>
      <c r="K64" s="3" t="inlineStr">
        <is>
          <t>dollars, whole</t>
        </is>
      </c>
      <c r="L64" s="3" t="inlineStr">
        <is>
          <t>The payments cannot cover the interest — the screen says never, not a number.</t>
        </is>
      </c>
      <c r="M64" s="3" t="inlineStr">
        <is>
          <t>one figure per household</t>
        </is>
      </c>
      <c r="N64" s="3" t="inlineStr">
        <is>
          <t>as of today</t>
        </is>
      </c>
      <c r="O64" s="3" t="inlineStr">
        <is>
          <t>1. MK-CF-F-025 (minimumDebtService) → number
2. MK-CF-F-034 (payoffPlan) → PayoffResult
3. MK-CF-F-024 (totalDebtMonthly) → number</t>
        </is>
      </c>
      <c r="P64" s="3" t="inlineStr">
        <is>
          <t>Declared by MK-CF-O-018 theDebts</t>
        </is>
      </c>
      <c r="Q64" s="3" t="inlineStr">
        <is>
          <t>NONE RECORDED — the declaration names none.</t>
        </is>
      </c>
      <c r="R64" s="3" t="inlineStr">
        <is>
          <t>NONE RECORDED — the declaration names none.</t>
        </is>
      </c>
      <c r="S64" s="3" t="inlineStr"/>
      <c r="T64" s="3" t="inlineStr">
        <is>
          <t>NONE RECORDED — the declaration names none.</t>
        </is>
      </c>
      <c r="U64" s="3" t="inlineStr"/>
      <c r="V64" s="3" t="inlineStr"/>
      <c r="W64" s="3" t="inlineStr"/>
      <c r="X64" s="3" t="inlineStr"/>
      <c r="Y64" s="3" t="inlineStr"/>
      <c r="Z64" s="3" t="inlineStr">
        <is>
          <t>DECLARED IN THE CODE (rule 11) — printed from the door, not typed. RULED 2026-10-02</t>
        </is>
      </c>
      <c r="AA64" s="3" t="inlineStr"/>
      <c r="AB64" s="3" t="inlineStr"/>
      <c r="AC64" s="3" t="inlineStr"/>
      <c r="AD64" s="3" t="inlineStr"/>
      <c r="AE64" s="3" t="inlineStr"/>
      <c r="AF64" s="3" t="inlineStr">
        <is>
          <t>ACTIVE</t>
        </is>
      </c>
      <c r="AG64" s="3" t="inlineStr">
        <is>
          <t>2026-10-04</t>
        </is>
      </c>
      <c r="AH64" s="3" t="inlineStr"/>
      <c r="AI64" s="3" t="inlineStr"/>
      <c r="AJ6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4" s="3" t="inlineStr">
        <is>
          <t>(the claim now stands in 'Inputs it needs' until the row is approved)</t>
        </is>
      </c>
      <c r="AL64" s="3" t="inlineStr"/>
      <c r="AM64" s="3" t="inlineStr">
        <is>
          <t>TESTED, NOT VERIFIED — you ruled on this row 2026-10-02; the figure, its formula, inputs and refusal live in MK-CF-O-018 theDebts</t>
        </is>
      </c>
      <c r="AN64" s="3" t="inlineStr">
        <is>
          <t>A $9,000 card at 24% with a $200 minimum and a $14,000 car loan at 6.9% with a $250 minimum, nothing extra paid.
GIVES: $14,787
(the test re-runs this through MK-CF-O-018 theDebts on every build)</t>
        </is>
      </c>
      <c r="AO64" s="3" t="inlineStr">
        <is>
          <t>NOTHING OPEN</t>
        </is>
      </c>
    </row>
    <row r="65" ht="60" customHeight="1">
      <c r="A65" s="3" t="inlineStr">
        <is>
          <t>MK-CF-M-060</t>
        </is>
      </c>
      <c r="B65" s="3" t="inlineStr">
        <is>
          <t>Cashflow</t>
        </is>
      </c>
      <c r="C65" s="3" t="inlineStr">
        <is>
          <t>/bill-calendar</t>
        </is>
      </c>
      <c r="D65" s="3" t="inlineStr">
        <is>
          <t>Lowest point</t>
        </is>
      </c>
      <c r="E65" s="3" t="inlineStr">
        <is>
          <t>lowest_point</t>
        </is>
      </c>
      <c r="F65" s="3" t="inlineStr">
        <is>
          <t>whatsComing</t>
        </is>
      </c>
      <c r="G65" s="3" t="inlineStr">
        <is>
          <t>MK-CF-O-008</t>
        </is>
      </c>
      <c r="H65" s="3" t="inlineStr">
        <is>
          <t>the smallest running balance across the twelve month-ends, starting from the balance you gave</t>
        </is>
      </c>
      <c r="I65" s="3" t="inlineStr">
        <is>
          <t>the smallest running balance across the twelve month-ends, starting from the balance you gave</t>
        </is>
      </c>
      <c r="J65" s="3" t="inlineStr">
        <is>
          <t>MK-NW-I-001 your accounts
MK-CF-I-002 your bills
MK-XS-I-023 salary and other income</t>
        </is>
      </c>
      <c r="K65" s="3" t="inlineStr">
        <is>
          <t>dollars, whole</t>
        </is>
      </c>
      <c r="L65" s="3" t="inlineStr">
        <is>
          <t>No starting balance — the table starts from $0 and says so.</t>
        </is>
      </c>
      <c r="M65" s="3" t="inlineStr">
        <is>
          <t>one figure per household</t>
        </is>
      </c>
      <c r="N65" s="3" t="inlineStr">
        <is>
          <t>as of today</t>
        </is>
      </c>
      <c r="O65" s="3" t="inlineStr">
        <is>
          <t>MK-CF-F-019 (upcomingBills) → NOT DECLARED — the code does not say what it gives back</t>
        </is>
      </c>
      <c r="P65" s="3" t="inlineStr">
        <is>
          <t>Declared by MK-CF-O-008 whatsComing</t>
        </is>
      </c>
      <c r="Q65" s="3" t="inlineStr">
        <is>
          <t>NONE RECORDED — the declaration names none.</t>
        </is>
      </c>
      <c r="R65" s="3" t="inlineStr">
        <is>
          <t>NONE RECORDED — the declaration names none.</t>
        </is>
      </c>
      <c r="S65" s="3" t="inlineStr"/>
      <c r="T65" s="3" t="inlineStr">
        <is>
          <t>NONE RECORDED — the declaration names none.</t>
        </is>
      </c>
      <c r="U65" s="3" t="inlineStr"/>
      <c r="V65" s="3" t="inlineStr"/>
      <c r="W65" s="3" t="inlineStr"/>
      <c r="X65" s="3" t="inlineStr"/>
      <c r="Y65" s="3" t="inlineStr"/>
      <c r="Z65" s="3" t="inlineStr">
        <is>
          <t>DECLARED IN THE CODE (rule 11) — printed from the door, not typed. RULED 2026-10-02</t>
        </is>
      </c>
      <c r="AA65" s="3" t="inlineStr"/>
      <c r="AB65" s="3" t="inlineStr"/>
      <c r="AC65" s="3" t="inlineStr"/>
      <c r="AD65" s="3" t="inlineStr"/>
      <c r="AE65" s="3" t="inlineStr"/>
      <c r="AF65" s="3" t="inlineStr">
        <is>
          <t>ACTIVE</t>
        </is>
      </c>
      <c r="AG65" s="3" t="inlineStr">
        <is>
          <t>2026-10-04</t>
        </is>
      </c>
      <c r="AH65" s="3" t="inlineStr"/>
      <c r="AI65" s="3" t="inlineStr"/>
      <c r="AJ65"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5" s="3" t="inlineStr">
        <is>
          <t>(the claim now stands in 'Inputs it needs' until the row is approved)</t>
        </is>
      </c>
      <c r="AL65" s="3" t="inlineStr"/>
      <c r="AM65" s="3" t="inlineStr">
        <is>
          <t>TESTED, NOT VERIFIED — you ruled on this row 2026-10-02; the figure, its formula, inputs and refusal live in MK-CF-O-008 whatsComing</t>
        </is>
      </c>
      <c r="AN65" s="3" t="inlineStr">
        <is>
          <t>On 28 Sep 2026, with $8,000 in the account: car insurance of $1,400 due 15 Oct and property tax of $4,800 due 1 Nov. Nothing else is dated.
GIVES: $1,800
(the test re-runs this through MK-CF-O-008 whatsComing on every build)</t>
        </is>
      </c>
      <c r="AO65" s="3" t="inlineStr">
        <is>
          <t>NOTHING OPEN</t>
        </is>
      </c>
    </row>
    <row r="66" ht="60" customHeight="1">
      <c r="A66" s="3" t="inlineStr">
        <is>
          <t>MK-CF-M-061</t>
        </is>
      </c>
      <c r="B66" s="3" t="inlineStr">
        <is>
          <t>Cashflow</t>
        </is>
      </c>
      <c r="C66" s="3" t="inlineStr">
        <is>
          <t>/bill-calendar</t>
        </is>
      </c>
      <c r="D66" s="3" t="inlineStr">
        <is>
          <t>END — where the month leaves you</t>
        </is>
      </c>
      <c r="E66" s="3" t="inlineStr">
        <is>
          <t>end__where_the_month_leaves_you</t>
        </is>
      </c>
      <c r="F66" s="3" t="inlineStr">
        <is>
          <t>whatsComing</t>
        </is>
      </c>
      <c r="G66" s="3" t="inlineStr">
        <is>
          <t>MK-CF-O-008</t>
        </is>
      </c>
      <c r="H66" s="3" t="inlineStr">
        <is>
          <t>running balance = last month’s end + inflow − outflow, month by month from the starting balance</t>
        </is>
      </c>
      <c r="I66" s="3" t="inlineStr">
        <is>
          <t>running balance = last month’s end + inflow − outflow, month by month from the starting balance</t>
        </is>
      </c>
      <c r="J66" s="3" t="inlineStr">
        <is>
          <t>MK-NW-I-001 your accounts
MK-CF-I-002 your bills
MK-XS-I-023 salary and other income</t>
        </is>
      </c>
      <c r="K66" s="3" t="inlineStr">
        <is>
          <t>dollars, whole</t>
        </is>
      </c>
      <c r="L66" s="3" t="inlineStr">
        <is>
          <t>No starting balance — the chain starts from $0 and says so.</t>
        </is>
      </c>
      <c r="M66" s="3" t="inlineStr">
        <is>
          <t>one month</t>
        </is>
      </c>
      <c r="N66" s="3" t="inlineStr">
        <is>
          <t>as of today</t>
        </is>
      </c>
      <c r="O66" s="3" t="inlineStr">
        <is>
          <t>MK-CF-F-019 (upcomingBills) → NOT DECLARED — the code does not say what it gives back</t>
        </is>
      </c>
      <c r="P66" s="3" t="inlineStr">
        <is>
          <t>Declared by MK-CF-O-008 whatsComing</t>
        </is>
      </c>
      <c r="Q66" s="3" t="inlineStr">
        <is>
          <t>NONE RECORDED — the declaration names none.</t>
        </is>
      </c>
      <c r="R66" s="3" t="inlineStr">
        <is>
          <t>NONE RECORDED — the declaration names none.</t>
        </is>
      </c>
      <c r="S66" s="3" t="inlineStr"/>
      <c r="T66" s="3" t="inlineStr">
        <is>
          <t>NONE RECORDED — the declaration names none.</t>
        </is>
      </c>
      <c r="U66" s="3" t="inlineStr"/>
      <c r="V66" s="3" t="inlineStr"/>
      <c r="W66" s="3" t="inlineStr"/>
      <c r="X66" s="3" t="inlineStr"/>
      <c r="Y66" s="3" t="inlineStr"/>
      <c r="Z66" s="3" t="inlineStr">
        <is>
          <t>DECLARED IN THE CODE (rule 11) — printed from the door, not typed. RULED 2026-10-02</t>
        </is>
      </c>
      <c r="AA66" s="3" t="inlineStr"/>
      <c r="AB66" s="3" t="inlineStr"/>
      <c r="AC66" s="3" t="inlineStr"/>
      <c r="AD66" s="3" t="inlineStr"/>
      <c r="AE66" s="3" t="inlineStr"/>
      <c r="AF66" s="3" t="inlineStr">
        <is>
          <t>ACTIVE</t>
        </is>
      </c>
      <c r="AG66" s="3" t="inlineStr">
        <is>
          <t>2026-10-04</t>
        </is>
      </c>
      <c r="AH66" s="3" t="inlineStr"/>
      <c r="AI66" s="3" t="inlineStr"/>
      <c r="AJ66"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6" s="3" t="inlineStr">
        <is>
          <t>(the claim now stands in 'Inputs it needs' until the row is approved)</t>
        </is>
      </c>
      <c r="AL66" s="3" t="inlineStr"/>
      <c r="AM66" s="3" t="inlineStr">
        <is>
          <t>TESTED, NOT VERIFIED — you ruled on this row 2026-10-02; the figure, its formula, inputs and refusal live in MK-CF-O-008 whatsComing</t>
        </is>
      </c>
      <c r="AN66" s="3" t="inlineStr">
        <is>
          <t>On 28 Sep 2026, with $8,000 in the account: car insurance of $1,400 due 15 Oct and property tax of $4,800 due 1 Nov. Nothing else is dated.
GIVES: $6,600
(the test re-runs this through MK-CF-O-008 whatsComing on every build)</t>
        </is>
      </c>
      <c r="AO66" s="3" t="inlineStr">
        <is>
          <t>NOTHING OPEN</t>
        </is>
      </c>
    </row>
    <row r="67" ht="60" customHeight="1">
      <c r="A67" s="3" t="inlineStr">
        <is>
          <t>MK-CF-M-062</t>
        </is>
      </c>
      <c r="B67" s="3" t="inlineStr">
        <is>
          <t>Cashflow</t>
        </is>
      </c>
      <c r="C67" s="3" t="inlineStr">
        <is>
          <t>/bill-calendar</t>
        </is>
      </c>
      <c r="D67" s="3" t="inlineStr">
        <is>
          <t>Short — set it aside by &lt;date&gt;</t>
        </is>
      </c>
      <c r="E67" s="3" t="inlineStr">
        <is>
          <t>short__set_it_aside_by_date</t>
        </is>
      </c>
      <c r="F67" s="3" t="inlineStr">
        <is>
          <t>whatsComing</t>
        </is>
      </c>
      <c r="G67" s="3" t="inlineStr">
        <is>
          <t>MK-CF-O-008</t>
        </is>
      </c>
      <c r="H67" s="3" t="inlineStr">
        <is>
          <t>the bill − what is projected to be in the account on its need-by date, when that is less</t>
        </is>
      </c>
      <c r="I67" s="3" t="inlineStr">
        <is>
          <t>the bill − what is projected to be in the account on its need-by date, when that is less</t>
        </is>
      </c>
      <c r="J67" s="3" t="inlineStr">
        <is>
          <t>MK-NW-I-001 your accounts
MK-CF-I-002 your bills</t>
        </is>
      </c>
      <c r="K67" s="3" t="inlineStr">
        <is>
          <t>dollars, whole</t>
        </is>
      </c>
      <c r="L67" s="3" t="inlineStr">
        <is>
          <t>Nothing short — the line reads Covered instead.</t>
        </is>
      </c>
      <c r="M67" s="3" t="inlineStr">
        <is>
          <t>one bill</t>
        </is>
      </c>
      <c r="N67" s="3" t="inlineStr">
        <is>
          <t>as of today</t>
        </is>
      </c>
      <c r="O67" s="3" t="inlineStr">
        <is>
          <t>MK-CF-F-019 (upcomingBills) → NOT DECLARED — the code does not say what it gives back</t>
        </is>
      </c>
      <c r="P67" s="3" t="inlineStr">
        <is>
          <t>Declared by MK-CF-O-008 whatsComing</t>
        </is>
      </c>
      <c r="Q67" s="3" t="inlineStr">
        <is>
          <t>NONE RECORDED — the declaration names none.</t>
        </is>
      </c>
      <c r="R67" s="3" t="inlineStr">
        <is>
          <t>NONE RECORDED — the declaration names none.</t>
        </is>
      </c>
      <c r="S67" s="3" t="inlineStr"/>
      <c r="T67" s="3" t="inlineStr">
        <is>
          <t>NONE RECORDED — the declaration names none.</t>
        </is>
      </c>
      <c r="U67" s="3" t="inlineStr"/>
      <c r="V67" s="3" t="inlineStr"/>
      <c r="W67" s="3" t="inlineStr"/>
      <c r="X67" s="3" t="inlineStr"/>
      <c r="Y67" s="3" t="inlineStr"/>
      <c r="Z67" s="3" t="inlineStr">
        <is>
          <t>DECLARED IN THE CODE (rule 11) — printed from the door, not typed. RULED 2026-10-02</t>
        </is>
      </c>
      <c r="AA67" s="3" t="inlineStr"/>
      <c r="AB67" s="3" t="inlineStr"/>
      <c r="AC67" s="3" t="inlineStr"/>
      <c r="AD67" s="3" t="inlineStr"/>
      <c r="AE67" s="3" t="inlineStr"/>
      <c r="AF67" s="3" t="inlineStr">
        <is>
          <t>ACTIVE</t>
        </is>
      </c>
      <c r="AG67" s="3" t="inlineStr">
        <is>
          <t>2026-10-04</t>
        </is>
      </c>
      <c r="AH67" s="3" t="inlineStr"/>
      <c r="AI67" s="3" t="inlineStr"/>
      <c r="AJ67"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7" s="3" t="inlineStr">
        <is>
          <t>(the claim now stands in 'Inputs it needs' until the row is approved)</t>
        </is>
      </c>
      <c r="AL67" s="3" t="inlineStr"/>
      <c r="AM67" s="3" t="inlineStr">
        <is>
          <t>TESTED, NOT VERIFIED — you ruled on this row 2026-10-02; the figure, its formula, inputs and refusal live in MK-CF-O-008 whatsComing</t>
        </is>
      </c>
      <c r="AN67" s="3" t="inlineStr">
        <is>
          <t>On 28 Sep 2026, with $8,000 in the account: car insurance of $1,400 due 15 Oct and property tax of $4,800 due 1 Nov. Nothing else is dated.
GIVES: $0
(the test re-runs this through MK-CF-O-008 whatsComing on every build)</t>
        </is>
      </c>
      <c r="AO67" s="3" t="inlineStr">
        <is>
          <t>NOTHING OPEN</t>
        </is>
      </c>
    </row>
    <row r="68" ht="60" customHeight="1">
      <c r="A68" s="3" t="inlineStr">
        <is>
          <t>MK-CF-M-063</t>
        </is>
      </c>
      <c r="B68" s="3" t="inlineStr">
        <is>
          <t>Cashflow</t>
        </is>
      </c>
      <c r="C68" s="3" t="inlineStr">
        <is>
          <t>/bill-calendar</t>
        </is>
      </c>
      <c r="D68" s="3" t="inlineStr">
        <is>
          <t>Covered — about $X there by &lt;date&gt;</t>
        </is>
      </c>
      <c r="E68" s="3" t="inlineStr">
        <is>
          <t>covered__about_x_there_by_date</t>
        </is>
      </c>
      <c r="F68" s="3" t="inlineStr">
        <is>
          <t>whatsComing</t>
        </is>
      </c>
      <c r="G68" s="3" t="inlineStr">
        <is>
          <t>MK-CF-O-008</t>
        </is>
      </c>
      <c r="H68" s="3" t="inlineStr">
        <is>
          <t>the starting balance, less every earlier dated bill, on the need-by date</t>
        </is>
      </c>
      <c r="I68" s="3" t="inlineStr">
        <is>
          <t>the starting balance, less every earlier dated bill, on the need-by date</t>
        </is>
      </c>
      <c r="J68" s="3" t="inlineStr">
        <is>
          <t>MK-NW-I-001 your accounts
MK-CF-I-002 your bills</t>
        </is>
      </c>
      <c r="K68" s="3" t="inlineStr">
        <is>
          <t>dollars, whole</t>
        </is>
      </c>
      <c r="L68" s="3" t="inlineStr">
        <is>
          <t>No balance to start from — nothing is projected.</t>
        </is>
      </c>
      <c r="M68" s="3" t="inlineStr">
        <is>
          <t>one bill</t>
        </is>
      </c>
      <c r="N68" s="3" t="inlineStr">
        <is>
          <t>as of today</t>
        </is>
      </c>
      <c r="O68" s="3" t="inlineStr">
        <is>
          <t>MK-CF-F-019 (upcomingBills) → NOT DECLARED — the code does not say what it gives back</t>
        </is>
      </c>
      <c r="P68" s="3" t="inlineStr">
        <is>
          <t>Declared by MK-CF-O-008 whatsComing</t>
        </is>
      </c>
      <c r="Q68" s="3" t="inlineStr">
        <is>
          <t>NONE RECORDED — the declaration names none.</t>
        </is>
      </c>
      <c r="R68" s="3" t="inlineStr">
        <is>
          <t>NONE RECORDED — the declaration names none.</t>
        </is>
      </c>
      <c r="S68" s="3" t="inlineStr"/>
      <c r="T68" s="3" t="inlineStr">
        <is>
          <t>NONE RECORDED — the declaration names none.</t>
        </is>
      </c>
      <c r="U68" s="3" t="inlineStr"/>
      <c r="V68" s="3" t="inlineStr"/>
      <c r="W68" s="3" t="inlineStr"/>
      <c r="X68" s="3" t="inlineStr"/>
      <c r="Y68" s="3" t="inlineStr"/>
      <c r="Z68" s="3" t="inlineStr">
        <is>
          <t>DECLARED IN THE CODE (rule 11) — printed from the door, not typed. RULED 2026-10-02</t>
        </is>
      </c>
      <c r="AA68" s="3" t="inlineStr"/>
      <c r="AB68" s="3" t="inlineStr"/>
      <c r="AC68" s="3" t="inlineStr"/>
      <c r="AD68" s="3" t="inlineStr"/>
      <c r="AE68" s="3" t="inlineStr"/>
      <c r="AF68" s="3" t="inlineStr">
        <is>
          <t>ACTIVE</t>
        </is>
      </c>
      <c r="AG68" s="3" t="inlineStr">
        <is>
          <t>2026-10-04</t>
        </is>
      </c>
      <c r="AH68" s="3" t="inlineStr"/>
      <c r="AI68" s="3" t="inlineStr"/>
      <c r="AJ68"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8" s="3" t="inlineStr">
        <is>
          <t>(the claim now stands in 'Inputs it needs' until the row is approved)</t>
        </is>
      </c>
      <c r="AL68" s="3" t="inlineStr"/>
      <c r="AM68" s="3" t="inlineStr">
        <is>
          <t>TESTED, NOT VERIFIED — you ruled on this row 2026-10-02; the figure, its formula, inputs and refusal live in MK-CF-O-008 whatsComing</t>
        </is>
      </c>
      <c r="AN68" s="3" t="inlineStr">
        <is>
          <t>On 28 Sep 2026, with $8,000 in the account: car insurance of $1,400 due 15 Oct and property tax of $4,800 due 1 Nov. Nothing else is dated.
GIVES: $8,000
(the test re-runs this through MK-CF-O-008 whatsComing on every build)</t>
        </is>
      </c>
      <c r="AO68" s="3" t="inlineStr">
        <is>
          <t>NOTHING OPEN</t>
        </is>
      </c>
    </row>
    <row r="69" ht="60" customHeight="1">
      <c r="A69" s="3" t="inlineStr">
        <is>
          <t>MK-CF-M-065</t>
        </is>
      </c>
      <c r="B69" s="3" t="inlineStr">
        <is>
          <t>Cashflow</t>
        </is>
      </c>
      <c r="C69" s="3" t="inlineStr">
        <is>
          <t>/income-manager</t>
        </is>
      </c>
      <c r="D69" s="3" t="inlineStr">
        <is>
          <t>total income / year (gross)</t>
        </is>
      </c>
      <c r="E69" s="3" t="inlineStr">
        <is>
          <t>total_income__year_gross</t>
        </is>
      </c>
      <c r="F69" s="3" t="inlineStr">
        <is>
          <t>incomeSummary</t>
        </is>
      </c>
      <c r="G69" s="3" t="inlineStr">
        <is>
          <t>MK-CF-O-004</t>
        </is>
      </c>
      <c r="H69" s="3" t="inlineStr">
        <is>
          <t>every source’s yearly amount added up, wages at gross</t>
        </is>
      </c>
      <c r="I69" s="3" t="inlineStr">
        <is>
          <t>every source’s yearly amount added up, wages at gross</t>
        </is>
      </c>
      <c r="J69" s="3" t="inlineStr">
        <is>
          <t>MK-XS-I-023 salary and other income
MK-CF-I-009 bonus
MK-CF-I-010 equity vesting
MK-CF-I-007 rental income</t>
        </is>
      </c>
      <c r="K69" s="3" t="inlineStr">
        <is>
          <t>dollars, whole a year</t>
        </is>
      </c>
      <c r="L69" s="3" t="inlineStr">
        <is>
          <t>Nothing entered — $0, with the door to enter income.</t>
        </is>
      </c>
      <c r="M69" s="3" t="inlineStr">
        <is>
          <t>one figure per household</t>
        </is>
      </c>
      <c r="N69" s="3" t="inlineStr">
        <is>
          <t>a year</t>
        </is>
      </c>
      <c r="O69"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69" s="3" t="inlineStr">
        <is>
          <t>Declared by MK-CF-O-004 incomeSummary</t>
        </is>
      </c>
      <c r="Q69" s="3" t="inlineStr">
        <is>
          <t>NONE RECORDED — the declaration names none.</t>
        </is>
      </c>
      <c r="R69" s="3" t="inlineStr">
        <is>
          <t>NONE RECORDED — the declaration names none.</t>
        </is>
      </c>
      <c r="S69" s="3" t="inlineStr"/>
      <c r="T69" s="3" t="inlineStr">
        <is>
          <t>NONE RECORDED — the declaration names none.</t>
        </is>
      </c>
      <c r="U69" s="3" t="inlineStr"/>
      <c r="V69" s="3" t="inlineStr"/>
      <c r="W69" s="3" t="inlineStr"/>
      <c r="X69" s="3" t="inlineStr"/>
      <c r="Y69" s="3" t="inlineStr"/>
      <c r="Z69" s="3" t="inlineStr">
        <is>
          <t>DECLARED IN THE CODE (rule 11) — printed from the door, not typed. RULED 2026-10-02</t>
        </is>
      </c>
      <c r="AA69" s="3" t="inlineStr"/>
      <c r="AB69" s="3" t="inlineStr"/>
      <c r="AC69" s="3" t="inlineStr"/>
      <c r="AD69" s="3" t="inlineStr"/>
      <c r="AE69" s="3" t="inlineStr"/>
      <c r="AF69" s="3" t="inlineStr">
        <is>
          <t>ACTIVE</t>
        </is>
      </c>
      <c r="AG69" s="3" t="inlineStr">
        <is>
          <t>2026-10-04</t>
        </is>
      </c>
      <c r="AH69" s="3" t="inlineStr"/>
      <c r="AI69" s="3" t="inlineStr"/>
      <c r="AJ6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69" s="3" t="inlineStr">
        <is>
          <t>(the claim now stands in 'Inputs it needs' until the row is approved)</t>
        </is>
      </c>
      <c r="AL69" s="3" t="inlineStr"/>
      <c r="AM69" s="3" t="inlineStr">
        <is>
          <t>TESTED, NOT VERIFIED — you ruled on this row 2026-10-02; the figure, its formula, inputs and refusal live in MK-CF-O-004 incomeSummary</t>
        </is>
      </c>
      <c r="AN69" s="3" t="inlineStr">
        <is>
          <t>Two earners filing jointly: $4,200 every two weeks ($109,200/year) and $5,000/month ($60,000), paying $1,200 and $400/month into their 401(k)s, with the tax rate typed at 22%.
GIVES: $169,200/year
(the test re-runs this through MK-CF-O-004 incomeSummary on every build)</t>
        </is>
      </c>
      <c r="AO69" s="3" t="inlineStr">
        <is>
          <t>NOTHING OPEN</t>
        </is>
      </c>
    </row>
    <row r="70" ht="60" customHeight="1">
      <c r="A70" s="3" t="inlineStr">
        <is>
          <t>MK-CF-M-066</t>
        </is>
      </c>
      <c r="B70" s="3" t="inlineStr">
        <is>
          <t>Cashflow</t>
        </is>
      </c>
      <c r="C70" s="3" t="inlineStr">
        <is>
          <t>/income-manager</t>
        </is>
      </c>
      <c r="D70" s="3" t="inlineStr">
        <is>
          <t>Dividends, interest &amp; coupons</t>
        </is>
      </c>
      <c r="E70" s="3" t="inlineStr">
        <is>
          <t>dividends_interest__coupons</t>
        </is>
      </c>
      <c r="F70" s="3" t="inlineStr">
        <is>
          <t>incomeSummary</t>
        </is>
      </c>
      <c r="G70" s="3" t="inlineStr">
        <is>
          <t>MK-CF-O-004</t>
        </is>
      </c>
      <c r="H70" s="3" t="inlineStr">
        <is>
          <t>the dividend, interest and coupon records of the last twelve months, added up</t>
        </is>
      </c>
      <c r="I70" s="3" t="inlineStr">
        <is>
          <t>the dividend, interest and coupon records of the last twelve months, added up</t>
        </is>
      </c>
      <c r="J70" s="3" t="inlineStr">
        <is>
          <t>MK-NW-I-004 the activity records
MK-NW-I-001 your accounts</t>
        </is>
      </c>
      <c r="K70" s="3" t="inlineStr">
        <is>
          <t>dollars, whole a year</t>
        </is>
      </c>
      <c r="L70" s="3" t="inlineStr">
        <is>
          <t>No record of any — $0, never an estimate.</t>
        </is>
      </c>
      <c r="M70" s="3" t="inlineStr">
        <is>
          <t>one figure per household</t>
        </is>
      </c>
      <c r="N70" s="3" t="inlineStr">
        <is>
          <t>a year</t>
        </is>
      </c>
      <c r="O70"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70" s="3" t="inlineStr">
        <is>
          <t>Declared by MK-CF-O-004 incomeSummary</t>
        </is>
      </c>
      <c r="Q70" s="3" t="inlineStr">
        <is>
          <t>NONE RECORDED — the declaration names none.</t>
        </is>
      </c>
      <c r="R70" s="3" t="inlineStr">
        <is>
          <t>NONE RECORDED — the declaration names none.</t>
        </is>
      </c>
      <c r="S70" s="3" t="inlineStr"/>
      <c r="T70" s="3" t="inlineStr">
        <is>
          <t>NONE RECORDED — the declaration names none.</t>
        </is>
      </c>
      <c r="U70" s="3" t="inlineStr"/>
      <c r="V70" s="3" t="inlineStr"/>
      <c r="W70" s="3" t="inlineStr"/>
      <c r="X70" s="3" t="inlineStr"/>
      <c r="Y70" s="3" t="inlineStr"/>
      <c r="Z70" s="3" t="inlineStr">
        <is>
          <t>DECLARED IN THE CODE (rule 11) — printed from the door, not typed. RULED 2026-10-02</t>
        </is>
      </c>
      <c r="AA70" s="3" t="inlineStr"/>
      <c r="AB70" s="3" t="inlineStr"/>
      <c r="AC70" s="3" t="inlineStr"/>
      <c r="AD70" s="3" t="inlineStr"/>
      <c r="AE70" s="3" t="inlineStr"/>
      <c r="AF70" s="3" t="inlineStr">
        <is>
          <t>ACTIVE</t>
        </is>
      </c>
      <c r="AG70" s="3" t="inlineStr">
        <is>
          <t>2026-10-04</t>
        </is>
      </c>
      <c r="AH70" s="3" t="inlineStr"/>
      <c r="AI70" s="3" t="inlineStr"/>
      <c r="AJ70"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0" s="3" t="inlineStr">
        <is>
          <t>(the claim now stands in 'Inputs it needs' until the row is approved)</t>
        </is>
      </c>
      <c r="AL70" s="3" t="inlineStr"/>
      <c r="AM70" s="3" t="inlineStr">
        <is>
          <t>TESTED, NOT VERIFIED — you ruled on this row 2026-10-02; the figure, its formula, inputs and refusal live in MK-CF-O-004 incomeSummary</t>
        </is>
      </c>
      <c r="AN70" s="3" t="inlineStr">
        <is>
          <t>One account that recorded a $300 dividend in June and $120 of interest in March.
GIVES: $420/year
(the test re-runs this through MK-CF-O-004 incomeSummary on every build)</t>
        </is>
      </c>
      <c r="AO70" s="3" t="inlineStr">
        <is>
          <t>NOTHING OPEN</t>
        </is>
      </c>
    </row>
    <row r="71" ht="60" customHeight="1">
      <c r="A71" s="3" t="inlineStr">
        <is>
          <t>MK-CF-M-069</t>
        </is>
      </c>
      <c r="B71" s="3" t="inlineStr">
        <is>
          <t>Cashflow</t>
        </is>
      </c>
      <c r="C71" s="3" t="inlineStr">
        <is>
          <t>/monthly-income</t>
        </is>
      </c>
      <c r="D71" s="3" t="inlineStr">
        <is>
          <t>Your guaranteed income</t>
        </is>
      </c>
      <c r="E71" s="3" t="inlineStr">
        <is>
          <t>your_guaranteed_income</t>
        </is>
      </c>
      <c r="F71" s="3" t="inlineStr">
        <is>
          <t>incomeSummary</t>
        </is>
      </c>
      <c r="G71" s="3" t="inlineStr">
        <is>
          <t>MK-CF-O-004</t>
        </is>
      </c>
      <c r="H71" s="3" t="inlineStr">
        <is>
          <t>the sum of each source of guaranteed income (MK-CF-M-024)</t>
        </is>
      </c>
      <c r="I71" s="3" t="inlineStr">
        <is>
          <t>the sum of each source of guaranteed income (MK-CF-M-024)</t>
        </is>
      </c>
      <c r="J71" s="3" t="inlineStr">
        <is>
          <t>MK-XS-I-020 Social Security monthly amount
MK-XS-I-022 pension monthly amount
MK-XS-I-035 annuity income
MK-XS-I-036 other guaranteed income</t>
        </is>
      </c>
      <c r="K71" s="3" t="inlineStr">
        <is>
          <t>dollars, whole a month</t>
        </is>
      </c>
      <c r="L71" s="3" t="inlineStr">
        <is>
          <t>Nothing entered — $0, with the door to enter it.</t>
        </is>
      </c>
      <c r="M71" s="3" t="inlineStr">
        <is>
          <t>one figure per household</t>
        </is>
      </c>
      <c r="N71" s="3" t="inlineStr">
        <is>
          <t>a month</t>
        </is>
      </c>
      <c r="O71"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71" s="3" t="inlineStr">
        <is>
          <t>Declared by MK-CF-O-004 incomeSummary</t>
        </is>
      </c>
      <c r="Q71" s="3" t="inlineStr">
        <is>
          <t>NONE RECORDED — the declaration names none.</t>
        </is>
      </c>
      <c r="R71" s="3" t="inlineStr">
        <is>
          <t>NONE RECORDED — the declaration names none.</t>
        </is>
      </c>
      <c r="S71" s="3" t="inlineStr"/>
      <c r="T71" s="3" t="inlineStr">
        <is>
          <t>NONE RECORDED — the declaration names none.</t>
        </is>
      </c>
      <c r="U71" s="3" t="inlineStr"/>
      <c r="V71" s="3" t="inlineStr"/>
      <c r="W71" s="3" t="inlineStr"/>
      <c r="X71" s="3" t="inlineStr"/>
      <c r="Y71" s="3" t="inlineStr"/>
      <c r="Z71" s="3" t="inlineStr">
        <is>
          <t>DECLARED IN THE CODE (rule 11) — printed from the door, not typed. RULED 2026-10-02</t>
        </is>
      </c>
      <c r="AA71" s="3" t="inlineStr"/>
      <c r="AB71" s="3" t="inlineStr"/>
      <c r="AC71" s="3" t="inlineStr"/>
      <c r="AD71" s="3" t="inlineStr"/>
      <c r="AE71" s="3" t="inlineStr"/>
      <c r="AF71" s="3" t="inlineStr">
        <is>
          <t>ACTIVE</t>
        </is>
      </c>
      <c r="AG71" s="3" t="inlineStr">
        <is>
          <t>2026-10-04</t>
        </is>
      </c>
      <c r="AH71" s="3" t="inlineStr"/>
      <c r="AI71" s="3" t="inlineStr"/>
      <c r="AJ71"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1" s="3" t="inlineStr">
        <is>
          <t>(the claim now stands in 'Inputs it needs' until the row is approved)</t>
        </is>
      </c>
      <c r="AL71" s="3" t="inlineStr"/>
      <c r="AM71" s="3" t="inlineStr">
        <is>
          <t>TESTED, NOT VERIFIED — you ruled on this row 2026-10-02; the figure, its formula, inputs and refusal live in MK-CF-O-004 incomeSummary</t>
        </is>
      </c>
      <c r="AN71" s="3" t="inlineStr">
        <is>
          <t>The two earners above, plus $24,000/year of self-employment, a $12,000 bonus in March, 50 shares vesting at $400, a rental bringing in $2,000/month against $800 of costs, and $2,100/month of Social Security.
GIVES: $2,100/month
(the test re-runs this through MK-CF-O-004 incomeSummary on every build)</t>
        </is>
      </c>
      <c r="AO71" s="3" t="inlineStr">
        <is>
          <t>NOTHING OPEN</t>
        </is>
      </c>
    </row>
    <row r="72" ht="60" customHeight="1">
      <c r="A72" s="3" t="inlineStr">
        <is>
          <t>MK-CF-M-070</t>
        </is>
      </c>
      <c r="B72" s="3" t="inlineStr">
        <is>
          <t>Cashflow</t>
        </is>
      </c>
      <c r="C72" s="3" t="inlineStr">
        <is>
          <t>/cashflow</t>
        </is>
      </c>
      <c r="D72" s="3" t="inlineStr">
        <is>
          <t>each step of the withdrawal order</t>
        </is>
      </c>
      <c r="E72" s="3" t="inlineStr">
        <is>
          <t>each_step_of_the_withdrawal_order</t>
        </is>
      </c>
      <c r="F72" s="3" t="inlineStr">
        <is>
          <t>futurePaycheck</t>
        </is>
      </c>
      <c r="G72" s="3" t="inlineStr">
        <is>
          <t>MK-CF-O-017</t>
        </is>
      </c>
      <c r="H72" s="3" t="inlineStr">
        <is>
          <t>cash first, then taxable, then pre-tax, then Roth — each with what is earmarked for retirement in it</t>
        </is>
      </c>
      <c r="I72" s="3" t="inlineStr">
        <is>
          <t>cash first, then taxable, then pre-tax, then Roth — each with what is earmarked for retirement in it</t>
        </is>
      </c>
      <c r="J72" s="3" t="inlineStr">
        <is>
          <t>MK-NW-I-001 your accounts
MK-XS-I-002 account type (taxable, pre-tax, Roth)
MK-XS-I-050 the share of an account earmarked for retirement</t>
        </is>
      </c>
      <c r="K72" s="3" t="inlineStr">
        <is>
          <t>dollars, whole</t>
        </is>
      </c>
      <c r="L72" s="3" t="inlineStr">
        <is>
          <t>No retirement money in any pot — no order to explain.</t>
        </is>
      </c>
      <c r="M72" s="3" t="inlineStr">
        <is>
          <t>one step</t>
        </is>
      </c>
      <c r="N72" s="3" t="inlineStr">
        <is>
          <t>as of today</t>
        </is>
      </c>
      <c r="O72" s="3" t="inlineStr">
        <is>
          <t>1. MK-CF-F-107 (buildPaycheckYear) → PaycheckYear
2. MK-XS-F-180 (declareFigures) → T
3. MK-CF-F-076 (guaranteedOutsideStreams) → GuaranteedStream[]
4. MK-ST-F-039 (on) → ()
5. MK-PL-F-050 (simulate) → NOT DECLARED — the code does not say what it gives back
6. MK-PL-F-001 (taxBucketSplit) → BucketSplit
7. MK-PL-F-067 (willItLastInputs) → RetirementInputs | null
8. MK-PL-F-004 (withdrawalOrder) → OrderStep[]</t>
        </is>
      </c>
      <c r="P72" s="3" t="inlineStr">
        <is>
          <t>Declared by MK-CF-O-017 futurePaycheck</t>
        </is>
      </c>
      <c r="Q72" s="3" t="inlineStr">
        <is>
          <t>NONE RECORDED — the declaration names none.</t>
        </is>
      </c>
      <c r="R72" s="3" t="inlineStr">
        <is>
          <t>NONE RECORDED — the declaration names none.</t>
        </is>
      </c>
      <c r="S72" s="3" t="inlineStr"/>
      <c r="T72" s="3" t="inlineStr">
        <is>
          <t>NONE RECORDED — the declaration names none.</t>
        </is>
      </c>
      <c r="U72" s="3" t="inlineStr"/>
      <c r="V72" s="3" t="inlineStr"/>
      <c r="W72" s="3" t="inlineStr"/>
      <c r="X72" s="3" t="inlineStr"/>
      <c r="Y72" s="3" t="inlineStr"/>
      <c r="Z72" s="3" t="inlineStr">
        <is>
          <t>DECLARED IN THE CODE (rule 11) — printed from the door, not typed. RULED 2026-10-02</t>
        </is>
      </c>
      <c r="AA72" s="3" t="inlineStr"/>
      <c r="AB72" s="3" t="inlineStr"/>
      <c r="AC72" s="3" t="inlineStr"/>
      <c r="AD72" s="3" t="inlineStr"/>
      <c r="AE72" s="3" t="inlineStr"/>
      <c r="AF72" s="3" t="inlineStr">
        <is>
          <t>ACTIVE</t>
        </is>
      </c>
      <c r="AG72" s="3" t="inlineStr">
        <is>
          <t>2026-10-04</t>
        </is>
      </c>
      <c r="AH72" s="3" t="inlineStr"/>
      <c r="AI72" s="3" t="inlineStr"/>
      <c r="AJ72" s="3" t="inlineStr">
        <is>
          <t>1. MK-XS-I-001 account balance — read by MK-CF-O-017, MK-NW-F-031, MK-NW-F-032, MK-NW-F-056, MK-NW-F-078, MK-NW-O-001, MK
2. MK-XS-I-002 account type (taxable, pre-tax, Roth) — read by MK-CF-O-017, MK-NW-F-004, MK-NW-F-011, MK-NW-F-035, MK-NW-F-037, MK-NW-O-001, MK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MK-XS-F-004
11. MK-XS-I-015 debt interest rate — read by MK-CF-F-157, MK-CF-O-010
12. MK-XS-I-016 debt minimum payment — read by MK-CF-F-023, MK-CF-F-157, MK-CF-O-010
13. MK-XS-I-017 birth year — read by MK-CF-F-089, MK-CF-F-197, MK-CF-O-017, MK-PL-F-057, MK-PL-F-058, MK-PL-F-060, MK
14. MK-XS-I-018 retirement age — read by MK-CF-F-106, MK-CF-O-017, MK-PL-F-049, MK-PL-F-050, MK-PL-F-067
15. MK-XS-I-019 monthly expenses in retirement — read by MK-PL-F-049
16. MK-XS-I-020 Social Security monthly amount — read by MK-CF-F-072, MK-CF-F-075, MK-CF-F-076, MK-PL-F-060, MK-PL-F-067
17. MK-XS-I-021 Social Security claim age — read by MK-PL-F-058, MK-PL-F-060, MK-PL-F-067
18. MK-XS-I-022 pension monthly amount — read by MK-CF-F-072, MK-CF-F-075, MK-CF-F-076, MK-CF-O-017, MK-PL-F-049
19. MK-XS-I-023 salary and other income — read by MK-CF-F-074, MK-CF-F-082, MK-CF-F-083, MK-CF-F-084, MK-CF-F-088, MK-CF-F-092, MK
20. MK-XS-I-024 logged expenses — read by MK-CF-F-005, MK-CF-F-067, MK-CF-F-068, MK-CF-F-107, MK-CF-F-150, MK-CF-F-151, MK
21. MK-XS-I-026 big costs (amount and year) — read by MK-CF-O-017, MK-PL-F-065, MK-PL-F-067, MK-XS-F-004
22. MK-XS-I-027 goals (target, saved, date) — read by MK-CF-F-204, MK-PL-F-012
23. MK-XS-I-028 assumed return — read by MK-CF-F-106, MK-CF-O-017, MK-NW-O-001, MK-PL-F-049, MK-PL-F-050, MK-PL-F-067
24. MK-XS-I-029 inflation rate — read by MK-CF-F-106, MK-CF-O-017, MK-PL-F-004, MK-PL-F-049, MK-PL-F-050, MK-PL-F-065, MK
25. MK-XS-I-030 tax filing status and age — read by MK-CF-F-085, MK-CF-F-089, MK-CF-F-099, MK-CF-F-100, MK-CF-F-101, MK-CF-F-102, MK
26. MK-XS-I-031 daily and monthly snapshots — read by MK-ST-F-036
27. MK-XS-I-032 expenses categories the person set up — read by MK-CF-F-004, MK-CF-F-008, MK-XS-F-004
28. MK-XS-I-034 option positions — contracts, strike, expiry, put or call — read by MK-CF-F-062
29. MK-XS-I-035 annuity income — read by MK-CF-F-072, MK-CF-F-075, MK-CF-F-076, MK-CF-O-017, MK-NW-F-035, MK-PL-F-049
30. MK-XS-I-036 other guaranteed income — read by MK-CF-F-072, MK-CF-F-075, MK-CF-F-076, MK-PL-F-049, MK-PL-F-050, MK-PL-F-067
31. MK-XS-I-037 required-withdrawal income stream (ri_rmd) — read by MK-CF-F-075
32. MK-XS-I-038 withdrawal income stream (ri_withdrawals) — read by MK-CF-F-075
33. MK-XS-I-039 how often each income arrives — read by MK-CF-F-071, MK-CF-F-072, MK-CF-F-074, MK-CF-F-075, MK-CF-F-076, MK-CF-F-105, MK
34. MK-XS-I-040 whether a stream is already being received — read by MK-CF-F-072, MK-CF-F-105, MK-CF-O-017
35. MK-XS-I-041 the payment the person chose to make on a debt — read by MK-CF-F-023
36. MK-XS-I-042 how a stream is paid — monthly, yearly or one lump — read by MK-CF-F-021, MK-CF-F-022, MK-CF-F-023, MK-CF-F-149, MK-CF-F-150, MK-CF-F-152, MK
37. MK-XS-I-043 their own retirement contribution — read by MK-CF-F-092, MK-CF-F-106, MK-CF-F-178, MK-CF-F-181, MK-CF-F-206, MK-NW-F-041, MK
38. MK-XS-I-044 the person’s own plan overrides — read by MK-CF-O-017, MK-PL-F-049, MK-PL-F-065, MK-PL-F-067
39. MK-XS-I-045 where they will live in retirement — read by MK-PL-F-049
40. MK-XS-I-046 how the employer match is expressed — percent or dollars — read by MK-CF-F-178
41. MK-XS-I-047 money to leave behind — read by MK-PL-F-067
42. MK-XS-I-048 the person’s own asset-class answer — read by MK-NW-F-011, MK-ST-F-027
43. MK-XS-I-049 bond price — what the bond is worth today — read by MK-NW-F-056, MK-NW-F-057, MK-NW-F-059, MK-NW-F-060, MK-NW-F-061, MK-NW-F-064, MK
44. MK-XS-I-050 the share of an account earmarked for retirement — read by MK-CF-O-017, MK-NW-F-032
45. MK-XS-I-051 what an account actually returned over the last twelve months — read by MK-NW-F-004
46. MK-XS-I-052 the day of the month a debt payment is due — read by MK-CF-F-005, MK-XS-F-004
47. MK-XS-I-053 the month a debt is first paid — read by MK-XS-F-004
48. MK-XS-I-054 the date a debt is due to be paid off in full — read by MK-XS-F-004
49. MK-XS-I-055 the wrapper an account sits in — ISA, 401(k), IRA and the rest — read by MK-CF-F-005, MK-CF-F-075, MK-CF-F-076, MK-CF-F-107, MK-CF-F-156, MK-NW-F-011, MK
50. MK-XS-I-059 the month a bonus lands — read by MK-CF-F-088, MK-CF-F-092, MK-XS-F-004
51. MK-XS-I-060 how a person is paid — weekly, fortnightly, monthly — read by MK-CF-F-130
52. MK-XS-I-064 the unit beside a quantity — shares, coins, contracts, ounces or units — read by MK-CF-F-003, MK-CF-F-008, MK-CF-F-204, MK-CF-O-017, MK-NW-F-078, MK-XS-F-004
53.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2" s="3" t="inlineStr">
        <is>
          <t>(the claim now stands in 'Inputs it needs' until the row is approved)</t>
        </is>
      </c>
      <c r="AL72" s="3" t="inlineStr"/>
      <c r="AM72" s="3" t="inlineStr">
        <is>
          <t>TESTED, NOT VERIFIED — you ruled on this row 2026-10-02; the figure, its formula, inputs and refusal live in MK-CF-O-017 futurePaycheck</t>
        </is>
      </c>
      <c r="AN72" s="3" t="inlineStr">
        <is>
          <t>A $50,000 taxable brokerage account and a $120,000 pre-tax 401(k), both for retirement, at 68.
GIVES: $50,000
(the test re-runs this through MK-CF-O-017 futurePaycheck on every build)</t>
        </is>
      </c>
      <c r="AO72" s="3" t="inlineStr">
        <is>
          <t>NOTHING OPEN</t>
        </is>
      </c>
    </row>
    <row r="73" ht="60" customHeight="1">
      <c r="A73" s="3" t="inlineStr">
        <is>
          <t>MK-CF-M-071</t>
        </is>
      </c>
      <c r="B73" s="3" t="inlineStr">
        <is>
          <t>Cashflow</t>
        </is>
      </c>
      <c r="C73" s="3" t="inlineStr">
        <is>
          <t>/cashflow</t>
        </is>
      </c>
      <c r="D73" s="3" t="inlineStr">
        <is>
          <t>/month min</t>
        </is>
      </c>
      <c r="E73" s="3" t="inlineStr">
        <is>
          <t>month_min</t>
        </is>
      </c>
      <c r="F73" s="3" t="inlineStr">
        <is>
          <t>theDebts</t>
        </is>
      </c>
      <c r="G73" s="3" t="inlineStr">
        <is>
          <t>MK-CF-O-018</t>
        </is>
      </c>
      <c r="H73" s="3" t="inlineStr">
        <is>
          <t>Σ the minimum monthly payment of every debt still owed</t>
        </is>
      </c>
      <c r="I73" s="3" t="inlineStr">
        <is>
          <t>Σ the minimum monthly payment of every debt still owed</t>
        </is>
      </c>
      <c r="J73" s="3" t="inlineStr">
        <is>
          <t>MK-XS-I-016 debt minimum payment</t>
        </is>
      </c>
      <c r="K73" s="3" t="inlineStr">
        <is>
          <t>dollars, whole a month</t>
        </is>
      </c>
      <c r="L73" s="3" t="inlineStr">
        <is>
          <t>No debts — $0.</t>
        </is>
      </c>
      <c r="M73" s="3" t="inlineStr">
        <is>
          <t>one figure per household</t>
        </is>
      </c>
      <c r="N73" s="3" t="inlineStr">
        <is>
          <t>a month</t>
        </is>
      </c>
      <c r="O73" s="3" t="inlineStr">
        <is>
          <t>1. MK-CF-F-025 (minimumDebtService) → number
2. MK-CF-F-034 (payoffPlan) → PayoffResult
3. MK-CF-F-024 (totalDebtMonthly) → number</t>
        </is>
      </c>
      <c r="P73" s="3" t="inlineStr">
        <is>
          <t>Declared by MK-CF-O-018 theDebts</t>
        </is>
      </c>
      <c r="Q73" s="3" t="inlineStr">
        <is>
          <t>NONE RECORDED — the declaration names none.</t>
        </is>
      </c>
      <c r="R73" s="3" t="inlineStr">
        <is>
          <t>NONE RECORDED — the declaration names none.</t>
        </is>
      </c>
      <c r="S73" s="3" t="inlineStr"/>
      <c r="T73" s="3" t="inlineStr">
        <is>
          <t>NONE RECORDED — the declaration names none.</t>
        </is>
      </c>
      <c r="U73" s="3" t="inlineStr"/>
      <c r="V73" s="3" t="inlineStr"/>
      <c r="W73" s="3" t="inlineStr"/>
      <c r="X73" s="3" t="inlineStr"/>
      <c r="Y73" s="3" t="inlineStr"/>
      <c r="Z73" s="3" t="inlineStr">
        <is>
          <t>DECLARED IN THE CODE (rule 11) — printed from the door, not typed. RULED 2026-10-02</t>
        </is>
      </c>
      <c r="AA73" s="3" t="inlineStr"/>
      <c r="AB73" s="3" t="inlineStr"/>
      <c r="AC73" s="3" t="inlineStr"/>
      <c r="AD73" s="3" t="inlineStr"/>
      <c r="AE73" s="3" t="inlineStr"/>
      <c r="AF73" s="3" t="inlineStr">
        <is>
          <t>ACTIVE</t>
        </is>
      </c>
      <c r="AG73" s="3" t="inlineStr">
        <is>
          <t>2026-10-04</t>
        </is>
      </c>
      <c r="AH73" s="3" t="inlineStr"/>
      <c r="AI73" s="3" t="inlineStr"/>
      <c r="AJ73"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3" s="3" t="inlineStr">
        <is>
          <t>(the claim now stands in 'Inputs it needs' until the row is approved)</t>
        </is>
      </c>
      <c r="AL73" s="3" t="inlineStr"/>
      <c r="AM73" s="3" t="inlineStr">
        <is>
          <t>TESTED, NOT VERIFIED — you ruled on this row 2026-10-02; the figure, its formula, inputs and refusal live in MK-CF-O-018 theDebts</t>
        </is>
      </c>
      <c r="AN73" s="3" t="inlineStr">
        <is>
          <t>A $9,000 card at 24% with a $200 minimum and a $14,000 car loan at 6.9% with a $250 minimum, nothing extra paid.
GIVES: $450/month
(the test re-runs this through MK-CF-O-018 theDebts on every build)</t>
        </is>
      </c>
      <c r="AO73" s="3" t="inlineStr">
        <is>
          <t>NOTHING OPEN</t>
        </is>
      </c>
    </row>
    <row r="74" ht="60" customHeight="1">
      <c r="A74" s="3" t="inlineStr">
        <is>
          <t>MK-CF-M-072</t>
        </is>
      </c>
      <c r="B74" s="3" t="inlineStr">
        <is>
          <t>Cashflow</t>
        </is>
      </c>
      <c r="C74" s="3" t="inlineStr">
        <is>
          <t>/cashflow</t>
        </is>
      </c>
      <c r="D74" s="3" t="inlineStr">
        <is>
          <t>/month total</t>
        </is>
      </c>
      <c r="E74" s="3" t="inlineStr">
        <is>
          <t>month_total</t>
        </is>
      </c>
      <c r="F74" s="3" t="inlineStr">
        <is>
          <t>theDebts</t>
        </is>
      </c>
      <c r="G74" s="3" t="inlineStr">
        <is>
          <t>MK-CF-O-018</t>
        </is>
      </c>
      <c r="H74" s="3" t="inlineStr">
        <is>
          <t>the minimums added up (MK-CF-M-071) + the extra a month you set</t>
        </is>
      </c>
      <c r="I74" s="3" t="inlineStr">
        <is>
          <t>the minimums added up (MK-CF-M-071) + the extra a month you set</t>
        </is>
      </c>
      <c r="J74" s="3" t="inlineStr">
        <is>
          <t>MK-XS-I-016 debt minimum payment
MK-XS-I-041 the payment the person chose to make on a debt</t>
        </is>
      </c>
      <c r="K74" s="3" t="inlineStr">
        <is>
          <t>dollars, whole a month</t>
        </is>
      </c>
      <c r="L74" s="3" t="inlineStr">
        <is>
          <t>No debts — $0.</t>
        </is>
      </c>
      <c r="M74" s="3" t="inlineStr">
        <is>
          <t>one figure per household</t>
        </is>
      </c>
      <c r="N74" s="3" t="inlineStr">
        <is>
          <t>a month</t>
        </is>
      </c>
      <c r="O74" s="3" t="inlineStr">
        <is>
          <t>1. MK-CF-F-025 (minimumDebtService) → number
2. MK-CF-F-034 (payoffPlan) → PayoffResult
3. MK-CF-F-024 (totalDebtMonthly) → number</t>
        </is>
      </c>
      <c r="P74" s="3" t="inlineStr">
        <is>
          <t>Declared by MK-CF-O-018 theDebts</t>
        </is>
      </c>
      <c r="Q74" s="3" t="inlineStr">
        <is>
          <t>NONE RECORDED — the declaration names none.</t>
        </is>
      </c>
      <c r="R74" s="3" t="inlineStr">
        <is>
          <t>NONE RECORDED — the declaration names none.</t>
        </is>
      </c>
      <c r="S74" s="3" t="inlineStr"/>
      <c r="T74" s="3" t="inlineStr">
        <is>
          <t>NONE RECORDED — the declaration names none.</t>
        </is>
      </c>
      <c r="U74" s="3" t="inlineStr"/>
      <c r="V74" s="3" t="inlineStr"/>
      <c r="W74" s="3" t="inlineStr"/>
      <c r="X74" s="3" t="inlineStr"/>
      <c r="Y74" s="3" t="inlineStr"/>
      <c r="Z74" s="3" t="inlineStr">
        <is>
          <t>DECLARED IN THE CODE (rule 11) — printed from the door, not typed. RULED 2026-10-02</t>
        </is>
      </c>
      <c r="AA74" s="3" t="inlineStr"/>
      <c r="AB74" s="3" t="inlineStr"/>
      <c r="AC74" s="3" t="inlineStr"/>
      <c r="AD74" s="3" t="inlineStr"/>
      <c r="AE74" s="3" t="inlineStr"/>
      <c r="AF74" s="3" t="inlineStr">
        <is>
          <t>ACTIVE</t>
        </is>
      </c>
      <c r="AG74" s="3" t="inlineStr">
        <is>
          <t>2026-10-04</t>
        </is>
      </c>
      <c r="AH74" s="3" t="inlineStr"/>
      <c r="AI74" s="3" t="inlineStr"/>
      <c r="AJ7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4" s="3" t="inlineStr">
        <is>
          <t>(the claim now stands in 'Inputs it needs' until the row is approved)</t>
        </is>
      </c>
      <c r="AL74" s="3" t="inlineStr"/>
      <c r="AM74" s="3" t="inlineStr">
        <is>
          <t>TESTED, NOT VERIFIED — you ruled on this row 2026-10-02; the figure, its formula, inputs and refusal live in MK-CF-O-018 theDebts</t>
        </is>
      </c>
      <c r="AN74" s="3" t="inlineStr">
        <is>
          <t>A $9,000 card at 24% with a $200 minimum and a $14,000 car loan at 6.9% with a $250 minimum, nothing extra paid.
GIVES: $450/month
(the test re-runs this through MK-CF-O-018 theDebts on every build)</t>
        </is>
      </c>
      <c r="AO74" s="3" t="inlineStr">
        <is>
          <t>NOTHING OPEN</t>
        </is>
      </c>
    </row>
    <row r="75" ht="60" customHeight="1">
      <c r="A75" s="3" t="inlineStr">
        <is>
          <t>MK-CF-M-073</t>
        </is>
      </c>
      <c r="B75" s="3" t="inlineStr">
        <is>
          <t>Cashflow</t>
        </is>
      </c>
      <c r="C75" s="3" t="inlineStr">
        <is>
          <t>/cashflow · /bill-calendar</t>
        </is>
      </c>
      <c r="D75" s="3" t="inlineStr">
        <is>
          <t>/month</t>
        </is>
      </c>
      <c r="E75" s="3" t="inlineStr">
        <is>
          <t>month</t>
        </is>
      </c>
      <c r="F75" s="3" t="inlineStr">
        <is>
          <t>theDebts</t>
        </is>
      </c>
      <c r="G75" s="3" t="inlineStr">
        <is>
          <t>MK-CF-O-018</t>
        </is>
      </c>
      <c r="H75" s="3" t="inlineStr">
        <is>
          <t>the payment you chose for the debt; its minimum monthly payment where none is chosen</t>
        </is>
      </c>
      <c r="I75" s="3" t="inlineStr">
        <is>
          <t>the payment you chose for the debt; its minimum monthly payment where none is chosen</t>
        </is>
      </c>
      <c r="J75" s="3" t="inlineStr">
        <is>
          <t>MK-XS-I-016 debt minimum payment
MK-XS-I-041 the payment the person chose to make on a debt</t>
        </is>
      </c>
      <c r="K75" s="3" t="inlineStr">
        <is>
          <t>dollars, whole a month</t>
        </is>
      </c>
      <c r="L75" s="3" t="inlineStr">
        <is>
          <t>A debt due in full on a date has no monthly payment — the line says when the whole balance is due.</t>
        </is>
      </c>
      <c r="M75" s="3" t="inlineStr">
        <is>
          <t>one debt</t>
        </is>
      </c>
      <c r="N75" s="3" t="inlineStr">
        <is>
          <t>a month</t>
        </is>
      </c>
      <c r="O75" s="3" t="inlineStr">
        <is>
          <t>1. MK-CF-F-025 (minimumDebtService) → number
2. MK-CF-F-034 (payoffPlan) → PayoffResult
3. MK-CF-F-024 (totalDebtMonthly) → number</t>
        </is>
      </c>
      <c r="P75" s="3" t="inlineStr">
        <is>
          <t>Declared by MK-CF-O-018 theDebts</t>
        </is>
      </c>
      <c r="Q75" s="3" t="inlineStr">
        <is>
          <t>NONE RECORDED — the declaration names none.</t>
        </is>
      </c>
      <c r="R75" s="3" t="inlineStr">
        <is>
          <t>NONE RECORDED — the declaration names none.</t>
        </is>
      </c>
      <c r="S75" s="3" t="inlineStr"/>
      <c r="T75" s="3" t="inlineStr">
        <is>
          <t>NONE RECORDED — the declaration names none.</t>
        </is>
      </c>
      <c r="U75" s="3" t="inlineStr"/>
      <c r="V75" s="3" t="inlineStr"/>
      <c r="W75" s="3" t="inlineStr"/>
      <c r="X75" s="3" t="inlineStr"/>
      <c r="Y75" s="3" t="inlineStr"/>
      <c r="Z75" s="3" t="inlineStr">
        <is>
          <t>DECLARED IN THE CODE (rule 11) — printed from the door, not typed. RULED 2026-10-02</t>
        </is>
      </c>
      <c r="AA75" s="3" t="inlineStr"/>
      <c r="AB75" s="3" t="inlineStr"/>
      <c r="AC75" s="3" t="inlineStr"/>
      <c r="AD75" s="3" t="inlineStr"/>
      <c r="AE75" s="3" t="inlineStr"/>
      <c r="AF75" s="3" t="inlineStr">
        <is>
          <t>ACTIVE</t>
        </is>
      </c>
      <c r="AG75" s="3" t="inlineStr">
        <is>
          <t>2026-10-04</t>
        </is>
      </c>
      <c r="AH75" s="3" t="inlineStr"/>
      <c r="AI75" s="3" t="inlineStr"/>
      <c r="AJ7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5" s="3" t="inlineStr">
        <is>
          <t>(the claim now stands in 'Inputs it needs' until the row is approved)</t>
        </is>
      </c>
      <c r="AL75" s="3" t="inlineStr"/>
      <c r="AM75" s="3" t="inlineStr">
        <is>
          <t>TESTED, NOT VERIFIED — you ruled on this row 2026-10-02; the figure, its formula, inputs and refusal live in MK-CF-O-018 theDebts</t>
        </is>
      </c>
      <c r="AN75" s="3" t="inlineStr">
        <is>
          <t>A $9,000 card at 24% with a $200 minimum and a $14,000 car loan at 6.9% with a $250 minimum, nothing extra paid.
GIVES: $200/month
(the test re-runs this through MK-CF-O-018 theDebts on every build)</t>
        </is>
      </c>
      <c r="AO75" s="3" t="inlineStr">
        <is>
          <t>NOTHING OPEN</t>
        </is>
      </c>
    </row>
    <row r="76" ht="60" customHeight="1">
      <c r="A76" s="3" t="inlineStr">
        <is>
          <t>MK-CF-M-074</t>
        </is>
      </c>
      <c r="B76" s="3" t="inlineStr">
        <is>
          <t>Cashflow</t>
        </is>
      </c>
      <c r="C76" s="3" t="inlineStr">
        <is>
          <t>/cashflow</t>
        </is>
      </c>
      <c r="D76" s="3" t="inlineStr">
        <is>
          <t>paid down since &lt;month&gt;</t>
        </is>
      </c>
      <c r="E76" s="3" t="inlineStr">
        <is>
          <t>paid_down_since_month</t>
        </is>
      </c>
      <c r="F76" s="3" t="inlineStr">
        <is>
          <t>theDebts</t>
        </is>
      </c>
      <c r="G76" s="3" t="inlineStr">
        <is>
          <t>MK-CF-O-018</t>
        </is>
      </c>
      <c r="H76" s="3" t="inlineStr">
        <is>
          <t>what every debt together stood at then − what they stand at now</t>
        </is>
      </c>
      <c r="I76" s="3" t="inlineStr">
        <is>
          <t>what every debt together stood at then − what they stand at now</t>
        </is>
      </c>
      <c r="J76" s="3" t="inlineStr">
        <is>
          <t>MK-XS-I-014 debt balance</t>
        </is>
      </c>
      <c r="K76" s="3" t="inlineStr">
        <is>
          <t>dollars, whole</t>
        </is>
      </c>
      <c r="L76" s="3" t="inlineStr">
        <is>
          <t>No earlier total on record, or the debts have not fallen — the line is not drawn.</t>
        </is>
      </c>
      <c r="M76" s="3" t="inlineStr">
        <is>
          <t>one figure per household</t>
        </is>
      </c>
      <c r="N76" s="3" t="inlineStr">
        <is>
          <t>as of today</t>
        </is>
      </c>
      <c r="O76" s="3" t="inlineStr">
        <is>
          <t>1. MK-CF-F-025 (minimumDebtService) → number
2. MK-CF-F-034 (payoffPlan) → PayoffResult
3. MK-CF-F-024 (totalDebtMonthly) → number</t>
        </is>
      </c>
      <c r="P76" s="3" t="inlineStr">
        <is>
          <t>Declared by MK-CF-O-018 theDebts</t>
        </is>
      </c>
      <c r="Q76" s="3" t="inlineStr">
        <is>
          <t>READ FROM TWO RECORDED TOTALS, never estimated from the payments made — interest and new borrowing are inside it.
NOT DRAWN where there is no earlier total to compare with, or the debts have not fallen.</t>
        </is>
      </c>
      <c r="R76" s="3" t="inlineStr">
        <is>
          <t>READ FROM TWO RECORDED TOTALS, never estimated from the payments made — interest and new borrowing are inside it.
NOT DRAWN where there is no earlier total to compare with, or the debts have not fallen.</t>
        </is>
      </c>
      <c r="S76" s="3" t="inlineStr"/>
      <c r="T76" s="3" t="inlineStr">
        <is>
          <t>READ FROM TWO RECORDED TOTALS, never estimated from the payments made — interest and new borrowing are inside it.
NOT DRAWN where there is no earlier total to compare with, or the debts have not fallen.</t>
        </is>
      </c>
      <c r="U76" s="3" t="inlineStr"/>
      <c r="V76" s="3" t="inlineStr"/>
      <c r="W76" s="3" t="inlineStr"/>
      <c r="X76" s="3" t="inlineStr"/>
      <c r="Y76" s="3" t="inlineStr"/>
      <c r="Z76" s="3" t="inlineStr">
        <is>
          <t>DECLARED IN THE CODE (rule 11) — printed from the door, not typed. RULED 2026-10-03</t>
        </is>
      </c>
      <c r="AA76" s="3" t="inlineStr"/>
      <c r="AB76" s="3" t="inlineStr"/>
      <c r="AC76" s="3" t="inlineStr"/>
      <c r="AD76" s="3" t="inlineStr"/>
      <c r="AE76" s="3" t="inlineStr"/>
      <c r="AF76" s="3" t="inlineStr">
        <is>
          <t>ACTIVE</t>
        </is>
      </c>
      <c r="AG76" s="3" t="inlineStr">
        <is>
          <t>2026-10-04</t>
        </is>
      </c>
      <c r="AH76" s="3" t="inlineStr"/>
      <c r="AI76" s="3" t="inlineStr"/>
      <c r="AJ7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6" s="3" t="inlineStr">
        <is>
          <t>(the claim now stands in 'Inputs it needs' until the row is approved)</t>
        </is>
      </c>
      <c r="AL76" s="3" t="inlineStr"/>
      <c r="AM76" s="3" t="inlineStr">
        <is>
          <t>TESTED, NOT VERIFIED — you ruled on this row 2026-10-03; the figure, its formula, inputs and refusal live in MK-CF-O-018 theDebts</t>
        </is>
      </c>
      <c r="AN76" s="3" t="inlineStr">
        <is>
          <t>A $9,000 card at 24% with a $200 minimum and a $14,000 car loan at 6.9% with a $250 minimum, nothing extra paid. They stood at $27,100 at the end of January.
GIVES: $4,100
(the test re-runs this through MK-CF-O-018 theDebts on every build)</t>
        </is>
      </c>
      <c r="AO76" s="3" t="inlineStr">
        <is>
          <t>NOTHING OPEN</t>
        </is>
      </c>
    </row>
    <row r="77" ht="60" customHeight="1">
      <c r="A77" s="3" t="inlineStr">
        <is>
          <t>MK-CF-M-075</t>
        </is>
      </c>
      <c r="B77" s="3" t="inlineStr">
        <is>
          <t>Cashflow</t>
        </is>
      </c>
      <c r="C77" s="3" t="inlineStr">
        <is>
          <t>/cashflow</t>
        </is>
      </c>
      <c r="D77" s="3" t="inlineStr">
        <is>
          <t>% of where you started</t>
        </is>
      </c>
      <c r="E77" s="3" t="inlineStr">
        <is>
          <t>of_where_you_started</t>
        </is>
      </c>
      <c r="F77" s="3" t="inlineStr">
        <is>
          <t>theDebts</t>
        </is>
      </c>
      <c r="G77" s="3" t="inlineStr">
        <is>
          <t>MK-CF-O-018</t>
        </is>
      </c>
      <c r="H77" s="3" t="inlineStr">
        <is>
          <t>paid down (MK-CF-M-074) ÷ what every debt together stood at then</t>
        </is>
      </c>
      <c r="I77" s="3" t="inlineStr">
        <is>
          <t>paid down (MK-CF-M-074) ÷ what every debt together stood at then</t>
        </is>
      </c>
      <c r="J77" s="3" t="inlineStr">
        <is>
          <t>MK-XS-I-014 debt balance</t>
        </is>
      </c>
      <c r="K77" s="3" t="inlineStr">
        <is>
          <t>a percentage, whole</t>
        </is>
      </c>
      <c r="L77" s="3" t="inlineStr">
        <is>
          <t>No earlier total on record, or the debts have not fallen — the line is not drawn.</t>
        </is>
      </c>
      <c r="M77" s="3" t="inlineStr">
        <is>
          <t>one figure per household</t>
        </is>
      </c>
      <c r="N77" s="3" t="inlineStr">
        <is>
          <t>as of today</t>
        </is>
      </c>
      <c r="O77" s="3" t="inlineStr">
        <is>
          <t>1. MK-CF-F-025 (minimumDebtService) → number
2. MK-CF-F-034 (payoffPlan) → PayoffResult
3. MK-CF-F-024 (totalDebtMonthly) → number</t>
        </is>
      </c>
      <c r="P77" s="3" t="inlineStr">
        <is>
          <t>Declared by MK-CF-O-018 theDebts</t>
        </is>
      </c>
      <c r="Q77" s="3" t="inlineStr">
        <is>
          <t>NONE RECORDED — the declaration names none.</t>
        </is>
      </c>
      <c r="R77" s="3" t="inlineStr">
        <is>
          <t>NONE RECORDED — the declaration names none.</t>
        </is>
      </c>
      <c r="S77" s="3" t="inlineStr"/>
      <c r="T77" s="3" t="inlineStr">
        <is>
          <t>NONE RECORDED — the declaration names none.</t>
        </is>
      </c>
      <c r="U77" s="3" t="inlineStr"/>
      <c r="V77" s="3" t="inlineStr"/>
      <c r="W77" s="3" t="inlineStr"/>
      <c r="X77" s="3" t="inlineStr"/>
      <c r="Y77" s="3" t="inlineStr"/>
      <c r="Z77" s="3" t="inlineStr">
        <is>
          <t>DECLARED IN THE CODE (rule 11) — printed from the door, not typed. RULED 2026-10-03</t>
        </is>
      </c>
      <c r="AA77" s="3" t="inlineStr"/>
      <c r="AB77" s="3" t="inlineStr"/>
      <c r="AC77" s="3" t="inlineStr"/>
      <c r="AD77" s="3" t="inlineStr"/>
      <c r="AE77" s="3" t="inlineStr"/>
      <c r="AF77" s="3" t="inlineStr">
        <is>
          <t>ACTIVE</t>
        </is>
      </c>
      <c r="AG77" s="3" t="inlineStr">
        <is>
          <t>2026-10-04</t>
        </is>
      </c>
      <c r="AH77" s="3" t="inlineStr"/>
      <c r="AI77" s="3" t="inlineStr"/>
      <c r="AJ77"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MK-CF-F-201,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MK-CF-F-034, MK-CF-F-157, MK-CF-O-010, MK-CF-O-018
11. MK-XS-I-015 debt interest rate — read by MK-CF-F-034, MK-CF-F-157, MK-CF-O-010, MK-CF-O-018
12. MK-XS-I-016 debt minimum payment — read by MK-CF-F-023, MK-CF-F-025, MK-CF-F-034, MK-CF-F-157, MK-CF-O-010, MK-CF-O-018
13. MK-XS-I-017 birth year — read by MK-CF-F-089
14. MK-XS-I-020 Social Security monthly amount — read by MK-CF-F-072, MK-CF-F-075
15. MK-XS-I-022 pension monthly amount — read by MK-CF-F-072, MK-CF-F-075, MK-CF-O-004, MK-CF-O-016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MK-CF-F-207, MK-CF-O-016
30. MK-XS-I-041 the payment the person chose to make on a debt — read by MK-CF-F-023
31. MK-XS-I-042 how a stream is paid — monthly, yearly or one lump — read by MK-CF-F-021, MK-CF-F-022, MK-CF-F-023, MK-CF-F-025, MK-CF-F-034, MK-CF-F-149,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MK-XS-I-053 the month a debt is first paid — read by MK-CF-F-034
37. MK-XS-I-054 the date a debt is due to be paid off in full — read by MK-CF-F-034
38. MK-XS-I-055 the wrapper an account sits in — ISA, 401(k), IRA and the rest — read by MK-CF-F-005, MK-CF-F-075, MK-CF-F-156, MK-CF-F-207, MK-CF-O-016, MK-NW-F-011, MK
39. MK-XS-I-059 the month a bonus lands — read by MK-CF-F-088, MK-CF-F-092, MK-CF-F-201, MK-CF-O-004, MK-CF-O-016
40. MK-XS-I-060 how a person is paid — weekly, fortnightly, monthly — read by MK-CF-F-130, MK-CF-O-016
41. MK-XS-I-064 the unit beside a quantity — shares, coins, contracts, ounces or units — read by MK-CF-F-003, MK-CF-F-008, MK-CF-F-204, MK-NW-F-078
42.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77" s="3" t="inlineStr">
        <is>
          <t>(the claim now stands in 'Inputs it needs' until the row is approved)</t>
        </is>
      </c>
      <c r="AL77" s="3" t="inlineStr"/>
      <c r="AM77" s="3" t="inlineStr">
        <is>
          <t>TESTED, NOT VERIFIED — you ruled on this row 2026-10-03; the figure, its formula, inputs and refusal live in MK-CF-O-018 theDebts</t>
        </is>
      </c>
      <c r="AN77" s="3" t="inlineStr">
        <is>
          <t>A $9,000 card at 24% with a $200 minimum and a $14,000 car loan at 6.9% with a $250 minimum, nothing extra paid. They stood at $27,100 at the end of January.
GIVES: 15%
(the test re-runs this through MK-CF-O-018 theDebts on every build)</t>
        </is>
      </c>
      <c r="AO77" s="3" t="inlineStr">
        <is>
          <t>NOTHING OPEN</t>
        </is>
      </c>
    </row>
  </sheetData>
  <autoFilter ref="A1:AO7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41"/>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1" customWidth="1" min="2" max="2"/>
    <col width="15" customWidth="1" min="3" max="3"/>
    <col width="28" customWidth="1" min="4" max="4"/>
    <col width="18" customWidth="1" min="5" max="5"/>
    <col width="22" customWidth="1" min="6" max="6"/>
    <col width="14" customWidth="1" min="7" max="7"/>
    <col width="50" customWidth="1" min="8" max="8"/>
    <col width="52" customWidth="1" min="9" max="9"/>
    <col width="42" customWidth="1" min="10" max="10"/>
    <col width="26" customWidth="1" min="11" max="11"/>
    <col width="42" customWidth="1" min="12" max="12"/>
    <col width="18" customWidth="1" min="13" max="13"/>
    <col width="18" customWidth="1" min="14" max="14"/>
    <col width="36" customWidth="1" min="15" max="15"/>
    <col width="42" customWidth="1" min="16" max="16"/>
    <col width="50" customWidth="1" min="17" max="17"/>
    <col width="36" customWidth="1" min="18" max="18"/>
    <col width="46" customWidth="1" min="19" max="19"/>
    <col width="42" customWidth="1" min="20" max="20"/>
    <col width="26" customWidth="1" min="21" max="21"/>
    <col width="50" customWidth="1" min="22" max="22"/>
    <col width="42" customWidth="1" min="23" max="23"/>
    <col width="18" customWidth="1" min="24" max="24"/>
    <col width="10" customWidth="1" min="25" max="25"/>
    <col width="12" customWidth="1" min="26" max="26"/>
    <col width="46" customWidth="1" min="27" max="27"/>
    <col width="46" customWidth="1" min="28" max="28"/>
    <col width="30" customWidth="1" min="29" max="29"/>
    <col width="30" customWidth="1" min="30" max="30"/>
    <col width="52" customWidth="1" min="31" max="31"/>
    <col width="12" customWidth="1" min="32" max="32"/>
    <col width="11" customWidth="1" min="33" max="33"/>
    <col width="42" customWidth="1" min="34" max="34"/>
    <col width="52" customWidth="1" min="35" max="35"/>
    <col width="46" customWidth="1" min="36" max="36"/>
    <col width="20" customWidth="1" min="37" max="37"/>
    <col width="36" customWidth="1" min="38" max="38"/>
    <col width="30" customWidth="1" min="39" max="39"/>
    <col width="52" customWidth="1" min="40" max="40"/>
    <col width="30" customWidth="1" min="41" max="41"/>
  </cols>
  <sheetData>
    <row r="1" ht="45" customHeight="1">
      <c r="A1" s="1" t="inlineStr">
        <is>
          <t>Metric ID</t>
        </is>
      </c>
      <c r="B1" s="1" t="inlineStr">
        <is>
          <t>Parent Screen Name</t>
        </is>
      </c>
      <c r="C1" s="1" t="inlineStr">
        <is>
          <t>Secondary Screen Name</t>
        </is>
      </c>
      <c r="D1" s="1" t="inlineStr">
        <is>
          <t>Name on Screen</t>
        </is>
      </c>
      <c r="E1" s="1" t="inlineStr">
        <is>
          <t>Name of Underlying Metric</t>
        </is>
      </c>
      <c r="F1" s="1" t="inlineStr">
        <is>
          <t>Function that produces it</t>
        </is>
      </c>
      <c r="G1" s="1" t="inlineStr">
        <is>
          <t>Function ID</t>
        </is>
      </c>
      <c r="H1" s="1" t="inlineStr">
        <is>
          <t>Formula (mathematical)</t>
        </is>
      </c>
      <c r="I1" s="1" t="inlineStr">
        <is>
          <t>Formula (in words)</t>
        </is>
      </c>
      <c r="J1" s="1" t="inlineStr">
        <is>
          <t>Inputs it needs</t>
        </is>
      </c>
      <c r="K1" s="1" t="inlineStr">
        <is>
          <t>What comes out — unit and rounding</t>
        </is>
      </c>
      <c r="L1" s="1" t="inlineStr">
        <is>
          <t>What it says when it cannot be computed</t>
        </is>
      </c>
      <c r="M1" s="1" t="inlineStr">
        <is>
          <t>Grain — one figure per what</t>
        </is>
      </c>
      <c r="N1" s="1" t="inlineStr">
        <is>
          <t>Period — as of when, over what window</t>
        </is>
      </c>
      <c r="O1" s="1" t="inlineStr">
        <is>
          <t>Dependency — function ID → the output it uses</t>
        </is>
      </c>
      <c r="P1" s="1" t="inlineStr">
        <is>
          <t>The chain of functions behind it</t>
        </is>
      </c>
      <c r="Q1" s="1" t="inlineStr">
        <is>
          <t>Assumptions made anywhere in that chain</t>
        </is>
      </c>
      <c r="R1" s="1" t="inlineStr">
        <is>
          <t>Secondary calculations and decisions the function makes</t>
        </is>
      </c>
      <c r="S1" s="1" t="inlineStr">
        <is>
          <t>Errors or findings to address</t>
        </is>
      </c>
      <c r="T1" s="1" t="inlineStr">
        <is>
          <t>Decisions made</t>
        </is>
      </c>
      <c r="U1" s="1" t="inlineStr">
        <is>
          <t>Same figure as (S16)</t>
        </is>
      </c>
      <c r="V1" s="1" t="inlineStr">
        <is>
          <t>Questions for you (numbered)</t>
        </is>
      </c>
      <c r="W1" s="1" t="inlineStr">
        <is>
          <t>YOUR ANSWER — use the same number</t>
        </is>
      </c>
      <c r="X1" s="1" t="inlineStr">
        <is>
          <t>Your name for it (72-metric file)</t>
        </is>
      </c>
      <c r="Y1" s="1" t="inlineStr">
        <is>
          <t>Core screen?</t>
        </is>
      </c>
      <c r="Z1" s="1" t="inlineStr">
        <is>
          <t>Row status</t>
        </is>
      </c>
      <c r="AA1" s="1" t="inlineStr">
        <is>
          <t>Audit finding — 2026-08-25 review</t>
        </is>
      </c>
      <c r="AB1" s="1" t="inlineStr">
        <is>
          <t>Formula audit — metric vs the function it names (2026-08-26)</t>
        </is>
      </c>
      <c r="AC1" s="1" t="inlineStr">
        <is>
          <t>Why no function</t>
        </is>
      </c>
      <c r="AD1" s="1" t="inlineStr">
        <is>
          <t>Wrong on screen — build first</t>
        </is>
      </c>
      <c r="AE1" s="1" t="inlineStr">
        <is>
          <t>Where each finding stands</t>
        </is>
      </c>
      <c r="AF1" s="1" t="inlineStr">
        <is>
          <t>Active or decommissioned</t>
        </is>
      </c>
      <c r="AG1" s="1" t="inlineStr">
        <is>
          <t>Date last modified</t>
        </is>
      </c>
      <c r="AH1" s="1" t="inlineStr">
        <is>
          <t>Founder comment — 2026-08-26 (the column it was written on)</t>
        </is>
      </c>
      <c r="AI1" s="1" t="inlineStr">
        <is>
          <t>Answer to the founder comment — checked against the code, 2026-09-08 (what the code does · verdict · fix)</t>
        </is>
      </c>
      <c r="AJ1" s="1" t="inlineStr">
        <is>
          <t>Inputs the code reads (from the chain, this build)</t>
        </is>
      </c>
      <c r="AK1" s="1" t="inlineStr">
        <is>
          <t>Inputs — as claimed before 2026-09-09 (old inventory)</t>
        </is>
      </c>
      <c r="AL1" s="1" t="inlineStr">
        <is>
          <t>Inputs — approved list (founder, dated)</t>
        </is>
      </c>
      <c r="AM1" s="1" t="inlineStr">
        <is>
          <t>ROW VERIFIED — founder, date and how</t>
        </is>
      </c>
      <c r="AN1" s="1" t="inlineStr">
        <is>
          <t>Worked example — these inputs give this answer (the code re-runs it on every build)</t>
        </is>
      </c>
      <c r="AO1" s="1" t="inlineStr">
        <is>
          <t>STATUS — this row</t>
        </is>
      </c>
    </row>
    <row r="2" ht="60" customHeight="1">
      <c r="A2" s="3" t="inlineStr">
        <is>
          <t>MK-MN-M-001</t>
        </is>
      </c>
      <c r="B2" s="3" t="inlineStr">
        <is>
          <t>Menu</t>
        </is>
      </c>
      <c r="C2" s="3" t="inlineStr">
        <is>
          <t>/big-costs</t>
        </is>
      </c>
      <c r="D2" s="3" t="inlineStr">
        <is>
          <t>each big cost and its year</t>
        </is>
      </c>
      <c r="E2" s="3" t="inlineStr">
        <is>
          <t>c.amount</t>
        </is>
      </c>
      <c r="F2" s="3" t="inlineStr">
        <is>
          <t>NOT ON RECORD — no function is recorded for this figure</t>
        </is>
      </c>
      <c r="G2" s="3" t="inlineStr"/>
      <c r="H2" s="3" t="inlineStr">
        <is>
          <t>total = Σ(each big cost);  each one lands in the year it is dated</t>
        </is>
      </c>
      <c r="I2" s="3" t="inlineStr">
        <is>
          <t>Adds up the one-off costs the person has told us about, each sitting in the year it is expected.</t>
        </is>
      </c>
      <c r="J2" s="3" t="inlineStr">
        <is>
          <t>NOT DETERMINED — no input list on record for this function</t>
        </is>
      </c>
      <c r="K2" s="3" t="inlineStr">
        <is>
          <t>US dollars · held to the cent · shown as whole dollars  [derived by rule — confirm]</t>
        </is>
      </c>
      <c r="L2" s="3" t="inlineStr">
        <is>
          <t>$0, and under it the one line "Nothing entered yet. Add a big cost ›" (mock approved 2026-09-12). A real zero that was entered shows a plain $0 with no line.</t>
        </is>
      </c>
      <c r="M2" s="3" t="inlineStr">
        <is>
          <t>One figure per person — or per household when two people share one record  [derived by rule — confirm]</t>
        </is>
      </c>
      <c r="N2" s="3" t="inlineStr">
        <is>
          <t>This calendar year, to today  [derived by rule — confirm]</t>
        </is>
      </c>
      <c r="O2" s="3" t="inlineStr">
        <is>
          <t>No function on record — nothing to chain</t>
        </is>
      </c>
      <c r="P2" s="3" t="inlineStr">
        <is>
          <t>No function on record — nothing to chain</t>
        </is>
      </c>
      <c r="Q2" s="3" t="inlineStr">
        <is>
          <t>No function on record — assumptions unknown</t>
        </is>
      </c>
      <c r="R2" s="3" t="inlineStr"/>
      <c r="S2" s="3" t="inlineStr"/>
      <c r="T2" s="3" t="inlineStr">
        <is>
          <t>NOT DETERMINED — no assumption recorded for this figure yet.</t>
        </is>
      </c>
      <c r="U2" s="3" t="inlineStr"/>
      <c r="V2" s="3" t="inlineStr"/>
      <c r="W2" s="3" t="inlineStr"/>
      <c r="X2" s="3" t="inlineStr"/>
      <c r="Y2" s="3" t="inlineStr">
        <is>
          <t>NOT DETERMINED</t>
        </is>
      </c>
      <c r="Z2" s="3" t="inlineStr">
        <is>
          <t>VERIFIED 2026-08-22</t>
        </is>
      </c>
      <c r="AA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2" s="3" t="inlineStr">
        <is>
          <t>B24 [NOT COMPARABLE] — This figure names no function, so its formula cannot be checked against anything. 69 of the 163 figures are in this position — the audit covers the 94 that name one.</t>
        </is>
      </c>
      <c r="AC2"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2" s="3" t="inlineStr"/>
      <c r="AE2" s="3" t="inlineStr">
        <is>
          <t>No finding on this row. That is not a statement that the row is right — only that nothing has been written against it.
G32 / Q48 — RULED 2026-09-09: $0 stays, with the sentence '$0 — nothing entered yet.' and this row's door ('Add a big cost ›'). File written; the screen follows the approved empty-state mock (one pattern, one screen), then every screen.</t>
        </is>
      </c>
      <c r="AF2" s="3" t="inlineStr">
        <is>
          <t>ACTIVE</t>
        </is>
      </c>
      <c r="AG2" s="3" t="inlineStr">
        <is>
          <t>2026-08-27</t>
        </is>
      </c>
      <c r="AH2" s="3" t="n"/>
      <c r="AI2" s="3" t="n"/>
      <c r="AJ2" s="3" t="inlineStr">
        <is>
          <t>No function on record — nothing to read from
[the code's record, this build — evidence for the ruling, not the row's statement: it cannot see inputs handed in as arguments, and it counts every branch below the producer]</t>
        </is>
      </c>
      <c r="AK2" s="3" t="inlineStr">
        <is>
          <t>(the claim now stands in 'Inputs it needs' until the row is approved)</t>
        </is>
      </c>
      <c r="AL2" s="3" t="n"/>
      <c r="AM2" s="3" t="n"/>
      <c r="AN2" s="3" t="n"/>
      <c r="AO2" s="7" t="inlineStr">
        <is>
          <t>RULED, NOT CODED (Q-PL-1 — one question, one function)</t>
        </is>
      </c>
    </row>
    <row r="3" ht="60" customHeight="1">
      <c r="A3" s="3" t="inlineStr">
        <is>
          <t>MK-MN-M-002</t>
        </is>
      </c>
      <c r="B3" s="3" t="inlineStr">
        <is>
          <t>Menu</t>
        </is>
      </c>
      <c r="C3" s="3" t="inlineStr">
        <is>
          <t>/big-costs</t>
        </is>
      </c>
      <c r="D3" s="3" t="inlineStr">
        <is>
          <t>the total of your big costs</t>
        </is>
      </c>
      <c r="E3" s="3" t="inlineStr">
        <is>
          <t>total</t>
        </is>
      </c>
      <c r="F3" s="3" t="inlineStr">
        <is>
          <t>NOT ON RECORD — no function is recorded for this figure</t>
        </is>
      </c>
      <c r="G3" s="3" t="inlineStr"/>
      <c r="H3" s="3" t="inlineStr">
        <is>
          <t>total = Σ(each big cost);  each one lands in the year it is dated</t>
        </is>
      </c>
      <c r="I3" s="3" t="inlineStr">
        <is>
          <t>Adds up the one-off costs the person has told us about, each sitting in the year it is expected.</t>
        </is>
      </c>
      <c r="J3" s="3" t="inlineStr">
        <is>
          <t>NOT DETERMINED — no input list on record for this function</t>
        </is>
      </c>
      <c r="K3" s="3" t="inlineStr">
        <is>
          <t>US dollars · held to the cent · shown as whole dollars  [derived by rule — confirm]</t>
        </is>
      </c>
      <c r="L3" s="3" t="inlineStr">
        <is>
          <t>$0, and under it the one line "Nothing entered yet. Add a big cost ›" (mock approved 2026-09-12). A real zero that was entered shows a plain $0 with no line.</t>
        </is>
      </c>
      <c r="M3" s="3" t="inlineStr">
        <is>
          <t>One figure per person — or per household when two people share one record  [derived by rule — confirm]</t>
        </is>
      </c>
      <c r="N3" s="3" t="inlineStr">
        <is>
          <t>As of today, from the latest figures held  [derived by rule — confirm]</t>
        </is>
      </c>
      <c r="O3" s="3" t="inlineStr">
        <is>
          <t>No function on record — nothing to chain</t>
        </is>
      </c>
      <c r="P3" s="3" t="inlineStr">
        <is>
          <t>No function on record — nothing to chain</t>
        </is>
      </c>
      <c r="Q3" s="3" t="inlineStr">
        <is>
          <t>No function on record — assumptions unknown</t>
        </is>
      </c>
      <c r="R3" s="3" t="inlineStr"/>
      <c r="S3" s="3" t="inlineStr"/>
      <c r="T3" s="3" t="inlineStr">
        <is>
          <t>NOT DETERMINED — no assumption recorded for this figure yet.</t>
        </is>
      </c>
      <c r="U3" s="3" t="inlineStr"/>
      <c r="V3" s="3" t="inlineStr"/>
      <c r="W3" s="3" t="inlineStr"/>
      <c r="X3" s="3" t="inlineStr"/>
      <c r="Y3" s="3" t="inlineStr">
        <is>
          <t>NOT DETERMINED</t>
        </is>
      </c>
      <c r="Z3" s="3" t="inlineStr">
        <is>
          <t>VERIFIED 2026-08-22</t>
        </is>
      </c>
      <c r="AA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3" s="3" t="inlineStr">
        <is>
          <t>B24 [NOT COMPARABLE] — This figure names no function, so its formula cannot be checked against anything. 69 of the 163 figures are in this position — the audit covers the 94 that name one.</t>
        </is>
      </c>
      <c r="AC3"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3" s="3" t="inlineStr"/>
      <c r="AE3" s="3" t="inlineStr">
        <is>
          <t>No finding on this row. That is not a statement that the row is right — only that nothing has been written against it.
G32 / Q48 — RULED 2026-09-09: $0 stays, with the sentence '$0 — nothing entered yet.' and this row's door ('Add a big cost ›'). File written; the screen follows the approved empty-state mock (one pattern, one screen), then every screen.</t>
        </is>
      </c>
      <c r="AF3" s="3" t="inlineStr">
        <is>
          <t>ACTIVE</t>
        </is>
      </c>
      <c r="AG3" s="3" t="inlineStr">
        <is>
          <t>2026-08-27</t>
        </is>
      </c>
      <c r="AH3" s="3" t="n"/>
      <c r="AI3" s="3" t="n"/>
      <c r="AJ3" s="3" t="inlineStr">
        <is>
          <t>No function on record — nothing to read from
[the code's record, this build — evidence for the ruling, not the row's statement: it cannot see inputs handed in as arguments, and it counts every branch below the producer]</t>
        </is>
      </c>
      <c r="AK3" s="3" t="inlineStr">
        <is>
          <t>(the claim now stands in 'Inputs it needs' until the row is approved)</t>
        </is>
      </c>
      <c r="AL3" s="3" t="n"/>
      <c r="AM3" s="3" t="n"/>
      <c r="AN3" s="3" t="n"/>
      <c r="AO3" s="7" t="inlineStr">
        <is>
          <t>RULED, NOT CODED (Q-PL-1 — one question, one function)</t>
        </is>
      </c>
    </row>
    <row r="4" ht="60" customHeight="1">
      <c r="A4" s="3" t="inlineStr">
        <is>
          <t>MK-MN-M-007</t>
        </is>
      </c>
      <c r="B4" s="3" t="inlineStr">
        <is>
          <t>Menu</t>
        </is>
      </c>
      <c r="C4" s="3" t="inlineStr">
        <is>
          <t>/expense</t>
        </is>
      </c>
      <c r="D4" s="3" t="inlineStr">
        <is>
          <t>$X of $Y this month · over by $Z</t>
        </is>
      </c>
      <c r="E4" s="3" t="inlineStr">
        <is>
          <t>catSpend / catBudget</t>
        </is>
      </c>
      <c r="F4" s="3" t="inlineStr">
        <is>
          <t>plannedMonthlySpend</t>
        </is>
      </c>
      <c r="G4" s="3" t="inlineStr">
        <is>
          <t>MK-CF-F-002</t>
        </is>
      </c>
      <c r="H4" s="3" t="inlineStr">
        <is>
          <t>planned a month = Σ(each category’s planned amount);  remaining = planned − spent</t>
        </is>
      </c>
      <c r="I4" s="3" t="inlineStr">
        <is>
          <t>The LARGER of two answers: the categories added up, or the single monthly figure they typed.
The larger wins deliberately. Someone may answer both and the two rarely agree, and understating expenses is the direction that FLATTERS a plan — it makes the odds look better than they are. Taking the larger errs toward the cautious side.</t>
        </is>
      </c>
      <c r="J4" s="3" t="inlineStr">
        <is>
          <t>1. the categories → SPENDING_BY_KIND  [MK-XS-I-032]
2. the single figure → monthlySpending  [MK-XS-I-024, MK-XS-I-030]</t>
        </is>
      </c>
      <c r="K4" s="3" t="inlineStr">
        <is>
          <t>US dollars · held to the cent · shown as whole dollars  [derived by rule — confirm]</t>
        </is>
      </c>
      <c r="L4" s="3" t="inlineStr">
        <is>
          <t>Adds up to $0 when there is nothing to add. Zero and "nothing recorded yet" look identical on screen — worth a decision.</t>
        </is>
      </c>
      <c r="M4" s="3" t="inlineStr">
        <is>
          <t>One figure per month  [derived by rule — confirm]</t>
        </is>
      </c>
      <c r="N4" s="3" t="inlineStr">
        <is>
          <t>This calendar month, to today  [derived by rule — confirm]</t>
        </is>
      </c>
      <c r="O4" s="3" t="inlineStr">
        <is>
          <t>1. MK-CF-F-092 (incomeMonthlyGrid) → NOT DECLARED — the code does not say what it gives back
2. MK-CF-F-004 (spendBuckets) → NOT DECLARED — the code does not say what it gives back
3. MK-XS-F-027 (takeHomeMonthly) → number
4. MK-ST-F-052 (toNum) → number</t>
        </is>
      </c>
      <c r="P4" s="3" t="inlineStr">
        <is>
          <t>1. MK-CF-F-069 benefitActiveMonths → MK-CF-F-092 incomeMonthlyGrid → MK-CF-F-002 plannedMonthlySpend
2. MK-XS-F-122 n → MK-ST-F-052 toNum → MK-CF-F-075 retirementIncomeMonthly → MK-CF-F-072 currentRetirementIncomeMonthly → MK-CF-F-092 incomeMonthlyGrid → MK-CF-F-002 plannedMonthlySpend
3. MK-ST-F-056 has → MK-CF-F-172 hasWage → MK-CF-F-173 earnerWages → MK-CF-F-092 incomeMonthlyGrid → MK-CF-F-002 plannedMonthlySpend
4. MK-XS-F-122 n → MK-ST-F-052 toNum → MK-CF-F-062 equityRowValue → MK-CF-F-065 equityVestWeights → MK-CF-F-092 incomeMonthlyGrid → MK-CF-F-002 plannedMonthlySpend
5. MK-CF-F-132 map → MK-CF-F-065 equityVestWeights → MK-CF-F-092 incomeMonthlyGrid → MK-CF-F-002 plannedMonthlySpend
6. MK-CF-F-069 benefitActiveMonths → MK-CF-F-070 benefitAnnual → MK-CF-F-071 extraIncome → MK-CF-F-092 incomeMonthlyGrid → MK-CF-F-002 plannedMonthlySpend
7. MK-XS-F-122 n → MK-ST-F-052 toNum → MK-CF-F-070 benefitAnnual → MK-CF-F-071 extraIncome → MK-CF-F-092 incomeMonthlyGrid → MK-CF-F-002 plannedMonthlySpend
8. MK-ST-F-039 on → MK-CF-F-071 extraIncome → MK-CF-F-092 incomeMonthlyGrid → MK-CF-F-002 plannedMonthlySpend
9. … and 5 more paths</t>
        </is>
      </c>
      <c r="Q4" s="3" t="inlineStr">
        <is>
          <t>1. MK-CF-F-092 — Turns a monthly figure into a year by multiplying by twelve.
2. MK-CF-F-092 — Uses today's date from the device clock, so the answer changes by itself overnight.
3. MK-CF-F-092 — Never lets earned before401k fall below 0.
4. MK-CF-F-065 — Uses a built-in total v of 0.
5. MK-CF-F-087 — Uses today's date from the device clock, so the answer changes by itself overnight.
6. MK-CF-F-181 — Turns a monthly figure into a year by multiplying by twelve.
7. MK-CF-F-181 — Rounds the answer to a whole number.
8. MK-CF-F-068 — Turns a monthly figure into a year by multiplying by twelve.
9. MK-CF-F-088 — Uses today's date from the device clock, so the answer changes by itself overnight.
10. MK-CF-F-088 — Never lets t fall below 0.
11. MK-CF-F-177 — Uses today's date from the device clock, so the answer changes by itself overnight.
12. MK-PL-F-012 — If emergency gap is missing it uses 0.
13. MK-PL-F-012 — If toxic debt is missing it uses 0.
14. MK-PL-F-012 — If employer match monthly is missing it uses 0.
15. MK-PL-F-012 — Never lets surplus fall below 0.
16. MK-PL-F-012 — Never lets need fall below 0.
17. MK-CF-F-003 — Turns a monthly figure into a year by multiplying by twelve.
18. MK-CF-F-176 — If r[i] is missing it counts as zero, so nothing recorded and a real zero look the same.
19. MK-CF-F-180 — Uses a built-in total of 0.
20. MK-CF-F-180 — Turns a monthly figure into a year by multiplying by twelve.
21. MK-CF-F-089 — Uses today's date from the device clock, so the answer changes by itself overnight.
22. MK-CF-F-082 — Uses today's date from the device clock, so the answer changes by itself overnight.
23. MK-CF-F-101 — Never lets state rate fall below 0.
24. MK-CF-F-101 — The 2026 bands per filing status are the Reference tab's statutory table (IRS Rev. Proc. 2025-32 §4.01), checked by statutory_constants.test.ts.
25. MK-CF-F-084 — Turns a monthly figure into a year by multiplying by twelve.
… and 42 more, on the functions tab</t>
        </is>
      </c>
      <c r="R4" s="3" t="inlineStr"/>
      <c r="S4" s="3" t="inlineStr"/>
      <c r="T4" s="3" t="inlineStr">
        <is>
          <t>NOT DETERMINED — no assumption recorded for this figure yet.</t>
        </is>
      </c>
      <c r="U4" s="3" t="inlineStr">
        <is>
          <t>THE SAME FIGURE AS MK-CF-M-015 — Expenses against plan for a category — the same comparison on Cash flow and on the expense screen. CONFIRM: the expense screen adds the amount being typed, which may make it a different figure.</t>
        </is>
      </c>
      <c r="V4" s="3" t="inlineStr"/>
      <c r="W4" s="3" t="inlineStr"/>
      <c r="X4" s="3" t="inlineStr"/>
      <c r="Y4" s="3" t="inlineStr">
        <is>
          <t>NOT DETERMINED</t>
        </is>
      </c>
      <c r="Z4" s="3" t="inlineStr">
        <is>
          <t>VERIFIED 2026-08-22</t>
        </is>
      </c>
      <c r="AA4"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4" s="3" t="inlineStr">
        <is>
          <t>AGREES — the figure's arithmetic and the arithmetic of the function it names say the same thing. Checked 2026-08-26.</t>
        </is>
      </c>
      <c r="AC4" s="3" t="inlineStr">
        <is>
          <t>HAS A FUNCTION — traceable from the screen to the code.</t>
        </is>
      </c>
      <c r="AD4" s="3" t="inlineStr"/>
      <c r="AE4" s="3" t="inlineStr">
        <is>
          <t>No finding on this row. That is not a statement that the row is right — only that nothing has been written against it.</t>
        </is>
      </c>
      <c r="AF4" s="3" t="inlineStr">
        <is>
          <t>SUPERSEDED BY MK-CF-M-015 — the same figure under another identifier. This number is retired and is never handed to anything else.</t>
        </is>
      </c>
      <c r="AG4" s="3" t="inlineStr">
        <is>
          <t>2026-10-02</t>
        </is>
      </c>
      <c r="AH4" s="3" t="n"/>
      <c r="AI4" s="3" t="n"/>
      <c r="AJ4"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 s="3" t="inlineStr">
        <is>
          <t>(the claim now stands in 'Inputs it needs' until the row is approved)</t>
        </is>
      </c>
      <c r="AL4" s="3" t="n"/>
      <c r="AM4" s="3" t="n"/>
      <c r="AN4" s="3" t="n"/>
      <c r="AO4" s="7" t="inlineStr">
        <is>
          <t>RULED, NOT CODED (Q-CF-2 — one question, one function)</t>
        </is>
      </c>
    </row>
    <row r="5" ht="60" customHeight="1">
      <c r="A5" s="3" t="inlineStr">
        <is>
          <t>MK-MN-M-008</t>
        </is>
      </c>
      <c r="B5" s="3" t="inlineStr">
        <is>
          <t>Menu</t>
        </is>
      </c>
      <c r="C5" s="3" t="inlineStr">
        <is>
          <t>/goals</t>
        </is>
      </c>
      <c r="D5" s="3" t="inlineStr">
        <is>
          <t>typical free cash to save $X/mo</t>
        </is>
      </c>
      <c r="E5" s="3" t="inlineStr">
        <is>
          <t>capacity.avg</t>
        </is>
      </c>
      <c r="F5" s="3" t="inlineStr">
        <is>
          <t>NOT ON RECORD — no function is recorded for this figure</t>
        </is>
      </c>
      <c r="G5" s="3" t="inlineStr"/>
      <c r="H5" s="3" t="inlineStr">
        <is>
          <t>typical free cash a month = median over recent months of (money in − money out)</t>
        </is>
      </c>
      <c r="I5" s="3" t="inlineStr">
        <is>
          <t>Looks at recent months and takes the typical amount left after money in and money out — what could realistically be saved, not the best month.</t>
        </is>
      </c>
      <c r="J5" s="3" t="inlineStr">
        <is>
          <t>NOT DETERMINED — no input list on record for this function</t>
        </is>
      </c>
      <c r="K5" s="3" t="inlineStr">
        <is>
          <t>US dollars · held to the cent · shown as whole dollars  [derived by rule — confirm]</t>
        </is>
      </c>
      <c r="L5" s="3" t="inlineStr">
        <is>
          <t>Needs recent months to speak. With too few it says so rather than offering a figure from one month.</t>
        </is>
      </c>
      <c r="M5" s="3" t="inlineStr">
        <is>
          <t>One figure per person — or per household when two people share one record  [derived by rule — confirm]</t>
        </is>
      </c>
      <c r="N5" s="3" t="inlineStr">
        <is>
          <t>As of today, from the latest figures held  [derived by rule — confirm]</t>
        </is>
      </c>
      <c r="O5" s="3" t="inlineStr">
        <is>
          <t>No function on record — nothing to chain</t>
        </is>
      </c>
      <c r="P5" s="3" t="inlineStr">
        <is>
          <t>No function on record — nothing to chain</t>
        </is>
      </c>
      <c r="Q5" s="3" t="inlineStr">
        <is>
          <t>No function on record — assumptions unknown</t>
        </is>
      </c>
      <c r="R5" s="3" t="inlineStr"/>
      <c r="S5" s="3" t="inlineStr"/>
      <c r="T5" s="3" t="inlineStr">
        <is>
          <t>NOT DETERMINED — no assumption recorded for this figure yet.</t>
        </is>
      </c>
      <c r="U5" s="3" t="inlineStr"/>
      <c r="V5" s="9" t="inlineStr">
        <is>
          <t>Q27 — "Typical free cash to save" uses the middle of recent months. How many months should it look back, and should a one-off windfall be excluded?</t>
        </is>
      </c>
      <c r="W5" s="9" t="inlineStr"/>
      <c r="X5" s="3" t="inlineStr"/>
      <c r="Y5" s="3" t="inlineStr">
        <is>
          <t>NOT DETERMINED</t>
        </is>
      </c>
      <c r="Z5" s="3" t="inlineStr">
        <is>
          <t>VERIFIED 2026-08-22</t>
        </is>
      </c>
      <c r="AA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5" s="3" t="inlineStr">
        <is>
          <t>B24 [NOT COMPARABLE] — This figure names no function, so its formula cannot be checked against anything. 69 of the 163 figures are in this position — the audit covers the 94 that name one.</t>
        </is>
      </c>
      <c r="AC5"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5" s="3" t="inlineStr"/>
      <c r="AE5" s="3" t="inlineStr">
        <is>
          <t>No finding on this row. That is not a statement that the row is right — only that nothing has been written against it.</t>
        </is>
      </c>
      <c r="AF5" s="3" t="inlineStr">
        <is>
          <t>ACTIVE</t>
        </is>
      </c>
      <c r="AG5" s="3" t="inlineStr">
        <is>
          <t>2026-08-27</t>
        </is>
      </c>
      <c r="AH5" s="3" t="n"/>
      <c r="AI5" s="3" t="n"/>
      <c r="AJ5" s="3" t="inlineStr">
        <is>
          <t>No function on record — nothing to read from
[the code's record, this build — evidence for the ruling, not the row's statement: it cannot see inputs handed in as arguments, and it counts every branch below the producer]</t>
        </is>
      </c>
      <c r="AK5" s="3" t="inlineStr">
        <is>
          <t>(the claim now stands in 'Inputs it needs' until the row is approved)</t>
        </is>
      </c>
      <c r="AL5" s="3" t="n"/>
      <c r="AM5" s="3" t="n"/>
      <c r="AN5" s="3" t="n"/>
      <c r="AO5" s="9" t="inlineStr">
        <is>
          <t>WAITING ON YOU — question Q27 · RULED, NOT CODED (Q-PL-6 — one question, one function)</t>
        </is>
      </c>
    </row>
    <row r="6" ht="60" customHeight="1">
      <c r="A6" s="3" t="inlineStr">
        <is>
          <t>MK-MN-M-009</t>
        </is>
      </c>
      <c r="B6" s="3" t="inlineStr">
        <is>
          <t>Menu</t>
        </is>
      </c>
      <c r="C6" s="3" t="inlineStr">
        <is>
          <t>/goals</t>
        </is>
      </c>
      <c r="D6" s="3" t="inlineStr">
        <is>
          <t>each goal — $X of $Y · $Z to go</t>
        </is>
      </c>
      <c r="E6" s="3" t="inlineStr">
        <is>
          <t>g.saved / g.target</t>
        </is>
      </c>
      <c r="F6" s="3" t="inlineStr">
        <is>
          <t>goalStatus</t>
        </is>
      </c>
      <c r="G6" s="3" t="inlineStr">
        <is>
          <t>MK-PL-F-023</t>
        </is>
      </c>
      <c r="H6" s="3" t="inlineStr">
        <is>
          <t>to go = target − saved;  progress = saved ÷ target</t>
        </is>
      </c>
      <c r="I6" s="3" t="inlineStr">
        <is>
          <t>What has been put aside against the target, and what is still to go.</t>
        </is>
      </c>
      <c r="J6" s="3" t="inlineStr">
        <is>
          <t>NOT DETERMINED — no input list on record for this function</t>
        </is>
      </c>
      <c r="K6" s="3" t="inlineStr">
        <is>
          <t>US dollars · held to the cent · shown as whole dollars  [derived by rule — confirm]</t>
        </is>
      </c>
      <c r="L6" s="3" t="inlineStr">
        <is>
          <t>No goal → the list is empty and shows Add a goal ›; a goal with no target shows no percentage.</t>
        </is>
      </c>
      <c r="M6" s="3" t="inlineStr">
        <is>
          <t>One figure per goal  [derived by rule — confirm]</t>
        </is>
      </c>
      <c r="N6" s="3" t="inlineStr">
        <is>
          <t>As of today, from the latest figures held  [derived by rule — confirm]</t>
        </is>
      </c>
      <c r="O6" s="3" t="inlineStr">
        <is>
          <t>MK-PL-F-020 (requiredMonthly) → number | null</t>
        </is>
      </c>
      <c r="P6" s="3" t="inlineStr">
        <is>
          <t>No function on record — nothing to chain</t>
        </is>
      </c>
      <c r="Q6" s="3" t="inlineStr">
        <is>
          <t>No function on record — assumptions unknown</t>
        </is>
      </c>
      <c r="R6" s="3" t="inlineStr"/>
      <c r="S6" s="3" t="inlineStr"/>
      <c r="T6" s="3" t="inlineStr">
        <is>
          <t>NOT DETERMINED — no assumption recorded for this figure yet.</t>
        </is>
      </c>
      <c r="U6" s="3" t="inlineStr"/>
      <c r="V6" s="3" t="inlineStr"/>
      <c r="W6" s="3" t="inlineStr"/>
      <c r="X6" s="3" t="inlineStr"/>
      <c r="Y6" s="3" t="inlineStr">
        <is>
          <t>NOT DETERMINED</t>
        </is>
      </c>
      <c r="Z6" s="3" t="inlineStr">
        <is>
          <t>VERIFIED 2026-08-22</t>
        </is>
      </c>
      <c r="AA6"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6" s="3" t="inlineStr">
        <is>
          <t>B24 [NOT COMPARABLE] — This figure names no function, so its formula cannot be checked against anything. 69 of the 163 figures are in this position — the audit covers the 94 that name one.</t>
        </is>
      </c>
      <c r="AC6"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6" s="3" t="inlineStr"/>
      <c r="AE6" s="3" t="inlineStr">
        <is>
          <t>No finding on this row. That is not a statement that the row is right — only that nothing has been written against it.
G32 / Q48 — 2026-09-09: the 'division with nothing on the bottom' boilerplate is gone; this cell now states the row's real refusal. Where it says 'built', the screen already does it; the rest follow the empty-state mock.</t>
        </is>
      </c>
      <c r="AF6" s="3" t="inlineStr">
        <is>
          <t>ACTIVE</t>
        </is>
      </c>
      <c r="AG6" s="3" t="inlineStr">
        <is>
          <t>2026-08-27</t>
        </is>
      </c>
      <c r="AH6" s="3" t="n"/>
      <c r="AI6" s="3" t="n"/>
      <c r="AJ6" s="3" t="inlineStr">
        <is>
          <t>MK-XS-I-027 goals (target, saved, date) — read by MK-PL-F-018, MK-PL-F-019, MK-PL-F-020, MK-PL-F-023
[the code's record, this build — evidence for the ruling, not the row's statement: it cannot see inputs handed in as arguments, and it counts every branch below the producer]</t>
        </is>
      </c>
      <c r="AK6" s="3" t="inlineStr">
        <is>
          <t>(the claim now stands in 'Inputs it needs' until the row is approved)</t>
        </is>
      </c>
      <c r="AL6" s="3" t="n"/>
      <c r="AM6" s="3" t="n"/>
      <c r="AN6" s="3" t="n"/>
      <c r="AO6" s="7" t="inlineStr">
        <is>
          <t>RULED, NOT CODED (Q-PL-6 — one question, one function)</t>
        </is>
      </c>
    </row>
    <row r="7" ht="60" customHeight="1">
      <c r="A7" s="3" t="inlineStr">
        <is>
          <t>MK-MN-M-010</t>
        </is>
      </c>
      <c r="B7" s="3" t="inlineStr">
        <is>
          <t>Menu</t>
        </is>
      </c>
      <c r="C7" s="3" t="inlineStr">
        <is>
          <t>/goals</t>
        </is>
      </c>
      <c r="D7" s="3" t="inlineStr">
        <is>
          <t>your non-monthly budget</t>
        </is>
      </c>
      <c r="E7" s="3" t="inlineStr">
        <is>
          <t>sinkBasis</t>
        </is>
      </c>
      <c r="F7" s="3" t="inlineStr">
        <is>
          <t>nonMonthlyBasis</t>
        </is>
      </c>
      <c r="G7" s="3" t="inlineStr">
        <is>
          <t>MK-CF-F-007</t>
        </is>
      </c>
      <c r="H7" s="3" t="inlineStr">
        <is>
          <t>set aside a month = Σ(each non-monthly cost ÷ months until it falls due)</t>
        </is>
      </c>
      <c r="I7" s="3" t="inlineStr">
        <is>
          <t>Takes the costs that do not arrive monthly and spreads each one across the months until it falls due.</t>
        </is>
      </c>
      <c r="J7" s="3" t="inlineStr">
        <is>
          <t>NOT DETERMINED — no input list on record for this function</t>
        </is>
      </c>
      <c r="K7" s="3" t="inlineStr">
        <is>
          <t>US dollars · held to the cent · shown as whole dollars  [derived by rule — confirm]</t>
        </is>
      </c>
      <c r="L7" s="3" t="inlineStr">
        <is>
          <t>$0, and under it the one line "Nothing entered yet. Add a goal ›" (mock approved 2026-09-12). A real zero that was entered shows a plain $0 with no line.</t>
        </is>
      </c>
      <c r="M7" s="3" t="inlineStr">
        <is>
          <t>One figure per month  [derived by rule — confirm]</t>
        </is>
      </c>
      <c r="N7" s="3" t="inlineStr">
        <is>
          <t>As of today, from the latest figures held  [derived by rule — confirm]</t>
        </is>
      </c>
      <c r="O7" s="3" t="inlineStr">
        <is>
          <t>MK-ST-F-052 (toNum) → number</t>
        </is>
      </c>
      <c r="P7" s="3" t="inlineStr">
        <is>
          <t>No function on record — nothing to chain</t>
        </is>
      </c>
      <c r="Q7" s="3" t="inlineStr">
        <is>
          <t>No function on record — assumptions unknown</t>
        </is>
      </c>
      <c r="R7" s="3" t="inlineStr"/>
      <c r="S7" s="3" t="inlineStr"/>
      <c r="T7" s="3" t="inlineStr">
        <is>
          <t>NOT DETERMINED — no assumption recorded for this figure yet.</t>
        </is>
      </c>
      <c r="U7" s="3" t="inlineStr"/>
      <c r="V7" s="3" t="inlineStr"/>
      <c r="W7" s="3" t="inlineStr"/>
      <c r="X7" s="3" t="inlineStr"/>
      <c r="Y7" s="3" t="inlineStr">
        <is>
          <t>NOT DETERMINED</t>
        </is>
      </c>
      <c r="Z7" s="3" t="inlineStr">
        <is>
          <t>VERIFIED 2026-08-22</t>
        </is>
      </c>
      <c r="AA7"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7" s="3" t="inlineStr">
        <is>
          <t>B24 [NOT COMPARABLE] — This figure names no function, so its formula cannot be checked against anything. 69 of the 163 figures are in this position — the audit covers the 94 that name one.</t>
        </is>
      </c>
      <c r="AC7"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7" s="3" t="inlineStr"/>
      <c r="AE7" s="3" t="inlineStr">
        <is>
          <t>No finding on this row. That is not a statement that the row is right — only that nothing has been written against it.
G32 / Q48 — RULED 2026-09-09: $0 stays, with the sentence '$0 — nothing entered yet.' and this row's door ('Add a goal ›'). File written; the screen follows the approved empty-state mock (one pattern, one screen), then every screen.</t>
        </is>
      </c>
      <c r="AF7" s="3" t="inlineStr">
        <is>
          <t>ACTIVE</t>
        </is>
      </c>
      <c r="AG7" s="3" t="inlineStr">
        <is>
          <t>2026-08-27</t>
        </is>
      </c>
      <c r="AH7" s="3" t="n"/>
      <c r="AI7" s="3" t="n"/>
      <c r="AJ7" s="3" t="inlineStr">
        <is>
          <t>1. MK-XS-I-032 expenses categories the person set up — read by MK-CF-F-007
2. MK-XS-I-064 the unit beside a quantity — shares, coins, contracts, ounces or units — read by MK-CF-F-007
[the code's record, this build — evidence for the ruling, not the row's statement: it cannot see inputs handed in as arguments, and it counts every branch below the producer]</t>
        </is>
      </c>
      <c r="AK7" s="3" t="inlineStr">
        <is>
          <t>(the claim now stands in 'Inputs it needs' until the row is approved)</t>
        </is>
      </c>
      <c r="AL7" s="3" t="n"/>
      <c r="AM7" s="3" t="n"/>
      <c r="AN7" s="3" t="n"/>
      <c r="AO7" s="7" t="inlineStr">
        <is>
          <t>RULED, NOT CODED (Q-PL-6 — one question, one function)</t>
        </is>
      </c>
    </row>
    <row r="8" ht="60" customHeight="1">
      <c r="A8" s="3" t="inlineStr">
        <is>
          <t>MK-MN-M-011</t>
        </is>
      </c>
      <c r="B8" s="3" t="inlineStr">
        <is>
          <t>Menu</t>
        </is>
      </c>
      <c r="C8" s="3" t="inlineStr">
        <is>
          <t>/income-detail</t>
        </is>
      </c>
      <c r="D8" s="3" t="inlineStr">
        <is>
          <t>TAKE-HOME / YEAR</t>
        </is>
      </c>
      <c r="E8" s="3" t="inlineStr">
        <is>
          <t>state.total_net_annual</t>
        </is>
      </c>
      <c r="F8" s="3" t="inlineStr">
        <is>
          <t>totalGrossAnnual</t>
        </is>
      </c>
      <c r="G8" s="3" t="inlineStr">
        <is>
          <t>MK-CF-O-004</t>
        </is>
      </c>
      <c r="H8" s="3" t="inlineStr">
        <is>
          <t>gross a year = salary + self-employment + bonus + equity vesting + rental + other;  take-home /month = (gross − tax withheld − pre-tax contributions) ÷ 12</t>
        </is>
      </c>
      <c r="I8" s="3" t="inlineStr">
        <is>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is>
      </c>
      <c r="J8" s="3" t="inlineStr">
        <is>
          <t>each part → its own function above  [NOT AN INPUT — another function’s answer; see the dependency column]</t>
        </is>
      </c>
      <c r="K8" s="3" t="inlineStr">
        <is>
          <t>US dollars · held to the cent · shown as whole dollars  [derived by rule — confirm]</t>
        </is>
      </c>
      <c r="L8" s="3" t="inlineStr">
        <is>
          <t>$0, and under it the one line "Nothing entered yet. Add your income ›" (mock approved 2026-09-12). A real zero that was entered shows a plain $0 with no line.</t>
        </is>
      </c>
      <c r="M8" s="3" t="inlineStr">
        <is>
          <t>One figure per person — or per household when two people share one record  [derived by rule — confirm]</t>
        </is>
      </c>
      <c r="N8" s="3" t="inlineStr">
        <is>
          <t>This calendar year, to today  [derived by rule — confirm]</t>
        </is>
      </c>
      <c r="O8"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8" s="3" t="inlineStr">
        <is>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MK-CF-F-191 ym → MK-CF-F-148 inMonth → MK-CF-F-151 actualSpending → MK-CF-O-002 expenses → MK-CF-F-068 rentalNetAnnual → MK-CF-F-083 totalGrossAnnual
7. MK-XS-F-122 n → MK-ST-F-052 toNum → MK-CF-F-151 actualSpending → MK-CF-O-002 expenses → MK-CF-F-068 rentalNetAnnual → MK-CF-F-083 totalGrossAnnual
8. MK-CF-F-191 ym → MK-CF-F-151 actualSpending → MK-CF-O-002 expenses → MK-CF-F-068 rentalNetAnnual → MK-CF-F-083 totalGrossAnnual
9. … and 5 more paths</t>
        </is>
      </c>
      <c r="Q8" s="3" t="inlineStr">
        <is>
          <t>1. MK-CF-F-083 — Turns a monthly figure into a year by multiplying by twelve.
2. MK-CF-F-083 — Uses today's date from the device clock, so the answer changes by itself overnight.
3. MK-CF-F-068 — Turns a monthly figure into a year by multiplying by twelve.
4. MK-CF-F-082 — Uses today's date from the device clock, so the answer changes by itself overnight.
5. MK-CF-F-074 — Uses today's date from the device clock, so the answer changes by itself overnight.
6. MK-CF-F-063 — Uses today's date from the device clock, so the answer changes by itself overnight.
7. MK-CF-F-081 — Uses today's date from the device clock, so the answer changes by itself overnight.
8. MK-CF-F-150 — Uses a built-in s h o w f i r s t of 5.
9. MK-CF-F-176 — If r[i] is missing it counts as zero, so nothing recorded and a real zero look the same.
10. MK-CF-F-177 — Uses today's date from the device clock, so the answer changes by itself overnight.
11. MK-CF-F-023 — If monthly payment is missing it uses 0.
12. MK-CF-F-130 — If salary freq] is missing it uses 12.
13. MK-ST-F-036 — If cash is missing it uses 0.
14. MK-CF-F-167 — Uses today's date from the device clock, so the answer changes by itself overnight.
15. MK-CF-F-165 — Uses today's date from the device clock, so the answer changes by itself overnight.</t>
        </is>
      </c>
      <c r="R8" s="3" t="inlineStr"/>
      <c r="S8" s="3" t="inlineStr"/>
      <c r="T8" s="3" t="inlineStr">
        <is>
          <t>NOT DETERMINED — no assumption recorded for this figure yet.</t>
        </is>
      </c>
      <c r="U8" s="3" t="inlineStr"/>
      <c r="V8" s="3" t="inlineStr"/>
      <c r="W8" s="3" t="inlineStr"/>
      <c r="X8" s="3" t="inlineStr"/>
      <c r="Y8" s="3" t="inlineStr">
        <is>
          <t>NOT DETERMINED</t>
        </is>
      </c>
      <c r="Z8" s="3" t="inlineStr">
        <is>
          <t>VERIFIED 2026-08-22</t>
        </is>
      </c>
      <c r="AA8"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8" s="3" t="inlineStr">
        <is>
          <t>1. B17 [ONE FORMULA] — Seven figures share one formula and one function, totalGrossAnnual, which returns GROSS A YEAR and nothing else: "take-home /year", "Gross / year", "Take-home / month", and the four per-source rows (Base salary, Self-employment, Bonus, each income source). Neither net figure is what the function returns, and a single source is not the total. Six of the seven need their own formula.</t>
        </is>
      </c>
      <c r="AC8" s="3" t="inlineStr">
        <is>
          <t>HAS A FUNCTION — traceable from the screen to the code.</t>
        </is>
      </c>
      <c r="AD8" s="3" t="inlineStr"/>
      <c r="AE8" s="3" t="inlineStr">
        <is>
          <t>B17 — FIXED 2026-09-12
G32 / Q48 — 2026-09-09: the 'division with nothing on the bottom' boilerplate is gone; this cell now states the row's real refusal. Where it says 'built', the screen already does it; the rest follow the empty-state mock.</t>
        </is>
      </c>
      <c r="AF8" s="3" t="inlineStr">
        <is>
          <t>ACTIVE</t>
        </is>
      </c>
      <c r="AG8" s="3" t="inlineStr">
        <is>
          <t>2026-10-02</t>
        </is>
      </c>
      <c r="AH8" s="3" t="n"/>
      <c r="AI8" s="3" t="n"/>
      <c r="AJ8"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8" s="3" t="inlineStr">
        <is>
          <t>(the claim now stands in 'Inputs it needs' until the row is approved)</t>
        </is>
      </c>
      <c r="AL8" s="3" t="n"/>
      <c r="AM8" s="3" t="n"/>
      <c r="AN8" s="3" t="n"/>
      <c r="AO8" s="7" t="inlineStr">
        <is>
          <t>RULED, NOT CODED (Q-CF-1 — one question, one function)</t>
        </is>
      </c>
    </row>
    <row r="9" ht="60" customHeight="1">
      <c r="A9" s="3" t="inlineStr">
        <is>
          <t>MK-MN-M-012</t>
        </is>
      </c>
      <c r="B9" s="3" t="inlineStr">
        <is>
          <t>Menu</t>
        </is>
      </c>
      <c r="C9" s="3" t="inlineStr">
        <is>
          <t>/income-detail</t>
        </is>
      </c>
      <c r="D9" s="3" t="inlineStr">
        <is>
          <t>Gross / year</t>
        </is>
      </c>
      <c r="E9" s="3" t="inlineStr">
        <is>
          <t>state.total_gross_annual</t>
        </is>
      </c>
      <c r="F9" s="3" t="inlineStr">
        <is>
          <t>totalGrossAnnual</t>
        </is>
      </c>
      <c r="G9" s="3" t="inlineStr">
        <is>
          <t>MK-CF-O-004</t>
        </is>
      </c>
      <c r="H9" s="3" t="inlineStr">
        <is>
          <t>gross a year = salary + self-employment + bonus + equity vesting + rental + other;  take-home /month = (gross − tax withheld − pre-tax contributions) ÷ 12</t>
        </is>
      </c>
      <c r="I9" s="3" t="inlineStr">
        <is>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is>
      </c>
      <c r="J9" s="3" t="inlineStr">
        <is>
          <t>each part → its own function above  [NOT AN INPUT — another function’s answer; see the dependency column]</t>
        </is>
      </c>
      <c r="K9" s="3" t="inlineStr">
        <is>
          <t>US dollars · held to the cent · shown as whole dollars  [derived by rule — confirm]</t>
        </is>
      </c>
      <c r="L9" s="3" t="inlineStr">
        <is>
          <t>$0, and under it the one line "Nothing entered yet. Add your income ›" (mock approved 2026-09-12). A real zero that was entered shows a plain $0 with no line.</t>
        </is>
      </c>
      <c r="M9" s="3" t="inlineStr">
        <is>
          <t>One figure per person — or per household when two people share one record  [derived by rule — confirm]</t>
        </is>
      </c>
      <c r="N9" s="3" t="inlineStr">
        <is>
          <t>This calendar year, to today  [derived by rule — confirm]</t>
        </is>
      </c>
      <c r="O9"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9" s="3" t="inlineStr">
        <is>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MK-CF-F-191 ym → MK-CF-F-148 inMonth → MK-CF-F-151 actualSpending → MK-CF-O-002 expenses → MK-CF-F-068 rentalNetAnnual → MK-CF-F-083 totalGrossAnnual
7. MK-XS-F-122 n → MK-ST-F-052 toNum → MK-CF-F-151 actualSpending → MK-CF-O-002 expenses → MK-CF-F-068 rentalNetAnnual → MK-CF-F-083 totalGrossAnnual
8. MK-CF-F-191 ym → MK-CF-F-151 actualSpending → MK-CF-O-002 expenses → MK-CF-F-068 rentalNetAnnual → MK-CF-F-083 totalGrossAnnual
9. … and 5 more paths</t>
        </is>
      </c>
      <c r="Q9" s="3" t="inlineStr">
        <is>
          <t>1. MK-CF-F-083 — Turns a monthly figure into a year by multiplying by twelve.
2. MK-CF-F-083 — Uses today's date from the device clock, so the answer changes by itself overnight.
3. MK-CF-F-068 — Turns a monthly figure into a year by multiplying by twelve.
4. MK-CF-F-082 — Uses today's date from the device clock, so the answer changes by itself overnight.
5. MK-CF-F-074 — Uses today's date from the device clock, so the answer changes by itself overnight.
6. MK-CF-F-063 — Uses today's date from the device clock, so the answer changes by itself overnight.
7. MK-CF-F-081 — Uses today's date from the device clock, so the answer changes by itself overnight.
8. MK-CF-F-150 — Uses a built-in s h o w f i r s t of 5.
9. MK-CF-F-176 — If r[i] is missing it counts as zero, so nothing recorded and a real zero look the same.
10. MK-CF-F-177 — Uses today's date from the device clock, so the answer changes by itself overnight.
11. MK-CF-F-023 — If monthly payment is missing it uses 0.
12. MK-CF-F-130 — If salary freq] is missing it uses 12.
13. MK-ST-F-036 — If cash is missing it uses 0.
14. MK-CF-F-167 — Uses today's date from the device clock, so the answer changes by itself overnight.
15. MK-CF-F-165 — Uses today's date from the device clock, so the answer changes by itself overnight.</t>
        </is>
      </c>
      <c r="R9" s="3" t="inlineStr"/>
      <c r="S9" s="3" t="inlineStr"/>
      <c r="T9" s="3" t="inlineStr">
        <is>
          <t>NOT DETERMINED — no assumption recorded for this figure yet.</t>
        </is>
      </c>
      <c r="U9" s="3" t="inlineStr"/>
      <c r="V9" s="3" t="inlineStr"/>
      <c r="W9" s="3" t="inlineStr"/>
      <c r="X9" s="3" t="inlineStr"/>
      <c r="Y9" s="3" t="inlineStr">
        <is>
          <t>NOT DETERMINED</t>
        </is>
      </c>
      <c r="Z9" s="3" t="inlineStr">
        <is>
          <t>VERIFIED 2026-08-22</t>
        </is>
      </c>
      <c r="AA9"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9" s="3" t="inlineStr">
        <is>
          <t>1. B17 [ONE FORMULA] — Seven figures share one formula and one function, totalGrossAnnual, which returns GROSS A YEAR and nothing else: "take-home /year", "Gross / year", "Take-home / month", and the four per-source rows (Base salary, Self-employment, Bonus, each income source). Neither net figure is what the function returns, and a single source is not the total. Six of the seven need their own formula.</t>
        </is>
      </c>
      <c r="AC9" s="3" t="inlineStr">
        <is>
          <t>HAS A FUNCTION — traceable from the screen to the code.</t>
        </is>
      </c>
      <c r="AD9" s="3" t="inlineStr"/>
      <c r="AE9" s="3" t="inlineStr">
        <is>
          <t>B17 — FIXED 2026-09-12
G32 / Q48 — 2026-09-09: the 'division with nothing on the bottom' boilerplate is gone; this cell now states the row's real refusal. Where it says 'built', the screen already does it; the rest follow the empty-state mock.</t>
        </is>
      </c>
      <c r="AF9" s="3" t="inlineStr">
        <is>
          <t>ACTIVE</t>
        </is>
      </c>
      <c r="AG9" s="3" t="inlineStr">
        <is>
          <t>2026-10-02</t>
        </is>
      </c>
      <c r="AH9" s="3" t="n"/>
      <c r="AI9" s="3" t="n"/>
      <c r="AJ9"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9" s="3" t="inlineStr">
        <is>
          <t>(the claim now stands in 'Inputs it needs' until the row is approved)</t>
        </is>
      </c>
      <c r="AL9" s="3" t="n"/>
      <c r="AM9" s="3" t="n"/>
      <c r="AN9" s="3" t="n"/>
      <c r="AO9" s="7" t="inlineStr">
        <is>
          <t>RULED, NOT CODED (Q-CF-1 — one question, one function)</t>
        </is>
      </c>
    </row>
    <row r="10" ht="60" customHeight="1">
      <c r="A10" s="3" t="inlineStr">
        <is>
          <t>MK-MN-M-013</t>
        </is>
      </c>
      <c r="B10" s="3" t="inlineStr">
        <is>
          <t>Menu</t>
        </is>
      </c>
      <c r="C10" s="3" t="inlineStr">
        <is>
          <t>/income-detail</t>
        </is>
      </c>
      <c r="D10" s="3" t="inlineStr">
        <is>
          <t>Take-home / month</t>
        </is>
      </c>
      <c r="E10" s="3" t="inlineStr">
        <is>
          <t>state.net_monthly_income</t>
        </is>
      </c>
      <c r="F10" s="3" t="inlineStr">
        <is>
          <t>totalGrossAnnual</t>
        </is>
      </c>
      <c r="G10" s="3" t="inlineStr">
        <is>
          <t>MK-CF-O-004</t>
        </is>
      </c>
      <c r="H10" s="3" t="inlineStr">
        <is>
          <t>gross a year = salary + self-employment + bonus + equity vesting + rental + other;  take-home /month = (gross − tax withheld − pre-tax contributions) ÷ 12</t>
        </is>
      </c>
      <c r="I10" s="3" t="inlineStr">
        <is>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is>
      </c>
      <c r="J10" s="3" t="inlineStr">
        <is>
          <t>each part → its own function above  [NOT AN INPUT — another function’s answer; see the dependency column]</t>
        </is>
      </c>
      <c r="K10" s="3" t="inlineStr">
        <is>
          <t>US dollars · held to the cent · shown as whole dollars  [derived by rule — confirm]</t>
        </is>
      </c>
      <c r="L10" s="3" t="inlineStr">
        <is>
          <t>$0, and under it the one line "Nothing entered yet. Add your income ›" (mock approved 2026-09-12). A real zero that was entered shows a plain $0 with no line.</t>
        </is>
      </c>
      <c r="M10" s="3" t="inlineStr">
        <is>
          <t>One figure per month  [derived by rule — confirm]</t>
        </is>
      </c>
      <c r="N10" s="3" t="inlineStr">
        <is>
          <t>As of today, from the latest figures held  [derived by rule — confirm]</t>
        </is>
      </c>
      <c r="O10" s="3" t="inlineStr">
        <is>
          <t>1. MK-CF-F-203 (MONTH) → NOT DECLARED — the code does not say what it gives back
2. MK-CF-O-001 (basePay) → BasePay
3. MK-CF-F-069 (benefitActiveMonths) → number[]
4. MK-CF-F-072 (currentRetirementIncomeMonthly) → number
5. MK-CF-F-173 (earnerWages) → EarnerWage[]
6. MK-CF-F-179 (entryFromWage) → BasePayEntry
7. MK-CF-F-071 (extraIncome) → NOT DECLARED — the code does not say what it gives back
8. MK-CF-F-085 (filingStatusOf) → import('./tax').FilingStatus
9. MK-CF-F-092 (incomeMonthlyGrid) → NOT DECLARED — the code does not say what it gives back
10. MK-CF-F-192 (inflowLabel) → string
11. MK-CF-F-132 (map) → NOT DECLARED — the code does not say what it gives back
12. MK-CF-F-103 (marginalBracketFor) → number
13. MK-CF-F-089 (over65CountOf) → number
14. MK-CF-F-181 (rateInForce) → RateInForce
15. MK-CF-F-068 (rentalNetAnnual) → number
16. MK-CF-F-082 (salaryAnnual) → number
17. MK-CF-F-060 (salaryGrossByMonth) → number[]
18. MK-CF-F-084 (taxableAnnual) → number
19. MK-ST-F-052 (toNum) → number</t>
        </is>
      </c>
      <c r="P10" s="3" t="inlineStr">
        <is>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MK-CF-F-191 ym → MK-CF-F-148 inMonth → MK-CF-F-151 actualSpending → MK-CF-O-002 expenses → MK-CF-F-068 rentalNetAnnual → MK-CF-F-083 totalGrossAnnual
7. MK-XS-F-122 n → MK-ST-F-052 toNum → MK-CF-F-151 actualSpending → MK-CF-O-002 expenses → MK-CF-F-068 rentalNetAnnual → MK-CF-F-083 totalGrossAnnual
8. MK-CF-F-191 ym → MK-CF-F-151 actualSpending → MK-CF-O-002 expenses → MK-CF-F-068 rentalNetAnnual → MK-CF-F-083 totalGrossAnnual
9. … and 5 more paths</t>
        </is>
      </c>
      <c r="Q10" s="3" t="inlineStr">
        <is>
          <t>1. MK-CF-F-083 — Turns a monthly figure into a year by multiplying by twelve.
2. MK-CF-F-083 — Uses today's date from the device clock, so the answer changes by itself overnight.
3. MK-CF-F-068 — Turns a monthly figure into a year by multiplying by twelve.
4. MK-CF-F-082 — Uses today's date from the device clock, so the answer changes by itself overnight.
5. MK-CF-F-074 — Uses today's date from the device clock, so the answer changes by itself overnight.
6. MK-CF-F-063 — Uses today's date from the device clock, so the answer changes by itself overnight.
7. MK-CF-F-081 — Uses today's date from the device clock, so the answer changes by itself overnight.
8. MK-CF-F-150 — Uses a built-in s h o w f i r s t of 5.
9. MK-CF-F-176 — If r[i] is missing it counts as zero, so nothing recorded and a real zero look the same.
10. MK-CF-F-177 — Uses today's date from the device clock, so the answer changes by itself overnight.
11. MK-CF-F-023 — If monthly payment is missing it uses 0.
12. MK-CF-F-130 — If salary freq] is missing it uses 12.
13. MK-ST-F-036 — If cash is missing it uses 0.
14. MK-CF-F-167 — Uses today's date from the device clock, so the answer changes by itself overnight.
15. MK-CF-F-165 — Uses today's date from the device clock, so the answer changes by itself overnight.</t>
        </is>
      </c>
      <c r="R10" s="3" t="inlineStr"/>
      <c r="S10" s="3" t="inlineStr"/>
      <c r="T10" s="3" t="inlineStr">
        <is>
          <t>NOT DETERMINED — no assumption recorded for this figure yet.</t>
        </is>
      </c>
      <c r="U10" s="3" t="inlineStr"/>
      <c r="V10" s="3" t="inlineStr"/>
      <c r="W10" s="3" t="inlineStr"/>
      <c r="X10" s="3" t="inlineStr"/>
      <c r="Y10" s="3" t="inlineStr">
        <is>
          <t>NOT DETERMINED</t>
        </is>
      </c>
      <c r="Z10" s="3" t="inlineStr">
        <is>
          <t>VERIFIED 2026-08-22</t>
        </is>
      </c>
      <c r="AA10"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0" s="3" t="inlineStr">
        <is>
          <t>1. B17 [ONE FORMULA] — Seven figures share one formula and one function, totalGrossAnnual, which returns GROSS A YEAR and nothing else: "take-home /year", "Gross / year", "Take-home / month", and the four per-source rows (Base salary, Self-employment, Bonus, each income source). Neither net figure is what the function returns, and a single source is not the total. Six of the seven need their own formula.</t>
        </is>
      </c>
      <c r="AC10" s="3" t="inlineStr">
        <is>
          <t>HAS A FUNCTION — traceable from the screen to the code.</t>
        </is>
      </c>
      <c r="AD10" s="3" t="inlineStr"/>
      <c r="AE10" s="3" t="inlineStr">
        <is>
          <t>B17 — FIXED 2026-09-12
G32 / Q48 — 2026-09-09: the 'division with nothing on the bottom' boilerplate is gone; this cell now states the row's real refusal. Where it says 'built', the screen already does it; the rest follow the empty-state mock.</t>
        </is>
      </c>
      <c r="AF10" s="3" t="inlineStr">
        <is>
          <t>ACTIVE</t>
        </is>
      </c>
      <c r="AG10" s="3" t="inlineStr">
        <is>
          <t>2026-10-02</t>
        </is>
      </c>
      <c r="AH10" s="3" t="n"/>
      <c r="AI10" s="3" t="n"/>
      <c r="AJ10"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MK-CF-O-004
16. MK-XS-I-023 salary and other income — read by MK-CF-F-074, MK-CF-F-082, MK-CF-F-084, MK-CF-F-088, MK-CF-F-092, MK-CF-F-165, MK
17. MK-XS-I-024 logged expenses — read by MK-CF-F-005, MK-CF-F-067, MK-CF-F-068, MK-CF-F-150, MK-CF-F-151, MK-CF-F-153, MK
18. MK-XS-I-027 goals (target, saved, date) — read by MK-CF-F-204, MK-HM-F-006, MK-PL-F-012
19. MK-XS-I-028 assumed return — read by MK-NW-O-001
20. MK-XS-I-030 tax filing status and age — read by MK-CF-F-085, MK-CF-F-089, MK-CF-F-099, MK-CF-F-100, MK-CF-F-101, MK-CF-F-103, MK
21. MK-XS-I-031 daily and monthly snapshots — read by MK-ST-F-035,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MK-CF-F-179, MK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MK-CF-F-179,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MK-CF-O-004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10" s="3" t="inlineStr">
        <is>
          <t>(the claim now stands in 'Inputs it needs' until the row is approved)</t>
        </is>
      </c>
      <c r="AL10" s="3" t="n"/>
      <c r="AM10" s="3" t="n"/>
      <c r="AN10" s="3" t="n"/>
      <c r="AO10" s="7" t="inlineStr">
        <is>
          <t>RULED, NOT CODED (Q-CF-1 — one question, one function)</t>
        </is>
      </c>
    </row>
    <row r="11" ht="60" customHeight="1">
      <c r="A11" s="3" t="inlineStr">
        <is>
          <t>MK-MN-M-014</t>
        </is>
      </c>
      <c r="B11" s="3" t="inlineStr">
        <is>
          <t>Menu</t>
        </is>
      </c>
      <c r="C11" s="3" t="inlineStr">
        <is>
          <t>/income-detail</t>
        </is>
      </c>
      <c r="D11" s="3" t="inlineStr">
        <is>
          <t>Employer 401(k) match</t>
        </is>
      </c>
      <c r="E11" s="3" t="inlineStr">
        <is>
          <t>state.employer_match_annual</t>
        </is>
      </c>
      <c r="F11" s="3" t="inlineStr">
        <is>
          <t>employerMatchMonthly</t>
        </is>
      </c>
      <c r="G11" s="3" t="inlineStr">
        <is>
          <t>MK-CF-F-078</t>
        </is>
      </c>
      <c r="H11" s="3" t="inlineStr">
        <is>
          <t>match a year = the employer’s stated rate × pay, capped at the stated limit</t>
        </is>
      </c>
      <c r="I11" s="3" t="inlineStr">
        <is>
          <t>Either a percentage of what the person contributes to their 401(k), or a flat monthly amount — whichever way they described it.</t>
        </is>
      </c>
      <c r="J11" s="3" t="inlineStr">
        <is>
          <t>1. the match → employerMatchValue  [NOT AN INPUT — another function’s answer; see the dependency column]
2. percent or dollars → employerMatchMode  [MK-XS-I-046]
3. their own contribution → c_401k  [MK-XS-I-043]</t>
        </is>
      </c>
      <c r="K11" s="3" t="inlineStr">
        <is>
          <t>US dollars · held to the cent · shown as whole dollars  [derived by rule — confirm]</t>
        </is>
      </c>
      <c r="L11" s="3" t="inlineStr">
        <is>
          <t>NOT DETERMINED — this function has not been read for its refusal yet.</t>
        </is>
      </c>
      <c r="M11" s="3" t="inlineStr">
        <is>
          <t>One figure per person — or per household when two people share one record  [derived by rule — confirm]</t>
        </is>
      </c>
      <c r="N11" s="3" t="inlineStr">
        <is>
          <t>As of today, from the latest figures held  [derived by rule — confirm]</t>
        </is>
      </c>
      <c r="O11" s="3" t="inlineStr">
        <is>
          <t>1. MK-CF-F-175 (sumOverEarners) → number
2. MK-CF-F-178 (wageMatchMonthly) → number</t>
        </is>
      </c>
      <c r="P11" s="3" t="inlineStr">
        <is>
          <t>1. MK-ST-F-056 has → MK-CF-F-172 hasWage → MK-CF-F-173 earnerWages → MK-CF-F-175 sumOverEarners → MK-CF-F-078 employerMatchMonthly
2. MK-XS-F-122 n → MK-ST-F-052 toNum → MK-CF-F-178 wageMatchMonthly → MK-CF-F-078 employerMatchMonthly</t>
        </is>
      </c>
      <c r="Q11" s="3" t="inlineStr">
        <is>
          <t>None found anywhere in this chain</t>
        </is>
      </c>
      <c r="R11" s="3" t="inlineStr"/>
      <c r="S11" s="3" t="inlineStr"/>
      <c r="T11" s="3" t="inlineStr">
        <is>
          <t>NOT DETERMINED — no assumption recorded for this figure yet.</t>
        </is>
      </c>
      <c r="U11" s="3" t="inlineStr"/>
      <c r="V11" s="3" t="inlineStr"/>
      <c r="W11" s="3" t="inlineStr"/>
      <c r="X11" s="3" t="inlineStr"/>
      <c r="Y11" s="3" t="inlineStr">
        <is>
          <t>NOT DETERMINED</t>
        </is>
      </c>
      <c r="Z11" s="3" t="inlineStr">
        <is>
          <t>VERIFIED 2026-08-22</t>
        </is>
      </c>
      <c r="AA11"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1" s="3" t="inlineStr">
        <is>
          <t>1. B29 [CLASH] — THE EMPLOYER MATCH IS WRITTEN THREE TIMES. employerMatchMonthly exists in src/domain/income/onboarding.ts:936 AND src/onboarding/modules.tsx:372, and the same expression is written inline a third time at modules.tsx:821. They agree today and nothing keeps them agreeing. Invisible to the file because src/onboarding is not one of the three folders the function sweep reads — one of 77 functions doing arithmetic outside them.
2. B04 [CLASH] — The file says "match a year = the employer's stated rate × PAY, capped at the stated limit". The code (employerMatchMonthly, src/domain/income/onboarding.ts:263) is the rate applied to the person's OWN 401(k) contribution, not to pay; it is a MONTH, not a year; and there is NO CAP in it at all. Three differences on one row, and the missing cap is the one that overstates the match.</t>
        </is>
      </c>
      <c r="AC11" s="3" t="inlineStr">
        <is>
          <t>HAS A FUNCTION — traceable from the screen to the code.</t>
        </is>
      </c>
      <c r="AD11" s="3" t="inlineStr">
        <is>
          <t>B29 — Base salary — three copies of the match arithmetic, free to drift apart</t>
        </is>
      </c>
      <c r="AE11" s="3" t="inlineStr">
        <is>
          <t>B29 — FIXED 2026-08-27
B04 — FIXED 2026-08-27</t>
        </is>
      </c>
      <c r="AF11" s="3" t="inlineStr">
        <is>
          <t>ACTIVE</t>
        </is>
      </c>
      <c r="AG11" s="3" t="inlineStr">
        <is>
          <t>2026-09-30</t>
        </is>
      </c>
      <c r="AH11" s="3" t="n"/>
      <c r="AI11" s="3" t="n"/>
      <c r="AJ11" s="3" t="inlineStr">
        <is>
          <t>1. MK-XS-I-023 salary and other income — read by MK-CF-F-172
2. MK-XS-I-043 their own retirement contribution — read by MK-CF-F-178
3. MK-XS-I-046 how the employer match is expressed — percent or dollars — read by MK-CF-F-178
[the code's record, this build — evidence for the ruling, not the row's statement: it cannot see inputs handed in as arguments, and it counts every branch below the producer]</t>
        </is>
      </c>
      <c r="AK11" s="3" t="inlineStr">
        <is>
          <t>(the claim now stands in 'Inputs it needs' until the row is approved)</t>
        </is>
      </c>
      <c r="AL11" s="3" t="n"/>
      <c r="AM11" s="3" t="n"/>
      <c r="AN11" s="3" t="n"/>
      <c r="AO11" s="7" t="inlineStr">
        <is>
          <t>RULED, NOT CODED (Q-CF-1 — one question, one function)</t>
        </is>
      </c>
    </row>
    <row r="12" ht="60" customHeight="1">
      <c r="A12" s="3" t="inlineStr">
        <is>
          <t>MK-MN-M-015</t>
        </is>
      </c>
      <c r="B12" s="3" t="inlineStr">
        <is>
          <t>Menu</t>
        </is>
      </c>
      <c r="C12" s="3" t="inlineStr">
        <is>
          <t>/insights</t>
        </is>
      </c>
      <c r="D12" s="3" t="inlineStr">
        <is>
          <t>each insight and the dollars behind it</t>
        </is>
      </c>
      <c r="E12" s="3" t="inlineStr">
        <is>
          <t>shareOf(v)</t>
        </is>
      </c>
      <c r="F12" s="3" t="inlineStr">
        <is>
          <t>NOT ON RECORD — no function is recorded for this figure</t>
        </is>
      </c>
      <c r="G12" s="3" t="inlineStr"/>
      <c r="H12" s="3" t="inlineStr">
        <is>
          <t>each insight scores its own dollars at stake; the list = the highest few, ranked</t>
        </is>
      </c>
      <c r="I12" s="3" t="inlineStr">
        <is>
          <t>Works out what is worth saying today, puts a dollar amount against each, and shows the few that matter most.</t>
        </is>
      </c>
      <c r="J12" s="3" t="inlineStr">
        <is>
          <t>NOT DETERMINED — no input list on record for this function</t>
        </is>
      </c>
      <c r="K12" s="3" t="inlineStr">
        <is>
          <t>US dollars · held to the cent · shown as whole dollars  [derived by rule — confirm]</t>
        </is>
      </c>
      <c r="L12" s="3" t="inlineStr">
        <is>
          <t>NOT DETERMINED — this function has not been read for its refusal yet.</t>
        </is>
      </c>
      <c r="M12" s="3" t="inlineStr">
        <is>
          <t>One figure per person — or per household when two people share one record  [derived by rule — confirm]</t>
        </is>
      </c>
      <c r="N12" s="3" t="inlineStr">
        <is>
          <t>As of today, from the latest figures held  [derived by rule — confirm]</t>
        </is>
      </c>
      <c r="O12" s="3" t="inlineStr">
        <is>
          <t>No function on record — nothing to chain</t>
        </is>
      </c>
      <c r="P12" s="3" t="inlineStr">
        <is>
          <t>No function on record — nothing to chain</t>
        </is>
      </c>
      <c r="Q12" s="3" t="inlineStr">
        <is>
          <t>No function on record — assumptions unknown</t>
        </is>
      </c>
      <c r="R12" s="3" t="inlineStr"/>
      <c r="S12" s="3" t="inlineStr"/>
      <c r="T12" s="3" t="inlineStr">
        <is>
          <t>NOT DETERMINED — no assumption recorded for this figure yet.</t>
        </is>
      </c>
      <c r="U12" s="3" t="inlineStr">
        <is>
          <t>THE SURVIVING IDENTIFIER for this figure. Folded in: MK-HM-M-003. The insights list. Home shows the top three of the same list the Insights screen shows in full.</t>
        </is>
      </c>
      <c r="V12" s="3" t="inlineStr"/>
      <c r="W12" s="3" t="inlineStr"/>
      <c r="X12" s="3" t="inlineStr"/>
      <c r="Y12" s="3" t="inlineStr">
        <is>
          <t>NOT DETERMINED</t>
        </is>
      </c>
      <c r="Z12" s="3" t="inlineStr">
        <is>
          <t>VERIFIED 2026-08-22</t>
        </is>
      </c>
      <c r="AA12"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2" s="3" t="inlineStr">
        <is>
          <t>B24 [NOT COMPARABLE] — This figure names no function, so its formula cannot be checked against anything. 69 of the 163 figures are in this position — the audit covers the 94 that name one.</t>
        </is>
      </c>
      <c r="AC12"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2" s="3" t="inlineStr"/>
      <c r="AE12" s="3" t="inlineStr">
        <is>
          <t>No finding on this row. That is not a statement that the row is right — only that nothing has been written against it.</t>
        </is>
      </c>
      <c r="AF12" s="3" t="inlineStr">
        <is>
          <t>ACTIVE</t>
        </is>
      </c>
      <c r="AG12" s="3" t="inlineStr">
        <is>
          <t>2026-08-27</t>
        </is>
      </c>
      <c r="AH12" s="3" t="n"/>
      <c r="AI12" s="3" t="n"/>
      <c r="AJ12" s="3" t="inlineStr">
        <is>
          <t>No function on record — nothing to read from
[the code's record, this build — evidence for the ruling, not the row's statement: it cannot see inputs handed in as arguments, and it counts every branch below the producer]</t>
        </is>
      </c>
      <c r="AK12" s="3" t="inlineStr">
        <is>
          <t>(the claim now stands in 'Inputs it needs' until the row is approved)</t>
        </is>
      </c>
      <c r="AL12" s="3" t="n"/>
      <c r="AM12" s="3" t="n"/>
      <c r="AN12" s="3" t="n"/>
      <c r="AO12" s="7" t="inlineStr">
        <is>
          <t>RULED, NOT CODED (Q-HM-1 — one question, one function)</t>
        </is>
      </c>
    </row>
    <row r="13" ht="60" customHeight="1">
      <c r="A13" s="3" t="inlineStr">
        <is>
          <t>MK-MN-M-017</t>
        </is>
      </c>
      <c r="B13" s="3" t="inlineStr">
        <is>
          <t>Menu</t>
        </is>
      </c>
      <c r="C13" s="3" t="inlineStr">
        <is>
          <t>/insurance</t>
        </is>
      </c>
      <c r="D13" s="3" t="inlineStr">
        <is>
          <t>the life-cover gap</t>
        </is>
      </c>
      <c r="E13" s="3" t="inlineStr">
        <is>
          <t>need.gap</t>
        </is>
      </c>
      <c r="F13" s="3" t="inlineStr">
        <is>
          <t>NOT ON RECORD — no function is recorded for this figure</t>
        </is>
      </c>
      <c r="G13" s="3" t="inlineStr"/>
      <c r="H13" s="3" t="inlineStr">
        <is>
          <t>need = income to replace × years + debts + goals + final expenses;  gap = need − cover already held</t>
        </is>
      </c>
      <c r="I13" s="3" t="inlineStr">
        <is>
          <t>Adds the income that would need replacing for the chosen number of years to debts, goals and final expenses, then subtracts cover already held.</t>
        </is>
      </c>
      <c r="J13" s="3" t="inlineStr">
        <is>
          <t>NOT DETERMINED — no input list on record for this function</t>
        </is>
      </c>
      <c r="K13" s="3" t="inlineStr">
        <is>
          <t>US dollars · held to the cent · shown as whole dollars  [derived by rule — confirm]</t>
        </is>
      </c>
      <c r="L13" s="3" t="inlineStr">
        <is>
          <t>NOT DETERMINED — this function has not been read for its refusal yet.</t>
        </is>
      </c>
      <c r="M13" s="3" t="inlineStr">
        <is>
          <t>One figure per person — or per household when two people share one record  [derived by rule — confirm]</t>
        </is>
      </c>
      <c r="N13" s="3" t="inlineStr">
        <is>
          <t>As of today, from the latest figures held  [derived by rule — confirm]</t>
        </is>
      </c>
      <c r="O13" s="3" t="inlineStr">
        <is>
          <t>No function on record — nothing to chain</t>
        </is>
      </c>
      <c r="P13" s="3" t="inlineStr">
        <is>
          <t>No function on record — nothing to chain</t>
        </is>
      </c>
      <c r="Q13" s="3" t="inlineStr">
        <is>
          <t>No function on record — assumptions unknown</t>
        </is>
      </c>
      <c r="R13" s="3" t="inlineStr"/>
      <c r="S13" s="3" t="inlineStr"/>
      <c r="T13" s="3" t="inlineStr">
        <is>
          <t>NOT DETERMINED — no assumption recorded for this figure yet.</t>
        </is>
      </c>
      <c r="U13" s="3" t="inlineStr"/>
      <c r="V13" s="9" t="inlineStr">
        <is>
          <t>Q25 — How many years of income should the default life-cover estimate replace, and does it assume the mortgage is cleared?</t>
        </is>
      </c>
      <c r="W13" s="9" t="inlineStr"/>
      <c r="X13" s="3" t="inlineStr"/>
      <c r="Y13" s="3" t="inlineStr">
        <is>
          <t>NOT DETERMINED</t>
        </is>
      </c>
      <c r="Z13" s="3" t="inlineStr">
        <is>
          <t>VERIFIED 2026-08-22</t>
        </is>
      </c>
      <c r="AA13"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3" s="3" t="inlineStr">
        <is>
          <t>B24 [NOT COMPARABLE] — This figure names no function, so its formula cannot be checked against anything. 69 of the 163 figures are in this position — the audit covers the 94 that name one.</t>
        </is>
      </c>
      <c r="AC13"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3" s="3" t="inlineStr"/>
      <c r="AE13" s="3" t="inlineStr">
        <is>
          <t>No finding on this row. That is not a statement that the row is right — only that nothing has been written against it.</t>
        </is>
      </c>
      <c r="AF13" s="3" t="inlineStr">
        <is>
          <t>ACTIVE</t>
        </is>
      </c>
      <c r="AG13" s="3" t="inlineStr">
        <is>
          <t>2026-08-27</t>
        </is>
      </c>
      <c r="AH13" s="3" t="n"/>
      <c r="AI13" s="3" t="n"/>
      <c r="AJ13" s="3" t="inlineStr">
        <is>
          <t>No function on record — nothing to read from
[the code's record, this build — evidence for the ruling, not the row's statement: it cannot see inputs handed in as arguments, and it counts every branch below the producer]</t>
        </is>
      </c>
      <c r="AK13" s="3" t="inlineStr">
        <is>
          <t>(the claim now stands in 'Inputs it needs' until the row is approved)</t>
        </is>
      </c>
      <c r="AL13" s="3" t="n"/>
      <c r="AM13" s="3" t="n"/>
      <c r="AN13" s="3" t="n"/>
      <c r="AO13" s="9" t="inlineStr">
        <is>
          <t>WAITING ON YOU — question Q25</t>
        </is>
      </c>
    </row>
    <row r="14" ht="60" customHeight="1">
      <c r="A14" s="3" t="inlineStr">
        <is>
          <t>MK-MN-M-018</t>
        </is>
      </c>
      <c r="B14" s="3" t="inlineStr">
        <is>
          <t>Menu</t>
        </is>
      </c>
      <c r="C14" s="3" t="inlineStr">
        <is>
          <t>/insurance</t>
        </is>
      </c>
      <c r="D14" s="3" t="inlineStr">
        <is>
          <t>Income replacement (N yrs)</t>
        </is>
      </c>
      <c r="E14" s="3" t="inlineStr">
        <is>
          <t>need.incomeReplacement</t>
        </is>
      </c>
      <c r="F14" s="3" t="inlineStr">
        <is>
          <t>NOT ON RECORD — no function is recorded for this figure</t>
        </is>
      </c>
      <c r="G14" s="3" t="inlineStr"/>
      <c r="H14" s="3" t="inlineStr">
        <is>
          <t>need = income to replace × years + debts + goals + final expenses;  gap = need − cover already held</t>
        </is>
      </c>
      <c r="I14" s="3" t="inlineStr">
        <is>
          <t>Adds the income that would need replacing for the chosen number of years to debts, goals and final expenses, then subtracts cover already held.</t>
        </is>
      </c>
      <c r="J14" s="3" t="inlineStr">
        <is>
          <t>NOT DETERMINED — no input list on record for this function</t>
        </is>
      </c>
      <c r="K14" s="3" t="inlineStr">
        <is>
          <t>US dollars · held to the cent · shown as whole dollars  [derived by rule — confirm]</t>
        </is>
      </c>
      <c r="L14" s="3" t="inlineStr">
        <is>
          <t>NOT DETERMINED — this function has not been read for its refusal yet.</t>
        </is>
      </c>
      <c r="M14" s="3" t="inlineStr">
        <is>
          <t>One figure per person — or per household when two people share one record  [derived by rule — confirm]</t>
        </is>
      </c>
      <c r="N14" s="3" t="inlineStr">
        <is>
          <t>As of today, from the latest figures held  [derived by rule — confirm]</t>
        </is>
      </c>
      <c r="O14" s="3" t="inlineStr">
        <is>
          <t>No function on record — nothing to chain</t>
        </is>
      </c>
      <c r="P14" s="3" t="inlineStr">
        <is>
          <t>No function on record — nothing to chain</t>
        </is>
      </c>
      <c r="Q14" s="3" t="inlineStr">
        <is>
          <t>No function on record — assumptions unknown</t>
        </is>
      </c>
      <c r="R14" s="3" t="inlineStr"/>
      <c r="S14" s="3" t="inlineStr"/>
      <c r="T14" s="3" t="inlineStr">
        <is>
          <t>NOT DETERMINED — no assumption recorded for this figure yet.</t>
        </is>
      </c>
      <c r="U14" s="3" t="inlineStr"/>
      <c r="V14" s="3" t="inlineStr"/>
      <c r="W14" s="3" t="inlineStr"/>
      <c r="X14" s="3" t="inlineStr"/>
      <c r="Y14" s="3" t="inlineStr">
        <is>
          <t>NOT DETERMINED</t>
        </is>
      </c>
      <c r="Z14" s="3" t="inlineStr">
        <is>
          <t>VERIFIED 2026-08-22</t>
        </is>
      </c>
      <c r="AA14"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4" s="3" t="inlineStr">
        <is>
          <t>B24 [NOT COMPARABLE] — This figure names no function, so its formula cannot be checked against anything. 69 of the 163 figures are in this position — the audit covers the 94 that name one.</t>
        </is>
      </c>
      <c r="AC14"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4" s="3" t="inlineStr"/>
      <c r="AE14" s="3" t="inlineStr">
        <is>
          <t>No finding on this row. That is not a statement that the row is right — only that nothing has been written against it.</t>
        </is>
      </c>
      <c r="AF14" s="3" t="inlineStr">
        <is>
          <t>ACTIVE</t>
        </is>
      </c>
      <c r="AG14" s="3" t="inlineStr">
        <is>
          <t>2026-08-27</t>
        </is>
      </c>
      <c r="AH14" s="3" t="n"/>
      <c r="AI14" s="3" t="n"/>
      <c r="AJ14" s="3" t="inlineStr">
        <is>
          <t>No function on record — nothing to read from
[the code's record, this build — evidence for the ruling, not the row's statement: it cannot see inputs handed in as arguments, and it counts every branch below the producer]</t>
        </is>
      </c>
      <c r="AK14" s="3" t="inlineStr">
        <is>
          <t>(the claim now stands in 'Inputs it needs' until the row is approved)</t>
        </is>
      </c>
      <c r="AL14" s="3" t="n"/>
      <c r="AM14" s="3" t="n"/>
      <c r="AN14" s="3" t="n"/>
      <c r="AO14" s="3" t="inlineStr">
        <is>
          <t>NOTHING OPEN</t>
        </is>
      </c>
    </row>
    <row r="15" ht="60" customHeight="1">
      <c r="A15" s="3" t="inlineStr">
        <is>
          <t>MK-MN-M-019</t>
        </is>
      </c>
      <c r="B15" s="3" t="inlineStr">
        <is>
          <t>Menu</t>
        </is>
      </c>
      <c r="C15" s="3" t="inlineStr">
        <is>
          <t>/insurance</t>
        </is>
      </c>
      <c r="D15" s="3" t="inlineStr">
        <is>
          <t>+ Debts, goals &amp; final expenses · Total need</t>
        </is>
      </c>
      <c r="E15" s="3" t="inlineStr">
        <is>
          <t>need.total</t>
        </is>
      </c>
      <c r="F15" s="3" t="inlineStr">
        <is>
          <t>NOT ON RECORD — no function is recorded for this figure</t>
        </is>
      </c>
      <c r="G15" s="3" t="inlineStr"/>
      <c r="H15" s="3" t="inlineStr">
        <is>
          <t>need = income to replace × years + debts + goals + final expenses;  gap = need − cover already held</t>
        </is>
      </c>
      <c r="I15" s="3" t="inlineStr">
        <is>
          <t>Adds the income that would need replacing for the chosen number of years to debts, goals and final expenses, then subtracts cover already held.</t>
        </is>
      </c>
      <c r="J15" s="3" t="inlineStr">
        <is>
          <t>NOT DETERMINED — no input list on record for this function</t>
        </is>
      </c>
      <c r="K15" s="3" t="inlineStr">
        <is>
          <t>US dollars · held to the cent · shown as whole dollars  [derived by rule — confirm]</t>
        </is>
      </c>
      <c r="L15" s="3" t="inlineStr">
        <is>
          <t>NOT DETERMINED — this function has not been read for its refusal yet.</t>
        </is>
      </c>
      <c r="M15" s="3" t="inlineStr">
        <is>
          <t>One figure per debt, and one total per person  [derived by rule — confirm]</t>
        </is>
      </c>
      <c r="N15" s="3" t="inlineStr">
        <is>
          <t>As of today, from the latest figures held  [derived by rule — confirm]</t>
        </is>
      </c>
      <c r="O15" s="3" t="inlineStr">
        <is>
          <t>No function on record — nothing to chain</t>
        </is>
      </c>
      <c r="P15" s="3" t="inlineStr">
        <is>
          <t>No function on record — nothing to chain</t>
        </is>
      </c>
      <c r="Q15" s="3" t="inlineStr">
        <is>
          <t>No function on record — assumptions unknown</t>
        </is>
      </c>
      <c r="R15" s="3" t="inlineStr"/>
      <c r="S15" s="3" t="inlineStr"/>
      <c r="T15" s="3" t="inlineStr">
        <is>
          <t>NOT DETERMINED — no assumption recorded for this figure yet.</t>
        </is>
      </c>
      <c r="U15" s="3" t="inlineStr"/>
      <c r="V15" s="3" t="inlineStr"/>
      <c r="W15" s="3" t="inlineStr"/>
      <c r="X15" s="3" t="inlineStr"/>
      <c r="Y15" s="3" t="inlineStr">
        <is>
          <t>NOT DETERMINED</t>
        </is>
      </c>
      <c r="Z15" s="3" t="inlineStr">
        <is>
          <t>VERIFIED 2026-08-22</t>
        </is>
      </c>
      <c r="AA15" s="3" t="inlineStr">
        <is>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is>
      </c>
      <c r="AB15" s="3" t="inlineStr">
        <is>
          <t>B24 [NOT COMPARABLE] — This figure names no function, so its formula cannot be checked against anything. 69 of the 163 figures are in this position — the audit covers the 94 that name one.</t>
        </is>
      </c>
      <c r="AC15" s="3" t="inlineStr">
        <is>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is>
      </c>
      <c r="AD15" s="3" t="inlineStr"/>
      <c r="AE15" s="3" t="inlineStr">
        <is>
          <t>No finding on this row. That is not a statement that the row is right — only that nothing has been written against it.</t>
        </is>
      </c>
      <c r="AF15" s="3" t="inlineStr">
        <is>
          <t>ACTIVE</t>
        </is>
      </c>
      <c r="AG15" s="3" t="inlineStr">
        <is>
          <t>2026-08-27</t>
        </is>
      </c>
      <c r="AH15" s="3" t="n"/>
      <c r="AI15" s="3" t="n"/>
      <c r="AJ15" s="3" t="inlineStr">
        <is>
          <t>No function on record — nothing to read from
[the code's record, this build — evidence for the ruling, not the row's statement: it cannot see inputs handed in as arguments, and it counts every branch below the producer]</t>
        </is>
      </c>
      <c r="AK15" s="3" t="inlineStr">
        <is>
          <t>(the claim now stands in 'Inputs it needs' until the row is approved)</t>
        </is>
      </c>
      <c r="AL15" s="3" t="n"/>
      <c r="AM15" s="3" t="n"/>
      <c r="AN15" s="3" t="n"/>
      <c r="AO15" s="3" t="inlineStr">
        <is>
          <t>NOTHING OPEN</t>
        </is>
      </c>
    </row>
    <row r="16" ht="60" customHeight="1">
      <c r="A16" s="3" t="inlineStr"/>
      <c r="B16" s="3" t="inlineStr">
        <is>
          <t>Menu</t>
        </is>
      </c>
      <c r="C16" s="3" t="inlineStr">
        <is>
          <t>/auth</t>
        </is>
      </c>
      <c r="D16" s="3" t="inlineStr">
        <is>
          <t>—</t>
        </is>
      </c>
      <c r="E16" s="3" t="inlineStr">
        <is>
          <t>—</t>
        </is>
      </c>
      <c r="F16" s="3" t="inlineStr">
        <is>
          <t>—</t>
        </is>
      </c>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is>
          <t>NOT DETERMINED</t>
        </is>
      </c>
      <c r="Y16" s="3" t="inlineStr">
        <is>
          <t>READ 2026-08-22 — no calculated figure on this screen</t>
        </is>
      </c>
      <c r="Z16" s="3" t="n"/>
      <c r="AA16" s="3" t="n"/>
      <c r="AB16" s="3" t="n"/>
      <c r="AC16" s="3" t="n"/>
      <c r="AD16" s="3" t="n"/>
      <c r="AE16" s="3" t="n"/>
      <c r="AF16" s="3" t="n"/>
      <c r="AG16" s="3" t="n"/>
      <c r="AH16" s="3" t="n"/>
      <c r="AI16" s="3" t="n"/>
      <c r="AJ16" s="3" t="n"/>
      <c r="AK16" s="3" t="n"/>
      <c r="AL16" s="3" t="n"/>
      <c r="AM16" s="3" t="n"/>
      <c r="AN16" s="3" t="n"/>
      <c r="AO16" s="3" t="n"/>
    </row>
    <row r="17" ht="45" customHeight="1">
      <c r="A17" s="3" t="inlineStr"/>
      <c r="B17" s="3" t="inlineStr">
        <is>
          <t>Menu</t>
        </is>
      </c>
      <c r="C17" s="3" t="inlineStr">
        <is>
          <t>/contribution-room</t>
        </is>
      </c>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is>
          <t>NOT STARTED — screen not yet read</t>
        </is>
      </c>
      <c r="Y17" s="3" t="n"/>
      <c r="Z17" s="3" t="n"/>
      <c r="AA17" s="3" t="n"/>
      <c r="AB17" s="3" t="n"/>
      <c r="AC17" s="3" t="n"/>
      <c r="AD17" s="3" t="n"/>
      <c r="AE17" s="3" t="n"/>
      <c r="AF17" s="3" t="n"/>
      <c r="AG17" s="3" t="n"/>
      <c r="AH17" s="3" t="n"/>
      <c r="AI17" s="3" t="n"/>
      <c r="AJ17" s="3" t="n"/>
      <c r="AK17" s="3" t="n"/>
      <c r="AL17" s="3" t="n"/>
      <c r="AM17" s="3" t="n"/>
      <c r="AN17" s="3" t="n"/>
      <c r="AO17" s="3" t="n"/>
    </row>
    <row r="18" ht="45" customHeight="1">
      <c r="A18" s="3" t="inlineStr"/>
      <c r="B18" s="3" t="inlineStr">
        <is>
          <t>Menu</t>
        </is>
      </c>
      <c r="C18" s="3" t="inlineStr">
        <is>
          <t>/credit</t>
        </is>
      </c>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is>
          <t>NOT STARTED — screen not yet read</t>
        </is>
      </c>
      <c r="Y18" s="3" t="n"/>
      <c r="Z18" s="3" t="n"/>
      <c r="AA18" s="3" t="n"/>
      <c r="AB18" s="3" t="n"/>
      <c r="AC18" s="3" t="n"/>
      <c r="AD18" s="3" t="n"/>
      <c r="AE18" s="3" t="n"/>
      <c r="AF18" s="3" t="n"/>
      <c r="AG18" s="3" t="n"/>
      <c r="AH18" s="3" t="n"/>
      <c r="AI18" s="3" t="n"/>
      <c r="AJ18" s="3" t="n"/>
      <c r="AK18" s="3" t="n"/>
      <c r="AL18" s="3" t="n"/>
      <c r="AM18" s="3" t="n"/>
      <c r="AN18" s="3" t="n"/>
      <c r="AO18" s="3" t="n"/>
    </row>
    <row r="19" ht="60" customHeight="1">
      <c r="A19" s="3" t="inlineStr"/>
      <c r="B19" s="3" t="inlineStr">
        <is>
          <t>Menu</t>
        </is>
      </c>
      <c r="C19" s="3" t="inlineStr">
        <is>
          <t>/estate</t>
        </is>
      </c>
      <c r="D19" s="3" t="inlineStr">
        <is>
          <t>—</t>
        </is>
      </c>
      <c r="E19" s="3" t="inlineStr">
        <is>
          <t>—</t>
        </is>
      </c>
      <c r="F19" s="3" t="inlineStr">
        <is>
          <t>—</t>
        </is>
      </c>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is>
          <t>NOT DETERMINED</t>
        </is>
      </c>
      <c r="Y19" s="3" t="inlineStr">
        <is>
          <t>READ 2026-08-22 — no calculated figure on this screen</t>
        </is>
      </c>
      <c r="Z19" s="3" t="n"/>
      <c r="AA19" s="3" t="n"/>
      <c r="AB19" s="3" t="n"/>
      <c r="AC19" s="3" t="n"/>
      <c r="AD19" s="3" t="n"/>
      <c r="AE19" s="3" t="n"/>
      <c r="AF19" s="3" t="n"/>
      <c r="AG19" s="3" t="n"/>
      <c r="AH19" s="3" t="n"/>
      <c r="AI19" s="3" t="n"/>
      <c r="AJ19" s="3" t="n"/>
      <c r="AK19" s="3" t="n"/>
      <c r="AL19" s="3" t="n"/>
      <c r="AM19" s="3" t="n"/>
      <c r="AN19" s="3" t="n"/>
      <c r="AO19" s="3" t="n"/>
    </row>
    <row r="20" ht="60" customHeight="1">
      <c r="A20" s="3" t="inlineStr"/>
      <c r="B20" s="3" t="inlineStr">
        <is>
          <t>Menu</t>
        </is>
      </c>
      <c r="C20" s="3" t="inlineStr">
        <is>
          <t>/first-run</t>
        </is>
      </c>
      <c r="D20" s="3" t="inlineStr">
        <is>
          <t>—</t>
        </is>
      </c>
      <c r="E20" s="3" t="inlineStr">
        <is>
          <t>—</t>
        </is>
      </c>
      <c r="F20" s="3" t="inlineStr">
        <is>
          <t>—</t>
        </is>
      </c>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is>
          <t>NOT DETERMINED</t>
        </is>
      </c>
      <c r="Y20" s="3" t="inlineStr">
        <is>
          <t>READ 2026-08-22 — no calculated figure on this screen</t>
        </is>
      </c>
      <c r="Z20" s="3" t="n"/>
      <c r="AA20" s="3" t="n"/>
      <c r="AB20" s="3" t="n"/>
      <c r="AC20" s="3" t="n"/>
      <c r="AD20" s="3" t="n"/>
      <c r="AE20" s="3" t="n"/>
      <c r="AF20" s="3" t="n"/>
      <c r="AG20" s="3" t="n"/>
      <c r="AH20" s="3" t="n"/>
      <c r="AI20" s="3" t="n"/>
      <c r="AJ20" s="3" t="n"/>
      <c r="AK20" s="3" t="n"/>
      <c r="AL20" s="3" t="n"/>
      <c r="AM20" s="3" t="n"/>
      <c r="AN20" s="3" t="n"/>
      <c r="AO20" s="3" t="n"/>
    </row>
    <row r="21" ht="45" customHeight="1">
      <c r="A21" s="3" t="inlineStr"/>
      <c r="B21" s="3" t="inlineStr">
        <is>
          <t>Menu</t>
        </is>
      </c>
      <c r="C21" s="3" t="inlineStr">
        <is>
          <t>/jobsafety</t>
        </is>
      </c>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is>
          <t>NOT STARTED — screen not yet read</t>
        </is>
      </c>
      <c r="Y21" s="3" t="n"/>
      <c r="Z21" s="3" t="n"/>
      <c r="AA21" s="3" t="n"/>
      <c r="AB21" s="3" t="n"/>
      <c r="AC21" s="3" t="n"/>
      <c r="AD21" s="3" t="n"/>
      <c r="AE21" s="3" t="n"/>
      <c r="AF21" s="3" t="n"/>
      <c r="AG21" s="3" t="n"/>
      <c r="AH21" s="3" t="n"/>
      <c r="AI21" s="3" t="n"/>
      <c r="AJ21" s="3" t="n"/>
      <c r="AK21" s="3" t="n"/>
      <c r="AL21" s="3" t="n"/>
      <c r="AM21" s="3" t="n"/>
      <c r="AN21" s="3" t="n"/>
      <c r="AO21" s="3" t="n"/>
    </row>
    <row r="22" ht="45" customHeight="1">
      <c r="A22" s="3" t="inlineStr"/>
      <c r="B22" s="3" t="inlineStr">
        <is>
          <t>Menu</t>
        </is>
      </c>
      <c r="C22" s="3" t="inlineStr">
        <is>
          <t>/other-investments</t>
        </is>
      </c>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is>
          <t>NOT STARTED — screen not yet read</t>
        </is>
      </c>
      <c r="Y22" s="3" t="n"/>
      <c r="Z22" s="3" t="n"/>
      <c r="AA22" s="3" t="n"/>
      <c r="AB22" s="3" t="n"/>
      <c r="AC22" s="3" t="n"/>
      <c r="AD22" s="3" t="n"/>
      <c r="AE22" s="3" t="n"/>
      <c r="AF22" s="3" t="n"/>
      <c r="AG22" s="3" t="n"/>
      <c r="AH22" s="3" t="n"/>
      <c r="AI22" s="3" t="n"/>
      <c r="AJ22" s="3" t="n"/>
      <c r="AK22" s="3" t="n"/>
      <c r="AL22" s="3" t="n"/>
      <c r="AM22" s="3" t="n"/>
      <c r="AN22" s="3" t="n"/>
      <c r="AO22" s="3" t="n"/>
    </row>
    <row r="23" ht="60" customHeight="1">
      <c r="A23" s="3" t="inlineStr"/>
      <c r="B23" s="3" t="inlineStr">
        <is>
          <t>Menu</t>
        </is>
      </c>
      <c r="C23" s="3" t="inlineStr">
        <is>
          <t>/rewards</t>
        </is>
      </c>
      <c r="D23" s="3" t="inlineStr">
        <is>
          <t>—</t>
        </is>
      </c>
      <c r="E23" s="3" t="inlineStr">
        <is>
          <t>—</t>
        </is>
      </c>
      <c r="F23" s="3" t="inlineStr">
        <is>
          <t>—</t>
        </is>
      </c>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is>
          <t>NOT DETERMINED</t>
        </is>
      </c>
      <c r="Y23" s="3" t="inlineStr">
        <is>
          <t>READ 2026-08-22 — no calculated figure on this screen</t>
        </is>
      </c>
      <c r="Z23" s="3" t="n"/>
      <c r="AA23" s="3" t="n"/>
      <c r="AB23" s="3" t="n"/>
      <c r="AC23" s="3" t="n"/>
      <c r="AD23" s="3" t="n"/>
      <c r="AE23" s="3" t="n"/>
      <c r="AF23" s="3" t="n"/>
      <c r="AG23" s="3" t="n"/>
      <c r="AH23" s="3" t="n"/>
      <c r="AI23" s="3" t="n"/>
      <c r="AJ23" s="3" t="n"/>
      <c r="AK23" s="3" t="n"/>
      <c r="AL23" s="3" t="n"/>
      <c r="AM23" s="3" t="n"/>
      <c r="AN23" s="3" t="n"/>
      <c r="AO23" s="3" t="n"/>
    </row>
    <row r="24" ht="60" customHeight="1">
      <c r="A24" s="3" t="inlineStr"/>
      <c r="B24" s="3" t="inlineStr">
        <is>
          <t>Menu</t>
        </is>
      </c>
      <c r="C24" s="3" t="inlineStr">
        <is>
          <t>/settings</t>
        </is>
      </c>
      <c r="D24" s="3" t="inlineStr">
        <is>
          <t>—</t>
        </is>
      </c>
      <c r="E24" s="3" t="inlineStr">
        <is>
          <t>—</t>
        </is>
      </c>
      <c r="F24" s="3" t="inlineStr">
        <is>
          <t>—</t>
        </is>
      </c>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is>
          <t>NOT DETERMINED</t>
        </is>
      </c>
      <c r="Y24" s="3" t="inlineStr">
        <is>
          <t>READ 2026-08-22 — no calculated figure on this screen</t>
        </is>
      </c>
      <c r="Z24" s="3" t="n"/>
      <c r="AA24" s="3" t="n"/>
      <c r="AB24" s="3" t="n"/>
      <c r="AC24" s="3" t="n"/>
      <c r="AD24" s="3" t="n"/>
      <c r="AE24" s="3" t="n"/>
      <c r="AF24" s="3" t="n"/>
      <c r="AG24" s="3" t="n"/>
      <c r="AH24" s="3" t="n"/>
      <c r="AI24" s="3" t="n"/>
      <c r="AJ24" s="3" t="n"/>
      <c r="AK24" s="3" t="n"/>
      <c r="AL24" s="3" t="n"/>
      <c r="AM24" s="3" t="n"/>
      <c r="AN24" s="3" t="n"/>
      <c r="AO24" s="3" t="n"/>
    </row>
    <row r="25" ht="45" customHeight="1">
      <c r="A25" s="3" t="inlineStr"/>
      <c r="B25" s="3" t="inlineStr">
        <is>
          <t>Menu</t>
        </is>
      </c>
      <c r="C25" s="3" t="inlineStr">
        <is>
          <t>/stress-test</t>
        </is>
      </c>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is>
          <t>NOT STARTED — screen not yet read</t>
        </is>
      </c>
      <c r="Y25" s="3" t="n"/>
      <c r="Z25" s="3" t="n"/>
      <c r="AA25" s="3" t="n"/>
      <c r="AB25" s="3" t="n"/>
      <c r="AC25" s="3" t="n"/>
      <c r="AD25" s="3" t="n"/>
      <c r="AE25" s="3" t="n"/>
      <c r="AF25" s="3" t="n"/>
      <c r="AG25" s="3" t="n"/>
      <c r="AH25" s="3" t="n"/>
      <c r="AI25" s="3" t="n"/>
      <c r="AJ25" s="3" t="n"/>
      <c r="AK25" s="3" t="n"/>
      <c r="AL25" s="3" t="n"/>
      <c r="AM25" s="3" t="n"/>
      <c r="AN25" s="3" t="n"/>
      <c r="AO25" s="3" t="n"/>
    </row>
    <row r="26" ht="45" customHeight="1">
      <c r="A26" s="3" t="inlineStr"/>
      <c r="B26" s="3" t="inlineStr">
        <is>
          <t>Menu</t>
        </is>
      </c>
      <c r="C26" s="3" t="inlineStr">
        <is>
          <t>/tax-organizer</t>
        </is>
      </c>
      <c r="D26" s="3" t="inlineStr"/>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is>
          <t>NOT STARTED — screen not yet read</t>
        </is>
      </c>
      <c r="Y26" s="3" t="n"/>
      <c r="Z26" s="3" t="n"/>
      <c r="AA26" s="3" t="n"/>
      <c r="AB26" s="3" t="n"/>
      <c r="AC26" s="3" t="n"/>
      <c r="AD26" s="3" t="n"/>
      <c r="AE26" s="3" t="n"/>
      <c r="AF26" s="3" t="n"/>
      <c r="AG26" s="3" t="n"/>
      <c r="AH26" s="3" t="n"/>
      <c r="AI26" s="3" t="n"/>
      <c r="AJ26" s="3" t="n"/>
      <c r="AK26" s="3" t="n"/>
      <c r="AL26" s="3" t="n"/>
      <c r="AM26" s="3" t="n"/>
      <c r="AN26" s="3" t="n"/>
      <c r="AO26" s="3" t="n"/>
    </row>
    <row r="27" ht="60" customHeight="1">
      <c r="A27" s="3" t="inlineStr"/>
      <c r="B27" s="3" t="inlineStr">
        <is>
          <t>Menu</t>
        </is>
      </c>
      <c r="C27" s="3" t="inlineStr">
        <is>
          <t>/tips</t>
        </is>
      </c>
      <c r="D27" s="3" t="inlineStr">
        <is>
          <t>—</t>
        </is>
      </c>
      <c r="E27" s="3" t="inlineStr">
        <is>
          <t>—</t>
        </is>
      </c>
      <c r="F27" s="3" t="inlineStr">
        <is>
          <t>—</t>
        </is>
      </c>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is>
          <t>NOT DETERMINED</t>
        </is>
      </c>
      <c r="Y27" s="3" t="inlineStr">
        <is>
          <t>READ 2026-08-22 — no calculated figure on this screen</t>
        </is>
      </c>
      <c r="Z27" s="3" t="n"/>
      <c r="AA27" s="3" t="n"/>
      <c r="AB27" s="3" t="n"/>
      <c r="AC27" s="3" t="n"/>
      <c r="AD27" s="3" t="n"/>
      <c r="AE27" s="3" t="n"/>
      <c r="AF27" s="3" t="n"/>
      <c r="AG27" s="3" t="n"/>
      <c r="AH27" s="3" t="n"/>
      <c r="AI27" s="3" t="n"/>
      <c r="AJ27" s="3" t="n"/>
      <c r="AK27" s="3" t="n"/>
      <c r="AL27" s="3" t="n"/>
      <c r="AM27" s="3" t="n"/>
      <c r="AN27" s="3" t="n"/>
      <c r="AO27" s="3" t="n"/>
    </row>
    <row r="28" ht="60" customHeight="1">
      <c r="A28" s="3" t="inlineStr">
        <is>
          <t>MK-MN-M-003</t>
        </is>
      </c>
      <c r="B28" s="3" t="inlineStr">
        <is>
          <t>Menu</t>
        </is>
      </c>
      <c r="C28" s="3" t="inlineStr">
        <is>
          <t>/contribution-room · /home</t>
        </is>
      </c>
      <c r="D28" s="3" t="inlineStr">
        <is>
          <t>$X left / up to $Y</t>
        </is>
      </c>
      <c r="E28" s="3" t="inlineStr">
        <is>
          <t>x_left__up_to_y</t>
        </is>
      </c>
      <c r="F28" s="3" t="inlineStr">
        <is>
          <t>1. k401Headroom (the 401(k) card)
2. annualIraLimit (the IRA card)
3. annualHsaLimit (the HSA card)</t>
        </is>
      </c>
      <c r="G28" s="3" t="inlineStr">
        <is>
          <t>1. MK-CF-F-056
2. MK-CF-F-054
3. MK-CF-F-055
4. MK-CF-F-196
5. MK-CF-F-195</t>
        </is>
      </c>
      <c r="H28" s="3" t="inlineStr">
        <is>
          <t>the IRS limit for your age this year, less what has gone in already</t>
        </is>
      </c>
      <c r="I28" s="3" t="inlineStr">
        <is>
          <t>Takes the year's legal limit for the account, subtracts what has already gone in, and divides what is left by the months remaining — the CURRENT month counts as remaining, so December divides by 1 (G36, founder 2026-09-12; monthsLeftInYear and perMonthToFill in src/domain/income/limits.ts, no arithmetic on the screen).</t>
        </is>
      </c>
      <c r="J28" s="3" t="inlineStr">
        <is>
          <t>MK-XS-I-030 tax filing status and age
MK-XS-I-023 salary and other income</t>
        </is>
      </c>
      <c r="K28" s="3" t="inlineStr">
        <is>
          <t>dollars, whole</t>
        </is>
      </c>
      <c r="L28" s="3" t="inlineStr">
        <is>
          <t>No contribution entered → 'up to $X' (the full-year cap), never '$X left'; the note says contributions are not tracked (built).</t>
        </is>
      </c>
      <c r="M28" s="3" t="inlineStr">
        <is>
          <t>one figure per household</t>
        </is>
      </c>
      <c r="N28" s="3" t="inlineStr">
        <is>
          <t>as of today</t>
        </is>
      </c>
      <c r="O28" s="3" t="inlineStr">
        <is>
          <t>MK-CF-F-195 (monthsLeftInYear) → number</t>
        </is>
      </c>
      <c r="P28" s="3" t="inlineStr">
        <is>
          <t>Declared by MK-CF-O-005 theContributionRoom</t>
        </is>
      </c>
      <c r="Q28" s="3" t="inlineStr">
        <is>
          <t>The age tested is the age ATTAINED IN THE YEAR (his ruling G1) — someone turning 50 in December gets the catch-up for the whole year.</t>
        </is>
      </c>
      <c r="R28" s="3" t="inlineStr">
        <is>
          <t>The age tested is the age ATTAINED IN THE YEAR (his ruling G1) — someone turning 50 in December gets the catch-up for the whole year.</t>
        </is>
      </c>
      <c r="S28" s="3" t="inlineStr"/>
      <c r="T28" s="3" t="inlineStr">
        <is>
          <t>The age tested is the age ATTAINED IN THE YEAR (his ruling G1) — someone turning 50 in December gets the catch-up for the whole year.
[Founder] G10, 2026-09-08 — the HSA card at 65+: the limit is shown only with the words 'If you are not enrolled in Medicare'; enrolled (MK-XS-I-062, asked on the card) → no contribution allowed, shown as $0 with the reason (IRS Publication 969).</t>
        </is>
      </c>
      <c r="U28" s="3" t="inlineStr"/>
      <c r="V28" s="3" t="inlineStr"/>
      <c r="W28" s="3" t="inlineStr"/>
      <c r="X28" s="3" t="inlineStr"/>
      <c r="Y28" s="3" t="inlineStr"/>
      <c r="Z28" s="3" t="inlineStr">
        <is>
          <t>DECLARED IN THE CODE (rule 11) — printed from the door, not typed. RULED 2026-09-27</t>
        </is>
      </c>
      <c r="AA28" s="3" t="inlineStr"/>
      <c r="AB28" s="3" t="inlineStr"/>
      <c r="AC28" s="3" t="inlineStr"/>
      <c r="AD28" s="3" t="inlineStr"/>
      <c r="AE28" s="3" t="inlineStr">
        <is>
          <t>G10 — CLOSED 2026-09-08: MK-CF-F-055 takes the Medicare answer; the card asks the question at 65+ (no other page captured it — the founder asked for a link to an existing page; none exists, so the question sits on the card itself). File and code are both updated and they match 100%.
G32 / Q48 — 2026-09-09: the 'division with nothing on the bottom' boilerplate is gone; this cell now states the row's real refusal. Where it says 'built', the screen already does it; the rest follow the empty-state mock.</t>
        </is>
      </c>
      <c r="AF28" s="3" t="inlineStr">
        <is>
          <t>ACTIVE</t>
        </is>
      </c>
      <c r="AG28" s="3" t="inlineStr">
        <is>
          <t>2026-10-04</t>
        </is>
      </c>
      <c r="AH28" s="3" t="inlineStr"/>
      <c r="AI28" s="3" t="inlineStr"/>
      <c r="AJ28" s="3" t="inlineStr">
        <is>
          <t>NONE — no function in this chain reads a stored input the sweep knows
[the code's record, this build — evidence for the ruling, not the row's statement: it cannot see inputs handed in as arguments, and it counts every branch below the producer]</t>
        </is>
      </c>
      <c r="AK28" s="3" t="inlineStr">
        <is>
          <t>(the claim now stands in 'Inputs it needs' until the row is approved)</t>
        </is>
      </c>
      <c r="AL28" s="3" t="inlineStr"/>
      <c r="AM28" s="3" t="inlineStr">
        <is>
          <t>TESTED, NOT VERIFIED — you ruled on this row 2026-09-27; the figure, its formula, inputs and refusal live in MK-CF-O-005 theContributionRoom</t>
        </is>
      </c>
      <c r="AN28" s="3" t="inlineStr">
        <is>
          <t>Born 1965 — so 61 during 2026. Paying in $1,200/month to a 401(k), $300 to a Roth IRA and $150 to an HSA; not on Medicare. Read on 29 September 2026, so four months of the year are left.
GIVES: $21,350
(the test re-runs this through MK-CF-O-005 theContributionRoom on every build)</t>
        </is>
      </c>
      <c r="AO28" s="7" t="inlineStr">
        <is>
          <t>RULED, NOT CODED (Q-CF-4 — one question, one function)</t>
        </is>
      </c>
    </row>
    <row r="29" ht="60" customHeight="1">
      <c r="A29" s="3" t="inlineStr">
        <is>
          <t>MK-MN-M-004</t>
        </is>
      </c>
      <c r="B29" s="3" t="inlineStr">
        <is>
          <t>Menu</t>
        </is>
      </c>
      <c r="C29" s="3" t="inlineStr">
        <is>
          <t>/contribution-room</t>
        </is>
      </c>
      <c r="D29" s="3" t="inlineStr">
        <is>
          <t>about $X of the $Y limit</t>
        </is>
      </c>
      <c r="E29" s="3" t="inlineStr">
        <is>
          <t>about_x_of_the_y_limit</t>
        </is>
      </c>
      <c r="F29" s="3" t="inlineStr">
        <is>
          <t>1. k401Headroom (the 401(k) card)
2. annualIraLimit (the IRA card)
3. annualHsaLimit (the HSA card)</t>
        </is>
      </c>
      <c r="G29" s="3" t="inlineStr">
        <is>
          <t>1. MK-CF-F-056
2. MK-CF-F-054
3. MK-CF-F-055
4. MK-CF-F-196
5. MK-CF-F-195</t>
        </is>
      </c>
      <c r="H29" s="3" t="inlineStr">
        <is>
          <t>what you entered per month × 12, capped at the limit</t>
        </is>
      </c>
      <c r="I29" s="3" t="inlineStr">
        <is>
          <t>Takes the year's legal limit for the account, subtracts what has already gone in, and divides what is left by the months remaining — the CURRENT month counts as remaining, so December divides by 1 (G36, founder 2026-09-12; monthsLeftInYear and perMonthToFill in src/domain/income/limits.ts, no arithmetic on the screen).</t>
        </is>
      </c>
      <c r="J29" s="3" t="inlineStr">
        <is>
          <t>MK-XS-I-023 salary and other income</t>
        </is>
      </c>
      <c r="K29" s="3" t="inlineStr">
        <is>
          <t>dollars, whole</t>
        </is>
      </c>
      <c r="L29" s="3" t="inlineStr">
        <is>
          <t>No contribution entered → the 'about $X of the limit' line is not shown; 'up to $X' stands.</t>
        </is>
      </c>
      <c r="M29" s="3" t="inlineStr">
        <is>
          <t>one figure per household</t>
        </is>
      </c>
      <c r="N29" s="3" t="inlineStr">
        <is>
          <t>as of today</t>
        </is>
      </c>
      <c r="O29" s="3" t="inlineStr">
        <is>
          <t>MK-CF-F-195 (monthsLeftInYear) → number</t>
        </is>
      </c>
      <c r="P29" s="3" t="inlineStr">
        <is>
          <t>Declared by MK-CF-O-005 theContributionRoom</t>
        </is>
      </c>
      <c r="Q29" s="3" t="inlineStr">
        <is>
          <t>Capped at the limit: a figure above it would be describing a contribution the law does not permit.</t>
        </is>
      </c>
      <c r="R29" s="3" t="inlineStr">
        <is>
          <t>Capped at the limit: a figure above it would be describing a contribution the law does not permit.</t>
        </is>
      </c>
      <c r="S29" s="3" t="inlineStr"/>
      <c r="T29" s="3" t="inlineStr">
        <is>
          <t>Capped at the limit: a figure above it would be describing a contribution the law does not permit.
[Founder] G10, 2026-09-08 — the HSA card at 65+: the limit is shown only with the words 'If you are not enrolled in Medicare'; enrolled (MK-XS-I-062, asked on the card) → no contribution allowed, shown as $0 with the reason (IRS Publication 969).</t>
        </is>
      </c>
      <c r="U29" s="3" t="inlineStr"/>
      <c r="V29" s="3" t="inlineStr"/>
      <c r="W29" s="3" t="inlineStr"/>
      <c r="X29" s="3" t="inlineStr"/>
      <c r="Y29" s="3" t="inlineStr"/>
      <c r="Z29" s="3" t="inlineStr">
        <is>
          <t>DECLARED IN THE CODE (rule 11) — printed from the door, not typed. RULED 2026-09-27</t>
        </is>
      </c>
      <c r="AA29" s="3" t="inlineStr"/>
      <c r="AB29" s="3" t="inlineStr"/>
      <c r="AC29" s="3" t="inlineStr"/>
      <c r="AD29" s="3" t="inlineStr"/>
      <c r="AE29" s="3" t="inlineStr">
        <is>
          <t>G10 — CLOSED 2026-09-08: MK-CF-F-055 takes the Medicare answer; the card asks the question at 65+ (no other page captured it — the founder asked for a link to an existing page; none exists, so the question sits on the card itself). File and code are both updated and they match 100%.
G32 / Q48 — 2026-09-09: the 'division with nothing on the bottom' boilerplate is gone; this cell now states the row's real refusal. Where it says 'built', the screen already does it; the rest follow the empty-state mock.</t>
        </is>
      </c>
      <c r="AF29" s="3" t="inlineStr">
        <is>
          <t>ACTIVE</t>
        </is>
      </c>
      <c r="AG29" s="3" t="inlineStr">
        <is>
          <t>2026-10-04</t>
        </is>
      </c>
      <c r="AH29" s="3" t="inlineStr"/>
      <c r="AI29" s="3" t="inlineStr"/>
      <c r="AJ29" s="3" t="inlineStr">
        <is>
          <t>NONE — no function in this chain reads a stored input the sweep knows
[the code's record, this build — evidence for the ruling, not the row's statement: it cannot see inputs handed in as arguments, and it counts every branch below the producer]</t>
        </is>
      </c>
      <c r="AK29" s="3" t="inlineStr">
        <is>
          <t>(the claim now stands in 'Inputs it needs' until the row is approved)</t>
        </is>
      </c>
      <c r="AL29" s="3" t="inlineStr"/>
      <c r="AM29" s="3" t="inlineStr">
        <is>
          <t>TESTED, NOT VERIFIED — you ruled on this row 2026-09-27; the figure, its formula, inputs and refusal live in MK-CF-O-005 theContributionRoom</t>
        </is>
      </c>
      <c r="AN29" s="3" t="inlineStr">
        <is>
          <t>Born 1965 — so 61 during 2026. Paying in $1,200/month to a 401(k), $300 to a Roth IRA and $150 to an HSA; not on Medicare. Read on 29 September 2026, so four months of the year are left.
GIVES: $14,400
(the test re-runs this through MK-CF-O-005 theContributionRoom on every build)</t>
        </is>
      </c>
      <c r="AO29" s="7" t="inlineStr">
        <is>
          <t>RULED, NOT CODED (Q-CF-4 — one question, one function)</t>
        </is>
      </c>
    </row>
    <row r="30" ht="60" customHeight="1">
      <c r="A30" s="3" t="inlineStr">
        <is>
          <t>MK-MN-M-005</t>
        </is>
      </c>
      <c r="B30" s="3" t="inlineStr">
        <is>
          <t>Menu</t>
        </is>
      </c>
      <c r="C30" s="3" t="inlineStr">
        <is>
          <t>/contribution-room</t>
        </is>
      </c>
      <c r="D30" s="3" t="inlineStr">
        <is>
          <t>about $X for the rest of the year</t>
        </is>
      </c>
      <c r="E30" s="3" t="inlineStr">
        <is>
          <t>about_x_for_the_rest_of_the_year</t>
        </is>
      </c>
      <c r="F30" s="3" t="inlineStr">
        <is>
          <t>1. k401Headroom (the 401(k) card)
2. annualIraLimit (the IRA card)
3. annualHsaLimit (the HSA card)</t>
        </is>
      </c>
      <c r="G30" s="3" t="inlineStr">
        <is>
          <t>1. MK-CF-F-196
2. MK-CF-F-195</t>
        </is>
      </c>
      <c r="H30" s="3" t="inlineStr">
        <is>
          <t>per month = round((room left ÷ months left) ÷ 100) × 100;  months left = max(1, 12 − month index) — the current month counts</t>
        </is>
      </c>
      <c r="I30" s="3" t="inlineStr">
        <is>
          <t>Per month = room left ÷ the months remaining in the year, the current month counted (December → 1), rounded to $100 for display — perMonthToFill in src/domain/income/limits.ts (G36). No longer worked out on the screen.</t>
        </is>
      </c>
      <c r="J30" s="3" t="inlineStr">
        <is>
          <t>MK-XS-I-023 salary and other income</t>
        </is>
      </c>
      <c r="K30" s="3" t="inlineStr">
        <is>
          <t>dollars, whole a month</t>
        </is>
      </c>
      <c r="L30" s="3" t="inlineStr">
        <is>
          <t>Nothing left to fill.</t>
        </is>
      </c>
      <c r="M30" s="3" t="inlineStr">
        <is>
          <t>one figure per household</t>
        </is>
      </c>
      <c r="N30" s="3" t="inlineStr">
        <is>
          <t>a month</t>
        </is>
      </c>
      <c r="O30" s="3" t="inlineStr">
        <is>
          <t>MK-CF-F-195 (monthsLeftInYear) → number</t>
        </is>
      </c>
      <c r="P30" s="3" t="inlineStr">
        <is>
          <t>Declared by MK-CF-O-005 theContributionRoom</t>
        </is>
      </c>
      <c r="Q30" s="3" t="inlineStr">
        <is>
          <t>THIS MONTH COUNTS (his ruling G36). Leaving it out told people to save more per month than they need to.</t>
        </is>
      </c>
      <c r="R30" s="3" t="inlineStr">
        <is>
          <t>THIS MONTH COUNTS (his ruling G36). Leaving it out told people to save more per month than they need to.</t>
        </is>
      </c>
      <c r="S30" s="3" t="inlineStr"/>
      <c r="T30" s="3" t="inlineStr">
        <is>
          <t>THIS MONTH COUNTS (his ruling G36). Leaving it out told people to save more per month than they need to.
[Founder] G10, 2026-09-08 — the HSA card at 65+: the limit is shown only with the words 'If you are not enrolled in Medicare'; enrolled (MK-XS-I-062, asked on the card) → no contribution allowed, shown as $0 with the reason (IRS Publication 969).</t>
        </is>
      </c>
      <c r="U30" s="3" t="inlineStr"/>
      <c r="V30" s="3" t="inlineStr"/>
      <c r="W30" s="3" t="inlineStr"/>
      <c r="X30" s="3" t="inlineStr"/>
      <c r="Y30" s="3" t="inlineStr"/>
      <c r="Z30" s="3" t="inlineStr">
        <is>
          <t>DECLARED IN THE CODE (rule 11) — printed from the door, not typed. RULED 2026-09-27</t>
        </is>
      </c>
      <c r="AA30" s="3" t="inlineStr"/>
      <c r="AB30" s="3" t="inlineStr"/>
      <c r="AC30" s="3" t="inlineStr"/>
      <c r="AD30" s="3" t="inlineStr"/>
      <c r="AE30" s="3" t="inlineStr">
        <is>
          <t>G10 — CLOSED 2026-09-08: MK-CF-F-055 takes the Medicare answer; the card asks the question at 65+ (no other page captured it — the founder asked for a link to an existing page; none exists, so the question sits on the card itself). File and code are both updated and they match 100%.</t>
        </is>
      </c>
      <c r="AF30" s="3" t="inlineStr">
        <is>
          <t>ACTIVE</t>
        </is>
      </c>
      <c r="AG30" s="3" t="inlineStr">
        <is>
          <t>2026-10-04</t>
        </is>
      </c>
      <c r="AH30" s="3" t="inlineStr"/>
      <c r="AI30" s="3" t="inlineStr"/>
      <c r="AJ30" s="3" t="inlineStr">
        <is>
          <t>NONE — no function in this chain reads a stored input the sweep knows
[the code's record, this build — evidence for the ruling, not the row's statement: it cannot see inputs handed in as arguments, and it counts every branch below the producer]</t>
        </is>
      </c>
      <c r="AK30" s="3" t="inlineStr">
        <is>
          <t>(the claim now stands in 'Inputs it needs' until the row is approved)</t>
        </is>
      </c>
      <c r="AL30" s="3" t="inlineStr"/>
      <c r="AM30" s="3" t="inlineStr">
        <is>
          <t>TESTED, NOT VERIFIED — you ruled on this row 2026-09-27; the figure, its formula, inputs and refusal live in MK-CF-O-005 theContributionRoom</t>
        </is>
      </c>
      <c r="AN30" s="3" t="inlineStr">
        <is>
          <t>Born 1965 — so 61 during 2026. Paying in $1,200/month to a 401(k), $300 to a Roth IRA and $150 to an HSA; not on Medicare. Read on 29 September 2026, so four months of the year are left.
GIVES: $5,300/month
(the test re-runs this through MK-CF-O-005 theContributionRoom on every build)</t>
        </is>
      </c>
      <c r="AO30" s="7" t="inlineStr">
        <is>
          <t>RULED, NOT CODED (Q-CF-4 — one question, one function)</t>
        </is>
      </c>
    </row>
    <row r="31" ht="60" customHeight="1">
      <c r="A31" s="3" t="inlineStr">
        <is>
          <t>MK-MN-M-006</t>
        </is>
      </c>
      <c r="B31" s="3" t="inlineStr">
        <is>
          <t>Menu</t>
        </is>
      </c>
      <c r="C31" s="3" t="inlineStr">
        <is>
          <t>/credit</t>
        </is>
      </c>
      <c r="D31" s="3" t="inlineStr">
        <is>
          <t>$X of $Y used — the line marks 30%</t>
        </is>
      </c>
      <c r="E31" s="3" t="inlineStr">
        <is>
          <t>x_of_y_used__the_line_marks_30</t>
        </is>
      </c>
      <c r="F31" s="3" t="inlineStr">
        <is>
          <t>theCreditLine</t>
        </is>
      </c>
      <c r="G31" s="3" t="inlineStr">
        <is>
          <t>MK-CF-O-006</t>
        </is>
      </c>
      <c r="H31" s="3" t="inlineStr">
        <is>
          <t>what is owed on your cards ÷ the total limit across them</t>
        </is>
      </c>
      <c r="I31" s="3" t="inlineStr">
        <is>
          <t>what is owed on your cards ÷ the total limit across them</t>
        </is>
      </c>
      <c r="J31" s="3" t="inlineStr">
        <is>
          <t>MK-NW-I-002 your debts</t>
        </is>
      </c>
      <c r="K31" s="3" t="inlineStr">
        <is>
          <t>dollars, whole</t>
        </is>
      </c>
      <c r="L31" s="3" t="inlineStr">
        <is>
          <t>No card limit → no percentage; the line says 'add your card's limit'. A real $0 balance shows 0% used.</t>
        </is>
      </c>
      <c r="M31" s="3" t="inlineStr">
        <is>
          <t>one figure per household</t>
        </is>
      </c>
      <c r="N31" s="3" t="inlineStr">
        <is>
          <t>as of today</t>
        </is>
      </c>
      <c r="O31" s="3" t="inlineStr">
        <is>
          <t>1. MK-CF-F-031 (creditUtilization) → CreditUtil
2. MK-CF-F-204 (line) → NOT DECLARED — the code does not say what it gives back</t>
        </is>
      </c>
      <c r="P31" s="3" t="inlineStr">
        <is>
          <t>Declared by MK-CF-O-006 theCreditLine</t>
        </is>
      </c>
      <c r="Q31" s="3" t="inlineStr">
        <is>
          <t>Under 30% is the mark the line shows, because that is the level credit scoring treats as unstretched.</t>
        </is>
      </c>
      <c r="R31" s="3" t="inlineStr">
        <is>
          <t>Under 30% is the mark the line shows, because that is the level credit scoring treats as unstretched.</t>
        </is>
      </c>
      <c r="S31" s="3" t="inlineStr"/>
      <c r="T31" s="3" t="inlineStr">
        <is>
          <t>Under 30% is the mark the line shows, because that is the level credit scoring treats as unstretched.</t>
        </is>
      </c>
      <c r="U31" s="3" t="inlineStr"/>
      <c r="V31" s="3" t="inlineStr"/>
      <c r="W31" s="3" t="inlineStr"/>
      <c r="X31" s="3" t="inlineStr"/>
      <c r="Y31" s="3" t="inlineStr"/>
      <c r="Z31" s="3" t="inlineStr">
        <is>
          <t>DECLARED IN THE CODE (rule 11) — printed from the door, not typed. RULED 2026-09-28</t>
        </is>
      </c>
      <c r="AA31" s="3" t="inlineStr"/>
      <c r="AB31" s="3" t="inlineStr"/>
      <c r="AC31" s="3" t="inlineStr"/>
      <c r="AD31" s="3" t="inlineStr"/>
      <c r="AE31" s="3" t="inlineStr">
        <is>
          <t>G32 / Q48 — 2026-09-09: the 'division with nothing on the bottom' boilerplate is gone; this cell now states the row's real refusal. Where it says 'built', the screen already does it; the rest follow the empty-state mock.</t>
        </is>
      </c>
      <c r="AF31" s="3" t="inlineStr">
        <is>
          <t>ACTIVE</t>
        </is>
      </c>
      <c r="AG31" s="3" t="inlineStr">
        <is>
          <t>2026-10-04</t>
        </is>
      </c>
      <c r="AH31" s="3" t="inlineStr"/>
      <c r="AI31" s="3" t="inlineStr"/>
      <c r="AJ31" s="3" t="inlineStr">
        <is>
          <t>1. MK-XS-I-001 account balance — read by MK-CF-F-031, MK-CF-O-006,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MK-XS-I-027 goals (target, saved, date) — read by MK-CF-F-204,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MK-CF-F-204,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1" s="3" t="inlineStr">
        <is>
          <t>(the claim now stands in 'Inputs it needs' until the row is approved)</t>
        </is>
      </c>
      <c r="AL31" s="3" t="inlineStr"/>
      <c r="AM31" s="3" t="inlineStr">
        <is>
          <t>TESTED, NOT VERIFIED — you ruled on this row 2026-09-28; the figure, its formula, inputs and refusal live in MK-CF-O-006 theCreditLine</t>
        </is>
      </c>
      <c r="AN31" s="3" t="inlineStr">
        <is>
          <t>$3,100 owed on the cards against $12,000 of total limit — 25.8% of the line in use.
GIVES: $3,100
(the test re-runs this through MK-CF-O-006 theCreditLine on every build)</t>
        </is>
      </c>
      <c r="AO31" s="3" t="inlineStr">
        <is>
          <t>NOTHING OPEN</t>
        </is>
      </c>
    </row>
    <row r="32" ht="60" customHeight="1">
      <c r="A32" s="3" t="inlineStr">
        <is>
          <t>MK-MN-M-016</t>
        </is>
      </c>
      <c r="B32" s="3" t="inlineStr">
        <is>
          <t>Menu</t>
        </is>
      </c>
      <c r="C32" s="3" t="inlineStr">
        <is>
          <t>/insights</t>
        </is>
      </c>
      <c r="D32" s="3" t="inlineStr">
        <is>
          <t>Total invested · Cash total · Investable total</t>
        </is>
      </c>
      <c r="E32" s="3" t="inlineStr">
        <is>
          <t>total_invested__cash_total__investable_t</t>
        </is>
      </c>
      <c r="F32" s="3" t="inlineStr">
        <is>
          <t>theNetWorth</t>
        </is>
      </c>
      <c r="G32" s="3" t="inlineStr">
        <is>
          <t>MK-NW-O-003</t>
        </is>
      </c>
      <c r="H32" s="3" t="inlineStr">
        <is>
          <t>investments, cash, and everything that is not a house or a car</t>
        </is>
      </c>
      <c r="I32" s="3" t="inlineStr">
        <is>
          <t>investments, cash, and everything that is not a house or a car</t>
        </is>
      </c>
      <c r="J32" s="3" t="inlineStr">
        <is>
          <t>MK-NW-I-001 your accounts</t>
        </is>
      </c>
      <c r="K32" s="3" t="inlineStr">
        <is>
          <t>dollars, whole</t>
        </is>
      </c>
      <c r="L32" s="3" t="inlineStr">
        <is>
          <t>Nothing entered yet.</t>
        </is>
      </c>
      <c r="M32" s="3" t="inlineStr">
        <is>
          <t>one figure per household</t>
        </is>
      </c>
      <c r="N32" s="3" t="inlineStr">
        <is>
          <t>as of today</t>
        </is>
      </c>
      <c r="O32" s="3" t="inlineStr">
        <is>
          <t>1. MK-NW-F-078 (ONE) → EXAMPLE, accountId: 'b1', today: TODAY }).one!;
2. MK-NW-F-029 (assetAllocation) → Record&lt;AssetClass, number&gt;
3. MK-NW-F-039 (buildAssetsState) → AssetsState
4. MK-CF-F-036 (buildDebtState) → DebtState
5. MK-NW-F-065 (buildNetWorth) → NetWorthState
6. MK-NW-F-016 (cashTotal) → number
7. MK-NW-F-022 (investableAssets) → number
8. MK-XS-F-010 (investableChangePct) → NOT DECLARED — the code does not say what it gives back
9. MK-NW-F-021 (investmentsTotal) → number
10. MK-CF-F-132 (map) → NOT DECLARED — the code does not say what it gives back
11. MK-ST-F-039 (on) → ()
12. MK-CF-F-023 (requiredPayment) → number
13. MK-XS-F-005 (trendPoints) → NOT DECLARED — the code does not say what it gives back
14. MK-XS-F-175 (uid) → NOT DECLARED — the code does not say what it gives back</t>
        </is>
      </c>
      <c r="P32" s="3" t="inlineStr">
        <is>
          <t>Declared by MK-NW-O-003 theNetWorth</t>
        </is>
      </c>
      <c r="Q32" s="3" t="inlineStr">
        <is>
          <t>Insights took these its own way before 2026-09-27; his ruling on Q-NW-1 made all three screens read one answer.</t>
        </is>
      </c>
      <c r="R32" s="3" t="inlineStr">
        <is>
          <t>Insights took these its own way before 2026-09-27; his ruling on Q-NW-1 made all three screens read one answer.</t>
        </is>
      </c>
      <c r="S32" s="3" t="inlineStr"/>
      <c r="T32" s="3" t="inlineStr">
        <is>
          <t>Insights took these its own way before 2026-09-27; his ruling on Q-NW-1 made all three screens read one answer.</t>
        </is>
      </c>
      <c r="U32" s="3" t="inlineStr"/>
      <c r="V32" s="3" t="inlineStr"/>
      <c r="W32" s="3" t="inlineStr"/>
      <c r="X32" s="3" t="inlineStr"/>
      <c r="Y32" s="3" t="inlineStr"/>
      <c r="Z32" s="3" t="inlineStr">
        <is>
          <t>DECLARED IN THE CODE (rule 11) — printed from the door, not typed. RULED 2026-09-27</t>
        </is>
      </c>
      <c r="AA32" s="3" t="inlineStr"/>
      <c r="AB32" s="3" t="inlineStr"/>
      <c r="AC32" s="3" t="inlineStr"/>
      <c r="AD32" s="3" t="inlineStr"/>
      <c r="AE32" s="3" t="inlineStr"/>
      <c r="AF32" s="3" t="inlineStr">
        <is>
          <t>ACTIVE</t>
        </is>
      </c>
      <c r="AG32" s="3" t="inlineStr">
        <is>
          <t>2026-10-04</t>
        </is>
      </c>
      <c r="AH32" s="3" t="inlineStr"/>
      <c r="AI32" s="3" t="inlineStr"/>
      <c r="AJ32" s="3" t="inlineStr">
        <is>
          <t>1. MK-XS-I-001 account balance — read by MK-CF-F-111, MK-CF-F-133, MK-CF-F-134, MK-CF-F-136, MK-NW-F-015, MK-NW-F-016, MK
2. MK-XS-I-002 account type (taxable, pre-tax, Roth) — read by MK-CF-F-134, MK-CF-F-136, MK-NW-F-011, MK-NW-F-040, MK-NW-F-054, MK-NW-O-001, MK
3. MK-XS-I-003 institution name — read by MK-NW-F-071, MK-NW-F-072, MK-NW-O-001
4. MK-XS-I-004 holding quantity (shares) — read by MK-CF-F-062, MK-CF-F-111, MK-CF-F-116, MK-CF-F-138, MK-CF-F-139, MK-CF-F-201,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MK-XS-I-011 bond face value — read by MK-NW-F-056, MK-NW-F-057, MK-NW-F-060, MK-NW-F-061, MK-NW-F-064, MK-NW-F-069, MK
12. MK-XS-I-012 bond coupon rate — read by MK-NW-F-056, MK-NW-F-057, MK-NW-F-064, MK-NW-F-071, MK-NW-F-072, MK-NW-F-078, MK
13. MK-XS-I-013 bond maturity date — read by MK-NW-F-011, MK-NW-F-053, MK-NW-F-056, MK-NW-F-058, MK-NW-F-060, MK-NW-F-061, MK
14. MK-XS-I-014 debt balance — read by MK-CF-F-036, MK-CF-F-038, MK-CF-F-157, MK-CF-O-010, MK-NW-O-003
15. MK-XS-I-015 debt interest rate — read by MK-CF-F-036, MK-CF-F-038, MK-CF-F-157, MK-CF-O-010
16. MK-XS-I-016 debt minimum payment — read by MK-CF-F-023, MK-CF-F-025, MK-CF-F-038, MK-CF-F-157, MK-CF-O-010
17. MK-XS-I-017 birth year — read by MK-CF-F-089
18. MK-XS-I-018 retirement age — read by MK-XS-F-174, MK-XS-F-175
19. MK-XS-I-020 Social Security monthly amount — read by MK-CF-F-072, MK-CF-F-075, MK-XS-F-174, MK-XS-F-175
20. MK-XS-I-021 Social Security claim age — read by MK-XS-F-174, MK-XS-F-175
21. MK-XS-I-022 pension monthly amount — read by MK-CF-F-072, MK-CF-F-075, MK-CF-O-004, MK-CF-O-016
22. MK-XS-I-023 salary and other income — read by MK-CF-F-074, MK-CF-F-082, MK-CF-F-084, MK-CF-F-088, MK-CF-F-092, MK-CF-F-165, MK
23. MK-XS-I-024 logged expenses — read by MK-CF-F-005, MK-CF-F-067, MK-CF-F-068, MK-CF-F-109, MK-CF-F-150, MK-CF-F-151, MK
24. MK-XS-I-026 big costs (amount and year) — read by MK-XS-F-174, MK-XS-F-175
25. MK-XS-I-027 goals (target, saved, date) — read by MK-CF-F-204, MK-HM-F-006, MK-PL-F-012, MK-PL-F-013, MK-XS-F-174, MK-XS-F-175
26. MK-XS-I-028 assumed return — read by MK-NW-F-039, MK-NW-F-040, MK-NW-O-001
27. MK-XS-I-029 inflation rate — read by MK-XS-F-174, MK-XS-F-175
28. MK-XS-I-030 tax filing status and age — read by MK-CF-F-085, MK-CF-F-089, MK-CF-F-097, MK-CF-F-099, MK-CF-F-100, MK-CF-F-101, MK
29. MK-XS-I-031 daily and monthly snapshots — read by MK-ST-F-028, MK-ST-F-030, MK-ST-F-035, MK-ST-F-036, MK-ST-F-072, MK-ST-F-073, MK
30. MK-XS-I-032 expenses categories the person set up — read by MK-CF-F-004, MK-CF-F-008
31. MK-XS-I-034 option positions — contracts, strike, expiry, put or call — read by MK-CF-F-062, MK-NW-F-027
32. MK-XS-I-035 annuity income — read by MK-CF-F-072, MK-CF-F-075
33. MK-XS-I-036 other guaranteed income — read by MK-CF-F-072, MK-CF-F-075
34. MK-XS-I-037 required-withdrawal income stream (ri_rmd) — read by MK-CF-F-075
35. MK-XS-I-038 withdrawal income stream (ri_withdrawals) — read by MK-CF-F-075
36. MK-XS-I-039 how often each income arrives — read by MK-CF-F-071, MK-CF-F-072, MK-CF-F-074, MK-CF-F-075, MK-CF-F-130, MK-CF-F-179, MK
37. MK-XS-I-040 whether a stream is already being received — read by MK-CF-F-072, MK-CF-F-207, MK-CF-O-016
38. MK-XS-I-041 the payment the person chose to make on a debt — read by MK-CF-F-023
39. MK-XS-I-042 how a stream is paid — monthly, yearly or one lump — read by MK-CF-F-021, MK-CF-F-022, MK-CF-F-023, MK-CF-F-025, MK-CF-F-149, MK-CF-F-150, MK
40. MK-XS-I-043 their own retirement contribution — read by MK-CF-F-092, MK-CF-F-179, MK-CF-F-181, MK-CF-F-206
41. MK-XS-I-044 the person’s own plan overrides — read by MK-XS-F-174, MK-XS-F-175
42. MK-XS-I-048 the person’s own asset-class answer — read by MK-NW-F-011, MK-NW-F-027, MK-NW-F-054, MK-ST-F-027, MK-ST-F-028, MK-ST-F-073, MK
43. MK-XS-I-049 bond price — what the bond is worth today — read by MK-NW-F-056, MK-NW-F-057, MK-NW-F-059, MK-NW-F-060, MK-NW-F-061, MK-NW-F-064, MK
44. MK-XS-I-052 the day of the month a debt payment is due — read by MK-CF-F-005
45. MK-XS-I-055 the wrapper an account sits in — ISA, 401(k), IRA and the rest — read by MK-CF-F-005, MK-CF-F-075, MK-CF-F-138, MK-CF-F-156, MK-CF-F-207, MK-CF-O-016, MK
46. MK-XS-I-056 how a holding was classified, and by whom — read by MK-XS-F-175
47. MK-XS-I-059 the month a bonus lands — read by MK-CF-F-088, MK-CF-F-092, MK-CF-F-201, MK-CF-O-004, MK-CF-O-016
48. MK-XS-I-060 how a person is paid — weekly, fortnightly, monthly — read by MK-CF-F-130, MK-CF-F-185, MK-CF-F-186, MK-CF-O-016
49. MK-XS-I-063 option contract multiplier — 100 unless the broker or the person states otherwise — read by MK-PF-F-002, MK-PF-F-004, MK-PF-F-031
50. MK-XS-I-064 the unit beside a quantity — shares, coins, contracts, ounces or units — read by MK-CF-F-003, MK-CF-F-008, MK-CF-F-204, MK-NW-F-078
51.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2" s="3" t="inlineStr">
        <is>
          <t>(the claim now stands in 'Inputs it needs' until the row is approved)</t>
        </is>
      </c>
      <c r="AL32" s="3" t="inlineStr"/>
      <c r="AM32" s="3" t="inlineStr">
        <is>
          <t>TESTED, NOT VERIFIED — you ruled on this row 2026-09-27; the figure, its formula, inputs and refusal live in MK-NW-O-003 theNetWorth</t>
        </is>
      </c>
      <c r="AN32" s="3" t="inlineStr">
        <is>
          <t>$18,000 checking, $142,000 brokerage, a $24,200 Treasury, a $310,000 rental and $9,000 of gold; against a $228,000 mortgage at $2,400/month and a $14,000 car loan at $250/month. Cash + investments stood at $180,000 on 2 Jan 2026.
GIVES: $193,200
(the test re-runs this through MK-NW-O-003 theNetWorth on every build)</t>
        </is>
      </c>
      <c r="AO32" s="7" t="inlineStr">
        <is>
          <t>RULED, NOT CODED (Q-NW-1 — one question, one function)</t>
        </is>
      </c>
    </row>
    <row r="33" ht="60" customHeight="1">
      <c r="A33" s="3" t="inlineStr">
        <is>
          <t>MK-MN-M-020</t>
        </is>
      </c>
      <c r="B33" s="3" t="inlineStr">
        <is>
          <t>Menu</t>
        </is>
      </c>
      <c r="C33" s="3" t="inlineStr">
        <is>
          <t>/jobsafety</t>
        </is>
      </c>
      <c r="D33" s="3" t="inlineStr">
        <is>
          <t>N months of essentials is $X ($Y/month)</t>
        </is>
      </c>
      <c r="E33" s="3" t="inlineStr">
        <is>
          <t>n_months_of_essentials_is_x_ymonth</t>
        </is>
      </c>
      <c r="F33" s="3" t="inlineStr">
        <is>
          <t>essentialsFromLoggedSpending (through Job safety)</t>
        </is>
      </c>
      <c r="G33" s="3" t="inlineStr">
        <is>
          <t>MK-CF-F-189</t>
        </is>
      </c>
      <c r="H33" s="3" t="inlineStr">
        <is>
          <t>runway in months = cash ÷ essentials a month; target = months wanted × essentials a month; essentials a month = the typed figure on this screen if given, else the logged average (MK-CF-F-189)</t>
        </is>
      </c>
      <c r="I33" s="3" t="inlineStr">
        <is>
          <t>How many months of essential bills the money on hand would cover with no pay coming in. The essentials figure is what the person types on this screen; until they do, the average of their logged expenses over the months logged — 'Using $3,000/mo — 7 month average of your logged spending'.</t>
        </is>
      </c>
      <c r="J33" s="3" t="inlineStr">
        <is>
          <t>1. every logged expense → expenses [MK-XS-I-024]
2. the typed fallback → typed monthly expenses / essentials [MK-XS-I-025]
3. cash on hand → the Cash class [MK-XS-I-001]</t>
        </is>
      </c>
      <c r="K33" s="3" t="inlineStr">
        <is>
          <t>a sentence</t>
        </is>
      </c>
      <c r="L33" s="3" t="inlineStr">
        <is>
          <t>No essentials figure → the screen asks 'What do your essential bills come to in a typical month?' (built); no months chosen → 6.</t>
        </is>
      </c>
      <c r="M33" s="3" t="inlineStr">
        <is>
          <t>one figure per household</t>
        </is>
      </c>
      <c r="N33" s="3" t="inlineStr">
        <is>
          <t>as of today</t>
        </is>
      </c>
      <c r="O33" s="3" t="inlineStr">
        <is>
          <t>1. MK-ST-F-056 (has) → NOT DECLARED — the code does not say what it gives back
2. MK-XS-F-122 (n) → number
3. MK-ST-F-052 (toNum) → number
4. MK-CF-F-191 (ym) → NOT DECLARED — the code does not say what it gives back</t>
        </is>
      </c>
      <c r="P33" s="3" t="inlineStr">
        <is>
          <t>Declared by MK-NW-O-004 theEmergencyFund</t>
        </is>
      </c>
      <c r="Q33" s="3" t="inlineStr">
        <is>
          <t>NONE RECORDED — the declaration names none.</t>
        </is>
      </c>
      <c r="R33" s="3" t="inlineStr">
        <is>
          <t>NONE RECORDED — the declaration names none.</t>
        </is>
      </c>
      <c r="S33" s="3" t="inlineStr"/>
      <c r="T33" s="3" t="inlineStr">
        <is>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33" s="3" t="inlineStr"/>
      <c r="V33" s="9" t="inlineStr">
        <is>
          <t>Q28 — How many months of essentials should the app treat as safe by default — and is that number yours to set per person, or one figure for everyone?</t>
        </is>
      </c>
      <c r="W33" s="9" t="inlineStr"/>
      <c r="X33" s="3" t="inlineStr"/>
      <c r="Y33" s="3" t="inlineStr"/>
      <c r="Z33" s="3" t="inlineStr">
        <is>
          <t>DECLARED IN THE CODE (rule 11) — printed from the door, not typed. RULED 2026-09-27</t>
        </is>
      </c>
      <c r="AA33" s="3" t="inlineStr"/>
      <c r="AB33" s="3" t="inlineStr"/>
      <c r="AC33" s="3" t="inlineStr"/>
      <c r="AD33" s="3" t="inlineStr"/>
      <c r="AE33"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2026-09-09: the 'division with nothing on the bottom' boilerplate is gone; this cell now states the row's real refusal. Where it says 'built', the screen already does it; the rest follow the empty-state mock.</t>
        </is>
      </c>
      <c r="AF33" s="3" t="inlineStr">
        <is>
          <t>ACTIVE</t>
        </is>
      </c>
      <c r="AG33" s="3" t="inlineStr">
        <is>
          <t>2026-10-04</t>
        </is>
      </c>
      <c r="AH33" s="3" t="inlineStr"/>
      <c r="AI33" s="3" t="inlineStr"/>
      <c r="AJ33" s="3" t="inlineStr">
        <is>
          <t>MK-XS-I-024 logged expenses — read by MK-CF-F-189
[the code's record, this build — evidence for the ruling, not the row's statement: it cannot see inputs handed in as arguments, and it counts every branch below the producer]</t>
        </is>
      </c>
      <c r="AK33" s="3" t="inlineStr">
        <is>
          <t>(the claim now stands in 'Inputs it needs' until the row is approved)</t>
        </is>
      </c>
      <c r="AL33" s="3" t="inlineStr"/>
      <c r="AM33" s="3" t="inlineStr">
        <is>
          <t>TESTED, NOT VERIFIED — you ruled on this row 2026-09-27; the figure, its formula, inputs and refusal live in MK-NW-O-004 theEmergencyFund</t>
        </is>
      </c>
      <c r="AN33"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6 months of essentials is $20,820 ($3,470/month)
(the test re-runs this through MK-NW-O-004 theEmergencyFund on every build)</t>
        </is>
      </c>
      <c r="AO33" s="9" t="inlineStr">
        <is>
          <t>WAITING ON YOU — question Q28 · RULED, NOT CODED (Q-NW-5 — one question, one function)</t>
        </is>
      </c>
    </row>
    <row r="34" ht="60" customHeight="1">
      <c r="A34" s="3" t="inlineStr">
        <is>
          <t>MK-MN-M-021</t>
        </is>
      </c>
      <c r="B34" s="3" t="inlineStr">
        <is>
          <t>Menu</t>
        </is>
      </c>
      <c r="C34" s="3" t="inlineStr">
        <is>
          <t>/jobsafety</t>
        </is>
      </c>
      <c r="D34" s="3" t="inlineStr">
        <is>
          <t>Using $X/month from your logged expenses</t>
        </is>
      </c>
      <c r="E34" s="3" t="inlineStr">
        <is>
          <t>using_xmonth_from_your_logged_expenses</t>
        </is>
      </c>
      <c r="F34" s="3" t="inlineStr">
        <is>
          <t>essentialsFromLoggedSpending</t>
        </is>
      </c>
      <c r="G34" s="3" t="inlineStr">
        <is>
          <t>MK-CF-F-189</t>
        </is>
      </c>
      <c r="H34" s="3" t="inlineStr">
        <is>
          <t>baseline = the average of logged expenses over the months logged, mortgage and big items included; label = 'N month average'</t>
        </is>
      </c>
      <c r="I34" s="3" t="inlineStr">
        <is>
          <t>The logged baseline shown before the person types their own: everything logged, averaged over the months that have entries in the last twelve finished months, with the number of months said in words. (It used to be this month's spend alone, from the onboarding buckets.)</t>
        </is>
      </c>
      <c r="J34" s="3" t="inlineStr">
        <is>
          <t>1. every logged expense → expenses [MK-XS-I-024]
2. the typed fallback → typed monthly expenses / essentials [MK-XS-I-025]
3. cash on hand → the Cash class [MK-XS-I-001]</t>
        </is>
      </c>
      <c r="K34" s="3" t="inlineStr">
        <is>
          <t>a sentence</t>
        </is>
      </c>
      <c r="L34" s="3" t="inlineStr">
        <is>
          <t>$0, and under it the one line "Nothing entered yet. Log your expenses ›" (mock approved 2026-09-12). A real zero that was entered shows a plain $0 with no line.</t>
        </is>
      </c>
      <c r="M34" s="3" t="inlineStr">
        <is>
          <t>one figure per household</t>
        </is>
      </c>
      <c r="N34" s="3" t="inlineStr">
        <is>
          <t>as of today</t>
        </is>
      </c>
      <c r="O34" s="3" t="inlineStr">
        <is>
          <t>1. MK-ST-F-056 (has) → NOT DECLARED — the code does not say what it gives back
2. MK-XS-F-122 (n) → number
3. MK-ST-F-052 (toNum) → number
4. MK-CF-F-191 (ym) → NOT DECLARED — the code does not say what it gives back</t>
        </is>
      </c>
      <c r="P34" s="3" t="inlineStr">
        <is>
          <t>Declared by MK-NW-O-004 theEmergencyFund</t>
        </is>
      </c>
      <c r="Q34" s="3" t="inlineStr">
        <is>
          <t>The label names the basis so nobody has to guess whether it is one month or a year (his ruling G21).</t>
        </is>
      </c>
      <c r="R34" s="3" t="inlineStr">
        <is>
          <t>The label names the basis so nobody has to guess whether it is one month or a year (his ruling G21).</t>
        </is>
      </c>
      <c r="S34" s="3" t="inlineStr"/>
      <c r="T34" s="3" t="inlineStr">
        <is>
          <t>The label names the basis so nobody has to guess whether it is one month or a year (his ruling G21).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34" s="3" t="inlineStr"/>
      <c r="V34" s="3" t="inlineStr"/>
      <c r="W34" s="3" t="inlineStr"/>
      <c r="X34" s="3" t="inlineStr"/>
      <c r="Y34" s="3" t="inlineStr"/>
      <c r="Z34" s="3" t="inlineStr">
        <is>
          <t>DECLARED IN THE CODE (rule 11) — printed from the door, not typed. RULED 2026-09-27</t>
        </is>
      </c>
      <c r="AA34" s="3" t="inlineStr"/>
      <c r="AB34" s="3" t="inlineStr"/>
      <c r="AC34" s="3" t="inlineStr"/>
      <c r="AD34" s="3" t="inlineStr"/>
      <c r="AE34"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('Log your expenses ›'). File written; the screen follows the approved empty-state mock (one pattern, one screen), then every screen.</t>
        </is>
      </c>
      <c r="AF34" s="3" t="inlineStr">
        <is>
          <t>ACTIVE</t>
        </is>
      </c>
      <c r="AG34" s="3" t="inlineStr">
        <is>
          <t>2026-10-04</t>
        </is>
      </c>
      <c r="AH34" s="3" t="inlineStr"/>
      <c r="AI34" s="3" t="inlineStr"/>
      <c r="AJ34" s="3" t="inlineStr">
        <is>
          <t>MK-XS-I-024 logged expenses — read by MK-CF-F-189
[the code's record, this build — evidence for the ruling, not the row's statement: it cannot see inputs handed in as arguments, and it counts every branch below the producer]</t>
        </is>
      </c>
      <c r="AK34" s="3" t="inlineStr">
        <is>
          <t>(the claim now stands in 'Inputs it needs' until the row is approved)</t>
        </is>
      </c>
      <c r="AL34" s="3" t="inlineStr"/>
      <c r="AM34" s="3" t="inlineStr">
        <is>
          <t>TESTED, NOT VERIFIED — you ruled on this row 2026-09-27; the figure, its formula, inputs and refusal live in MK-NW-O-004 theEmergencyFund</t>
        </is>
      </c>
      <c r="AN34"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Using $3,470/month — you entered
(the test re-runs this through MK-NW-O-004 theEmergencyFund on every build)</t>
        </is>
      </c>
      <c r="AO34" s="7" t="inlineStr">
        <is>
          <t>RULED, NOT CODED (Q-NW-5 — one question, one function)</t>
        </is>
      </c>
    </row>
    <row r="35" ht="60" customHeight="1">
      <c r="A35" s="3" t="inlineStr">
        <is>
          <t>MK-MN-M-024</t>
        </is>
      </c>
      <c r="B35" s="3" t="inlineStr">
        <is>
          <t>Menu</t>
        </is>
      </c>
      <c r="C35" s="3" t="inlineStr">
        <is>
          <t>/stress-test</t>
        </is>
      </c>
      <c r="D35" s="3" t="inlineStr">
        <is>
          <t>You could cover a $X hit</t>
        </is>
      </c>
      <c r="E35" s="3" t="inlineStr">
        <is>
          <t>you_could_cover_a_x_hit</t>
        </is>
      </c>
      <c r="F35" s="3" t="inlineStr">
        <is>
          <t>emergencyTest (with the essentials figure from essentialsMonthly)</t>
        </is>
      </c>
      <c r="G35" s="3" t="inlineStr">
        <is>
          <t>MK-CF-F-010 (← MK-CF-F-190)</t>
        </is>
      </c>
      <c r="H35" s="3" t="inlineStr">
        <is>
          <t>cash after = cash − the shock; runway after = cash after ÷ essentials a month, where essentials a month = MK-CF-F-190 (logged average, else the typed categories)</t>
        </is>
      </c>
      <c r="I35" s="3" t="inlineStr">
        <is>
          <t>Takes a one-off hit out of the cash on hand and shows what would be left and how many months of essentials it would cover — dividing by the same essentials figure the other cards use, labelled with the months it stands on.</t>
        </is>
      </c>
      <c r="J35" s="3" t="inlineStr">
        <is>
          <t>1. every logged expense → expenses [MK-XS-I-024]
2. the typed fallback → typed monthly expenses / essentials [MK-XS-I-025]
3. cash on hand → the Cash class [MK-XS-I-001]</t>
        </is>
      </c>
      <c r="K35" s="3" t="inlineStr">
        <is>
          <t>dollars, whole</t>
        </is>
      </c>
      <c r="L35" s="3" t="inlineStr">
        <is>
          <t>$0, and under it the one line "Nothing entered yet. Add your accounts ›" (mock approved 2026-09-12). A real zero that was entered shows a plain $0 with no line.</t>
        </is>
      </c>
      <c r="M35" s="3" t="inlineStr">
        <is>
          <t>one figure per household</t>
        </is>
      </c>
      <c r="N35" s="3" t="inlineStr">
        <is>
          <t>as of today</t>
        </is>
      </c>
      <c r="O35" s="3" t="inlineStr">
        <is>
          <t>1. MK-CF-F-155 (cash) → number
2. MK-CF-F-009 (monthlyEssentials) → number
3. MK-CF-F-189 (essentialsFromLoggedSpending) → EssentialsAverage | null
4. MK-CF-O-002 (expenses) → Expenses</t>
        </is>
      </c>
      <c r="P35" s="3" t="inlineStr">
        <is>
          <t>Declared by MK-NW-O-004 theEmergencyFund</t>
        </is>
      </c>
      <c r="Q35" s="3" t="inlineStr">
        <is>
          <t>NONE RECORDED — the declaration names none.</t>
        </is>
      </c>
      <c r="R35" s="3" t="inlineStr">
        <is>
          <t>NONE RECORDED — the declaration names none.</t>
        </is>
      </c>
      <c r="S35" s="3" t="inlineStr"/>
      <c r="T35" s="3" t="inlineStr">
        <is>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35" s="3" t="inlineStr"/>
      <c r="V35" s="9" t="inlineStr">
        <is>
          <t>Q29 — What size of shock should the test use by default, and should it be a fixed dollar figure or a share of the person's expenses?</t>
        </is>
      </c>
      <c r="W35" s="9" t="inlineStr"/>
      <c r="X35" s="3" t="inlineStr"/>
      <c r="Y35" s="3" t="inlineStr"/>
      <c r="Z35" s="3" t="inlineStr">
        <is>
          <t>DECLARED IN THE CODE (rule 11) — printed from the door, not typed. RULED 2026-09-27</t>
        </is>
      </c>
      <c r="AA35" s="3" t="inlineStr"/>
      <c r="AB35" s="3" t="inlineStr"/>
      <c r="AC35" s="3" t="inlineStr"/>
      <c r="AD35" s="3" t="inlineStr"/>
      <c r="AE35"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('Add your accounts ›'). File written; the screen follows the approved empty-state mock (one pattern, one screen), then every screen.</t>
        </is>
      </c>
      <c r="AF35" s="3" t="inlineStr">
        <is>
          <t>ACTIVE</t>
        </is>
      </c>
      <c r="AG35" s="3" t="inlineStr">
        <is>
          <t>2026-10-04</t>
        </is>
      </c>
      <c r="AH35" s="3" t="inlineStr"/>
      <c r="AI35" s="3" t="inlineStr"/>
      <c r="AJ35"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MK-XS-I-025 typical monthly essentials — read by MK-CF-F-009, MK-CF-F-010
19. MK-XS-I-027 goals (target, saved, date) — read by MK-PL-F-012
20. MK-XS-I-028 assumed return — read by MK-NW-O-001
21. MK-XS-I-030 tax filing status and age — read by MK-CF-F-085, MK-CF-F-089, MK-CF-F-099, MK-CF-F-100, MK-CF-F-101, MK-CF-F-187
22. MK-XS-I-031 daily and monthly snapshots — read by MK-ST-F-036
23. MK-XS-I-032 expenses categories the person set up — read by MK-CF-F-004, MK-CF-F-008, MK-CF-F-009
24. MK-XS-I-034 option positions — contracts, strike, expiry, put or call — read by MK-CF-F-062
25. MK-XS-I-035 annuity income — read by MK-CF-F-072, MK-CF-F-075
26. MK-XS-I-036 other guaranteed income — read by MK-CF-F-072, MK-CF-F-075
27. MK-XS-I-037 required-withdrawal income stream (ri_rmd) — read by MK-CF-F-075
28. MK-XS-I-038 withdrawal income stream (ri_withdrawals) — read by MK-CF-F-075
29. MK-XS-I-039 how often each income arrives — read by MK-CF-F-071, MK-CF-F-072, MK-CF-F-074, MK-CF-F-075, MK-CF-F-130
30. MK-XS-I-040 whether a stream is already being received — read by MK-CF-F-072
31. MK-XS-I-041 the payment the person chose to make on a debt — read by MK-CF-F-023
32. MK-XS-I-042 how a stream is paid — monthly, yearly or one lump — read by MK-CF-F-021, MK-CF-F-022, MK-CF-F-023, MK-CF-F-149, MK-CF-F-150, MK-CF-F-152, MK
33. MK-XS-I-043 their own retirement contribution — read by MK-CF-F-092, MK-CF-F-181, MK-CF-F-206
34. MK-XS-I-048 the person’s own asset-class answer — read by MK-NW-F-011, MK-ST-F-027
35. MK-XS-I-049 bond price — what the bond is worth today — read by MK-NW-F-056, MK-NW-F-057, MK-NW-F-059, MK-NW-F-060, MK-NW-F-061, MK-NW-F-064, MK
36. MK-XS-I-052 the day of the month a debt payment is due — read by MK-CF-F-005
37. MK-XS-I-055 the wrapper an account sits in — ISA, 401(k), IRA and the rest — read by MK-CF-F-005, MK-CF-F-075, MK-CF-F-156, MK-NW-F-011, MK-NW-O-001
38. MK-XS-I-059 the month a bonus lands — read by MK-CF-F-088, MK-CF-F-092
39. MK-XS-I-060 how a person is paid — weekly, fortnightly, monthly — read by MK-CF-F-130
40. MK-XS-I-064 the unit beside a quantity — shares, coins, contracts, ounces or units — read by MK-CF-F-003, MK-CF-F-008, MK-CF-F-009, MK-NW-F-078
41.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5" s="3" t="inlineStr">
        <is>
          <t>(the claim now stands in 'Inputs it needs' until the row is approved)</t>
        </is>
      </c>
      <c r="AL35" s="3" t="inlineStr"/>
      <c r="AM35" s="3" t="inlineStr">
        <is>
          <t>TESTED, NOT VERIFIED — you ruled on this row 2026-09-27; the figure, its formula, inputs and refusal live in MK-NW-O-004 theEmergencyFund</t>
        </is>
      </c>
      <c r="AN35"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You could cover a $5,000 hit
(the test re-runs this through MK-NW-O-004 theEmergencyFund on every build)</t>
        </is>
      </c>
      <c r="AO35" s="9" t="inlineStr">
        <is>
          <t>WAITING ON YOU — question Q29 · RULED, NOT CODED (Q-NW-5 — one question, one function)</t>
        </is>
      </c>
    </row>
    <row r="36" ht="60" customHeight="1">
      <c r="A36" s="3" t="inlineStr">
        <is>
          <t>MK-MN-M-025</t>
        </is>
      </c>
      <c r="B36" s="3" t="inlineStr">
        <is>
          <t>Menu</t>
        </is>
      </c>
      <c r="C36" s="3" t="inlineStr">
        <is>
          <t>/stress-test</t>
        </is>
      </c>
      <c r="D36" s="3" t="inlineStr">
        <is>
          <t>You'd have $X left — about N months of essentials</t>
        </is>
      </c>
      <c r="E36" s="3" t="inlineStr">
        <is>
          <t>youd_have_x_left__about_n_months_of_esse</t>
        </is>
      </c>
      <c r="F36" s="3" t="inlineStr">
        <is>
          <t>emergencyTest (with the essentials figure from essentialsMonthly)</t>
        </is>
      </c>
      <c r="G36" s="3" t="inlineStr">
        <is>
          <t>MK-CF-F-010 (← MK-CF-F-190)</t>
        </is>
      </c>
      <c r="H36" s="3" t="inlineStr">
        <is>
          <t>runway after = max(0, cash − shock) ÷ essentials a month (MK-CF-F-190)</t>
        </is>
      </c>
      <c r="I36" s="3" t="inlineStr">
        <is>
          <t>'You'd have $X left — about N months of essentials ($Y/mo — 7 month average).'</t>
        </is>
      </c>
      <c r="J36" s="3" t="inlineStr">
        <is>
          <t>1. every logged expense → expenses [MK-XS-I-024]
2. the typed fallback → typed monthly expenses / essentials [MK-XS-I-025]
3. cash on hand → the Cash class [MK-XS-I-001]</t>
        </is>
      </c>
      <c r="K36" s="3" t="inlineStr">
        <is>
          <t>a sentence</t>
        </is>
      </c>
      <c r="L36" s="3" t="inlineStr">
        <is>
          <t>$0, and under it the one line "Nothing entered yet. Add your accounts ›" (mock approved 2026-09-12). A real zero that was entered shows a plain $0 with no line.</t>
        </is>
      </c>
      <c r="M36" s="3" t="inlineStr">
        <is>
          <t>one figure per household</t>
        </is>
      </c>
      <c r="N36" s="3" t="inlineStr">
        <is>
          <t>as of today</t>
        </is>
      </c>
      <c r="O36" s="3" t="inlineStr">
        <is>
          <t>1. MK-CF-F-155 (cash) → number
2. MK-CF-F-009 (monthlyEssentials) → number
3. MK-CF-F-189 (essentialsFromLoggedSpending) → EssentialsAverage | null
4. MK-CF-O-002 (expenses) → Expenses</t>
        </is>
      </c>
      <c r="P36" s="3" t="inlineStr">
        <is>
          <t>Declared by MK-NW-O-004 theEmergencyFund</t>
        </is>
      </c>
      <c r="Q36" s="3" t="inlineStr">
        <is>
          <t>NONE RECORDED — the declaration names none.</t>
        </is>
      </c>
      <c r="R36" s="3" t="inlineStr">
        <is>
          <t>NONE RECORDED — the declaration names none.</t>
        </is>
      </c>
      <c r="S36" s="3" t="inlineStr"/>
      <c r="T36" s="3" t="inlineStr">
        <is>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36" s="3" t="inlineStr"/>
      <c r="V36" s="3" t="inlineStr"/>
      <c r="W36" s="3" t="inlineStr"/>
      <c r="X36" s="3" t="inlineStr"/>
      <c r="Y36" s="3" t="inlineStr"/>
      <c r="Z36" s="3" t="inlineStr">
        <is>
          <t>DECLARED IN THE CODE (rule 11) — printed from the door, not typed. RULED 2026-09-27</t>
        </is>
      </c>
      <c r="AA36" s="3" t="inlineStr"/>
      <c r="AB36" s="3" t="inlineStr"/>
      <c r="AC36" s="3" t="inlineStr"/>
      <c r="AD36" s="3" t="inlineStr"/>
      <c r="AE36"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('Add your accounts ›'). File written; the screen follows the approved empty-state mock (one pattern, one screen), then every screen.</t>
        </is>
      </c>
      <c r="AF36" s="3" t="inlineStr">
        <is>
          <t>ACTIVE</t>
        </is>
      </c>
      <c r="AG36" s="3" t="inlineStr">
        <is>
          <t>2026-10-04</t>
        </is>
      </c>
      <c r="AH36" s="3" t="inlineStr"/>
      <c r="AI36" s="3" t="inlineStr"/>
      <c r="AJ36" s="3" t="inlineStr">
        <is>
          <t>1. MK-XS-I-001 account balance — read by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MK-CF-F-074, MK-CF-F-082, MK-CF-F-084, MK-CF-F-088, MK-CF-F-092, MK-CF-F-165, MK
17. MK-XS-I-024 logged expenses — read by MK-CF-F-005, MK-CF-F-067, MK-CF-F-068, MK-CF-F-150, MK-CF-F-151, MK-CF-F-153, MK
18. MK-XS-I-025 typical monthly essentials — read by MK-CF-F-009, MK-CF-F-010
19. MK-XS-I-027 goals (target, saved, date) — read by MK-PL-F-012
20. MK-XS-I-028 assumed return — read by MK-NW-O-001
21. MK-XS-I-030 tax filing status and age — read by MK-CF-F-085, MK-CF-F-089, MK-CF-F-099, MK-CF-F-100, MK-CF-F-101, MK-CF-F-187
22. MK-XS-I-031 daily and monthly snapshots — read by MK-ST-F-036
23. MK-XS-I-032 expenses categories the person set up — read by MK-CF-F-004, MK-CF-F-008, MK-CF-F-009
24. MK-XS-I-034 option positions — contracts, strike, expiry, put or call — read by MK-CF-F-062
25. MK-XS-I-035 annuity income — read by MK-CF-F-072, MK-CF-F-075
26. MK-XS-I-036 other guaranteed income — read by MK-CF-F-072, MK-CF-F-075
27. MK-XS-I-037 required-withdrawal income stream (ri_rmd) — read by MK-CF-F-075
28. MK-XS-I-038 withdrawal income stream (ri_withdrawals) — read by MK-CF-F-075
29. MK-XS-I-039 how often each income arrives — read by MK-CF-F-071, MK-CF-F-072, MK-CF-F-074, MK-CF-F-075, MK-CF-F-130
30. MK-XS-I-040 whether a stream is already being received — read by MK-CF-F-072
31. MK-XS-I-041 the payment the person chose to make on a debt — read by MK-CF-F-023
32. MK-XS-I-042 how a stream is paid — monthly, yearly or one lump — read by MK-CF-F-021, MK-CF-F-022, MK-CF-F-023, MK-CF-F-149, MK-CF-F-150, MK-CF-F-152, MK
33. MK-XS-I-043 their own retirement contribution — read by MK-CF-F-092, MK-CF-F-181, MK-CF-F-206
34. MK-XS-I-048 the person’s own asset-class answer — read by MK-NW-F-011, MK-ST-F-027
35. MK-XS-I-049 bond price — what the bond is worth today — read by MK-NW-F-056, MK-NW-F-057, MK-NW-F-059, MK-NW-F-060, MK-NW-F-061, MK-NW-F-064, MK
36. MK-XS-I-052 the day of the month a debt payment is due — read by MK-CF-F-005
37. MK-XS-I-055 the wrapper an account sits in — ISA, 401(k), IRA and the rest — read by MK-CF-F-005, MK-CF-F-075, MK-CF-F-156, MK-NW-F-011, MK-NW-O-001
38. MK-XS-I-059 the month a bonus lands — read by MK-CF-F-088, MK-CF-F-092
39. MK-XS-I-060 how a person is paid — weekly, fortnightly, monthly — read by MK-CF-F-130
40. MK-XS-I-064 the unit beside a quantity — shares, coins, contracts, ounces or units — read by MK-CF-F-003, MK-CF-F-008, MK-CF-F-009, MK-NW-F-078
41.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36" s="3" t="inlineStr">
        <is>
          <t>(the claim now stands in 'Inputs it needs' until the row is approved)</t>
        </is>
      </c>
      <c r="AL36" s="3" t="inlineStr"/>
      <c r="AM36" s="3" t="inlineStr">
        <is>
          <t>TESTED, NOT VERIFIED — you ruled on this row 2026-09-27; the figure, its formula, inputs and refusal live in MK-NW-O-004 theEmergencyFund</t>
        </is>
      </c>
      <c r="AN36"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You'd have $13,000 left — about 3.7 months of essentials
(the test re-runs this through MK-NW-O-004 theEmergencyFund on every build)</t>
        </is>
      </c>
      <c r="AO36" s="7" t="inlineStr">
        <is>
          <t>RULED, NOT CODED (Q-NW-5 — one question, one function)</t>
        </is>
      </c>
    </row>
    <row r="37" ht="60" customHeight="1">
      <c r="A37" s="3" t="inlineStr">
        <is>
          <t>MK-MN-M-026</t>
        </is>
      </c>
      <c r="B37" s="3" t="inlineStr">
        <is>
          <t>Menu</t>
        </is>
      </c>
      <c r="C37" s="3" t="inlineStr">
        <is>
          <t>/stress-test</t>
        </is>
      </c>
      <c r="D37" s="3" t="inlineStr">
        <is>
          <t>your $X/month of essentials</t>
        </is>
      </c>
      <c r="E37" s="3" t="inlineStr">
        <is>
          <t>your_xmonth_of_essentials</t>
        </is>
      </c>
      <c r="F37" s="3" t="inlineStr">
        <is>
          <t>essentialsMonthly</t>
        </is>
      </c>
      <c r="G37" s="3" t="inlineStr">
        <is>
          <t>MK-CF-F-190</t>
        </is>
      </c>
      <c r="H37" s="3" t="inlineStr">
        <is>
          <t>essentials a month = the logged average over the months logged (MK-CF-F-189), else the typed categories (monthlyEssentials)</t>
        </is>
      </c>
      <c r="I37" s="3" t="inlineStr">
        <is>
          <t>'Covering your $Y/mo of essentials (7 month average) with no paycheck coming in.' The larger-of rule (plannedMonthlySpend) no longer produces this figure.</t>
        </is>
      </c>
      <c r="J37" s="3" t="inlineStr">
        <is>
          <t>1. every logged expense → expenses [MK-XS-I-024]
2. the typed fallback → typed monthly expenses / essentials [MK-XS-I-025]
3. cash on hand → the Cash class [MK-XS-I-001]</t>
        </is>
      </c>
      <c r="K37" s="3" t="inlineStr">
        <is>
          <t>dollars, whole a month</t>
        </is>
      </c>
      <c r="L37" s="3" t="inlineStr">
        <is>
          <t>$0, and under it the one line "Nothing entered yet. Log your expenses ›" (mock approved 2026-09-12). A real zero that was entered shows a plain $0 with no line.</t>
        </is>
      </c>
      <c r="M37" s="3" t="inlineStr">
        <is>
          <t>one figure per household</t>
        </is>
      </c>
      <c r="N37" s="3" t="inlineStr">
        <is>
          <t>a month</t>
        </is>
      </c>
      <c r="O37" s="3" t="inlineStr">
        <is>
          <t>1. MK-CF-F-189 (essentialsFromLoggedSpending) → EssentialsAverage | null
2. MK-CF-O-002 (expenses) → Expenses</t>
        </is>
      </c>
      <c r="P37" s="3" t="inlineStr">
        <is>
          <t>Declared by MK-NW-O-004 theEmergencyFund</t>
        </is>
      </c>
      <c r="Q37" s="3" t="inlineStr">
        <is>
          <t>NONE RECORDED — the declaration names none.</t>
        </is>
      </c>
      <c r="R37" s="3" t="inlineStr">
        <is>
          <t>NONE RECORDED — the declaration names none.</t>
        </is>
      </c>
      <c r="S37" s="3" t="inlineStr"/>
      <c r="T37" s="3" t="inlineStr">
        <is>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U37" s="3" t="inlineStr"/>
      <c r="V37" s="3" t="inlineStr"/>
      <c r="W37" s="3" t="inlineStr"/>
      <c r="X37" s="3" t="inlineStr"/>
      <c r="Y37" s="3" t="inlineStr"/>
      <c r="Z37" s="3" t="inlineStr">
        <is>
          <t>DECLARED IN THE CODE (rule 11) — printed from the door, not typed. RULED 2026-09-27</t>
        </is>
      </c>
      <c r="AA37" s="3" t="inlineStr"/>
      <c r="AB37" s="3" t="inlineStr"/>
      <c r="AC37" s="3" t="inlineStr"/>
      <c r="AD37" s="3" t="inlineStr"/>
      <c r="AE37" s="3" t="inlineStr">
        <is>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('Log your expenses ›'). File written; the screen follows the approved empty-state mock (one pattern, one screen), then every screen.</t>
        </is>
      </c>
      <c r="AF37" s="3" t="inlineStr">
        <is>
          <t>ACTIVE</t>
        </is>
      </c>
      <c r="AG37" s="3" t="inlineStr">
        <is>
          <t>2026-10-04</t>
        </is>
      </c>
      <c r="AH37" s="3" t="inlineStr"/>
      <c r="AI37" s="3" t="inlineStr"/>
      <c r="AJ37" s="3" t="inlineStr">
        <is>
          <t>1. MK-XS-I-016 debt minimum payment — read by MK-CF-F-023
2. MK-XS-I-024 logged expenses — read by MK-CF-F-150, MK-CF-F-151, MK-CF-F-153, MK-CF-F-189, MK-CF-F-190, MK-CF-O-002
3. MK-XS-I-041 the payment the person chose to make on a debt — read by MK-CF-F-023
4. MK-XS-I-042 how a stream is paid — monthly, yearly or one lump — read by MK-CF-F-021, MK-CF-F-022, MK-CF-F-023, MK-CF-F-149, MK-CF-F-150, MK-CF-F-152
[the code's record, this build — evidence for the ruling, not the row's statement: it cannot see inputs handed in as arguments, and it counts every branch below the producer]</t>
        </is>
      </c>
      <c r="AK37" s="3" t="inlineStr">
        <is>
          <t>(the claim now stands in 'Inputs it needs' until the row is approved)</t>
        </is>
      </c>
      <c r="AL37" s="3" t="inlineStr"/>
      <c r="AM37" s="3" t="inlineStr">
        <is>
          <t>TESTED, NOT VERIFIED — you ruled on this row 2026-09-27; the figure, its formula, inputs and refusal live in MK-NW-O-004 theEmergencyFund</t>
        </is>
      </c>
      <c r="AN37" s="3" t="inlineStr">
        <is>
          <t>$18,000 in checking. A $2,400/month mortgage, entered both as the Rent / Mortgage budget line and as a Mortgage debt — the same $2,400, not two different numbers. Plus $700 groceries (an essential) and $400 eating out (not). Also a car loan at $250/month and a Visa at $120/month. Nothing logged yet.
GIVES: $3,470/month
(the test re-runs this through MK-NW-O-004 theEmergencyFund on every build)</t>
        </is>
      </c>
      <c r="AO37" s="7" t="inlineStr">
        <is>
          <t>RULED, NOT CODED (Q-NW-5 — one question, one function)</t>
        </is>
      </c>
    </row>
    <row r="38" ht="60" customHeight="1">
      <c r="A38" s="3" t="inlineStr">
        <is>
          <t>MK-MN-M-027</t>
        </is>
      </c>
      <c r="B38" s="3" t="inlineStr">
        <is>
          <t>Menu</t>
        </is>
      </c>
      <c r="C38" s="3" t="inlineStr">
        <is>
          <t>/tax-organizer</t>
        </is>
      </c>
      <c r="D38" s="3" t="inlineStr">
        <is>
          <t>each taxable line and its amount</t>
        </is>
      </c>
      <c r="E38" s="3" t="inlineStr">
        <is>
          <t>each_taxable_line_and_its_amount</t>
        </is>
      </c>
      <c r="F38" s="3" t="inlineStr">
        <is>
          <t>1. taxOrganizer
2. taxableIncomeSteps</t>
        </is>
      </c>
      <c r="G38" s="3" t="inlineStr">
        <is>
          <t>1. MK-PL-F-031
2. MK-PL-F-082</t>
        </is>
      </c>
      <c r="H38" s="3" t="inlineStr">
        <is>
          <t>gross income = Σ income lines of a taxable type
401(k) contribution = every earner's monthly 401(k) × 12   [MK-CF-F-188]
standard deduction = base figure for the filing status + 65+ add-on per person + senior deduction (phased out on gross − 401(k))   [MK-CF-F-099]
taxable income = max(0, gross income − 401(k) contribution − standard deduction)</t>
        </is>
      </c>
      <c r="I38" s="3" t="inlineStr">
        <is>
          <t>Four lines, in the order a return shows them: everything earned of a taxable type; less the household's pre-tax 401(k) contributions; less the standard deduction ($16,100 single · $32,200 married · $24,150 head of household, plus $2,050 / $1,650 per person 65+, plus the $6,000-per-person senior deduction phased out above $75,000 / $150,000 for 2025–2028 — the line says when the additions are in it); what is left is taxable income. Non-taxable income is listed separately. Example: $120,000 salary, $20,000 into the 401(k), single → $120,000 · − $20,000 · − $16,100 · $83,900.</t>
        </is>
      </c>
      <c r="J38" s="3" t="inlineStr">
        <is>
          <t>1. the organizer's income lines [MK-XS-I-023 and the other income inputs]
2. each earner's 401(k) contribution [MK-XS-I-043]
3. how they file and who is 65+ [MK-XS-I-030]</t>
        </is>
      </c>
      <c r="K38" s="3" t="inlineStr">
        <is>
          <t>dollars, whole</t>
        </is>
      </c>
      <c r="L38" s="3" t="inlineStr">
        <is>
          <t>A line with nothing behind it does not appear at all.</t>
        </is>
      </c>
      <c r="M38" s="3" t="inlineStr">
        <is>
          <t>one line</t>
        </is>
      </c>
      <c r="N38" s="3" t="inlineStr">
        <is>
          <t>as of today</t>
        </is>
      </c>
      <c r="O38" s="3" t="inlineStr">
        <is>
          <t>1. MK-CF-F-070 (benefitAnnual) → number
2. MK-CF-F-072 (currentRetirementIncomeMonthly) → number
3. MK-CF-F-090 (effectiveRate) → number
4. MK-ST-F-056 (has) → NOT DECLARED — the code does not say what it gives back
5. MK-CF-F-132 (map) → NOT DECLARED — the code does not say what it gives back
6. MK-CF-F-068 (rentalNetAnnual) → number
7. MK-CF-F-066 (rsuAnnual) → number
8. MK-CF-F-082 (salaryAnnual) → number
9. MK-PL-F-082 (taxableIncomeSteps) → TaxableIncomeSteps
10. MK-CF-F-074 (tipsAnnual) → number
11. MK-ST-F-052 (toNum) → number
12. MK-CF-F-099 (deductionFor) → number
13. MK-CF-F-085 (filingStatusOf) → import('./tax').FilingStatus
14. MK-CF-F-188 (householdPreTaxContributionsAnnual) → number
15. MK-ST-F-039 (on) → ()
16. MK-CF-F-089 (over65CountOf) → number
17. MK-CF-F-187 (seniorDeductionFor) → number</t>
        </is>
      </c>
      <c r="P38" s="3" t="inlineStr">
        <is>
          <t>Declared by MK-CF-O-007 theTaxOrganizer</t>
        </is>
      </c>
      <c r="Q38" s="3" t="inlineStr">
        <is>
          <t>Interest and dividends come from the RECORDS where they exist, not from an estimate — an estimate on a tax page reads as a figure to file.</t>
        </is>
      </c>
      <c r="R38" s="3" t="inlineStr">
        <is>
          <t>Interest and dividends come from the RECORDS where they exist, not from an estimate — an estimate on a tax page reads as a figure to file.</t>
        </is>
      </c>
      <c r="S38" s="3" t="inlineStr"/>
      <c r="T38" s="3" t="inlineStr">
        <is>
          <t>Interest and dividends come from the RECORDS where they exist, not from an estimate — an estimate on a tax page reads as a figure to file.
[Founder] Q46, 2026-09-08: the tax organizer shows gross income, the 401(k) contribution, the standard deduction and taxable income.</t>
        </is>
      </c>
      <c r="U38" s="3" t="inlineStr"/>
      <c r="V38" s="3" t="inlineStr">
        <is>
          <t>Q46 — Tax organizer 'Taxable income' (G22): (a) show the three steps — income of taxable types → less pre-tax contributions → less the standard deduction (with the 65+ and senior deductions) → taxable income — from one new function, this row naming it (recommended); or (b) keep the arithmetic and relabel the figure 'Income of taxable types (before deductions)'. Which?  [ANSWERED 2026-09-08 — see YOUR ANSWER]</t>
        </is>
      </c>
      <c r="W38" s="3" t="inlineStr">
        <is>
          <t>Q46: Tax organizer should show — gross income, 401(k) contribution, standard deduction, and taxable income. (answered in chat, 2026-09-08)</t>
        </is>
      </c>
      <c r="X38" s="3" t="inlineStr"/>
      <c r="Y38" s="3" t="inlineStr"/>
      <c r="Z38" s="3" t="inlineStr">
        <is>
          <t>DECLARED IN THE CODE (rule 11) — printed from the door, not typed. RULED 2026-09-27</t>
        </is>
      </c>
      <c r="AA38" s="3" t="inlineStr"/>
      <c r="AB38" s="3" t="inlineStr"/>
      <c r="AC38" s="3" t="inlineStr"/>
      <c r="AD38" s="3" t="inlineStr"/>
      <c r="AE38" s="3" t="inlineStr">
        <is>
          <t>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
G23 — CLOSED 2026-09-08: MK-CF-F-101 and MK-CF-F-103 carry the band loop written by hand in the file and in the code header; the four 2026 statutory tables sit on the Reference tab with their source; any other loop the extractor cannot render is now marked '[LOOP … read by hand]' instead of printing a false final answer.
G35 — CLOSED 2026-09-08 (file only; the code was right): MK-CF-F-057 rothVsTraditional ('tax-free' had been rendered as a subtraction), MK-CF-F-097 grossFromNet (the halving search, not a lone midpoint) and MK-CF-F-087 monthlyTaxRates (the 60% cap declared) are written by hand; MK-CF-F-101's 15% state-rate cap is declared.</t>
        </is>
      </c>
      <c r="AF38" s="3" t="inlineStr">
        <is>
          <t>ACTIVE</t>
        </is>
      </c>
      <c r="AG38" s="3" t="inlineStr">
        <is>
          <t>2026-10-04</t>
        </is>
      </c>
      <c r="AH38" s="3" t="inlineStr"/>
      <c r="AI38" s="3" t="inlineStr"/>
      <c r="AJ38" s="3" t="inlineStr">
        <is>
          <t>1. MK-XS-I-001 account balance — read by MK-PL-F-031
2. MK-XS-I-002 account type (taxable, pre-tax, Roth) — read by MK-PL-F-031
3. MK-XS-I-003 institution name — read by MK-PL-F-031
4. MK-XS-I-004 holding quantity (shares) — read by MK-CF-F-062
5. MK-XS-I-016 debt minimum payment — read by MK-CF-F-023
6. MK-XS-I-017 birth year — read by MK-CF-F-089
7. MK-XS-I-020 Social Security monthly amount — read by MK-CF-F-072, MK-CF-F-075
8. MK-XS-I-022 pension monthly amount — read by MK-CF-F-072, MK-CF-F-075, MK-PL-F-031
9. MK-XS-I-023 salary and other income — read by MK-CF-F-074, MK-CF-F-082, MK-CF-F-084, MK-CF-F-165, MK-CF-F-172, MK-CF-F-181, MK
10. MK-XS-I-024 logged expenses — read by MK-CF-F-067, MK-CF-F-068, MK-CF-F-150, MK-CF-F-151, MK-CF-F-153, MK-CF-O-002
11. MK-XS-I-030 tax filing status and age — read by MK-CF-F-085, MK-CF-F-089, MK-CF-F-099, MK-CF-F-100, MK-CF-F-101, MK-CF-F-187, MK
12. MK-XS-I-031 daily and monthly snapshots — read by MK-ST-F-036
13. MK-XS-I-034 option positions — contracts, strike, expiry, put or call — read by MK-CF-F-062
14. MK-XS-I-035 annuity income — read by MK-CF-F-072, MK-CF-F-075
15. MK-XS-I-036 other guaranteed income — read by MK-CF-F-072, MK-CF-F-075
16. MK-XS-I-037 required-withdrawal income stream (ri_rmd) — read by MK-CF-F-075
17. MK-XS-I-038 withdrawal income stream (ri_withdrawals) — read by MK-CF-F-075
18. MK-XS-I-039 how often each income arrives — read by MK-CF-F-071, MK-CF-F-072, MK-CF-F-074, MK-CF-F-075, MK-CF-F-130, MK-PL-F-031
19. MK-XS-I-040 whether a stream is already being received — read by MK-CF-F-072
20. MK-XS-I-041 the payment the person chose to make on a debt — read by MK-CF-F-023
21. MK-XS-I-042 how a stream is paid — monthly, yearly or one lump — read by MK-CF-F-021, MK-CF-F-022, MK-CF-F-023, MK-CF-F-149, MK-CF-F-150, MK-CF-F-152
22. MK-XS-I-043 their own retirement contribution — read by MK-CF-F-181, MK-CF-F-188, MK-CF-F-206, MK-PL-F-031
23. MK-XS-I-055 the wrapper an account sits in — ISA, 401(k), IRA and the rest — read by MK-CF-F-075, MK-PL-F-031
24. MK-XS-I-060 how a person is paid — weekly, fortnightly, monthly — read by MK-CF-F-130
[the code's record, this build — evidence for the ruling, not the row's statement: it cannot see inputs handed in as arguments, and it counts every branch below the producer]</t>
        </is>
      </c>
      <c r="AK38" s="3" t="inlineStr">
        <is>
          <t>(the claim now stands in 'Inputs it needs' until the row is approved)</t>
        </is>
      </c>
      <c r="AL38" s="3" t="inlineStr"/>
      <c r="AM38" s="3" t="inlineStr">
        <is>
          <t>TESTED, NOT VERIFIED — you ruled on this row 2026-09-27; the figure, its formula, inputs and refusal live in MK-CF-O-007 theTaxOrganizer</t>
        </is>
      </c>
      <c r="AN38" s="3" t="inlineStr">
        <is>
          <t>Filing jointly for 2026 on $169,200 of wages, with $19,200 paid into 401(k)s between the two of them and the $32,200 standard deduction.
GIVES: $169,200
(the test re-runs this through MK-CF-O-007 theTaxOrganizer on every build)</t>
        </is>
      </c>
      <c r="AO38" s="8" t="inlineStr">
        <is>
          <t>VERIFIED — TESTED, NOT VERIFIED — you ruled on this row 2026-09-27; the</t>
        </is>
      </c>
    </row>
    <row r="39" ht="60" customHeight="1">
      <c r="A39" s="3" t="inlineStr">
        <is>
          <t>MK-MN-M-028</t>
        </is>
      </c>
      <c r="B39" s="3" t="inlineStr">
        <is>
          <t>Menu</t>
        </is>
      </c>
      <c r="C39" s="3" t="inlineStr">
        <is>
          <t>/tax-organizer</t>
        </is>
      </c>
      <c r="D39" s="3" t="inlineStr">
        <is>
          <t>Gross income · 401(k) contribution · Standard deduction · Taxable income · Non-taxable</t>
        </is>
      </c>
      <c r="E39" s="3" t="inlineStr">
        <is>
          <t>gross_income__401k_contribution__standar</t>
        </is>
      </c>
      <c r="F39" s="3" t="inlineStr">
        <is>
          <t>1. taxOrganizer
2. taxableIncomeSteps</t>
        </is>
      </c>
      <c r="G39" s="3" t="inlineStr">
        <is>
          <t>1. MK-PL-F-031
2. MK-PL-F-082</t>
        </is>
      </c>
      <c r="H39" s="3" t="inlineStr">
        <is>
          <t>gross income = Σ income lines of a taxable type
401(k) contribution = every earner's monthly 401(k) × 12   [MK-CF-F-188]
standard deduction = base figure for the filing status + 65+ add-on per person + senior deduction (phased out on gross − 401(k))   [MK-CF-F-099]
taxable income = max(0, gross income − 401(k) contribution − standard deduction)</t>
        </is>
      </c>
      <c r="I39" s="3" t="inlineStr">
        <is>
          <t>Four lines, in the order a return shows them: everything earned of a taxable type; less the household's pre-tax 401(k) contributions; less the standard deduction ($16,100 single · $32,200 married · $24,150 head of household, plus $2,050 / $1,650 per person 65+, plus the $6,000-per-person senior deduction phased out above $75,000 / $150,000 for 2025–2028 — the line says when the additions are in it); what is left is taxable income. Non-taxable income is listed separately. Example: $120,000 salary, $20,000 into the 401(k), single → $120,000 · − $20,000 · − $16,100 · $83,900.</t>
        </is>
      </c>
      <c r="J39" s="3" t="inlineStr">
        <is>
          <t>1. the organizer's income lines [MK-XS-I-023 and the other income inputs]
2. each earner's 401(k) contribution [MK-XS-I-043]
3. how they file and who is 65+ [MK-XS-I-030]</t>
        </is>
      </c>
      <c r="K39" s="3" t="inlineStr">
        <is>
          <t>dollars, whole</t>
        </is>
      </c>
      <c r="L39" s="3" t="inlineStr">
        <is>
          <t>No income entered yet.</t>
        </is>
      </c>
      <c r="M39" s="3" t="inlineStr">
        <is>
          <t>one figure per household</t>
        </is>
      </c>
      <c r="N39" s="3" t="inlineStr">
        <is>
          <t>as of today</t>
        </is>
      </c>
      <c r="O39" s="3" t="inlineStr">
        <is>
          <t>1. MK-CF-F-070 (benefitAnnual) → number
2. MK-CF-F-072 (currentRetirementIncomeMonthly) → number
3. MK-CF-F-090 (effectiveRate) → number
4. MK-ST-F-056 (has) → NOT DECLARED — the code does not say what it gives back
5. MK-CF-F-132 (map) → NOT DECLARED — the code does not say what it gives back
6. MK-CF-F-068 (rentalNetAnnual) → number
7. MK-CF-F-066 (rsuAnnual) → number
8. MK-CF-F-082 (salaryAnnual) → number
9. MK-PL-F-082 (taxableIncomeSteps) → TaxableIncomeSteps
10. MK-CF-F-074 (tipsAnnual) → number
11. MK-ST-F-052 (toNum) → number
12. MK-CF-F-099 (deductionFor) → number
13. MK-CF-F-085 (filingStatusOf) → import('./tax').FilingStatus
14. MK-CF-F-188 (householdPreTaxContributionsAnnual) → number
15. MK-ST-F-039 (on) → ()
16. MK-CF-F-089 (over65CountOf) → number
17. MK-CF-F-187 (seniorDeductionFor) → number</t>
        </is>
      </c>
      <c r="P39" s="3" t="inlineStr">
        <is>
          <t>Declared by MK-CF-O-007 theTaxOrganizer</t>
        </is>
      </c>
      <c r="Q39" s="3" t="inlineStr">
        <is>
          <t>ONE tax function across the app (rule 2) — the same one that sets the band on your pay.</t>
        </is>
      </c>
      <c r="R39" s="3" t="inlineStr">
        <is>
          <t>ONE tax function across the app (rule 2) — the same one that sets the band on your pay.</t>
        </is>
      </c>
      <c r="S39" s="3" t="inlineStr"/>
      <c r="T39" s="3" t="inlineStr">
        <is>
          <t>ONE tax function across the app (rule 2) — the same one that sets the band on your pay.
[Founder] Q46, 2026-09-08: the tax organizer shows gross income, the 401(k) contribution, the standard deduction and taxable income.</t>
        </is>
      </c>
      <c r="U39" s="3" t="inlineStr"/>
      <c r="V39" s="9" t="inlineStr">
        <is>
          <t>Q24 — State tax is applied to taxable accounts only. Do you want a state rate captured per person, or to keep the single blended figure we use now?</t>
        </is>
      </c>
      <c r="W39" s="9" t="inlineStr">
        <is>
          <t>Q46: Tax organizer should show — gross income, 401(k) contribution, standard deduction, and taxable income. (answered in chat, 2026-09-08)</t>
        </is>
      </c>
      <c r="X39" s="3" t="inlineStr"/>
      <c r="Y39" s="3" t="inlineStr"/>
      <c r="Z39" s="3" t="inlineStr">
        <is>
          <t>DECLARED IN THE CODE (rule 11) — printed from the door, not typed. RULED 2026-09-27</t>
        </is>
      </c>
      <c r="AA39" s="3" t="inlineStr"/>
      <c r="AB39" s="3" t="inlineStr"/>
      <c r="AC39" s="3" t="inlineStr"/>
      <c r="AD39" s="3" t="inlineStr"/>
      <c r="AE39" s="3" t="inlineStr">
        <is>
          <t>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t>
        </is>
      </c>
      <c r="AF39" s="3" t="inlineStr">
        <is>
          <t>ACTIVE</t>
        </is>
      </c>
      <c r="AG39" s="3" t="inlineStr">
        <is>
          <t>2026-10-04</t>
        </is>
      </c>
      <c r="AH39" s="3" t="inlineStr"/>
      <c r="AI39" s="3" t="inlineStr"/>
      <c r="AJ39" s="3" t="inlineStr">
        <is>
          <t>1. MK-XS-I-001 account balance — read by MK-PL-F-031
2. MK-XS-I-002 account type (taxable, pre-tax, Roth) — read by MK-PL-F-031
3. MK-XS-I-003 institution name — read by MK-PL-F-031
4. MK-XS-I-004 holding quantity (shares) — read by MK-CF-F-062
5. MK-XS-I-016 debt minimum payment — read by MK-CF-F-023
6. MK-XS-I-017 birth year — read by MK-CF-F-089
7. MK-XS-I-020 Social Security monthly amount — read by MK-CF-F-072, MK-CF-F-075
8. MK-XS-I-022 pension monthly amount — read by MK-CF-F-072, MK-CF-F-075, MK-PL-F-031
9. MK-XS-I-023 salary and other income — read by MK-CF-F-074, MK-CF-F-082, MK-CF-F-084, MK-CF-F-165, MK-CF-F-172, MK-CF-F-181, MK
10. MK-XS-I-024 logged expenses — read by MK-CF-F-067, MK-CF-F-068, MK-CF-F-150, MK-CF-F-151, MK-CF-F-153, MK-CF-O-002
11. MK-XS-I-030 tax filing status and age — read by MK-CF-F-085, MK-CF-F-089, MK-CF-F-099, MK-CF-F-100, MK-CF-F-101, MK-CF-F-187, MK
12. MK-XS-I-031 daily and monthly snapshots — read by MK-ST-F-036
13. MK-XS-I-034 option positions — contracts, strike, expiry, put or call — read by MK-CF-F-062
14. MK-XS-I-035 annuity income — read by MK-CF-F-072, MK-CF-F-075
15. MK-XS-I-036 other guaranteed income — read by MK-CF-F-072, MK-CF-F-075
16. MK-XS-I-037 required-withdrawal income stream (ri_rmd) — read by MK-CF-F-075
17. MK-XS-I-038 withdrawal income stream (ri_withdrawals) — read by MK-CF-F-075
18. MK-XS-I-039 how often each income arrives — read by MK-CF-F-071, MK-CF-F-072, MK-CF-F-074, MK-CF-F-075, MK-CF-F-130, MK-PL-F-031
19. MK-XS-I-040 whether a stream is already being received — read by MK-CF-F-072
20. MK-XS-I-041 the payment the person chose to make on a debt — read by MK-CF-F-023
21. MK-XS-I-042 how a stream is paid — monthly, yearly or one lump — read by MK-CF-F-021, MK-CF-F-022, MK-CF-F-023, MK-CF-F-149, MK-CF-F-150, MK-CF-F-152
22. MK-XS-I-043 their own retirement contribution — read by MK-CF-F-181, MK-CF-F-188, MK-CF-F-206, MK-PL-F-031
23. MK-XS-I-055 the wrapper an account sits in — ISA, 401(k), IRA and the rest — read by MK-CF-F-075, MK-PL-F-031
24. MK-XS-I-060 how a person is paid — weekly, fortnightly, monthly — read by MK-CF-F-130
[the code's record, this build — evidence for the ruling, not the row's statement: it cannot see inputs handed in as arguments, and it counts every branch below the producer]</t>
        </is>
      </c>
      <c r="AK39" s="3" t="inlineStr">
        <is>
          <t>(the claim now stands in 'Inputs it needs' until the row is approved)</t>
        </is>
      </c>
      <c r="AL39" s="3" t="inlineStr"/>
      <c r="AM39" s="3" t="inlineStr">
        <is>
          <t>TESTED, NOT VERIFIED — you ruled on this row 2026-09-27; the figure, its formula, inputs and refusal live in MK-CF-O-007 theTaxOrganizer</t>
        </is>
      </c>
      <c r="AN39" s="3" t="inlineStr">
        <is>
          <t>Filing jointly for 2026 on $169,200 of wages, with $19,200 paid into 401(k)s between the two of them and the $32,200 standard deduction.
GIVES: $117,800
(the test re-runs this through MK-CF-O-007 theTaxOrganizer on every build)</t>
        </is>
      </c>
      <c r="AO39" s="9" t="inlineStr">
        <is>
          <t>WAITING ON YOU — question Q24 · TESTED, NOT VERIFIED (G22 / Q46, G3)</t>
        </is>
      </c>
    </row>
    <row r="40" ht="60" customHeight="1">
      <c r="A40" s="3" t="inlineStr">
        <is>
          <t>MK-MN-M-029</t>
        </is>
      </c>
      <c r="B40" s="3" t="inlineStr">
        <is>
          <t>Menu</t>
        </is>
      </c>
      <c r="C40" s="3" t="inlineStr">
        <is>
          <t>/contribution-room</t>
        </is>
      </c>
      <c r="D40" s="3" t="inlineStr">
        <is>
          <t>each contribution and its amount</t>
        </is>
      </c>
      <c r="E40" s="3" t="inlineStr">
        <is>
          <t>each_contribution_and_its_amount</t>
        </is>
      </c>
      <c r="F40" s="3" t="inlineStr">
        <is>
          <t>theContributionRoom</t>
        </is>
      </c>
      <c r="G40" s="3" t="inlineStr">
        <is>
          <t xml:space="preserve">
4. MK-CF-F-196
5. MK-CF-F-195</t>
        </is>
      </c>
      <c r="H40" s="3" t="inlineStr">
        <is>
          <t>the monthly amount you entered for that account × 12</t>
        </is>
      </c>
      <c r="I40" s="3" t="inlineStr">
        <is>
          <t>Takes the year's legal limit for the account, subtracts what has already gone in, and divides what is left by the months remaining — the CURRENT month counts as remaining, so December divides by 1 (G36, founder 2026-09-12; monthsLeftInYear and perMonthToFill in src/domain/income/limits.ts, no arithmetic on the screen).</t>
        </is>
      </c>
      <c r="J40" s="3" t="inlineStr">
        <is>
          <t>MK-XS-I-023 salary and other income</t>
        </is>
      </c>
      <c r="K40" s="3" t="inlineStr">
        <is>
          <t>dollars, whole</t>
        </is>
      </c>
      <c r="L40" s="3" t="inlineStr">
        <is>
          <t>No contribution entered → the RETIREMENT CONTRIBUTIONS card is not shown; never a $0 line.</t>
        </is>
      </c>
      <c r="M40" s="3" t="inlineStr">
        <is>
          <t>one account</t>
        </is>
      </c>
      <c r="N40" s="3" t="inlineStr">
        <is>
          <t>as of today</t>
        </is>
      </c>
      <c r="O40" s="3" t="inlineStr">
        <is>
          <t>MK-CF-F-195 (monthsLeftInYear) → number</t>
        </is>
      </c>
      <c r="P40" s="3" t="inlineStr">
        <is>
          <t>Declared by MK-CF-O-005 theContributionRoom</t>
        </is>
      </c>
      <c r="Q40" s="3" t="inlineStr">
        <is>
          <t>Enrolled in Medicare means NO HSA contribution is allowed at all — not a smaller one (his ruling G10, 2026-09-08).</t>
        </is>
      </c>
      <c r="R40" s="3" t="inlineStr">
        <is>
          <t>Enrolled in Medicare means NO HSA contribution is allowed at all — not a smaller one (his ruling G10, 2026-09-08).</t>
        </is>
      </c>
      <c r="S40" s="3" t="inlineStr"/>
      <c r="T40" s="3" t="inlineStr">
        <is>
          <t>Enrolled in Medicare means NO HSA contribution is allowed at all — not a smaller one (his ruling G10, 2026-09-08).</t>
        </is>
      </c>
      <c r="U40" s="3" t="inlineStr"/>
      <c r="V40" s="3" t="inlineStr"/>
      <c r="W40" s="3" t="inlineStr"/>
      <c r="X40" s="3" t="inlineStr"/>
      <c r="Y40" s="3" t="inlineStr"/>
      <c r="Z40" s="3" t="inlineStr">
        <is>
          <t>DECLARED IN THE CODE (rule 11) — printed from the door, not typed. RULED 2026-09-27</t>
        </is>
      </c>
      <c r="AA40" s="3" t="inlineStr"/>
      <c r="AB40" s="3" t="inlineStr"/>
      <c r="AC40" s="3" t="inlineStr"/>
      <c r="AD40" s="3" t="inlineStr"/>
      <c r="AE40" s="3" t="inlineStr">
        <is>
          <t>G32 / Q48 — 2026-09-09: the 'division with nothing on the bottom' boilerplate is gone; this cell now states the row's real refusal. Where it says 'built', the screen already does it; the rest follow the empty-state mock.</t>
        </is>
      </c>
      <c r="AF40" s="3" t="inlineStr">
        <is>
          <t>ACTIVE</t>
        </is>
      </c>
      <c r="AG40" s="3" t="inlineStr">
        <is>
          <t>2026-10-04</t>
        </is>
      </c>
      <c r="AH40" s="3" t="inlineStr"/>
      <c r="AI40" s="3" t="inlineStr"/>
      <c r="AJ40" s="3" t="inlineStr">
        <is>
          <t>NONE — no function in this chain reads a stored input the sweep knows
[the code's record, this build — evidence for the ruling, not the row's statement: it cannot see inputs handed in as arguments, and it counts every branch below the producer]</t>
        </is>
      </c>
      <c r="AK40" s="3" t="inlineStr">
        <is>
          <t>(the claim now stands in 'Inputs it needs' until the row is approved)</t>
        </is>
      </c>
      <c r="AL40" s="3" t="inlineStr"/>
      <c r="AM40" s="3" t="inlineStr">
        <is>
          <t>TESTED, NOT VERIFIED — you ruled on this row 2026-09-27; the figure, its formula, inputs and refusal live in MK-CF-O-005 theContributionRoom</t>
        </is>
      </c>
      <c r="AN40" s="3" t="inlineStr">
        <is>
          <t>Born 1965 — so 61 during 2026. Paying in $1,200/month to a 401(k), $300 to a Roth IRA and $150 to an HSA; not on Medicare. Read on 29 September 2026, so four months of the year are left.
GIVES: $5,000
(the test re-runs this through MK-CF-O-005 theContributionRoom on every build)</t>
        </is>
      </c>
      <c r="AO40" s="7" t="inlineStr">
        <is>
          <t>RULED, NOT CODED (Q-CF-4 — one question, one function)</t>
        </is>
      </c>
    </row>
    <row r="41" ht="60" customHeight="1">
      <c r="A41" s="3" t="inlineStr">
        <is>
          <t>MK-MN-M-030</t>
        </is>
      </c>
      <c r="B41" s="3" t="inlineStr">
        <is>
          <t>Menu</t>
        </is>
      </c>
      <c r="C41" s="3" t="inlineStr">
        <is>
          <t>/bill-calendar</t>
        </is>
      </c>
      <c r="D41" s="3" t="inlineStr">
        <is>
          <t>$X left &lt;account&gt; on &lt;date&gt;</t>
        </is>
      </c>
      <c r="E41" s="3" t="inlineStr">
        <is>
          <t>x_left_account_on_date</t>
        </is>
      </c>
      <c r="F41" s="3" t="inlineStr">
        <is>
          <t>whatsComing</t>
        </is>
      </c>
      <c r="G41" s="3" t="inlineStr">
        <is>
          <t>MK-CF-O-008</t>
        </is>
      </c>
      <c r="H41" s="3" t="inlineStr">
        <is>
          <t>the balance you start with, less each bill as its date passes</t>
        </is>
      </c>
      <c r="I41" s="3" t="inlineStr">
        <is>
          <t>the balance you start with, less each bill as its date passes</t>
        </is>
      </c>
      <c r="J41" s="3" t="inlineStr">
        <is>
          <t>MK-NW-I-001 your accounts
MK-CF-I-002 your bills</t>
        </is>
      </c>
      <c r="K41" s="3" t="inlineStr">
        <is>
          <t>dollars, whole</t>
        </is>
      </c>
      <c r="L41" s="3" t="inlineStr">
        <is>
          <t>No balance to start from.</t>
        </is>
      </c>
      <c r="M41" s="3" t="inlineStr">
        <is>
          <t>one date</t>
        </is>
      </c>
      <c r="N41" s="3" t="inlineStr">
        <is>
          <t>as of today</t>
        </is>
      </c>
      <c r="O41" s="3" t="inlineStr">
        <is>
          <t>MK-CF-F-019 (upcomingBills) → NOT DECLARED — the code does not say what it gives back</t>
        </is>
      </c>
      <c r="P41" s="3" t="inlineStr">
        <is>
          <t>Declared by MK-CF-O-008 whatsComing</t>
        </is>
      </c>
      <c r="Q41" s="3" t="inlineStr">
        <is>
          <t>NONE RECORDED — the declaration names none.</t>
        </is>
      </c>
      <c r="R41" s="3" t="inlineStr">
        <is>
          <t>NONE RECORDED — the declaration names none.</t>
        </is>
      </c>
      <c r="S41" s="3" t="inlineStr"/>
      <c r="T41" s="3" t="inlineStr">
        <is>
          <t>NONE RECORDED — the declaration names none.</t>
        </is>
      </c>
      <c r="U41" s="3" t="inlineStr"/>
      <c r="V41" s="3" t="inlineStr"/>
      <c r="W41" s="3" t="inlineStr"/>
      <c r="X41" s="3" t="inlineStr"/>
      <c r="Y41" s="3" t="inlineStr"/>
      <c r="Z41" s="3" t="inlineStr">
        <is>
          <t>DECLARED IN THE CODE (rule 11) — printed from the door, not typed. RULED 2026-09-27</t>
        </is>
      </c>
      <c r="AA41" s="3" t="inlineStr"/>
      <c r="AB41" s="3" t="inlineStr"/>
      <c r="AC41" s="3" t="inlineStr"/>
      <c r="AD41" s="3" t="inlineStr"/>
      <c r="AE41" s="3" t="inlineStr"/>
      <c r="AF41" s="3" t="inlineStr">
        <is>
          <t>ACTIVE</t>
        </is>
      </c>
      <c r="AG41" s="3" t="inlineStr">
        <is>
          <t>2026-10-04</t>
        </is>
      </c>
      <c r="AH41" s="3" t="inlineStr"/>
      <c r="AI41" s="3" t="inlineStr"/>
      <c r="AJ41" s="3" t="inlineStr">
        <is>
          <t>1. MK-XS-I-001 account balance — read by MK-CF-F-019, MK-NW-F-056, MK-NW-F-078, MK-NW-O-001, MK-ST-F-027
2. MK-XS-I-002 account type (taxable, pre-tax, Roth) — read by MK-NW-F-011, MK-NW-O-001
3. MK-XS-I-003 institution name — read by MK-NW-F-071, MK-NW-F-072, MK-NW-O-001
4. MK-XS-I-004 holding quantity (shares) — read by MK-CF-F-062,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MK-NW-F-078, MK
9. MK-XS-I-013 bond maturity date — read by MK-NW-F-011, MK-NW-F-056, MK-NW-F-058, MK-NW-F-060, MK-NW-F-061, MK-NW-F-069, MK
10. MK-XS-I-014 debt balance — read by MK-CF-F-157, MK-CF-O-010
11. MK-XS-I-015 debt interest rate — read by MK-CF-F-157, MK-CF-O-010
12. MK-XS-I-016 debt minimum payment — read by MK-CF-F-023, MK-CF-F-157, MK-CF-O-010
13. MK-XS-I-017 birth year — read by MK-CF-F-089
14. MK-XS-I-020 Social Security monthly amount — read by MK-CF-F-072, MK-CF-F-075
15. MK-XS-I-022 pension monthly amount — read by MK-CF-F-072, MK-CF-F-075
16. MK-XS-I-023 salary and other income — read by MK-CF-F-019, MK-CF-F-074, MK-CF-F-082, MK-CF-F-083, MK-CF-F-084, MK-CF-F-088, MK
17. MK-XS-I-024 logged expenses — read by MK-CF-F-005, MK-CF-F-067, MK-CF-F-068, MK-CF-F-150, MK-CF-F-151, MK-CF-F-153, MK
18. MK-XS-I-027 goals (target, saved, date) — read by MK-PL-F-012
19. MK-XS-I-028 assumed return — read by MK-NW-O-001
20. MK-XS-I-030 tax filing status and age — read by MK-CF-F-085, MK-CF-F-089, MK-CF-F-099, MK-CF-F-100, MK-CF-F-101, MK-CF-F-187
21. MK-XS-I-031 daily and monthly snapshots — read by MK-ST-F-036
22. MK-XS-I-032 expenses categories the person set up — read by MK-CF-F-004, MK-CF-F-008, MK-CF-F-019, MK-CF-O-008
23. MK-XS-I-034 option positions — contracts, strike, expiry, put or call — read by MK-CF-F-062
24. MK-XS-I-035 annuity income — read by MK-CF-F-072, MK-CF-F-075
25. MK-XS-I-036 other guaranteed income — read by MK-CF-F-072, MK-CF-F-075
26. MK-XS-I-037 required-withdrawal income stream (ri_rmd) — read by MK-CF-F-075
27. MK-XS-I-038 withdrawal income stream (ri_withdrawals) — read by MK-CF-F-075
28. MK-XS-I-039 how often each income arrives — read by MK-CF-F-071, MK-CF-F-072, MK-CF-F-074, MK-CF-F-075, MK-CF-F-130
29. MK-XS-I-040 whether a stream is already being received — read by MK-CF-F-019, MK-CF-F-072
30. MK-XS-I-041 the payment the person chose to make on a debt — read by MK-CF-F-023
31. MK-XS-I-042 how a stream is paid — monthly, yearly or one lump — read by MK-CF-F-021, MK-CF-F-022, MK-CF-F-023, MK-CF-F-149, MK-CF-F-150, MK-CF-F-152, MK
32. MK-XS-I-043 their own retirement contribution — read by MK-CF-F-092, MK-CF-F-181, MK-CF-F-206
33. MK-XS-I-048 the person’s own asset-class answer — read by MK-NW-F-011, MK-ST-F-027
34. MK-XS-I-049 bond price — what the bond is worth today — read by MK-NW-F-056, MK-NW-F-057, MK-NW-F-059, MK-NW-F-060, MK-NW-F-061, MK-NW-F-064, MK
35. MK-XS-I-052 the day of the month a debt payment is due — read by MK-CF-F-005
36. MK-XS-I-055 the wrapper an account sits in — ISA, 401(k), IRA and the rest — read by MK-CF-F-005, MK-CF-F-075, MK-CF-F-156, MK-NW-F-011, MK-NW-O-001
37. MK-XS-I-059 the month a bonus lands — read by MK-CF-F-088, MK-CF-F-092
38. MK-XS-I-060 how a person is paid — weekly, fortnightly, monthly — read by MK-CF-F-130
39. MK-XS-I-064 the unit beside a quantity — shares, coins, contracts, ounces or units — read by MK-CF-F-003, MK-CF-F-008, MK-CF-F-019, MK-NW-F-078
40.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is>
      </c>
      <c r="AK41" s="3" t="inlineStr">
        <is>
          <t>(the claim now stands in 'Inputs it needs' until the row is approved)</t>
        </is>
      </c>
      <c r="AL41" s="3" t="inlineStr"/>
      <c r="AM41" s="3" t="inlineStr">
        <is>
          <t>TESTED, NOT VERIFIED — you ruled on this row 2026-09-27; the figure, its formula, inputs and refusal live in MK-CF-O-008 whatsComing</t>
        </is>
      </c>
      <c r="AN41" s="3" t="inlineStr">
        <is>
          <t>On 28 Sep 2026, with $8,000 in the account: car insurance of $1,400 due 15 Oct and property tax of $4,800 due 1 Nov. Nothing else is dated.
GIVES: $6,600
(the test re-runs this through MK-CF-O-008 whatsComing on every build)</t>
        </is>
      </c>
      <c r="AO41" s="7" t="inlineStr">
        <is>
          <t>RULED, NOT CODED (Q-CF-3 — one question, one function)</t>
        </is>
      </c>
    </row>
  </sheetData>
  <autoFilter ref="A1:AO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34" customWidth="1" min="3" max="3"/>
    <col width="34" customWidth="1" min="4" max="4"/>
    <col width="52" customWidth="1" min="5" max="5"/>
    <col width="30" customWidth="1" min="6" max="6"/>
    <col width="26" customWidth="1" min="7" max="7"/>
    <col width="34" customWidth="1" min="8" max="8"/>
    <col width="20" customWidth="1" min="9" max="9"/>
    <col width="30" customWidth="1" min="10" max="10"/>
  </cols>
  <sheetData>
    <row r="1" ht="15" customHeight="1">
      <c r="A1" s="1" t="inlineStr">
        <is>
          <t>Input ID</t>
        </is>
      </c>
      <c r="B1" s="1" t="inlineStr">
        <is>
          <t>Variable name</t>
        </is>
      </c>
      <c r="C1" s="1" t="inlineStr">
        <is>
          <t>Source</t>
        </is>
      </c>
      <c r="D1" s="1" t="inlineStr">
        <is>
          <t>Where the code keeps it</t>
        </is>
      </c>
      <c r="E1" s="1" t="inlineStr">
        <is>
          <t>Functions that read it</t>
        </is>
      </c>
      <c r="F1" s="1" t="inlineStr">
        <is>
          <t>Figures it reaches</t>
        </is>
      </c>
      <c r="G1" s="1" t="inlineStr">
        <is>
          <t>Row status</t>
        </is>
      </c>
      <c r="H1" s="1" t="inlineStr">
        <is>
          <t>Active or decommissioned</t>
        </is>
      </c>
      <c r="I1" s="1" t="inlineStr">
        <is>
          <t>Date last modified</t>
        </is>
      </c>
      <c r="J1" s="1" t="inlineStr">
        <is>
          <t>STATUS — this row</t>
        </is>
      </c>
    </row>
    <row r="2" ht="60" customHeight="1">
      <c r="A2" s="3" t="inlineStr">
        <is>
          <t>MK-XS-I-001</t>
        </is>
      </c>
      <c r="B2" s="3" t="inlineStr">
        <is>
          <t>account balance</t>
        </is>
      </c>
      <c r="C2" s="3" t="inlineStr">
        <is>
          <t>the institution download, a connection, or typed by hand</t>
        </is>
      </c>
      <c r="D2" s="3" t="inlineStr">
        <is>
          <t>balance · cash_balance · total_asset_value</t>
        </is>
      </c>
      <c r="E2" s="3" t="inlineStr">
        <is>
          <t>1. MK-NW-F-075 ACC
2. MK-NW-F-076 ALT
3. MK-NW-F-088 BENCH
4. MK-CF-F-211 DEBTS
5. MK-NW-F-080 HOLD
6. MK-CF-F-200 LINE
7. MK-NW-F-082 NW
8. MK-NW-F-078 ONE
9. MK-NW-F-101 PLAN
10. MK-NW-F-027 accountClassBreakdown
11. MK-ST-F-027 accountId
12. MK-NW-F-002 alternativesSummary
13. MK-CF-F-125 amortise
14. MK-CF-F-210 annualOfSource
… and 48 more — the full list is on functions_from_code</t>
        </is>
      </c>
      <c r="F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G2" s="3" t="inlineStr">
        <is>
          <t>SWEPT FROM THE CODE 2026-08-26</t>
        </is>
      </c>
      <c r="H2" s="3" t="inlineStr">
        <is>
          <t>ACTIVE</t>
        </is>
      </c>
      <c r="I2" s="3" t="inlineStr">
        <is>
          <t>2026-10-03</t>
        </is>
      </c>
      <c r="J2" s="3" t="inlineStr">
        <is>
          <t>reach generated from the code each build</t>
        </is>
      </c>
    </row>
    <row r="3" ht="60" customHeight="1">
      <c r="A3" s="3" t="inlineStr">
        <is>
          <t>MK-XS-I-002</t>
        </is>
      </c>
      <c r="B3" s="3" t="inlineStr">
        <is>
          <t>account type (taxable, pre-tax, Roth)</t>
        </is>
      </c>
      <c r="C3" s="3" t="inlineStr">
        <is>
          <t>typed at setup, or guessed from the account name</t>
        </is>
      </c>
      <c r="D3" s="3" t="inlineStr">
        <is>
          <t>tax_bucket · tax_treatment · taxBucket</t>
        </is>
      </c>
      <c r="E3" s="3" t="inlineStr">
        <is>
          <t>1. MK-NW-F-082 NW
2. MK-NW-F-005 accountAllowsTicker
3. MK-NW-F-025 accountDisplayName
4. MK-NW-F-011 assetClassOf
5. MK-NW-F-040 assetsFromOnboarding
6. MK-NW-F-037 blendedReturn
7. MK-NW-F-035 blendedVolatility
8. MK-NW-F-052 buildItemizedAccounts
9. MK-CF-F-136 bumpCash
10. MK-XS-F-103 confirmWrapper
11. MK-XS-F-002 dataGaps
12. MK-NW-F-038 earmarkedKinds
13. MK-CF-O-017 futurePaycheck
14. MK-XS-F-102 ingestSync
… and 18 more — the full list is on functions_from_code</t>
        </is>
      </c>
      <c r="F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MK-PF-M-002 · MK-PF-M-003 · MK-PF-M-005 · MK-PF-M-006 · MK-PF-M-007 · MK-PF-M-008 · MK-PF-M-013 · MK-PF-M-014 · MK-PF-M-015 · MK-PF-M-016 · MK-PF-M-017 · MK-PF-M-018 · MK-PF-M-019 · MK-PF-M-020 · MK-PL-M-001 · MK-PL-M-002 · MK-PL-M-008 · MK-PL-M-009 · MK-PL-M-011 · MK-PL-M-029 · MK-PL-M-034 · MK-XS-M-001 · MK-XS-M-002 · MK-XS-M-003 · MK-XS-M-004 · MK-XS-M-005 · MK-XS-M-006</t>
        </is>
      </c>
      <c r="G3" s="3" t="inlineStr">
        <is>
          <t>SWEPT FROM THE CODE 2026-08-26</t>
        </is>
      </c>
      <c r="H3" s="3" t="inlineStr">
        <is>
          <t>ACTIVE</t>
        </is>
      </c>
      <c r="I3" s="3" t="inlineStr">
        <is>
          <t>2026-10-03</t>
        </is>
      </c>
      <c r="J3" s="3" t="inlineStr">
        <is>
          <t>reach generated from the code each build</t>
        </is>
      </c>
    </row>
    <row r="4" ht="60" customHeight="1">
      <c r="A4" s="3" t="inlineStr">
        <is>
          <t>MK-XS-I-003</t>
        </is>
      </c>
      <c r="B4" s="3" t="inlineStr">
        <is>
          <t>institution name</t>
        </is>
      </c>
      <c r="C4" s="3" t="inlineStr">
        <is>
          <t>the download or the connection</t>
        </is>
      </c>
      <c r="D4" s="3" t="inlineStr">
        <is>
          <t>institution</t>
        </is>
      </c>
      <c r="E4" s="3" t="inlineStr">
        <is>
          <t>1. MK-NW-F-088 BENCH
2. MK-NW-F-097 LEDGER
3. MK-NW-F-082 NW
4. MK-NW-F-101 PLAN
5. MK-NW-F-025 accountDisplayName
6. MK-NW-F-026 accountDisplayNames
7. MK-NW-F-052 buildItemizedAccounts
8. MK-XS-F-014 classifyHolding
9. MK-ST-F-011 classifyHoldingClass
10. MK-NW-F-046 historyCoverage
11. MK-CF-F-184 incomeFromAccounts
12. MK-XS-F-102 ingestSync
13. MK-NW-F-071 isCertificateOfDeposit
14. MK-NW-F-073 itemising
… and 8 more — the full list is on functions_from_code</t>
        </is>
      </c>
      <c r="F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MK-NW-M-050 · MK-NW-M-051 · MK-NW-M-052 · MK-NW-M-053 · MK-NW-M-054 · MK-NW-M-055 · MK-NW-M-056 · MK-NW-M-057 · MK-NW-M-058 · MK-NW-M-063 · MK-PF-M-002 · MK-PF-M-003 · MK-PF-M-005 · MK-PF-M-006 · MK-PF-M-007 · MK-PF-M-008 · MK-PF-M-013 · MK-PF-M-014 · MK-PF-M-015 · MK-PF-M-016 · MK-PF-M-017 · MK-PF-M-018 · MK-PF-M-019 · MK-PF-M-020 · MK-XS-M-001 · MK-XS-M-003 · MK-XS-M-004 · MK-XS-M-005 · MK-XS-M-006</t>
        </is>
      </c>
      <c r="G4" s="3" t="inlineStr">
        <is>
          <t>SWEPT FROM THE CODE 2026-08-26</t>
        </is>
      </c>
      <c r="H4" s="3" t="inlineStr">
        <is>
          <t>ACTIVE</t>
        </is>
      </c>
      <c r="I4" s="3" t="inlineStr">
        <is>
          <t>2026-10-01</t>
        </is>
      </c>
      <c r="J4" s="3" t="inlineStr">
        <is>
          <t>reach generated from the code each build</t>
        </is>
      </c>
    </row>
    <row r="5" ht="60" customHeight="1">
      <c r="A5" s="3" t="inlineStr">
        <is>
          <t>MK-XS-I-004</t>
        </is>
      </c>
      <c r="B5" s="3" t="inlineStr">
        <is>
          <t>holding quantity (shares)</t>
        </is>
      </c>
      <c r="C5" s="3" t="inlineStr">
        <is>
          <t>the download, a connection, or typed</t>
        </is>
      </c>
      <c r="D5" s="3" t="inlineStr">
        <is>
          <t>shares · totalShares · quantity</t>
        </is>
      </c>
      <c r="E5" s="3" t="inlineStr">
        <is>
          <t>1. MK-NW-F-075 ACC
2. MK-NW-F-087 CAT
3. MK-NW-F-080 HOLD
4. MK-CF-F-201 INCOME
5. MK-NW-F-101 PLAN
6. MK-NW-F-027 accountClassBreakdown
7. MK-ST-F-027 accountId
8. MK-CF-F-138 addLot
9. MK-CF-F-210 annualOfSource
10. MK-CF-F-111 applyTransaction
11. MK-PF-F-003 avgCost
12. MK-ST-F-028 buildDayFromAccounts
13. MK-PF-F-006 capGains
14. MK-CF-F-118 cashEffect
… and 26 more — the full list is on functions_from_code</t>
        </is>
      </c>
      <c r="F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G5" s="3" t="inlineStr">
        <is>
          <t>SWEPT FROM THE CODE 2026-08-26</t>
        </is>
      </c>
      <c r="H5" s="3" t="inlineStr">
        <is>
          <t>ACTIVE</t>
        </is>
      </c>
      <c r="I5" s="3" t="inlineStr">
        <is>
          <t>2026-10-02</t>
        </is>
      </c>
      <c r="J5" s="3" t="inlineStr">
        <is>
          <t>reach generated from the code each build</t>
        </is>
      </c>
    </row>
    <row r="6" ht="60" customHeight="1">
      <c r="A6" s="3" t="inlineStr">
        <is>
          <t>MK-XS-I-005</t>
        </is>
      </c>
      <c r="B6" s="3" t="inlineStr">
        <is>
          <t>holding price</t>
        </is>
      </c>
      <c r="C6" s="3" t="inlineStr">
        <is>
          <t>the price feed</t>
        </is>
      </c>
      <c r="D6" s="3" t="inlineStr">
        <is>
          <t>last_price · close · latestClose · priceOf</t>
        </is>
      </c>
      <c r="E6" s="3" t="inlineStr">
        <is>
          <t>1. MK-NW-F-088 BENCH
2. MK-NW-F-080 HOLD
3. MK-NW-F-027 accountClassBreakdown
4. MK-ST-F-027 accountId
5. MK-ST-F-028 buildDayFromAccounts
6. MK-PF-F-014 buildPerformance
7. MK-PF-F-029 closeAsOf
8. MK-PF-F-034 closeOnOrBefore
9. MK-CF-F-043 compareMortgageToTreasury
10. MK-PF-F-022 factorOverMonths
11. MK-XS-F-102 ingestSync
12. MK-NW-F-073 itemising
13. MK-PF-F-009 latestClose
14. MK-PF-F-010 periodReturn
… and 10 more — the full list is on functions_from_code</t>
        </is>
      </c>
      <c r="F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MK-NW-M-029 · MK-NW-M-030 · MK-NW-M-031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MK-PF-M-010 · MK-PF-M-011 · MK-PF-M-012 · MK-PF-M-013 · MK-PF-M-014 · MK-PF-M-015 · MK-PF-M-016 · MK-PF-M-017 · MK-PF-M-018 · MK-PF-M-019 · MK-PF-M-020 · MK-PL-M-001 · MK-PL-M-002 · MK-PL-M-008 · MK-PL-M-009 · MK-PL-M-011 · MK-PL-M-029 · MK-PL-M-034 · MK-XS-M-001 · MK-XS-M-002 · MK-XS-M-003 · MK-XS-M-004 · MK-XS-M-005 · MK-XS-M-006</t>
        </is>
      </c>
      <c r="G6" s="3" t="inlineStr">
        <is>
          <t>SWEPT FROM THE CODE 2026-08-26</t>
        </is>
      </c>
      <c r="H6" s="3" t="inlineStr">
        <is>
          <t>ACTIVE</t>
        </is>
      </c>
      <c r="I6" s="3" t="inlineStr">
        <is>
          <t>2026-10-01</t>
        </is>
      </c>
      <c r="J6" s="3" t="inlineStr">
        <is>
          <t>reach generated from the code each build</t>
        </is>
      </c>
    </row>
    <row r="7" ht="60" customHeight="1">
      <c r="A7" s="3" t="inlineStr">
        <is>
          <t>MK-XS-I-006</t>
        </is>
      </c>
      <c r="B7" s="3" t="inlineStr">
        <is>
          <t>price fetched at</t>
        </is>
      </c>
      <c r="C7" s="3" t="inlineStr">
        <is>
          <t>the app, when it last asked for prices</t>
        </is>
      </c>
      <c r="D7" s="3" t="inlineStr">
        <is>
          <t>fetchedAt · last_synced · pricesFetchedAt</t>
        </is>
      </c>
      <c r="E7" s="3" t="inlineStr">
        <is>
          <t>1. MK-XS-F-002 dataGaps
2. MK-XS-F-056 fetchEconomicData
3. MK-XS-F-102 ingestSync
4. MK-XS-F-082 priceFreshness
5. MK-XS-F-174 recomputeBalances
6. MK-NW-F-045 sourceWording
7. MK-XS-F-175 uid</t>
        </is>
      </c>
      <c r="F7" s="3" t="inlineStr">
        <is>
          <t>MK-HM-M-001 · MK-MN-M-016 · MK-NW-M-001 · MK-NW-M-002 · MK-NW-M-003 · MK-NW-M-004 · MK-NW-M-005 · MK-NW-M-006 · MK-NW-M-007 · MK-NW-M-008 · MK-NW-M-009 · MK-NW-M-011 · MK-NW-M-015 · MK-NW-M-016 · MK-NW-M-017 · MK-NW-M-049 · MK-NW-M-063 · MK-XS-M-001 · MK-XS-M-003</t>
        </is>
      </c>
      <c r="G7" s="3" t="inlineStr">
        <is>
          <t>SWEPT FROM THE CODE 2026-08-26</t>
        </is>
      </c>
      <c r="H7" s="3" t="inlineStr">
        <is>
          <t>ACTIVE</t>
        </is>
      </c>
      <c r="I7" s="3" t="inlineStr">
        <is>
          <t>2026-09-12</t>
        </is>
      </c>
      <c r="J7" s="3" t="inlineStr">
        <is>
          <t>reach generated from the code each build</t>
        </is>
      </c>
    </row>
    <row r="8" ht="60" customHeight="1">
      <c r="A8" s="3" t="inlineStr">
        <is>
          <t>MK-XS-I-007</t>
        </is>
      </c>
      <c r="B8" s="3" t="inlineStr">
        <is>
          <t>purchase price and date (per lot)</t>
        </is>
      </c>
      <c r="C8" s="3" t="inlineStr">
        <is>
          <t>the download or typed</t>
        </is>
      </c>
      <c r="D8" s="3" t="inlineStr">
        <is>
          <t>cost_per_share · purchase_date · cost_basis · costBasis</t>
        </is>
      </c>
      <c r="E8" s="3" t="inlineStr">
        <is>
          <t>1. MK-ST-F-027 accountId
2. MK-CF-F-138 addLot
3. MK-PF-F-003 avgCost
4. MK-PF-F-013 benchmarkTicker
5. MK-ST-F-028 buildDayFromAccounts
6. MK-PF-F-014 buildPerformance
7. MK-PF-F-006 capGains
8. MK-PF-F-002 costBasis
9. MK-PF-F-012 earliestPurchaseDate
10. MK-XS-F-145 flatSymbol
11. MK-XS-F-102 ingestSync
12. MK-NW-F-073 itemising
13. MK-XS-F-106 mapOptionHolding
14. MK-XS-F-105 mapPosition
… and 8 more — the full list is on functions_from_code</t>
        </is>
      </c>
      <c r="F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G8" s="3" t="inlineStr">
        <is>
          <t>SWEPT FROM THE CODE 2026-08-26</t>
        </is>
      </c>
      <c r="H8" s="3" t="inlineStr">
        <is>
          <t>ACTIVE</t>
        </is>
      </c>
      <c r="I8" s="3" t="inlineStr">
        <is>
          <t>2026-09-28</t>
        </is>
      </c>
      <c r="J8" s="3" t="inlineStr">
        <is>
          <t>reach generated from the code each build</t>
        </is>
      </c>
    </row>
    <row r="9" ht="60" customHeight="1">
      <c r="A9" s="3" t="inlineStr">
        <is>
          <t>MK-XS-I-008</t>
        </is>
      </c>
      <c r="B9" s="3" t="inlineStr">
        <is>
          <t>transaction amount</t>
        </is>
      </c>
      <c r="C9" s="3" t="inlineStr">
        <is>
          <t>the institution download</t>
        </is>
      </c>
      <c r="D9" s="3" t="inlineStr">
        <is>
          <t>t.amount · txn.amount · transaction.amount</t>
        </is>
      </c>
      <c r="E9" s="3" t="inlineStr">
        <is>
          <t>1. MK-CF-F-111 applyTransaction
2. MK-CF-F-118 cashEffect
3. MK-NW-F-084 categoryEarnings
4. MK-CF-F-119 investmentIncomeAnnual
5. MK-CF-F-183 paidOutByAccount
6. MK-NW-F-102 rateWhereItRefuses
7. MK-CF-F-109 reviewTransactions
8. MK-PL-F-009 rmdTakenThisYear
9. MK-NW-O-002 theAccount
10. MK-NW-O-008 thePerformance
11. MK-ST-F-072 undo
12. MK-PF-F-024 userFlows</t>
        </is>
      </c>
      <c r="F9" s="3" t="inlineStr">
        <is>
          <t>MK-MN-M-016 · MK-NW-M-001 · MK-NW-M-002 · MK-NW-M-003 · MK-NW-M-004 · MK-NW-M-005 · MK-NW-M-006 · MK-NW-M-007 · MK-NW-M-008 · MK-NW-M-009 · MK-NW-M-011 · MK-NW-M-015 · MK-NW-M-016 · MK-NW-M-017 · MK-NW-M-019 · MK-NW-M-020 · MK-NW-M-021 · MK-NW-M-038 · MK-NW-M-039 · MK-NW-M-040 · MK-NW-M-049 · MK-NW-M-062 · MK-NW-M-063 · MK-PF-M-002 · MK-PF-M-003 · MK-PF-M-005 · MK-PF-M-006 · MK-PF-M-007 · MK-PF-M-008 · MK-PF-M-013 · MK-PF-M-014 · MK-PF-M-015 · MK-PF-M-016 · MK-PF-M-017 · MK-PF-M-018 · MK-PF-M-019 · MK-PF-M-020 · MK-XS-M-001 · MK-XS-M-003 · MK-XS-M-004</t>
        </is>
      </c>
      <c r="G9" s="3" t="inlineStr">
        <is>
          <t>SWEPT FROM THE CODE 2026-08-26</t>
        </is>
      </c>
      <c r="H9" s="3" t="inlineStr">
        <is>
          <t>ACTIVE</t>
        </is>
      </c>
      <c r="I9" s="3" t="inlineStr">
        <is>
          <t>2026-10-01</t>
        </is>
      </c>
      <c r="J9" s="3" t="inlineStr">
        <is>
          <t>reach generated from the code each build</t>
        </is>
      </c>
    </row>
    <row r="10" ht="60" customHeight="1">
      <c r="A10" s="3" t="inlineStr">
        <is>
          <t>MK-XS-I-009</t>
        </is>
      </c>
      <c r="B10" s="3" t="inlineStr">
        <is>
          <t>transaction date</t>
        </is>
      </c>
      <c r="C10" s="3" t="inlineStr">
        <is>
          <t>the institution download</t>
        </is>
      </c>
      <c r="D10" s="3" t="inlineStr">
        <is>
          <t>t.date · txn.date · posted_at</t>
        </is>
      </c>
      <c r="E10" s="3" t="inlineStr">
        <is>
          <t>1. MK-CF-F-138 addLot
2. MK-CF-F-119 investmentIncomeAnnual
3. MK-NW-F-102 rateWhereItRefuses
4. MK-PF-F-028 realizedFromLedger
5. MK-ST-F-073 rebuildDays
6. MK-ST-F-071 rebuildableFrom
7. MK-CF-F-109 reviewTransactions
8. MK-PL-F-009 rmdTakenThisYear
9. MK-NW-O-002 theAccount
10. MK-NW-O-006 theHolding
11. MK-NW-O-008 thePerformance
12. MK-PF-F-024 userFlows</t>
        </is>
      </c>
      <c r="F10" s="3" t="inlineStr">
        <is>
          <t>MK-MN-M-016 · MK-NW-M-001 · MK-NW-M-002 · MK-NW-M-003 · MK-NW-M-004 · MK-NW-M-005 · MK-NW-M-006 · MK-NW-M-007 · MK-NW-M-008 · MK-NW-M-009 · MK-NW-M-011 · MK-NW-M-015 · MK-NW-M-016 · MK-NW-M-017 · MK-NW-M-019 · MK-NW-M-020 · MK-NW-M-021 · MK-NW-M-029 · MK-NW-M-030 · MK-NW-M-031 · MK-NW-M-033 · MK-NW-M-034 · MK-NW-M-035 · MK-NW-M-036 · MK-NW-M-037 · MK-NW-M-038 · MK-NW-M-039 · MK-NW-M-040 · MK-NW-M-049 · MK-NW-M-059 · MK-NW-M-060 · MK-NW-M-061 · MK-NW-M-062 · MK-NW-M-063 · MK-PF-M-002 · MK-PF-M-003 · MK-PF-M-005 · MK-PF-M-006 · MK-PF-M-007 · MK-PF-M-008 · MK-PF-M-013 · MK-PF-M-014 · MK-PF-M-015 · MK-PF-M-016 · MK-PF-M-017 · MK-PF-M-018 · MK-PF-M-019 · MK-PF-M-020 · MK-XS-M-001 · MK-XS-M-003 · MK-XS-M-004</t>
        </is>
      </c>
      <c r="G10" s="3" t="inlineStr">
        <is>
          <t>SWEPT FROM THE CODE 2026-08-26</t>
        </is>
      </c>
      <c r="H10" s="3" t="inlineStr">
        <is>
          <t>ACTIVE</t>
        </is>
      </c>
      <c r="I10" s="3" t="inlineStr">
        <is>
          <t>2026-10-01</t>
        </is>
      </c>
      <c r="J10" s="3" t="inlineStr">
        <is>
          <t>reach generated from the code each build</t>
        </is>
      </c>
    </row>
    <row r="11" ht="60" customHeight="1">
      <c r="A11" s="3" t="inlineStr">
        <is>
          <t>MK-XS-I-010</t>
        </is>
      </c>
      <c r="B11" s="3" t="inlineStr">
        <is>
          <t>transaction words (the institution's own wording)</t>
        </is>
      </c>
      <c r="C11" s="3" t="inlineStr">
        <is>
          <t>the institution download</t>
        </is>
      </c>
      <c r="D11" s="3" t="inlineStr">
        <is>
          <t>description · merchant · raw_description · payee</t>
        </is>
      </c>
      <c r="E11" s="3" t="inlineStr">
        <is>
          <t>1. MK-NW-F-027 accountClassBreakdown
2. MK-XS-F-108 activityKey
3. MK-CF-F-110 flagComparisonText
4. MK-XS-F-015 importHoldings
5. MK-ST-F-014 importKey
6. MK-XS-F-102 ingestSync
7. MK-XS-F-105 mapPosition
8. MK-XS-F-097 ocrReceipt
9. MK-XS-F-058 parseReceipt
10. MK-ST-F-013 personalFlowTotals
11. MK-NW-F-054 reclassifyAccounts
12. MK-XS-F-174 recomputeBalances
13. MK-CF-F-109 reviewTransactions
14. MK-ST-F-012 toLedgerRow
… and 1 more — the full list is on functions_from_code</t>
        </is>
      </c>
      <c r="F11" s="3" t="inlineStr">
        <is>
          <t>MK-MN-M-016 · MK-NW-M-001 · MK-NW-M-002 · MK-NW-M-003 · MK-NW-M-004 · MK-NW-M-005 · MK-NW-M-006 · MK-NW-M-007 · MK-NW-M-008 · MK-NW-M-009 · MK-NW-M-011 · MK-NW-M-014 · MK-NW-M-015 · MK-NW-M-016 · MK-NW-M-017 · MK-NW-M-019 · MK-NW-M-020 · MK-NW-M-021 · MK-NW-M-038 · MK-NW-M-039 · MK-NW-M-040 · MK-NW-M-046 · MK-NW-M-047 · MK-NW-M-048 · MK-NW-M-049 · MK-NW-M-062 · MK-NW-M-063 · MK-PF-M-002 · MK-PF-M-003 · MK-PF-M-005 · MK-PF-M-006 · MK-PF-M-007 · MK-PF-M-008 · MK-PF-M-013 · MK-PF-M-014 · MK-PF-M-015 · MK-PF-M-016 · MK-PF-M-017 · MK-PF-M-018 · MK-PF-M-019 · MK-PF-M-020 · MK-XS-M-001 · MK-XS-M-003 · MK-XS-M-004</t>
        </is>
      </c>
      <c r="G11" s="3" t="inlineStr">
        <is>
          <t>SWEPT FROM THE CODE 2026-08-26</t>
        </is>
      </c>
      <c r="H11" s="3" t="inlineStr">
        <is>
          <t>ACTIVE</t>
        </is>
      </c>
      <c r="I11" s="3" t="inlineStr">
        <is>
          <t>2026-09-12</t>
        </is>
      </c>
      <c r="J11" s="3" t="inlineStr">
        <is>
          <t>reach generated from the code each build</t>
        </is>
      </c>
    </row>
    <row r="12" ht="60" customHeight="1">
      <c r="A12" s="3" t="inlineStr">
        <is>
          <t>MK-XS-I-011</t>
        </is>
      </c>
      <c r="B12" s="3" t="inlineStr">
        <is>
          <t>bond face value</t>
        </is>
      </c>
      <c r="C12" s="3" t="inlineStr">
        <is>
          <t>typed, or the download</t>
        </is>
      </c>
      <c r="D12" s="3" t="inlineStr">
        <is>
          <t>face_value · face</t>
        </is>
      </c>
      <c r="E12" s="3" t="inlineStr">
        <is>
          <t>1. MK-NW-F-078 ONE
2. MK-NW-F-057 annualCoupon
3. MK-NW-F-060 approxYTM
4. MK-NW-F-056 bondInfo
5. MK-NW-F-064 bondRateSensitivity
6. MK-NW-F-061 bondSummary
7. MK-NW-F-052 buildItemizedAccounts
8. MK-CF-F-184 incomeFromAccounts
9. MK-NW-F-063 interestIncomeAnnual
10. MK-NW-F-071 isCertificateOfDeposit
11. MK-NW-F-069 priceAtYield
12. MK-NW-F-072 rowOf
13. MK-NW-O-001 theBonds</t>
        </is>
      </c>
      <c r="F1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G12" s="3" t="inlineStr">
        <is>
          <t>SWEPT FROM THE CODE 2026-08-26</t>
        </is>
      </c>
      <c r="H12" s="3" t="inlineStr">
        <is>
          <t>ACTIVE</t>
        </is>
      </c>
      <c r="I12" s="3" t="inlineStr">
        <is>
          <t>2026-09-28</t>
        </is>
      </c>
      <c r="J12" s="3" t="inlineStr">
        <is>
          <t>reach generated from the code each build</t>
        </is>
      </c>
    </row>
    <row r="13" ht="60" customHeight="1">
      <c r="A13" s="3" t="inlineStr">
        <is>
          <t>MK-XS-I-012</t>
        </is>
      </c>
      <c r="B13" s="3" t="inlineStr">
        <is>
          <t>bond coupon rate</t>
        </is>
      </c>
      <c r="C13" s="3" t="inlineStr">
        <is>
          <t>typed, or the download</t>
        </is>
      </c>
      <c r="D13" s="3" t="inlineStr">
        <is>
          <t>coupon_rate · couponRate</t>
        </is>
      </c>
      <c r="E13" s="3" t="inlineStr">
        <is>
          <t>1. MK-NW-F-078 ONE
2. MK-NW-F-057 annualCoupon
3. MK-NW-F-056 bondInfo
4. MK-NW-F-064 bondRateSensitivity
5. MK-NW-F-052 buildItemizedAccounts
6. MK-NW-F-084 categoryEarnings
7. MK-CF-F-184 incomeFromAccounts
8. MK-NW-F-063 interestIncomeAnnual
9. MK-NW-F-071 isCertificateOfDeposit
10. MK-NW-F-072 rowOf
11. MK-NW-O-001 theBonds</t>
        </is>
      </c>
      <c r="F1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G13" s="3" t="inlineStr">
        <is>
          <t>SWEPT FROM THE CODE 2026-08-26</t>
        </is>
      </c>
      <c r="H13" s="3" t="inlineStr">
        <is>
          <t>ACTIVE</t>
        </is>
      </c>
      <c r="I13" s="3" t="inlineStr">
        <is>
          <t>2026-10-03</t>
        </is>
      </c>
      <c r="J13" s="3" t="inlineStr">
        <is>
          <t>reach generated from the code each build</t>
        </is>
      </c>
    </row>
    <row r="14" ht="60" customHeight="1">
      <c r="A14" s="3" t="inlineStr">
        <is>
          <t>MK-XS-I-013</t>
        </is>
      </c>
      <c r="B14" s="3" t="inlineStr">
        <is>
          <t>bond maturity date</t>
        </is>
      </c>
      <c r="C14" s="3" t="inlineStr">
        <is>
          <t>typed, or the download</t>
        </is>
      </c>
      <c r="D14" s="3" t="inlineStr">
        <is>
          <t>maturity_date · maturity</t>
        </is>
      </c>
      <c r="E14" s="3" t="inlineStr">
        <is>
          <t>1. MK-NW-F-078 ONE
2. MK-NW-F-060 approxYTM
3. MK-NW-F-011 assetClassOf
4. MK-NW-F-056 bondInfo
5. MK-NW-F-061 bondSummary
6. MK-NW-F-052 buildItemizedAccounts
7. MK-ST-F-011 classifyHoldingClass
8. MK-NW-F-053 correctClassOf
9. MK-NW-F-001 isAlternative
10. MK-NW-F-071 isCertificateOfDeposit
11. MK-XS-F-107 mapActivityType
12. MK-ST-F-010 nameEvidence
13. MK-NW-F-069 priceAtYield
14. MK-NW-F-072 rowOf
… and 2 more — the full list is on functions_from_code</t>
        </is>
      </c>
      <c r="F1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MK-NW-M-028 · MK-NW-M-038 · MK-NW-M-039 · MK-NW-M-040 · MK-NW-M-041 · MK-NW-M-042 · MK-NW-M-043 · MK-NW-M-044 · MK-NW-M-045 · MK-NW-M-046 · MK-NW-M-047 · MK-NW-M-048 · MK-NW-M-049 · MK-NW-M-050 · MK-NW-M-051 · MK-NW-M-052 · MK-NW-M-053 · MK-NW-M-054 · MK-NW-M-055 · MK-NW-M-056 · MK-NW-M-057 · MK-NW-M-058 · MK-NW-M-062 · MK-NW-M-063 · MK-PF-M-002 · MK-PF-M-003 · MK-PF-M-005 · MK-PF-M-006 · MK-PF-M-007 · MK-PF-M-008 · MK-PF-M-013 · MK-PF-M-014 · MK-PF-M-015 · MK-PF-M-016 · MK-PF-M-017 · MK-PF-M-018 · MK-PF-M-019 · MK-PF-M-020 · MK-PL-M-001 · MK-PL-M-002 · MK-PL-M-008 · MK-PL-M-009 · MK-PL-M-011 · MK-PL-M-029 · MK-PL-M-034 · MK-XS-M-001 · MK-XS-M-002 · MK-XS-M-003 · MK-XS-M-004 · MK-XS-M-005 · MK-XS-M-006</t>
        </is>
      </c>
      <c r="G14" s="3" t="inlineStr">
        <is>
          <t>SWEPT FROM THE CODE 2026-08-26</t>
        </is>
      </c>
      <c r="H14" s="3" t="inlineStr">
        <is>
          <t>ACTIVE</t>
        </is>
      </c>
      <c r="I14" s="3" t="inlineStr">
        <is>
          <t>2026-09-28</t>
        </is>
      </c>
      <c r="J14" s="3" t="inlineStr">
        <is>
          <t>reach generated from the code each build</t>
        </is>
      </c>
    </row>
    <row r="15" ht="60" customHeight="1">
      <c r="A15" s="3" t="inlineStr">
        <is>
          <t>MK-XS-I-014</t>
        </is>
      </c>
      <c r="B15" s="3" t="inlineStr">
        <is>
          <t>debt balance</t>
        </is>
      </c>
      <c r="C15" s="3" t="inlineStr">
        <is>
          <t>typed, or a connection</t>
        </is>
      </c>
      <c r="D15" s="3" t="inlineStr">
        <is>
          <t>remaining_balance</t>
        </is>
      </c>
      <c r="E15" s="3" t="inlineStr">
        <is>
          <t>1. MK-XS-F-004 buildDatedGrid
2. MK-CF-F-036 buildDebtState
3. MK-CF-F-157 debtPaymentsByDebt
4. MK-CF-F-038 debtsFromOnboarding
5. MK-NW-F-094 ledgerGroups
6. MK-CF-F-034 payoffPlan
7. MK-CF-O-018 theDebts
8. MK-NW-O-004 theEmergencyFund
9. MK-CF-O-010 theMonth
10. MK-NW-O-003 theNetWorth
11. MK-CF-F-027 totalDebtBalance
12. MK-PL-F-036 weighGoals</t>
        </is>
      </c>
      <c r="F1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MK-PL-M-031 · MK-XS-M-001 · MK-XS-M-003 · MK-XS-M-005 · MK-XS-M-006</t>
        </is>
      </c>
      <c r="G15" s="3" t="inlineStr">
        <is>
          <t>SWEPT FROM THE CODE 2026-08-26</t>
        </is>
      </c>
      <c r="H15" s="3" t="inlineStr">
        <is>
          <t>ACTIVE</t>
        </is>
      </c>
      <c r="I15" s="3" t="inlineStr">
        <is>
          <t>2026-10-02</t>
        </is>
      </c>
      <c r="J15" s="3" t="inlineStr">
        <is>
          <t>reach generated from the code each build</t>
        </is>
      </c>
    </row>
    <row r="16" ht="60" customHeight="1">
      <c r="A16" s="3" t="inlineStr">
        <is>
          <t>MK-XS-I-015</t>
        </is>
      </c>
      <c r="B16" s="3" t="inlineStr">
        <is>
          <t>debt interest rate</t>
        </is>
      </c>
      <c r="C16" s="3" t="inlineStr">
        <is>
          <t>typed</t>
        </is>
      </c>
      <c r="D16" s="3" t="inlineStr">
        <is>
          <t>interest_rate_apr</t>
        </is>
      </c>
      <c r="E16" s="3" t="inlineStr">
        <is>
          <t>1. MK-CF-F-036 buildDebtState
2. MK-CF-F-157 debtPaymentsByDebt
3. MK-CF-F-038 debtsFromOnboarding
4. MK-NW-F-094 ledgerGroups
5. MK-CF-F-034 payoffPlan
6. MK-CF-O-018 theDebts
7. MK-NW-O-004 theEmergencyFund
8. MK-CF-O-010 theMonth</t>
        </is>
      </c>
      <c r="F1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MK-PL-M-031 · MK-XS-M-001 · MK-XS-M-003 · MK-XS-M-005 · MK-XS-M-006</t>
        </is>
      </c>
      <c r="G16" s="3" t="inlineStr">
        <is>
          <t>SWEPT FROM THE CODE 2026-08-26</t>
        </is>
      </c>
      <c r="H16" s="3" t="inlineStr">
        <is>
          <t>ACTIVE</t>
        </is>
      </c>
      <c r="I16" s="3" t="inlineStr">
        <is>
          <t>2026-10-02</t>
        </is>
      </c>
      <c r="J16" s="3" t="inlineStr">
        <is>
          <t>reach generated from the code each build</t>
        </is>
      </c>
    </row>
    <row r="17" ht="60" customHeight="1">
      <c r="A17" s="3" t="inlineStr">
        <is>
          <t>MK-XS-I-016</t>
        </is>
      </c>
      <c r="B17" s="3" t="inlineStr">
        <is>
          <t>debt minimum payment</t>
        </is>
      </c>
      <c r="C17" s="3" t="inlineStr">
        <is>
          <t>typed</t>
        </is>
      </c>
      <c r="D17" s="3" t="inlineStr">
        <is>
          <t>minimum_monthly_payment</t>
        </is>
      </c>
      <c r="E17" s="3" t="inlineStr">
        <is>
          <t>1. MK-CF-F-157 debtPaymentsByDebt
2. MK-CF-F-038 debtsFromOnboarding
3. MK-NW-F-094 ledgerGroups
4. MK-CF-F-025 minimumDebtService
5. MK-CF-F-034 payoffPlan
6. MK-CF-F-023 requiredPayment
7. MK-CF-O-018 theDebts
8. MK-NW-O-004 theEmergencyFund
9. MK-CF-O-010 theMonth</t>
        </is>
      </c>
      <c r="F17"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MK-PL-M-031 · MK-PL-M-033 · MK-PL-M-034 · MK-XS-M-001 · MK-XS-M-002 · MK-XS-M-003 · MK-XS-M-005 · MK-XS-M-006</t>
        </is>
      </c>
      <c r="G17" s="3" t="inlineStr">
        <is>
          <t>SWEPT FROM THE CODE 2026-08-26</t>
        </is>
      </c>
      <c r="H17" s="3" t="inlineStr">
        <is>
          <t>ACTIVE</t>
        </is>
      </c>
      <c r="I17" s="3" t="inlineStr">
        <is>
          <t>2026-10-02</t>
        </is>
      </c>
      <c r="J17" s="3" t="inlineStr">
        <is>
          <t>reach generated from the code each build</t>
        </is>
      </c>
    </row>
    <row r="18" ht="60" customHeight="1">
      <c r="A18" s="3" t="inlineStr">
        <is>
          <t>MK-XS-I-017</t>
        </is>
      </c>
      <c r="B18" s="3" t="inlineStr">
        <is>
          <t>birth year</t>
        </is>
      </c>
      <c r="C18" s="3" t="inlineStr">
        <is>
          <t>typed at setup</t>
        </is>
      </c>
      <c r="D18" s="3" t="inlineStr">
        <is>
          <t>birthYear · birth_year</t>
        </is>
      </c>
      <c r="E18" s="3" t="inlineStr">
        <is>
          <t>1. MK-CF-F-197 ageAttainedInYear
2. MK-XS-F-179 ageToday
3. MK-PL-F-064 claimWindow
4. MK-XS-F-017 currentAge
5. MK-PL-F-063 fraLabel
6. MK-PL-F-057 fullRetirementAge
7. MK-CF-O-017 futurePaycheck
8. MK-PL-F-027 nextDecision
9. MK-CF-F-089 over65CountOf
10. MK-PL-F-026 planDoor
11. MK-XS-F-026 profileFromOnboarding
12. MK-PL-F-006 rmdDivisor
13. MK-ST-F-024 rmdStartAge
14. MK-PL-F-060 ssBenefitAt
… and 5 more — the full list is on functions_from_code</t>
        </is>
      </c>
      <c r="F1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MK-PL-M-001 · MK-PL-M-002 · MK-PL-M-008 · MK-PL-M-011 · MK-PL-M-017 · MK-PL-M-019 · MK-PL-M-026 · MK-PL-M-029 · MK-PL-M-033 · MK-PL-M-034 · MK-XS-M-001 · MK-XS-M-002 · MK-XS-M-003 · MK-XS-M-005 · MK-XS-M-006</t>
        </is>
      </c>
      <c r="G18" s="3" t="inlineStr">
        <is>
          <t>SWEPT FROM THE CODE 2026-08-26</t>
        </is>
      </c>
      <c r="H18" s="3" t="inlineStr">
        <is>
          <t>ACTIVE</t>
        </is>
      </c>
      <c r="I18" s="3" t="inlineStr">
        <is>
          <t>2026-10-03</t>
        </is>
      </c>
      <c r="J18" s="3" t="inlineStr">
        <is>
          <t>reach generated from the code each build</t>
        </is>
      </c>
    </row>
    <row r="19" ht="60" customHeight="1">
      <c r="A19" s="3" t="inlineStr">
        <is>
          <t>MK-XS-I-018</t>
        </is>
      </c>
      <c r="B19" s="3" t="inlineStr">
        <is>
          <t>retirement age</t>
        </is>
      </c>
      <c r="C19" s="3" t="inlineStr">
        <is>
          <t>typed, or the dial on Plan</t>
        </is>
      </c>
      <c r="D19" s="3" t="inlineStr">
        <is>
          <t>retireAge · retire_age · targetRetirementAge</t>
        </is>
      </c>
      <c r="E19" s="3" t="inlineStr">
        <is>
          <t>1. MK-NW-F-101 PLAN
2. MK-XS-F-031 buildSnapshot
3. MK-PL-F-048 capitalNeeded
4. MK-CF-O-017 futurePaycheck
5. MK-PL-F-043 howTheGapCloses
6. MK-PL-F-046 leverDeltas
7. MK-PL-F-030 onCourseSentence
8. MK-PL-F-044 planTarget
9. MK-XS-F-026 profileFromOnboarding
10. MK-PL-F-055 projectNestEgg
11. MK-XS-F-174 recomputeBalances
12. MK-PL-F-035 retireAgeWithContribution
13. MK-XS-F-019 retirementHorizonYears
14. MK-PL-F-049 retirementSpendMonthly
… and 10 more — the full list is on functions_from_code</t>
        </is>
      </c>
      <c r="F19" s="3" t="inlineStr">
        <is>
          <t>MK-CF-M-022 · MK-CF-M-055 · MK-CF-M-070 · MK-MN-M-016 · MK-NW-M-001 · MK-NW-M-002 · MK-NW-M-003 · MK-NW-M-004 · MK-NW-M-005 · MK-NW-M-006 · MK-NW-M-007 · MK-NW-M-008 · MK-NW-M-009 · MK-NW-M-011 · MK-NW-M-015 · MK-NW-M-016 · MK-NW-M-017 · MK-NW-M-049 · MK-NW-M-063 · MK-PL-M-008 · MK-PL-M-009 · MK-PL-M-011 · MK-PL-M-026 · MK-PL-M-029 · MK-PL-M-033 · MK-PL-M-034 · MK-XS-M-001 · MK-XS-M-002 · MK-XS-M-003</t>
        </is>
      </c>
      <c r="G19" s="3" t="inlineStr">
        <is>
          <t>SWEPT FROM THE CODE 2026-08-26</t>
        </is>
      </c>
      <c r="H19" s="3" t="inlineStr">
        <is>
          <t>ACTIVE</t>
        </is>
      </c>
      <c r="I19" s="3" t="inlineStr">
        <is>
          <t>2026-10-03</t>
        </is>
      </c>
      <c r="J19" s="3" t="inlineStr">
        <is>
          <t>reach generated from the code each build</t>
        </is>
      </c>
    </row>
    <row r="20" ht="60" customHeight="1">
      <c r="A20" s="3" t="inlineStr">
        <is>
          <t>MK-XS-I-019</t>
        </is>
      </c>
      <c r="B20" s="3" t="inlineStr">
        <is>
          <t>monthly expenses in retirement</t>
        </is>
      </c>
      <c r="C20" s="3" t="inlineStr">
        <is>
          <t>typed</t>
        </is>
      </c>
      <c r="D20" s="3" t="inlineStr">
        <is>
          <t>expectedRetirementSpending · spendingChangeLater · travelBudget · medicalBudget</t>
        </is>
      </c>
      <c r="E20" s="3" t="inlineStr">
        <is>
          <t>MK-PL-F-049 retirementSpendMonthly</t>
        </is>
      </c>
      <c r="F20" s="3" t="inlineStr">
        <is>
          <t>MK-CF-M-055 · MK-CF-M-070 · MK-PL-M-008 · MK-PL-M-009 · MK-PL-M-011 · MK-PL-M-029 · MK-PL-M-034 · MK-XS-M-002</t>
        </is>
      </c>
      <c r="G20" s="3" t="inlineStr">
        <is>
          <t>SWEPT FROM THE CODE 2026-08-26</t>
        </is>
      </c>
      <c r="H20" s="3" t="inlineStr">
        <is>
          <t>ACTIVE</t>
        </is>
      </c>
      <c r="I20" s="3" t="inlineStr">
        <is>
          <t>2026-08-27</t>
        </is>
      </c>
      <c r="J20" s="3" t="inlineStr">
        <is>
          <t>reach generated from the code each build</t>
        </is>
      </c>
    </row>
    <row r="21" ht="60" customHeight="1">
      <c r="A21" s="3" t="inlineStr">
        <is>
          <t>MK-XS-I-020</t>
        </is>
      </c>
      <c r="B21" s="3" t="inlineStr">
        <is>
          <t>Social Security monthly amount</t>
        </is>
      </c>
      <c r="C21" s="3" t="inlineStr">
        <is>
          <t>typed from the statement, or a worked example</t>
        </is>
      </c>
      <c r="D21" s="3" t="inlineStr">
        <is>
          <t>socialSecurityMonthly · ssMonthly · statementMonthly</t>
        </is>
      </c>
      <c r="E21" s="3" t="inlineStr">
        <is>
          <t>1. MK-CF-F-072 currentRetirementIncomeMonthly
2. MK-CF-F-076 guaranteedOutsideStreams
3. MK-XS-F-174 recomputeBalances
4. MK-CF-F-075 retirementIncomeMonthly
5. MK-PL-F-060 ssBenefitAt
6. MK-PL-F-061 ssBenefitAtClaimAge
7. MK-PL-F-062 ssLifetimeTotal
8. MK-XS-F-175 uid
9. MK-PL-F-067 willItLastInputs</t>
        </is>
      </c>
      <c r="F21"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MK-PL-M-017 · MK-PL-M-018 · MK-PL-M-019 · MK-PL-M-029 · MK-PL-M-032 · MK-PL-M-034 · MK-XS-M-001 · MK-XS-M-002 · MK-XS-M-003 · MK-XS-M-005 · MK-XS-M-006</t>
        </is>
      </c>
      <c r="G21" s="3" t="inlineStr">
        <is>
          <t>SWEPT FROM THE CODE 2026-08-26</t>
        </is>
      </c>
      <c r="H21" s="3" t="inlineStr">
        <is>
          <t>ACTIVE</t>
        </is>
      </c>
      <c r="I21" s="3" t="inlineStr">
        <is>
          <t>2026-09-12</t>
        </is>
      </c>
      <c r="J21" s="3" t="inlineStr">
        <is>
          <t>reach generated from the code each build</t>
        </is>
      </c>
    </row>
    <row r="22" ht="60" customHeight="1">
      <c r="A22" s="3" t="inlineStr">
        <is>
          <t>MK-XS-I-021</t>
        </is>
      </c>
      <c r="B22" s="3" t="inlineStr">
        <is>
          <t>Social Security claim age</t>
        </is>
      </c>
      <c r="C22" s="3" t="inlineStr">
        <is>
          <t>typed</t>
        </is>
      </c>
      <c r="D22" s="3" t="inlineStr">
        <is>
          <t>claimAge · ssClaimAge</t>
        </is>
      </c>
      <c r="E22" s="3" t="inlineStr">
        <is>
          <t>1. MK-PL-F-046 leverDeltas
2. MK-PL-F-027 nextDecision
3. MK-XS-F-174 recomputeBalances
4. MK-CF-F-058 rothConversionWindow
5. MK-PL-F-060 ssBenefitAt
6. MK-PL-F-061 ssBenefitAtClaimAge
7. MK-PL-F-059 ssClaimFactor
8. MK-PL-F-058 ssClaimFactorFor
9. MK-PL-F-062 ssLifetimeTotal
10. MK-XS-F-175 uid
11. MK-PL-F-067 willItLastInputs
12. MK-PL-F-052 withSsStream</t>
        </is>
      </c>
      <c r="F22" s="3" t="inlineStr">
        <is>
          <t>MK-CF-M-055 · MK-CF-M-070 · MK-MN-M-016 · MK-NW-M-001 · MK-NW-M-002 · MK-NW-M-003 · MK-NW-M-004 · MK-NW-M-005 · MK-NW-M-006 · MK-NW-M-007 · MK-NW-M-008 · MK-NW-M-009 · MK-NW-M-011 · MK-NW-M-015 · MK-NW-M-016 · MK-NW-M-017 · MK-NW-M-049 · MK-NW-M-063 · MK-PL-M-008 · MK-PL-M-011 · MK-PL-M-017 · MK-PL-M-019 · MK-PL-M-029 · MK-PL-M-034 · MK-XS-M-001 · MK-XS-M-002 · MK-XS-M-003</t>
        </is>
      </c>
      <c r="G22" s="3" t="inlineStr">
        <is>
          <t>SWEPT FROM THE CODE 2026-08-26</t>
        </is>
      </c>
      <c r="H22" s="3" t="inlineStr">
        <is>
          <t>ACTIVE</t>
        </is>
      </c>
      <c r="I22" s="3" t="inlineStr">
        <is>
          <t>2026-09-12</t>
        </is>
      </c>
      <c r="J22" s="3" t="inlineStr">
        <is>
          <t>reach generated from the code each build</t>
        </is>
      </c>
    </row>
    <row r="23" ht="60" customHeight="1">
      <c r="A23" s="3" t="inlineStr">
        <is>
          <t>MK-XS-I-022</t>
        </is>
      </c>
      <c r="B23" s="3" t="inlineStr">
        <is>
          <t>pension monthly amount</t>
        </is>
      </c>
      <c r="C23" s="3" t="inlineStr">
        <is>
          <t>typed</t>
        </is>
      </c>
      <c r="D23" s="3" t="inlineStr">
        <is>
          <t>pensionMonthly · ri_pension · pension</t>
        </is>
      </c>
      <c r="E23" s="3" t="inlineStr">
        <is>
          <t>1. MK-CF-F-210 annualOfSource
2. MK-CF-F-072 currentRetirementIncomeMonthly
3. MK-CF-O-017 futurePaycheck
4. MK-CF-F-076 guaranteedOutsideStreams
5. MK-CF-O-016 incomeSources
6. MK-CF-O-004 incomeSummary
7. MK-CF-F-075 retirementIncomeMonthly
8. MK-PL-F-049 retirementSpendMonthly
9. MK-PL-F-031 taxOrganizer</t>
        </is>
      </c>
      <c r="F23"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MK-PL-M-029 · MK-PL-M-032 · MK-PL-M-034 · MK-XS-M-001 · MK-XS-M-002 · MK-XS-M-003 · MK-XS-M-005 · MK-XS-M-006</t>
        </is>
      </c>
      <c r="G23" s="3" t="inlineStr">
        <is>
          <t>SWEPT FROM THE CODE 2026-08-26</t>
        </is>
      </c>
      <c r="H23" s="3" t="inlineStr">
        <is>
          <t>ACTIVE</t>
        </is>
      </c>
      <c r="I23" s="3" t="inlineStr">
        <is>
          <t>2026-10-04</t>
        </is>
      </c>
      <c r="J23" s="3" t="inlineStr">
        <is>
          <t>reach generated from the code each build</t>
        </is>
      </c>
    </row>
    <row r="24" ht="60" customHeight="1">
      <c r="A24" s="3" t="inlineStr">
        <is>
          <t>MK-XS-I-023</t>
        </is>
      </c>
      <c r="B24" s="3" t="inlineStr">
        <is>
          <t>salary and other income</t>
        </is>
      </c>
      <c r="C24" s="3" t="inlineStr">
        <is>
          <t>typed at setup</t>
        </is>
      </c>
      <c r="D24" s="3" t="inlineStr">
        <is>
          <t>salaryByMonth · bonusAnnual · tipsMonthly · signingOnetime · salaryAnnual</t>
        </is>
      </c>
      <c r="E24" s="3" t="inlineStr">
        <is>
          <t>1. MK-CF-F-201 INCOME
2. MK-CF-F-210 annualOfSource
3. MK-XS-F-004 buildDatedGrid
4. MK-CF-F-020 cashflowYear
5. MK-CF-F-172 hasWage
6. MK-CF-F-079 incomeFromOnboarding
7. MK-CF-F-092 incomeMonthlyGrid
8. MK-CF-O-016 incomeSources
9. MK-CF-O-004 incomeSummary
10. MK-CF-F-181 rateInForce
11. MK-CF-F-082 salaryAnnual
12. MK-CF-F-165 salaryMonths
13. MK-PL-F-031 taxOrganizer
14. MK-CF-F-084 taxableAnnual
… and 4 more — the full list is on functions_from_code</t>
        </is>
      </c>
      <c r="F2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MK-MN-M-014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G24" s="3" t="inlineStr">
        <is>
          <t>SWEPT FROM THE CODE 2026-08-26</t>
        </is>
      </c>
      <c r="H24" s="3" t="inlineStr">
        <is>
          <t>ACTIVE</t>
        </is>
      </c>
      <c r="I24" s="3" t="inlineStr">
        <is>
          <t>2026-10-02</t>
        </is>
      </c>
      <c r="J24" s="3" t="inlineStr">
        <is>
          <t>reach generated from the code each build</t>
        </is>
      </c>
    </row>
    <row r="25" ht="60" customHeight="1">
      <c r="A25" s="3" t="inlineStr">
        <is>
          <t>MK-XS-I-024</t>
        </is>
      </c>
      <c r="B25" s="3" t="inlineStr">
        <is>
          <t>logged expenses</t>
        </is>
      </c>
      <c r="C25" s="3" t="inlineStr">
        <is>
          <t>typed, or read from a download</t>
        </is>
      </c>
      <c r="D25" s="3" t="inlineStr">
        <is>
          <t>loggedSpend · expenses · txns · transactions</t>
        </is>
      </c>
      <c r="E25" s="3" t="inlineStr">
        <is>
          <t>1. MK-NW-F-075 ACC
2. MK-NW-F-079 EF
3. MK-NW-F-080 HOLD
4. MK-NW-F-085 PERF_ONE
5. MK-NW-F-101 PLAN
6. MK-NW-F-100 TREND
7. MK-CF-F-005 actualMonthFlow
8. MK-CF-F-151 actualSpending
9. MK-XS-F-057 analyzeExpenses
10. MK-CF-F-014 budgetVsActual
11. MK-XS-F-004 buildDatedGrid
12. MK-CF-F-107 buildPaycheckYear
13. MK-NW-F-084 categoryEarnings
14. MK-XS-F-100 connectionFreshness
… and 39 more — the full list is on functions_from_code</t>
        </is>
      </c>
      <c r="F2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MK-MN-M-020 · MK-MN-M-021 · MK-MN-M-024 · MK-MN-M-025 · MK-MN-M-026 · MK-MN-M-027 · MK-MN-M-028 · MK-MN-M-030 · MK-NW-M-001 · MK-NW-M-002 · MK-NW-M-003 · MK-NW-M-004 · MK-NW-M-005 · MK-NW-M-006 · MK-NW-M-007 · MK-NW-M-008 · MK-NW-M-009 · MK-NW-M-011 · MK-NW-M-012 · MK-NW-M-013 · MK-NW-M-014 · MK-NW-M-015 · MK-NW-M-016 · MK-NW-M-017 · MK-NW-M-019 · MK-NW-M-020 · MK-NW-M-021 · MK-NW-M-029 · MK-NW-M-030 · MK-NW-M-031 · MK-NW-M-033 · MK-NW-M-034 · MK-NW-M-035 · MK-NW-M-036 · MK-NW-M-037 · MK-NW-M-038 · MK-NW-M-039 · MK-NW-M-040 · MK-NW-M-046 · MK-NW-M-047 · MK-NW-M-048 · MK-NW-M-049 · MK-NW-M-059 · MK-NW-M-060 · MK-NW-M-061 · MK-NW-M-062 · MK-NW-M-063 · MK-PF-M-002 · MK-PF-M-003 · MK-PF-M-005 · MK-PF-M-006 · MK-PF-M-007 · MK-PF-M-008 · MK-PF-M-013 · MK-PF-M-014 · MK-PF-M-015 · MK-PF-M-016 · MK-PF-M-017 · MK-PF-M-018 · MK-PF-M-019 · MK-PF-M-020 · MK-PL-M-008 · MK-PL-M-009 · MK-PL-M-011 · MK-PL-M-026 · MK-PL-M-029 · MK-PL-M-033 · MK-PL-M-034 · MK-XS-M-001 · MK-XS-M-002 · MK-XS-M-003 · MK-XS-M-004 · MK-XS-M-005 · MK-XS-M-006</t>
        </is>
      </c>
      <c r="G25" s="3" t="inlineStr">
        <is>
          <t>SWEPT FROM THE CODE 2026-08-26</t>
        </is>
      </c>
      <c r="H25" s="3" t="inlineStr">
        <is>
          <t>ACTIVE</t>
        </is>
      </c>
      <c r="I25" s="3" t="inlineStr">
        <is>
          <t>2026-10-02</t>
        </is>
      </c>
      <c r="J25" s="3" t="inlineStr">
        <is>
          <t>reach generated from the code each build</t>
        </is>
      </c>
    </row>
    <row r="26" ht="60" customHeight="1">
      <c r="A26" s="3" t="inlineStr">
        <is>
          <t>MK-XS-I-025</t>
        </is>
      </c>
      <c r="B26" s="3" t="inlineStr">
        <is>
          <t>typical monthly essentials</t>
        </is>
      </c>
      <c r="C26" s="3" t="inlineStr">
        <is>
          <t>typed</t>
        </is>
      </c>
      <c r="D26" s="3" t="inlineStr">
        <is>
          <t>monthlyEssentials · essentials</t>
        </is>
      </c>
      <c r="E26" s="3" t="inlineStr">
        <is>
          <t>1. MK-NW-F-079 EF
2. MK-CF-F-010 emergencyTest
3. MK-CF-F-009 monthlyEssentials
4. MK-NW-O-004 theEmergencyFund</t>
        </is>
      </c>
      <c r="F26" s="3" t="inlineStr">
        <is>
          <t>MK-MN-M-024 · MK-MN-M-025 · MK-NW-M-046 · MK-NW-M-047 · MK-NW-M-048</t>
        </is>
      </c>
      <c r="G26" s="3" t="inlineStr">
        <is>
          <t>SWEPT FROM THE CODE 2026-08-26</t>
        </is>
      </c>
      <c r="H26" s="3" t="inlineStr">
        <is>
          <t>ACTIVE</t>
        </is>
      </c>
      <c r="I26" s="3" t="inlineStr">
        <is>
          <t>2026-09-28</t>
        </is>
      </c>
      <c r="J26" s="3" t="inlineStr">
        <is>
          <t>reach generated from the code each build</t>
        </is>
      </c>
    </row>
    <row r="27" ht="60" customHeight="1">
      <c r="A27" s="3" t="inlineStr">
        <is>
          <t>MK-XS-I-026</t>
        </is>
      </c>
      <c r="B27" s="3" t="inlineStr">
        <is>
          <t>big costs (amount and year)</t>
        </is>
      </c>
      <c r="C27" s="3" t="inlineStr">
        <is>
          <t>typed</t>
        </is>
      </c>
      <c r="D27" s="3" t="inlineStr">
        <is>
          <t>bigCosts · oneOffs</t>
        </is>
      </c>
      <c r="E27" s="3" t="inlineStr">
        <is>
          <t>1. MK-XS-F-004 buildDatedGrid
2. MK-CF-O-017 futurePaycheck
3. MK-XS-F-174 recomputeBalances
4. MK-XS-F-175 uid
5. MK-PL-F-065 volOf
6. MK-PL-F-067 willItLastInputs</t>
        </is>
      </c>
      <c r="F27" s="3" t="inlineStr">
        <is>
          <t>MK-CF-M-022 · MK-CF-M-055 · MK-CF-M-070 · MK-MN-M-016 · MK-NW-M-001 · MK-NW-M-002 · MK-NW-M-003 · MK-NW-M-004 · MK-NW-M-005 · MK-NW-M-006 · MK-NW-M-007 · MK-NW-M-008 · MK-NW-M-009 · MK-NW-M-011 · MK-NW-M-015 · MK-NW-M-016 · MK-NW-M-017 · MK-NW-M-049 · MK-NW-M-063 · MK-PL-M-008 · MK-PL-M-011 · MK-PL-M-029 · MK-PL-M-034 · MK-XS-M-001 · MK-XS-M-002 · MK-XS-M-003</t>
        </is>
      </c>
      <c r="G27" s="3" t="inlineStr">
        <is>
          <t>SWEPT FROM THE CODE 2026-08-26</t>
        </is>
      </c>
      <c r="H27" s="3" t="inlineStr">
        <is>
          <t>ACTIVE</t>
        </is>
      </c>
      <c r="I27" s="3" t="inlineStr">
        <is>
          <t>2026-10-03</t>
        </is>
      </c>
      <c r="J27" s="3" t="inlineStr">
        <is>
          <t>reach generated from the code each build</t>
        </is>
      </c>
    </row>
    <row r="28" ht="60" customHeight="1">
      <c r="A28" s="3" t="inlineStr">
        <is>
          <t>MK-XS-I-027</t>
        </is>
      </c>
      <c r="B28" s="3" t="inlineStr">
        <is>
          <t>goals (target, saved, date)</t>
        </is>
      </c>
      <c r="C28" s="3" t="inlineStr">
        <is>
          <t>typed</t>
        </is>
      </c>
      <c r="D28" s="3" t="inlineStr">
        <is>
          <t>goals · targetDate · g.saved · g.target</t>
        </is>
      </c>
      <c r="E28" s="3" t="inlineStr">
        <is>
          <t>1. MK-PL-F-011 buildGoalsState
2. MK-XS-F-031 buildSnapshot
3. MK-PL-F-019 goalMonthsRemaining
4. MK-PL-F-022 goalProgressPct
5. MK-PL-F-023 goalStatus
6. MK-PL-F-013 goalsFromOnboarding
7. MK-CF-F-204 line
8. MK-HM-F-006 money0
9. MK-PL-F-021 monthsToGoal
10. MK-PL-F-018 monthsUntil
11. MK-XS-F-001 planCompleteness
12. MK-XS-F-174 recomputeBalances
13. MK-PL-F-020 requiredMonthly
14. MK-PL-F-017 sinkingFund
… and 2 more — the full list is on functions_from_code</t>
        </is>
      </c>
      <c r="F2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MK-MN-M-009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G28" s="3" t="inlineStr">
        <is>
          <t>SWEPT FROM THE CODE 2026-08-26</t>
        </is>
      </c>
      <c r="H28" s="3" t="inlineStr">
        <is>
          <t>ACTIVE</t>
        </is>
      </c>
      <c r="I28" s="3" t="inlineStr">
        <is>
          <t>2026-10-02</t>
        </is>
      </c>
      <c r="J28" s="3" t="inlineStr">
        <is>
          <t>reach generated from the code each build</t>
        </is>
      </c>
    </row>
    <row r="29" ht="60" customHeight="1">
      <c r="A29" s="3" t="inlineStr">
        <is>
          <t>MK-XS-I-028</t>
        </is>
      </c>
      <c r="B29" s="3" t="inlineStr">
        <is>
          <t>assumed return</t>
        </is>
      </c>
      <c r="C29" s="3" t="inlineStr">
        <is>
          <t>built in, and adjustable on the cockpit</t>
        </is>
      </c>
      <c r="D29" s="3" t="inlineStr">
        <is>
          <t>mean_return · target_return · assumedReturn · meanReturn</t>
        </is>
      </c>
      <c r="E29" s="3" t="inlineStr">
        <is>
          <t>1. MK-NW-F-082 NW
2. MK-NW-F-101 PLAN
3. MK-NW-F-040 assetsFromOnboarding
4. MK-NW-F-039 buildAssetsState
5. MK-NW-F-052 buildItemizedAccounts
6. MK-PL-F-053 buildRetirementState
7. MK-XS-F-031 buildSnapshot
8. MK-CF-O-017 futurePaycheck
9. MK-XS-F-102 ingestSync
10. MK-NW-F-073 itemising
11. MK-NW-F-094 ledgerGroups
12. MK-PL-F-055 projectNestEgg
13. MK-PL-F-049 retirementSpendMonthly
14. MK-PL-F-050 simulate
… and 5 more — the full list is on functions_from_code</t>
        </is>
      </c>
      <c r="F2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MK-NW-M-050 · MK-NW-M-051 · MK-NW-M-052 · MK-NW-M-053 · MK-NW-M-054 · MK-NW-M-055 · MK-NW-M-056 · MK-NW-M-057 · MK-NW-M-058 · MK-NW-M-063 · MK-PF-M-002 · MK-PF-M-003 · MK-PF-M-005 · MK-PF-M-006 · MK-PF-M-007 · MK-PF-M-008 · MK-PF-M-013 · MK-PF-M-014 · MK-PF-M-015 · MK-PF-M-016 · MK-PF-M-017 · MK-PF-M-018 · MK-PF-M-019 · MK-PF-M-020 · MK-PL-M-008 · MK-PL-M-009 · MK-PL-M-011 · MK-PL-M-026 · MK-PL-M-029 · MK-PL-M-033 · MK-PL-M-034 · MK-XS-M-001 · MK-XS-M-002 · MK-XS-M-003 · MK-XS-M-004 · MK-XS-M-005 · MK-XS-M-006</t>
        </is>
      </c>
      <c r="G29" s="3" t="inlineStr">
        <is>
          <t>SWEPT FROM THE CODE 2026-08-26</t>
        </is>
      </c>
      <c r="H29" s="3" t="inlineStr">
        <is>
          <t>ACTIVE</t>
        </is>
      </c>
      <c r="I29" s="3" t="inlineStr">
        <is>
          <t>2026-10-03</t>
        </is>
      </c>
      <c r="J29" s="3" t="inlineStr">
        <is>
          <t>reach generated from the code each build</t>
        </is>
      </c>
    </row>
    <row r="30" ht="60" customHeight="1">
      <c r="A30" s="3" t="inlineStr">
        <is>
          <t>MK-XS-I-029</t>
        </is>
      </c>
      <c r="B30" s="3" t="inlineStr">
        <is>
          <t>inflation rate</t>
        </is>
      </c>
      <c r="C30" s="3" t="inlineStr">
        <is>
          <t>built in — the 30-year average of consumer prices, 2.5% a year (Bureau of Labor Statistics CPI-U, 1996–2025), dated 2026-09-08; the person can change it on the cockpit. No live feed (founder ruling brief Q-50 (2026-08-20), executed 2026-09-08 on G30).</t>
        </is>
      </c>
      <c r="D30" s="3" t="inlineStr">
        <is>
          <t>inflation · inflationRate</t>
        </is>
      </c>
      <c r="E30" s="3" t="inlineStr">
        <is>
          <t>1. MK-NW-F-101 PLAN
2. MK-NW-F-100 TREND
3. MK-XS-F-057 analyzeExpenses
4. MK-PL-F-053 buildRetirementState
5. MK-XS-F-031 buildSnapshot
6. MK-PL-F-003 depletionAge
7. MK-XS-F-056 fetchEconomicData
8. MK-CF-O-017 futurePaycheck
9. MK-PL-F-055 projectNestEgg
10. MK-XS-F-174 recomputeBalances
11. MK-PL-F-049 retirementSpendMonthly
12. MK-PL-F-050 simulate
13. MK-CF-F-106 solveSafeDraw
14. MK-XS-F-175 uid
… and 3 more — the full list is on functions_from_code</t>
        </is>
      </c>
      <c r="F30" s="3" t="inlineStr">
        <is>
          <t>MK-CF-M-022 · MK-CF-M-055 · MK-CF-M-070 · MK-MN-M-016 · MK-NW-M-001 · MK-NW-M-002 · MK-NW-M-003 · MK-NW-M-004 · MK-NW-M-005 · MK-NW-M-006 · MK-NW-M-007 · MK-NW-M-008 · MK-NW-M-009 · MK-NW-M-011 · MK-NW-M-015 · MK-NW-M-016 · MK-NW-M-017 · MK-NW-M-049 · MK-NW-M-063 · MK-PL-M-008 · MK-PL-M-009 · MK-PL-M-011 · MK-PL-M-026 · MK-PL-M-029 · MK-PL-M-033 · MK-PL-M-034 · MK-XS-M-001 · MK-XS-M-002 · MK-XS-M-003</t>
        </is>
      </c>
      <c r="G30" s="3" t="inlineStr">
        <is>
          <t>SWEPT FROM THE CODE 2026-08-26</t>
        </is>
      </c>
      <c r="H30" s="3" t="inlineStr">
        <is>
          <t>ACTIVE</t>
        </is>
      </c>
      <c r="I30" s="3" t="inlineStr">
        <is>
          <t>2026-10-03</t>
        </is>
      </c>
      <c r="J30" s="6" t="inlineStr">
        <is>
          <t>TESTED, NOT VERIFIED (G30) · reach generated from the code each build</t>
        </is>
      </c>
    </row>
    <row r="31" ht="60" customHeight="1">
      <c r="A31" s="3" t="inlineStr">
        <is>
          <t>MK-XS-I-030</t>
        </is>
      </c>
      <c r="B31" s="3" t="inlineStr">
        <is>
          <t>tax filing status and age</t>
        </is>
      </c>
      <c r="C31" s="3" t="inlineStr">
        <is>
          <t>typed at setup</t>
        </is>
      </c>
      <c r="D31" s="3" t="inlineStr">
        <is>
          <t>filingStatus · over65 · FilingStatus</t>
        </is>
      </c>
      <c r="E31" s="3" t="inlineStr">
        <is>
          <t>1. MK-CF-O-011 PAY
2. MK-CF-O-012 PAY_ESTIMATED
3. MK-CF-O-013 PAY_LANDS_TYPED
4. MK-CF-O-001 basePay
5. MK-CF-F-099 deductionFor
6. MK-CF-F-171 earnerPay
7. MK-CF-F-102 effectiveRateOnGrossFor
8. MK-CF-F-048 effectiveTaxRate
9. MK-CF-F-085 filingStatusOf
10. MK-CF-F-097 grossFromNet
11. MK-CF-O-004 incomeSummary
12. MK-CF-F-104 ltcgRateFor
13. MK-CF-F-103 marginalBracketFor
14. MK-CF-F-089 over65CountOf
… and 9 more — the full list is on functions_from_code</t>
        </is>
      </c>
      <c r="F3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G31" s="3" t="inlineStr">
        <is>
          <t>SWEPT FROM THE CODE 2026-08-26</t>
        </is>
      </c>
      <c r="H31" s="3" t="inlineStr">
        <is>
          <t>ACTIVE</t>
        </is>
      </c>
      <c r="I31" s="3" t="inlineStr">
        <is>
          <t>2026-09-28</t>
        </is>
      </c>
      <c r="J31" s="3" t="inlineStr">
        <is>
          <t>reach generated from the code each build</t>
        </is>
      </c>
    </row>
    <row r="32" ht="60" customHeight="1">
      <c r="A32" s="3" t="inlineStr">
        <is>
          <t>MK-XS-I-031</t>
        </is>
      </c>
      <c r="B32" s="3" t="inlineStr">
        <is>
          <t>daily and monthly snapshots</t>
        </is>
      </c>
      <c r="C32" s="3" t="inlineStr">
        <is>
          <t>the app itself, once a day</t>
        </is>
      </c>
      <c r="D32" s="3" t="inlineStr">
        <is>
          <t>nwDaily · readHistory · SnapshotDay · recordSnapshotDay</t>
        </is>
      </c>
      <c r="E32" s="3" t="inlineStr">
        <is>
          <t>1. MK-ST-F-028 buildDayFromAccounts
2. MK-ST-F-035 covers
3. MK-ST-F-037 pendingUpload
4. MK-ST-F-029 prune
5. MK-XS-F-009 readHistory
6. MK-ST-F-073 rebuildDays
7. MK-XS-F-174 recomputeBalances
8. MK-ST-F-036 reconcile
9. MK-ST-F-030 record
10. MK-XS-F-005 trendPoints
11. MK-XS-F-175 uid
12. MK-ST-F-072 undo
13. MK-ST-F-032 unitsOn
14. MK-ST-F-031 valueOn</t>
        </is>
      </c>
      <c r="F3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MK-PF-M-001 · MK-PF-M-002 · MK-PF-M-003 · MK-PF-M-004 · MK-PF-M-005 · MK-PF-M-006 · MK-PF-M-007 · MK-PF-M-008 · MK-PF-M-013 · MK-PF-M-014 · MK-PF-M-015 · MK-PF-M-016 · MK-PF-M-017 · MK-PF-M-018 · MK-PF-M-019 · MK-PF-M-020 · MK-PL-M-008 · MK-PL-M-011 · MK-PL-M-029 · MK-PL-M-034 · MK-XS-M-001 · MK-XS-M-002 · MK-XS-M-003 · MK-XS-M-004 · MK-XS-M-005 · MK-XS-M-006</t>
        </is>
      </c>
      <c r="G32" s="3" t="inlineStr">
        <is>
          <t>SWEPT FROM THE CODE 2026-08-26</t>
        </is>
      </c>
      <c r="H32" s="3" t="inlineStr">
        <is>
          <t>ACTIVE</t>
        </is>
      </c>
      <c r="I32" s="3" t="inlineStr">
        <is>
          <t>2026-09-25</t>
        </is>
      </c>
      <c r="J32" s="3" t="inlineStr">
        <is>
          <t>reach generated from the code each build</t>
        </is>
      </c>
    </row>
    <row r="33" ht="60" customHeight="1">
      <c r="A33" s="3" t="inlineStr">
        <is>
          <t>MK-XS-I-032</t>
        </is>
      </c>
      <c r="B33" s="3" t="inlineStr">
        <is>
          <t>expenses categories the person set up</t>
        </is>
      </c>
      <c r="C33" s="3" t="inlineStr">
        <is>
          <t>Typed by the person when they set up their budget</t>
        </is>
      </c>
      <c r="D33" s="3" t="inlineStr">
        <is>
          <t>spendCats · b_fixed · b_nonmonthly · b_flexible</t>
        </is>
      </c>
      <c r="E33" s="3" t="inlineStr">
        <is>
          <t>1. MK-CF-F-014 budgetVsActual
2. MK-XS-F-004 buildDatedGrid
3. MK-XS-F-030 effectiveAnnualContribution
4. MK-CF-F-009 monthlyEssentials
5. MK-CF-F-007 nonMonthlyBasis
6. MK-CF-F-004 spendBuckets
7. MK-CF-F-008 spendByMonth
8. MK-NW-O-004 theEmergencyFund
9. MK-CF-F-019 upcomingBills
10. MK-CF-O-008 whatsComing</t>
        </is>
      </c>
      <c r="F3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MK-MN-M-010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G33" s="3" t="inlineStr">
        <is>
          <t>SWEPT FROM THE CODE 2026-08-26</t>
        </is>
      </c>
      <c r="H33" s="3" t="inlineStr">
        <is>
          <t>ACTIVE</t>
        </is>
      </c>
      <c r="I33" s="3" t="inlineStr">
        <is>
          <t>2026-10-02</t>
        </is>
      </c>
      <c r="J33" s="3" t="inlineStr">
        <is>
          <t>reach generated from the code each build</t>
        </is>
      </c>
    </row>
    <row r="34" ht="45" customHeight="1">
      <c r="A34" s="3" t="inlineStr">
        <is>
          <t>MK-XS-I-033</t>
        </is>
      </c>
      <c r="B34" s="3" t="inlineStr">
        <is>
          <t>the date a hand-typed value was set</t>
        </is>
      </c>
      <c r="C34" s="3" t="inlineStr">
        <is>
          <t>Typed by the person, stamped when they save it</t>
        </is>
      </c>
      <c r="D34" s="3" t="inlineStr">
        <is>
          <t>value_as_of</t>
        </is>
      </c>
      <c r="E34" s="3" t="inlineStr">
        <is>
          <t>1. MK-XS-F-002 dataGaps
2. MK-XS-F-102 ingestSync
3. MK-NW-F-003 valueFreshness</t>
        </is>
      </c>
      <c r="F34" s="3" t="inlineStr">
        <is>
          <t>NONE ON RECORD — the functions above serve no figure that names them. See S21.</t>
        </is>
      </c>
      <c r="G34" s="3" t="inlineStr">
        <is>
          <t>SWEPT FROM THE CODE 2026-08-26</t>
        </is>
      </c>
      <c r="H34" s="3" t="inlineStr">
        <is>
          <t>ACTIVE</t>
        </is>
      </c>
      <c r="I34" s="3" t="inlineStr">
        <is>
          <t>2026-08-27</t>
        </is>
      </c>
      <c r="J34" s="3" t="inlineStr">
        <is>
          <t>reach generated from the code each build</t>
        </is>
      </c>
    </row>
    <row r="35" ht="60" customHeight="1">
      <c r="A35" s="3" t="inlineStr">
        <is>
          <t>MK-XS-I-034</t>
        </is>
      </c>
      <c r="B35" s="3" t="inlineStr">
        <is>
          <t>option positions — contracts, strike, expiry, put or call</t>
        </is>
      </c>
      <c r="C35" s="3" t="inlineStr">
        <is>
          <t>An institution download, a connection, or typed</t>
        </is>
      </c>
      <c r="D35" s="3" t="inlineStr">
        <is>
          <t>option_holdings · contracts · strike · expiry</t>
        </is>
      </c>
      <c r="E35" s="3" t="inlineStr">
        <is>
          <t>1. MK-NW-F-027 accountClassBreakdown
2. MK-NW-F-028 classPortionLabel
3. MK-CF-F-062 equityRowValue
4. MK-XS-F-102 ingestSync
5. MK-XS-F-106 mapOptionHolding
6. MK-XS-F-146 prettyExpiry
7. MK-PF-F-032 quantityUnit</t>
        </is>
      </c>
      <c r="F3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MK-NW-M-038 · MK-NW-M-039 · MK-NW-M-040 · MK-NW-M-046 · MK-NW-M-047 · MK-NW-M-048 · MK-NW-M-049 · MK-NW-M-062 · MK-NW-M-063 · MK-PL-M-008 · MK-PL-M-011 · MK-PL-M-029 · MK-PL-M-034 · MK-XS-M-001 · MK-XS-M-002 · MK-XS-M-003 · MK-XS-M-005 · MK-XS-M-006</t>
        </is>
      </c>
      <c r="G35" s="3" t="inlineStr">
        <is>
          <t>SWEPT FROM THE CODE 2026-08-26</t>
        </is>
      </c>
      <c r="H35" s="3" t="inlineStr">
        <is>
          <t>ACTIVE</t>
        </is>
      </c>
      <c r="I35" s="3" t="inlineStr">
        <is>
          <t>2026-09-11</t>
        </is>
      </c>
      <c r="J35" s="6" t="inlineStr">
        <is>
          <t>TESTED, NOT VERIFIED (Q06) · reach generated from the code each build</t>
        </is>
      </c>
    </row>
    <row r="36" ht="60" customHeight="1">
      <c r="A36" s="3" t="inlineStr">
        <is>
          <t>MK-XS-I-035</t>
        </is>
      </c>
      <c r="B36" s="3" t="inlineStr">
        <is>
          <t>annuity income</t>
        </is>
      </c>
      <c r="C36" s="3" t="inlineStr">
        <is>
          <t>Typed by the person</t>
        </is>
      </c>
      <c r="D36" s="3" t="inlineStr">
        <is>
          <t>annuityMonthly · ri_annuity · annuity</t>
        </is>
      </c>
      <c r="E36" s="3" t="inlineStr">
        <is>
          <t>1. MK-CF-F-210 annualOfSource
2. MK-NW-F-035 blendedVolatility
3. MK-CF-F-072 currentRetirementIncomeMonthly
4. MK-CF-O-017 futurePaycheck
5. MK-CF-F-076 guaranteedOutsideStreams
6. MK-CF-F-075 retirementIncomeMonthly
7. MK-PL-F-049 retirementSpendMonthly</t>
        </is>
      </c>
      <c r="F36"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MK-PL-M-029 · MK-PL-M-032 · MK-PL-M-034 · MK-XS-M-001 · MK-XS-M-002 · MK-XS-M-003 · MK-XS-M-005 · MK-XS-M-006</t>
        </is>
      </c>
      <c r="G36" s="3" t="inlineStr">
        <is>
          <t>SWEPT FROM THE CODE 2026-08-26</t>
        </is>
      </c>
      <c r="H36" s="3" t="inlineStr">
        <is>
          <t>ACTIVE</t>
        </is>
      </c>
      <c r="I36" s="3" t="inlineStr">
        <is>
          <t>2026-10-03</t>
        </is>
      </c>
      <c r="J36" s="3" t="inlineStr">
        <is>
          <t>reach generated from the code each build</t>
        </is>
      </c>
    </row>
    <row r="37" ht="60" customHeight="1">
      <c r="A37" s="3" t="inlineStr">
        <is>
          <t>MK-XS-I-036</t>
        </is>
      </c>
      <c r="B37" s="3" t="inlineStr">
        <is>
          <t>other guaranteed income</t>
        </is>
      </c>
      <c r="C37" s="3" t="inlineStr">
        <is>
          <t>Typed by the person</t>
        </is>
      </c>
      <c r="D37" s="3" t="inlineStr">
        <is>
          <t>otherGuaranteed · guaranteed_streams · guaranteedOutside</t>
        </is>
      </c>
      <c r="E37" s="3" t="inlineStr">
        <is>
          <t>1. MK-XS-F-031 buildSnapshot
2. MK-CF-F-072 currentRetirementIncomeMonthly
3. MK-CF-F-076 guaranteedOutsideStreams
4. MK-PL-F-046 leverDeltas
5. MK-PL-F-055 projectNestEgg
6. MK-CF-F-075 retirementIncomeMonthly
7. MK-PL-F-049 retirementSpendMonthly
8. MK-PL-F-050 simulate
9. MK-PL-F-051 ssStreamOf
10. MK-PL-F-067 willItLastInputs
11. MK-PL-F-052 withSsStream</t>
        </is>
      </c>
      <c r="F37"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MK-PL-M-026 · MK-PL-M-029 · MK-PL-M-032 · MK-PL-M-033 · MK-PL-M-034 · MK-XS-M-001 · MK-XS-M-002 · MK-XS-M-003 · MK-XS-M-005 · MK-XS-M-006</t>
        </is>
      </c>
      <c r="G37" s="3" t="inlineStr">
        <is>
          <t>SWEPT FROM THE CODE 2026-08-26</t>
        </is>
      </c>
      <c r="H37" s="3" t="inlineStr">
        <is>
          <t>ACTIVE</t>
        </is>
      </c>
      <c r="I37" s="3" t="inlineStr">
        <is>
          <t>2026-09-09</t>
        </is>
      </c>
      <c r="J37" s="3" t="inlineStr">
        <is>
          <t>reach generated from the code each build</t>
        </is>
      </c>
    </row>
    <row r="38" ht="60" customHeight="1">
      <c r="A38" s="3" t="inlineStr">
        <is>
          <t>MK-XS-I-037</t>
        </is>
      </c>
      <c r="B38" s="3" t="inlineStr">
        <is>
          <t>required-withdrawal income stream (ri_rmd)</t>
        </is>
      </c>
      <c r="C38" s="3" t="inlineStr">
        <is>
          <t>Worked out from balances, not typed</t>
        </is>
      </c>
      <c r="D38" s="3" t="inlineStr">
        <is>
          <t>ri_rmd</t>
        </is>
      </c>
      <c r="E38" s="3" t="inlineStr">
        <is>
          <t>MK-CF-F-075 retirementIncomeMonthly</t>
        </is>
      </c>
      <c r="F3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G38" s="3" t="inlineStr">
        <is>
          <t>SWEPT FROM THE CODE 2026-08-26</t>
        </is>
      </c>
      <c r="H38" s="3" t="inlineStr">
        <is>
          <t>ACTIVE</t>
        </is>
      </c>
      <c r="I38" s="3" t="inlineStr">
        <is>
          <t>2026-09-09</t>
        </is>
      </c>
      <c r="J38" s="3" t="inlineStr">
        <is>
          <t>reach generated from the code each build</t>
        </is>
      </c>
    </row>
    <row r="39" ht="60" customHeight="1">
      <c r="A39" s="3" t="inlineStr">
        <is>
          <t>MK-XS-I-038</t>
        </is>
      </c>
      <c r="B39" s="3" t="inlineStr">
        <is>
          <t>withdrawal income stream (ri_withdrawals)</t>
        </is>
      </c>
      <c r="C39" s="3" t="inlineStr">
        <is>
          <t>Worked out from the plan, not typed</t>
        </is>
      </c>
      <c r="D39" s="3" t="inlineStr">
        <is>
          <t>ri_withdrawals</t>
        </is>
      </c>
      <c r="E39" s="3" t="inlineStr">
        <is>
          <t>MK-CF-F-075 retirementIncomeMonthly</t>
        </is>
      </c>
      <c r="F3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G39" s="3" t="inlineStr">
        <is>
          <t>SWEPT FROM THE CODE 2026-08-26</t>
        </is>
      </c>
      <c r="H39" s="3" t="inlineStr">
        <is>
          <t>ACTIVE</t>
        </is>
      </c>
      <c r="I39" s="3" t="inlineStr">
        <is>
          <t>2026-09-09</t>
        </is>
      </c>
      <c r="J39" s="3" t="inlineStr">
        <is>
          <t>reach generated from the code each build</t>
        </is>
      </c>
    </row>
    <row r="40" ht="60" customHeight="1">
      <c r="A40" s="3" t="inlineStr">
        <is>
          <t>MK-XS-I-039</t>
        </is>
      </c>
      <c r="B40" s="3" t="inlineStr">
        <is>
          <t>how often each income arrives</t>
        </is>
      </c>
      <c r="C40" s="3" t="inlineStr">
        <is>
          <t>Typed by the person</t>
        </is>
      </c>
      <c r="D40" s="3" t="inlineStr">
        <is>
          <t>frequency · payment_frequency · cadence · salaryFreq · seFreq · otherFreq · _freqb · RI_CAD_DIV</t>
        </is>
      </c>
      <c r="E40" s="3" t="inlineStr">
        <is>
          <t>1. MK-CF-F-201 INCOME
2. MK-CF-F-044 annualNet
3. MK-CF-F-059 annualizedEnteredSalary
4. MK-XS-F-004 buildDatedGrid
5. MK-CF-F-020 cashflowYear
6. MK-CF-F-186 convertTakeHomeMode
7. MK-CF-F-072 currentRetirementIncomeMonthly
8. MK-CF-F-046 employerMatchAnnual
9. MK-CF-F-130 enteredMonthlyRaw
10. MK-CF-F-179 entryFromWage
11. MK-CF-F-071 extraIncome
12. MK-CF-F-076 guaranteedOutsideStreams
13. MK-CF-F-105 guaranteedRows
14. MK-CF-F-079 incomeFromOnboarding
… and 9 more — the full list is on functions_from_code</t>
        </is>
      </c>
      <c r="F40"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G40" s="3" t="inlineStr">
        <is>
          <t>SWEPT FROM THE CODE 2026-08-26</t>
        </is>
      </c>
      <c r="H40" s="3" t="inlineStr">
        <is>
          <t>ACTIVE</t>
        </is>
      </c>
      <c r="I40" s="3" t="inlineStr">
        <is>
          <t>2026-10-04</t>
        </is>
      </c>
      <c r="J40" s="3" t="inlineStr">
        <is>
          <t>reach generated from the code each build</t>
        </is>
      </c>
    </row>
    <row r="41" ht="60" customHeight="1">
      <c r="A41" s="3" t="inlineStr">
        <is>
          <t>MK-XS-I-040</t>
        </is>
      </c>
      <c r="B41" s="3" t="inlineStr">
        <is>
          <t>whether a stream is already being received</t>
        </is>
      </c>
      <c r="C41" s="3" t="inlineStr">
        <is>
          <t>Typed by the person</t>
        </is>
      </c>
      <c r="D41" s="3" t="inlineStr">
        <is>
          <t>alreadyReceiving · income_sources · incomeSources</t>
        </is>
      </c>
      <c r="E41" s="3" t="inlineStr">
        <is>
          <t>1. MK-CF-F-207 SOURCE
2. MK-CF-F-072 currentRetirementIncomeMonthly
3. MK-CF-O-017 futurePaycheck
4. MK-CF-F-105 guaranteedRows
5. MK-CF-O-016 incomeSources
6. MK-CF-F-019 upcomingBills</t>
        </is>
      </c>
      <c r="F4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G41" s="3" t="inlineStr">
        <is>
          <t>SWEPT FROM THE CODE 2026-08-26</t>
        </is>
      </c>
      <c r="H41" s="3" t="inlineStr">
        <is>
          <t>ACTIVE</t>
        </is>
      </c>
      <c r="I41" s="3" t="inlineStr">
        <is>
          <t>2026-10-03</t>
        </is>
      </c>
      <c r="J41" s="3" t="inlineStr">
        <is>
          <t>reach generated from the code each build</t>
        </is>
      </c>
    </row>
    <row r="42" ht="60" customHeight="1">
      <c r="A42" s="3" t="inlineStr">
        <is>
          <t>MK-XS-I-041</t>
        </is>
      </c>
      <c r="B42" s="3" t="inlineStr">
        <is>
          <t>the payment the person chose to make on a debt</t>
        </is>
      </c>
      <c r="C42" s="3" t="inlineStr">
        <is>
          <t>Typed by the person, and it can exceed the minimum</t>
        </is>
      </c>
      <c r="D42" s="3" t="inlineStr">
        <is>
          <t>monthly_payment</t>
        </is>
      </c>
      <c r="E42" s="3" t="inlineStr">
        <is>
          <t>MK-CF-F-023 requiredPayment</t>
        </is>
      </c>
      <c r="F4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MK-PL-M-033 · MK-PL-M-034 · MK-XS-M-001 · MK-XS-M-002 · MK-XS-M-003 · MK-XS-M-005 · MK-XS-M-006</t>
        </is>
      </c>
      <c r="G42" s="3" t="inlineStr">
        <is>
          <t>SWEPT FROM THE CODE 2026-08-26</t>
        </is>
      </c>
      <c r="H42" s="3" t="inlineStr">
        <is>
          <t>ACTIVE</t>
        </is>
      </c>
      <c r="I42" s="3" t="inlineStr">
        <is>
          <t>2026-08-27</t>
        </is>
      </c>
      <c r="J42" s="3" t="inlineStr">
        <is>
          <t>reach generated from the code each build</t>
        </is>
      </c>
    </row>
    <row r="43" ht="60" customHeight="1">
      <c r="A43" s="3" t="inlineStr">
        <is>
          <t>MK-XS-I-042</t>
        </is>
      </c>
      <c r="B43" s="3" t="inlineStr">
        <is>
          <t>how a stream is paid — monthly, yearly or one lump</t>
        </is>
      </c>
      <c r="C43" s="3" t="inlineStr">
        <is>
          <t>Typed by the person</t>
        </is>
      </c>
      <c r="D43" s="3" t="inlineStr">
        <is>
          <t>payment_type · paymentShape</t>
        </is>
      </c>
      <c r="E43" s="3" t="inlineStr">
        <is>
          <t>1. MK-XS-F-004 buildDatedGrid
2. MK-CF-F-157 debtPaymentsByDebt
3. MK-CF-F-150 debtPaymentsCountedAsExpenses
4. MK-CF-F-021 defaultPaymentType
5. MK-CF-F-152 isRadarItem
6. MK-CF-F-159 isRecurringDebt
7. MK-CF-F-025 minimumDebtService
8. MK-CF-F-022 paymentShape
9. MK-CF-F-034 payoffPlan
10. MK-CF-F-149 recurringDebtPayments
11. MK-CF-F-023 requiredPayment
12. MK-CF-O-010 theMonth</t>
        </is>
      </c>
      <c r="F4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MK-PL-M-031 · MK-PL-M-033 · MK-PL-M-034 · MK-XS-M-001 · MK-XS-M-002 · MK-XS-M-003 · MK-XS-M-005 · MK-XS-M-006</t>
        </is>
      </c>
      <c r="G43" s="3" t="inlineStr">
        <is>
          <t>SWEPT FROM THE CODE 2026-08-26</t>
        </is>
      </c>
      <c r="H43" s="3" t="inlineStr">
        <is>
          <t>ACTIVE</t>
        </is>
      </c>
      <c r="I43" s="3" t="inlineStr">
        <is>
          <t>2026-09-28</t>
        </is>
      </c>
      <c r="J43" s="3" t="inlineStr">
        <is>
          <t>reach generated from the code each build</t>
        </is>
      </c>
    </row>
    <row r="44" ht="60" customHeight="1">
      <c r="A44" s="3" t="inlineStr">
        <is>
          <t>MK-XS-I-043</t>
        </is>
      </c>
      <c r="B44" s="3" t="inlineStr">
        <is>
          <t>their own retirement contribution</t>
        </is>
      </c>
      <c r="C44" s="3" t="inlineStr">
        <is>
          <t>Typed by the person</t>
        </is>
      </c>
      <c r="D44" s="3" t="inlineStr">
        <is>
          <t>c_401k · c_roth · c_invest · c_property · annual_contribution</t>
        </is>
      </c>
      <c r="E44" s="3" t="inlineStr">
        <is>
          <t>1. MK-NW-F-101 PLAN
2. MK-XS-F-031 buildSnapshot
3. MK-XS-F-030 effectiveAnnualContribution
4. MK-CF-F-179 entryFromWage
5. MK-CF-F-206 householdK401ByMonth
6. MK-CF-F-188 householdPreTaxContributionsAnnual
7. MK-PL-F-043 howTheGapCloses
8. MK-CF-F-092 incomeMonthlyGrid
9. MK-NW-F-041 monthlyContributionsFromOnboarding
10. MK-PL-F-044 planTarget
11. MK-PL-F-055 projectNestEgg
12. MK-CF-F-181 rateInForce
13. MK-PL-F-041 requiredAnnualSaving
14. MK-PL-F-035 retireAgeWithContribution
… and 12 more — the full list is on functions_from_code</t>
        </is>
      </c>
      <c r="F4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MK-MN-M-014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MK-PL-M-026 · MK-PL-M-029 · MK-PL-M-033 · MK-PL-M-034 · MK-XS-M-001 · MK-XS-M-002 · MK-XS-M-003 · MK-XS-M-005 · MK-XS-M-006</t>
        </is>
      </c>
      <c r="G44" s="3" t="inlineStr">
        <is>
          <t>SWEPT FROM THE CODE 2026-08-26</t>
        </is>
      </c>
      <c r="H44" s="3" t="inlineStr">
        <is>
          <t>ACTIVE</t>
        </is>
      </c>
      <c r="I44" s="3" t="inlineStr">
        <is>
          <t>2026-10-04</t>
        </is>
      </c>
      <c r="J44" s="3" t="inlineStr">
        <is>
          <t>reach generated from the code each build</t>
        </is>
      </c>
    </row>
    <row r="45" ht="60" customHeight="1">
      <c r="A45" s="3" t="inlineStr">
        <is>
          <t>MK-XS-I-044</t>
        </is>
      </c>
      <c r="B45" s="3" t="inlineStr">
        <is>
          <t>the person’s own plan overrides</t>
        </is>
      </c>
      <c r="C45" s="3" t="inlineStr">
        <is>
          <t>Set by the person on the Plan screen</t>
        </is>
      </c>
      <c r="D45" s="3" t="inlineStr">
        <is>
          <t>assumptions · planOverrides</t>
        </is>
      </c>
      <c r="E45" s="3" t="inlineStr">
        <is>
          <t>1. MK-PL-F-053 buildRetirementState
2. MK-CF-O-017 futurePaycheck
3. MK-XS-F-174 recomputeBalances
4. MK-PL-F-049 retirementSpendMonthly
5. MK-PL-F-068 selectWillItLast
6. MK-XS-F-175 uid
7. MK-PL-F-065 volOf
8. MK-PL-F-067 willItLastInputs</t>
        </is>
      </c>
      <c r="F45" s="3" t="inlineStr">
        <is>
          <t>MK-CF-M-055 · MK-CF-M-070 · MK-MN-M-016 · MK-NW-M-001 · MK-NW-M-002 · MK-NW-M-003 · MK-NW-M-004 · MK-NW-M-005 · MK-NW-M-006 · MK-NW-M-007 · MK-NW-M-008 · MK-NW-M-009 · MK-NW-M-011 · MK-NW-M-015 · MK-NW-M-016 · MK-NW-M-017 · MK-NW-M-049 · MK-NW-M-063 · MK-PL-M-008 · MK-PL-M-009 · MK-PL-M-011 · MK-PL-M-029 · MK-PL-M-034 · MK-XS-M-001 · MK-XS-M-002 · MK-XS-M-003</t>
        </is>
      </c>
      <c r="G45" s="3" t="inlineStr">
        <is>
          <t>SWEPT FROM THE CODE 2026-08-26</t>
        </is>
      </c>
      <c r="H45" s="3" t="inlineStr">
        <is>
          <t>ACTIVE</t>
        </is>
      </c>
      <c r="I45" s="3" t="inlineStr">
        <is>
          <t>2026-10-03</t>
        </is>
      </c>
      <c r="J45" s="3" t="inlineStr">
        <is>
          <t>reach generated from the code each build</t>
        </is>
      </c>
    </row>
    <row r="46" ht="60" customHeight="1">
      <c r="A46" s="3" t="inlineStr">
        <is>
          <t>MK-XS-I-045</t>
        </is>
      </c>
      <c r="B46" s="3" t="inlineStr">
        <is>
          <t>where they will live in retirement</t>
        </is>
      </c>
      <c r="C46" s="3" t="inlineStr">
        <is>
          <t>Typed by the person</t>
        </is>
      </c>
      <c r="D46" s="3" t="inlineStr">
        <is>
          <t>retLocation</t>
        </is>
      </c>
      <c r="E46" s="3" t="inlineStr">
        <is>
          <t>1. MK-XS-F-026 profileFromOnboarding
2. MK-PL-F-049 retirementSpendMonthly</t>
        </is>
      </c>
      <c r="F46" s="3" t="inlineStr">
        <is>
          <t>MK-CF-M-055 · MK-CF-M-070 · MK-PL-M-008 · MK-PL-M-009 · MK-PL-M-011 · MK-PL-M-029 · MK-PL-M-034 · MK-XS-M-002</t>
        </is>
      </c>
      <c r="G46" s="3" t="inlineStr">
        <is>
          <t>SWEPT FROM THE CODE 2026-08-26</t>
        </is>
      </c>
      <c r="H46" s="3" t="inlineStr">
        <is>
          <t>ACTIVE</t>
        </is>
      </c>
      <c r="I46" s="3" t="inlineStr">
        <is>
          <t>2026-08-27</t>
        </is>
      </c>
      <c r="J46" s="3" t="inlineStr">
        <is>
          <t>reach generated from the code each build</t>
        </is>
      </c>
    </row>
    <row r="47" ht="60" customHeight="1">
      <c r="A47" s="3" t="inlineStr">
        <is>
          <t>MK-XS-I-046</t>
        </is>
      </c>
      <c r="B47" s="3" t="inlineStr">
        <is>
          <t>how the employer match is expressed — percent or dollars</t>
        </is>
      </c>
      <c r="C47" s="3" t="inlineStr">
        <is>
          <t>Typed by the person</t>
        </is>
      </c>
      <c r="D47" s="3" t="inlineStr">
        <is>
          <t>employerMatchMode · employerMatchValue</t>
        </is>
      </c>
      <c r="E47" s="3" t="inlineStr">
        <is>
          <t>MK-CF-F-178 wageMatchMonthly</t>
        </is>
      </c>
      <c r="F47" s="3" t="inlineStr">
        <is>
          <t>MK-CF-M-055 · MK-CF-M-070 · MK-MN-M-014 · MK-PL-M-008 · MK-PL-M-011 · MK-PL-M-029 · MK-PL-M-034 · MK-XS-M-002</t>
        </is>
      </c>
      <c r="G47" s="3" t="inlineStr">
        <is>
          <t>SWEPT FROM THE CODE 2026-08-26</t>
        </is>
      </c>
      <c r="H47" s="3" t="inlineStr">
        <is>
          <t>ACTIVE</t>
        </is>
      </c>
      <c r="I47" s="3" t="inlineStr">
        <is>
          <t>2026-08-27</t>
        </is>
      </c>
      <c r="J47" s="3" t="inlineStr">
        <is>
          <t>reach generated from the code each build</t>
        </is>
      </c>
    </row>
    <row r="48" ht="60" customHeight="1">
      <c r="A48" s="3" t="inlineStr">
        <is>
          <t>MK-XS-I-047</t>
        </is>
      </c>
      <c r="B48" s="3" t="inlineStr">
        <is>
          <t>money to leave behind</t>
        </is>
      </c>
      <c r="C48" s="3" t="inlineStr">
        <is>
          <t>Typed by the person</t>
        </is>
      </c>
      <c r="D48" s="3" t="inlineStr">
        <is>
          <t>bequest</t>
        </is>
      </c>
      <c r="E48" s="3" t="inlineStr">
        <is>
          <t>1. MK-PL-F-048 capitalNeeded
2. MK-PL-F-067 willItLastInputs</t>
        </is>
      </c>
      <c r="F48" s="3" t="inlineStr">
        <is>
          <t>MK-CF-M-055 · MK-CF-M-070 · MK-PL-M-008 · MK-PL-M-011 · MK-PL-M-029 · MK-PL-M-034 · MK-XS-M-002</t>
        </is>
      </c>
      <c r="G48" s="3" t="inlineStr">
        <is>
          <t>SWEPT FROM THE CODE 2026-08-26</t>
        </is>
      </c>
      <c r="H48" s="3" t="inlineStr">
        <is>
          <t>ACTIVE</t>
        </is>
      </c>
      <c r="I48" s="3" t="inlineStr">
        <is>
          <t>2026-08-27</t>
        </is>
      </c>
      <c r="J48" s="3" t="inlineStr">
        <is>
          <t>reach generated from the code each build</t>
        </is>
      </c>
    </row>
    <row r="49" ht="60" customHeight="1">
      <c r="A49" s="3" t="inlineStr">
        <is>
          <t>MK-XS-I-048</t>
        </is>
      </c>
      <c r="B49" s="3" t="inlineStr">
        <is>
          <t>the person’s own asset-class answer</t>
        </is>
      </c>
      <c r="C49" s="3" t="inlineStr">
        <is>
          <t>Typed by the person, and it outranks the institution</t>
        </is>
      </c>
      <c r="D49" s="3" t="inlineStr">
        <is>
          <t>asset_class · class_source · stated</t>
        </is>
      </c>
      <c r="E49" s="3" t="inlineStr">
        <is>
          <t>1. MK-NW-F-096 CLASS_KEY_OF
2. MK-NW-F-095 CLASS_LABEL_OF
3. MK-NW-F-079 EF
4. MK-NW-F-080 HOLD
5. MK-NW-F-081 LB
6. MK-NW-F-082 NW
7. MK-NW-F-085 PERF_ONE
8. MK-NW-F-101 PLAN
9. MK-NW-F-027 accountClassBreakdown
10. MK-ST-F-027 accountId
11. MK-NW-F-011 assetClassOf
12. MK-ST-F-028 buildDayFromAccounts
13. MK-NW-F-052 buildItemizedAccounts
14. MK-NW-F-084 categoryEarnings
… and 12 more — the full list is on functions_from_code</t>
        </is>
      </c>
      <c r="F4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G49" s="3" t="inlineStr">
        <is>
          <t>SWEPT FROM THE CODE 2026-08-26</t>
        </is>
      </c>
      <c r="H49" s="3" t="inlineStr">
        <is>
          <t>ACTIVE</t>
        </is>
      </c>
      <c r="I49" s="3" t="inlineStr">
        <is>
          <t>2026-09-30</t>
        </is>
      </c>
      <c r="J49" s="3" t="inlineStr">
        <is>
          <t>reach generated from the code each build</t>
        </is>
      </c>
    </row>
    <row r="50" ht="60" customHeight="1">
      <c r="A50" s="3" t="inlineStr">
        <is>
          <t>MK-XS-I-049</t>
        </is>
      </c>
      <c r="B50" s="3" t="inlineStr">
        <is>
          <t>bond price — what the bond is worth today</t>
        </is>
      </c>
      <c r="C50" s="3" t="inlineStr">
        <is>
          <t>the download, a connection, or typed</t>
        </is>
      </c>
      <c r="D50" s="3" t="inlineStr">
        <is>
          <t>b.value · bond.value · BondInfo</t>
        </is>
      </c>
      <c r="E50" s="3" t="inlineStr">
        <is>
          <t>1. MK-NW-F-070 accruedInterestCaveat
2. MK-PF-F-017 allocation
3. MK-NW-F-057 annualCoupon
4. MK-NW-F-060 approxYTM
5. MK-NW-F-056 bondInfo
6. MK-NW-F-064 bondRateSensitivity
7. MK-NW-F-061 bondSummary
8. MK-NW-F-059 currentYield
9. MK-NW-F-069 priceAtYield
10. MK-NW-F-072 rowOf</t>
        </is>
      </c>
      <c r="F50"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G50" s="3" t="inlineStr">
        <is>
          <t>SWEPT FROM THE CODE 2026-08-26</t>
        </is>
      </c>
      <c r="H50" s="3" t="inlineStr">
        <is>
          <t>ACTIVE</t>
        </is>
      </c>
      <c r="I50" s="3" t="inlineStr">
        <is>
          <t>2026-09-27</t>
        </is>
      </c>
      <c r="J50" s="3" t="inlineStr">
        <is>
          <t>reach generated from the code each build</t>
        </is>
      </c>
    </row>
    <row r="51" ht="60" customHeight="1">
      <c r="A51" s="3" t="inlineStr">
        <is>
          <t>MK-XS-I-050</t>
        </is>
      </c>
      <c r="B51" s="3" t="inlineStr">
        <is>
          <t>the share of an account earmarked for retirement</t>
        </is>
      </c>
      <c r="C51" s="3" t="inlineStr">
        <is>
          <t>typed by the person, per account</t>
        </is>
      </c>
      <c r="D51" s="3" t="inlineStr">
        <is>
          <t>retirement_pct</t>
        </is>
      </c>
      <c r="E51" s="3" t="inlineStr">
        <is>
          <t>1. MK-NW-F-032 earmarkedAmount
2. MK-CF-O-017 futurePaycheck</t>
        </is>
      </c>
      <c r="F51" s="3" t="inlineStr">
        <is>
          <t>MK-CF-M-022 · MK-CF-M-055 · MK-CF-M-070 · MK-NW-M-050 · MK-NW-M-051 · MK-NW-M-052 · MK-PL-M-001 · MK-PL-M-002 · MK-PL-M-008 · MK-PL-M-009 · MK-PL-M-011 · MK-PL-M-029 · MK-PL-M-034 · MK-XS-M-002</t>
        </is>
      </c>
      <c r="G51" s="3" t="inlineStr">
        <is>
          <t>SWEPT FROM THE CODE 2026-08-26</t>
        </is>
      </c>
      <c r="H51" s="3" t="inlineStr">
        <is>
          <t>ACTIVE</t>
        </is>
      </c>
      <c r="I51" s="3" t="inlineStr">
        <is>
          <t>2026-10-03</t>
        </is>
      </c>
      <c r="J51" s="3" t="inlineStr">
        <is>
          <t>reach generated from the code each build</t>
        </is>
      </c>
    </row>
    <row r="52" ht="60" customHeight="1">
      <c r="A52" s="3" t="inlineStr">
        <is>
          <t>MK-XS-I-051</t>
        </is>
      </c>
      <c r="B52" s="3" t="inlineStr">
        <is>
          <t>what an account actually returned over the last twelve months</t>
        </is>
      </c>
      <c r="C52" s="3" t="inlineStr">
        <is>
          <t>typed by the person, per account</t>
        </is>
      </c>
      <c r="D52" s="3" t="inlineStr">
        <is>
          <t>actual_ttm</t>
        </is>
      </c>
      <c r="E52" s="3" t="inlineStr">
        <is>
          <t>MK-NW-F-004 portfolioActualReturn</t>
        </is>
      </c>
      <c r="F52" s="3" t="inlineStr">
        <is>
          <t>MK-CF-M-055 · MK-CF-M-070 · MK-PL-M-008 · MK-PL-M-011 · MK-PL-M-029 · MK-PL-M-034 · MK-XS-M-002</t>
        </is>
      </c>
      <c r="G52" s="3" t="inlineStr">
        <is>
          <t>SWEPT FROM THE CODE 2026-08-26</t>
        </is>
      </c>
      <c r="H52" s="3" t="inlineStr">
        <is>
          <t>ACTIVE</t>
        </is>
      </c>
      <c r="I52" s="3" t="inlineStr">
        <is>
          <t>2026-08-27</t>
        </is>
      </c>
      <c r="J52" s="3" t="inlineStr">
        <is>
          <t>reach generated from the code each build</t>
        </is>
      </c>
    </row>
    <row r="53" ht="60" customHeight="1">
      <c r="A53" s="3" t="inlineStr">
        <is>
          <t>MK-XS-I-052</t>
        </is>
      </c>
      <c r="B53" s="3" t="inlineStr">
        <is>
          <t>the day of the month a debt payment is due</t>
        </is>
      </c>
      <c r="C53" s="3" t="inlineStr">
        <is>
          <t>typed, or a connection</t>
        </is>
      </c>
      <c r="D53" s="3" t="inlineStr">
        <is>
          <t>due_day</t>
        </is>
      </c>
      <c r="E53" s="3" t="inlineStr">
        <is>
          <t>1. MK-CF-F-005 actualMonthFlow
2. MK-XS-F-004 buildDatedGrid</t>
        </is>
      </c>
      <c r="F5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G53" s="3" t="inlineStr">
        <is>
          <t>SWEPT FROM THE CODE 2026-08-26</t>
        </is>
      </c>
      <c r="H53" s="3" t="inlineStr">
        <is>
          <t>ACTIVE</t>
        </is>
      </c>
      <c r="I53" s="3" t="inlineStr">
        <is>
          <t>2026-09-30</t>
        </is>
      </c>
      <c r="J53" s="3" t="inlineStr">
        <is>
          <t>reach generated from the code each build</t>
        </is>
      </c>
    </row>
    <row r="54" ht="60" customHeight="1">
      <c r="A54" s="3" t="inlineStr">
        <is>
          <t>MK-XS-I-053</t>
        </is>
      </c>
      <c r="B54" s="3" t="inlineStr">
        <is>
          <t>the month a debt is first paid</t>
        </is>
      </c>
      <c r="C54" s="3" t="inlineStr">
        <is>
          <t>typed by the person</t>
        </is>
      </c>
      <c r="D54" s="3" t="inlineStr">
        <is>
          <t>first_payment_date</t>
        </is>
      </c>
      <c r="E54" s="3" t="inlineStr">
        <is>
          <t>1. MK-XS-F-004 buildDatedGrid
2. MK-CF-F-034 payoffPlan</t>
        </is>
      </c>
      <c r="F54" s="3" t="inlineStr">
        <is>
          <t>MK-CF-M-022 · MK-CF-M-055 · MK-CF-M-057 · MK-CF-M-058 · MK-CF-M-059 · MK-CF-M-070 · MK-CF-M-071 · MK-CF-M-072 · MK-CF-M-073 · MK-CF-M-074 · MK-CF-M-075 · MK-PL-M-031</t>
        </is>
      </c>
      <c r="G54" s="3" t="inlineStr">
        <is>
          <t>SWEPT FROM THE CODE 2026-08-26</t>
        </is>
      </c>
      <c r="H54" s="3" t="inlineStr">
        <is>
          <t>ACTIVE</t>
        </is>
      </c>
      <c r="I54" s="3" t="inlineStr">
        <is>
          <t>2026-08-27</t>
        </is>
      </c>
      <c r="J54" s="3" t="inlineStr">
        <is>
          <t>reach generated from the code each build</t>
        </is>
      </c>
    </row>
    <row r="55" ht="60" customHeight="1">
      <c r="A55" s="3" t="inlineStr">
        <is>
          <t>MK-XS-I-054</t>
        </is>
      </c>
      <c r="B55" s="3" t="inlineStr">
        <is>
          <t>the date a debt is due to be paid off in full</t>
        </is>
      </c>
      <c r="C55" s="3" t="inlineStr">
        <is>
          <t>typed by the person</t>
        </is>
      </c>
      <c r="D55" s="3" t="inlineStr">
        <is>
          <t>payoff_date</t>
        </is>
      </c>
      <c r="E55" s="3" t="inlineStr">
        <is>
          <t>1. MK-XS-F-004 buildDatedGrid
2. MK-CF-F-034 payoffPlan</t>
        </is>
      </c>
      <c r="F55" s="3" t="inlineStr">
        <is>
          <t>MK-CF-M-022 · MK-CF-M-055 · MK-CF-M-057 · MK-CF-M-058 · MK-CF-M-059 · MK-CF-M-070 · MK-CF-M-071 · MK-CF-M-072 · MK-CF-M-073 · MK-CF-M-074 · MK-CF-M-075 · MK-PL-M-031</t>
        </is>
      </c>
      <c r="G55" s="3" t="inlineStr">
        <is>
          <t>SWEPT FROM THE CODE 2026-08-26</t>
        </is>
      </c>
      <c r="H55" s="3" t="inlineStr">
        <is>
          <t>ACTIVE</t>
        </is>
      </c>
      <c r="I55" s="3" t="inlineStr">
        <is>
          <t>2026-08-27</t>
        </is>
      </c>
      <c r="J55" s="3" t="inlineStr">
        <is>
          <t>reach generated from the code each build</t>
        </is>
      </c>
    </row>
    <row r="56" ht="60" customHeight="1">
      <c r="A56" s="3" t="inlineStr">
        <is>
          <t>MK-XS-I-055</t>
        </is>
      </c>
      <c r="B56" s="3" t="inlineStr">
        <is>
          <t>the wrapper an account sits in — ISA, 401(k), IRA and the rest</t>
        </is>
      </c>
      <c r="C56" s="3" t="inlineStr">
        <is>
          <t>typed at setup, or from the connection</t>
        </is>
      </c>
      <c r="D56" s="3" t="inlineStr">
        <is>
          <t>wrapper_confirmed · kind</t>
        </is>
      </c>
      <c r="E56" s="3" t="inlineStr">
        <is>
          <t>1. MK-NW-F-075 ACC
2. MK-NW-F-076 ALT
3. MK-NW-F-088 BENCH
4. MK-NW-F-082 NW
5. MK-NW-F-101 PLAN
6. MK-CF-F-207 SOURCE
7. MK-CF-F-202 TAX
8. MK-NW-F-005 accountAllowsTicker
9. MK-NW-F-025 accountDisplayName
10. MK-CF-F-005 actualMonthFlow
11. MK-CF-F-138 addLot
12. MK-PF-F-017 allocation
13. MK-NW-F-002 alternativesSummary
14. MK-CF-F-210 annualOfSource
… and 50 more — the full list is on functions_from_code</t>
        </is>
      </c>
      <c r="F56"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MK-PF-M-002 · MK-PF-M-003 · MK-PF-M-005 · MK-PF-M-006 · MK-PF-M-007 · MK-PF-M-008 · MK-PF-M-013 · MK-PF-M-014 · MK-PF-M-015 · MK-PF-M-016 · MK-PF-M-017 · MK-PF-M-018 · MK-PF-M-019 · MK-PF-M-020 · MK-PL-M-001 · MK-PL-M-002 · MK-PL-M-008 · MK-PL-M-009 · MK-PL-M-011 · MK-PL-M-018 · MK-PL-M-029 · MK-PL-M-032 · MK-PL-M-034 · MK-XS-M-001 · MK-XS-M-002 · MK-XS-M-003 · MK-XS-M-004 · MK-XS-M-005 · MK-XS-M-006</t>
        </is>
      </c>
      <c r="G56" s="3" t="inlineStr">
        <is>
          <t>SWEPT FROM THE CODE 2026-08-26</t>
        </is>
      </c>
      <c r="H56" s="3" t="inlineStr">
        <is>
          <t>ACTIVE</t>
        </is>
      </c>
      <c r="I56" s="3" t="inlineStr">
        <is>
          <t>2026-10-02</t>
        </is>
      </c>
      <c r="J56" s="3" t="inlineStr">
        <is>
          <t>reach generated from the code each build</t>
        </is>
      </c>
    </row>
    <row r="57" ht="60" customHeight="1">
      <c r="A57" s="3" t="inlineStr">
        <is>
          <t>MK-XS-I-056</t>
        </is>
      </c>
      <c r="B57" s="3" t="inlineStr">
        <is>
          <t>how a holding was classified, and by whom</t>
        </is>
      </c>
      <c r="C57" s="3" t="inlineStr">
        <is>
          <t>the function, the institution, or the person</t>
        </is>
      </c>
      <c r="D57" s="3" t="inlineStr">
        <is>
          <t>class_source · class_flag</t>
        </is>
      </c>
      <c r="E57" s="3" t="inlineStr">
        <is>
          <t>1. MK-XS-F-102 ingestSync
2. MK-XS-F-175 uid</t>
        </is>
      </c>
      <c r="F57" s="3" t="inlineStr">
        <is>
          <t>MK-MN-M-016 · MK-NW-M-001 · MK-NW-M-002 · MK-NW-M-003 · MK-NW-M-004 · MK-NW-M-005 · MK-NW-M-006 · MK-NW-M-007 · MK-NW-M-008 · MK-NW-M-009 · MK-NW-M-011 · MK-NW-M-015 · MK-NW-M-016 · MK-NW-M-017 · MK-NW-M-049 · MK-NW-M-063 · MK-XS-M-001 · MK-XS-M-003</t>
        </is>
      </c>
      <c r="G57" s="3" t="inlineStr">
        <is>
          <t>SWEPT FROM THE CODE 2026-08-26</t>
        </is>
      </c>
      <c r="H57" s="3" t="inlineStr">
        <is>
          <t>ACTIVE</t>
        </is>
      </c>
      <c r="I57" s="3" t="inlineStr">
        <is>
          <t>2026-09-13</t>
        </is>
      </c>
      <c r="J57" s="3" t="inlineStr">
        <is>
          <t>reach generated from the code each build</t>
        </is>
      </c>
    </row>
    <row r="58" ht="45" customHeight="1">
      <c r="A58" s="3" t="inlineStr">
        <is>
          <t>MK-XS-I-057</t>
        </is>
      </c>
      <c r="B58" s="3" t="inlineStr">
        <is>
          <t>the date an account history begins</t>
        </is>
      </c>
      <c r="C58" s="3" t="inlineStr">
        <is>
          <t>the institution download</t>
        </is>
      </c>
      <c r="D58" s="3" t="inlineStr">
        <is>
          <t>history_from</t>
        </is>
      </c>
      <c r="E58" s="3" t="inlineStr">
        <is>
          <t>1. MK-NW-F-046 historyCoverage
2. MK-XS-F-102 ingestSync</t>
        </is>
      </c>
      <c r="F58" s="3" t="inlineStr">
        <is>
          <t>NONE ON RECORD — the functions above serve no figure that names them. See S21.</t>
        </is>
      </c>
      <c r="G58" s="3" t="inlineStr">
        <is>
          <t>SWEPT FROM THE CODE 2026-08-26</t>
        </is>
      </c>
      <c r="H58" s="3" t="inlineStr">
        <is>
          <t>ACTIVE</t>
        </is>
      </c>
      <c r="I58" s="3" t="inlineStr">
        <is>
          <t>2026-08-27</t>
        </is>
      </c>
      <c r="J58" s="3" t="inlineStr">
        <is>
          <t>reach generated from the code each build</t>
        </is>
      </c>
    </row>
    <row r="59" ht="45" customHeight="1">
      <c r="A59" s="3" t="inlineStr">
        <is>
          <t>MK-XS-I-058</t>
        </is>
      </c>
      <c r="B59" s="3" t="inlineStr">
        <is>
          <t>a break between our figure and the institution's</t>
        </is>
      </c>
      <c r="C59" s="3" t="inlineStr">
        <is>
          <t>worked out when a download is read</t>
        </is>
      </c>
      <c r="D59" s="3" t="inlineStr">
        <is>
          <t>recon_break</t>
        </is>
      </c>
      <c r="E59" s="3" t="inlineStr">
        <is>
          <t>MK-XS-F-102 ingestSync</t>
        </is>
      </c>
      <c r="F59" s="3" t="inlineStr">
        <is>
          <t>NONE ON RECORD — the functions above serve no figure that names them. See S21.</t>
        </is>
      </c>
      <c r="G59" s="3" t="inlineStr">
        <is>
          <t>SWEPT FROM THE CODE 2026-08-26</t>
        </is>
      </c>
      <c r="H59" s="3" t="inlineStr">
        <is>
          <t>ACTIVE</t>
        </is>
      </c>
      <c r="I59" s="3" t="inlineStr">
        <is>
          <t>2026-08-27</t>
        </is>
      </c>
      <c r="J59" s="3" t="inlineStr">
        <is>
          <t>reach generated from the code each build</t>
        </is>
      </c>
    </row>
    <row r="60" ht="60" customHeight="1">
      <c r="A60" s="3" t="inlineStr">
        <is>
          <t>MK-XS-I-059</t>
        </is>
      </c>
      <c r="B60" s="3" t="inlineStr">
        <is>
          <t>the month a bonus lands</t>
        </is>
      </c>
      <c r="C60" s="3" t="inlineStr">
        <is>
          <t>typed by the person</t>
        </is>
      </c>
      <c r="D60" s="3" t="inlineStr">
        <is>
          <t>bonusMonth</t>
        </is>
      </c>
      <c r="E60" s="3" t="inlineStr">
        <is>
          <t>1. MK-CF-F-201 INCOME
2. MK-XS-F-004 buildDatedGrid
3. MK-CF-F-020 cashflowYear
4. MK-CF-F-079 incomeFromOnboarding
5. MK-CF-F-092 incomeMonthlyGrid
6. MK-CF-O-016 incomeSources
7. MK-CF-O-004 incomeSummary
8. MK-CF-F-088 taxableByCalendarMonth</t>
        </is>
      </c>
      <c r="F60"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G60" s="3" t="inlineStr">
        <is>
          <t>SWEPT FROM THE CODE 2026-08-26</t>
        </is>
      </c>
      <c r="H60" s="3" t="inlineStr">
        <is>
          <t>ACTIVE</t>
        </is>
      </c>
      <c r="I60" s="3" t="inlineStr">
        <is>
          <t>2026-10-03</t>
        </is>
      </c>
      <c r="J60" s="3" t="inlineStr">
        <is>
          <t>reach generated from the code each build</t>
        </is>
      </c>
    </row>
    <row r="61" ht="60" customHeight="1">
      <c r="A61" s="3" t="inlineStr">
        <is>
          <t>MK-XS-I-060</t>
        </is>
      </c>
      <c r="B61" s="3" t="inlineStr">
        <is>
          <t>how a person is paid — weekly, fortnightly, monthly</t>
        </is>
      </c>
      <c r="C61" s="3" t="inlineStr">
        <is>
          <t>typed at setup</t>
        </is>
      </c>
      <c r="D61" s="3" t="inlineStr">
        <is>
          <t>salaryMode · SALARY_PERIODS</t>
        </is>
      </c>
      <c r="E61" s="3" t="inlineStr">
        <is>
          <t>1. MK-CF-F-059 annualizedEnteredSalary
2. MK-CF-F-186 convertTakeHomeMode
3. MK-CF-F-130 enteredMonthlyRaw
4. MK-CF-O-016 incomeSources
5. MK-CF-F-185 needsTakeHomeConversion
6. MK-CF-O-007 theTaxOrganizer</t>
        </is>
      </c>
      <c r="F6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G61" s="3" t="inlineStr">
        <is>
          <t>SWEPT FROM THE CODE 2026-08-26</t>
        </is>
      </c>
      <c r="H61" s="3" t="inlineStr">
        <is>
          <t>ACTIVE</t>
        </is>
      </c>
      <c r="I61" s="3" t="inlineStr">
        <is>
          <t>2026-10-01</t>
        </is>
      </c>
      <c r="J61" s="3" t="inlineStr">
        <is>
          <t>reach generated from the code each build</t>
        </is>
      </c>
    </row>
    <row r="62" ht="45" customHeight="1">
      <c r="A62" s="3" t="inlineStr">
        <is>
          <t>MK-XS-I-061</t>
        </is>
      </c>
      <c r="B62" s="3" t="inlineStr">
        <is>
          <t>pre-tax balance on 31 December last year</t>
        </is>
      </c>
      <c r="C62" s="3" t="inlineStr">
        <is>
          <t>typed by the person on the Required-withdrawals screen</t>
        </is>
      </c>
      <c r="D62" s="3" t="inlineStr">
        <is>
          <t>rmdPriorYearEndPreTax · priorYearEndPreTax</t>
        </is>
      </c>
      <c r="E62" s="3" t="inlineStr">
        <is>
          <t>1. MK-PL-F-027 nextDecision
2. MK-PL-F-080 rmdRequiredThisYear</t>
        </is>
      </c>
      <c r="F62" s="3" t="inlineStr">
        <is>
          <t>MK-PL-M-013</t>
        </is>
      </c>
      <c r="G62" s="3" t="inlineStr">
        <is>
          <t>SWEPT FROM THE CODE 2026-08-26</t>
        </is>
      </c>
      <c r="H62" s="3" t="inlineStr">
        <is>
          <t>ACTIVE</t>
        </is>
      </c>
      <c r="I62" s="3" t="inlineStr">
        <is>
          <t>2026-09-08</t>
        </is>
      </c>
      <c r="J62" s="6" t="inlineStr">
        <is>
          <t>TESTED, NOT VERIFIED (G8) · reach generated from the code each build</t>
        </is>
      </c>
    </row>
    <row r="63" ht="45" customHeight="1">
      <c r="A63" s="3" t="inlineStr">
        <is>
          <t>MK-XS-I-062</t>
        </is>
      </c>
      <c r="B63" s="3" t="inlineStr">
        <is>
          <t>enrolled in Medicare (yes / no)</t>
        </is>
      </c>
      <c r="C63" s="3" t="inlineStr">
        <is>
          <t>typed by the person on the Contribution-room screen (HSA card, shown at 65+)</t>
        </is>
      </c>
      <c r="D63" s="3" t="inlineStr">
        <is>
          <t>medicareEnrolled</t>
        </is>
      </c>
      <c r="E63" s="3" t="inlineStr">
        <is>
          <t>1. MK-CF-F-055 annualHsaLimit
2. MK-CF-O-005 theContributionRoom</t>
        </is>
      </c>
      <c r="F63" s="3" t="inlineStr">
        <is>
          <t>NONE ON RECORD — the functions above serve no figure that names them. See S21.</t>
        </is>
      </c>
      <c r="G63" s="3" t="inlineStr">
        <is>
          <t>SWEPT FROM THE CODE 2026-08-26</t>
        </is>
      </c>
      <c r="H63" s="3" t="inlineStr">
        <is>
          <t>ACTIVE</t>
        </is>
      </c>
      <c r="I63" s="3" t="inlineStr">
        <is>
          <t>2026-09-28</t>
        </is>
      </c>
      <c r="J63" s="6" t="inlineStr">
        <is>
          <t>TESTED, NOT VERIFIED (G10) · reach generated from the code each build</t>
        </is>
      </c>
    </row>
    <row r="64" ht="60" customHeight="1">
      <c r="A64" s="3" t="inlineStr">
        <is>
          <t>MK-XS-I-063</t>
        </is>
      </c>
      <c r="B64" s="3" t="inlineStr">
        <is>
          <t>option contract multiplier — 100 unless the broker or the person states otherwise</t>
        </is>
      </c>
      <c r="C64" s="3" t="inlineStr">
        <is>
          <t>set by the broker on a connected holding, or typed by the person</t>
        </is>
      </c>
      <c r="D64" s="3" t="inlineStr">
        <is>
          <t>multiplier · OPTION_CONTRACT_MULTIPLIER · contractMultiplier</t>
        </is>
      </c>
      <c r="E64" s="3" t="inlineStr">
        <is>
          <t>1. MK-PF-F-031 contractMultiplier
2. MK-PF-F-002 costBasis
3. MK-XS-F-106 mapOptionHolding
4. MK-PF-F-004 marketValue</t>
        </is>
      </c>
      <c r="F64" s="3" t="inlineStr">
        <is>
          <t>MK-MN-M-016 · MK-NW-M-001 · MK-NW-M-002 · MK-NW-M-003 · MK-NW-M-004 · MK-NW-M-005 · MK-NW-M-006 · MK-NW-M-007 · MK-NW-M-008 · MK-NW-M-009 · MK-NW-M-011 · MK-NW-M-015 · MK-NW-M-016 · MK-NW-M-017 · MK-NW-M-029 · MK-NW-M-030 · MK-NW-M-031 · MK-NW-M-032 · MK-NW-M-033 · MK-NW-M-034 · MK-NW-M-035 · MK-NW-M-036 · MK-NW-M-037 · MK-NW-M-049 · MK-NW-M-059 · MK-NW-M-060 · MK-NW-M-061 · MK-NW-M-063 · MK-XS-M-001 · MK-XS-M-003</t>
        </is>
      </c>
      <c r="G64" s="3" t="inlineStr">
        <is>
          <t>SWEPT FROM THE CODE 2026-08-26</t>
        </is>
      </c>
      <c r="H64" s="3" t="inlineStr">
        <is>
          <t>ACTIVE</t>
        </is>
      </c>
      <c r="I64" s="3" t="inlineStr">
        <is>
          <t>2026-09-11</t>
        </is>
      </c>
      <c r="J64" s="6" t="inlineStr">
        <is>
          <t>TESTED, NOT VERIFIED (Q06) · reach generated from the code each build</t>
        </is>
      </c>
    </row>
    <row r="65" ht="60" customHeight="1">
      <c r="A65" s="3" t="inlineStr">
        <is>
          <t>MK-XS-I-064</t>
        </is>
      </c>
      <c r="B65" s="3" t="inlineStr">
        <is>
          <t>the unit beside a quantity — shares, coins, contracts, ounces or units</t>
        </is>
      </c>
      <c r="C65" s="3" t="inlineStr">
        <is>
          <t>typed by the person on the holding; otherwise the unit the kind implies</t>
        </is>
      </c>
      <c r="D65" s="3" t="inlineStr">
        <is>
          <t>unit · quantityUnit · quantityWithUnit</t>
        </is>
      </c>
      <c r="E65" s="3" t="inlineStr">
        <is>
          <t>1. MK-NW-F-075 ACC
2. MK-NW-F-076 ALT
3. MK-NW-F-088 BENCH
4. MK-CF-F-211 DEBTS
5. MK-NW-F-079 EF
6. MK-NW-F-080 HOLD
7. MK-NW-F-081 LB
8. MK-CF-F-200 LINE
9. MK-NW-F-078 ONE
10. MK-CF-O-013 PAY_LANDS_TYPED
11. MK-NW-F-101 PLAN
12. MK-CF-F-199 ROOM
13. MK-CF-F-202 TAX
14. MK-CF-F-210 annualOfSource
… and 16 more — the full list is on functions_from_code</t>
        </is>
      </c>
      <c r="F6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MK-MN-M-010 · MK-MN-M-011 · MK-MN-M-012 · MK-MN-M-013 · MK-MN-M-016 · MK-MN-M-024 · MK-MN-M-025 · MK-MN-M-030 · MK-NW-M-001 · MK-NW-M-002 · MK-NW-M-003 · MK-NW-M-004 · MK-NW-M-005 · MK-NW-M-006 · MK-NW-M-007 · MK-NW-M-008 · MK-NW-M-009 · MK-NW-M-011 · MK-NW-M-012 · MK-NW-M-015 · MK-NW-M-016 · MK-NW-M-017 · MK-NW-M-029 · MK-NW-M-030 · MK-NW-M-031 · MK-NW-M-033 · MK-NW-M-034 · MK-NW-M-035 · MK-NW-M-036 · MK-NW-M-037 · MK-NW-M-046 · MK-NW-M-047 · MK-NW-M-048 · MK-NW-M-049 · MK-NW-M-059 · MK-NW-M-060 · MK-NW-M-061 · MK-NW-M-063 · MK-PF-M-002 · MK-PF-M-003 · MK-PF-M-005 · MK-PF-M-006 · MK-PF-M-007 · MK-PF-M-008 · MK-PF-M-013 · MK-PF-M-014 · MK-PF-M-015 · MK-PF-M-016 · MK-PF-M-017 · MK-PF-M-018 · MK-PF-M-019 · MK-PF-M-020 · MK-XS-M-001 · MK-XS-M-003 · MK-XS-M-004 · MK-XS-M-005 · MK-XS-M-006</t>
        </is>
      </c>
      <c r="G65" s="3" t="inlineStr">
        <is>
          <t>SWEPT FROM THE CODE 2026-08-26</t>
        </is>
      </c>
      <c r="H65" s="3" t="inlineStr">
        <is>
          <t>ACTIVE</t>
        </is>
      </c>
      <c r="I65" s="3" t="inlineStr">
        <is>
          <t>2026-10-03</t>
        </is>
      </c>
      <c r="J65" s="6" t="inlineStr">
        <is>
          <t>TESTED, NOT VERIFIED (Q09) · reach generated from the code each build</t>
        </is>
      </c>
    </row>
    <row r="66" ht="60" customHeight="1">
      <c r="A66" s="3" t="inlineStr">
        <is>
          <t>MK-XS-I-065</t>
        </is>
      </c>
      <c r="B66" s="3" t="inlineStr">
        <is>
          <t>accrued interest on a bond — interest earned since the last coupon</t>
        </is>
      </c>
      <c r="C66" s="3" t="inlineStr">
        <is>
          <t>typed by the person on the Bonds screen (optional)</t>
        </is>
      </c>
      <c r="D66" s="3" t="inlineStr">
        <is>
          <t>accrued_interest · accruedInterest · accruedInterestCaveat</t>
        </is>
      </c>
      <c r="E66" s="3" t="inlineStr">
        <is>
          <t>1. MK-NW-F-070 accruedInterestCaveat
2. MK-NW-F-056 bondInfo
3. MK-NW-F-059 currentYield
4. MK-NW-F-072 rowOf</t>
        </is>
      </c>
      <c r="F6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G66" s="3" t="inlineStr">
        <is>
          <t>SWEPT FROM THE CODE 2026-08-26</t>
        </is>
      </c>
      <c r="H66" s="3" t="inlineStr">
        <is>
          <t>ACTIVE</t>
        </is>
      </c>
      <c r="I66" s="3" t="inlineStr">
        <is>
          <t>2026-09-27</t>
        </is>
      </c>
      <c r="J66" s="6" t="inlineStr">
        <is>
          <t>TESTED, NOT VERIFIED (A47) · reach generated from the code each build</t>
        </is>
      </c>
    </row>
  </sheetData>
  <autoFilter ref="A1:J6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52" customWidth="1" min="3" max="3"/>
    <col width="44" customWidth="1" min="4" max="4"/>
    <col width="44" customWidth="1" min="5" max="5"/>
    <col width="44" customWidth="1" min="6" max="6"/>
    <col width="26" customWidth="1" min="7" max="7"/>
  </cols>
  <sheetData>
    <row r="1" ht="15" customHeight="1">
      <c r="A1" s="1" t="inlineStr">
        <is>
          <t>Where it is stored</t>
        </is>
      </c>
      <c r="B1" s="1" t="inlineStr">
        <is>
          <t>Field name in the database</t>
        </is>
      </c>
      <c r="C1" s="1" t="inlineStr">
        <is>
          <t>What it holds</t>
        </is>
      </c>
      <c r="D1" s="1" t="inlineStr">
        <is>
          <t>Metric or input it serves</t>
        </is>
      </c>
      <c r="E1" s="1" t="inlineStr">
        <is>
          <t>How often it is written</t>
        </is>
      </c>
      <c r="F1" s="1" t="inlineStr">
        <is>
          <t>Grain — one row per what</t>
        </is>
      </c>
      <c r="G1" s="1" t="inlineStr">
        <is>
          <t>Encrypted?</t>
        </is>
      </c>
    </row>
    <row r="2" ht="45" customHeight="1">
      <c r="A2" s="3" t="inlineStr">
        <is>
          <t>users/{uid}</t>
        </is>
      </c>
      <c r="B2" s="3" t="inlineStr">
        <is>
          <t>appStateEnc</t>
        </is>
      </c>
      <c r="C2" s="3" t="inlineStr">
        <is>
          <t>THE WHOLE app state, encrypted on the device before it leaves it. Everything below lives inside this one field.</t>
        </is>
      </c>
      <c r="D2" s="3" t="inlineStr">
        <is>
          <t>every metric in this file, through the inputs tab</t>
        </is>
      </c>
      <c r="E2" s="3" t="inlineStr">
        <is>
          <t>2 seconds after any change in the app, the whole payload rewritten</t>
        </is>
      </c>
      <c r="F2" s="3" t="inlineStr">
        <is>
          <t>ONE document per person — or per household when two people share</t>
        </is>
      </c>
      <c r="G2" s="3" t="inlineStr">
        <is>
          <t>Yes — the server cannot read it</t>
        </is>
      </c>
    </row>
    <row r="3" ht="30" customHeight="1">
      <c r="A3" s="3" t="inlineStr">
        <is>
          <t>users/{uid}</t>
        </is>
      </c>
      <c r="B3" s="3" t="inlineStr">
        <is>
          <t>keyEnvelope</t>
        </is>
      </c>
      <c r="C3" s="3" t="inlineStr">
        <is>
          <t>The encryption key, wrapped by the password and by the recovery code.</t>
        </is>
      </c>
      <c r="D3" s="3" t="inlineStr">
        <is>
          <t>—</t>
        </is>
      </c>
      <c r="E3" s="3" t="inlineStr">
        <is>
          <t>when the password or recovery code is set or changed</t>
        </is>
      </c>
      <c r="F3" s="3" t="inlineStr">
        <is>
          <t>one per person</t>
        </is>
      </c>
      <c r="G3" s="3" t="inlineStr">
        <is>
          <t>the key itself is wrapped, never stored bare</t>
        </is>
      </c>
    </row>
    <row r="4" ht="30" customHeight="1">
      <c r="A4" s="3" t="inlineStr">
        <is>
          <t>users/{uid}</t>
        </is>
      </c>
      <c r="B4" s="3" t="inlineStr">
        <is>
          <t>appState</t>
        </is>
      </c>
      <c r="C4" s="3" t="inlineStr">
        <is>
          <t>The old plaintext copy from before encryption. Deleted on the first save by an updated app.</t>
        </is>
      </c>
      <c r="D4" s="3" t="inlineStr">
        <is>
          <t>—</t>
        </is>
      </c>
      <c r="E4" s="3" t="inlineStr">
        <is>
          <t>never written now; removed on first save</t>
        </is>
      </c>
      <c r="F4" s="3" t="inlineStr">
        <is>
          <t>one per person</t>
        </is>
      </c>
      <c r="G4" s="3" t="inlineStr">
        <is>
          <t>No — which is why it is being removed</t>
        </is>
      </c>
    </row>
    <row r="5" ht="30" customHeight="1">
      <c r="A5" s="3" t="inlineStr">
        <is>
          <t>users/{uid}</t>
        </is>
      </c>
      <c r="B5" s="3" t="inlineStr">
        <is>
          <t>householdId</t>
        </is>
      </c>
      <c r="C5" s="3" t="inlineStr">
        <is>
          <t>Whose document this person reads and writes — their own, or the spouse who invited them.</t>
        </is>
      </c>
      <c r="D5" s="3" t="inlineStr">
        <is>
          <t>—</t>
        </is>
      </c>
      <c r="E5" s="3" t="inlineStr">
        <is>
          <t>when an invite is redeemed</t>
        </is>
      </c>
      <c r="F5" s="3" t="inlineStr">
        <is>
          <t>one per person</t>
        </is>
      </c>
      <c r="G5" s="3" t="inlineStr">
        <is>
          <t>No</t>
        </is>
      </c>
    </row>
    <row r="6" ht="30" customHeight="1">
      <c r="A6" s="3" t="inlineStr">
        <is>
          <t>households/{owner}/members/{member}</t>
        </is>
      </c>
      <c r="B6" s="3" t="inlineStr">
        <is>
          <t>code, householdId</t>
        </is>
      </c>
      <c r="C6" s="3" t="inlineStr">
        <is>
          <t>The record that a spouse joined a household, bound to a real invite.</t>
        </is>
      </c>
      <c r="D6" s="3" t="inlineStr">
        <is>
          <t>—</t>
        </is>
      </c>
      <c r="E6" s="3" t="inlineStr">
        <is>
          <t>once, when the invite is redeemed</t>
        </is>
      </c>
      <c r="F6" s="3" t="inlineStr">
        <is>
          <t>one per member</t>
        </is>
      </c>
      <c r="G6" s="3" t="inlineStr">
        <is>
          <t>No</t>
        </is>
      </c>
    </row>
    <row r="7" ht="15" customHeight="1">
      <c r="A7" s="3" t="inlineStr">
        <is>
          <t>invites/{code}</t>
        </is>
      </c>
      <c r="B7" s="3" t="inlineStr">
        <is>
          <t>householdId</t>
        </is>
      </c>
      <c r="C7" s="3" t="inlineStr">
        <is>
          <t>An invite code and the household it points at.</t>
        </is>
      </c>
      <c r="D7" s="3" t="inlineStr">
        <is>
          <t>—</t>
        </is>
      </c>
      <c r="E7" s="3" t="inlineStr">
        <is>
          <t>when an invite is created</t>
        </is>
      </c>
      <c r="F7" s="3" t="inlineStr">
        <is>
          <t>one per invite</t>
        </is>
      </c>
      <c r="G7" s="3" t="inlineStr">
        <is>
          <t>No</t>
        </is>
      </c>
    </row>
    <row r="8" ht="15" customHeight="1">
      <c r="A8" s="3" t="inlineStr">
        <is>
          <t>feedback/{doc}</t>
        </is>
      </c>
      <c r="B8" s="3" t="inlineStr">
        <is>
          <t>the message</t>
        </is>
      </c>
      <c r="C8" s="3" t="inlineStr">
        <is>
          <t>Feedback sent from inside the app.</t>
        </is>
      </c>
      <c r="D8" s="3" t="inlineStr">
        <is>
          <t>—</t>
        </is>
      </c>
      <c r="E8" s="3" t="inlineStr">
        <is>
          <t>when feedback is sent</t>
        </is>
      </c>
      <c r="F8" s="3" t="inlineStr">
        <is>
          <t>one per message</t>
        </is>
      </c>
      <c r="G8" s="3" t="inlineStr">
        <is>
          <t>No</t>
        </is>
      </c>
    </row>
    <row r="9" ht="15" customHeight="1">
      <c r="A9" s="3" t="inlineStr">
        <is>
          <t>snaptrade_users/{uid}</t>
        </is>
      </c>
      <c r="B9" s="3" t="inlineStr">
        <is>
          <t>the connection record</t>
        </is>
      </c>
      <c r="C9" s="3" t="inlineStr">
        <is>
          <t>The link to the brokerage connection service.</t>
        </is>
      </c>
      <c r="D9" s="3" t="inlineStr">
        <is>
          <t>—</t>
        </is>
      </c>
      <c r="E9" s="3" t="inlineStr">
        <is>
          <t>when an account is connected</t>
        </is>
      </c>
      <c r="F9" s="3" t="inlineStr">
        <is>
          <t>one per person</t>
        </is>
      </c>
      <c r="G9" s="3" t="inlineStr">
        <is>
          <t>No</t>
        </is>
      </c>
    </row>
    <row r="10" ht="30" customHeight="1">
      <c r="A10" s="3" t="inlineStr">
        <is>
          <t>inside appStateEnc</t>
        </is>
      </c>
      <c r="B10" s="3" t="inlineStr">
        <is>
          <t>assetAccounts</t>
        </is>
      </c>
      <c r="C10" s="3" t="inlineStr">
        <is>
          <t>Every account: its name, institution, balance, class and where the figure came from.</t>
        </is>
      </c>
      <c r="D10" s="3" t="inlineStr">
        <is>
          <t>account balance · account type · institution</t>
        </is>
      </c>
      <c r="E10" s="3" t="inlineStr">
        <is>
          <t>with every save</t>
        </is>
      </c>
      <c r="F10" s="3" t="inlineStr">
        <is>
          <t>one entry per account</t>
        </is>
      </c>
      <c r="G10" s="3" t="inlineStr">
        <is>
          <t>inside the encrypted blob</t>
        </is>
      </c>
    </row>
    <row r="11" ht="30" customHeight="1">
      <c r="A11" s="3" t="inlineStr">
        <is>
          <t>inside appStateEnc</t>
        </is>
      </c>
      <c r="B11" s="3" t="inlineStr">
        <is>
          <t>liabilities</t>
        </is>
      </c>
      <c r="C11" s="3" t="inlineStr">
        <is>
          <t>Every debt: balance, rate, minimum payment, due day.</t>
        </is>
      </c>
      <c r="D11" s="3" t="inlineStr">
        <is>
          <t>debt balance · debt interest rate · debt minimum payment</t>
        </is>
      </c>
      <c r="E11" s="3" t="inlineStr">
        <is>
          <t>with every save</t>
        </is>
      </c>
      <c r="F11" s="3" t="inlineStr">
        <is>
          <t>one entry per debt</t>
        </is>
      </c>
      <c r="G11" s="3" t="inlineStr">
        <is>
          <t>inside the encrypted blob</t>
        </is>
      </c>
    </row>
    <row r="12" ht="30" customHeight="1">
      <c r="A12" s="3" t="inlineStr">
        <is>
          <t>inside appStateEnc</t>
        </is>
      </c>
      <c r="B12" s="3" t="inlineStr">
        <is>
          <t>investments</t>
        </is>
      </c>
      <c r="C12" s="3" t="inlineStr">
        <is>
          <t>Holdings: ticker, quantity, price paid, lots.</t>
        </is>
      </c>
      <c r="D12" s="3" t="inlineStr">
        <is>
          <t>holding quantity · purchase price and date</t>
        </is>
      </c>
      <c r="E12" s="3" t="inlineStr">
        <is>
          <t>with every save</t>
        </is>
      </c>
      <c r="F12" s="3" t="inlineStr">
        <is>
          <t>one entry per holding</t>
        </is>
      </c>
      <c r="G12" s="3" t="inlineStr">
        <is>
          <t>inside the encrypted blob</t>
        </is>
      </c>
    </row>
    <row r="13" ht="30" customHeight="1">
      <c r="A13" s="3" t="inlineStr">
        <is>
          <t>inside appStateEnc</t>
        </is>
      </c>
      <c r="B13" s="3" t="inlineStr">
        <is>
          <t>expenses</t>
        </is>
      </c>
      <c r="C13" s="3" t="inlineStr">
        <is>
          <t>Logged expenses: date, amount, category, store.</t>
        </is>
      </c>
      <c r="D13" s="3" t="inlineStr">
        <is>
          <t>logged expenses</t>
        </is>
      </c>
      <c r="E13" s="3" t="inlineStr">
        <is>
          <t>with every save</t>
        </is>
      </c>
      <c r="F13" s="3" t="inlineStr">
        <is>
          <t>one entry per expense</t>
        </is>
      </c>
      <c r="G13" s="3" t="inlineStr">
        <is>
          <t>inside the encrypted blob</t>
        </is>
      </c>
    </row>
    <row r="14" ht="30" customHeight="1">
      <c r="A14" s="3" t="inlineStr">
        <is>
          <t>inside appStateEnc</t>
        </is>
      </c>
      <c r="B14" s="3" t="inlineStr">
        <is>
          <t>incomes · recurringIncomes</t>
        </is>
      </c>
      <c r="C14" s="3" t="inlineStr">
        <is>
          <t>Money received and the sources that repeat.</t>
        </is>
      </c>
      <c r="D14" s="3" t="inlineStr">
        <is>
          <t>salary and other income</t>
        </is>
      </c>
      <c r="E14" s="3" t="inlineStr">
        <is>
          <t>with every save</t>
        </is>
      </c>
      <c r="F14" s="3" t="inlineStr">
        <is>
          <t>one entry per payment or source</t>
        </is>
      </c>
      <c r="G14" s="3" t="inlineStr">
        <is>
          <t>inside the encrypted blob</t>
        </is>
      </c>
    </row>
    <row r="15" ht="30" customHeight="1">
      <c r="A15" s="3" t="inlineStr">
        <is>
          <t>inside appStateEnc</t>
        </is>
      </c>
      <c r="B15" s="3" t="inlineStr">
        <is>
          <t>recurringExpenses</t>
        </is>
      </c>
      <c r="C15" s="3" t="inlineStr">
        <is>
          <t>Bills that repeat, and the day they fall.</t>
        </is>
      </c>
      <c r="D15" s="3" t="inlineStr">
        <is>
          <t>logged expenses · the bill calendar</t>
        </is>
      </c>
      <c r="E15" s="3" t="inlineStr">
        <is>
          <t>with every save</t>
        </is>
      </c>
      <c r="F15" s="3" t="inlineStr">
        <is>
          <t>one entry per bill</t>
        </is>
      </c>
      <c r="G15" s="3" t="inlineStr">
        <is>
          <t>inside the encrypted blob</t>
        </is>
      </c>
    </row>
    <row r="16" ht="30" customHeight="1">
      <c r="A16" s="3" t="inlineStr">
        <is>
          <t>inside appStateEnc</t>
        </is>
      </c>
      <c r="B16" s="3" t="inlineStr">
        <is>
          <t>monthlySnapshots</t>
        </is>
      </c>
      <c r="C16" s="3" t="inlineStr">
        <is>
          <t>Net worth as it stood at each month end.</t>
        </is>
      </c>
      <c r="D16" s="3" t="inlineStr">
        <is>
          <t>the trend line · beginning values</t>
        </is>
      </c>
      <c r="E16" s="3" t="inlineStr">
        <is>
          <t>once a month, on the first open of a new month</t>
        </is>
      </c>
      <c r="F16" s="3" t="inlineStr">
        <is>
          <t>one entry per month</t>
        </is>
      </c>
      <c r="G16" s="3" t="inlineStr">
        <is>
          <t>inside the encrypted blob</t>
        </is>
      </c>
    </row>
    <row r="17" ht="30" customHeight="1">
      <c r="A17" s="3" t="inlineStr">
        <is>
          <t>inside appStateEnc</t>
        </is>
      </c>
      <c r="B17" s="3" t="inlineStr">
        <is>
          <t>nwDaily</t>
        </is>
      </c>
      <c r="C17" s="3" t="inlineStr">
        <is>
          <t>Net worth captured when the app is opened.</t>
        </is>
      </c>
      <c r="D17" s="3" t="inlineStr">
        <is>
          <t>the trend line · change in net worth</t>
        </is>
      </c>
      <c r="E17" s="3" t="inlineStr">
        <is>
          <t>once a day, on the first open</t>
        </is>
      </c>
      <c r="F17" s="3" t="inlineStr">
        <is>
          <t>one entry per day</t>
        </is>
      </c>
      <c r="G17" s="3" t="inlineStr">
        <is>
          <t>inside the encrypted blob</t>
        </is>
      </c>
    </row>
    <row r="18" ht="45" customHeight="1">
      <c r="A18" s="3" t="inlineStr">
        <is>
          <t>inside appStateEnc</t>
        </is>
      </c>
      <c r="B18" s="3" t="inlineStr">
        <is>
          <t>onboardingProfile</t>
        </is>
      </c>
      <c r="C18" s="3" t="inlineStr">
        <is>
          <t>What the person told us at setup: birth year, retirement age, expenses, Social Security, pension, filing status.</t>
        </is>
      </c>
      <c r="D18" s="3" t="inlineStr">
        <is>
          <t>birth year · retirement age · monthly expenses · Social Security · pension · filing status</t>
        </is>
      </c>
      <c r="E18" s="3" t="inlineStr">
        <is>
          <t>with every save</t>
        </is>
      </c>
      <c r="F18" s="3" t="inlineStr">
        <is>
          <t>one per person</t>
        </is>
      </c>
      <c r="G18" s="3" t="inlineStr">
        <is>
          <t>inside the encrypted blob</t>
        </is>
      </c>
    </row>
    <row r="19" ht="30" customHeight="1">
      <c r="A19" s="3" t="inlineStr">
        <is>
          <t>inside appStateEnc</t>
        </is>
      </c>
      <c r="B19" s="3" t="inlineStr">
        <is>
          <t>retirementAssumptions</t>
        </is>
      </c>
      <c r="C19" s="3" t="inlineStr">
        <is>
          <t>The plan's settings: return, claim age, contributions, draw.</t>
        </is>
      </c>
      <c r="D19" s="3" t="inlineStr">
        <is>
          <t>assumed return · Social Security claim age</t>
        </is>
      </c>
      <c r="E19" s="3" t="inlineStr">
        <is>
          <t>with every save</t>
        </is>
      </c>
      <c r="F19" s="3" t="inlineStr">
        <is>
          <t>one per person</t>
        </is>
      </c>
      <c r="G19" s="3" t="inlineStr">
        <is>
          <t>inside the encrypted blob</t>
        </is>
      </c>
    </row>
    <row r="20" ht="30" customHeight="1">
      <c r="A20" s="3" t="inlineStr">
        <is>
          <t>inside appStateEnc</t>
        </is>
      </c>
      <c r="B20" s="3" t="inlineStr">
        <is>
          <t>retirementScenarios</t>
        </is>
      </c>
      <c r="C20" s="3" t="inlineStr">
        <is>
          <t>Saved what-ifs.</t>
        </is>
      </c>
      <c r="D20" s="3" t="inlineStr">
        <is>
          <t>the saved scenarios count</t>
        </is>
      </c>
      <c r="E20" s="3" t="inlineStr">
        <is>
          <t>when a scenario is saved</t>
        </is>
      </c>
      <c r="F20" s="3" t="inlineStr">
        <is>
          <t>one entry per scenario</t>
        </is>
      </c>
      <c r="G20" s="3" t="inlineStr">
        <is>
          <t>inside the encrypted blob</t>
        </is>
      </c>
    </row>
    <row r="21" ht="30" customHeight="1">
      <c r="A21" s="3" t="inlineStr">
        <is>
          <t>inside appStateEnc</t>
        </is>
      </c>
      <c r="B21" s="3" t="inlineStr">
        <is>
          <t>bigCosts</t>
        </is>
      </c>
      <c r="C21" s="3" t="inlineStr">
        <is>
          <t>One-off costs ahead, with the year each falls.</t>
        </is>
      </c>
      <c r="D21" s="3" t="inlineStr">
        <is>
          <t>big costs</t>
        </is>
      </c>
      <c r="E21" s="3" t="inlineStr">
        <is>
          <t>with every save</t>
        </is>
      </c>
      <c r="F21" s="3" t="inlineStr">
        <is>
          <t>one entry per cost</t>
        </is>
      </c>
      <c r="G21" s="3" t="inlineStr">
        <is>
          <t>inside the encrypted blob</t>
        </is>
      </c>
    </row>
    <row r="22" ht="30" customHeight="1">
      <c r="A22" s="3" t="inlineStr">
        <is>
          <t>inside appStateEnc</t>
        </is>
      </c>
      <c r="B22" s="3" t="inlineStr">
        <is>
          <t>goals · selectedGoals</t>
        </is>
      </c>
      <c r="C22" s="3" t="inlineStr">
        <is>
          <t>Goals: target, saved so far, date.</t>
        </is>
      </c>
      <c r="D22" s="3" t="inlineStr">
        <is>
          <t>goals</t>
        </is>
      </c>
      <c r="E22" s="3" t="inlineStr">
        <is>
          <t>with every save</t>
        </is>
      </c>
      <c r="F22" s="3" t="inlineStr">
        <is>
          <t>one entry per goal</t>
        </is>
      </c>
      <c r="G22" s="3" t="inlineStr">
        <is>
          <t>inside the encrypted blob</t>
        </is>
      </c>
    </row>
    <row r="23" ht="30" customHeight="1">
      <c r="A23" s="3" t="inlineStr">
        <is>
          <t>inside appStateEnc</t>
        </is>
      </c>
      <c r="B23" s="3" t="inlineStr">
        <is>
          <t>budgetCategories · monthlyBudgetTarget · allocatedByMonth</t>
        </is>
      </c>
      <c r="C23" s="3" t="inlineStr">
        <is>
          <t>The plan for expenses, by category and by month.</t>
        </is>
      </c>
      <c r="D23" s="3" t="inlineStr">
        <is>
          <t>typical monthly essentials · planned expenses</t>
        </is>
      </c>
      <c r="E23" s="3" t="inlineStr">
        <is>
          <t>with every save</t>
        </is>
      </c>
      <c r="F23" s="3" t="inlineStr">
        <is>
          <t>one entry per category or month</t>
        </is>
      </c>
      <c r="G23" s="3" t="inlineStr">
        <is>
          <t>inside the encrypted blob</t>
        </is>
      </c>
    </row>
    <row r="24" ht="30" customHeight="1">
      <c r="A24" s="3" t="inlineStr">
        <is>
          <t>inside appStateEnc</t>
        </is>
      </c>
      <c r="B24" s="3" t="inlineStr">
        <is>
          <t>benchmarkReturns</t>
        </is>
      </c>
      <c r="C24" s="3" t="inlineStr">
        <is>
          <t>The index returns the comparison uses.</t>
        </is>
      </c>
      <c r="D24" s="3" t="inlineStr">
        <is>
          <t>benchmark return</t>
        </is>
      </c>
      <c r="E24" s="3" t="inlineStr">
        <is>
          <t>when they are fetched</t>
        </is>
      </c>
      <c r="F24" s="3" t="inlineStr">
        <is>
          <t>one entry per index and period</t>
        </is>
      </c>
      <c r="G24" s="3" t="inlineStr">
        <is>
          <t>inside the encrypted blob</t>
        </is>
      </c>
    </row>
    <row r="25" ht="30" customHeight="1">
      <c r="A25" s="3" t="inlineStr">
        <is>
          <t>inside appStateEnc</t>
        </is>
      </c>
      <c r="B25" s="3" t="inlineStr">
        <is>
          <t>snaptradeConnections</t>
        </is>
      </c>
      <c r="C25" s="3" t="inlineStr">
        <is>
          <t>Which brokerages are connected.</t>
        </is>
      </c>
      <c r="D25" s="3" t="inlineStr">
        <is>
          <t>—</t>
        </is>
      </c>
      <c r="E25" s="3" t="inlineStr">
        <is>
          <t>when a connection changes</t>
        </is>
      </c>
      <c r="F25" s="3" t="inlineStr">
        <is>
          <t>one entry per connection</t>
        </is>
      </c>
      <c r="G25" s="3" t="inlineStr">
        <is>
          <t>inside the encrypted blob</t>
        </is>
      </c>
    </row>
    <row r="26" ht="30" customHeight="1">
      <c r="A26" s="3" t="inlineStr">
        <is>
          <t>inside appStateEnc</t>
        </is>
      </c>
      <c r="B26" s="3" t="inlineStr">
        <is>
          <t>estatePlan · badges · xp · streak · lastCheckIn</t>
        </is>
      </c>
      <c r="C26" s="3" t="inlineStr">
        <is>
          <t>Estate notes and the encouragement counters.</t>
        </is>
      </c>
      <c r="D26" s="3" t="inlineStr">
        <is>
          <t>—</t>
        </is>
      </c>
      <c r="E26" s="3" t="inlineStr">
        <is>
          <t>with every save</t>
        </is>
      </c>
      <c r="F26" s="3" t="inlineStr">
        <is>
          <t>one per person</t>
        </is>
      </c>
      <c r="G26" s="3" t="inlineStr">
        <is>
          <t>inside the encrypted blob</t>
        </is>
      </c>
    </row>
    <row r="27" ht="60" customHeight="1">
      <c r="A27" s="3" t="inlineStr">
        <is>
          <t>NOT SAVED — DEVICE ONLY</t>
        </is>
      </c>
      <c r="B27" s="3" t="inlineStr">
        <is>
          <t>snapshotDays</t>
        </is>
      </c>
      <c r="C27" s="3" t="inlineStr">
        <is>
          <t>THE DAILY RECORD: for each day, every account and every holding — units, price and value kept apart. This is what a beginning value is READ from instead of being back-solved.</t>
        </is>
      </c>
      <c r="D27" s="3" t="inlineStr">
        <is>
          <t>beginning value · change in account value · the performance walk</t>
        </is>
      </c>
      <c r="E27" s="3" t="inlineStr">
        <is>
          <t>once a day, on the first open</t>
        </is>
      </c>
      <c r="F27" s="3" t="inlineStr">
        <is>
          <t>one entry per day, per account, per holding</t>
        </is>
      </c>
      <c r="G27" s="3" t="inlineStr">
        <is>
          <t>not sent at all</t>
        </is>
      </c>
    </row>
    <row r="28" ht="30" customHeight="1">
      <c r="A28" s="3" t="inlineStr">
        <is>
          <t>NOT SAVED — DEVICE ONLY</t>
        </is>
      </c>
      <c r="B28" s="3" t="inlineStr">
        <is>
          <t>invDaily</t>
        </is>
      </c>
      <c r="C28" s="3" t="inlineStr">
        <is>
          <t>Cash + investments captured daily — the baseline the Net worth return line is measured from.</t>
        </is>
      </c>
      <c r="D28" s="3" t="inlineStr">
        <is>
          <t>Return on cash + investments</t>
        </is>
      </c>
      <c r="E28" s="3" t="inlineStr">
        <is>
          <t>once a day, on the first open</t>
        </is>
      </c>
      <c r="F28" s="3" t="inlineStr">
        <is>
          <t>one entry per day</t>
        </is>
      </c>
      <c r="G28" s="3" t="inlineStr">
        <is>
          <t>not sent at all</t>
        </is>
      </c>
    </row>
    <row r="29" ht="60" customHeight="1">
      <c r="A29" s="3" t="inlineStr">
        <is>
          <t>NOT SAVED — DEVICE ONLY</t>
        </is>
      </c>
      <c r="B29" s="3" t="inlineStr">
        <is>
          <t>transactions</t>
        </is>
      </c>
      <c r="C29" s="3" t="inlineStr">
        <is>
          <t>The append-only ledger read from institution downloads: every buy, sell, contribution, withdrawal, dividend and interest line. Read by 32 places in the app.</t>
        </is>
      </c>
      <c r="D29" s="3" t="inlineStr">
        <is>
          <t>contributions · withdrawals · income · realised gain · the change walk</t>
        </is>
      </c>
      <c r="E29" s="3" t="inlineStr">
        <is>
          <t>when a file is imported or a connection syncs</t>
        </is>
      </c>
      <c r="F29" s="3" t="inlineStr">
        <is>
          <t>one entry per transaction</t>
        </is>
      </c>
      <c r="G29" s="3" t="inlineStr">
        <is>
          <t>not sent at all</t>
        </is>
      </c>
    </row>
    <row r="30" ht="30" customHeight="1">
      <c r="A30" s="3" t="inlineStr">
        <is>
          <t>NOT SAVED</t>
        </is>
      </c>
      <c r="B30" s="3" t="inlineStr">
        <is>
          <t>prices</t>
        </is>
      </c>
      <c r="C30" s="3" t="inlineStr">
        <is>
          <t>Prices are fetched fresh and held only on the device.</t>
        </is>
      </c>
      <c r="D30" s="3" t="inlineStr">
        <is>
          <t>holding price · price fetched at</t>
        </is>
      </c>
      <c r="E30" s="3" t="inlineStr">
        <is>
          <t>never written to the cloud</t>
        </is>
      </c>
      <c r="F30" s="3" t="inlineStr">
        <is>
          <t>—</t>
        </is>
      </c>
      <c r="G30" s="3" t="inlineStr">
        <is>
          <t>—</t>
        </is>
      </c>
    </row>
    <row r="31" ht="60" customHeight="1">
      <c r="A31" s="3" t="inlineStr">
        <is>
          <t>NOT SAVED</t>
        </is>
      </c>
      <c r="B31" s="3" t="inlineStr">
        <is>
          <t>economic figures (the 10-year yield)</t>
        </is>
      </c>
      <c r="C31" s="3" t="inlineStr">
        <is>
          <t>The 10-year Treasury yield is fetched from a feed each time and deliberately left out of the sync. Inflation is NO LONGER fetched for any calculation (founder ruling brief Q-50 (2026-08-20), executed 2026-09-08): it is the dated 30-year average, 2.5% a year, adjustable by the person.</t>
        </is>
      </c>
      <c r="D31" s="3" t="inlineStr">
        <is>
          <t>the 10-year yield</t>
        </is>
      </c>
      <c r="E31" s="3" t="inlineStr">
        <is>
          <t>never written to the cloud</t>
        </is>
      </c>
      <c r="F31" s="3" t="inlineStr">
        <is>
          <t>—</t>
        </is>
      </c>
      <c r="G31" s="3" t="inlineStr">
        <is>
          <t>—</t>
        </is>
      </c>
    </row>
  </sheetData>
  <autoFilter ref="A1:G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52" customWidth="1" min="3" max="3"/>
    <col width="26" customWidth="1" min="4" max="4"/>
  </cols>
  <sheetData>
    <row r="1" ht="15" customHeight="1">
      <c r="A1" s="1" t="inlineStr">
        <is>
          <t>Screen name</t>
        </is>
      </c>
      <c r="B1" s="1" t="inlineStr">
        <is>
          <t>Parent screen</t>
        </is>
      </c>
      <c r="C1" s="1" t="inlineStr">
        <is>
          <t>Core or not — my recommendation</t>
        </is>
      </c>
      <c r="D1" s="1" t="inlineStr">
        <is>
          <t>JJ — Decision (Y/N)</t>
        </is>
      </c>
    </row>
    <row r="2" ht="30" customHeight="1">
      <c r="A2" s="3" t="inlineStr">
        <is>
          <t>/account-detail</t>
        </is>
      </c>
      <c r="B2" s="3" t="inlineStr">
        <is>
          <t>Cashflow · Home · Networth · Performance · Plan</t>
        </is>
      </c>
      <c r="C2" s="3" t="inlineStr">
        <is>
          <t>Yes — where a wrong balance is chased</t>
        </is>
      </c>
      <c r="D2" s="3" t="inlineStr"/>
    </row>
    <row r="3" ht="15" customHeight="1">
      <c r="A3" s="3" t="inlineStr">
        <is>
          <t>/add-account</t>
        </is>
      </c>
      <c r="B3" s="3" t="inlineStr">
        <is>
          <t>Cashflow · Home</t>
        </is>
      </c>
      <c r="C3" s="3" t="inlineStr">
        <is>
          <t>Yes</t>
        </is>
      </c>
      <c r="D3" s="3" t="inlineStr"/>
    </row>
    <row r="4" ht="15" customHeight="1">
      <c r="A4" s="3" t="inlineStr">
        <is>
          <t>/analytics</t>
        </is>
      </c>
      <c r="B4" s="3" t="inlineStr">
        <is>
          <t>Networth</t>
        </is>
      </c>
      <c r="C4" s="3" t="inlineStr">
        <is>
          <t>Yes — Net worth</t>
        </is>
      </c>
      <c r="D4" s="3" t="inlineStr"/>
    </row>
    <row r="5" ht="15" customHeight="1">
      <c r="A5" s="3" t="inlineStr">
        <is>
          <t>/auth</t>
        </is>
      </c>
      <c r="B5" s="3" t="inlineStr">
        <is>
          <t>Menu</t>
        </is>
      </c>
      <c r="C5" s="3" t="inlineStr">
        <is>
          <t>Yes — the way in</t>
        </is>
      </c>
      <c r="D5" s="3" t="inlineStr"/>
    </row>
    <row r="6" ht="15" customHeight="1">
      <c r="A6" s="3" t="inlineStr">
        <is>
          <t>/big-costs</t>
        </is>
      </c>
      <c r="B6" s="3" t="inlineStr">
        <is>
          <t>Menu</t>
        </is>
      </c>
      <c r="C6" s="3" t="inlineStr">
        <is>
          <t>Yes — the costs that break a plan</t>
        </is>
      </c>
      <c r="D6" s="3" t="inlineStr"/>
    </row>
    <row r="7" ht="15" customHeight="1">
      <c r="A7" s="3" t="inlineStr">
        <is>
          <t>/bill-calendar</t>
        </is>
      </c>
      <c r="B7" s="3" t="inlineStr">
        <is>
          <t>Cashflow · Home</t>
        </is>
      </c>
      <c r="C7" s="3" t="inlineStr">
        <is>
          <t>Yes</t>
        </is>
      </c>
      <c r="D7" s="3" t="inlineStr"/>
    </row>
    <row r="8" ht="30" customHeight="1">
      <c r="A8" s="3" t="inlineStr">
        <is>
          <t>/bonds</t>
        </is>
      </c>
      <c r="B8" s="3" t="inlineStr">
        <is>
          <t>Cashflow · Home · Networth · Performance · Plan</t>
        </is>
      </c>
      <c r="C8" s="3" t="inlineStr">
        <is>
          <t>Yes — this age group holds them</t>
        </is>
      </c>
      <c r="D8" s="3" t="inlineStr"/>
    </row>
    <row r="9" ht="15" customHeight="1">
      <c r="A9" s="3" t="inlineStr">
        <is>
          <t>/cashflow</t>
        </is>
      </c>
      <c r="B9" s="3" t="inlineStr">
        <is>
          <t>Cashflow</t>
        </is>
      </c>
      <c r="C9" s="3" t="inlineStr">
        <is>
          <t>Yes — Cash flow</t>
        </is>
      </c>
      <c r="D9" s="3" t="inlineStr"/>
    </row>
    <row r="10" ht="15" customHeight="1">
      <c r="A10" s="3" t="inlineStr">
        <is>
          <t>/connect</t>
        </is>
      </c>
      <c r="B10" s="3" t="inlineStr">
        <is>
          <t>Home</t>
        </is>
      </c>
      <c r="C10" s="3" t="inlineStr">
        <is>
          <t>Yes</t>
        </is>
      </c>
      <c r="D10" s="3" t="inlineStr"/>
    </row>
    <row r="11" ht="15" customHeight="1">
      <c r="A11" s="3" t="inlineStr">
        <is>
          <t>/contribution-room</t>
        </is>
      </c>
      <c r="B11" s="3" t="inlineStr">
        <is>
          <t>Menu</t>
        </is>
      </c>
      <c r="C11" s="3" t="inlineStr">
        <is>
          <t>Yes — still relevant while working</t>
        </is>
      </c>
      <c r="D11" s="3" t="inlineStr"/>
    </row>
    <row r="12" ht="15" customHeight="1">
      <c r="A12" s="3" t="inlineStr">
        <is>
          <t>/credit</t>
        </is>
      </c>
      <c r="B12" s="3" t="inlineStr">
        <is>
          <t>Menu</t>
        </is>
      </c>
      <c r="C12" s="3" t="inlineStr">
        <is>
          <t>No — a working-age worry</t>
        </is>
      </c>
      <c r="D12" s="3" t="inlineStr"/>
    </row>
    <row r="13" ht="15" customHeight="1">
      <c r="A13" s="3" t="inlineStr">
        <is>
          <t>/education</t>
        </is>
      </c>
      <c r="B13" s="3" t="inlineStr">
        <is>
          <t>Plan</t>
        </is>
      </c>
      <c r="C13" s="3" t="inlineStr">
        <is>
          <t>No — college costs belong to the younger group</t>
        </is>
      </c>
      <c r="D13" s="3" t="inlineStr"/>
    </row>
    <row r="14" ht="15" customHeight="1">
      <c r="A14" s="3" t="inlineStr">
        <is>
          <t>/estate</t>
        </is>
      </c>
      <c r="B14" s="3" t="inlineStr">
        <is>
          <t>Menu</t>
        </is>
      </c>
      <c r="C14" s="3" t="inlineStr">
        <is>
          <t>Yes — squarely a 55-70 concern</t>
        </is>
      </c>
      <c r="D14" s="3" t="inlineStr"/>
    </row>
    <row r="15" ht="15" customHeight="1">
      <c r="A15" s="3" t="inlineStr">
        <is>
          <t>/expense</t>
        </is>
      </c>
      <c r="B15" s="3" t="inlineStr">
        <is>
          <t>Menu</t>
        </is>
      </c>
      <c r="C15" s="3" t="inlineStr">
        <is>
          <t>Yes</t>
        </is>
      </c>
      <c r="D15" s="3" t="inlineStr"/>
    </row>
    <row r="16" ht="15" customHeight="1">
      <c r="A16" s="3" t="inlineStr">
        <is>
          <t>/first-run</t>
        </is>
      </c>
      <c r="B16" s="3" t="inlineStr">
        <is>
          <t>Menu</t>
        </is>
      </c>
      <c r="C16" s="3" t="inlineStr">
        <is>
          <t>Yes</t>
        </is>
      </c>
      <c r="D16" s="3" t="inlineStr"/>
    </row>
    <row r="17" ht="15" customHeight="1">
      <c r="A17" s="3" t="inlineStr">
        <is>
          <t>/goals</t>
        </is>
      </c>
      <c r="B17" s="3" t="inlineStr">
        <is>
          <t>Menu</t>
        </is>
      </c>
      <c r="C17" s="3" t="inlineStr">
        <is>
          <t>Yes</t>
        </is>
      </c>
      <c r="D17" s="3" t="inlineStr"/>
    </row>
    <row r="18" ht="30" customHeight="1">
      <c r="A18" s="3" t="inlineStr">
        <is>
          <t>/holding-detail</t>
        </is>
      </c>
      <c r="B18" s="3" t="inlineStr">
        <is>
          <t>Cashflow · Home · Networth · Performance · Plan</t>
        </is>
      </c>
      <c r="C18" s="3" t="inlineStr">
        <is>
          <t>Yes — where a wrong gain is chased</t>
        </is>
      </c>
      <c r="D18" s="3" t="inlineStr"/>
    </row>
    <row r="19" ht="15" customHeight="1">
      <c r="A19" s="3" t="inlineStr">
        <is>
          <t>/home</t>
        </is>
      </c>
      <c r="B19" s="3" t="inlineStr">
        <is>
          <t>Home</t>
        </is>
      </c>
      <c r="C19" s="3" t="inlineStr">
        <is>
          <t>Yes — the first screen</t>
        </is>
      </c>
      <c r="D19" s="3" t="inlineStr"/>
    </row>
    <row r="20" ht="15" customHeight="1">
      <c r="A20" s="3" t="inlineStr">
        <is>
          <t>/import-holdings</t>
        </is>
      </c>
      <c r="B20" s="3" t="inlineStr">
        <is>
          <t>Home</t>
        </is>
      </c>
      <c r="C20" s="3" t="inlineStr">
        <is>
          <t>Yes — the way real data gets in</t>
        </is>
      </c>
      <c r="D20" s="3" t="inlineStr"/>
    </row>
    <row r="21" ht="15" customHeight="1">
      <c r="A21" s="3" t="inlineStr">
        <is>
          <t>/income-detail</t>
        </is>
      </c>
      <c r="B21" s="3" t="inlineStr">
        <is>
          <t>Menu</t>
        </is>
      </c>
      <c r="C21" s="3" t="inlineStr">
        <is>
          <t>Yes</t>
        </is>
      </c>
      <c r="D21" s="3" t="inlineStr"/>
    </row>
    <row r="22" ht="15" customHeight="1">
      <c r="A22" s="3" t="inlineStr">
        <is>
          <t>/income-manager</t>
        </is>
      </c>
      <c r="B22" s="3" t="inlineStr">
        <is>
          <t>Cashflow · Home</t>
        </is>
      </c>
      <c r="C22" s="3" t="inlineStr">
        <is>
          <t>Yes</t>
        </is>
      </c>
      <c r="D22" s="3" t="inlineStr"/>
    </row>
    <row r="23" ht="15" customHeight="1">
      <c r="A23" s="3" t="inlineStr">
        <is>
          <t>/insights</t>
        </is>
      </c>
      <c r="B23" s="3" t="inlineStr">
        <is>
          <t>Menu</t>
        </is>
      </c>
      <c r="C23" s="3" t="inlineStr">
        <is>
          <t>Yes — what needs you today</t>
        </is>
      </c>
      <c r="D23" s="3" t="inlineStr"/>
    </row>
    <row r="24" ht="15" customHeight="1">
      <c r="A24" s="3" t="inlineStr">
        <is>
          <t>/insurance</t>
        </is>
      </c>
      <c r="B24" s="3" t="inlineStr">
        <is>
          <t>Menu</t>
        </is>
      </c>
      <c r="C24" s="3" t="inlineStr">
        <is>
          <t>Borderline — matters at 55, less at 70</t>
        </is>
      </c>
      <c r="D24" s="3" t="inlineStr"/>
    </row>
    <row r="25" ht="15" customHeight="1">
      <c r="A25" s="3" t="inlineStr">
        <is>
          <t>/invest</t>
        </is>
      </c>
      <c r="B25" s="3" t="inlineStr">
        <is>
          <t>Performance</t>
        </is>
      </c>
      <c r="C25" s="3" t="inlineStr">
        <is>
          <t>Yes — Performance</t>
        </is>
      </c>
      <c r="D25" s="3" t="inlineStr"/>
    </row>
    <row r="26" ht="30" customHeight="1">
      <c r="A26" s="3" t="inlineStr">
        <is>
          <t>/itemize</t>
        </is>
      </c>
      <c r="B26" s="3" t="inlineStr">
        <is>
          <t>Cashflow · Home · Networth · Performance · Plan</t>
        </is>
      </c>
      <c r="C26" s="3" t="inlineStr">
        <is>
          <t>Yes — splitting one lump into holdings</t>
        </is>
      </c>
      <c r="D26" s="3" t="inlineStr"/>
    </row>
    <row r="27" ht="15" customHeight="1">
      <c r="A27" s="3" t="inlineStr">
        <is>
          <t>/jobsafety</t>
        </is>
      </c>
      <c r="B27" s="3" t="inlineStr">
        <is>
          <t>Menu</t>
        </is>
      </c>
      <c r="C27" s="3" t="inlineStr">
        <is>
          <t>No — a working-age worry</t>
        </is>
      </c>
      <c r="D27" s="3" t="inlineStr"/>
    </row>
    <row r="28" ht="30" customHeight="1">
      <c r="A28" s="3" t="inlineStr">
        <is>
          <t>/look-back</t>
        </is>
      </c>
      <c r="B28" s="3" t="inlineStr">
        <is>
          <t>Cashflow · Home · Networth · Performance · Plan</t>
        </is>
      </c>
      <c r="C28" s="3" t="inlineStr">
        <is>
          <t>Borderline — interesting, not needed to trust a number</t>
        </is>
      </c>
      <c r="D28" s="3" t="inlineStr"/>
    </row>
    <row r="29" ht="15" customHeight="1">
      <c r="A29" s="3" t="inlineStr">
        <is>
          <t>/monthly-income</t>
        </is>
      </c>
      <c r="B29" s="3" t="inlineStr">
        <is>
          <t>Cashflow · Home · Plan</t>
        </is>
      </c>
      <c r="C29" s="3" t="inlineStr">
        <is>
          <t>Yes</t>
        </is>
      </c>
      <c r="D29" s="3" t="inlineStr"/>
    </row>
    <row r="30" ht="15" customHeight="1">
      <c r="A30" s="3" t="inlineStr">
        <is>
          <t>/multi-goal</t>
        </is>
      </c>
      <c r="B30" s="3" t="inlineStr">
        <is>
          <t>Plan</t>
        </is>
      </c>
      <c r="C30" s="3" t="inlineStr">
        <is>
          <t>Yes</t>
        </is>
      </c>
      <c r="D30" s="3" t="inlineStr"/>
    </row>
    <row r="31" ht="15" customHeight="1">
      <c r="A31" s="3" t="inlineStr">
        <is>
          <t>/onboarding</t>
        </is>
      </c>
      <c r="B31" s="3" t="inlineStr">
        <is>
          <t>Cashflow · Home</t>
        </is>
      </c>
      <c r="C31" s="3" t="inlineStr">
        <is>
          <t>Yes</t>
        </is>
      </c>
      <c r="D31" s="3" t="inlineStr"/>
    </row>
    <row r="32" ht="15" customHeight="1">
      <c r="A32" s="3" t="inlineStr">
        <is>
          <t>/other-investments</t>
        </is>
      </c>
      <c r="B32" s="3" t="inlineStr">
        <is>
          <t>Menu</t>
        </is>
      </c>
      <c r="C32" s="3" t="inlineStr">
        <is>
          <t>Yes — the things with no market price</t>
        </is>
      </c>
      <c r="D32" s="3" t="inlineStr"/>
    </row>
    <row r="33" ht="15" customHeight="1">
      <c r="A33" s="3" t="inlineStr">
        <is>
          <t>/performance</t>
        </is>
      </c>
      <c r="B33" s="3" t="inlineStr">
        <is>
          <t>Cashflow · Home · Plan</t>
        </is>
      </c>
      <c r="C33" s="3" t="inlineStr">
        <is>
          <t>Yes — a second route to Performance</t>
        </is>
      </c>
      <c r="D33" s="3" t="inlineStr"/>
    </row>
    <row r="34" ht="15" customHeight="1">
      <c r="A34" s="3" t="inlineStr">
        <is>
          <t>/plan</t>
        </is>
      </c>
      <c r="B34" s="3" t="inlineStr">
        <is>
          <t>Plan</t>
        </is>
      </c>
      <c r="C34" s="3" t="inlineStr">
        <is>
          <t>Yes — Plan</t>
        </is>
      </c>
      <c r="D34" s="3" t="inlineStr"/>
    </row>
    <row r="35" ht="15" customHeight="1">
      <c r="A35" s="3" t="inlineStr">
        <is>
          <t>/required-withdrawals</t>
        </is>
      </c>
      <c r="B35" s="3" t="inlineStr">
        <is>
          <t>Plan</t>
        </is>
      </c>
      <c r="C35" s="3" t="inlineStr">
        <is>
          <t>Yes — a 73+ obligation</t>
        </is>
      </c>
      <c r="D35" s="3" t="inlineStr"/>
    </row>
    <row r="36" ht="15" customHeight="1">
      <c r="A36" s="3" t="inlineStr">
        <is>
          <t>/retirement</t>
        </is>
      </c>
      <c r="B36" s="3" t="inlineStr">
        <is>
          <t>Cashflow · Home · Plan</t>
        </is>
      </c>
      <c r="C36" s="3" t="inlineStr">
        <is>
          <t>Yes — the cockpit</t>
        </is>
      </c>
      <c r="D36" s="3" t="inlineStr"/>
    </row>
    <row r="37" ht="15" customHeight="1">
      <c r="A37" s="3" t="inlineStr">
        <is>
          <t>/rewards</t>
        </is>
      </c>
      <c r="B37" s="3" t="inlineStr">
        <is>
          <t>Menu</t>
        </is>
      </c>
      <c r="C37" s="3" t="inlineStr">
        <is>
          <t>No — encouragement, not a number</t>
        </is>
      </c>
      <c r="D37" s="3" t="inlineStr"/>
    </row>
    <row r="38" ht="15" customHeight="1">
      <c r="A38" s="3" t="inlineStr">
        <is>
          <t>/roth</t>
        </is>
      </c>
      <c r="B38" s="3" t="inlineStr">
        <is>
          <t>Plan</t>
        </is>
      </c>
      <c r="C38" s="3" t="inlineStr">
        <is>
          <t>Yes — a 55-70 decision</t>
        </is>
      </c>
      <c r="D38" s="3" t="inlineStr"/>
    </row>
    <row r="39" ht="15" customHeight="1">
      <c r="A39" s="3" t="inlineStr">
        <is>
          <t>/settings</t>
        </is>
      </c>
      <c r="B39" s="3" t="inlineStr">
        <is>
          <t>Menu</t>
        </is>
      </c>
      <c r="C39" s="3" t="inlineStr">
        <is>
          <t>Yes — carries hide-balances and the lock</t>
        </is>
      </c>
      <c r="D39" s="3" t="inlineStr"/>
    </row>
    <row r="40" ht="15" customHeight="1">
      <c r="A40" s="3" t="inlineStr">
        <is>
          <t>/sharpen</t>
        </is>
      </c>
      <c r="B40" s="3" t="inlineStr">
        <is>
          <t>Plan</t>
        </is>
      </c>
      <c r="C40" s="3" t="inlineStr">
        <is>
          <t>Borderline — a way in, not a figure</t>
        </is>
      </c>
      <c r="D40" s="3" t="inlineStr"/>
    </row>
    <row r="41" ht="15" customHeight="1">
      <c r="A41" s="3" t="inlineStr">
        <is>
          <t>/ss-timing</t>
        </is>
      </c>
      <c r="B41" s="3" t="inlineStr">
        <is>
          <t>Plan</t>
        </is>
      </c>
      <c r="C41" s="3" t="inlineStr">
        <is>
          <t>Yes — a 55-70 decision</t>
        </is>
      </c>
      <c r="D41" s="3" t="inlineStr"/>
    </row>
    <row r="42" ht="15" customHeight="1">
      <c r="A42" s="3" t="inlineStr">
        <is>
          <t>/stress-test</t>
        </is>
      </c>
      <c r="B42" s="3" t="inlineStr">
        <is>
          <t>Menu</t>
        </is>
      </c>
      <c r="C42" s="3" t="inlineStr">
        <is>
          <t>Borderline</t>
        </is>
      </c>
      <c r="D42" s="3" t="inlineStr"/>
    </row>
    <row r="43" ht="15" customHeight="1">
      <c r="A43" s="3" t="inlineStr">
        <is>
          <t>/tax-organizer</t>
        </is>
      </c>
      <c r="B43" s="3" t="inlineStr">
        <is>
          <t>Menu</t>
        </is>
      </c>
      <c r="C43" s="3" t="inlineStr">
        <is>
          <t>Yes</t>
        </is>
      </c>
      <c r="D43" s="3" t="inlineStr"/>
    </row>
    <row r="44" ht="15" customHeight="1">
      <c r="A44" s="3" t="inlineStr">
        <is>
          <t>/tips</t>
        </is>
      </c>
      <c r="B44" s="3" t="inlineStr">
        <is>
          <t>Menu</t>
        </is>
      </c>
      <c r="C44" s="3" t="inlineStr">
        <is>
          <t>No — encouragement, not a number</t>
        </is>
      </c>
      <c r="D44" s="3" t="inlineStr"/>
    </row>
    <row r="45" ht="15" customHeight="1">
      <c r="A45" s="3" t="inlineStr">
        <is>
          <t>/what-if</t>
        </is>
      </c>
      <c r="B45" s="3" t="inlineStr">
        <is>
          <t>Menu</t>
        </is>
      </c>
      <c r="C45" s="3" t="inlineStr">
        <is>
          <t>Yes</t>
        </is>
      </c>
      <c r="D45" s="3" t="inlineStr"/>
    </row>
    <row r="46" ht="15" customHeight="1">
      <c r="A46" s="3" t="inlineStr">
        <is>
          <t>/will-it-last</t>
        </is>
      </c>
      <c r="B46" s="3" t="inlineStr">
        <is>
          <t>Plan</t>
        </is>
      </c>
      <c r="C46" s="3" t="inlineStr">
        <is>
          <t>Yes — the question the whole plan answers</t>
        </is>
      </c>
      <c r="D46" s="3" t="inlineStr"/>
    </row>
  </sheetData>
  <autoFilter ref="A1:D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15" customWidth="1" min="1" max="1"/>
    <col width="46" customWidth="1" min="2" max="2"/>
    <col width="44" customWidth="1" min="3" max="3"/>
    <col width="44" customWidth="1" min="4" max="4"/>
    <col width="52" customWidth="1" min="5" max="5"/>
  </cols>
  <sheetData>
    <row r="1" ht="45" customHeight="1">
      <c r="A1" s="1" t="inlineStr">
        <is>
          <t>Input ID</t>
        </is>
      </c>
      <c r="B1" s="1" t="inlineStr">
        <is>
          <t>Input</t>
        </is>
      </c>
      <c r="C1" s="1" t="inlineStr">
        <is>
          <t>Figures whose own input list names it (the screen tabs, column J)</t>
        </is>
      </c>
      <c r="D1" s="1" t="inlineStr">
        <is>
          <t>Figures it actually reaches through the functions that read it (the inputs tab, swept from the code)</t>
        </is>
      </c>
      <c r="E1" s="1" t="inlineStr">
        <is>
          <t>Verdict</t>
        </is>
      </c>
    </row>
    <row r="2" ht="60" customHeight="1">
      <c r="A2" s="3" t="inlineStr">
        <is>
          <t>MK-XS-I-001</t>
        </is>
      </c>
      <c r="B2" s="3" t="inlineStr">
        <is>
          <t>account balance</t>
        </is>
      </c>
      <c r="C2" s="3" t="inlineStr">
        <is>
          <t>MK-NW-M-051 · MK-NW-M-052 · MK-NW-M-053 · MK-NW-M-054 · MK-NW-M-055 · MK-NW-M-056 · MK-NW-M-057 · MK-NW-M-058 · MK-NW-M-059 · MK-NW-M-061 · MK-NW-M-063 · MK-PL-M-016 · MK-PL-M-026 · MK-PL-M-033</t>
        </is>
      </c>
      <c r="D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E2" s="3" t="inlineStr">
        <is>
          <t>PARTLY AGREES — declared but not reached: MK-NW-M-059, MK-NW-M-061, MK-PL-M-016, MK-PL-M-026, MK-PL-M-033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MK-NW-M-014, MK-NW-M-015, MK-NW-M-016, MK-NW-M-017, MK-NW-M-019, MK-NW-M-020, MK-NW-M-021, MK-NW-M-023, MK-NW-M-024, MK-NW-M-025, MK-NW-M-026, MK-NW-M-027, MK-NW-M-038, MK-NW-M-039, MK-NW-M-040, MK-NW-M-041, MK-NW-M-042, MK-NW-M-043, MK-NW-M-044, MK-NW-M-045, MK-NW-M-046, MK-NW-M-047, MK-NW-M-048, MK-NW-M-049, MK-NW-M-050, MK-NW-M-062, MK-PF-M-001, MK-PF-M-002, MK-PF-M-003, MK-PF-M-004, MK-PF-M-005, MK-PF-M-006, MK-PF-M-007, MK-PF-M-008, MK-PF-M-013, MK-PF-M-014, MK-PF-M-015, MK-PF-M-016, MK-PF-M-017, MK-PF-M-018, MK-PF-M-019, MK-PF-M-020, MK-PL-M-001, MK-PL-M-002, MK-PL-M-008, MK-PL-M-009, MK-PL-M-011, MK-PL-M-029, MK-PL-M-034, MK-XS-M-001, MK-XS-M-002, MK-XS-M-003, MK-XS-M-004, MK-XS-M-005, MK-XS-M-006</t>
        </is>
      </c>
    </row>
    <row r="3" ht="60" customHeight="1">
      <c r="A3" s="3" t="inlineStr">
        <is>
          <t>MK-XS-I-002</t>
        </is>
      </c>
      <c r="B3" s="3" t="inlineStr">
        <is>
          <t>account type (taxable, pre-tax, Roth)</t>
        </is>
      </c>
      <c r="C3" s="3" t="inlineStr">
        <is>
          <t>MK-CF-M-070</t>
        </is>
      </c>
      <c r="D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MK-PF-M-002 · MK-PF-M-003 · MK-PF-M-005 · MK-PF-M-006 · MK-PF-M-007 · MK-PF-M-008 · MK-PF-M-013 · MK-PF-M-014 · MK-PF-M-015 · MK-PF-M-016 · MK-PF-M-017 · MK-PF-M-018 · MK-PF-M-019 · MK-PF-M-020 · MK-PL-M-001 · MK-PL-M-002 · MK-PL-M-008 · MK-PL-M-009 · MK-PL-M-011 · MK-PL-M-029 · MK-PL-M-034 · MK-XS-M-001 · MK-XS-M-002 · MK-XS-M-003 · MK-XS-M-004 · MK-XS-M-005 · MK-XS-M-006</t>
        </is>
      </c>
      <c r="E3"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MK-CF-M-071, MK-CF-M-072, MK-CF-M-073, MK-CF-M-074, MK-CF-M-075, MK-MN-M-006, MK-MN-M-007, MK-MN-M-011, MK-MN-M-012, MK-MN-M-013, MK-MN-M-016, MK-MN-M-024, MK-MN-M-025, MK-MN-M-027, MK-MN-M-028, MK-MN-M-030, MK-NW-M-001, MK-NW-M-002, MK-NW-M-003, MK-NW-M-004, MK-NW-M-005, MK-NW-M-006, MK-NW-M-007, MK-NW-M-008, MK-NW-M-009, MK-NW-M-011, MK-NW-M-012, MK-NW-M-014, MK-NW-M-015, MK-NW-M-016, MK-NW-M-017, MK-NW-M-019, MK-NW-M-020, MK-NW-M-021, MK-NW-M-023, MK-NW-M-024, MK-NW-M-025, MK-NW-M-026, MK-NW-M-027, MK-NW-M-038, MK-NW-M-039, MK-NW-M-040, MK-NW-M-041, MK-NW-M-042, MK-NW-M-043, MK-NW-M-044, MK-NW-M-045, MK-NW-M-046, MK-NW-M-047, MK-NW-M-048, MK-NW-M-049, MK-NW-M-050, MK-NW-M-051, MK-NW-M-052, MK-NW-M-053, MK-NW-M-054, MK-NW-M-055, MK-NW-M-056, MK-NW-M-057, MK-NW-M-058, MK-NW-M-062, MK-NW-M-063, MK-PF-M-002, MK-PF-M-003, MK-PF-M-005, MK-PF-M-006, MK-PF-M-007, MK-PF-M-008, MK-PF-M-013, MK-PF-M-014, MK-PF-M-015, MK-PF-M-016, MK-PF-M-017, MK-PF-M-018, MK-PF-M-019, MK-PF-M-020, MK-PL-M-001, MK-PL-M-002, MK-PL-M-008, MK-PL-M-009, MK-PL-M-011, MK-PL-M-029, MK-PL-M-034, MK-XS-M-001, MK-XS-M-002, MK-XS-M-003, MK-XS-M-004, MK-XS-M-005, MK-XS-M-006</t>
        </is>
      </c>
    </row>
    <row r="4" ht="60" customHeight="1">
      <c r="A4" s="3" t="inlineStr">
        <is>
          <t>MK-XS-I-003</t>
        </is>
      </c>
      <c r="B4" s="3" t="inlineStr">
        <is>
          <t>institution name</t>
        </is>
      </c>
      <c r="C4" s="3" t="inlineStr">
        <is>
          <t>MK-NW-M-008</t>
        </is>
      </c>
      <c r="D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MK-NW-M-050 · MK-NW-M-051 · MK-NW-M-052 · MK-NW-M-053 · MK-NW-M-054 · MK-NW-M-055 · MK-NW-M-056 · MK-NW-M-057 · MK-NW-M-058 · MK-NW-M-063 · MK-PF-M-002 · MK-PF-M-003 · MK-PF-M-005 · MK-PF-M-006 · MK-PF-M-007 · MK-PF-M-008 · MK-PF-M-013 · MK-PF-M-014 · MK-PF-M-015 · MK-PF-M-016 · MK-PF-M-017 · MK-PF-M-018 · MK-PF-M-019 · MK-PF-M-020 · MK-XS-M-001 · MK-XS-M-003 · MK-XS-M-004 · MK-XS-M-005 · MK-XS-M-006</t>
        </is>
      </c>
      <c r="E4"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MK-NW-M-009, MK-NW-M-011, MK-NW-M-012, MK-NW-M-015, MK-NW-M-016, MK-NW-M-017, MK-NW-M-023, MK-NW-M-024, MK-NW-M-025, MK-NW-M-026, MK-NW-M-027, MK-NW-M-041, MK-NW-M-042, MK-NW-M-043, MK-NW-M-044, MK-NW-M-045, MK-NW-M-046, MK-NW-M-047, MK-NW-M-048, MK-NW-M-049, MK-NW-M-050, MK-NW-M-051, MK-NW-M-052, MK-NW-M-053, MK-NW-M-054, MK-NW-M-055, MK-NW-M-056, MK-NW-M-057, MK-NW-M-058, MK-NW-M-063, MK-PF-M-002, MK-PF-M-003, MK-PF-M-005, MK-PF-M-006, MK-PF-M-007, MK-PF-M-008, MK-PF-M-013, MK-PF-M-014, MK-PF-M-015, MK-PF-M-016, MK-PF-M-017, MK-PF-M-018, MK-PF-M-019, MK-PF-M-020, MK-XS-M-001, MK-XS-M-003, MK-XS-M-004, MK-XS-M-005, MK-XS-M-006</t>
        </is>
      </c>
    </row>
    <row r="5" ht="60" customHeight="1">
      <c r="A5" s="3" t="inlineStr">
        <is>
          <t>MK-XS-I-004</t>
        </is>
      </c>
      <c r="B5" s="3" t="inlineStr">
        <is>
          <t>holding quantity (shares)</t>
        </is>
      </c>
      <c r="C5" s="3" t="inlineStr">
        <is>
          <t>MK-NW-M-040</t>
        </is>
      </c>
      <c r="D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E5"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MK-NW-M-014, MK-NW-M-015, MK-NW-M-016, MK-NW-M-017, MK-NW-M-019, MK-NW-M-020, MK-NW-M-021, MK-NW-M-023, MK-NW-M-024, MK-NW-M-025, MK-NW-M-026, MK-NW-M-027, MK-NW-M-029, MK-NW-M-030, MK-NW-M-031, MK-NW-M-032, MK-NW-M-033, MK-NW-M-034, MK-NW-M-035, MK-NW-M-036, MK-NW-M-037, MK-NW-M-038, MK-NW-M-039, MK-NW-M-041, MK-NW-M-042, MK-NW-M-043, MK-NW-M-044, MK-NW-M-045, MK-NW-M-046, MK-NW-M-047, MK-NW-M-048, MK-NW-M-049, MK-NW-M-050, MK-NW-M-051, MK-NW-M-052, MK-NW-M-053, MK-NW-M-054, MK-NW-M-055, MK-NW-M-056, MK-NW-M-057, MK-NW-M-058, MK-NW-M-059, MK-NW-M-060, MK-NW-M-061, MK-NW-M-062, MK-NW-M-063, MK-PF-M-001, MK-PF-M-002, MK-PF-M-003, MK-PF-M-004, MK-PF-M-005, MK-PF-M-006, MK-PF-M-007, MK-PF-M-008, MK-PF-M-013, MK-PF-M-014, MK-PF-M-015, MK-PF-M-016, MK-PF-M-017, MK-PF-M-018, MK-PF-M-019, MK-PF-M-020, MK-PL-M-001, MK-PL-M-002, MK-PL-M-008, MK-PL-M-009, MK-PL-M-011, MK-PL-M-029, MK-PL-M-034, MK-XS-M-001, MK-XS-M-002, MK-XS-M-003, MK-XS-M-004, MK-XS-M-005, MK-XS-M-006</t>
        </is>
      </c>
    </row>
    <row r="6" ht="60" customHeight="1">
      <c r="A6" s="3" t="inlineStr">
        <is>
          <t>MK-XS-I-005</t>
        </is>
      </c>
      <c r="B6" s="3" t="inlineStr">
        <is>
          <t>holding price</t>
        </is>
      </c>
      <c r="C6" s="3" t="inlineStr">
        <is>
          <t>MK-CF-M-009 · MK-NW-M-040</t>
        </is>
      </c>
      <c r="D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MK-NW-M-029 · MK-NW-M-030 · MK-NW-M-031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MK-PF-M-010 · MK-PF-M-011 · MK-PF-M-012 · MK-PF-M-013 · MK-PF-M-014 · MK-PF-M-015 · MK-PF-M-016 · MK-PF-M-017 · MK-PF-M-018 · MK-PF-M-019 · MK-PF-M-020 · MK-PL-M-001 · MK-PL-M-002 · MK-PL-M-008 · MK-PL-M-009 · MK-PL-M-011 · MK-PL-M-029 · MK-PL-M-034 · MK-XS-M-001 · MK-XS-M-002 · MK-XS-M-003 · MK-XS-M-004 · MK-XS-M-005 · MK-XS-M-006</t>
        </is>
      </c>
      <c r="E6" s="3" t="inlineStr">
        <is>
          <t>PARTLY AGREES — reached but not declared: MK-CF-M-001, MK-CF-M-002, MK-CF-M-003, MK-CF-M-006, MK-CF-M-007, MK-CF-M-008,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MK-MN-M-030, MK-NW-M-001, MK-NW-M-002, MK-NW-M-003, MK-NW-M-004, MK-NW-M-005, MK-NW-M-006, MK-NW-M-007, MK-NW-M-008, MK-NW-M-009, MK-NW-M-011, MK-NW-M-012, MK-NW-M-014, MK-NW-M-015, MK-NW-M-016, MK-NW-M-017, MK-NW-M-019, MK-NW-M-020, MK-NW-M-021, MK-NW-M-023, MK-NW-M-024, MK-NW-M-025, MK-NW-M-026, MK-NW-M-027, MK-NW-M-029, MK-NW-M-030, MK-NW-M-031, MK-NW-M-033, MK-NW-M-034, MK-NW-M-035, MK-NW-M-036, MK-NW-M-037, MK-NW-M-038, MK-NW-M-039, MK-NW-M-041, MK-NW-M-042, MK-NW-M-043, MK-NW-M-044, MK-NW-M-045, MK-NW-M-046, MK-NW-M-047, MK-NW-M-048, MK-NW-M-049, MK-NW-M-050, MK-NW-M-051, MK-NW-M-052, MK-NW-M-053, MK-NW-M-054, MK-NW-M-055, MK-NW-M-056, MK-NW-M-057, MK-NW-M-058, MK-NW-M-059, MK-NW-M-060, MK-NW-M-061, MK-NW-M-062, MK-NW-M-063, MK-PF-M-001, MK-PF-M-002, MK-PF-M-003, MK-PF-M-004, MK-PF-M-005, MK-PF-M-006, MK-PF-M-007, MK-PF-M-008, MK-PF-M-010, MK-PF-M-011, MK-PF-M-012, MK-PF-M-013, MK-PF-M-014, MK-PF-M-015, MK-PF-M-016, MK-PF-M-017, MK-PF-M-018, MK-PF-M-019, MK-PF-M-020, MK-PL-M-001, MK-PL-M-002, MK-PL-M-008, MK-PL-M-009, MK-PL-M-011, MK-PL-M-029, MK-PL-M-034, MK-XS-M-001, MK-XS-M-002, MK-XS-M-003, MK-XS-M-004, MK-XS-M-005, MK-XS-M-006</t>
        </is>
      </c>
    </row>
    <row r="7" ht="60" customHeight="1">
      <c r="A7" s="3" t="inlineStr">
        <is>
          <t>MK-XS-I-006</t>
        </is>
      </c>
      <c r="B7" s="3" t="inlineStr">
        <is>
          <t>price fetched at</t>
        </is>
      </c>
      <c r="C7" s="3" t="inlineStr">
        <is>
          <t>MK-HM-M-001 · MK-NW-M-060 · MK-PF-M-006 · MK-PF-M-008 · MK-XS-M-004</t>
        </is>
      </c>
      <c r="D7" s="3" t="inlineStr">
        <is>
          <t>MK-HM-M-001 · MK-MN-M-016 · MK-NW-M-001 · MK-NW-M-002 · MK-NW-M-003 · MK-NW-M-004 · MK-NW-M-005 · MK-NW-M-006 · MK-NW-M-007 · MK-NW-M-008 · MK-NW-M-009 · MK-NW-M-011 · MK-NW-M-015 · MK-NW-M-016 · MK-NW-M-017 · MK-NW-M-049 · MK-NW-M-063 · MK-XS-M-001 · MK-XS-M-003</t>
        </is>
      </c>
      <c r="E7" s="3" t="inlineStr">
        <is>
          <t>PARTLY AGREES — declared but not reached: MK-NW-M-060, MK-PF-M-006, MK-PF-M-008, MK-XS-M-004  |  reached but not declared: MK-MN-M-016, MK-NW-M-001, MK-NW-M-002, MK-NW-M-003, MK-NW-M-004, MK-NW-M-005, MK-NW-M-006, MK-NW-M-007, MK-NW-M-008, MK-NW-M-009, MK-NW-M-011, MK-NW-M-015, MK-NW-M-016, MK-NW-M-017, MK-NW-M-049, MK-NW-M-063, MK-XS-M-001, MK-XS-M-003</t>
        </is>
      </c>
    </row>
    <row r="8" ht="60" customHeight="1">
      <c r="A8" s="3" t="inlineStr">
        <is>
          <t>MK-XS-I-007</t>
        </is>
      </c>
      <c r="B8" s="3" t="inlineStr">
        <is>
          <t>purchase price and date (per lot)</t>
        </is>
      </c>
      <c r="C8" s="3" t="inlineStr">
        <is>
          <t>—</t>
        </is>
      </c>
      <c r="D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E8" s="3" t="inlineStr">
        <is>
          <t>REACHED BUT NOT DECLARED — functions reading this input serve these figures, but no figure lists it among its inputs.</t>
        </is>
      </c>
    </row>
    <row r="9" ht="60" customHeight="1">
      <c r="A9" s="3" t="inlineStr">
        <is>
          <t>MK-XS-I-008</t>
        </is>
      </c>
      <c r="B9" s="3" t="inlineStr">
        <is>
          <t>transaction amount</t>
        </is>
      </c>
      <c r="C9" s="3" t="inlineStr">
        <is>
          <t>MK-PL-M-017 · MK-PL-M-018 · MK-PL-M-019 · MK-PL-M-032</t>
        </is>
      </c>
      <c r="D9" s="3" t="inlineStr">
        <is>
          <t>MK-MN-M-016 · MK-NW-M-001 · MK-NW-M-002 · MK-NW-M-003 · MK-NW-M-004 · MK-NW-M-005 · MK-NW-M-006 · MK-NW-M-007 · MK-NW-M-008 · MK-NW-M-009 · MK-NW-M-011 · MK-NW-M-015 · MK-NW-M-016 · MK-NW-M-017 · MK-NW-M-019 · MK-NW-M-020 · MK-NW-M-021 · MK-NW-M-038 · MK-NW-M-039 · MK-NW-M-040 · MK-NW-M-049 · MK-NW-M-062 · MK-NW-M-063 · MK-PF-M-002 · MK-PF-M-003 · MK-PF-M-005 · MK-PF-M-006 · MK-PF-M-007 · MK-PF-M-008 · MK-PF-M-013 · MK-PF-M-014 · MK-PF-M-015 · MK-PF-M-016 · MK-PF-M-017 · MK-PF-M-018 · MK-PF-M-019 · MK-PF-M-020 · MK-XS-M-001 · MK-XS-M-003 · MK-XS-M-004</t>
        </is>
      </c>
      <c r="E9" s="3" t="inlineStr">
        <is>
          <t>PARTLY AGREES — declared but not reached: MK-PL-M-017, MK-PL-M-018, MK-PL-M-019, MK-PL-M-032  |  reached but not declared: MK-MN-M-016, MK-NW-M-001, MK-NW-M-002, MK-NW-M-003, MK-NW-M-004, MK-NW-M-005, MK-NW-M-006, MK-NW-M-007, MK-NW-M-008, MK-NW-M-009, MK-NW-M-011, MK-NW-M-015, MK-NW-M-016, MK-NW-M-017, MK-NW-M-019, MK-NW-M-020, MK-NW-M-021, MK-NW-M-038, MK-NW-M-039, MK-NW-M-040, MK-NW-M-049, MK-NW-M-062, MK-NW-M-063, MK-PF-M-002, MK-PF-M-003, MK-PF-M-005, MK-PF-M-006, MK-PF-M-007, MK-PF-M-008, MK-PF-M-013, MK-PF-M-014, MK-PF-M-015, MK-PF-M-016, MK-PF-M-017, MK-PF-M-018, MK-PF-M-019, MK-PF-M-020, MK-XS-M-001, MK-XS-M-003, MK-XS-M-004</t>
        </is>
      </c>
    </row>
    <row r="10" ht="60" customHeight="1">
      <c r="A10" s="3" t="inlineStr">
        <is>
          <t>MK-XS-I-009</t>
        </is>
      </c>
      <c r="B10" s="3" t="inlineStr">
        <is>
          <t>transaction date</t>
        </is>
      </c>
      <c r="C10" s="3" t="inlineStr">
        <is>
          <t>—</t>
        </is>
      </c>
      <c r="D10" s="3" t="inlineStr">
        <is>
          <t>MK-MN-M-016 · MK-NW-M-001 · MK-NW-M-002 · MK-NW-M-003 · MK-NW-M-004 · MK-NW-M-005 · MK-NW-M-006 · MK-NW-M-007 · MK-NW-M-008 · MK-NW-M-009 · MK-NW-M-011 · MK-NW-M-015 · MK-NW-M-016 · MK-NW-M-017 · MK-NW-M-019 · MK-NW-M-020 · MK-NW-M-021 · MK-NW-M-029 · MK-NW-M-030 · MK-NW-M-031 · MK-NW-M-033 · MK-NW-M-034 · MK-NW-M-035 · MK-NW-M-036 · MK-NW-M-037 · MK-NW-M-038 · MK-NW-M-039 · MK-NW-M-040 · MK-NW-M-049 · MK-NW-M-059 · MK-NW-M-060 · MK-NW-M-061 · MK-NW-M-062 · MK-NW-M-063 · MK-PF-M-002 · MK-PF-M-003 · MK-PF-M-005 · MK-PF-M-006 · MK-PF-M-007 · MK-PF-M-008 · MK-PF-M-013 · MK-PF-M-014 · MK-PF-M-015 · MK-PF-M-016 · MK-PF-M-017 · MK-PF-M-018 · MK-PF-M-019 · MK-PF-M-020 · MK-XS-M-001 · MK-XS-M-003 · MK-XS-M-004</t>
        </is>
      </c>
      <c r="E10" s="3" t="inlineStr">
        <is>
          <t>REACHED BUT NOT DECLARED — functions reading this input serve these figures, but no figure lists it among its inputs.</t>
        </is>
      </c>
    </row>
    <row r="11" ht="60" customHeight="1">
      <c r="A11" s="3" t="inlineStr">
        <is>
          <t>MK-XS-I-010</t>
        </is>
      </c>
      <c r="B11" s="3" t="inlineStr">
        <is>
          <t>transaction words (the institution's own wording)</t>
        </is>
      </c>
      <c r="C11" s="3" t="inlineStr">
        <is>
          <t>—</t>
        </is>
      </c>
      <c r="D11" s="3" t="inlineStr">
        <is>
          <t>MK-MN-M-016 · MK-NW-M-001 · MK-NW-M-002 · MK-NW-M-003 · MK-NW-M-004 · MK-NW-M-005 · MK-NW-M-006 · MK-NW-M-007 · MK-NW-M-008 · MK-NW-M-009 · MK-NW-M-011 · MK-NW-M-014 · MK-NW-M-015 · MK-NW-M-016 · MK-NW-M-017 · MK-NW-M-019 · MK-NW-M-020 · MK-NW-M-021 · MK-NW-M-038 · MK-NW-M-039 · MK-NW-M-040 · MK-NW-M-046 · MK-NW-M-047 · MK-NW-M-048 · MK-NW-M-049 · MK-NW-M-062 · MK-NW-M-063 · MK-PF-M-002 · MK-PF-M-003 · MK-PF-M-005 · MK-PF-M-006 · MK-PF-M-007 · MK-PF-M-008 · MK-PF-M-013 · MK-PF-M-014 · MK-PF-M-015 · MK-PF-M-016 · MK-PF-M-017 · MK-PF-M-018 · MK-PF-M-019 · MK-PF-M-020 · MK-XS-M-001 · MK-XS-M-003 · MK-XS-M-004</t>
        </is>
      </c>
      <c r="E11" s="3" t="inlineStr">
        <is>
          <t>REACHED BUT NOT DECLARED — functions reading this input serve these figures, but no figure lists it among its inputs.</t>
        </is>
      </c>
    </row>
    <row r="12" ht="60" customHeight="1">
      <c r="A12" s="3" t="inlineStr">
        <is>
          <t>MK-XS-I-011</t>
        </is>
      </c>
      <c r="B12" s="3" t="inlineStr">
        <is>
          <t>bond face value</t>
        </is>
      </c>
      <c r="C12" s="3" t="inlineStr">
        <is>
          <t>—</t>
        </is>
      </c>
      <c r="D1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E12" s="3" t="inlineStr">
        <is>
          <t>REACHED BUT NOT DECLARED — functions reading this input serve these figures, but no figure lists it among its inputs.</t>
        </is>
      </c>
    </row>
    <row r="13" ht="60" customHeight="1">
      <c r="A13" s="3" t="inlineStr">
        <is>
          <t>MK-XS-I-012</t>
        </is>
      </c>
      <c r="B13" s="3" t="inlineStr">
        <is>
          <t>bond coupon rate</t>
        </is>
      </c>
      <c r="C13" s="3" t="inlineStr">
        <is>
          <t>—</t>
        </is>
      </c>
      <c r="D1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E13" s="3" t="inlineStr">
        <is>
          <t>REACHED BUT NOT DECLARED — functions reading this input serve these figures, but no figure lists it among its inputs.</t>
        </is>
      </c>
    </row>
    <row r="14" ht="60" customHeight="1">
      <c r="A14" s="3" t="inlineStr">
        <is>
          <t>MK-XS-I-013</t>
        </is>
      </c>
      <c r="B14" s="3" t="inlineStr">
        <is>
          <t>bond maturity date</t>
        </is>
      </c>
      <c r="C14" s="3" t="inlineStr">
        <is>
          <t>—</t>
        </is>
      </c>
      <c r="D1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MK-NW-M-028 · MK-NW-M-038 · MK-NW-M-039 · MK-NW-M-040 · MK-NW-M-041 · MK-NW-M-042 · MK-NW-M-043 · MK-NW-M-044 · MK-NW-M-045 · MK-NW-M-046 · MK-NW-M-047 · MK-NW-M-048 · MK-NW-M-049 · MK-NW-M-050 · MK-NW-M-051 · MK-NW-M-052 · MK-NW-M-053 · MK-NW-M-054 · MK-NW-M-055 · MK-NW-M-056 · MK-NW-M-057 · MK-NW-M-058 · MK-NW-M-062 · MK-NW-M-063 · MK-PF-M-002 · MK-PF-M-003 · MK-PF-M-005 · MK-PF-M-006 · MK-PF-M-007 · MK-PF-M-008 · MK-PF-M-013 · MK-PF-M-014 · MK-PF-M-015 · MK-PF-M-016 · MK-PF-M-017 · MK-PF-M-018 · MK-PF-M-019 · MK-PF-M-020 · MK-PL-M-001 · MK-PL-M-002 · MK-PL-M-008 · MK-PL-M-009 · MK-PL-M-011 · MK-PL-M-029 · MK-PL-M-034 · MK-XS-M-001 · MK-XS-M-002 · MK-XS-M-003 · MK-XS-M-004 · MK-XS-M-005 · MK-XS-M-006</t>
        </is>
      </c>
      <c r="E14" s="3" t="inlineStr">
        <is>
          <t>REACHED BUT NOT DECLARED — functions reading this input serve these figures, but no figure lists it among its inputs.</t>
        </is>
      </c>
    </row>
    <row r="15" ht="60" customHeight="1">
      <c r="A15" s="3" t="inlineStr">
        <is>
          <t>MK-XS-I-014</t>
        </is>
      </c>
      <c r="B15" s="3" t="inlineStr">
        <is>
          <t>debt balance</t>
        </is>
      </c>
      <c r="C15" s="3" t="inlineStr">
        <is>
          <t>MK-CF-M-057 · MK-CF-M-058 · MK-CF-M-059 · MK-CF-M-074 · MK-CF-M-075 · MK-NW-M-016</t>
        </is>
      </c>
      <c r="D1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MK-PL-M-031 · MK-XS-M-001 · MK-XS-M-003 · MK-XS-M-005 · MK-XS-M-006</t>
        </is>
      </c>
      <c r="E15"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MK-CF-M-060, MK-CF-M-061, MK-CF-M-062, MK-CF-M-063, MK-CF-M-065, MK-CF-M-066, MK-CF-M-069, MK-CF-M-070, MK-CF-M-071, MK-CF-M-072, MK-CF-M-073, MK-MN-M-006, MK-MN-M-007, MK-MN-M-011, MK-MN-M-012, MK-MN-M-013, MK-MN-M-016, MK-MN-M-024, MK-MN-M-025, MK-MN-M-030, MK-NW-M-001, MK-NW-M-002, MK-NW-M-003, MK-NW-M-004, MK-NW-M-005, MK-NW-M-006, MK-NW-M-007, MK-NW-M-008, MK-NW-M-009, MK-NW-M-011, MK-NW-M-012, MK-NW-M-015, MK-NW-M-017, MK-NW-M-046, MK-NW-M-047, MK-NW-M-048, MK-NW-M-049, MK-NW-M-063, MK-PL-M-031, MK-XS-M-001, MK-XS-M-003, MK-XS-M-005, MK-XS-M-006</t>
        </is>
      </c>
    </row>
    <row r="16" ht="60" customHeight="1">
      <c r="A16" s="3" t="inlineStr">
        <is>
          <t>MK-XS-I-015</t>
        </is>
      </c>
      <c r="B16" s="3" t="inlineStr">
        <is>
          <t>debt interest rate</t>
        </is>
      </c>
      <c r="C16" s="3" t="inlineStr">
        <is>
          <t>MK-CF-M-057 · MK-CF-M-058 · MK-CF-M-059</t>
        </is>
      </c>
      <c r="D1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MK-PL-M-031 · MK-XS-M-001 · MK-XS-M-003 · MK-XS-M-005 · MK-XS-M-006</t>
        </is>
      </c>
      <c r="E16"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MK-CF-M-060, MK-CF-M-061, MK-CF-M-062, MK-CF-M-063, MK-CF-M-065, MK-CF-M-066, MK-CF-M-069, MK-CF-M-070, MK-CF-M-071, MK-CF-M-072, MK-CF-M-073, MK-CF-M-074, MK-CF-M-075, MK-MN-M-006, MK-MN-M-007, MK-MN-M-011, MK-MN-M-012, MK-MN-M-013, MK-MN-M-016, MK-MN-M-024, MK-MN-M-025, MK-MN-M-030, MK-NW-M-001, MK-NW-M-002, MK-NW-M-003, MK-NW-M-004, MK-NW-M-005, MK-NW-M-006, MK-NW-M-007, MK-NW-M-008, MK-NW-M-009, MK-NW-M-011, MK-NW-M-012, MK-NW-M-015, MK-NW-M-016, MK-NW-M-017, MK-NW-M-046, MK-NW-M-047, MK-NW-M-048, MK-NW-M-049, MK-NW-M-063, MK-PL-M-031, MK-XS-M-001, MK-XS-M-003, MK-XS-M-005, MK-XS-M-006</t>
        </is>
      </c>
    </row>
    <row r="17" ht="60" customHeight="1">
      <c r="A17" s="3" t="inlineStr">
        <is>
          <t>MK-XS-I-016</t>
        </is>
      </c>
      <c r="B17" s="3" t="inlineStr">
        <is>
          <t>debt minimum payment</t>
        </is>
      </c>
      <c r="C17" s="3" t="inlineStr">
        <is>
          <t>MK-CF-M-058 · MK-CF-M-059 · MK-CF-M-071 · MK-CF-M-072 · MK-CF-M-073</t>
        </is>
      </c>
      <c r="D17"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MK-PL-M-031 · MK-PL-M-033 · MK-PL-M-034 · MK-XS-M-001 · MK-XS-M-002 · MK-XS-M-003 · MK-XS-M-005 · MK-XS-M-006</t>
        </is>
      </c>
      <c r="E17"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MK-CF-M-060, MK-CF-M-061, MK-CF-M-062, MK-CF-M-063, MK-CF-M-065, MK-CF-M-066, MK-CF-M-069, MK-CF-M-070, MK-CF-M-074, MK-CF-M-075, MK-MN-M-006, MK-MN-M-007, MK-MN-M-011, MK-MN-M-012, MK-MN-M-013, MK-MN-M-016, MK-MN-M-024, MK-MN-M-025, MK-MN-M-026, MK-MN-M-027, MK-MN-M-028, MK-MN-M-030, MK-NW-M-001, MK-NW-M-002, MK-NW-M-003, MK-NW-M-004, MK-NW-M-005, MK-NW-M-006, MK-NW-M-007, MK-NW-M-008, MK-NW-M-009, MK-NW-M-011, MK-NW-M-012, MK-NW-M-013, MK-NW-M-014, MK-NW-M-015, MK-NW-M-016, MK-NW-M-017, MK-NW-M-046, MK-NW-M-047, MK-NW-M-048, MK-NW-M-049, MK-NW-M-063, MK-PL-M-008, MK-PL-M-009, MK-PL-M-011, MK-PL-M-026, MK-PL-M-029, MK-PL-M-031, MK-PL-M-033, MK-PL-M-034, MK-XS-M-001, MK-XS-M-002, MK-XS-M-003, MK-XS-M-005, MK-XS-M-006</t>
        </is>
      </c>
    </row>
    <row r="18" ht="60" customHeight="1">
      <c r="A18" s="3" t="inlineStr">
        <is>
          <t>MK-XS-I-017</t>
        </is>
      </c>
      <c r="B18" s="3" t="inlineStr">
        <is>
          <t>birth year</t>
        </is>
      </c>
      <c r="C18" s="3" t="inlineStr">
        <is>
          <t>MK-CF-M-022 · MK-PL-M-001 · MK-PL-M-002 · MK-PL-M-008 · MK-PL-M-011 · MK-PL-M-017 · MK-PL-M-019 · MK-PL-M-029</t>
        </is>
      </c>
      <c r="D1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MK-PL-M-001 · MK-PL-M-002 · MK-PL-M-008 · MK-PL-M-011 · MK-PL-M-017 · MK-PL-M-019 · MK-PL-M-026 · MK-PL-M-029 · MK-PL-M-033 · MK-PL-M-034 · MK-XS-M-001 · MK-XS-M-002 · MK-XS-M-003 · MK-XS-M-005 · MK-XS-M-006</t>
        </is>
      </c>
      <c r="E18" s="3" t="inlineStr">
        <is>
          <t>PARTLY AGREES — reached but not declared: MK-CF-M-001, MK-CF-M-002, MK-CF-M-003, MK-CF-M-006, MK-CF-M-007, MK-CF-M-008, MK-CF-M-009, MK-CF-M-010, MK-CF-M-011, MK-CF-M-012, MK-CF-M-013, MK-CF-M-014, MK-CF-M-015, MK-CF-M-016, MK-CF-M-020, MK-CF-M-021,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MK-PL-M-026, MK-PL-M-033, MK-PL-M-034, MK-XS-M-001, MK-XS-M-002, MK-XS-M-003, MK-XS-M-005, MK-XS-M-006</t>
        </is>
      </c>
    </row>
    <row r="19" ht="60" customHeight="1">
      <c r="A19" s="3" t="inlineStr">
        <is>
          <t>MK-XS-I-018</t>
        </is>
      </c>
      <c r="B19" s="3" t="inlineStr">
        <is>
          <t>retirement age</t>
        </is>
      </c>
      <c r="C19" s="3" t="inlineStr">
        <is>
          <t>MK-CF-M-022 · MK-CF-M-055 · MK-PL-M-017 · MK-PL-M-019</t>
        </is>
      </c>
      <c r="D19" s="3" t="inlineStr">
        <is>
          <t>MK-CF-M-022 · MK-CF-M-055 · MK-CF-M-070 · MK-MN-M-016 · MK-NW-M-001 · MK-NW-M-002 · MK-NW-M-003 · MK-NW-M-004 · MK-NW-M-005 · MK-NW-M-006 · MK-NW-M-007 · MK-NW-M-008 · MK-NW-M-009 · MK-NW-M-011 · MK-NW-M-015 · MK-NW-M-016 · MK-NW-M-017 · MK-NW-M-049 · MK-NW-M-063 · MK-PL-M-008 · MK-PL-M-009 · MK-PL-M-011 · MK-PL-M-026 · MK-PL-M-029 · MK-PL-M-033 · MK-PL-M-034 · MK-XS-M-001 · MK-XS-M-002 · MK-XS-M-003</t>
        </is>
      </c>
      <c r="E19" s="3" t="inlineStr">
        <is>
          <t>PARTLY AGREES — declared but not reached: MK-PL-M-017, MK-PL-M-019  |  reached but not declared: MK-CF-M-070, MK-MN-M-016, MK-NW-M-001, MK-NW-M-002, MK-NW-M-003, MK-NW-M-004, MK-NW-M-005, MK-NW-M-006, MK-NW-M-007, MK-NW-M-008, MK-NW-M-009, MK-NW-M-011, MK-NW-M-015, MK-NW-M-016, MK-NW-M-017, MK-NW-M-049, MK-NW-M-063, MK-PL-M-008, MK-PL-M-009, MK-PL-M-011, MK-PL-M-026, MK-PL-M-029, MK-PL-M-033, MK-PL-M-034, MK-XS-M-001, MK-XS-M-002, MK-XS-M-003</t>
        </is>
      </c>
    </row>
    <row r="20" ht="45" customHeight="1">
      <c r="A20" s="3" t="inlineStr">
        <is>
          <t>MK-XS-I-019</t>
        </is>
      </c>
      <c r="B20" s="3" t="inlineStr">
        <is>
          <t>monthly expenses in retirement</t>
        </is>
      </c>
      <c r="C20" s="3" t="inlineStr">
        <is>
          <t>—</t>
        </is>
      </c>
      <c r="D20" s="3" t="inlineStr">
        <is>
          <t>MK-CF-M-055 · MK-CF-M-070 · MK-PL-M-008 · MK-PL-M-009 · MK-PL-M-011 · MK-PL-M-029 · MK-PL-M-034 · MK-XS-M-002</t>
        </is>
      </c>
      <c r="E20" s="3" t="inlineStr">
        <is>
          <t>REACHED BUT NOT DECLARED — functions reading this input serve these figures, but no figure lists it among its inputs.</t>
        </is>
      </c>
    </row>
    <row r="21" ht="60" customHeight="1">
      <c r="A21" s="3" t="inlineStr">
        <is>
          <t>MK-XS-I-020</t>
        </is>
      </c>
      <c r="B21" s="3" t="inlineStr">
        <is>
          <t>Social Security monthly amount</t>
        </is>
      </c>
      <c r="C21" s="3" t="inlineStr">
        <is>
          <t>MK-CF-M-011 · MK-CF-M-022 · MK-CF-M-023 · MK-CF-M-024 · MK-CF-M-069 · MK-PF-M-007 · MK-PL-M-017 · MK-PL-M-019 · MK-XS-M-004</t>
        </is>
      </c>
      <c r="D21"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MK-PL-M-017 · MK-PL-M-018 · MK-PL-M-019 · MK-PL-M-029 · MK-PL-M-032 · MK-PL-M-034 · MK-XS-M-001 · MK-XS-M-002 · MK-XS-M-003 · MK-XS-M-005 · MK-XS-M-006</t>
        </is>
      </c>
      <c r="E21" s="3" t="inlineStr">
        <is>
          <t>PARTLY AGREES — declared but not reached: MK-PF-M-007, MK-XS-M-004  |  reached but not declared: MK-CF-M-001, MK-CF-M-002, MK-CF-M-003, MK-CF-M-006, MK-CF-M-007, MK-CF-M-008, MK-CF-M-009, MK-CF-M-010, MK-CF-M-012, MK-CF-M-013, MK-CF-M-014, MK-CF-M-015, MK-CF-M-016, MK-CF-M-020, MK-CF-M-021,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MK-PL-M-011, MK-PL-M-018, MK-PL-M-029, MK-PL-M-032, MK-PL-M-034, MK-XS-M-001, MK-XS-M-002, MK-XS-M-003, MK-XS-M-005, MK-XS-M-006</t>
        </is>
      </c>
    </row>
    <row r="22" ht="60" customHeight="1">
      <c r="A22" s="3" t="inlineStr">
        <is>
          <t>MK-XS-I-021</t>
        </is>
      </c>
      <c r="B22" s="3" t="inlineStr">
        <is>
          <t>Social Security claim age</t>
        </is>
      </c>
      <c r="C22" s="3" t="inlineStr">
        <is>
          <t>MK-CF-M-030 · MK-PL-M-017 · MK-PL-M-019</t>
        </is>
      </c>
      <c r="D22" s="3" t="inlineStr">
        <is>
          <t>MK-CF-M-055 · MK-CF-M-070 · MK-MN-M-016 · MK-NW-M-001 · MK-NW-M-002 · MK-NW-M-003 · MK-NW-M-004 · MK-NW-M-005 · MK-NW-M-006 · MK-NW-M-007 · MK-NW-M-008 · MK-NW-M-009 · MK-NW-M-011 · MK-NW-M-015 · MK-NW-M-016 · MK-NW-M-017 · MK-NW-M-049 · MK-NW-M-063 · MK-PL-M-008 · MK-PL-M-011 · MK-PL-M-017 · MK-PL-M-019 · MK-PL-M-029 · MK-PL-M-034 · MK-XS-M-001 · MK-XS-M-002 · MK-XS-M-003</t>
        </is>
      </c>
      <c r="E22" s="3" t="inlineStr">
        <is>
          <t>PARTLY AGREES — declared but not reached: MK-CF-M-030  |  reached but not declared: MK-CF-M-055, MK-CF-M-070, MK-MN-M-016, MK-NW-M-001, MK-NW-M-002, MK-NW-M-003, MK-NW-M-004, MK-NW-M-005, MK-NW-M-006, MK-NW-M-007, MK-NW-M-008, MK-NW-M-009, MK-NW-M-011, MK-NW-M-015, MK-NW-M-016, MK-NW-M-017, MK-NW-M-049, MK-NW-M-063, MK-PL-M-008, MK-PL-M-011, MK-PL-M-029, MK-PL-M-034, MK-XS-M-001, MK-XS-M-002, MK-XS-M-003</t>
        </is>
      </c>
    </row>
    <row r="23" ht="60" customHeight="1">
      <c r="A23" s="3" t="inlineStr">
        <is>
          <t>MK-XS-I-022</t>
        </is>
      </c>
      <c r="B23" s="3" t="inlineStr">
        <is>
          <t>pension monthly amount</t>
        </is>
      </c>
      <c r="C23" s="3" t="inlineStr">
        <is>
          <t>MK-CF-M-011 · MK-CF-M-023 · MK-CF-M-024 · MK-CF-M-069</t>
        </is>
      </c>
      <c r="D23"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MK-PL-M-029 · MK-PL-M-032 · MK-PL-M-034 · MK-XS-M-001 · MK-XS-M-002 · MK-XS-M-003 · MK-XS-M-005 · MK-XS-M-006</t>
        </is>
      </c>
      <c r="E23" s="3" t="inlineStr">
        <is>
          <t>PARTLY AGREES — reached but not declared: MK-CF-M-001, MK-CF-M-002, MK-CF-M-003, MK-CF-M-006, MK-CF-M-007, MK-CF-M-008, MK-CF-M-009, MK-CF-M-010, MK-CF-M-012, MK-CF-M-013, MK-CF-M-014, MK-CF-M-015, MK-CF-M-016, MK-CF-M-020, MK-CF-M-021, MK-CF-M-022,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MK-PL-M-009, MK-PL-M-011, MK-PL-M-018, MK-PL-M-029, MK-PL-M-032, MK-PL-M-034, MK-XS-M-001, MK-XS-M-002, MK-XS-M-003, MK-XS-M-005, MK-XS-M-006</t>
        </is>
      </c>
    </row>
    <row r="24" ht="60" customHeight="1">
      <c r="A24" s="3" t="inlineStr">
        <is>
          <t>MK-XS-I-023</t>
        </is>
      </c>
      <c r="B24" s="3" t="inlineStr">
        <is>
          <t>salary and other income</t>
        </is>
      </c>
      <c r="C24" s="3" t="inlineStr">
        <is>
          <t>MK-CF-M-002 · MK-CF-M-004 · MK-CF-M-006 · MK-CF-M-007 · MK-CF-M-020 · MK-CF-M-027 · MK-CF-M-060 · MK-CF-M-061 · MK-CF-M-065 · MK-MN-M-003 · MK-MN-M-004 · MK-MN-M-005 · MK-MN-M-027 · MK-MN-M-028 · MK-MN-M-029</t>
        </is>
      </c>
      <c r="D2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MK-MN-M-014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E24" s="3" t="inlineStr">
        <is>
          <t>PARTLY AGREES — declared but not reached: MK-CF-M-004, MK-MN-M-003, MK-MN-M-004, MK-MN-M-005, MK-MN-M-029  |  reached but not declared: MK-CF-M-001, MK-CF-M-003, MK-CF-M-008, MK-CF-M-009, MK-CF-M-010, MK-CF-M-011, MK-CF-M-012, MK-CF-M-013, MK-CF-M-014, MK-CF-M-015, MK-CF-M-016, MK-CF-M-021, MK-CF-M-022, MK-CF-M-024,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MK-CF-M-062, MK-CF-M-063, MK-CF-M-066, MK-CF-M-069, MK-CF-M-070, MK-CF-M-071, MK-CF-M-072, MK-CF-M-073, MK-CF-M-074, MK-CF-M-075, MK-MN-M-006, MK-MN-M-007, MK-MN-M-011, MK-MN-M-012, MK-MN-M-013, MK-MN-M-014, MK-MN-M-016, MK-MN-M-024, MK-MN-M-025, MK-MN-M-030, MK-NW-M-001, MK-NW-M-002, MK-NW-M-003, MK-NW-M-004, MK-NW-M-005, MK-NW-M-006, MK-NW-M-007, MK-NW-M-008, MK-NW-M-009, MK-NW-M-011, MK-NW-M-012, MK-NW-M-015, MK-NW-M-016, MK-NW-M-017, MK-NW-M-046, MK-NW-M-047, MK-NW-M-048, MK-NW-M-049, MK-NW-M-063, MK-PL-M-008, MK-PL-M-011, MK-PL-M-029, MK-PL-M-034, MK-XS-M-001, MK-XS-M-002, MK-XS-M-003, MK-XS-M-005, MK-XS-M-006</t>
        </is>
      </c>
    </row>
    <row r="25" ht="60" customHeight="1">
      <c r="A25" s="3" t="inlineStr">
        <is>
          <t>MK-XS-I-024</t>
        </is>
      </c>
      <c r="B25" s="3" t="inlineStr">
        <is>
          <t>logged expenses</t>
        </is>
      </c>
      <c r="C25" s="3" t="inlineStr">
        <is>
          <t>MK-CF-M-032 · MK-CF-M-033 · MK-CF-M-043 · MK-CF-M-044 · MK-MN-M-007 · MK-PL-M-001 · MK-PL-M-002 · MK-PL-M-008 · MK-PL-M-009 · MK-PL-M-011 · MK-PL-M-029</t>
        </is>
      </c>
      <c r="D2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MK-MN-M-020 · MK-MN-M-021 · MK-MN-M-024 · MK-MN-M-025 · MK-MN-M-026 · MK-MN-M-027 · MK-MN-M-028 · MK-MN-M-030 · MK-NW-M-001 · MK-NW-M-002 · MK-NW-M-003 · MK-NW-M-004 · MK-NW-M-005 · MK-NW-M-006 · MK-NW-M-007 · MK-NW-M-008 · MK-NW-M-009 · MK-NW-M-011 · MK-NW-M-012 · MK-NW-M-013 · MK-NW-M-014 · MK-NW-M-015 · MK-NW-M-016 · MK-NW-M-017 · MK-NW-M-019 · MK-NW-M-020 · MK-NW-M-021 · MK-NW-M-029 · MK-NW-M-030 · MK-NW-M-031 · MK-NW-M-033 · MK-NW-M-034 · MK-NW-M-035 · MK-NW-M-036 · MK-NW-M-037 · MK-NW-M-038 · MK-NW-M-039 · MK-NW-M-040 · MK-NW-M-046 · MK-NW-M-047 · MK-NW-M-048 · MK-NW-M-049 · MK-NW-M-059 · MK-NW-M-060 · MK-NW-M-061 · MK-NW-M-062 · MK-NW-M-063 · MK-PF-M-002 · MK-PF-M-003 · MK-PF-M-005 · MK-PF-M-006 · MK-PF-M-007 · MK-PF-M-008 · MK-PF-M-013 · MK-PF-M-014 · MK-PF-M-015 · MK-PF-M-016 · MK-PF-M-017 · MK-PF-M-018 · MK-PF-M-019 · MK-PF-M-020 · MK-PL-M-008 · MK-PL-M-009 · MK-PL-M-011 · MK-PL-M-026 · MK-PL-M-029 · MK-PL-M-033 · MK-PL-M-034 · MK-XS-M-001 · MK-XS-M-002 · MK-XS-M-003 · MK-XS-M-004 · MK-XS-M-005 · MK-XS-M-006</t>
        </is>
      </c>
      <c r="E25" s="3" t="inlineStr">
        <is>
          <t>PARTLY AGREES — declared but not reached: MK-PL-M-001, MK-PL-M-002  |  reached but not declared: MK-CF-M-001, MK-CF-M-002, MK-CF-M-003, MK-CF-M-006, MK-CF-M-007, MK-CF-M-008, MK-CF-M-009, MK-CF-M-010, MK-CF-M-011, MK-CF-M-012, MK-CF-M-013, MK-CF-M-014, MK-CF-M-015, MK-CF-M-016, MK-CF-M-020, MK-CF-M-021, MK-CF-M-022, MK-CF-M-024, MK-CF-M-027, MK-CF-M-028, MK-CF-M-030, MK-CF-M-031, MK-CF-M-034, MK-CF-M-035, MK-CF-M-036, MK-CF-M-037, MK-CF-M-038, MK-CF-M-039, MK-CF-M-040, MK-CF-M-041, MK-CF-M-042, MK-CF-M-045, MK-CF-M-046, MK-CF-M-047, MK-CF-M-048, MK-CF-M-049, MK-CF-M-050, MK-CF-M-051, MK-CF-M-052, MK-CF-M-053, MK-CF-M-054, MK-CF-M-055, MK-CF-M-056, MK-CF-M-057, MK-CF-M-058, MK-CF-M-059, MK-CF-M-060, MK-CF-M-061, MK-CF-M-062, MK-CF-M-063, MK-CF-M-065, MK-CF-M-066, MK-CF-M-069, MK-CF-M-070, MK-CF-M-071, MK-CF-M-072, MK-CF-M-073, MK-CF-M-074, MK-CF-M-075, MK-MN-M-006, MK-MN-M-011, MK-MN-M-012, MK-MN-M-013, MK-MN-M-016, MK-MN-M-020, MK-MN-M-021, MK-MN-M-024, MK-MN-M-025, MK-MN-M-026, MK-MN-M-027, MK-MN-M-028, MK-MN-M-030, MK-NW-M-001, MK-NW-M-002, MK-NW-M-003, MK-NW-M-004, MK-NW-M-005, MK-NW-M-006, MK-NW-M-007, MK-NW-M-008, MK-NW-M-009, MK-NW-M-011, MK-NW-M-012, MK-NW-M-013, MK-NW-M-014, MK-NW-M-015, MK-NW-M-016, MK-NW-M-017, MK-NW-M-019, MK-NW-M-020, MK-NW-M-021, MK-NW-M-029, MK-NW-M-030, MK-NW-M-031, MK-NW-M-033, MK-NW-M-034, MK-NW-M-035, MK-NW-M-036, MK-NW-M-037, MK-NW-M-038, MK-NW-M-039, MK-NW-M-040, MK-NW-M-046, MK-NW-M-047, MK-NW-M-048, MK-NW-M-049, MK-NW-M-059, MK-NW-M-060, MK-NW-M-061, MK-NW-M-062, MK-NW-M-063, MK-PF-M-002, MK-PF-M-003, MK-PF-M-005, MK-PF-M-006, MK-PF-M-007, MK-PF-M-008, MK-PF-M-013, MK-PF-M-014, MK-PF-M-015, MK-PF-M-016, MK-PF-M-017, MK-PF-M-018, MK-PF-M-019, MK-PF-M-020, MK-PL-M-026, MK-PL-M-033, MK-PL-M-034, MK-XS-M-001, MK-XS-M-002, MK-XS-M-003, MK-XS-M-004, MK-XS-M-005, MK-XS-M-006</t>
        </is>
      </c>
    </row>
    <row r="26" ht="45" customHeight="1">
      <c r="A26" s="3" t="inlineStr">
        <is>
          <t>MK-XS-I-025</t>
        </is>
      </c>
      <c r="B26" s="3" t="inlineStr">
        <is>
          <t>typical monthly essentials</t>
        </is>
      </c>
      <c r="C26" s="3" t="inlineStr">
        <is>
          <t>MK-CF-M-033</t>
        </is>
      </c>
      <c r="D26" s="3" t="inlineStr">
        <is>
          <t>MK-MN-M-024 · MK-MN-M-025 · MK-NW-M-046 · MK-NW-M-047 · MK-NW-M-048</t>
        </is>
      </c>
      <c r="E26" s="3" t="inlineStr">
        <is>
          <t>PARTLY AGREES — declared but not reached: MK-CF-M-033  |  reached but not declared: MK-MN-M-024, MK-MN-M-025, MK-NW-M-046, MK-NW-M-047, MK-NW-M-048</t>
        </is>
      </c>
    </row>
    <row r="27" ht="60" customHeight="1">
      <c r="A27" s="3" t="inlineStr">
        <is>
          <t>MK-XS-I-026</t>
        </is>
      </c>
      <c r="B27" s="3" t="inlineStr">
        <is>
          <t>big costs (amount and year)</t>
        </is>
      </c>
      <c r="C27" s="3" t="inlineStr">
        <is>
          <t>—</t>
        </is>
      </c>
      <c r="D27" s="3" t="inlineStr">
        <is>
          <t>MK-CF-M-022 · MK-CF-M-055 · MK-CF-M-070 · MK-MN-M-016 · MK-NW-M-001 · MK-NW-M-002 · MK-NW-M-003 · MK-NW-M-004 · MK-NW-M-005 · MK-NW-M-006 · MK-NW-M-007 · MK-NW-M-008 · MK-NW-M-009 · MK-NW-M-011 · MK-NW-M-015 · MK-NW-M-016 · MK-NW-M-017 · MK-NW-M-049 · MK-NW-M-063 · MK-PL-M-008 · MK-PL-M-011 · MK-PL-M-029 · MK-PL-M-034 · MK-XS-M-001 · MK-XS-M-002 · MK-XS-M-003</t>
        </is>
      </c>
      <c r="E27" s="3" t="inlineStr">
        <is>
          <t>REACHED BUT NOT DECLARED — functions reading this input serve these figures, but no figure lists it among its inputs.</t>
        </is>
      </c>
    </row>
    <row r="28" ht="60" customHeight="1">
      <c r="A28" s="3" t="inlineStr">
        <is>
          <t>MK-XS-I-027</t>
        </is>
      </c>
      <c r="B28" s="3" t="inlineStr">
        <is>
          <t>goals (target, saved, date)</t>
        </is>
      </c>
      <c r="C28" s="3" t="inlineStr">
        <is>
          <t>MK-CF-M-020 · MK-CF-M-021</t>
        </is>
      </c>
      <c r="D2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MK-MN-M-009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E28" s="3" t="inlineStr">
        <is>
          <t>PARTLY AGREES — reached but not declared: MK-CF-M-001, MK-CF-M-002, MK-CF-M-003, MK-CF-M-006, MK-CF-M-007, MK-CF-M-008, MK-CF-M-009, MK-CF-M-010, MK-CF-M-011, MK-CF-M-012, MK-CF-M-013, MK-CF-M-014, MK-CF-M-015, MK-CF-M-016,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MK-MN-M-009, MK-MN-M-011, MK-MN-M-012, MK-MN-M-013, MK-MN-M-016, MK-MN-M-024, MK-MN-M-025, MK-MN-M-030, MK-NW-M-001, MK-NW-M-002, MK-NW-M-003, MK-NW-M-004, MK-NW-M-005, MK-NW-M-006, MK-NW-M-007, MK-NW-M-008, MK-NW-M-009, MK-NW-M-011, MK-NW-M-012, MK-NW-M-015, MK-NW-M-016, MK-NW-M-017, MK-NW-M-046, MK-NW-M-047, MK-NW-M-048, MK-NW-M-049, MK-NW-M-063, MK-XS-M-001, MK-XS-M-003, MK-XS-M-005, MK-XS-M-006</t>
        </is>
      </c>
    </row>
    <row r="29" ht="60" customHeight="1">
      <c r="A29" s="3" t="inlineStr">
        <is>
          <t>MK-XS-I-028</t>
        </is>
      </c>
      <c r="B29" s="3" t="inlineStr">
        <is>
          <t>assumed return</t>
        </is>
      </c>
      <c r="C29" s="3" t="inlineStr">
        <is>
          <t>MK-CF-M-022 · MK-CF-M-055</t>
        </is>
      </c>
      <c r="D2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MK-NW-M-050 · MK-NW-M-051 · MK-NW-M-052 · MK-NW-M-053 · MK-NW-M-054 · MK-NW-M-055 · MK-NW-M-056 · MK-NW-M-057 · MK-NW-M-058 · MK-NW-M-063 · MK-PF-M-002 · MK-PF-M-003 · MK-PF-M-005 · MK-PF-M-006 · MK-PF-M-007 · MK-PF-M-008 · MK-PF-M-013 · MK-PF-M-014 · MK-PF-M-015 · MK-PF-M-016 · MK-PF-M-017 · MK-PF-M-018 · MK-PF-M-019 · MK-PF-M-020 · MK-PL-M-008 · MK-PL-M-009 · MK-PL-M-011 · MK-PL-M-026 · MK-PL-M-029 · MK-PL-M-033 · MK-PL-M-034 · MK-XS-M-001 · MK-XS-M-002 · MK-XS-M-003 · MK-XS-M-004 · MK-XS-M-005 · MK-XS-M-006</t>
        </is>
      </c>
      <c r="E29" s="3" t="inlineStr">
        <is>
          <t>PARTLY AGREES — reached but not declared: MK-CF-M-001, MK-CF-M-002, MK-CF-M-003, MK-CF-M-006, MK-CF-M-007, MK-CF-M-008, MK-CF-M-009, MK-CF-M-010, MK-CF-M-011, MK-CF-M-012, MK-CF-M-013, MK-CF-M-014, MK-CF-M-015, MK-CF-M-016, MK-CF-M-020, MK-CF-M-021, MK-CF-M-024, MK-CF-M-027, MK-CF-M-028, MK-CF-M-030, MK-CF-M-031, MK-CF-M-032, MK-CF-M-033, MK-CF-M-034, MK-CF-M-035, MK-CF-M-036, MK-CF-M-037, MK-CF-M-038, MK-CF-M-039, MK-CF-M-040, MK-CF-M-041, MK-CF-M-042, MK-CF-M-043, MK-CF-M-044, MK-CF-M-045, MK-CF-M-046, MK-CF-M-047, MK-CF-M-048, MK-CF-M-049, MK-CF-M-050, MK-CF-M-051, MK-CF-M-052, MK-CF-M-053, MK-CF-M-054, MK-CF-M-056, MK-CF-M-057, MK-CF-M-058, MK-CF-M-059, MK-CF-M-060, MK-CF-M-061, MK-CF-M-062, MK-CF-M-063, MK-CF-M-065, MK-CF-M-066, MK-CF-M-069, MK-CF-M-070, MK-CF-M-071, MK-CF-M-072, MK-CF-M-073, MK-CF-M-074, MK-CF-M-075, MK-MN-M-006, MK-MN-M-007, MK-MN-M-011, MK-MN-M-012, MK-MN-M-013, MK-MN-M-016, MK-MN-M-024, MK-MN-M-025, MK-MN-M-030, MK-NW-M-001, MK-NW-M-002, MK-NW-M-003, MK-NW-M-004, MK-NW-M-005, MK-NW-M-006, MK-NW-M-007, MK-NW-M-008, MK-NW-M-009, MK-NW-M-011, MK-NW-M-012, MK-NW-M-015, MK-NW-M-016, MK-NW-M-017, MK-NW-M-023, MK-NW-M-024, MK-NW-M-025, MK-NW-M-026, MK-NW-M-027, MK-NW-M-041, MK-NW-M-042, MK-NW-M-043, MK-NW-M-044, MK-NW-M-045, MK-NW-M-046, MK-NW-M-047, MK-NW-M-048, MK-NW-M-049, MK-NW-M-050, MK-NW-M-051, MK-NW-M-052, MK-NW-M-053, MK-NW-M-054, MK-NW-M-055, MK-NW-M-056, MK-NW-M-057, MK-NW-M-058, MK-NW-M-063, MK-PF-M-002, MK-PF-M-003, MK-PF-M-005, MK-PF-M-006, MK-PF-M-007, MK-PF-M-008, MK-PF-M-013, MK-PF-M-014, MK-PF-M-015, MK-PF-M-016, MK-PF-M-017, MK-PF-M-018, MK-PF-M-019, MK-PF-M-020, MK-PL-M-008, MK-PL-M-009, MK-PL-M-011, MK-PL-M-026, MK-PL-M-029, MK-PL-M-033, MK-PL-M-034, MK-XS-M-001, MK-XS-M-002, MK-XS-M-003, MK-XS-M-004, MK-XS-M-005, MK-XS-M-006</t>
        </is>
      </c>
    </row>
    <row r="30" ht="60" customHeight="1">
      <c r="A30" s="3" t="inlineStr">
        <is>
          <t>MK-XS-I-029</t>
        </is>
      </c>
      <c r="B30" s="3" t="inlineStr">
        <is>
          <t>inflation rate</t>
        </is>
      </c>
      <c r="C30" s="3" t="inlineStr">
        <is>
          <t>—</t>
        </is>
      </c>
      <c r="D30" s="3" t="inlineStr">
        <is>
          <t>MK-CF-M-022 · MK-CF-M-055 · MK-CF-M-070 · MK-MN-M-016 · MK-NW-M-001 · MK-NW-M-002 · MK-NW-M-003 · MK-NW-M-004 · MK-NW-M-005 · MK-NW-M-006 · MK-NW-M-007 · MK-NW-M-008 · MK-NW-M-009 · MK-NW-M-011 · MK-NW-M-015 · MK-NW-M-016 · MK-NW-M-017 · MK-NW-M-049 · MK-NW-M-063 · MK-PL-M-008 · MK-PL-M-009 · MK-PL-M-011 · MK-PL-M-026 · MK-PL-M-029 · MK-PL-M-033 · MK-PL-M-034 · MK-XS-M-001 · MK-XS-M-002 · MK-XS-M-003</t>
        </is>
      </c>
      <c r="E30" s="3" t="inlineStr">
        <is>
          <t>REACHED BUT NOT DECLARED — functions reading this input serve these figures, but no figure lists it among its inputs.</t>
        </is>
      </c>
    </row>
    <row r="31" ht="60" customHeight="1">
      <c r="A31" s="3" t="inlineStr">
        <is>
          <t>MK-XS-I-030</t>
        </is>
      </c>
      <c r="B31" s="3" t="inlineStr">
        <is>
          <t>tax filing status and age</t>
        </is>
      </c>
      <c r="C31" s="3" t="inlineStr">
        <is>
          <t>MK-MN-M-003 · MK-MN-M-007 · MK-MN-M-028</t>
        </is>
      </c>
      <c r="D3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E31" s="3" t="inlineStr">
        <is>
          <t>PARTLY AGREES — declared but not reached: MK-MN-M-003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MK-MN-M-011, MK-MN-M-012, MK-MN-M-013, MK-MN-M-016, MK-MN-M-024, MK-MN-M-025, MK-MN-M-027, MK-MN-M-030, MK-NW-M-001, MK-NW-M-002, MK-NW-M-003, MK-NW-M-004, MK-NW-M-005, MK-NW-M-006, MK-NW-M-007, MK-NW-M-008, MK-NW-M-009, MK-NW-M-011, MK-NW-M-012, MK-NW-M-015, MK-NW-M-016, MK-NW-M-017, MK-NW-M-046, MK-NW-M-047, MK-NW-M-048, MK-NW-M-049, MK-NW-M-063, MK-PL-M-008, MK-PL-M-011, MK-PL-M-029, MK-PL-M-034, MK-XS-M-001, MK-XS-M-002, MK-XS-M-003, MK-XS-M-005, MK-XS-M-006</t>
        </is>
      </c>
    </row>
    <row r="32" ht="60" customHeight="1">
      <c r="A32" s="3" t="inlineStr">
        <is>
          <t>MK-XS-I-031</t>
        </is>
      </c>
      <c r="B32" s="3" t="inlineStr">
        <is>
          <t>daily and monthly snapshots</t>
        </is>
      </c>
      <c r="C32" s="3" t="inlineStr">
        <is>
          <t>MK-NW-M-001 · MK-NW-M-003</t>
        </is>
      </c>
      <c r="D3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MK-PF-M-001 · MK-PF-M-002 · MK-PF-M-003 · MK-PF-M-004 · MK-PF-M-005 · MK-PF-M-006 · MK-PF-M-007 · MK-PF-M-008 · MK-PF-M-013 · MK-PF-M-014 · MK-PF-M-015 · MK-PF-M-016 · MK-PF-M-017 · MK-PF-M-018 · MK-PF-M-019 · MK-PF-M-020 · MK-PL-M-008 · MK-PL-M-011 · MK-PL-M-029 · MK-PL-M-034 · MK-XS-M-001 · MK-XS-M-002 · MK-XS-M-003 · MK-XS-M-004 · MK-XS-M-005 · MK-XS-M-006</t>
        </is>
      </c>
      <c r="E32"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MK-NW-M-002, MK-NW-M-004, MK-NW-M-005, MK-NW-M-006, MK-NW-M-007, MK-NW-M-008, MK-NW-M-009, MK-NW-M-011, MK-NW-M-012, MK-NW-M-015, MK-NW-M-016, MK-NW-M-017, MK-NW-M-046, MK-NW-M-047, MK-NW-M-048, MK-NW-M-049, MK-NW-M-063, MK-PF-M-001, MK-PF-M-002, MK-PF-M-003, MK-PF-M-004, MK-PF-M-005, MK-PF-M-006, MK-PF-M-007, MK-PF-M-008, MK-PF-M-013, MK-PF-M-014, MK-PF-M-015, MK-PF-M-016, MK-PF-M-017, MK-PF-M-018, MK-PF-M-019, MK-PF-M-020, MK-PL-M-008, MK-PL-M-011, MK-PL-M-029, MK-PL-M-034, MK-XS-M-001, MK-XS-M-002, MK-XS-M-003, MK-XS-M-004, MK-XS-M-005, MK-XS-M-006</t>
        </is>
      </c>
    </row>
    <row r="33" ht="60" customHeight="1">
      <c r="A33" s="3" t="inlineStr">
        <is>
          <t>MK-XS-I-032</t>
        </is>
      </c>
      <c r="B33" s="3" t="inlineStr">
        <is>
          <t>expenses categories the person set up</t>
        </is>
      </c>
      <c r="C33" s="3" t="inlineStr">
        <is>
          <t>MK-MN-M-007</t>
        </is>
      </c>
      <c r="D3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MK-MN-M-010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E33"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MK-MN-M-010, MK-MN-M-011, MK-MN-M-012, MK-MN-M-013, MK-MN-M-016, MK-MN-M-024, MK-MN-M-025, MK-MN-M-030, MK-NW-M-001, MK-NW-M-002, MK-NW-M-003, MK-NW-M-004, MK-NW-M-005, MK-NW-M-006, MK-NW-M-007, MK-NW-M-008, MK-NW-M-009, MK-NW-M-011, MK-NW-M-012, MK-NW-M-015, MK-NW-M-016, MK-NW-M-017, MK-NW-M-046, MK-NW-M-047, MK-NW-M-048, MK-NW-M-049, MK-NW-M-063, MK-XS-M-001, MK-XS-M-003, MK-XS-M-005, MK-XS-M-006</t>
        </is>
      </c>
    </row>
    <row r="34" ht="45" customHeight="1">
      <c r="A34" s="3" t="inlineStr">
        <is>
          <t>MK-XS-I-033</t>
        </is>
      </c>
      <c r="B34" s="3" t="inlineStr">
        <is>
          <t>the date a hand-typed value was set</t>
        </is>
      </c>
      <c r="C34" s="3" t="inlineStr">
        <is>
          <t>MK-PL-M-016</t>
        </is>
      </c>
      <c r="D34" s="3" t="inlineStr">
        <is>
          <t>—</t>
        </is>
      </c>
      <c r="E34" s="3" t="inlineStr">
        <is>
          <t>DECLARED BUT NOT REACHED — figures name this input, but no function that reads it serves any of them. Unproved in one direction.</t>
        </is>
      </c>
    </row>
    <row r="35" ht="60" customHeight="1">
      <c r="A35" s="3" t="inlineStr">
        <is>
          <t>MK-XS-I-034</t>
        </is>
      </c>
      <c r="B35" s="3" t="inlineStr">
        <is>
          <t>option positions — contracts, strike, expiry, put or call</t>
        </is>
      </c>
      <c r="C35" s="3" t="inlineStr">
        <is>
          <t>—</t>
        </is>
      </c>
      <c r="D3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MK-NW-M-038 · MK-NW-M-039 · MK-NW-M-040 · MK-NW-M-046 · MK-NW-M-047 · MK-NW-M-048 · MK-NW-M-049 · MK-NW-M-062 · MK-NW-M-063 · MK-PL-M-008 · MK-PL-M-011 · MK-PL-M-029 · MK-PL-M-034 · MK-XS-M-001 · MK-XS-M-002 · MK-XS-M-003 · MK-XS-M-005 · MK-XS-M-006</t>
        </is>
      </c>
      <c r="E35" s="3" t="inlineStr">
        <is>
          <t>REACHED BUT NOT DECLARED — functions reading this input serve these figures, but no figure lists it among its inputs.</t>
        </is>
      </c>
    </row>
    <row r="36" ht="60" customHeight="1">
      <c r="A36" s="3" t="inlineStr">
        <is>
          <t>MK-XS-I-035</t>
        </is>
      </c>
      <c r="B36" s="3" t="inlineStr">
        <is>
          <t>annuity income</t>
        </is>
      </c>
      <c r="C36" s="3" t="inlineStr">
        <is>
          <t>MK-CF-M-011 · MK-CF-M-023 · MK-CF-M-024 · MK-CF-M-069</t>
        </is>
      </c>
      <c r="D36"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MK-PL-M-029 · MK-PL-M-032 · MK-PL-M-034 · MK-XS-M-001 · MK-XS-M-002 · MK-XS-M-003 · MK-XS-M-005 · MK-XS-M-006</t>
        </is>
      </c>
      <c r="E36" s="3" t="inlineStr">
        <is>
          <t>PARTLY AGREES — reached but not declared: MK-CF-M-001, MK-CF-M-002, MK-CF-M-003, MK-CF-M-006, MK-CF-M-007, MK-CF-M-008, MK-CF-M-009, MK-CF-M-010, MK-CF-M-012, MK-CF-M-013, MK-CF-M-014, MK-CF-M-015, MK-CF-M-016, MK-CF-M-020, MK-CF-M-021, MK-CF-M-022,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MK-PL-M-009, MK-PL-M-011, MK-PL-M-018, MK-PL-M-029, MK-PL-M-032, MK-PL-M-034, MK-XS-M-001, MK-XS-M-002, MK-XS-M-003, MK-XS-M-005, MK-XS-M-006</t>
        </is>
      </c>
    </row>
    <row r="37" ht="60" customHeight="1">
      <c r="A37" s="3" t="inlineStr">
        <is>
          <t>MK-XS-I-036</t>
        </is>
      </c>
      <c r="B37" s="3" t="inlineStr">
        <is>
          <t>other guaranteed income</t>
        </is>
      </c>
      <c r="C37" s="3" t="inlineStr">
        <is>
          <t>MK-CF-M-011 · MK-CF-M-023 · MK-CF-M-024 · MK-CF-M-069</t>
        </is>
      </c>
      <c r="D37"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MK-PL-M-018 · MK-PL-M-026 · MK-PL-M-029 · MK-PL-M-032 · MK-PL-M-033 · MK-PL-M-034 · MK-XS-M-001 · MK-XS-M-002 · MK-XS-M-003 · MK-XS-M-005 · MK-XS-M-006</t>
        </is>
      </c>
      <c r="E37" s="3" t="inlineStr">
        <is>
          <t>PARTLY AGREES — reached but not declared: MK-CF-M-001, MK-CF-M-002, MK-CF-M-003, MK-CF-M-006, MK-CF-M-007, MK-CF-M-008, MK-CF-M-009, MK-CF-M-010, MK-CF-M-012, MK-CF-M-013, MK-CF-M-014, MK-CF-M-015, MK-CF-M-016, MK-CF-M-020, MK-CF-M-021, MK-CF-M-022,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MK-PL-M-009, MK-PL-M-011, MK-PL-M-018, MK-PL-M-026, MK-PL-M-029, MK-PL-M-032, MK-PL-M-033, MK-PL-M-034, MK-XS-M-001, MK-XS-M-002, MK-XS-M-003, MK-XS-M-005, MK-XS-M-006</t>
        </is>
      </c>
    </row>
    <row r="38" ht="60" customHeight="1">
      <c r="A38" s="3" t="inlineStr">
        <is>
          <t>MK-XS-I-037</t>
        </is>
      </c>
      <c r="B38" s="3" t="inlineStr">
        <is>
          <t>required-withdrawal income stream (ri_rmd)</t>
        </is>
      </c>
      <c r="C38" s="3" t="inlineStr">
        <is>
          <t>—</t>
        </is>
      </c>
      <c r="D38"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E38" s="3" t="inlineStr">
        <is>
          <t>REACHED BUT NOT DECLARED — functions reading this input serve these figures, but no figure lists it among its inputs.</t>
        </is>
      </c>
    </row>
    <row r="39" ht="60" customHeight="1">
      <c r="A39" s="3" t="inlineStr">
        <is>
          <t>MK-XS-I-038</t>
        </is>
      </c>
      <c r="B39" s="3" t="inlineStr">
        <is>
          <t>withdrawal income stream (ri_withdrawals)</t>
        </is>
      </c>
      <c r="C39" s="3" t="inlineStr">
        <is>
          <t>—</t>
        </is>
      </c>
      <c r="D3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E39" s="3" t="inlineStr">
        <is>
          <t>REACHED BUT NOT DECLARED — functions reading this input serve these figures, but no figure lists it among its inputs.</t>
        </is>
      </c>
    </row>
    <row r="40" ht="60" customHeight="1">
      <c r="A40" s="3" t="inlineStr">
        <is>
          <t>MK-XS-I-039</t>
        </is>
      </c>
      <c r="B40" s="3" t="inlineStr">
        <is>
          <t>how often each income arrives</t>
        </is>
      </c>
      <c r="C40" s="3" t="inlineStr">
        <is>
          <t>—</t>
        </is>
      </c>
      <c r="D40"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E40" s="3" t="inlineStr">
        <is>
          <t>REACHED BUT NOT DECLARED — functions reading this input serve these figures, but no figure lists it among its inputs.</t>
        </is>
      </c>
    </row>
    <row r="41" ht="60" customHeight="1">
      <c r="A41" s="3" t="inlineStr">
        <is>
          <t>MK-XS-I-040</t>
        </is>
      </c>
      <c r="B41" s="3" t="inlineStr">
        <is>
          <t>whether a stream is already being received</t>
        </is>
      </c>
      <c r="C41" s="3" t="inlineStr">
        <is>
          <t>MK-PL-M-018 · MK-PL-M-032</t>
        </is>
      </c>
      <c r="D4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MK-PL-M-018 · MK-PL-M-029 · MK-PL-M-032 · MK-PL-M-034 · MK-XS-M-001 · MK-XS-M-002 · MK-XS-M-003 · MK-XS-M-005 · MK-XS-M-006</t>
        </is>
      </c>
      <c r="E41"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MK-PL-M-011, MK-PL-M-029, MK-PL-M-034, MK-XS-M-001, MK-XS-M-002, MK-XS-M-003, MK-XS-M-005, MK-XS-M-006</t>
        </is>
      </c>
    </row>
    <row r="42" ht="60" customHeight="1">
      <c r="A42" s="3" t="inlineStr">
        <is>
          <t>MK-XS-I-041</t>
        </is>
      </c>
      <c r="B42" s="3" t="inlineStr">
        <is>
          <t>the payment the person chose to make on a debt</t>
        </is>
      </c>
      <c r="C42" s="3" t="inlineStr">
        <is>
          <t>MK-CF-M-072 · MK-CF-M-073</t>
        </is>
      </c>
      <c r="D42"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MK-PL-M-033 · MK-PL-M-034 · MK-XS-M-001 · MK-XS-M-002 · MK-XS-M-003 · MK-XS-M-005 · MK-XS-M-006</t>
        </is>
      </c>
      <c r="E42"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MK-CF-M-074, MK-CF-M-075, MK-MN-M-006, MK-MN-M-007, MK-MN-M-011, MK-MN-M-012, MK-MN-M-013, MK-MN-M-016, MK-MN-M-024, MK-MN-M-025, MK-MN-M-026, MK-MN-M-027, MK-MN-M-028, MK-MN-M-030, MK-NW-M-001, MK-NW-M-002, MK-NW-M-003, MK-NW-M-004, MK-NW-M-005, MK-NW-M-006, MK-NW-M-007, MK-NW-M-008, MK-NW-M-009, MK-NW-M-011, MK-NW-M-012, MK-NW-M-013, MK-NW-M-014, MK-NW-M-015, MK-NW-M-016, MK-NW-M-017, MK-NW-M-046, MK-NW-M-047, MK-NW-M-048, MK-NW-M-049, MK-NW-M-063, MK-PL-M-008, MK-PL-M-009, MK-PL-M-011, MK-PL-M-026, MK-PL-M-029, MK-PL-M-033, MK-PL-M-034, MK-XS-M-001, MK-XS-M-002, MK-XS-M-003, MK-XS-M-005, MK-XS-M-006</t>
        </is>
      </c>
    </row>
    <row r="43" ht="60" customHeight="1">
      <c r="A43" s="3" t="inlineStr">
        <is>
          <t>MK-XS-I-042</t>
        </is>
      </c>
      <c r="B43" s="3" t="inlineStr">
        <is>
          <t>how a stream is paid — monthly, yearly or one lump</t>
        </is>
      </c>
      <c r="C43" s="3" t="inlineStr">
        <is>
          <t>—</t>
        </is>
      </c>
      <c r="D4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MK-MN-M-026 · MK-MN-M-027 · MK-MN-M-028 · MK-MN-M-030 · MK-NW-M-001 · MK-NW-M-002 · MK-NW-M-003 · MK-NW-M-004 · MK-NW-M-005 · MK-NW-M-006 · MK-NW-M-007 · MK-NW-M-008 · MK-NW-M-009 · MK-NW-M-011 · MK-NW-M-012 · MK-NW-M-013 · MK-NW-M-014 · MK-NW-M-015 · MK-NW-M-016 · MK-NW-M-017 · MK-NW-M-046 · MK-NW-M-047 · MK-NW-M-048 · MK-NW-M-049 · MK-NW-M-063 · MK-PL-M-008 · MK-PL-M-009 · MK-PL-M-011 · MK-PL-M-026 · MK-PL-M-029 · MK-PL-M-031 · MK-PL-M-033 · MK-PL-M-034 · MK-XS-M-001 · MK-XS-M-002 · MK-XS-M-003 · MK-XS-M-005 · MK-XS-M-006</t>
        </is>
      </c>
      <c r="E43" s="3" t="inlineStr">
        <is>
          <t>REACHED BUT NOT DECLARED — functions reading this input serve these figures, but no figure lists it among its inputs.</t>
        </is>
      </c>
    </row>
    <row r="44" ht="60" customHeight="1">
      <c r="A44" s="3" t="inlineStr">
        <is>
          <t>MK-XS-I-043</t>
        </is>
      </c>
      <c r="B44" s="3" t="inlineStr">
        <is>
          <t>their own retirement contribution</t>
        </is>
      </c>
      <c r="C44" s="3" t="inlineStr">
        <is>
          <t>MK-MN-M-014</t>
        </is>
      </c>
      <c r="D44"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MK-MN-M-014 · MK-MN-M-016 · MK-MN-M-024 · MK-MN-M-025 · MK-MN-M-027 · MK-MN-M-028 · MK-MN-M-030 · MK-NW-M-001 · MK-NW-M-002 · MK-NW-M-003 · MK-NW-M-004 · MK-NW-M-005 · MK-NW-M-006 · MK-NW-M-007 · MK-NW-M-008 · MK-NW-M-009 · MK-NW-M-011 · MK-NW-M-012 · MK-NW-M-015 · MK-NW-M-016 · MK-NW-M-017 · MK-NW-M-046 · MK-NW-M-047 · MK-NW-M-048 · MK-NW-M-049 · MK-NW-M-063 · MK-PL-M-008 · MK-PL-M-009 · MK-PL-M-011 · MK-PL-M-026 · MK-PL-M-029 · MK-PL-M-033 · MK-PL-M-034 · MK-XS-M-001 · MK-XS-M-002 · MK-XS-M-003 · MK-XS-M-005 · MK-XS-M-006</t>
        </is>
      </c>
      <c r="E44"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MK-PL-M-009, MK-PL-M-011, MK-PL-M-026, MK-PL-M-029, MK-PL-M-033, MK-PL-M-034, MK-XS-M-001, MK-XS-M-002, MK-XS-M-003, MK-XS-M-005, MK-XS-M-006</t>
        </is>
      </c>
    </row>
    <row r="45" ht="60" customHeight="1">
      <c r="A45" s="3" t="inlineStr">
        <is>
          <t>MK-XS-I-044</t>
        </is>
      </c>
      <c r="B45" s="3" t="inlineStr">
        <is>
          <t>the person’s own plan overrides</t>
        </is>
      </c>
      <c r="C45" s="3" t="inlineStr">
        <is>
          <t>MK-PL-M-008 · MK-PL-M-011 · MK-PL-M-029</t>
        </is>
      </c>
      <c r="D45" s="3" t="inlineStr">
        <is>
          <t>MK-CF-M-055 · MK-CF-M-070 · MK-MN-M-016 · MK-NW-M-001 · MK-NW-M-002 · MK-NW-M-003 · MK-NW-M-004 · MK-NW-M-005 · MK-NW-M-006 · MK-NW-M-007 · MK-NW-M-008 · MK-NW-M-009 · MK-NW-M-011 · MK-NW-M-015 · MK-NW-M-016 · MK-NW-M-017 · MK-NW-M-049 · MK-NW-M-063 · MK-PL-M-008 · MK-PL-M-009 · MK-PL-M-011 · MK-PL-M-029 · MK-PL-M-034 · MK-XS-M-001 · MK-XS-M-002 · MK-XS-M-003</t>
        </is>
      </c>
      <c r="E45" s="3" t="inlineStr">
        <is>
          <t>PARTLY AGREES — reached but not declared: MK-CF-M-055, MK-CF-M-070, MK-MN-M-016, MK-NW-M-001, MK-NW-M-002, MK-NW-M-003, MK-NW-M-004, MK-NW-M-005, MK-NW-M-006, MK-NW-M-007, MK-NW-M-008, MK-NW-M-009, MK-NW-M-011, MK-NW-M-015, MK-NW-M-016, MK-NW-M-017, MK-NW-M-049, MK-NW-M-063, MK-PL-M-009, MK-PL-M-034, MK-XS-M-001, MK-XS-M-002, MK-XS-M-003</t>
        </is>
      </c>
    </row>
    <row r="46" ht="45" customHeight="1">
      <c r="A46" s="3" t="inlineStr">
        <is>
          <t>MK-XS-I-045</t>
        </is>
      </c>
      <c r="B46" s="3" t="inlineStr">
        <is>
          <t>where they will live in retirement</t>
        </is>
      </c>
      <c r="C46" s="3" t="inlineStr">
        <is>
          <t>MK-PL-M-009</t>
        </is>
      </c>
      <c r="D46" s="3" t="inlineStr">
        <is>
          <t>MK-CF-M-055 · MK-CF-M-070 · MK-PL-M-008 · MK-PL-M-009 · MK-PL-M-011 · MK-PL-M-029 · MK-PL-M-034 · MK-XS-M-002</t>
        </is>
      </c>
      <c r="E46" s="3" t="inlineStr">
        <is>
          <t>PARTLY AGREES — reached but not declared: MK-CF-M-055, MK-CF-M-070, MK-PL-M-008, MK-PL-M-011, MK-PL-M-029, MK-PL-M-034, MK-XS-M-002</t>
        </is>
      </c>
    </row>
    <row r="47" ht="45" customHeight="1">
      <c r="A47" s="3" t="inlineStr">
        <is>
          <t>MK-XS-I-046</t>
        </is>
      </c>
      <c r="B47" s="3" t="inlineStr">
        <is>
          <t>how the employer match is expressed — percent or dollars</t>
        </is>
      </c>
      <c r="C47" s="3" t="inlineStr">
        <is>
          <t>MK-MN-M-014</t>
        </is>
      </c>
      <c r="D47" s="3" t="inlineStr">
        <is>
          <t>MK-CF-M-055 · MK-CF-M-070 · MK-MN-M-014 · MK-PL-M-008 · MK-PL-M-011 · MK-PL-M-029 · MK-PL-M-034 · MK-XS-M-002</t>
        </is>
      </c>
      <c r="E47" s="3" t="inlineStr">
        <is>
          <t>PARTLY AGREES — reached but not declared: MK-CF-M-055, MK-CF-M-070, MK-PL-M-008, MK-PL-M-011, MK-PL-M-029, MK-PL-M-034, MK-XS-M-002</t>
        </is>
      </c>
    </row>
    <row r="48" ht="45" customHeight="1">
      <c r="A48" s="3" t="inlineStr">
        <is>
          <t>MK-XS-I-047</t>
        </is>
      </c>
      <c r="B48" s="3" t="inlineStr">
        <is>
          <t>money to leave behind</t>
        </is>
      </c>
      <c r="C48" s="3" t="inlineStr">
        <is>
          <t>MK-PL-M-008 · MK-PL-M-011 · MK-PL-M-029</t>
        </is>
      </c>
      <c r="D48" s="3" t="inlineStr">
        <is>
          <t>MK-CF-M-055 · MK-CF-M-070 · MK-PL-M-008 · MK-PL-M-011 · MK-PL-M-029 · MK-PL-M-034 · MK-XS-M-002</t>
        </is>
      </c>
      <c r="E48" s="3" t="inlineStr">
        <is>
          <t>PARTLY AGREES — reached but not declared: MK-CF-M-055, MK-CF-M-070, MK-PL-M-034, MK-XS-M-002</t>
        </is>
      </c>
    </row>
    <row r="49" ht="60" customHeight="1">
      <c r="A49" s="3" t="inlineStr">
        <is>
          <t>MK-XS-I-048</t>
        </is>
      </c>
      <c r="B49" s="3" t="inlineStr">
        <is>
          <t>the person’s own asset-class answer</t>
        </is>
      </c>
      <c r="C49" s="3" t="inlineStr">
        <is>
          <t>—</t>
        </is>
      </c>
      <c r="D49"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MK-NW-M-014 · MK-NW-M-015 · MK-NW-M-016 · MK-NW-M-017 · MK-NW-M-019 · MK-NW-M-020 · MK-NW-M-021 · MK-NW-M-023 · MK-NW-M-024 · MK-NW-M-025 · MK-NW-M-026 · MK-NW-M-027 · MK-NW-M-038 · MK-NW-M-039 · MK-NW-M-040 · MK-NW-M-041 · MK-NW-M-042 · MK-NW-M-043 · MK-NW-M-044 · MK-NW-M-045 · MK-NW-M-046 · MK-NW-M-047 · MK-NW-M-048 · MK-NW-M-049 · MK-NW-M-050 · MK-NW-M-051 · MK-NW-M-052 · MK-NW-M-053 · MK-NW-M-054 · MK-NW-M-055 · MK-NW-M-056 · MK-NW-M-057 · MK-NW-M-058 · MK-NW-M-062 · MK-NW-M-063 · MK-PF-M-001 · MK-PF-M-002 · MK-PF-M-003 · MK-PF-M-004 · MK-PF-M-005 · MK-PF-M-006 · MK-PF-M-007 · MK-PF-M-008 · MK-PF-M-013 · MK-PF-M-014 · MK-PF-M-015 · MK-PF-M-016 · MK-PF-M-017 · MK-PF-M-018 · MK-PF-M-019 · MK-PF-M-020 · MK-PL-M-001 · MK-PL-M-002 · MK-PL-M-008 · MK-PL-M-009 · MK-PL-M-011 · MK-PL-M-029 · MK-PL-M-034 · MK-XS-M-001 · MK-XS-M-002 · MK-XS-M-003 · MK-XS-M-004 · MK-XS-M-005 · MK-XS-M-006</t>
        </is>
      </c>
      <c r="E49" s="3" t="inlineStr">
        <is>
          <t>REACHED BUT NOT DECLARED — functions reading this input serve these figures, but no figure lists it among its inputs.</t>
        </is>
      </c>
    </row>
    <row r="50" ht="60" customHeight="1">
      <c r="A50" s="3" t="inlineStr">
        <is>
          <t>MK-XS-I-049</t>
        </is>
      </c>
      <c r="B50" s="3" t="inlineStr">
        <is>
          <t>bond price — what the bond is worth today</t>
        </is>
      </c>
      <c r="C50" s="3" t="inlineStr">
        <is>
          <t>—</t>
        </is>
      </c>
      <c r="D50"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MK-NW-M-028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E50" s="3" t="inlineStr">
        <is>
          <t>REACHED BUT NOT DECLARED — functions reading this input serve these figures, but no figure lists it among its inputs.</t>
        </is>
      </c>
    </row>
    <row r="51" ht="60" customHeight="1">
      <c r="A51" s="3" t="inlineStr">
        <is>
          <t>MK-XS-I-050</t>
        </is>
      </c>
      <c r="B51" s="3" t="inlineStr">
        <is>
          <t>the share of an account earmarked for retirement</t>
        </is>
      </c>
      <c r="C51" s="3" t="inlineStr">
        <is>
          <t>MK-CF-M-070</t>
        </is>
      </c>
      <c r="D51" s="3" t="inlineStr">
        <is>
          <t>MK-CF-M-022 · MK-CF-M-055 · MK-CF-M-070 · MK-NW-M-050 · MK-NW-M-051 · MK-NW-M-052 · MK-PL-M-001 · MK-PL-M-002 · MK-PL-M-008 · MK-PL-M-009 · MK-PL-M-011 · MK-PL-M-029 · MK-PL-M-034 · MK-XS-M-002</t>
        </is>
      </c>
      <c r="E51" s="3" t="inlineStr">
        <is>
          <t>PARTLY AGREES — reached but not declared: MK-CF-M-022, MK-CF-M-055, MK-NW-M-050, MK-NW-M-051, MK-NW-M-052, MK-PL-M-001, MK-PL-M-002, MK-PL-M-008, MK-PL-M-009, MK-PL-M-011, MK-PL-M-029, MK-PL-M-034, MK-XS-M-002</t>
        </is>
      </c>
    </row>
    <row r="52" ht="45" customHeight="1">
      <c r="A52" s="3" t="inlineStr">
        <is>
          <t>MK-XS-I-051</t>
        </is>
      </c>
      <c r="B52" s="3" t="inlineStr">
        <is>
          <t>what an account actually returned over the last twelve months</t>
        </is>
      </c>
      <c r="C52" s="3" t="inlineStr">
        <is>
          <t>—</t>
        </is>
      </c>
      <c r="D52" s="3" t="inlineStr">
        <is>
          <t>MK-CF-M-055 · MK-CF-M-070 · MK-PL-M-008 · MK-PL-M-011 · MK-PL-M-029 · MK-PL-M-034 · MK-XS-M-002</t>
        </is>
      </c>
      <c r="E52" s="3" t="inlineStr">
        <is>
          <t>REACHED BUT NOT DECLARED — functions reading this input serve these figures, but no figure lists it among its inputs.</t>
        </is>
      </c>
    </row>
    <row r="53" ht="60" customHeight="1">
      <c r="A53" s="3" t="inlineStr">
        <is>
          <t>MK-XS-I-052</t>
        </is>
      </c>
      <c r="B53" s="3" t="inlineStr">
        <is>
          <t>the day of the month a debt payment is due</t>
        </is>
      </c>
      <c r="C53" s="3" t="inlineStr">
        <is>
          <t>—</t>
        </is>
      </c>
      <c r="D53"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E53" s="3" t="inlineStr">
        <is>
          <t>REACHED BUT NOT DECLARED — functions reading this input serve these figures, but no figure lists it among its inputs.</t>
        </is>
      </c>
    </row>
    <row r="54" ht="60" customHeight="1">
      <c r="A54" s="3" t="inlineStr">
        <is>
          <t>MK-XS-I-053</t>
        </is>
      </c>
      <c r="B54" s="3" t="inlineStr">
        <is>
          <t>the month a debt is first paid</t>
        </is>
      </c>
      <c r="C54" s="3" t="inlineStr">
        <is>
          <t>—</t>
        </is>
      </c>
      <c r="D54" s="3" t="inlineStr">
        <is>
          <t>MK-CF-M-022 · MK-CF-M-055 · MK-CF-M-057 · MK-CF-M-058 · MK-CF-M-059 · MK-CF-M-070 · MK-CF-M-071 · MK-CF-M-072 · MK-CF-M-073 · MK-CF-M-074 · MK-CF-M-075 · MK-PL-M-031</t>
        </is>
      </c>
      <c r="E54" s="3" t="inlineStr">
        <is>
          <t>REACHED BUT NOT DECLARED — functions reading this input serve these figures, but no figure lists it among its inputs.</t>
        </is>
      </c>
    </row>
    <row r="55" ht="60" customHeight="1">
      <c r="A55" s="3" t="inlineStr">
        <is>
          <t>MK-XS-I-054</t>
        </is>
      </c>
      <c r="B55" s="3" t="inlineStr">
        <is>
          <t>the date a debt is due to be paid off in full</t>
        </is>
      </c>
      <c r="C55" s="3" t="inlineStr">
        <is>
          <t>—</t>
        </is>
      </c>
      <c r="D55" s="3" t="inlineStr">
        <is>
          <t>MK-CF-M-022 · MK-CF-M-055 · MK-CF-M-057 · MK-CF-M-058 · MK-CF-M-059 · MK-CF-M-070 · MK-CF-M-071 · MK-CF-M-072 · MK-CF-M-073 · MK-CF-M-074 · MK-CF-M-075 · MK-PL-M-031</t>
        </is>
      </c>
      <c r="E55" s="3" t="inlineStr">
        <is>
          <t>REACHED BUT NOT DECLARED — functions reading this input serve these figures, but no figure lists it among its inputs.</t>
        </is>
      </c>
    </row>
    <row r="56" ht="60" customHeight="1">
      <c r="A56" s="3" t="inlineStr">
        <is>
          <t>MK-XS-I-055</t>
        </is>
      </c>
      <c r="B56" s="3" t="inlineStr">
        <is>
          <t>the wrapper an account sits in — ISA, 401(k), IRA and the rest</t>
        </is>
      </c>
      <c r="C56" s="3" t="inlineStr">
        <is>
          <t>—</t>
        </is>
      </c>
      <c r="D56" s="3" t="inlineStr">
        <is>
          <t>MK-CF-M-001 · MK-CF-M-002 · MK-CF-M-003 · MK-CF-M-006 · MK-CF-M-007 · MK-CF-M-008 · MK-CF-M-009 · MK-CF-M-010 · MK-CF-M-011 · MK-CF-M-012 · MK-CF-M-013 · MK-CF-M-014 · MK-CF-M-015 · MK-CF-M-016 · MK-CF-M-020 · MK-CF-M-021 · MK-CF-M-022 · MK-CF-M-023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MK-NW-M-014 · MK-NW-M-015 · MK-NW-M-016 · MK-NW-M-017 · MK-NW-M-019 · MK-NW-M-020 · MK-NW-M-021 · MK-NW-M-023 · MK-NW-M-024 · MK-NW-M-025 · MK-NW-M-026 · MK-NW-M-027 · MK-NW-M-029 · MK-NW-M-030 · MK-NW-M-031 · MK-NW-M-032 · MK-NW-M-033 · MK-NW-M-034 · MK-NW-M-035 · MK-NW-M-036 · MK-NW-M-037 · MK-NW-M-038 · MK-NW-M-039 · MK-NW-M-040 · MK-NW-M-041 · MK-NW-M-042 · MK-NW-M-043 · MK-NW-M-044 · MK-NW-M-045 · MK-NW-M-046 · MK-NW-M-047 · MK-NW-M-048 · MK-NW-M-049 · MK-NW-M-050 · MK-NW-M-051 · MK-NW-M-052 · MK-NW-M-053 · MK-NW-M-054 · MK-NW-M-055 · MK-NW-M-056 · MK-NW-M-057 · MK-NW-M-058 · MK-NW-M-059 · MK-NW-M-060 · MK-NW-M-061 · MK-NW-M-062 · MK-NW-M-063 · MK-PF-M-002 · MK-PF-M-003 · MK-PF-M-005 · MK-PF-M-006 · MK-PF-M-007 · MK-PF-M-008 · MK-PF-M-013 · MK-PF-M-014 · MK-PF-M-015 · MK-PF-M-016 · MK-PF-M-017 · MK-PF-M-018 · MK-PF-M-019 · MK-PF-M-020 · MK-PL-M-001 · MK-PL-M-002 · MK-PL-M-008 · MK-PL-M-009 · MK-PL-M-011 · MK-PL-M-018 · MK-PL-M-029 · MK-PL-M-032 · MK-PL-M-034 · MK-XS-M-001 · MK-XS-M-002 · MK-XS-M-003 · MK-XS-M-004 · MK-XS-M-005 · MK-XS-M-006</t>
        </is>
      </c>
      <c r="E56" s="3" t="inlineStr">
        <is>
          <t>REACHED BUT NOT DECLARED — functions reading this input serve these figures, but no figure lists it among its inputs.</t>
        </is>
      </c>
    </row>
    <row r="57" ht="60" customHeight="1">
      <c r="A57" s="3" t="inlineStr">
        <is>
          <t>MK-XS-I-056</t>
        </is>
      </c>
      <c r="B57" s="3" t="inlineStr">
        <is>
          <t>how a holding was classified, and by whom</t>
        </is>
      </c>
      <c r="C57" s="3" t="inlineStr">
        <is>
          <t>—</t>
        </is>
      </c>
      <c r="D57" s="3" t="inlineStr">
        <is>
          <t>MK-MN-M-016 · MK-NW-M-001 · MK-NW-M-002 · MK-NW-M-003 · MK-NW-M-004 · MK-NW-M-005 · MK-NW-M-006 · MK-NW-M-007 · MK-NW-M-008 · MK-NW-M-009 · MK-NW-M-011 · MK-NW-M-015 · MK-NW-M-016 · MK-NW-M-017 · MK-NW-M-049 · MK-NW-M-063 · MK-XS-M-001 · MK-XS-M-003</t>
        </is>
      </c>
      <c r="E57" s="3" t="inlineStr">
        <is>
          <t>REACHED BUT NOT DECLARED — functions reading this input serve these figures, but no figure lists it among its inputs.</t>
        </is>
      </c>
    </row>
    <row r="58" ht="60" customHeight="1">
      <c r="A58" s="3" t="inlineStr">
        <is>
          <t>MK-XS-I-057</t>
        </is>
      </c>
      <c r="B58" s="3" t="inlineStr">
        <is>
          <t>the date an account history begins</t>
        </is>
      </c>
      <c r="C58" s="3" t="inlineStr">
        <is>
          <t>—</t>
        </is>
      </c>
      <c r="D58" s="3" t="inlineStr">
        <is>
          <t>—</t>
        </is>
      </c>
      <c r="E58" s="3" t="inlineStr">
        <is>
          <t>NOT REACHED AND NOT DECLARED — no figure names this input and no function that reads it serves a figure. Either it is not needed, or it is read by code the sweep cannot see.</t>
        </is>
      </c>
    </row>
    <row r="59" ht="60" customHeight="1">
      <c r="A59" s="3" t="inlineStr">
        <is>
          <t>MK-XS-I-058</t>
        </is>
      </c>
      <c r="B59" s="3" t="inlineStr">
        <is>
          <t>a break between our figure and the institution's</t>
        </is>
      </c>
      <c r="C59" s="3" t="inlineStr">
        <is>
          <t>—</t>
        </is>
      </c>
      <c r="D59" s="3" t="inlineStr">
        <is>
          <t>—</t>
        </is>
      </c>
      <c r="E59" s="3" t="inlineStr">
        <is>
          <t>NOT REACHED AND NOT DECLARED — no figure names this input and no function that reads it serves a figure. Either it is not needed, or it is read by code the sweep cannot see.</t>
        </is>
      </c>
    </row>
    <row r="60" ht="60" customHeight="1">
      <c r="A60" s="3" t="inlineStr">
        <is>
          <t>MK-XS-I-059</t>
        </is>
      </c>
      <c r="B60" s="3" t="inlineStr">
        <is>
          <t>the month a bonus lands</t>
        </is>
      </c>
      <c r="C60" s="3" t="inlineStr">
        <is>
          <t>MK-CF-M-008</t>
        </is>
      </c>
      <c r="D60"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MK-NW-M-046 · MK-NW-M-047 · MK-NW-M-048 · MK-NW-M-049 · MK-NW-M-063 · MK-XS-M-001 · MK-XS-M-003 · MK-XS-M-005 · MK-XS-M-006</t>
        </is>
      </c>
      <c r="E60" s="3" t="inlineStr">
        <is>
          <t>PARTLY AGREES — reached but not declared: MK-CF-M-001, MK-CF-M-002, MK-CF-M-003, MK-CF-M-006, MK-CF-M-007,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MK-MN-M-030, MK-NW-M-001, MK-NW-M-002, MK-NW-M-003, MK-NW-M-004, MK-NW-M-005, MK-NW-M-006, MK-NW-M-007, MK-NW-M-008, MK-NW-M-009, MK-NW-M-011, MK-NW-M-012, MK-NW-M-015, MK-NW-M-016, MK-NW-M-017, MK-NW-M-046, MK-NW-M-047, MK-NW-M-048, MK-NW-M-049, MK-NW-M-063, MK-XS-M-001, MK-XS-M-003, MK-XS-M-005, MK-XS-M-006</t>
        </is>
      </c>
    </row>
    <row r="61" ht="60" customHeight="1">
      <c r="A61" s="3" t="inlineStr">
        <is>
          <t>MK-XS-I-060</t>
        </is>
      </c>
      <c r="B61" s="3" t="inlineStr">
        <is>
          <t>how a person is paid — weekly, fortnightly, monthly</t>
        </is>
      </c>
      <c r="C61" s="3" t="inlineStr">
        <is>
          <t>MK-CF-M-006</t>
        </is>
      </c>
      <c r="D61"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MK-MN-M-027 · MK-MN-M-028 · MK-MN-M-030 · MK-NW-M-001 · MK-NW-M-002 · MK-NW-M-003 · MK-NW-M-004 · MK-NW-M-005 · MK-NW-M-006 · MK-NW-M-007 · MK-NW-M-008 · MK-NW-M-009 · MK-NW-M-011 · MK-NW-M-012 · MK-NW-M-015 · MK-NW-M-016 · MK-NW-M-017 · MK-NW-M-046 · MK-NW-M-047 · MK-NW-M-048 · MK-NW-M-049 · MK-NW-M-063 · MK-PL-M-008 · MK-PL-M-011 · MK-PL-M-029 · MK-PL-M-034 · MK-XS-M-001 · MK-XS-M-002 · MK-XS-M-003 · MK-XS-M-005 · MK-XS-M-006</t>
        </is>
      </c>
      <c r="E61" s="3" t="inlineStr">
        <is>
          <t>PARTLY AGREES — reached but not declared: MK-CF-M-001, MK-CF-M-002, MK-CF-M-003,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MK-MN-M-027, MK-MN-M-028, MK-MN-M-030, MK-NW-M-001, MK-NW-M-002, MK-NW-M-003, MK-NW-M-004, MK-NW-M-005, MK-NW-M-006, MK-NW-M-007, MK-NW-M-008, MK-NW-M-009, MK-NW-M-011, MK-NW-M-012, MK-NW-M-015, MK-NW-M-016, MK-NW-M-017, MK-NW-M-046, MK-NW-M-047, MK-NW-M-048, MK-NW-M-049, MK-NW-M-063, MK-PL-M-008, MK-PL-M-011, MK-PL-M-029, MK-PL-M-034, MK-XS-M-001, MK-XS-M-002, MK-XS-M-003, MK-XS-M-005, MK-XS-M-006</t>
        </is>
      </c>
    </row>
    <row r="62" ht="45" customHeight="1">
      <c r="A62" s="3" t="inlineStr">
        <is>
          <t>MK-XS-I-061</t>
        </is>
      </c>
      <c r="B62" s="3" t="inlineStr">
        <is>
          <t>pre-tax balance on 31 December last year</t>
        </is>
      </c>
      <c r="C62" s="3" t="inlineStr">
        <is>
          <t>—</t>
        </is>
      </c>
      <c r="D62" s="3" t="inlineStr">
        <is>
          <t>MK-PL-M-013</t>
        </is>
      </c>
      <c r="E62" s="3" t="inlineStr">
        <is>
          <t>REACHED BUT NOT DECLARED — functions reading this input serve these figures, but no figure lists it among its inputs.</t>
        </is>
      </c>
    </row>
    <row r="63" ht="60" customHeight="1">
      <c r="A63" s="3" t="inlineStr">
        <is>
          <t>MK-XS-I-062</t>
        </is>
      </c>
      <c r="B63" s="3" t="inlineStr">
        <is>
          <t>enrolled in Medicare (yes / no)</t>
        </is>
      </c>
      <c r="C63" s="3" t="inlineStr">
        <is>
          <t>—</t>
        </is>
      </c>
      <c r="D63" s="3" t="inlineStr">
        <is>
          <t>—</t>
        </is>
      </c>
      <c r="E63" s="3" t="inlineStr">
        <is>
          <t>NOT REACHED AND NOT DECLARED — no figure names this input and no function that reads it serves a figure. Either it is not needed, or it is read by code the sweep cannot see.</t>
        </is>
      </c>
    </row>
    <row r="64" ht="60" customHeight="1">
      <c r="A64" s="3" t="inlineStr">
        <is>
          <t>MK-XS-I-063</t>
        </is>
      </c>
      <c r="B64" s="3" t="inlineStr">
        <is>
          <t>option contract multiplier — 100 unless the broker or the person states otherwise</t>
        </is>
      </c>
      <c r="C64" s="3" t="inlineStr">
        <is>
          <t>—</t>
        </is>
      </c>
      <c r="D64" s="3" t="inlineStr">
        <is>
          <t>MK-MN-M-016 · MK-NW-M-001 · MK-NW-M-002 · MK-NW-M-003 · MK-NW-M-004 · MK-NW-M-005 · MK-NW-M-006 · MK-NW-M-007 · MK-NW-M-008 · MK-NW-M-009 · MK-NW-M-011 · MK-NW-M-015 · MK-NW-M-016 · MK-NW-M-017 · MK-NW-M-029 · MK-NW-M-030 · MK-NW-M-031 · MK-NW-M-032 · MK-NW-M-033 · MK-NW-M-034 · MK-NW-M-035 · MK-NW-M-036 · MK-NW-M-037 · MK-NW-M-049 · MK-NW-M-059 · MK-NW-M-060 · MK-NW-M-061 · MK-NW-M-063 · MK-XS-M-001 · MK-XS-M-003</t>
        </is>
      </c>
      <c r="E64" s="3" t="inlineStr">
        <is>
          <t>REACHED BUT NOT DECLARED — functions reading this input serve these figures, but no figure lists it among its inputs.</t>
        </is>
      </c>
    </row>
    <row r="65" ht="60" customHeight="1">
      <c r="A65" s="3" t="inlineStr">
        <is>
          <t>MK-XS-I-064</t>
        </is>
      </c>
      <c r="B65" s="3" t="inlineStr">
        <is>
          <t>the unit beside a quantity — shares, coins, contracts, ounces or units</t>
        </is>
      </c>
      <c r="C65" s="3" t="inlineStr">
        <is>
          <t>—</t>
        </is>
      </c>
      <c r="D65"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MK-MN-M-010 · MK-MN-M-011 · MK-MN-M-012 · MK-MN-M-013 · MK-MN-M-016 · MK-MN-M-024 · MK-MN-M-025 · MK-MN-M-030 · MK-NW-M-001 · MK-NW-M-002 · MK-NW-M-003 · MK-NW-M-004 · MK-NW-M-005 · MK-NW-M-006 · MK-NW-M-007 · MK-NW-M-008 · MK-NW-M-009 · MK-NW-M-011 · MK-NW-M-012 · MK-NW-M-015 · MK-NW-M-016 · MK-NW-M-017 · MK-NW-M-029 · MK-NW-M-030 · MK-NW-M-031 · MK-NW-M-033 · MK-NW-M-034 · MK-NW-M-035 · MK-NW-M-036 · MK-NW-M-037 · MK-NW-M-046 · MK-NW-M-047 · MK-NW-M-048 · MK-NW-M-049 · MK-NW-M-059 · MK-NW-M-060 · MK-NW-M-061 · MK-NW-M-063 · MK-PF-M-002 · MK-PF-M-003 · MK-PF-M-005 · MK-PF-M-006 · MK-PF-M-007 · MK-PF-M-008 · MK-PF-M-013 · MK-PF-M-014 · MK-PF-M-015 · MK-PF-M-016 · MK-PF-M-017 · MK-PF-M-018 · MK-PF-M-019 · MK-PF-M-020 · MK-XS-M-001 · MK-XS-M-003 · MK-XS-M-004 · MK-XS-M-005 · MK-XS-M-006</t>
        </is>
      </c>
      <c r="E65" s="3" t="inlineStr">
        <is>
          <t>REACHED BUT NOT DECLARED — functions reading this input serve these figures, but no figure lists it among its inputs.</t>
        </is>
      </c>
    </row>
    <row r="66" ht="60" customHeight="1">
      <c r="A66" s="3" t="inlineStr">
        <is>
          <t>MK-XS-I-065</t>
        </is>
      </c>
      <c r="B66" s="3" t="inlineStr">
        <is>
          <t>accrued interest on a bond — interest earned since the last coupon</t>
        </is>
      </c>
      <c r="C66" s="3" t="inlineStr">
        <is>
          <t>MK-NW-M-057</t>
        </is>
      </c>
      <c r="D66" s="3" t="inlineStr">
        <is>
          <t>MK-CF-M-001 · MK-CF-M-002 · MK-CF-M-003 · MK-CF-M-006 · MK-CF-M-007 · MK-CF-M-008 · MK-CF-M-009 · MK-CF-M-010 · MK-CF-M-011 · MK-CF-M-012 · MK-CF-M-013 · MK-CF-M-014 · MK-CF-M-015 · MK-CF-M-016 · MK-CF-M-020 · MK-CF-M-021 · MK-CF-M-022 · MK-CF-M-024 · MK-CF-M-027 · MK-CF-M-028 · MK-CF-M-030 · MK-CF-M-031 · MK-CF-M-032 · MK-CF-M-033 · MK-CF-M-034 · MK-CF-M-035 · MK-CF-M-036 · MK-CF-M-037 · MK-CF-M-038 · MK-CF-M-039 · MK-CF-M-040 · MK-CF-M-041 · MK-CF-M-042 · MK-CF-M-043 · MK-CF-M-044 · MK-CF-M-045 · MK-CF-M-046 · MK-CF-M-047 · MK-CF-M-048 · MK-CF-M-049 · MK-CF-M-050 · MK-CF-M-051 · MK-CF-M-052 · MK-CF-M-053 · MK-CF-M-054 · MK-CF-M-055 · MK-CF-M-056 · MK-CF-M-057 · MK-CF-M-058 · MK-CF-M-059 · MK-CF-M-060 · MK-CF-M-061 · MK-CF-M-062 · MK-CF-M-063 · MK-CF-M-065 · MK-CF-M-066 · MK-CF-M-069 · MK-CF-M-070 · MK-CF-M-071 · MK-CF-M-072 · MK-CF-M-073 · MK-CF-M-074 · MK-CF-M-075 · MK-MN-M-006 · MK-MN-M-007 · MK-MN-M-011 · MK-MN-M-012 · MK-MN-M-013 · MK-MN-M-016 · MK-MN-M-024 · MK-MN-M-025 · MK-MN-M-030 · MK-NW-M-001 · MK-NW-M-002 · MK-NW-M-003 · MK-NW-M-004 · MK-NW-M-005 · MK-NW-M-006 · MK-NW-M-007 · MK-NW-M-008 · MK-NW-M-009 · MK-NW-M-011 · MK-NW-M-012 · MK-NW-M-015 · MK-NW-M-016 · MK-NW-M-017 · MK-NW-M-023 · MK-NW-M-024 · MK-NW-M-025 · MK-NW-M-026 · MK-NW-M-027 · MK-NW-M-041 · MK-NW-M-042 · MK-NW-M-043 · MK-NW-M-044 · MK-NW-M-045 · MK-NW-M-046 · MK-NW-M-047 · MK-NW-M-048 · MK-NW-M-049 · MK-NW-M-053 · MK-NW-M-054 · MK-NW-M-055 · MK-NW-M-056 · MK-NW-M-057 · MK-NW-M-058 · MK-NW-M-063 · MK-PF-M-002 · MK-PF-M-003 · MK-PF-M-005 · MK-PF-M-006 · MK-PF-M-007 · MK-PF-M-008 · MK-PF-M-013 · MK-PF-M-014 · MK-PF-M-015 · MK-PF-M-016 · MK-PF-M-017 · MK-PF-M-018 · MK-PF-M-019 · MK-PF-M-020 · MK-XS-M-001 · MK-XS-M-003 · MK-XS-M-004 · MK-XS-M-005 · MK-XS-M-006</t>
        </is>
      </c>
      <c r="E66" s="3" t="inlineStr">
        <is>
          <t>PARTLY AGREES — reached but not declared: MK-CF-M-001, MK-CF-M-002, MK-CF-M-003, MK-CF-M-006, MK-CF-M-007, MK-CF-M-008, MK-CF-M-009, MK-CF-M-010, MK-CF-M-011, MK-CF-M-012, MK-CF-M-013, MK-CF-M-014, MK-CF-M-015, MK-CF-M-016, MK-CF-M-020, MK-CF-M-021, MK-CF-M-022, MK-CF-M-024, MK-CF-M-027, MK-CF-M-028, MK-CF-M-030, MK-CF-M-031, MK-CF-M-032, MK-CF-M-033, MK-CF-M-034, MK-CF-M-035, MK-CF-M-036, MK-CF-M-037, MK-CF-M-038, MK-CF-M-039, MK-CF-M-040, MK-CF-M-041, MK-CF-M-042, MK-CF-M-043, MK-CF-M-044, MK-CF-M-045, MK-CF-M-046, MK-CF-M-047, MK-CF-M-048, MK-CF-M-049, MK-CF-M-050, MK-CF-M-051, MK-CF-M-052, MK-CF-M-053, MK-CF-M-054, MK-CF-M-055, MK-CF-M-056, MK-CF-M-057, MK-CF-M-058, MK-CF-M-059, MK-CF-M-060, MK-CF-M-061, MK-CF-M-062, MK-CF-M-063, MK-CF-M-065, MK-CF-M-066, MK-CF-M-069, MK-CF-M-070, MK-CF-M-071, MK-CF-M-072, MK-CF-M-073, MK-CF-M-074, MK-CF-M-075, MK-MN-M-006, MK-MN-M-007, MK-MN-M-011, MK-MN-M-012, MK-MN-M-013, MK-MN-M-016, MK-MN-M-024, MK-MN-M-025, MK-MN-M-030, MK-NW-M-001, MK-NW-M-002, MK-NW-M-003, MK-NW-M-004, MK-NW-M-005, MK-NW-M-006, MK-NW-M-007, MK-NW-M-008, MK-NW-M-009, MK-NW-M-011, MK-NW-M-012, MK-NW-M-015, MK-NW-M-016, MK-NW-M-017, MK-NW-M-023, MK-NW-M-024, MK-NW-M-025, MK-NW-M-026, MK-NW-M-027, MK-NW-M-041, MK-NW-M-042, MK-NW-M-043, MK-NW-M-044, MK-NW-M-045, MK-NW-M-046, MK-NW-M-047, MK-NW-M-048, MK-NW-M-049, MK-NW-M-053, MK-NW-M-054, MK-NW-M-055, MK-NW-M-056, MK-NW-M-058, MK-NW-M-063, MK-PF-M-002, MK-PF-M-003, MK-PF-M-005, MK-PF-M-006, MK-PF-M-007, MK-PF-M-008, MK-PF-M-013, MK-PF-M-014, MK-PF-M-015, MK-PF-M-016, MK-PF-M-017, MK-PF-M-018, MK-PF-M-019, MK-PF-M-020, MK-XS-M-001, MK-XS-M-003, MK-XS-M-004, MK-XS-M-005, MK-XS-M-006</t>
        </is>
      </c>
    </row>
    <row r="67" ht="15" customHeight="1">
      <c r="A67" s="3" t="n"/>
      <c r="B67" s="3" t="n"/>
      <c r="C67" s="3" t="n"/>
      <c r="D67" s="3" t="n"/>
      <c r="E67" s="3" t="n"/>
    </row>
    <row r="68" ht="60" customHeight="1">
      <c r="A68" s="10" t="inlineStr">
        <is>
          <t>GAPS — inputs an function names that are on NO row of the inputs tab.</t>
        </is>
      </c>
      <c r="B68" s="3" t="inlineStr">
        <is>
          <t>Each one is either a missing input, or the same input under another name.</t>
        </is>
      </c>
      <c r="C68" s="3" t="inlineStr"/>
      <c r="D68" s="3" t="inlineStr"/>
      <c r="E68" s="3" t="inlineStr"/>
    </row>
  </sheetData>
  <autoFilter ref="A1:E6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52" customWidth="1" min="3" max="3"/>
    <col width="52" customWidth="1" min="4" max="4"/>
    <col width="40" customWidth="1" min="5" max="5"/>
    <col width="44" customWidth="1" min="6" max="6"/>
  </cols>
  <sheetData>
    <row r="1" ht="15" customHeight="1">
      <c r="A1" s="1" t="inlineStr">
        <is>
          <t>Engine ID</t>
        </is>
      </c>
      <c r="B1" s="1" t="inlineStr">
        <is>
          <t>Engine name</t>
        </is>
      </c>
      <c r="C1" s="1" t="inlineStr">
        <is>
          <t>Where it is implemented (S12)</t>
        </is>
      </c>
      <c r="D1" s="1" t="inlineStr">
        <is>
          <t>What it answers</t>
        </is>
      </c>
      <c r="E1" s="1" t="inlineStr">
        <is>
          <t>Metric identifiers that reach it</t>
        </is>
      </c>
      <c r="F1" s="1" t="inlineStr">
        <is>
          <t>How it is reached</t>
        </is>
      </c>
    </row>
    <row r="2" ht="15" customHeight="1">
      <c r="A2" s="3" t="inlineStr">
        <is>
          <t>MK-HM-E-001</t>
        </is>
      </c>
      <c r="B2" s="3" t="inlineStr">
        <is>
          <t>PRICE_FRESHNESS</t>
        </is>
      </c>
      <c r="C2" s="3" t="inlineStr">
        <is>
          <t>src/services/marketData.ts:60</t>
        </is>
      </c>
      <c r="D2" s="3" t="inlineStr">
        <is>
          <t>How old is the price we are showing?</t>
        </is>
      </c>
      <c r="E2" s="3" t="inlineStr">
        <is>
          <t>MK-HM-M-001</t>
        </is>
      </c>
      <c r="F2" s="3" t="inlineStr">
        <is>
          <t>Named by 1 figure(s)</t>
        </is>
      </c>
    </row>
    <row r="3" ht="30" customHeight="1">
      <c r="A3" s="3" t="inlineStr">
        <is>
          <t>MK-HM-E-002</t>
        </is>
      </c>
      <c r="B3" s="3" t="inlineStr">
        <is>
          <t>NOT IN OLD MASTER — milestoneCrossed, src/domain/milestones.ts</t>
        </is>
      </c>
      <c r="C3" s="3" t="inlineStr">
        <is>
          <t>NOT DETERMINED — no source line on record</t>
        </is>
      </c>
      <c r="D3" s="3" t="inlineStr">
        <is>
          <t>—</t>
        </is>
      </c>
      <c r="E3" s="3" t="inlineStr">
        <is>
          <t>MK-HM-M-002</t>
        </is>
      </c>
      <c r="F3" s="3" t="inlineStr">
        <is>
          <t>Named by 1 figure(s)</t>
        </is>
      </c>
    </row>
    <row r="4" ht="30" customHeight="1">
      <c r="A4" s="3" t="inlineStr">
        <is>
          <t>MK-HM-E-003</t>
        </is>
      </c>
      <c r="B4" s="3" t="inlineStr">
        <is>
          <t>NOT IN OLD MASTER — useInsights, src/domain/insights</t>
        </is>
      </c>
      <c r="C4" s="3" t="inlineStr">
        <is>
          <t>NOT DETERMINED — no source line on record</t>
        </is>
      </c>
      <c r="D4" s="3" t="inlineStr">
        <is>
          <t>—</t>
        </is>
      </c>
      <c r="E4" s="3" t="inlineStr">
        <is>
          <t>MK-HM-M-003 · MK-MN-M-015</t>
        </is>
      </c>
      <c r="F4" s="3" t="inlineStr">
        <is>
          <t>Named by 2 figure(s)</t>
        </is>
      </c>
    </row>
    <row r="5" ht="15" customHeight="1">
      <c r="A5" s="3" t="inlineStr">
        <is>
          <t>MK-MN-E-001</t>
        </is>
      </c>
      <c r="B5" s="3" t="inlineStr">
        <is>
          <t>BIG_COSTS</t>
        </is>
      </c>
      <c r="C5" s="3" t="inlineStr">
        <is>
          <t>NOT DETERMINED — no source line on record</t>
        </is>
      </c>
      <c r="D5" s="3" t="inlineStr">
        <is>
          <t>—</t>
        </is>
      </c>
      <c r="E5" s="3" t="inlineStr">
        <is>
          <t>MK-MN-M-001 · MK-MN-M-002</t>
        </is>
      </c>
      <c r="F5" s="3" t="inlineStr">
        <is>
          <t>Named by 2 figure(s)</t>
        </is>
      </c>
    </row>
    <row r="6" ht="15" customHeight="1">
      <c r="A6" s="3" t="inlineStr">
        <is>
          <t>MK-MN-E-002</t>
        </is>
      </c>
      <c r="B6" s="3" t="inlineStr">
        <is>
          <t>PLANNED_SPENDING</t>
        </is>
      </c>
      <c r="C6" s="3" t="inlineStr">
        <is>
          <t>src/domain/budget/index.ts:45</t>
        </is>
      </c>
      <c r="D6" s="3" t="inlineStr">
        <is>
          <t>What does this person plan to spend each month?</t>
        </is>
      </c>
      <c r="E6" s="3" t="inlineStr">
        <is>
          <t>MK-MN-M-007</t>
        </is>
      </c>
      <c r="F6" s="3" t="inlineStr">
        <is>
          <t>Named by 1 figure(s)</t>
        </is>
      </c>
    </row>
    <row r="7" ht="15" customHeight="1">
      <c r="A7" s="3" t="inlineStr">
        <is>
          <t>MK-MN-E-003</t>
        </is>
      </c>
      <c r="B7" s="3" t="inlineStr">
        <is>
          <t>GOAL_CAPACITY</t>
        </is>
      </c>
      <c r="C7" s="3" t="inlineStr">
        <is>
          <t>NOT DETERMINED — no source line on record</t>
        </is>
      </c>
      <c r="D7" s="3" t="inlineStr">
        <is>
          <t>—</t>
        </is>
      </c>
      <c r="E7" s="3" t="inlineStr">
        <is>
          <t>MK-MN-M-008</t>
        </is>
      </c>
      <c r="F7" s="3" t="inlineStr">
        <is>
          <t>Named by 1 figure(s)</t>
        </is>
      </c>
    </row>
    <row r="8" ht="15" customHeight="1">
      <c r="A8" s="3" t="inlineStr">
        <is>
          <t>MK-MN-E-004</t>
        </is>
      </c>
      <c r="B8" s="3" t="inlineStr">
        <is>
          <t>GOAL_PROGRESS</t>
        </is>
      </c>
      <c r="C8" s="3" t="inlineStr">
        <is>
          <t>NOT DETERMINED — no source line on record</t>
        </is>
      </c>
      <c r="D8" s="3" t="inlineStr">
        <is>
          <t>—</t>
        </is>
      </c>
      <c r="E8" s="3" t="inlineStr">
        <is>
          <t>MK-MN-M-009</t>
        </is>
      </c>
      <c r="F8" s="3" t="inlineStr">
        <is>
          <t>Named by 1 figure(s)</t>
        </is>
      </c>
    </row>
    <row r="9" ht="15" customHeight="1">
      <c r="A9" s="3" t="inlineStr">
        <is>
          <t>MK-MN-E-005</t>
        </is>
      </c>
      <c r="B9" s="3" t="inlineStr">
        <is>
          <t>SINKING_FUNDS</t>
        </is>
      </c>
      <c r="C9" s="3" t="inlineStr">
        <is>
          <t>NOT DETERMINED — no source line on record</t>
        </is>
      </c>
      <c r="D9" s="3" t="inlineStr">
        <is>
          <t>—</t>
        </is>
      </c>
      <c r="E9" s="3" t="inlineStr">
        <is>
          <t>MK-MN-M-010</t>
        </is>
      </c>
      <c r="F9" s="3" t="inlineStr">
        <is>
          <t>Named by 1 figure(s)</t>
        </is>
      </c>
    </row>
    <row r="10" ht="15" customHeight="1">
      <c r="A10" s="3" t="inlineStr">
        <is>
          <t>MK-MN-E-006</t>
        </is>
      </c>
      <c r="B10" s="3" t="inlineStr">
        <is>
          <t>EMPLOYER_MATCH</t>
        </is>
      </c>
      <c r="C10" s="3" t="inlineStr">
        <is>
          <t>src/domain/income/onboarding.ts:263</t>
        </is>
      </c>
      <c r="D10" s="3" t="inlineStr">
        <is>
          <t>How much does the employer add each month?</t>
        </is>
      </c>
      <c r="E10" s="3" t="inlineStr">
        <is>
          <t>MK-MN-M-014</t>
        </is>
      </c>
      <c r="F10" s="3" t="inlineStr">
        <is>
          <t>Named by 1 figure(s)</t>
        </is>
      </c>
    </row>
    <row r="11" ht="30" customHeight="1">
      <c r="A11" s="3" t="inlineStr">
        <is>
          <t>MK-MN-E-007</t>
        </is>
      </c>
      <c r="B11" s="3" t="inlineStr">
        <is>
          <t>INSURANCE_NEED</t>
        </is>
      </c>
      <c r="C11" s="3" t="inlineStr">
        <is>
          <t>NOT DETERMINED — no source line on record</t>
        </is>
      </c>
      <c r="D11" s="3" t="inlineStr">
        <is>
          <t>—</t>
        </is>
      </c>
      <c r="E11" s="3" t="inlineStr">
        <is>
          <t>MK-MN-M-017 · MK-MN-M-018 · MK-MN-M-019</t>
        </is>
      </c>
      <c r="F11" s="3" t="inlineStr">
        <is>
          <t>Named by 3 figure(s)</t>
        </is>
      </c>
    </row>
    <row r="12" ht="30" customHeight="1">
      <c r="A12" s="3" t="inlineStr">
        <is>
          <t>MK-PL-E-001</t>
        </is>
      </c>
      <c r="B12" s="3" t="inlineStr">
        <is>
          <t>WHAT_THE_PLAN_STILL_NEEDS</t>
        </is>
      </c>
      <c r="C12" s="3" t="inlineStr">
        <is>
          <t>src/domain/planning/hub.ts:44</t>
        </is>
      </c>
      <c r="D12" s="3" t="inlineStr">
        <is>
          <t>Is there enough to show this person their own odds?</t>
        </is>
      </c>
      <c r="E12" s="3" t="inlineStr">
        <is>
          <t>MK-PL-M-001 · MK-PL-M-002</t>
        </is>
      </c>
      <c r="F12" s="3" t="inlineStr">
        <is>
          <t>Named by 2 figure(s)</t>
        </is>
      </c>
    </row>
    <row r="13" ht="30" customHeight="1">
      <c r="A13" s="3" t="inlineStr">
        <is>
          <t>MK-PL-E-002</t>
        </is>
      </c>
      <c r="B13" s="3" t="inlineStr">
        <is>
          <t>NOT IN OLD MASTER — retirementPaycheckYear, src/domain/paycheck</t>
        </is>
      </c>
      <c r="C13" s="3" t="inlineStr">
        <is>
          <t>NOT DETERMINED — no source line on record</t>
        </is>
      </c>
      <c r="D13" s="3" t="inlineStr">
        <is>
          <t>—</t>
        </is>
      </c>
      <c r="E13" s="3" t="inlineStr">
        <is>
          <t>MK-PL-M-003 · MK-PL-M-004 · MK-PL-M-005</t>
        </is>
      </c>
      <c r="F13" s="3" t="inlineStr">
        <is>
          <t>Named by 3 figure(s)</t>
        </is>
      </c>
    </row>
    <row r="14" ht="30" customHeight="1">
      <c r="A14" s="3" t="inlineStr">
        <is>
          <t>MK-PL-E-003</t>
        </is>
      </c>
      <c r="B14" s="3" t="inlineStr">
        <is>
          <t>NOT IN OLD MASTER — saved scenarios, src/domain/scenarios</t>
        </is>
      </c>
      <c r="C14" s="3" t="inlineStr">
        <is>
          <t>NOT DETERMINED — no source line on record</t>
        </is>
      </c>
      <c r="D14" s="3" t="inlineStr">
        <is>
          <t>—</t>
        </is>
      </c>
      <c r="E14" s="3" t="inlineStr">
        <is>
          <t>MK-PL-M-007</t>
        </is>
      </c>
      <c r="F14" s="3" t="inlineStr">
        <is>
          <t>Named by 1 figure(s)</t>
        </is>
      </c>
    </row>
    <row r="15" ht="15" customHeight="1">
      <c r="A15" s="3" t="inlineStr">
        <is>
          <t>MK-PL-E-004</t>
        </is>
      </c>
      <c r="B15" s="3" t="inlineStr">
        <is>
          <t>GUARANTEED_STREAMS (engines: B1 rebuild)</t>
        </is>
      </c>
      <c r="C15" s="3" t="inlineStr">
        <is>
          <t>NOT DETERMINED — no source line on record</t>
        </is>
      </c>
      <c r="D15" s="3" t="inlineStr">
        <is>
          <t>—</t>
        </is>
      </c>
      <c r="E15" s="3" t="inlineStr">
        <is>
          <t>MK-PL-M-010</t>
        </is>
      </c>
      <c r="F15" s="3" t="inlineStr">
        <is>
          <t>Named by 1 figure(s)</t>
        </is>
      </c>
    </row>
    <row r="16" ht="30" customHeight="1">
      <c r="A16" s="3" t="inlineStr">
        <is>
          <t>MK-PL-E-005</t>
        </is>
      </c>
      <c r="B16" s="3" t="inlineStr">
        <is>
          <t>RMD_START_AGE (Calculation Module code/engines/rmd.ts)</t>
        </is>
      </c>
      <c r="C16" s="3" t="inlineStr">
        <is>
          <t>NOT DETERMINED — no source line on record</t>
        </is>
      </c>
      <c r="D16" s="3" t="inlineStr">
        <is>
          <t>—</t>
        </is>
      </c>
      <c r="E16" s="3" t="inlineStr">
        <is>
          <t>MK-PL-M-012</t>
        </is>
      </c>
      <c r="F16" s="3" t="inlineStr">
        <is>
          <t>Named by 1 figure(s)</t>
        </is>
      </c>
    </row>
    <row r="17" ht="15" customHeight="1">
      <c r="A17" s="3" t="inlineStr">
        <is>
          <t>MK-PL-E-006</t>
        </is>
      </c>
      <c r="B17" s="3" t="inlineStr">
        <is>
          <t>REQUIRED_WITHDRAWAL</t>
        </is>
      </c>
      <c r="C17" s="3" t="inlineStr">
        <is>
          <t>NOT DETERMINED — no source line on record</t>
        </is>
      </c>
      <c r="D17" s="3" t="inlineStr">
        <is>
          <t>—</t>
        </is>
      </c>
      <c r="E17" s="3" t="inlineStr">
        <is>
          <t>MK-PL-M-013 · MK-PL-M-015</t>
        </is>
      </c>
      <c r="F17" s="3" t="inlineStr">
        <is>
          <t>Named by 2 figure(s)</t>
        </is>
      </c>
    </row>
    <row r="18" ht="15" customHeight="1">
      <c r="A18" s="3" t="inlineStr">
        <is>
          <t>MK-PL-E-007</t>
        </is>
      </c>
      <c r="B18" s="3" t="inlineStr">
        <is>
          <t>HAND_VALUE_AGE</t>
        </is>
      </c>
      <c r="C18" s="3" t="inlineStr">
        <is>
          <t>src/domain/assets/index.ts:97</t>
        </is>
      </c>
      <c r="D18" s="3" t="inlineStr">
        <is>
          <t>How old is this hand-entered value?</t>
        </is>
      </c>
      <c r="E18" s="3" t="inlineStr">
        <is>
          <t>MK-PL-M-016</t>
        </is>
      </c>
      <c r="F18" s="3" t="inlineStr">
        <is>
          <t>Named by 1 figure(s)</t>
        </is>
      </c>
    </row>
    <row r="19" ht="15" customHeight="1">
      <c r="A19" s="3" t="inlineStr">
        <is>
          <t>MK-PL-E-008</t>
        </is>
      </c>
      <c r="B19" s="3" t="inlineStr">
        <is>
          <t>RETIREMENT_INCOME_NOW</t>
        </is>
      </c>
      <c r="C19" s="3" t="inlineStr">
        <is>
          <t>src/domain/income/onboarding.ts:191</t>
        </is>
      </c>
      <c r="D19" s="3" t="inlineStr">
        <is>
          <t>How much retirement income is arriving TODAY?</t>
        </is>
      </c>
      <c r="E19" s="3" t="inlineStr">
        <is>
          <t>MK-PL-M-018 · MK-PL-M-032</t>
        </is>
      </c>
      <c r="F19" s="3" t="inlineStr">
        <is>
          <t>Named by 2 figure(s)</t>
        </is>
      </c>
    </row>
    <row r="20" ht="15" customHeight="1">
      <c r="A20" s="3" t="inlineStr">
        <is>
          <t>MK-PL-E-009</t>
        </is>
      </c>
      <c r="B20" s="3" t="inlineStr">
        <is>
          <t>SS_CLAIM_FACTOR · SS_BENEFIT_AT_AGE</t>
        </is>
      </c>
      <c r="C20" s="3" t="inlineStr">
        <is>
          <t>NOT DETERMINED — no source line on record</t>
        </is>
      </c>
      <c r="D20" s="3" t="inlineStr">
        <is>
          <t>—</t>
        </is>
      </c>
      <c r="E20" s="3" t="inlineStr">
        <is>
          <t>MK-PL-M-019</t>
        </is>
      </c>
      <c r="F20" s="3" t="inlineStr">
        <is>
          <t>Named by 1 figure(s)</t>
        </is>
      </c>
    </row>
    <row r="21" ht="15" customHeight="1">
      <c r="A21" s="3" t="inlineStr">
        <is>
          <t>MK-PL-E-010</t>
        </is>
      </c>
      <c r="B21" s="3" t="inlineStr">
        <is>
          <t>SS_LIFETIME_TOTAL</t>
        </is>
      </c>
      <c r="C21" s="3" t="inlineStr">
        <is>
          <t>NOT DETERMINED — no source line on record</t>
        </is>
      </c>
      <c r="D21" s="3" t="inlineStr">
        <is>
          <t>—</t>
        </is>
      </c>
      <c r="E21" s="3" t="inlineStr">
        <is>
          <t>MK-PL-M-020</t>
        </is>
      </c>
      <c r="F21" s="3" t="inlineStr">
        <is>
          <t>Named by 1 figure(s)</t>
        </is>
      </c>
    </row>
    <row r="22" ht="30" customHeight="1">
      <c r="A22" s="3" t="inlineStr">
        <is>
          <t>MK-PL-E-011</t>
        </is>
      </c>
      <c r="B22" s="3" t="inlineStr">
        <is>
          <t>the worked example used until a real statement goes in</t>
        </is>
      </c>
      <c r="C22" s="3" t="inlineStr">
        <is>
          <t>NOT DETERMINED — no source line on record</t>
        </is>
      </c>
      <c r="D22" s="3" t="inlineStr">
        <is>
          <t>—</t>
        </is>
      </c>
      <c r="E22" s="3" t="inlineStr">
        <is>
          <t>MK-PL-M-021</t>
        </is>
      </c>
      <c r="F22" s="3" t="inlineStr">
        <is>
          <t>Named by 1 figure(s)</t>
        </is>
      </c>
    </row>
    <row r="23" ht="30" customHeight="1">
      <c r="A23" s="3" t="inlineStr">
        <is>
          <t>MK-PL-E-012</t>
        </is>
      </c>
      <c r="B23" s="3" t="inlineStr">
        <is>
          <t>the amount the person chose</t>
        </is>
      </c>
      <c r="C23" s="3" t="inlineStr">
        <is>
          <t>On the screen itself — no engine file</t>
        </is>
      </c>
      <c r="D23" s="3" t="inlineStr">
        <is>
          <t>—</t>
        </is>
      </c>
      <c r="E23" s="3" t="inlineStr">
        <is>
          <t>MK-PL-M-022 · MK-PL-M-025 · MK-PL-M-030</t>
        </is>
      </c>
      <c r="F23" s="3" t="inlineStr">
        <is>
          <t>Named by 3 figure(s)</t>
        </is>
      </c>
    </row>
    <row r="24" ht="15" customHeight="1">
      <c r="A24" s="3" t="inlineStr">
        <is>
          <t>MK-PL-E-013</t>
        </is>
      </c>
      <c r="B24" s="3" t="inlineStr">
        <is>
          <t>TAX_ON_CONVERSION</t>
        </is>
      </c>
      <c r="C24" s="3" t="inlineStr">
        <is>
          <t>NOT DETERMINED — no source line on record</t>
        </is>
      </c>
      <c r="D24" s="3" t="inlineStr">
        <is>
          <t>—</t>
        </is>
      </c>
      <c r="E24" s="3" t="inlineStr">
        <is>
          <t>MK-PL-M-023</t>
        </is>
      </c>
      <c r="F24" s="3" t="inlineStr">
        <is>
          <t>Named by 1 figure(s)</t>
        </is>
      </c>
    </row>
    <row r="25" ht="15" customHeight="1">
      <c r="A25" s="3" t="inlineStr">
        <is>
          <t>MK-PL-E-014</t>
        </is>
      </c>
      <c r="B25" s="3" t="inlineStr">
        <is>
          <t>PRE_TAX_BALANCE</t>
        </is>
      </c>
      <c r="C25" s="3" t="inlineStr">
        <is>
          <t>NOT DETERMINED — no source line on record</t>
        </is>
      </c>
      <c r="D25" s="3" t="inlineStr">
        <is>
          <t>—</t>
        </is>
      </c>
      <c r="E25" s="3" t="inlineStr">
        <is>
          <t>MK-PL-M-024</t>
        </is>
      </c>
      <c r="F25" s="3" t="inlineStr">
        <is>
          <t>Named by 1 figure(s)</t>
        </is>
      </c>
    </row>
    <row r="26" ht="30" customHeight="1">
      <c r="A26" s="3" t="inlineStr">
        <is>
          <t>MK-PL-E-015</t>
        </is>
      </c>
      <c r="B26" s="3" t="inlineStr">
        <is>
          <t>POT_AT_RETIREMENT</t>
        </is>
      </c>
      <c r="C26" s="3" t="inlineStr">
        <is>
          <t>src/domain/retirement/index.ts:324</t>
        </is>
      </c>
      <c r="D26" s="3" t="inlineStr">
        <is>
          <t>What will the pot be worth at retirement, and how big does it need to be?</t>
        </is>
      </c>
      <c r="E26" s="3" t="inlineStr">
        <is>
          <t>MK-PL-M-026 · MK-PL-M-033</t>
        </is>
      </c>
      <c r="F26" s="3" t="inlineStr">
        <is>
          <t>Named by 2 figure(s)</t>
        </is>
      </c>
    </row>
    <row r="27" ht="15" customHeight="1">
      <c r="A27" s="3" t="inlineStr">
        <is>
          <t>MK-PL-E-016</t>
        </is>
      </c>
      <c r="B27" s="3" t="inlineStr">
        <is>
          <t>the amounts the person chose</t>
        </is>
      </c>
      <c r="C27" s="3" t="inlineStr">
        <is>
          <t>On the screen itself — no engine file</t>
        </is>
      </c>
      <c r="D27" s="3" t="inlineStr">
        <is>
          <t>—</t>
        </is>
      </c>
      <c r="E27" s="3" t="inlineStr">
        <is>
          <t>MK-PL-M-028</t>
        </is>
      </c>
      <c r="F27" s="3" t="inlineStr">
        <is>
          <t>Named by 1 figure(s)</t>
        </is>
      </c>
    </row>
    <row r="28" ht="15" customHeight="1">
      <c r="A28" s="3" t="inlineStr">
        <is>
          <t>MK-PL-E-017</t>
        </is>
      </c>
      <c r="B28" s="3" t="inlineStr">
        <is>
          <t>DEBT_PAYOFF</t>
        </is>
      </c>
      <c r="C28" s="3" t="inlineStr">
        <is>
          <t>NOT DETERMINED — no source line on record</t>
        </is>
      </c>
      <c r="D28" s="3" t="inlineStr">
        <is>
          <t>—</t>
        </is>
      </c>
      <c r="E28" s="3" t="inlineStr">
        <is>
          <t>MK-PL-M-031</t>
        </is>
      </c>
      <c r="F28" s="3" t="inlineStr">
        <is>
          <t>Named by 1 figure(s)</t>
        </is>
      </c>
    </row>
    <row r="29" ht="15" customHeight="1">
      <c r="A29" s="3" t="inlineStr">
        <is>
          <t>MK-PL-E-018</t>
        </is>
      </c>
      <c r="B29" s="3" t="inlineStr">
        <is>
          <t>the age the person chose</t>
        </is>
      </c>
      <c r="C29" s="3" t="inlineStr">
        <is>
          <t>On the screen itself — no engine file</t>
        </is>
      </c>
      <c r="D29" s="3" t="inlineStr">
        <is>
          <t>—</t>
        </is>
      </c>
      <c r="E29" s="3" t="inlineStr">
        <is>
          <t>MK-PL-M-035</t>
        </is>
      </c>
      <c r="F29" s="3" t="inlineStr">
        <is>
          <t>Named by 1 figure(s)</t>
        </is>
      </c>
    </row>
    <row r="30" ht="15" customHeight="1">
      <c r="A30" s="3" t="inlineStr">
        <is>
          <t>MK-PL-E-019</t>
        </is>
      </c>
      <c r="B30" s="3" t="inlineStr">
        <is>
          <t>EDUCATION_COST</t>
        </is>
      </c>
      <c r="C30" s="3" t="inlineStr">
        <is>
          <t>NOT DETERMINED — no source line on record</t>
        </is>
      </c>
      <c r="D30" s="3" t="inlineStr">
        <is>
          <t>—</t>
        </is>
      </c>
      <c r="E30" s="3" t="inlineStr">
        <is>
          <t>MK-PL-M-036 · MK-PL-M-037</t>
        </is>
      </c>
      <c r="F30" s="3" t="inlineStr">
        <is>
          <t>Named by 2 figure(s)</t>
        </is>
      </c>
    </row>
    <row r="31" ht="30" customHeight="1">
      <c r="A31" s="3" t="inlineStr">
        <is>
          <t>MK-XS-E-001</t>
        </is>
      </c>
      <c r="B31" s="3" t="inlineStr">
        <is>
          <t>NEST_EGG</t>
        </is>
      </c>
      <c r="C31" s="3" t="inlineStr">
        <is>
          <t>src/domain/assets/index.ts:548</t>
        </is>
      </c>
      <c r="D31" s="3" t="inlineStr">
        <is>
          <t>What is my retirement pot worth?</t>
        </is>
      </c>
      <c r="E31" s="3" t="inlineStr">
        <is>
          <t>—</t>
        </is>
      </c>
      <c r="F31" s="3" t="inlineStr">
        <is>
          <t>Only as another engine’s dependency — no figure names it directly</t>
        </is>
      </c>
    </row>
    <row r="32" ht="30" customHeight="1">
      <c r="A32" s="3" t="inlineStr">
        <is>
          <t>MK-XS-E-002</t>
        </is>
      </c>
      <c r="B32" s="3" t="inlineStr">
        <is>
          <t>ODDS_DISPLAY</t>
        </is>
      </c>
      <c r="C32" s="3" t="inlineStr">
        <is>
          <t>src/domain/retirement/willItLast.ts:55</t>
        </is>
      </c>
      <c r="D32" s="3" t="inlineStr">
        <is>
          <t>The retirement odds a person actually sees. Answers: 0, 5, 10 … 100 — the exact simulation</t>
        </is>
      </c>
      <c r="E32" s="3" t="inlineStr">
        <is>
          <t>—</t>
        </is>
      </c>
      <c r="F32" s="3" t="inlineStr">
        <is>
          <t>Only as another engine’s dependency — no figure names it directly</t>
        </is>
      </c>
    </row>
    <row r="33" ht="15" customHeight="1">
      <c r="A33" s="3" t="inlineStr">
        <is>
          <t>MK-XS-E-003</t>
        </is>
      </c>
      <c r="B33" s="3" t="inlineStr">
        <is>
          <t>RETIREMENT_SPENDING</t>
        </is>
      </c>
      <c r="C33" s="3" t="inlineStr">
        <is>
          <t>src/domain/retirement/index.ts:49</t>
        </is>
      </c>
      <c r="D33" s="3" t="inlineStr">
        <is>
          <t>What will be spent each month in retirement?</t>
        </is>
      </c>
      <c r="E33" s="3" t="inlineStr">
        <is>
          <t>MK-PL-M-009</t>
        </is>
      </c>
      <c r="F33" s="3" t="inlineStr">
        <is>
          <t>Named by 1 figure(s)</t>
        </is>
      </c>
    </row>
    <row r="34" ht="30" customHeight="1">
      <c r="A34" s="3" t="inlineStr">
        <is>
          <t>MK-XS-E-004</t>
        </is>
      </c>
      <c r="B34" s="3" t="inlineStr">
        <is>
          <t>WILL_IT_LAST</t>
        </is>
      </c>
      <c r="C34" s="3" t="inlineStr">
        <is>
          <t>src/domain/retirement/index.ts:156</t>
        </is>
      </c>
      <c r="D34" s="3" t="inlineStr">
        <is>
          <t>Will my money last?</t>
        </is>
      </c>
      <c r="E34" s="3" t="inlineStr">
        <is>
          <t>—</t>
        </is>
      </c>
      <c r="F34" s="3" t="inlineStr">
        <is>
          <t>Only as another engine’s dependency — no figure names it directly</t>
        </is>
      </c>
    </row>
    <row r="35" ht="30" customHeight="1">
      <c r="A35" s="3" t="inlineStr">
        <is>
          <t>MK-XS-E-005</t>
        </is>
      </c>
      <c r="B35" s="3" t="inlineStr">
        <is>
          <t>WILL_IT_LAST_INPUTS</t>
        </is>
      </c>
      <c r="C35" s="3" t="inlineStr">
        <is>
          <t>src/domain/retirement/willItLast.ts:62</t>
        </is>
      </c>
      <c r="D35" s="3" t="inlineStr">
        <is>
          <t>What goes into working out the odds?</t>
        </is>
      </c>
      <c r="E35" s="3" t="inlineStr">
        <is>
          <t>MK-PL-M-008 · MK-PL-M-011 · MK-PL-M-029</t>
        </is>
      </c>
      <c r="F35" s="3" t="inlineStr">
        <is>
          <t>Named by 3 figure(s)</t>
        </is>
      </c>
    </row>
    <row r="36" ht="15" customHeight="1">
      <c r="A36" s="3" t="inlineStr">
        <is>
          <t>MK-XS-E-006</t>
        </is>
      </c>
      <c r="B36" s="3" t="inlineStr">
        <is>
          <t>WILL_IT_LAST_RESULT</t>
        </is>
      </c>
      <c r="C36" s="3" t="inlineStr">
        <is>
          <t>src/domain/retirement/willItLast.ts:149</t>
        </is>
      </c>
      <c r="D36" s="3" t="inlineStr">
        <is>
          <t>What are the odds, and can we honestly show them?</t>
        </is>
      </c>
      <c r="E36" s="3" t="inlineStr">
        <is>
          <t>MK-PL-M-034 · MK-XS-M-002</t>
        </is>
      </c>
      <c r="F36" s="3" t="inlineStr">
        <is>
          <t>Named by 2 figure(s)</t>
        </is>
      </c>
    </row>
    <row r="37" ht="30" customHeight="1">
      <c r="A37" s="3" t="inlineStr">
        <is>
          <t>MK-XS-E-007</t>
        </is>
      </c>
      <c r="B37" s="3" t="inlineStr">
        <is>
          <t>NOT IN OLD MASTER — budgetVsActual, src/domain/budget</t>
        </is>
      </c>
      <c r="C37" s="3" t="inlineStr">
        <is>
          <t>NOT DETERMINED — no source line on record</t>
        </is>
      </c>
      <c r="D37" s="3" t="inlineStr">
        <is>
          <t>—</t>
        </is>
      </c>
      <c r="E37" s="3" t="inlineStr">
        <is>
          <t>MK-XS-M-005</t>
        </is>
      </c>
      <c r="F37" s="3" t="inlineStr">
        <is>
          <t>Named by 1 figure(s)</t>
        </is>
      </c>
    </row>
    <row r="38" ht="30" customHeight="1">
      <c r="A38" s="3" t="inlineStr">
        <is>
          <t>MK-XS-E-008</t>
        </is>
      </c>
      <c r="B38" s="3" t="inlineStr">
        <is>
          <t>NOT IN OLD MASTER — incomeMonthlyGrid, src/domain/income</t>
        </is>
      </c>
      <c r="C38" s="3" t="inlineStr">
        <is>
          <t>NOT DETERMINED — no source line on record</t>
        </is>
      </c>
      <c r="D38" s="3" t="inlineStr">
        <is>
          <t>—</t>
        </is>
      </c>
      <c r="E38" s="3" t="inlineStr">
        <is>
          <t>MK-XS-M-006</t>
        </is>
      </c>
      <c r="F38" s="3" t="inlineStr">
        <is>
          <t>Named by 1 figure(s)</t>
        </is>
      </c>
    </row>
    <row r="39" ht="30" customHeight="1">
      <c r="A39" s="3" t="inlineStr">
        <is>
          <t>MK-XS-E-009</t>
        </is>
      </c>
      <c r="B39" s="3" t="inlineStr">
        <is>
          <t>FETCH_PRICES</t>
        </is>
      </c>
      <c r="C39" s="3" t="inlineStr">
        <is>
          <t>src/services/marketData.ts:71</t>
        </is>
      </c>
      <c r="D39" s="3" t="inlineStr">
        <is>
          <t>What are these holdings worth?</t>
        </is>
      </c>
      <c r="E39" s="3" t="inlineStr">
        <is>
          <t>—</t>
        </is>
      </c>
      <c r="F39" s="3" t="inlineStr">
        <is>
          <t>Only as another engine’s dependency — no figure names it directly</t>
        </is>
      </c>
    </row>
    <row r="40" ht="30" customHeight="1">
      <c r="A40" s="3" t="inlineStr">
        <is>
          <t>MK-XS-E-010</t>
        </is>
      </c>
      <c r="B40" s="3" t="inlineStr">
        <is>
          <t>EFFECTIVE_TAX_RATE</t>
        </is>
      </c>
      <c r="C40" s="3" t="inlineStr">
        <is>
          <t>src/domain/income/tax.ts:130</t>
        </is>
      </c>
      <c r="D40" s="3" t="inlineStr">
        <is>
          <t>What share of my income actually goes in tax?</t>
        </is>
      </c>
      <c r="E40" s="3" t="inlineStr">
        <is>
          <t>—</t>
        </is>
      </c>
      <c r="F40" s="3" t="inlineStr">
        <is>
          <t>Only as another engine’s dependency — no figure names it directly</t>
        </is>
      </c>
    </row>
    <row r="41" ht="30" customHeight="1">
      <c r="A41" s="3" t="inlineStr">
        <is>
          <t>MK-XS-E-011</t>
        </is>
      </c>
      <c r="B41" s="3" t="inlineStr">
        <is>
          <t>EXPECTED_RETURN_BLENDED</t>
        </is>
      </c>
      <c r="C41" s="3" t="inlineStr">
        <is>
          <t>src/domain/assets/index.ts:638</t>
        </is>
      </c>
      <c r="D41" s="3" t="inlineStr">
        <is>
          <t>What return should I expect on everything I hold together?</t>
        </is>
      </c>
      <c r="E41" s="3" t="inlineStr">
        <is>
          <t>—</t>
        </is>
      </c>
      <c r="F41" s="3" t="inlineStr">
        <is>
          <t>Only as another engine’s dependency — no figure names it directly</t>
        </is>
      </c>
    </row>
    <row r="42" ht="30" customHeight="1">
      <c r="A42" s="3" t="inlineStr">
        <is>
          <t>MK-XS-E-012</t>
        </is>
      </c>
      <c r="B42" s="3" t="inlineStr">
        <is>
          <t>EXPECTED_SWING_BLENDED</t>
        </is>
      </c>
      <c r="C42" s="3" t="inlineStr">
        <is>
          <t>src/domain/assets/index.ts:597</t>
        </is>
      </c>
      <c r="D42" s="3" t="inlineStr">
        <is>
          <t>How much does a year's return typically swing around that average?</t>
        </is>
      </c>
      <c r="E42" s="3" t="inlineStr">
        <is>
          <t>—</t>
        </is>
      </c>
      <c r="F42" s="3" t="inlineStr">
        <is>
          <t>Only as another engine’s dependency — no figure names it directly</t>
        </is>
      </c>
    </row>
    <row r="43" ht="30" customHeight="1">
      <c r="A43" s="3" t="inlineStr">
        <is>
          <t>MK-XS-E-013</t>
        </is>
      </c>
      <c r="B43" s="3" t="inlineStr">
        <is>
          <t>FILING_STATUS</t>
        </is>
      </c>
      <c r="C43" s="3" t="inlineStr">
        <is>
          <t>src/domain/income/onboarding.ts:354</t>
        </is>
      </c>
      <c r="D43" s="3" t="inlineStr">
        <is>
          <t>How does this person file?</t>
        </is>
      </c>
      <c r="E43" s="3" t="inlineStr">
        <is>
          <t>—</t>
        </is>
      </c>
      <c r="F43" s="3" t="inlineStr">
        <is>
          <t>Only as another engine’s dependency — no figure names it directly</t>
        </is>
      </c>
    </row>
    <row r="44" ht="30" customHeight="1">
      <c r="A44" s="3" t="inlineStr">
        <is>
          <t>MK-XS-E-014</t>
        </is>
      </c>
      <c r="B44" s="3" t="inlineStr">
        <is>
          <t>GUARANTEED_OUTSIDE_STREAMS</t>
        </is>
      </c>
      <c r="C44" s="3" t="inlineStr">
        <is>
          <t>src/domain/income/onboarding.ts:227</t>
        </is>
      </c>
      <c r="D44" s="3" t="inlineStr">
        <is>
          <t>The plan's guaranteed-income input as separate streams of OUTSIDE money only. Answers: zer</t>
        </is>
      </c>
      <c r="E44" s="3" t="inlineStr">
        <is>
          <t>—</t>
        </is>
      </c>
      <c r="F44" s="3" t="inlineStr">
        <is>
          <t>Only as another engine’s dependency — no figure names it directly</t>
        </is>
      </c>
    </row>
    <row r="45" ht="30" customHeight="1">
      <c r="A45" s="3" t="inlineStr">
        <is>
          <t>MK-XS-E-015</t>
        </is>
      </c>
      <c r="B45" s="3" t="inlineStr">
        <is>
          <t>MONTHLY_SAVING</t>
        </is>
      </c>
      <c r="C45" s="3" t="inlineStr">
        <is>
          <t>src/domain/assets/index.ts:695</t>
        </is>
      </c>
      <c r="D45" s="3" t="inlineStr">
        <is>
          <t>How much goes in each month?</t>
        </is>
      </c>
      <c r="E45" s="3" t="inlineStr">
        <is>
          <t>—</t>
        </is>
      </c>
      <c r="F45" s="3" t="inlineStr">
        <is>
          <t>Only as another engine’s dependency — no figure names it directly</t>
        </is>
      </c>
    </row>
    <row r="46" ht="30" customHeight="1">
      <c r="A46" s="3" t="inlineStr">
        <is>
          <t>MK-XS-E-016</t>
        </is>
      </c>
      <c r="B46" s="3" t="inlineStr">
        <is>
          <t>REPORTED_RETURN</t>
        </is>
      </c>
      <c r="C46" s="3" t="inlineStr">
        <is>
          <t>src/domain/assets/index.ts:108</t>
        </is>
      </c>
      <c r="D46" s="3" t="inlineStr">
        <is>
          <t>What return did the person say they actually earned over the past year?</t>
        </is>
      </c>
      <c r="E46" s="3" t="inlineStr">
        <is>
          <t>—</t>
        </is>
      </c>
      <c r="F46" s="3" t="inlineStr">
        <is>
          <t>Only as another engine’s dependency — no figure names it directly</t>
        </is>
      </c>
    </row>
    <row r="47" ht="30" customHeight="1">
      <c r="A47" s="3" t="inlineStr">
        <is>
          <t>MK-XS-E-017</t>
        </is>
      </c>
      <c r="B47" s="3" t="inlineStr">
        <is>
          <t>SPLIT_BY_HOW_IT_IS_TAXED</t>
        </is>
      </c>
      <c r="C47" s="3" t="inlineStr">
        <is>
          <t>src/domain/decumulation/index.ts:11</t>
        </is>
      </c>
      <c r="D47" s="3" t="inlineStr">
        <is>
          <t>How is the retirement money split by the tax that will be owed on it?</t>
        </is>
      </c>
      <c r="E47" s="3" t="inlineStr">
        <is>
          <t>—</t>
        </is>
      </c>
      <c r="F47" s="3" t="inlineStr">
        <is>
          <t>Only as another engine’s dependency — no figure names it directly</t>
        </is>
      </c>
    </row>
    <row r="48" ht="30" customHeight="1">
      <c r="A48" s="3" t="inlineStr">
        <is>
          <t>MK-XS-E-018</t>
        </is>
      </c>
      <c r="B48" s="3" t="inlineStr">
        <is>
          <t>SS_BENEFIT_AT_AGE</t>
        </is>
      </c>
      <c r="C48" s="3" t="inlineStr">
        <is>
          <t>src/domain/retirement/ssTiming.ts:54</t>
        </is>
      </c>
      <c r="D48" s="3" t="inlineStr">
        <is>
          <t>The monthly Social Security check at a chosen claim age, in today's dollars. Answers: a wh</t>
        </is>
      </c>
      <c r="E48" s="3" t="inlineStr">
        <is>
          <t>MK-PL-M-017</t>
        </is>
      </c>
      <c r="F48" s="3" t="inlineStr">
        <is>
          <t>Named by 1 figure(s)</t>
        </is>
      </c>
    </row>
    <row r="49" ht="30" customHeight="1">
      <c r="A49" s="3" t="inlineStr">
        <is>
          <t>MK-XS-E-019</t>
        </is>
      </c>
      <c r="B49" s="3" t="inlineStr">
        <is>
          <t>STATE_TAX_RATE</t>
        </is>
      </c>
      <c r="C49" s="3" t="inlineStr">
        <is>
          <t>src/domain/income/onboarding.ts:358</t>
        </is>
      </c>
      <c r="D49" s="3" t="inlineStr">
        <is>
          <t>What state tax rate applies?</t>
        </is>
      </c>
      <c r="E49" s="3" t="inlineStr">
        <is>
          <t>—</t>
        </is>
      </c>
      <c r="F49" s="3" t="inlineStr">
        <is>
          <t>Only as another engine’s dependency — no figure names it directly</t>
        </is>
      </c>
    </row>
    <row r="50" ht="30" customHeight="1">
      <c r="A50" s="3" t="inlineStr">
        <is>
          <t>MK-XS-E-020</t>
        </is>
      </c>
      <c r="B50" s="3" t="inlineStr">
        <is>
          <t>SWING_FROM_RETURN</t>
        </is>
      </c>
      <c r="C50" s="3" t="inlineStr">
        <is>
          <t>src/domain/retirement/willItLast.ts:19</t>
        </is>
      </c>
      <c r="D50" s="3" t="inlineStr">
        <is>
          <t>How much might a year's return swing, judged from the return alone?</t>
        </is>
      </c>
      <c r="E50" s="3" t="inlineStr">
        <is>
          <t>—</t>
        </is>
      </c>
      <c r="F50" s="3" t="inlineStr">
        <is>
          <t>Only as another engine’s dependency — no figure names it directly</t>
        </is>
      </c>
    </row>
    <row r="51" ht="30" customHeight="1">
      <c r="A51" s="3" t="inlineStr">
        <is>
          <t>MK-XS-E-021</t>
        </is>
      </c>
      <c r="B51" s="3" t="inlineStr">
        <is>
          <t>TAX_OVER65_COUNT</t>
        </is>
      </c>
      <c r="C51" s="3" t="inlineStr">
        <is>
          <t>src/domain/income/onboarding.ts:405</t>
        </is>
      </c>
      <c r="D51" s="3" t="inlineStr">
        <is>
          <t xml:space="preserve">How many people on the tax return are 65 or older — the input the over-65 deduction needs </t>
        </is>
      </c>
      <c r="E51" s="3" t="inlineStr">
        <is>
          <t>—</t>
        </is>
      </c>
      <c r="F51" s="3" t="inlineStr">
        <is>
          <t>Only as another engine’s dependency — no figure names it directly</t>
        </is>
      </c>
    </row>
    <row r="52" ht="30" customHeight="1">
      <c r="A52" s="3" t="inlineStr">
        <is>
          <t>MK-XS-E-022</t>
        </is>
      </c>
      <c r="B52" s="3" t="inlineStr">
        <is>
          <t>TOTAL_INCOME</t>
        </is>
      </c>
      <c r="C52" s="3" t="inlineStr">
        <is>
          <t>src/domain/income/onboarding.ts:337</t>
        </is>
      </c>
      <c r="D52" s="3" t="inlineStr">
        <is>
          <t>What is the whole household income for the year, before tax?</t>
        </is>
      </c>
      <c r="E52" s="3" t="inlineStr">
        <is>
          <t>MK-MN-M-011 · MK-MN-M-012 · MK-MN-M-013</t>
        </is>
      </c>
      <c r="F52" s="3" t="inlineStr">
        <is>
          <t>Named by 3 figure(s)</t>
        </is>
      </c>
    </row>
    <row r="53" ht="30" customHeight="1">
      <c r="A53" s="3" t="inlineStr">
        <is>
          <t>MK-XS-E-023</t>
        </is>
      </c>
      <c r="B53" s="3" t="inlineStr">
        <is>
          <t>COST_OF_LIVING</t>
        </is>
      </c>
      <c r="C53" s="3" t="inlineStr">
        <is>
          <t>src/domain/retirement/col.ts:53</t>
        </is>
      </c>
      <c r="D53" s="3" t="inlineStr">
        <is>
          <t>How much more or less does life cost where they plan to live?</t>
        </is>
      </c>
      <c r="E53" s="3" t="inlineStr">
        <is>
          <t>—</t>
        </is>
      </c>
      <c r="F53" s="3" t="inlineStr">
        <is>
          <t>Only as another engine’s dependency — no figure names it directly</t>
        </is>
      </c>
    </row>
    <row r="54" ht="30" customHeight="1">
      <c r="A54" s="3" t="inlineStr">
        <is>
          <t>MK-XS-E-024</t>
        </is>
      </c>
      <c r="B54" s="3" t="inlineStr">
        <is>
          <t>READ_A_NUMBER</t>
        </is>
      </c>
      <c r="C54" s="3" t="inlineStr">
        <is>
          <t>src/domain/_shared/num.ts:4</t>
        </is>
      </c>
      <c r="D54" s="3" t="inlineStr">
        <is>
          <t>What number did the person actually type?</t>
        </is>
      </c>
      <c r="E54" s="3" t="inlineStr">
        <is>
          <t>—</t>
        </is>
      </c>
      <c r="F54" s="3" t="inlineStr">
        <is>
          <t>Only as another engine’s dependency — no figure names it directly</t>
        </is>
      </c>
    </row>
    <row r="55" ht="30" customHeight="1">
      <c r="A55" s="3" t="inlineStr">
        <is>
          <t>MK-XS-E-025</t>
        </is>
      </c>
      <c r="B55" s="3" t="inlineStr">
        <is>
          <t>SS_CLAIM_FACTOR</t>
        </is>
      </c>
      <c r="C55" s="3" t="inlineStr">
        <is>
          <t>src/domain/retirement/ssTiming.ts:34</t>
        </is>
      </c>
      <c r="D55" s="3" t="inlineStr">
        <is>
          <t>How much of the statement amount a claim age actually pays, anchored at the person's OWN f</t>
        </is>
      </c>
      <c r="E55" s="3" t="inlineStr">
        <is>
          <t>—</t>
        </is>
      </c>
      <c r="F55" s="3" t="inlineStr">
        <is>
          <t>Only as another engine’s dependency — no figure names it directly</t>
        </is>
      </c>
    </row>
    <row r="56" ht="30" customHeight="1">
      <c r="A56" s="3" t="inlineStr">
        <is>
          <t>MK-XS-E-026</t>
        </is>
      </c>
      <c r="B56" s="3" t="inlineStr">
        <is>
          <t>RETIREMENT_INCOME</t>
        </is>
      </c>
      <c r="C56" s="3" t="inlineStr">
        <is>
          <t>src/domain/income/onboarding.ts:213</t>
        </is>
      </c>
      <c r="D56" s="3" t="inlineStr">
        <is>
          <t>How much retirement income arrives monthly?</t>
        </is>
      </c>
      <c r="E56" s="3" t="inlineStr">
        <is>
          <t>—</t>
        </is>
      </c>
      <c r="F56" s="3" t="inlineStr">
        <is>
          <t>Only as another engine’s dependency — no figure names it directly</t>
        </is>
      </c>
    </row>
    <row r="57" ht="30" customHeight="1">
      <c r="A57" s="3" t="inlineStr">
        <is>
          <t>MK-XS-E-027</t>
        </is>
      </c>
      <c r="B57" s="3" t="inlineStr">
        <is>
          <t>SS_FULL_RETIREMENT_AGE</t>
        </is>
      </c>
      <c r="C57" s="3" t="inlineStr">
        <is>
          <t>src/domain/retirement/ssTiming.ts:23</t>
        </is>
      </c>
      <c r="D57" s="3" t="inlineStr">
        <is>
          <t>The person's own Social Security full retirement age. Answers: 66 (born through 1954) · 66</t>
        </is>
      </c>
      <c r="E57" s="3" t="inlineStr">
        <is>
          <t>—</t>
        </is>
      </c>
      <c r="F57" s="3" t="inlineStr">
        <is>
          <t>Only as another engine’s dependency — no figure names it directly</t>
        </is>
      </c>
    </row>
    <row r="58" ht="30" customHeight="1">
      <c r="A58" s="3" t="inlineStr">
        <is>
          <t>MK-XS-E-028</t>
        </is>
      </c>
      <c r="B58" s="3" t="inlineStr">
        <is>
          <t>SPENDING_BY_KIND</t>
        </is>
      </c>
      <c r="C58" s="3" t="inlineStr">
        <is>
          <t>src/domain/budget/index.ts:72</t>
        </is>
      </c>
      <c r="D58" s="3" t="inlineStr">
        <is>
          <t>What is spent each month, split by kind?</t>
        </is>
      </c>
      <c r="E58" s="3" t="inlineStr">
        <is>
          <t>—</t>
        </is>
      </c>
      <c r="F58" s="3" t="inlineStr">
        <is>
          <t>Only as another engine’s dependency — no figure names it directly</t>
        </is>
      </c>
    </row>
    <row r="59" ht="30" customHeight="1">
      <c r="A59" s="3" t="inlineStr">
        <is>
          <t>MK-XS-E-029</t>
        </is>
      </c>
      <c r="B59" s="3" t="inlineStr">
        <is>
          <t>EQUITY_THIS_YEAR</t>
        </is>
      </c>
      <c r="C59" s="3" t="inlineStr">
        <is>
          <t>src/domain/income/onboarding.ts:114</t>
        </is>
      </c>
      <c r="D59" s="3" t="inlineStr">
        <is>
          <t>How much equity vests this year?</t>
        </is>
      </c>
      <c r="E59" s="3" t="inlineStr">
        <is>
          <t>—</t>
        </is>
      </c>
      <c r="F59" s="3" t="inlineStr">
        <is>
          <t>Only as another engine’s dependency — no figure names it directly</t>
        </is>
      </c>
    </row>
    <row r="60" ht="30" customHeight="1">
      <c r="A60" s="3" t="inlineStr">
        <is>
          <t>MK-XS-E-030</t>
        </is>
      </c>
      <c r="B60" s="3" t="inlineStr">
        <is>
          <t>OTHER_INCOME</t>
        </is>
      </c>
      <c r="C60" s="3" t="inlineStr">
        <is>
          <t>src/domain/income/onboarding.ts:161</t>
        </is>
      </c>
      <c r="D60" s="3" t="inlineStr">
        <is>
          <t>What else comes in?</t>
        </is>
      </c>
      <c r="E60" s="3" t="inlineStr">
        <is>
          <t>—</t>
        </is>
      </c>
      <c r="F60" s="3" t="inlineStr">
        <is>
          <t>Only as another engine’s dependency — no figure names it directly</t>
        </is>
      </c>
    </row>
    <row r="61" ht="30" customHeight="1">
      <c r="A61" s="3" t="inlineStr">
        <is>
          <t>MK-XS-E-031</t>
        </is>
      </c>
      <c r="B61" s="3" t="inlineStr">
        <is>
          <t>RENTAL_INCOME_A_YEAR</t>
        </is>
      </c>
      <c r="C61" s="3" t="inlineStr">
        <is>
          <t>src/domain/income/onboarding.ts:142</t>
        </is>
      </c>
      <c r="D61" s="3" t="inlineStr">
        <is>
          <t>What do the rentals net over a year?</t>
        </is>
      </c>
      <c r="E61" s="3" t="inlineStr">
        <is>
          <t>—</t>
        </is>
      </c>
      <c r="F61" s="3" t="inlineStr">
        <is>
          <t>Only as another engine’s dependency — no figure names it directly</t>
        </is>
      </c>
    </row>
    <row r="62" ht="30" customHeight="1">
      <c r="A62" s="3" t="inlineStr">
        <is>
          <t>MK-XS-E-032</t>
        </is>
      </c>
      <c r="B62" s="3" t="inlineStr">
        <is>
          <t>SALARY_A_YEAR</t>
        </is>
      </c>
      <c r="C62" s="3" t="inlineStr">
        <is>
          <t>src/domain/income/onboarding.ts:331</t>
        </is>
      </c>
      <c r="D62" s="3" t="inlineStr">
        <is>
          <t>What is the salary for the year?</t>
        </is>
      </c>
      <c r="E62" s="3" t="inlineStr">
        <is>
          <t>—</t>
        </is>
      </c>
      <c r="F62" s="3" t="inlineStr">
        <is>
          <t>Only as another engine’s dependency — no figure names it directly</t>
        </is>
      </c>
    </row>
    <row r="63" ht="30" customHeight="1">
      <c r="A63" s="3" t="inlineStr">
        <is>
          <t>MK-XS-E-033</t>
        </is>
      </c>
      <c r="B63" s="3" t="inlineStr">
        <is>
          <t>TIPS_A_YEAR</t>
        </is>
      </c>
      <c r="C63" s="3" t="inlineStr">
        <is>
          <t>src/domain/income/onboarding.ts:204</t>
        </is>
      </c>
      <c r="D63" s="3" t="inlineStr">
        <is>
          <t>What do tips come to over the year?</t>
        </is>
      </c>
      <c r="E63" s="3" t="inlineStr">
        <is>
          <t>—</t>
        </is>
      </c>
      <c r="F63" s="3" t="inlineStr">
        <is>
          <t>Only as another engine’s dependency — no figure names it directly</t>
        </is>
      </c>
    </row>
  </sheetData>
  <autoFilter ref="A1:F6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69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34" customWidth="1" min="3" max="3"/>
    <col width="7" customWidth="1" min="4" max="4"/>
    <col width="26" customWidth="1" min="5" max="5"/>
    <col width="42" customWidth="1" min="6" max="6"/>
    <col width="52" customWidth="1" min="7" max="7"/>
    <col width="52" customWidth="1" min="8" max="8"/>
    <col width="34" customWidth="1" min="9" max="9"/>
    <col width="42" customWidth="1" min="10" max="10"/>
    <col width="30" customWidth="1" min="11" max="11"/>
    <col width="52" customWidth="1" min="12" max="12"/>
    <col width="52" customWidth="1" min="13" max="13"/>
    <col width="14" customWidth="1" min="14" max="14"/>
    <col width="34" customWidth="1" min="15" max="15"/>
    <col width="12" customWidth="1" min="16" max="16"/>
    <col width="52" customWidth="1" min="17" max="17"/>
    <col width="52" customWidth="1" min="18" max="18"/>
    <col width="26" customWidth="1" min="19" max="19"/>
    <col width="22" customWidth="1" min="20" max="20"/>
    <col width="34" customWidth="1" min="21" max="21"/>
    <col width="20" customWidth="1" min="22" max="22"/>
    <col width="52" customWidth="1" min="23" max="23"/>
    <col width="52" customWidth="1" min="24" max="24"/>
    <col width="30" customWidth="1" min="25" max="25"/>
  </cols>
  <sheetData>
    <row r="1" ht="60" customHeight="1">
      <c r="A1" s="1" t="inlineStr">
        <is>
          <t>Function ID</t>
        </is>
      </c>
      <c r="B1" s="1" t="inlineStr">
        <is>
          <t>Function</t>
        </is>
      </c>
      <c r="C1" s="1" t="inlineStr">
        <is>
          <t>File</t>
        </is>
      </c>
      <c r="D1" s="1" t="inlineStr">
        <is>
          <t>Line</t>
        </is>
      </c>
      <c r="E1" s="1" t="inlineStr">
        <is>
          <t>Category</t>
        </is>
      </c>
      <c r="F1" s="1" t="inlineStr">
        <is>
          <t>Objective — what this function is for</t>
        </is>
      </c>
      <c r="G1" s="1" t="inlineStr">
        <is>
          <t>Formula (mathematical)</t>
        </is>
      </c>
      <c r="H1" s="1" t="inlineStr">
        <is>
          <t>Formula (in words)</t>
        </is>
      </c>
      <c r="I1" s="1" t="inlineStr">
        <is>
          <t>How the formula was read</t>
        </is>
      </c>
      <c r="J1" s="1" t="inlineStr">
        <is>
          <t>What it is handed (its inputs)</t>
        </is>
      </c>
      <c r="K1" s="1" t="inlineStr">
        <is>
          <t>What it gives back (its output)</t>
        </is>
      </c>
      <c r="L1" s="1" t="inlineStr">
        <is>
          <t>Where its answer appears — the words, the screen, the section</t>
        </is>
      </c>
      <c r="M1" s="1" t="inlineStr">
        <is>
          <t>Assumptions it makes</t>
        </is>
      </c>
      <c r="N1" s="1" t="inlineStr">
        <is>
          <t>Can its answer reach a screen?</t>
        </is>
      </c>
      <c r="O1" s="1" t="inlineStr">
        <is>
          <t>Dependent functions — one step below</t>
        </is>
      </c>
      <c r="P1" s="1" t="inlineStr">
        <is>
          <t>Dependent functions — how many in total</t>
        </is>
      </c>
      <c r="Q1" s="1" t="inlineStr">
        <is>
          <t>Dependent functions — all of them</t>
        </is>
      </c>
      <c r="R1" s="1" t="inlineStr">
        <is>
          <t>The chain, ending in this function</t>
        </is>
      </c>
      <c r="S1" s="1" t="inlineStr">
        <is>
          <t>Figures that name it</t>
        </is>
      </c>
      <c r="T1" s="1" t="inlineStr">
        <is>
          <t>Name in the old inventory</t>
        </is>
      </c>
      <c r="U1" s="1" t="inlineStr">
        <is>
          <t>Active or decommissioned</t>
        </is>
      </c>
      <c r="V1" s="1" t="inlineStr">
        <is>
          <t>Date last modified</t>
        </is>
      </c>
      <c r="W1" s="1" t="inlineStr">
        <is>
          <t>Founder comment — 2026-08-26 (the column and metric row it was written on)</t>
        </is>
      </c>
      <c r="X1" s="1" t="inlineStr">
        <is>
          <t>Answer to the founder comment — checked against the code, 2026-09-08 (what the code does · verdict · fix)</t>
        </is>
      </c>
      <c r="Y1" s="1" t="inlineStr">
        <is>
          <t>STATUS — this row</t>
        </is>
      </c>
    </row>
    <row r="2" ht="60" customHeight="1">
      <c r="A2" s="5" t="inlineStr">
        <is>
          <t>READ FROM THE CODE ITSELF. Sorted by what the code does — what a function returns, whether it reaches outside for data, and who calls it — never by its name. 1 ACTION does something and displays nothing · 2 DISPLAYED lands on a screen · 3 DEPENDENT feeds a chain that ends at a screen · 4 BRINGS DATA IN fetches from outside. The chain reads left to right and ENDS in the function that shows the answer; everything feeding it comes first.</t>
        </is>
      </c>
      <c r="B2" s="3" t="inlineStr"/>
      <c r="C2" s="3" t="inlineStr"/>
      <c r="D2" s="3" t="inlineStr"/>
      <c r="E2" s="3" t="inlineStr"/>
      <c r="F2" s="3" t="inlineStr"/>
      <c r="G2" s="11"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n"/>
      <c r="X2" s="3" t="n"/>
      <c r="Y2" s="3" t="n"/>
    </row>
    <row r="3" ht="60" customHeight="1">
      <c r="A3" s="3" t="inlineStr">
        <is>
          <t>MK-CF-F-001</t>
        </is>
      </c>
      <c r="B3" s="3" t="inlineStr">
        <is>
          <t>buildBudgetState</t>
        </is>
      </c>
      <c r="C3" s="3" t="inlineStr">
        <is>
          <t>src/domain/budget/index.ts</t>
        </is>
      </c>
      <c r="D3" s="3" t="n">
        <v>52</v>
      </c>
      <c r="E3" s="3" t="inlineStr">
        <is>
          <t>3 · DEPENDENT</t>
        </is>
      </c>
      <c r="F3" s="3" t="inlineStr">
        <is>
          <t>projected_to_save = net monthly income − monthly expenses.</t>
        </is>
      </c>
      <c r="G3" s="11" t="inlineStr">
        <is>
          <t>spend = doc.monthly expenses (or 0 when missing or zero)
save = net monthly income − spend</t>
        </is>
      </c>
      <c r="H3" s="3" t="inlineStr">
        <is>
          <t>Spend is doc.monthly expenses (or 0 — when missing or zero). Save is net monthly income minus spend.</t>
        </is>
      </c>
      <c r="I3" s="3" t="inlineStr">
        <is>
          <t>PARTLY READ — some of the code is still showing through; needs a hand pass</t>
        </is>
      </c>
      <c r="J3" s="3" t="inlineStr">
        <is>
          <t>1. uid: UserId
2. netMonthlyIncome: number
3. doc: BudgetDoc</t>
        </is>
      </c>
      <c r="K3" s="3" t="inlineStr">
        <is>
          <t>BudgetState</t>
        </is>
      </c>
      <c r="L3" s="3" t="inlineStr">
        <is>
          <t>—</t>
        </is>
      </c>
      <c r="M3" s="3" t="inlineStr">
        <is>
          <t>· If monthly expenses is missing it counts as zero, so nothing recorded and a real zero look the same.</t>
        </is>
      </c>
      <c r="N3" s="3" t="inlineStr">
        <is>
          <t>Yes</t>
        </is>
      </c>
      <c r="O3" s="3" t="inlineStr">
        <is>
          <t>MK-XS-F-175 uid</t>
        </is>
      </c>
      <c r="P3" s="3" t="n">
        <v>81</v>
      </c>
      <c r="Q3"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3" s="3" t="inlineStr">
        <is>
          <t>1. MK-ST-F-027 accountId → MK-XS-F-175 uid → MK-CF-F-001 buildBudgetState
2. MK-CF-F-137 findPos → MK-CF-F-138 addLot → MK-CF-F-111 applyTransaction → MK-XS-F-175 uid → MK-CF-F-001 buildBudgetState
3. MK-CF-F-132 map → MK-CF-F-138 addLot → MK-CF-F-111 applyTransaction → MK-XS-F-175 uid → MK-CF-F-001 buildBudgetState
4. MK-ST-F-043 newEntityId → MK-CF-F-138 addLot → MK-CF-F-111 applyTransaction → MK-XS-F-175 uid → MK-CF-F-001 buildBudgetState
5. MK-CF-F-134 usesSleeve → MK-CF-F-136 bumpCash → MK-CF-F-111 applyTransaction → MK-XS-F-175 uid → MK-CF-F-001 buildBudgetState
6. MK-CF-F-137 findPos → MK-CF-F-111 applyTransaction → MK-XS-F-175 uid → MK-CF-F-001 buildBudgetState
7. MK-CF-F-132 map → MK-CF-F-111 applyTransaction → MK-XS-F-175 uid → MK-CF-F-001 buildBudgetState
8. MK-CF-F-137 findPos → MK-CF-F-139 removeShares → MK-CF-F-111 applyTransaction → MK-XS-F-175 uid → MK-CF-F-001 buildBudgetState
9. … and 4 more paths</t>
        </is>
      </c>
      <c r="S3" s="3" t="inlineStr">
        <is>
          <t>—</t>
        </is>
      </c>
      <c r="T3" s="3" t="inlineStr">
        <is>
          <t>—</t>
        </is>
      </c>
      <c r="U3" s="3" t="inlineStr">
        <is>
          <t>ACTIVE</t>
        </is>
      </c>
      <c r="V3" s="3" t="inlineStr">
        <is>
          <t>2026-09-12</t>
        </is>
      </c>
      <c r="W3" s="3" t="n"/>
      <c r="X3" s="3" t="n"/>
      <c r="Y3" s="3" t="inlineStr">
        <is>
          <t>NOTHING OPEN</t>
        </is>
      </c>
    </row>
    <row r="4" ht="60" customHeight="1">
      <c r="A4" s="3" t="inlineStr">
        <is>
          <t>MK-CF-F-002</t>
        </is>
      </c>
      <c r="B4" s="3" t="inlineStr">
        <is>
          <t>plannedMonthlySpend</t>
        </is>
      </c>
      <c r="C4" s="3" t="inlineStr">
        <is>
          <t>src/domain/budget/index.ts</t>
        </is>
      </c>
      <c r="D4" s="3" t="n">
        <v>89</v>
      </c>
      <c r="E4" s="3" t="inlineStr">
        <is>
          <t>2 · DISPLAYED</t>
        </is>
      </c>
      <c r="F4" s="3" t="inlineStr">
        <is>
          <t>The single canonical "planned monthly spend": the itemized buckets OR the stated total, whichever is larger (the stated total can include an uncategorized remainder the buckets don't capture).</t>
        </is>
      </c>
      <c r="G4" s="11" t="inlineStr">
        <is>
          <t>max(spend buckets(op).monthly total, op.monthly expenses read as a number (0 when it is not one))</t>
        </is>
      </c>
      <c r="H4" s="3" t="inlineStr">
        <is>
          <t>the larger of spend buckets(op).monthly total and op.monthly expenses read as a number (0 — when it is one is missing).</t>
        </is>
      </c>
      <c r="I4" s="3" t="inlineStr">
        <is>
          <t>PARTLY READ — some of the code is still showing through; needs a hand pass</t>
        </is>
      </c>
      <c r="J4" s="3" t="inlineStr">
        <is>
          <t>op: OnboardingProfile | null</t>
        </is>
      </c>
      <c r="K4" s="3" t="inlineStr">
        <is>
          <t>number</t>
        </is>
      </c>
      <c r="L4" s="3" t="inlineStr">
        <is>
          <t>"Income (take-home)" — on the budget screen</t>
        </is>
      </c>
      <c r="M4" s="3" t="inlineStr">
        <is>
          <t>None found in this function — anything it assumes comes from the functions it depends on.</t>
        </is>
      </c>
      <c r="N4" s="3" t="inlineStr">
        <is>
          <t>Yes</t>
        </is>
      </c>
      <c r="O4" s="3" t="inlineStr">
        <is>
          <t>1. MK-CF-F-092 incomeMonthlyGrid
2. MK-CF-F-004 spendBuckets
3. MK-XS-F-027 takeHomeMonthly
4. MK-ST-F-052 toNum</t>
        </is>
      </c>
      <c r="P4" s="3" t="n">
        <v>100</v>
      </c>
      <c r="Q4" s="3" t="inlineStr">
        <is>
          <t>1. MK-CF-F-092 incomeMonthlyGrid
2. MK-CF-F-004 spendBuckets
3. MK-XS-F-027 takeHomeMonthly
4. MK-ST-F-052 toNum
5. MK-CF-F-069 benefitActiveMonths
6. MK-CF-F-072 currentRetirementIncomeMonthly
7. MK-CF-F-173 earnerWages
8. MK-CF-F-065 equityVestWeights
9. MK-CF-F-071 extraIncome
10. MK-ST-F-056 has
11. MK-CF-F-206 householdK401ByMonth
12. MK-CF-F-132 map
13. MK-CF-F-087 monthlyTaxRates
14. MK-CF-F-073 otherIncomeMonth
15. MK-CF-F-181 rateInForce
16. MK-CF-F-068 rentalNetAnnual
17. MK-CF-F-066 rsuAnnual
18. MK-CF-F-060 salaryGrossByMonth
19. MK-CF-F-077 scholarshipByCalendarMonth
20. MK-CF-F-088 taxableByCalendarMonth
21. MK-CF-F-177 wageGrossByMonth
22. MK-PL-F-012 waterfall
23. MK-CF-F-003 categoryMonthly
24. MK-CF-F-011 savingsByMonth
25. MK-XS-F-122 n
26. MK-CF-F-075 retirementIncomeMonthly
27. MK-CF-F-172 hasWage
28. MK-CF-F-062 equityRowValue
29. MK-CF-F-070 benefitAnnual
30. MK-ST-F-039 on
31. MK-CF-F-176 sumMonthsOverEarners
32. MK-CF-F-203 MONTH
33. MK-CF-F-090 effectiveRate
34. MK-CF-F-180 enteredLandsAnnual
35. MK-CF-F-085 filingStatusOf
36. MK-CF-F-089 over65CountOf
37. MK-CF-F-082 salaryAnnual
38. MK-CF-F-086 stateRateOf
39. MK-CF-F-101 taxOwedFor
40. MK-CF-F-084 taxableAnnual
41. MK-CF-O-002 expenses
42. MK-CF-F-067 rentalList
43. MK-CF-F-063 rowVestYear
44. MK-CF-F-130 enteredMonthlyRaw
45. MK-CF-F-166 hasMonthlySalaryTable
46. MK-ST-F-036 reconcile
47. MK-CF-F-167 salaryCalendarYear
48. MK-CF-F-120 pctBaseMonthly
49. MK-CF-F-008 spendByMonth
50. MK-CF-O-010 theMonth
51. MK-CF-F-100 taxableIncomeFor
52. MK-CF-F-074 tipsAnnual
53. MK-CF-F-151 actualSpending
54. MK-CF-F-150 debtPaymentsCountedAsExpenses
55. MK-CF-F-153 radar
56. MK-CF-F-149 recurringDebtPayments
57. MK-CF-F-165 salaryMonths
58. MK-CF-F-155 cash
59. MK-CF-O-003 thisMonth
60. MK-CF-F-099 deductionFor
61. MK-CF-F-081 salaryActiveMonths
62. MK-CF-F-148 inMonth
63. MK-CF-F-191 ym
64. MK-CF-F-022 paymentShape
65. MK-CF-F-152 isRadarItem
66. MK-CF-F-023 requiredPayment
67. MK-CF-F-005 actualMonthFlow
68. MK-CF-F-156 plannedMonthFlow
69. MK-CF-F-187 seniorDeductionFor
70. MK-CF-F-021 defaultPaymentType
71. MK-NW-F-078 ONE
72. MK-CF-F-157 debtPaymentsByDebt
73. MK-CF-F-192 inflowLabel
74. MK-NW-F-077 ALL
75. MK-NW-F-059 currentYield
76. MK-XS-F-180 declareFigures
77. MK-ST-F-049 formatMoney
78. MK-ST-F-053 money
79. MK-NW-O-001 theBonds
80. MK-CF-F-193 inflowSourceWord
81. MK-NW-F-057 annualCoupon
82. MK-ST-F-048 currencySymbol
83. MK-ST-F-027 accountId
84. MK-NW-F-056 bondInfo
85. MK-NW-F-064 bondRateSensitivity
86. MK-NW-F-061 bondSummary
87. MK-NW-F-055 isBond
88. MK-NW-F-072 rowOf
89. MK-ST-F-047 activeCurrency
90. MK-NW-F-060 approxYTM
91. MK-NW-F-069 priceAtYield
92. MK-NW-F-011 assetClassOf
93. MK-NW-F-070 accruedInterestCaveat
94. MK-NW-F-071 isCertificateOfDeposit
95. MK-NW-F-058 yearsToMaturity
96. MK-NW-F-008 incomeBearingClassOf
97. MK-ST-F-010 nameEvidence
98. MK-XS-F-147 call
99. MK-XS-F-064 currentIdToken
100. MK-XS-F-112 relayUrl</t>
        </is>
      </c>
      <c r="R4" s="3" t="inlineStr">
        <is>
          <t>1. MK-CF-F-069 benefitActiveMonths → MK-CF-F-092 incomeMonthlyGrid → MK-CF-F-002 plannedMonthlySpend
2. MK-XS-F-122 n → MK-ST-F-052 toNum → MK-CF-F-075 retirementIncomeMonthly → MK-CF-F-072 currentRetirementIncomeMonthly → MK-CF-F-092 incomeMonthlyGrid → MK-CF-F-002 plannedMonthlySpend
3. MK-ST-F-056 has → MK-CF-F-172 hasWage → MK-CF-F-173 earnerWages → MK-CF-F-092 incomeMonthlyGrid → MK-CF-F-002 plannedMonthlySpend
4. MK-XS-F-122 n → MK-ST-F-052 toNum → MK-CF-F-062 equityRowValue → MK-CF-F-065 equityVestWeights → MK-CF-F-092 incomeMonthlyGrid → MK-CF-F-002 plannedMonthlySpend
5. MK-CF-F-132 map → MK-CF-F-065 equityVestWeights → MK-CF-F-092 incomeMonthlyGrid → MK-CF-F-002 plannedMonthlySpend
6. MK-CF-F-069 benefitActiveMonths → MK-CF-F-070 benefitAnnual → MK-CF-F-071 extraIncome → MK-CF-F-092 incomeMonthlyGrid → MK-CF-F-002 plannedMonthlySpend
7. MK-XS-F-122 n → MK-ST-F-052 toNum → MK-CF-F-070 benefitAnnual → MK-CF-F-071 extraIncome → MK-CF-F-092 incomeMonthlyGrid → MK-CF-F-002 plannedMonthlySpend
8. MK-ST-F-039 on → MK-CF-F-071 extraIncome → MK-CF-F-092 incomeMonthlyGrid → MK-CF-F-002 plannedMonthlySpend
9. … and 5 more paths</t>
        </is>
      </c>
      <c r="S4" s="3" t="inlineStr">
        <is>
          <t>MK-MN-M-007</t>
        </is>
      </c>
      <c r="T4" s="3" t="inlineStr">
        <is>
          <t>PLANNED_SPENDING</t>
        </is>
      </c>
      <c r="U4" s="3" t="inlineStr">
        <is>
          <t>ACTIVE</t>
        </is>
      </c>
      <c r="V4" s="3" t="inlineStr">
        <is>
          <t>2026-09-12</t>
        </is>
      </c>
      <c r="W4" s="3" t="n"/>
      <c r="X4" s="3" t="n"/>
      <c r="Y4" s="3" t="inlineStr">
        <is>
          <t>NOTHING OPEN</t>
        </is>
      </c>
    </row>
    <row r="5" ht="60" customHeight="1">
      <c r="A5" s="3" t="inlineStr">
        <is>
          <t>MK-CF-F-003</t>
        </is>
      </c>
      <c r="B5" s="3" t="inlineStr">
        <is>
          <t>categoryMonthly</t>
        </is>
      </c>
      <c r="C5" s="3" t="inlineStr">
        <is>
          <t>src/domain/budget/index.ts</t>
        </is>
      </c>
      <c r="D5" s="3" t="n">
        <v>171</v>
      </c>
      <c r="E5" s="3" t="inlineStr">
        <is>
          <t>2 · DISPLAYED</t>
        </is>
      </c>
      <c r="F5" s="3" t="inlineStr">
        <is>
          <t>Canonical per-category planned $/month — the ONE conversion the buckets AND the Budget screen share, so a category's on-screen line item ALWAYS reconciles with its bucket total (build-34 #3).</t>
        </is>
      </c>
      <c r="G5" s="11" t="inlineStr">
        <is>
          <t>amt = to num(amount); if (amt ≤ 0) return 0
pct = unit = 'pct'
base = pct base monthly(op)
(pct ? (amt ÷ 100) × base × 12 : amt) ÷ 12   when bucket = 'nonmonthly'
the answer:
(amt ÷ 100) × base   if pct
amt   otherwise</t>
        </is>
      </c>
      <c r="H5" s="3" t="inlineStr">
        <is>
          <t>Amt is to num(amount); — when (amt is at most 0) return 0. Pct is unit = 'pct'. Base is pct base monthly(op). When bucket = 'nonmonthly', it answers (pct ? (amt divided by 100) times base times 12 : amt) divided by 12. The answer is (amt divided by 100) times base — when pct; amt — otherwise.</t>
        </is>
      </c>
      <c r="I5" s="3" t="inlineStr">
        <is>
          <t>READ FROM THE CODE — rendered from the expressions the function runs</t>
        </is>
      </c>
      <c r="J5" s="3" t="inlineStr">
        <is>
          <t>1. c: { amount?: any; unit?: string; bucket?: string } | null | undefined
2. op: OnboardingProfile | null</t>
        </is>
      </c>
      <c r="K5" s="3" t="inlineStr">
        <is>
          <t>number</t>
        </is>
      </c>
      <c r="L5" s="3" t="inlineStr">
        <is>
          <t>NOT FOUND — a screen calls it, but the words printed beside its answer could not be traced automatically. Needs reading.</t>
        </is>
      </c>
      <c r="M5" s="3" t="inlineStr">
        <is>
          <t>· Turns a monthly figure into a year by multiplying by twelve.</t>
        </is>
      </c>
      <c r="N5" s="3" t="inlineStr">
        <is>
          <t>Yes</t>
        </is>
      </c>
      <c r="O5" s="3" t="inlineStr">
        <is>
          <t>1. MK-CF-F-120 pctBaseMonthly
2. MK-XS-F-027 takeHomeMonthly
3. MK-ST-F-052 toNum</t>
        </is>
      </c>
      <c r="P5" s="3" t="n">
        <v>99</v>
      </c>
      <c r="Q5" s="3" t="inlineStr">
        <is>
          <t>1. MK-CF-F-120 pctBaseMonthly
2. MK-XS-F-027 takeHomeMonthly
3. MK-ST-F-052 toNum
4. MK-CF-F-092 incomeMonthlyGrid
5. MK-CF-F-011 savingsByMonth
6. MK-XS-F-122 n
7. MK-CF-F-069 benefitActiveMonths
8. MK-CF-F-072 currentRetirementIncomeMonthly
9. MK-CF-F-173 earnerWages
10. MK-CF-F-065 equityVestWeights
11. MK-CF-F-071 extraIncome
12. MK-ST-F-056 has
13. MK-CF-F-206 householdK401ByMonth
14. MK-CF-F-132 map
15. MK-CF-F-087 monthlyTaxRates
16. MK-CF-F-073 otherIncomeMonth
17. MK-CF-F-181 rateInForce
18. MK-CF-F-068 rentalNetAnnual
19. MK-CF-F-066 rsuAnnual
20. MK-CF-F-060 salaryGrossByMonth
21. MK-CF-F-077 scholarshipByCalendarMonth
22. MK-CF-F-088 taxableByCalendarMonth
23. MK-CF-F-177 wageGrossByMonth
24. MK-PL-F-012 waterfall
25. MK-CF-F-008 spendByMonth
26. MK-CF-F-075 retirementIncomeMonthly
27. MK-CF-F-172 hasWage
28. MK-CF-F-062 equityRowValue
29. MK-CF-F-070 benefitAnnual
30. MK-ST-F-039 on
31. MK-CF-F-176 sumMonthsOverEarners
32. MK-CF-F-203 MONTH
33. MK-CF-F-090 effectiveRate
34. MK-CF-F-180 enteredLandsAnnual
35. MK-CF-F-085 filingStatusOf
36. MK-CF-F-089 over65CountOf
37. MK-CF-F-082 salaryAnnual
38. MK-CF-F-086 stateRateOf
39. MK-CF-F-101 taxOwedFor
40. MK-CF-F-084 taxableAnnual
41. MK-CF-O-002 expenses
42. MK-CF-F-067 rentalList
43. MK-CF-F-063 rowVestYear
44. MK-CF-F-130 enteredMonthlyRaw
45. MK-CF-F-166 hasMonthlySalaryTable
46. MK-ST-F-036 reconcile
47. MK-CF-F-167 salaryCalendarYear
48. MK-CF-F-004 spendBuckets
49. MK-CF-O-010 theMonth
50. MK-CF-F-100 taxableIncomeFor
51. MK-CF-F-074 tipsAnnual
52. MK-CF-F-151 actualSpending
53. MK-CF-F-150 debtPaymentsCountedAsExpenses
54. MK-CF-F-153 radar
55. MK-CF-F-149 recurringDebtPayments
56. MK-CF-F-165 salaryMonths
57. MK-CF-F-155 cash
58. MK-CF-O-003 thisMonth
59. MK-CF-F-099 deductionFor
60. MK-CF-F-081 salaryActiveMonths
61. MK-CF-F-148 inMonth
62. MK-CF-F-191 ym
63. MK-CF-F-022 paymentShape
64. MK-CF-F-152 isRadarItem
65. MK-CF-F-023 requiredPayment
66. MK-CF-F-005 actualMonthFlow
67. MK-CF-F-156 plannedMonthFlow
68. MK-CF-F-187 seniorDeductionFor
69. MK-CF-F-021 defaultPaymentType
70. MK-NW-F-078 ONE
71. MK-CF-F-157 debtPaymentsByDebt
72. MK-CF-F-192 inflowLabel
73. MK-NW-F-077 ALL
74. MK-NW-F-059 currentYield
75. MK-XS-F-180 declareFigures
76. MK-ST-F-049 formatMoney
77. MK-ST-F-053 money
78. MK-NW-O-001 theBonds
79. MK-CF-F-193 inflowSourceWord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5" s="3" t="inlineStr">
        <is>
          <t>1. MK-CF-F-069 benefitActiveMonths → MK-CF-F-092 incomeMonthlyGrid → MK-CF-F-120 pctBaseMonthly → MK-CF-F-003 categoryMonthly
2. MK-ST-F-052 toNum → MK-CF-F-075 retirementIncomeMonthly → MK-CF-F-072 currentRetirementIncomeMonthly → MK-CF-F-092 incomeMonthlyGrid → MK-CF-F-120 pctBaseMonthly → MK-CF-F-003 categoryMonthly
3. MK-ST-F-056 has → MK-CF-F-172 hasWage → MK-CF-F-173 earnerWages → MK-CF-F-092 incomeMonthlyGrid → MK-CF-F-120 pctBaseMonthly → MK-CF-F-003 categoryMonthly
4. MK-ST-F-052 toNum → MK-CF-F-062 equityRowValue → MK-CF-F-065 equityVestWeights → MK-CF-F-092 incomeMonthlyGrid → MK-CF-F-120 pctBaseMonthly → MK-CF-F-003 categoryMonthly
5. MK-CF-F-132 map → MK-CF-F-065 equityVestWeights → MK-CF-F-092 incomeMonthlyGrid → MK-CF-F-120 pctBaseMonthly → MK-CF-F-003 categoryMonthly
6. MK-CF-F-069 benefitActiveMonths → MK-CF-F-070 benefitAnnual → MK-CF-F-071 extraIncome → MK-CF-F-092 incomeMonthlyGrid → MK-CF-F-120 pctBaseMonthly → MK-CF-F-003 categoryMonthly
7. MK-ST-F-052 toNum → MK-CF-F-070 benefitAnnual → MK-CF-F-071 extraIncome → MK-CF-F-092 incomeMonthlyGrid → MK-CF-F-120 pctBaseMonthly → MK-CF-F-003 categoryMonthly
8. MK-ST-F-039 on → MK-CF-F-071 extraIncome → MK-CF-F-092 incomeMonthlyGrid → MK-CF-F-120 pctBaseMonthly → MK-CF-F-003 categoryMonthly
9. … and 5 more paths</t>
        </is>
      </c>
      <c r="S5" s="3" t="inlineStr">
        <is>
          <t>—</t>
        </is>
      </c>
      <c r="T5" s="3" t="inlineStr">
        <is>
          <t>—</t>
        </is>
      </c>
      <c r="U5" s="3" t="inlineStr">
        <is>
          <t>ACTIVE</t>
        </is>
      </c>
      <c r="V5" s="3" t="inlineStr">
        <is>
          <t>2026-08-27</t>
        </is>
      </c>
      <c r="W5" s="3" t="n"/>
      <c r="X5" s="3" t="n"/>
      <c r="Y5" s="3" t="inlineStr">
        <is>
          <t>NOTHING OPEN</t>
        </is>
      </c>
    </row>
    <row r="6" ht="60" customHeight="1">
      <c r="A6" s="3" t="inlineStr">
        <is>
          <t>MK-CF-F-004</t>
        </is>
      </c>
      <c r="B6" s="3" t="inlineStr">
        <is>
          <t>spendBuckets</t>
        </is>
      </c>
      <c r="C6" s="3" t="inlineStr">
        <is>
          <t>src/domain/budget/index.ts</t>
        </is>
      </c>
      <c r="D6" s="3" t="n">
        <v>222</v>
      </c>
      <c r="E6" s="3" t="inlineStr">
        <is>
          <t>2 · DISPLAYED</t>
        </is>
      </c>
      <c r="F6" s="3" t="inlineStr">
        <is>
          <t>Roll the per-category expenses up into the three monthly-normalized buckets.</t>
        </is>
      </c>
      <c r="G6" s="11" t="inlineStr">
        <is>
          <t>a = op (or none when missing)
cats = spend cats   if array.is array(spend cats)
nothing   otherwise
fixed = to num(b fixed), non = to num(b nonmonthly), flex = to num(b flexible)
the answer:
fixed = fixed
non monthly = non
flexible = flex
monthly total = fixed + non + flex
fixed = 0, flex = 0, non mo = 0
m = category monthly(c, op); if (m ≤ 0) continue</t>
        </is>
      </c>
      <c r="H6" s="3" t="inlineStr">
        <is>
          <t>A is op (or none — when missing). Cats is spend cats — when array.is array(spend cats); no answer — otherwise. Fixed is to num(b fixed), non = to num(b nonmonthly), flex = to num(b flexible). The answer is fixed = fixed; non monthly = non; flexible = flex; monthly total = fixed plus non plus flex. Fixed is 0, flex = 0, non mo = 0. M is category monthly(c, op); — when (m is at most 0) continue.</t>
        </is>
      </c>
      <c r="I6" s="3" t="inlineStr">
        <is>
          <t>PARTLY READ — some of the code is still showing through; needs a hand pass</t>
        </is>
      </c>
      <c r="J6" s="3" t="inlineStr">
        <is>
          <t>op: OnboardingProfile | null</t>
        </is>
      </c>
      <c r="K6" s="3" t="inlineStr">
        <is>
          <t>NOT DECLARED — the code does not say what it gives back</t>
        </is>
      </c>
      <c r="L6" s="3" t="inlineStr">
        <is>
          <t>"Expenses" — on the setup questions, which appear on more than one screen</t>
        </is>
      </c>
      <c r="M6" s="3" t="inlineStr">
        <is>
          <t>None found in this function — anything it assumes comes from the functions it depends on.</t>
        </is>
      </c>
      <c r="N6" s="3" t="inlineStr">
        <is>
          <t>Yes</t>
        </is>
      </c>
      <c r="O6" s="3" t="inlineStr">
        <is>
          <t>1. MK-CF-F-003 categoryMonthly
2. MK-ST-F-052 toNum</t>
        </is>
      </c>
      <c r="P6" s="3" t="n">
        <v>99</v>
      </c>
      <c r="Q6" s="3" t="inlineStr">
        <is>
          <t>1. MK-CF-F-003 categoryMonthly
2. MK-ST-F-052 toNum
3. MK-CF-F-120 pctBaseMonthly
4. MK-XS-F-027 takeHomeMonthly
5. MK-XS-F-122 n
6. MK-CF-F-092 incomeMonthlyGrid
7. MK-CF-F-011 savingsByMonth
8. MK-CF-F-069 benefitActiveMonths
9. MK-CF-F-072 currentRetirementIncomeMonthly
10. MK-CF-F-173 earnerWages
11. MK-CF-F-065 equityVestWeights
12. MK-CF-F-071 extraIncome
13. MK-ST-F-056 has
14. MK-CF-F-206 householdK401ByMonth
15. MK-CF-F-132 map
16. MK-CF-F-087 monthlyTaxRates
17. MK-CF-F-073 otherIncomeMonth
18. MK-CF-F-181 rateInForce
19. MK-CF-F-068 rentalNetAnnual
20. MK-CF-F-066 rsuAnnual
21. MK-CF-F-060 salaryGrossByMonth
22. MK-CF-F-077 scholarshipByCalendarMonth
23. MK-CF-F-088 taxableByCalendarMonth
24. MK-CF-F-177 wageGrossByMonth
25. MK-PL-F-012 waterfall
26. MK-CF-F-008 spendByMonth
27. MK-CF-F-075 retirementIncomeMonthly
28. MK-CF-F-172 hasWage
29. MK-CF-F-062 equityRowValue
30. MK-CF-F-070 benefitAnnual
31. MK-ST-F-039 on
32. MK-CF-F-176 sumMonthsOverEarners
33. MK-CF-F-203 MONTH
34. MK-CF-F-090 effectiveRate
35. MK-CF-F-180 enteredLandsAnnual
36. MK-CF-F-085 filingStatusOf
37. MK-CF-F-089 over65CountOf
38. MK-CF-F-082 salaryAnnual
39. MK-CF-F-086 stateRateOf
40. MK-CF-F-101 taxOwedFor
41. MK-CF-F-084 taxableAnnual
42. MK-CF-O-002 expenses
43. MK-CF-F-067 rentalList
44. MK-CF-F-063 rowVestYear
45. MK-CF-F-130 enteredMonthlyRaw
46. MK-CF-F-166 hasMonthlySalaryTable
47. MK-ST-F-036 reconcile
48. MK-CF-F-167 salaryCalendarYear
49. MK-CF-O-010 theMonth
50. MK-CF-F-100 taxableIncomeFor
51. MK-CF-F-074 tipsAnnual
52. MK-CF-F-151 actualSpending
53. MK-CF-F-150 debtPaymentsCountedAsExpenses
54. MK-CF-F-153 radar
55. MK-CF-F-149 recurringDebtPayments
56. MK-CF-F-165 salaryMonths
57. MK-CF-F-155 cash
58. MK-CF-O-003 thisMonth
59. MK-CF-F-099 deductionFor
60. MK-CF-F-081 salaryActiveMonths
61. MK-CF-F-148 inMonth
62. MK-CF-F-191 ym
63. MK-CF-F-022 paymentShape
64. MK-CF-F-152 isRadarItem
65. MK-CF-F-023 requiredPayment
66. MK-CF-F-005 actualMonthFlow
67. MK-CF-F-156 plannedMonthFlow
68. MK-CF-F-187 seniorDeductionFor
69. MK-CF-F-021 defaultPaymentType
70. MK-NW-F-078 ONE
71. MK-CF-F-157 debtPaymentsByDebt
72. MK-CF-F-192 inflowLabel
73. MK-NW-F-077 ALL
74. MK-NW-F-059 currentYield
75. MK-XS-F-180 declareFigures
76. MK-ST-F-049 formatMoney
77. MK-ST-F-053 money
78. MK-NW-O-001 theBonds
79. MK-CF-F-193 inflowSourceWord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6" s="3" t="inlineStr">
        <is>
          <t>1. MK-CF-F-069 benefitActiveMonths → MK-CF-F-092 incomeMonthlyGrid → MK-CF-F-120 pctBaseMonthly → MK-CF-F-003 categoryMonthly → MK-CF-F-004 spendBuckets
2. MK-CF-F-075 retirementIncomeMonthly → MK-CF-F-072 currentRetirementIncomeMonthly → MK-CF-F-092 incomeMonthlyGrid → MK-CF-F-120 pctBaseMonthly → MK-CF-F-003 categoryMonthly → MK-CF-F-004 spendBuckets
3. MK-CF-F-172 hasWage → MK-CF-F-173 earnerWages → MK-CF-F-092 incomeMonthlyGrid → MK-CF-F-120 pctBaseMonthly → MK-CF-F-003 categoryMonthly → MK-CF-F-004 spendBuckets
4. MK-CF-F-062 equityRowValue → MK-CF-F-065 equityVestWeights → MK-CF-F-092 incomeMonthlyGrid → MK-CF-F-120 pctBaseMonthly → MK-CF-F-003 categoryMonthly → MK-CF-F-004 spendBuckets
5. MK-CF-F-132 map → MK-CF-F-065 equityVestWeights → MK-CF-F-092 incomeMonthlyGrid → MK-CF-F-120 pctBaseMonthly → MK-CF-F-003 categoryMonthly → MK-CF-F-004 spendBuckets
6. MK-CF-F-070 benefitAnnual → MK-CF-F-071 extraIncome → MK-CF-F-092 incomeMonthlyGrid → MK-CF-F-120 pctBaseMonthly → MK-CF-F-003 categoryMonthly → MK-CF-F-004 spendBuckets
7. MK-ST-F-039 on → MK-CF-F-071 extraIncome → MK-CF-F-092 incomeMonthlyGrid → MK-CF-F-120 pctBaseMonthly → MK-CF-F-003 categoryMonthly → MK-CF-F-004 spendBuckets
8. MK-ST-F-052 toNum → MK-CF-F-071 extraIncome → MK-CF-F-092 incomeMonthlyGrid → MK-CF-F-120 pctBaseMonthly → MK-CF-F-003 categoryMonthly → MK-CF-F-004 spendBuckets
9. … and 5 more paths</t>
        </is>
      </c>
      <c r="S6" s="3" t="inlineStr">
        <is>
          <t>—</t>
        </is>
      </c>
      <c r="T6" s="3" t="inlineStr">
        <is>
          <t>SPENDING_BY_KIND</t>
        </is>
      </c>
      <c r="U6" s="3" t="inlineStr">
        <is>
          <t>ACTIVE</t>
        </is>
      </c>
      <c r="V6" s="3" t="inlineStr">
        <is>
          <t>2026-09-09</t>
        </is>
      </c>
      <c r="W6" s="3" t="n"/>
      <c r="X6" s="3" t="n"/>
      <c r="Y6" s="3" t="inlineStr">
        <is>
          <t>NOTHING OPEN</t>
        </is>
      </c>
    </row>
    <row r="7" ht="60" customHeight="1">
      <c r="A7" s="3" t="inlineStr">
        <is>
          <t>MK-CF-F-005</t>
        </is>
      </c>
      <c r="B7" s="3" t="inlineStr">
        <is>
          <t>actualMonthFlow</t>
        </is>
      </c>
      <c r="C7" s="3" t="inlineStr">
        <is>
          <t>MoneyKeel/functions/cashflow/this-month.ts</t>
        </is>
      </c>
      <c r="D7" s="3" t="n">
        <v>323</v>
      </c>
      <c r="E7" s="3" t="inlineStr">
        <is>
          <t>2 · DISPLAYED</t>
        </is>
      </c>
      <c r="F7" s="3" t="inlineStr">
        <is>
          <t>WHAT HAS ACTUALLY HAPPENED: what landed, less only the debts confirmed paid, less what was really spent.</t>
        </is>
      </c>
      <c r="G7" s="11" t="inlineStr">
        <is>
          <t>logged = expenses (or none when missing) where in month(each, ym)
paid for = debt payments by debt(m)
lines = [{ label: inflow label('actual inflow', inflow sources), amount: (take home monthly), kind: 'in' }]
paid = paid for.get(debt id) (or 0 when missing)
due = (d as any).due day
radar kind = is radar item(d)
matched = Σ over [...paid for.values()] of (each)
unmatched = all debt paid − matched
expenses = logged where category ! = DEBT_CATEGORY
by hand = expenses where origin ! = 'imported'
brought = expenses where origin = 'imported'
… the first steps only — the rest of the body needs reading by hand.</t>
        </is>
      </c>
      <c r="H7" s="3" t="inlineStr">
        <is>
          <t>Logged is expenses (or none — when missing) where in month(each, ym). Paid for is debt payments by debt(m). Lines is [{ label: inflow label('actual inflow', inflow sources), amount: (take home monthly), kind: 'in' }]. Paid is paid for.get(debt id) (or 0 — when missing). Due is (d as any).due day. Radar kind is is radar item(d). Matched: the each added up across [...paid for.values()]. Unmatched is all debt paid minus matched. Expenses is logged where category ! = DEBT_CATEGORY. By hand is expenses where origin ! = 'imported'. Brought is expenses where origin = 'imported'. Only the first steps are shown; the rest of the body needs reading by hand.</t>
        </is>
      </c>
      <c r="I7" s="3" t="inlineStr">
        <is>
          <t>PARTLY READ — some of the code is still showing through; needs a hand pass</t>
        </is>
      </c>
      <c r="J7" s="3" t="inlineStr">
        <is>
          <t>m: MonthInput</t>
        </is>
      </c>
      <c r="K7" s="3" t="inlineStr">
        <is>
          <t>MonthBlock</t>
        </is>
      </c>
      <c r="L7" s="3" t="inlineStr">
        <is>
          <t>NOT FOUND — a screen calls it, but the words printed beside its answer could not be traced automatically. Needs reading.</t>
        </is>
      </c>
      <c r="M7" s="3" t="inlineStr">
        <is>
          <t>None found in this function — anything it assumes comes from the functions it depends on.</t>
        </is>
      </c>
      <c r="N7" s="3" t="inlineStr">
        <is>
          <t>Yes</t>
        </is>
      </c>
      <c r="O7" s="3" t="inlineStr">
        <is>
          <t>1. MK-NW-F-078 ONE
2. MK-CF-F-155 cash
3. MK-CF-F-157 debtPaymentsByDebt
4. MK-CF-F-148 inMonth
5. MK-CF-F-192 inflowLabel
6. MK-CF-F-152 isRadarItem
7. MK-CF-F-023 requiredPayment
8. MK-XS-F-027 takeHomeMonthly
9. MK-ST-F-052 toNum
10. MK-CF-F-191 ym</t>
        </is>
      </c>
      <c r="P7" s="3" t="n">
        <v>99</v>
      </c>
      <c r="Q7" s="3" t="inlineStr">
        <is>
          <t>1. MK-NW-F-078 ONE
2. MK-CF-F-155 cash
3. MK-CF-F-157 debtPaymentsByDebt
4. MK-CF-F-148 inMonth
5. MK-CF-F-192 inflowLabel
6. MK-CF-F-152 isRadarItem
7. MK-CF-F-023 requiredPayment
8. MK-XS-F-027 takeHomeMonthly
9. MK-ST-F-052 toNum
10. MK-CF-F-191 ym
11. MK-NW-F-077 ALL
12. MK-NW-F-059 currentYield
13. MK-XS-F-180 declareFigures
14. MK-ST-F-049 formatMoney
15. MK-ST-F-053 money
16. MK-NW-O-001 theBonds
17. MK-XS-F-122 n
18. MK-CF-F-203 MONTH
19. MK-CF-F-132 map
20. MK-CF-F-193 inflowSourceWord
21. MK-CF-F-022 paymentShape
22. MK-CF-F-092 incomeMonthlyGrid
23. MK-CF-F-011 savingsByMonth
24. MK-NW-F-057 annualCoupon
25. MK-ST-F-048 currencySymbol
26. MK-ST-F-039 on
27. MK-ST-F-027 accountId
28. MK-NW-F-056 bondInfo
29. MK-NW-F-064 bondRateSensitivity
30. MK-NW-F-061 bondSummary
31. MK-NW-F-055 isBond
32. MK-NW-F-072 rowOf
33. MK-CF-O-010 theMonth
34. MK-CF-F-021 defaultPaymentType
35. MK-CF-F-069 benefitActiveMonths
36. MK-CF-F-072 currentRetirementIncomeMonthly
37. MK-CF-F-173 earnerWages
38. MK-CF-F-065 equityVestWeights
39. MK-CF-F-071 extraIncome
40. MK-ST-F-056 has
41. MK-CF-F-206 householdK401ByMonth
42. MK-CF-F-087 monthlyTaxRates
43. MK-CF-F-073 otherIncomeMonth
44. MK-CF-F-181 rateInForce
45. MK-CF-F-068 rentalNetAnnual
46. MK-CF-F-066 rsuAnnual
47. MK-CF-F-060 salaryGrossByMonth
48. MK-CF-F-077 scholarshipByCalendarMonth
49. MK-CF-F-088 taxableByCalendarMonth
50. MK-CF-F-177 wageGrossByMonth
51. MK-PL-F-012 waterfall
52. MK-CF-F-008 spendByMonth
53. MK-ST-F-047 activeCurrency
54. MK-NW-F-060 approxYTM
55. MK-NW-F-069 priceAtYield
56. MK-NW-F-011 assetClassOf
57. MK-NW-F-070 accruedInterestCaveat
58. MK-NW-F-071 isCertificateOfDeposit
59. MK-NW-F-058 yearsToMaturity
60. MK-CF-O-002 expenses
61. MK-CF-O-003 thisMonth
62. MK-CF-F-075 retirementIncomeMonthly
63. MK-CF-F-172 hasWage
64. MK-CF-F-062 equityRowValue
65. MK-CF-F-070 benefitAnnual
66. MK-CF-F-176 sumMonthsOverEarners
67. MK-CF-F-090 effectiveRate
68. MK-CF-F-180 enteredLandsAnnual
69. MK-CF-F-085 filingStatusOf
70. MK-CF-F-089 over65CountOf
71. MK-CF-F-082 salaryAnnual
72. MK-CF-F-086 stateRateOf
73. MK-CF-F-101 taxOwedFor
74. MK-CF-F-084 taxableAnnual
75. MK-CF-F-067 rentalList
76. MK-CF-F-063 rowVestYear
77. MK-CF-F-130 enteredMonthlyRaw
78. MK-CF-F-166 hasMonthlySalaryTable
79. MK-ST-F-036 reconcile
80. MK-CF-F-167 salaryCalendarYear
81. MK-CF-F-120 pctBaseMonthly
82. MK-CF-F-004 spendBuckets
83. MK-NW-F-008 incomeBearingClassOf
84. MK-CF-F-151 actualSpending
85. MK-CF-F-150 debtPaymentsCountedAsExpenses
86. MK-CF-F-153 radar
87. MK-CF-F-149 recurringDebtPayments
88. MK-CF-F-156 plannedMonthFlow
89. MK-CF-F-100 taxableIncomeFor
90. MK-CF-F-074 tipsAnnual
91. MK-CF-F-165 salaryMonths
92. MK-CF-F-003 categoryMonthly
93. MK-ST-F-010 nameEvidence
94. MK-CF-F-099 deductionFor
95. MK-CF-F-081 salaryActiveMonths
96. MK-XS-F-147 call
97. MK-CF-F-187 seniorDeductionFor
98. MK-XS-F-064 currentIdToken
99. MK-XS-F-112 relayUrl</t>
        </is>
      </c>
      <c r="R7" s="3" t="inlineStr">
        <is>
          <t>1. MK-ST-F-027 accountId → MK-NW-O-001 theBonds → MK-NW-F-077 ALL → MK-NW-F-078 ONE → MK-CF-F-005 actualMonthFlow
2. MK-NW-F-057 annualCoupon → MK-NW-O-001 theBonds → MK-NW-F-077 ALL → MK-NW-F-078 ONE → MK-CF-F-005 actualMonthFlow
3. MK-CF-F-155 cash → MK-NW-F-056 bondInfo → MK-NW-O-001 theBonds → MK-NW-F-077 ALL → MK-NW-F-078 ONE → MK-CF-F-005 actualMonthFlow
4. MK-NW-F-060 approxYTM → MK-NW-F-064 bondRateSensitivity → MK-NW-O-001 theBonds → MK-NW-F-077 ALL → MK-NW-F-078 ONE → MK-CF-F-005 actualMonthFlow
5. MK-NW-F-069 priceAtYield → MK-NW-F-064 bondRateSensitivity → MK-NW-O-001 theBonds → MK-NW-F-077 ALL → MK-NW-F-078 ONE → MK-CF-F-005 actualMonthFlow
6. MK-NW-F-057 annualCoupon → MK-NW-F-061 bondSummary → MK-NW-O-001 theBonds → MK-NW-F-077 ALL → MK-NW-F-078 ONE → MK-CF-F-005 actualMonthFlow
7. MK-CF-F-132 map → MK-NW-F-061 bondSummary → MK-NW-O-001 theBonds → MK-NW-F-077 ALL → MK-NW-F-078 ONE → MK-CF-F-005 actualMonthFlow
8. MK-NW-F-011 assetClassOf → MK-NW-F-055 isBond → MK-NW-O-001 theBonds → MK-NW-F-077 ALL → MK-NW-F-078 ONE → MK-CF-F-005 actualMonthFlow
9. … and 5 more paths</t>
        </is>
      </c>
      <c r="S7" s="3" t="inlineStr">
        <is>
          <t>—</t>
        </is>
      </c>
      <c r="T7" s="3" t="inlineStr">
        <is>
          <t>—</t>
        </is>
      </c>
      <c r="U7" s="3" t="inlineStr">
        <is>
          <t>ACTIVE</t>
        </is>
      </c>
      <c r="V7" s="3" t="inlineStr">
        <is>
          <t>2026-09-30</t>
        </is>
      </c>
      <c r="W7" s="3" t="n"/>
      <c r="X7" s="3" t="n"/>
      <c r="Y7" s="3" t="inlineStr">
        <is>
          <t>NOTHING OPEN</t>
        </is>
      </c>
    </row>
    <row r="8" ht="45" customHeight="1">
      <c r="A8" s="3" t="inlineStr">
        <is>
          <t>MK-CF-F-006</t>
        </is>
      </c>
      <c r="B8" s="3" t="inlineStr">
        <is>
          <t>allocatableThisMonth</t>
        </is>
      </c>
      <c r="C8" s="3" t="inlineStr">
        <is>
          <t>src/domain/budget/index.ts</t>
        </is>
      </c>
      <c r="D8" s="3" t="n">
        <v>259</v>
      </c>
      <c r="E8" s="3" t="inlineStr">
        <is>
          <t>2 · DISPLAYED</t>
        </is>
      </c>
      <c r="F8" s="3" t="inlineStr">
        <is>
          <t>What's LEFT of this month's surplus to put to work = surplus − already-allocated this month (never &lt; 0).</t>
        </is>
      </c>
      <c r="G8" s="11" t="inlineStr">
        <is>
          <t>max(0, surplus − (allocated this month or 0))</t>
        </is>
      </c>
      <c r="H8" s="3" t="inlineStr">
        <is>
          <t>surplus minus (allocated this month or 0, never below zero).</t>
        </is>
      </c>
      <c r="I8" s="3" t="inlineStr">
        <is>
          <t>READ FROM THE CODE — rendered from the expressions the function runs</t>
        </is>
      </c>
      <c r="J8" s="3" t="inlineStr">
        <is>
          <t>1. surplus: number
2. allocatedThisMonth: number | undefined</t>
        </is>
      </c>
      <c r="K8" s="3" t="inlineStr">
        <is>
          <t>number</t>
        </is>
      </c>
      <c r="L8" s="3" t="inlineStr">
        <is>
          <t>"Allocate to this goal ›" — on the Goals screen, under "YOUR GOALS"</t>
        </is>
      </c>
      <c r="M8" s="3" t="inlineStr">
        <is>
          <t>· If allocated this month is missing it counts as zero, so nothing recorded and a real zero look the same.</t>
        </is>
      </c>
      <c r="N8" s="3" t="inlineStr">
        <is>
          <t>Yes</t>
        </is>
      </c>
      <c r="O8" s="3" t="inlineStr">
        <is>
          <t>—</t>
        </is>
      </c>
      <c r="P8" s="3" t="n">
        <v>0</v>
      </c>
      <c r="Q8" s="3" t="inlineStr">
        <is>
          <t>None — no dependent function stands behind it</t>
        </is>
      </c>
      <c r="R8" s="3" t="inlineStr">
        <is>
          <t>No dependent function — it reads its inputs and answers</t>
        </is>
      </c>
      <c r="S8" s="3" t="inlineStr">
        <is>
          <t>—</t>
        </is>
      </c>
      <c r="T8" s="3" t="inlineStr">
        <is>
          <t>—</t>
        </is>
      </c>
      <c r="U8" s="3" t="inlineStr">
        <is>
          <t>ACTIVE</t>
        </is>
      </c>
      <c r="V8" s="3" t="inlineStr">
        <is>
          <t>2026-08-27</t>
        </is>
      </c>
      <c r="W8" s="3" t="n"/>
      <c r="X8" s="3" t="n"/>
      <c r="Y8" s="3" t="inlineStr">
        <is>
          <t>NOTHING OPEN</t>
        </is>
      </c>
    </row>
    <row r="9" ht="60" customHeight="1">
      <c r="A9" s="3" t="inlineStr">
        <is>
          <t>MK-CF-F-007</t>
        </is>
      </c>
      <c r="B9" s="3" t="inlineStr">
        <is>
          <t>nonMonthlyBasis</t>
        </is>
      </c>
      <c r="C9" s="3" t="inlineStr">
        <is>
          <t>src/domain/budget/index.ts</t>
        </is>
      </c>
      <c r="D9" s="3" t="n">
        <v>292</v>
      </c>
      <c r="E9" s="3" t="inlineStr">
        <is>
          <t>2 · DISPLAYED</t>
        </is>
      </c>
      <c r="F9" s="3" t="inlineStr">
        <is>
          <t>Label basis for the non-monthly bucket (e.g.</t>
        </is>
      </c>
      <c r="G9" s="11" t="inlineStr">
        <is>
          <t>cats = op!.spend cats!   if array.is array(op.spend cats)
[]   otherwise
nm = cats where bucket = 'nonmonthly' and to num(amount) &gt; 0
all pct = nm.length &gt; 0 and nm.every((c) =&gt; unit = 'pct')
pct = round(Σ over nm of (amount read as a number (0 when it is not one)))   if all pct
0   otherwise
the answer = { all pct, pct }</t>
        </is>
      </c>
      <c r="H9" s="3" t="inlineStr">
        <is>
          <t>Cats is op!.spend cats! — when array.is array(op.spend cats); [] — otherwise. Nm is cats where bucket = 'nonmonthly' and to num(amount) &gt; 0. All pct is nm.length &gt; 0 and nm.every((c) =&gt; unit = 'pct'). Pct: the amount read as a number (0 when it is one is missing added up across nm, to a whole number) — when all pct; 0 — otherwise. The answer is { all pct, pct }.</t>
        </is>
      </c>
      <c r="I9" s="3" t="inlineStr">
        <is>
          <t>PARTLY READ — some of the code is still showing through; needs a hand pass</t>
        </is>
      </c>
      <c r="J9" s="3" t="inlineStr">
        <is>
          <t>op: OnboardingProfile | null</t>
        </is>
      </c>
      <c r="K9" s="3" t="inlineStr">
        <is>
          <t>NOT DECLARED — the code does not say what it gives back</t>
        </is>
      </c>
      <c r="L9" s="3" t="inlineStr">
        <is>
          <t>NOT FOUND — a screen calls it, but the words printed beside its answer could not be traced automatically. Needs reading.</t>
        </is>
      </c>
      <c r="M9" s="3" t="inlineStr">
        <is>
          <t>· Rounds the answer to a whole number.</t>
        </is>
      </c>
      <c r="N9" s="3" t="inlineStr">
        <is>
          <t>Yes</t>
        </is>
      </c>
      <c r="O9" s="3" t="inlineStr">
        <is>
          <t>MK-ST-F-052 toNum</t>
        </is>
      </c>
      <c r="P9" s="3" t="n">
        <v>2</v>
      </c>
      <c r="Q9" s="3" t="inlineStr">
        <is>
          <t>1. MK-ST-F-052 toNum
2. MK-XS-F-122 n</t>
        </is>
      </c>
      <c r="R9" s="3" t="inlineStr">
        <is>
          <t>MK-XS-F-122 n → MK-ST-F-052 toNum → MK-CF-F-007 nonMonthlyBasis</t>
        </is>
      </c>
      <c r="S9" s="3" t="inlineStr">
        <is>
          <t>MK-MN-M-010</t>
        </is>
      </c>
      <c r="T9" s="3" t="inlineStr">
        <is>
          <t>—</t>
        </is>
      </c>
      <c r="U9" s="3" t="inlineStr">
        <is>
          <t>ACTIVE</t>
        </is>
      </c>
      <c r="V9" s="3" t="inlineStr">
        <is>
          <t>2026-08-27</t>
        </is>
      </c>
      <c r="W9" s="3" t="n"/>
      <c r="X9" s="3" t="n"/>
      <c r="Y9" s="3" t="inlineStr">
        <is>
          <t>NOTHING OPEN</t>
        </is>
      </c>
    </row>
    <row r="10" ht="60" customHeight="1">
      <c r="A10" s="3" t="inlineStr">
        <is>
          <t>MK-CF-F-008</t>
        </is>
      </c>
      <c r="B10" s="3" t="inlineStr">
        <is>
          <t>spendByMonth</t>
        </is>
      </c>
      <c r="C10" s="3" t="inlineStr">
        <is>
          <t>src/domain/budget/index.ts</t>
        </is>
      </c>
      <c r="D10" s="3" t="n">
        <v>346</v>
      </c>
      <c r="E10" s="3" t="inlineStr">
        <is>
          <t>3 · DEPENDENT</t>
        </is>
      </c>
      <c r="F10" s="3" t="inlineStr">
        <is>
          <t>Expenses placed in the calendar months it's actually due (Jan→Dec) — NOT averaged.</t>
        </is>
      </c>
      <c r="G10" s="11" t="inlineStr">
        <is>
          <t>a = op (or none when missing)
out = 12 slots, each 0
cats = spend cats   if array.is array(spend cats)
nothing   otherwise
net monthly = pct base monthly(op)
amt = to num(amount); if (amt ≤ 0) continue
pct = unit = 'pct'
flat = spend buckets(op).monthly total
uncategorized = max(0, to num(monthly expenses) − spend buckets(op).monthly total)
[LOOP — the answer is found inside a loop the extractor cannot render; the steps above are the ones before it. Read by hand.]</t>
        </is>
      </c>
      <c r="H10" s="3" t="inlineStr">
        <is>
          <t>A is op (or none — when missing). Out is 12 slots, each 0. Cats is spend cats — when array.is array(spend cats); no answer — otherwise. Net monthly is pct base monthly(op). Amt is to num(amount); — when (amt is at most 0) continue. Pct is unit = 'pct'. Flat is spend buckets(op).monthly total. Uncategorized is to num(monthly expenses, never below zero minus spend buckets(op).monthly total). The answer is for each of out: (x: number) =&gt; x. The answer is found inside a loop that cannot be rendered here; read the code by hand.</t>
        </is>
      </c>
      <c r="I10" s="3" t="inlineStr">
        <is>
          <t>PARTLY READ — the body has a loop the extractor cannot render; the steps shown are the ones before it. Needs a hand pass (G23).</t>
        </is>
      </c>
      <c r="J10" s="3" t="inlineStr">
        <is>
          <t>op: OnboardingProfile | null</t>
        </is>
      </c>
      <c r="K10" s="3" t="inlineStr">
        <is>
          <t>number[]</t>
        </is>
      </c>
      <c r="L10" s="3" t="inlineStr">
        <is>
          <t>—</t>
        </is>
      </c>
      <c r="M10" s="3" t="inlineStr">
        <is>
          <t>1. Treats a year as twelve equal months.
2. Turns a monthly figure into a year by multiplying by twelve.</t>
        </is>
      </c>
      <c r="N10" s="3" t="inlineStr">
        <is>
          <t>Yes</t>
        </is>
      </c>
      <c r="O10" s="3" t="inlineStr">
        <is>
          <t>1. MK-CF-F-132 map
2. MK-CF-F-120 pctBaseMonthly
3. MK-CF-F-004 spendBuckets
4. MK-ST-F-052 toNum</t>
        </is>
      </c>
      <c r="P10" s="3" t="n">
        <v>99</v>
      </c>
      <c r="Q10" s="3" t="inlineStr">
        <is>
          <t>1. MK-CF-F-132 map
2. MK-CF-F-120 pctBaseMonthly
3. MK-CF-F-004 spendBuckets
4. MK-ST-F-052 toNum
5. MK-CF-F-092 incomeMonthlyGrid
6. MK-CF-F-003 categoryMonthly
7. MK-XS-F-122 n
8. MK-CF-F-069 benefitActiveMonths
9. MK-CF-F-072 currentRetirementIncomeMonthly
10. MK-CF-F-173 earnerWages
11. MK-CF-F-065 equityVestWeights
12. MK-CF-F-071 extraIncome
13. MK-ST-F-056 has
14. MK-CF-F-206 householdK401ByMonth
15. MK-CF-F-087 monthlyTaxRates
16. MK-CF-F-073 otherIncomeMonth
17. MK-CF-F-181 rateInForce
18. MK-CF-F-068 rentalNetAnnual
19. MK-CF-F-066 rsuAnnual
20. MK-CF-F-060 salaryGrossByMonth
21. MK-CF-F-077 scholarshipByCalendarMonth
22. MK-CF-F-088 taxableByCalendarMonth
23. MK-CF-F-177 wageGrossByMonth
24. MK-PL-F-012 waterfall
25. MK-XS-F-027 takeHomeMonthly
26. MK-CF-F-075 retirementIncomeMonthly
27. MK-CF-F-172 hasWage
28. MK-CF-F-062 equityRowValue
29. MK-CF-F-070 benefitAnnual
30. MK-ST-F-039 on
31. MK-CF-F-176 sumMonthsOverEarners
32. MK-CF-F-203 MONTH
33. MK-CF-F-090 effectiveRate
34. MK-CF-F-180 enteredLandsAnnual
35. MK-CF-F-085 filingStatusOf
36. MK-CF-F-089 over65CountOf
37. MK-CF-F-082 salaryAnnual
38. MK-CF-F-086 stateRateOf
39. MK-CF-F-101 taxOwedFor
40. MK-CF-F-084 taxableAnnual
41. MK-CF-O-002 expenses
42. MK-CF-F-067 rentalList
43. MK-CF-F-063 rowVestYear
44. MK-CF-F-130 enteredMonthlyRaw
45. MK-CF-F-166 hasMonthlySalaryTable
46. MK-ST-F-036 reconcile
47. MK-CF-F-167 salaryCalendarYear
48. MK-CF-F-011 savingsByMonth
49. MK-CF-O-010 theMonth
50. MK-CF-F-100 taxableIncomeFor
51. MK-CF-F-074 tipsAnnual
52. MK-CF-F-151 actualSpending
53. MK-CF-F-150 debtPaymentsCountedAsExpenses
54. MK-CF-F-153 radar
55. MK-CF-F-149 recurringDebtPayments
56. MK-CF-F-165 salaryMonths
57. MK-CF-F-155 cash
58. MK-CF-O-003 thisMonth
59. MK-CF-F-099 deductionFor
60. MK-CF-F-081 salaryActiveMonths
61. MK-CF-F-148 inMonth
62. MK-CF-F-191 ym
63. MK-CF-F-022 paymentShape
64. MK-CF-F-152 isRadarItem
65. MK-CF-F-023 requiredPayment
66. MK-CF-F-005 actualMonthFlow
67. MK-CF-F-156 plannedMonthFlow
68. MK-CF-F-187 seniorDeductionFor
69. MK-CF-F-021 defaultPaymentType
70. MK-NW-F-078 ONE
71. MK-CF-F-157 debtPaymentsByDebt
72. MK-CF-F-192 inflowLabel
73. MK-NW-F-077 ALL
74. MK-NW-F-059 currentYield
75. MK-XS-F-180 declareFigures
76. MK-ST-F-049 formatMoney
77. MK-ST-F-053 money
78. MK-NW-O-001 theBonds
79. MK-CF-F-193 inflowSourceWord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10" s="3" t="inlineStr">
        <is>
          <t>1. MK-CF-F-132 map → MK-CF-F-008 spendByMonth
2. MK-CF-F-069 benefitActiveMonths → MK-CF-F-092 incomeMonthlyGrid → MK-CF-F-120 pctBaseMonthly → MK-CF-F-008 spendByMonth
3. MK-ST-F-052 toNum → MK-CF-F-075 retirementIncomeMonthly → MK-CF-F-072 currentRetirementIncomeMonthly → MK-CF-F-092 incomeMonthlyGrid → MK-CF-F-120 pctBaseMonthly → MK-CF-F-008 spendByMonth
4. MK-ST-F-056 has → MK-CF-F-172 hasWage → MK-CF-F-173 earnerWages → MK-CF-F-092 incomeMonthlyGrid → MK-CF-F-120 pctBaseMonthly → MK-CF-F-008 spendByMonth
5. MK-ST-F-052 toNum → MK-CF-F-062 equityRowValue → MK-CF-F-065 equityVestWeights → MK-CF-F-092 incomeMonthlyGrid → MK-CF-F-120 pctBaseMonthly → MK-CF-F-008 spendByMonth
6. MK-CF-F-132 map → MK-CF-F-065 equityVestWeights → MK-CF-F-092 incomeMonthlyGrid → MK-CF-F-120 pctBaseMonthly → MK-CF-F-008 spendByMonth
7. MK-CF-F-069 benefitActiveMonths → MK-CF-F-070 benefitAnnual → MK-CF-F-071 extraIncome → MK-CF-F-092 incomeMonthlyGrid → MK-CF-F-120 pctBaseMonthly → MK-CF-F-008 spendByMonth
8. MK-ST-F-052 toNum → MK-CF-F-070 benefitAnnual → MK-CF-F-071 extraIncome → MK-CF-F-092 incomeMonthlyGrid → MK-CF-F-120 pctBaseMonthly → MK-CF-F-008 spendByMonth
9. … and 5 more paths</t>
        </is>
      </c>
      <c r="S10" s="3" t="inlineStr">
        <is>
          <t>—</t>
        </is>
      </c>
      <c r="T10" s="3" t="inlineStr">
        <is>
          <t>—</t>
        </is>
      </c>
      <c r="U10" s="3" t="inlineStr">
        <is>
          <t>ACTIVE</t>
        </is>
      </c>
      <c r="V10" s="3" t="inlineStr">
        <is>
          <t>2026-09-12</t>
        </is>
      </c>
      <c r="W10" s="3" t="n"/>
      <c r="X10" s="3" t="n"/>
      <c r="Y10" s="3" t="inlineStr">
        <is>
          <t>NOTHING OPEN</t>
        </is>
      </c>
    </row>
    <row r="11" ht="60" customHeight="1">
      <c r="A11" s="3" t="inlineStr">
        <is>
          <t>MK-CF-F-009</t>
        </is>
      </c>
      <c r="B11" s="3" t="inlineStr">
        <is>
          <t>monthlyEssentials</t>
        </is>
      </c>
      <c r="C11" s="3" t="inlineStr">
        <is>
          <t>src/domain/budget/index.ts</t>
        </is>
      </c>
      <c r="D11" s="3" t="n">
        <v>409</v>
      </c>
      <c r="E11" s="3" t="inlineStr">
        <is>
          <t>3 · DEPENDENT</t>
        </is>
      </c>
      <c r="F11" s="3" t="inlineStr">
        <is>
          <t>Monthly money you MUST keep paying — the recurring (non-monthly excluded) Critical + Important bills.</t>
        </is>
      </c>
      <c r="G11" s="11" t="inlineStr">
        <is>
          <t>a = op (or none when missing)
cats = spend cats   if array.is array(spend cats)
nothing   otherwise
planned monthly spend(op)   when cats is missing
net monthly = pct base monthly(op)
ess = 0
amt = to num(amount); if (amt ≤ 0) continue
uncategorized = max(0, to num(monthly expenses) − spend buckets(op).monthly total)
the answer = ess + uncategorized</t>
        </is>
      </c>
      <c r="H11" s="3" t="inlineStr">
        <is>
          <t>A is op (or none — when missing). Cats is spend cats — when array.is array(spend cats); no answer — otherwise. When cats is missing, it answers planned monthly spend(op). Net monthly is pct base monthly(op). Ess is 0. Amt is to num(amount); — when (amt is at most 0) continue. Uncategorized is to num(monthly expenses, never below zero minus spend buckets(op).monthly total). The answer is ess plus uncategorized.</t>
        </is>
      </c>
      <c r="I11" s="3" t="inlineStr">
        <is>
          <t>PARTLY READ — some of the code is still showing through; needs a hand pass</t>
        </is>
      </c>
      <c r="J11" s="3" t="inlineStr">
        <is>
          <t>op: OnboardingProfile | null</t>
        </is>
      </c>
      <c r="K11" s="3" t="inlineStr">
        <is>
          <t>number</t>
        </is>
      </c>
      <c r="L11" s="3" t="inlineStr">
        <is>
          <t>—</t>
        </is>
      </c>
      <c r="M11" s="3" t="inlineStr">
        <is>
          <t>· Uses a built-in ess of 0.</t>
        </is>
      </c>
      <c r="N11" s="3" t="inlineStr">
        <is>
          <t>Yes</t>
        </is>
      </c>
      <c r="O11" s="3" t="inlineStr">
        <is>
          <t>1. MK-CF-F-120 pctBaseMonthly
2. MK-CF-F-002 plannedMonthlySpend
3. MK-CF-F-004 spendBuckets
4. MK-ST-F-052 toNum</t>
        </is>
      </c>
      <c r="P11" s="3" t="n">
        <v>101</v>
      </c>
      <c r="Q11" s="3" t="inlineStr">
        <is>
          <t>1. MK-CF-F-120 pctBaseMonthly
2. MK-CF-F-002 plannedMonthlySpend
3. MK-CF-F-004 spendBuckets
4. MK-ST-F-052 toNum
5. MK-CF-F-092 incomeMonthlyGrid
6. MK-XS-F-027 takeHomeMonthly
7. MK-CF-F-003 categoryMonthly
8. MK-XS-F-122 n
9. MK-CF-F-069 benefitActiveMonths
10. MK-CF-F-072 currentRetirementIncomeMonthly
11. MK-CF-F-173 earnerWages
12. MK-CF-F-065 equityVestWeights
13. MK-CF-F-071 extraIncome
14. MK-ST-F-056 has
15. MK-CF-F-206 householdK401ByMonth
16. MK-CF-F-132 map
17. MK-CF-F-087 monthlyTaxRates
18. MK-CF-F-073 otherIncomeMonth
19. MK-CF-F-181 rateInForce
20. MK-CF-F-068 rentalNetAnnual
21. MK-CF-F-066 rsuAnnual
22. MK-CF-F-060 salaryGrossByMonth
23. MK-CF-F-077 scholarshipByCalendarMonth
24. MK-CF-F-088 taxableByCalendarMonth
25. MK-CF-F-177 wageGrossByMonth
26. MK-PL-F-012 waterfall
27. MK-CF-F-011 savingsByMonth
28. MK-CF-F-075 retirementIncomeMonthly
29. MK-CF-F-172 hasWage
30. MK-CF-F-062 equityRowValue
31. MK-CF-F-070 benefitAnnual
32. MK-ST-F-039 on
33. MK-CF-F-176 sumMonthsOverEarners
34. MK-CF-F-203 MONTH
35. MK-CF-F-090 effectiveRate
36. MK-CF-F-180 enteredLandsAnnual
37. MK-CF-F-085 filingStatusOf
38. MK-CF-F-089 over65CountOf
39. MK-CF-F-082 salaryAnnual
40. MK-CF-F-086 stateRateOf
41. MK-CF-F-101 taxOwedFor
42. MK-CF-F-084 taxableAnnual
43. MK-CF-O-002 expenses
44. MK-CF-F-067 rentalList
45. MK-CF-F-063 rowVestYear
46. MK-CF-F-130 enteredMonthlyRaw
47. MK-CF-F-166 hasMonthlySalaryTable
48. MK-ST-F-036 reconcile
49. MK-CF-F-167 salaryCalendarYear
50. MK-CF-F-008 spendByMonth
51. MK-CF-O-010 theMonth
52. MK-CF-F-100 taxableIncomeFor
53. MK-CF-F-074 tipsAnnual
54. MK-CF-F-151 actualSpending
55. MK-CF-F-150 debtPaymentsCountedAsExpenses
56. MK-CF-F-153 radar
57. MK-CF-F-149 recurringDebtPayments
58. MK-CF-F-165 salaryMonths
59. MK-CF-F-155 cash
60. MK-CF-O-003 thisMonth
61. MK-CF-F-099 deductionFor
62. MK-CF-F-081 salaryActiveMonths
63. MK-CF-F-148 inMonth
64. MK-CF-F-191 ym
65. MK-CF-F-022 paymentShape
66. MK-CF-F-152 isRadarItem
67. MK-CF-F-023 requiredPayment
68. MK-CF-F-005 actualMonthFlow
69. MK-CF-F-156 plannedMonthFlow
70. MK-CF-F-187 seniorDeductionFor
71. MK-CF-F-021 defaultPaymentType
72. MK-NW-F-078 ONE
73. MK-CF-F-157 debtPaymentsByDebt
74. MK-CF-F-192 inflowLabel
75. MK-NW-F-077 ALL
76. MK-NW-F-059 currentYield
77. MK-XS-F-180 declareFigures
78. MK-ST-F-049 formatMoney
79. MK-ST-F-053 money
80. MK-NW-O-001 theBonds
81. MK-CF-F-193 inflowSourceWord
82. MK-NW-F-057 annualCoupon
83. MK-ST-F-048 currencySymbol
84. MK-ST-F-027 accountId
85. MK-NW-F-056 bondInfo
86. MK-NW-F-064 bondRateSensitivity
87. MK-NW-F-061 bondSummary
88. MK-NW-F-055 isBond
89. MK-NW-F-072 rowOf
90. MK-ST-F-047 activeCurrency
91. MK-NW-F-060 approxYTM
92. MK-NW-F-069 priceAtYield
93. MK-NW-F-011 assetClassOf
94. MK-NW-F-070 accruedInterestCaveat
95. MK-NW-F-071 isCertificateOfDeposit
96. MK-NW-F-058 yearsToMaturity
97. MK-NW-F-008 incomeBearingClassOf
98. MK-ST-F-010 nameEvidence
99. MK-XS-F-147 call
100. MK-XS-F-064 currentIdToken
101. MK-XS-F-112 relayUrl</t>
        </is>
      </c>
      <c r="R11" s="3" t="inlineStr">
        <is>
          <t>1. MK-CF-F-069 benefitActiveMonths → MK-CF-F-092 incomeMonthlyGrid → MK-CF-F-120 pctBaseMonthly → MK-CF-F-009 monthlyEssentials
2. MK-ST-F-052 toNum → MK-CF-F-075 retirementIncomeMonthly → MK-CF-F-072 currentRetirementIncomeMonthly → MK-CF-F-092 incomeMonthlyGrid → MK-CF-F-120 pctBaseMonthly → MK-CF-F-009 monthlyEssentials
3. MK-ST-F-056 has → MK-CF-F-172 hasWage → MK-CF-F-173 earnerWages → MK-CF-F-092 incomeMonthlyGrid → MK-CF-F-120 pctBaseMonthly → MK-CF-F-009 monthlyEssentials
4. MK-ST-F-052 toNum → MK-CF-F-062 equityRowValue → MK-CF-F-065 equityVestWeights → MK-CF-F-092 incomeMonthlyGrid → MK-CF-F-120 pctBaseMonthly → MK-CF-F-009 monthlyEssentials
5. MK-CF-F-132 map → MK-CF-F-065 equityVestWeights → MK-CF-F-092 incomeMonthlyGrid → MK-CF-F-120 pctBaseMonthly → MK-CF-F-009 monthlyEssentials
6. MK-CF-F-069 benefitActiveMonths → MK-CF-F-070 benefitAnnual → MK-CF-F-071 extraIncome → MK-CF-F-092 incomeMonthlyGrid → MK-CF-F-120 pctBaseMonthly → MK-CF-F-009 monthlyEssentials
7. MK-ST-F-052 toNum → MK-CF-F-070 benefitAnnual → MK-CF-F-071 extraIncome → MK-CF-F-092 incomeMonthlyGrid → MK-CF-F-120 pctBaseMonthly → MK-CF-F-009 monthlyEssentials
8. MK-ST-F-039 on → MK-CF-F-071 extraIncome → MK-CF-F-092 incomeMonthlyGrid → MK-CF-F-120 pctBaseMonthly → MK-CF-F-009 monthlyEssentials
9. … and 5 more paths</t>
        </is>
      </c>
      <c r="S11" s="3" t="inlineStr">
        <is>
          <t>—</t>
        </is>
      </c>
      <c r="T11" s="3" t="inlineStr">
        <is>
          <t>—</t>
        </is>
      </c>
      <c r="U11" s="3" t="inlineStr">
        <is>
          <t>ACTIVE</t>
        </is>
      </c>
      <c r="V11" s="3" t="inlineStr">
        <is>
          <t>2026-09-28</t>
        </is>
      </c>
      <c r="W11" s="3" t="n"/>
      <c r="X11" s="3" t="n"/>
      <c r="Y11" s="3" t="inlineStr">
        <is>
          <t>NOTHING OPEN</t>
        </is>
      </c>
    </row>
    <row r="12" ht="60" customHeight="1">
      <c r="A12" s="3" t="inlineStr">
        <is>
          <t>MK-CF-F-010</t>
        </is>
      </c>
      <c r="B12" s="3" t="inlineStr">
        <is>
          <t>emergencyTest</t>
        </is>
      </c>
      <c r="C12" s="3" t="inlineStr">
        <is>
          <t>src/domain/budget/index.ts</t>
        </is>
      </c>
      <c r="D12" s="3" t="n">
        <v>468</v>
      </c>
      <c r="E12" s="3" t="inlineStr">
        <is>
          <t>3 · DEPENDENT</t>
        </is>
      </c>
      <c r="F12" s="3" t="inlineStr">
        <is>
          <t>"What if a $X emergency hit right now?" — can your cash absorb it, and how long would you last.</t>
        </is>
      </c>
      <c r="G12" s="11" t="inlineStr">
        <is>
          <t>ess = essentials override   if essentials override ≠ nothing and essentials override &gt; 0
monthly essentials(op)   otherwise
cash after = cash − shock
recommended fund = ess × 3</t>
        </is>
      </c>
      <c r="H12" s="3" t="inlineStr">
        <is>
          <t>Ess is essentials override — when essentials override is not no answer and essentials override &gt; 0; monthly essentials(op) — otherwise. Cash after is cash minus shock. Recommended fund is ess times 3.</t>
        </is>
      </c>
      <c r="I12" s="3" t="inlineStr">
        <is>
          <t>READ FROM THE CODE — rendered from the expressions the function runs</t>
        </is>
      </c>
      <c r="J12" s="3" t="inlineStr">
        <is>
          <t>1. op: OnboardingProfile | null
2. cash: number
3. shock: number
4. essentialsOverride?: number</t>
        </is>
      </c>
      <c r="K12" s="3" t="inlineStr">
        <is>
          <t>ShockResult</t>
        </is>
      </c>
      <c r="L12" s="3" t="inlineStr">
        <is>
          <t>—</t>
        </is>
      </c>
      <c r="M12" s="3" t="inlineStr">
        <is>
          <t>1. Never lets cash after fall below 0.
2. G21 (2026-09-08): essentials a month = the figure handed in by the screen (MK-CF-F-190: logged average, else typed), falling back to the typed categories only when nothing is handed in.</t>
        </is>
      </c>
      <c r="N12" s="3" t="inlineStr">
        <is>
          <t>Yes</t>
        </is>
      </c>
      <c r="O12" s="3" t="inlineStr">
        <is>
          <t>1. MK-CF-F-155 cash
2. MK-CF-F-009 monthlyEssentials</t>
        </is>
      </c>
      <c r="P12" s="3" t="n">
        <v>102</v>
      </c>
      <c r="Q12" s="3" t="inlineStr">
        <is>
          <t>1. MK-CF-F-155 cash
2. MK-CF-F-009 monthlyEssentials
3. MK-XS-F-122 n
4. MK-CF-F-120 pctBaseMonthly
5. MK-CF-F-002 plannedMonthlySpend
6. MK-CF-F-004 spendBuckets
7. MK-ST-F-052 toNum
8. MK-CF-F-092 incomeMonthlyGrid
9. MK-XS-F-027 takeHomeMonthly
10. MK-CF-F-003 categoryMonthly
11. MK-CF-F-069 benefitActiveMonths
12. MK-CF-F-072 currentRetirementIncomeMonthly
13. MK-CF-F-173 earnerWages
14. MK-CF-F-065 equityVestWeights
15. MK-CF-F-071 extraIncome
16. MK-ST-F-056 has
17. MK-CF-F-206 householdK401ByMonth
18. MK-CF-F-132 map
19. MK-CF-F-087 monthlyTaxRates
20. MK-CF-F-073 otherIncomeMonth
21. MK-CF-F-181 rateInForce
22. MK-CF-F-068 rentalNetAnnual
23. MK-CF-F-066 rsuAnnual
24. MK-CF-F-060 salaryGrossByMonth
25. MK-CF-F-077 scholarshipByCalendarMonth
26. MK-CF-F-088 taxableByCalendarMonth
27. MK-CF-F-177 wageGrossByMonth
28. MK-PL-F-012 waterfall
29. MK-CF-F-011 savingsByMonth
30. MK-CF-F-075 retirementIncomeMonthly
31. MK-CF-F-172 hasWage
32. MK-CF-F-062 equityRowValue
33. MK-CF-F-070 benefitAnnual
34. MK-ST-F-039 on
35. MK-CF-F-176 sumMonthsOverEarners
36. MK-CF-F-203 MONTH
37. MK-CF-F-090 effectiveRate
38. MK-CF-F-180 enteredLandsAnnual
39. MK-CF-F-085 filingStatusOf
40. MK-CF-F-089 over65CountOf
41. MK-CF-F-082 salaryAnnual
42. MK-CF-F-086 stateRateOf
43. MK-CF-F-101 taxOwedFor
44. MK-CF-F-084 taxableAnnual
45. MK-CF-O-002 expenses
46. MK-CF-F-067 rentalList
47. MK-CF-F-063 rowVestYear
48. MK-CF-F-130 enteredMonthlyRaw
49. MK-CF-F-166 hasMonthlySalaryTable
50. MK-ST-F-036 reconcile
51. MK-CF-F-167 salaryCalendarYear
52. MK-CF-F-008 spendByMonth
53. MK-CF-O-010 theMonth
54. MK-CF-F-100 taxableIncomeFor
55. MK-CF-F-074 tipsAnnual
56. MK-CF-F-151 actualSpending
57. MK-CF-F-150 debtPaymentsCountedAsExpenses
58. MK-CF-F-153 radar
59. MK-CF-F-149 recurringDebtPayments
60. MK-CF-F-165 salaryMonths
61. MK-CF-O-003 thisMonth
62. MK-CF-F-099 deductionFor
63. MK-CF-F-081 salaryActiveMonths
64. MK-CF-F-148 inMonth
65. MK-CF-F-191 ym
66. MK-CF-F-022 paymentShape
67. MK-CF-F-152 isRadarItem
68. MK-CF-F-023 requiredPayment
69. MK-CF-F-005 actualMonthFlow
70. MK-CF-F-156 plannedMonthFlow
71. MK-CF-F-187 seniorDeductionFor
72. MK-CF-F-021 defaultPaymentType
73. MK-NW-F-078 ONE
74. MK-CF-F-157 debtPaymentsByDebt
75. MK-CF-F-192 inflowLabel
76. MK-NW-F-077 ALL
77. MK-NW-F-059 currentYield
78. MK-XS-F-180 declareFigures
79. MK-ST-F-049 formatMoney
80. MK-ST-F-053 money
81. MK-NW-O-001 theBonds
82. MK-CF-F-193 inflowSourceWord
83. MK-NW-F-057 annualCoupon
84. MK-ST-F-048 currencySymbol
85. MK-ST-F-027 accountId
86. MK-NW-F-056 bondInfo
87. MK-NW-F-064 bondRateSensitivity
88. MK-NW-F-061 bondSummary
89. MK-NW-F-055 isBond
90. MK-NW-F-072 rowOf
91. MK-ST-F-047 activeCurrency
92. MK-NW-F-060 approxYTM
93. MK-NW-F-069 priceAtYield
94. MK-NW-F-011 assetClassOf
95. MK-NW-F-070 accruedInterestCaveat
96. MK-NW-F-071 isCertificateOfDeposit
97. MK-NW-F-058 yearsToMaturity
98. MK-NW-F-008 incomeBearingClassOf
99. MK-ST-F-010 nameEvidence
100. MK-XS-F-147 call
101. MK-XS-F-064 currentIdToken
102. MK-XS-F-112 relayUrl</t>
        </is>
      </c>
      <c r="R12" s="3" t="inlineStr">
        <is>
          <t>1. MK-XS-F-122 n → MK-CF-F-155 cash → MK-CF-F-010 emergencyTest
2. MK-CF-F-069 benefitActiveMonths → MK-CF-F-092 incomeMonthlyGrid → MK-CF-F-120 pctBaseMonthly → MK-CF-F-009 monthlyEssentials → MK-CF-F-010 emergencyTest
3. MK-CF-F-075 retirementIncomeMonthly → MK-CF-F-072 currentRetirementIncomeMonthly → MK-CF-F-092 incomeMonthlyGrid → MK-CF-F-120 pctBaseMonthly → MK-CF-F-009 monthlyEssentials → MK-CF-F-010 emergencyTest
4. MK-CF-F-172 hasWage → MK-CF-F-173 earnerWages → MK-CF-F-092 incomeMonthlyGrid → MK-CF-F-120 pctBaseMonthly → MK-CF-F-009 monthlyEssentials → MK-CF-F-010 emergencyTest
5. MK-CF-F-062 equityRowValue → MK-CF-F-065 equityVestWeights → MK-CF-F-092 incomeMonthlyGrid → MK-CF-F-120 pctBaseMonthly → MK-CF-F-009 monthlyEssentials → MK-CF-F-010 emergencyTest
6. MK-CF-F-132 map → MK-CF-F-065 equityVestWeights → MK-CF-F-092 incomeMonthlyGrid → MK-CF-F-120 pctBaseMonthly → MK-CF-F-009 monthlyEssentials → MK-CF-F-010 emergencyTest
7. MK-CF-F-070 benefitAnnual → MK-CF-F-071 extraIncome → MK-CF-F-092 incomeMonthlyGrid → MK-CF-F-120 pctBaseMonthly → MK-CF-F-009 monthlyEssentials → MK-CF-F-010 emergencyTest
8. MK-ST-F-039 on → MK-CF-F-071 extraIncome → MK-CF-F-092 incomeMonthlyGrid → MK-CF-F-120 pctBaseMonthly → MK-CF-F-009 monthlyEssentials → MK-CF-F-010 emergencyTest
9. … and 4 more paths</t>
        </is>
      </c>
      <c r="S12" s="3" t="inlineStr">
        <is>
          <t>MK-MN-M-024 · MK-MN-M-025</t>
        </is>
      </c>
      <c r="T12" s="3" t="inlineStr">
        <is>
          <t>—</t>
        </is>
      </c>
      <c r="U12" s="3" t="inlineStr">
        <is>
          <t>ACTIVE</t>
        </is>
      </c>
      <c r="V12" s="3" t="inlineStr">
        <is>
          <t>2026-09-28</t>
        </is>
      </c>
      <c r="W12" s="3" t="n"/>
      <c r="X12" s="3" t="n"/>
      <c r="Y12" s="6" t="inlineStr">
        <is>
          <t>TESTED, NOT VERIFIED (G21 / Q47)</t>
        </is>
      </c>
    </row>
    <row r="13" ht="60" customHeight="1">
      <c r="A13" s="3" t="inlineStr">
        <is>
          <t>MK-CF-F-011</t>
        </is>
      </c>
      <c r="B13" s="3" t="inlineStr">
        <is>
          <t>savingsByMonth</t>
        </is>
      </c>
      <c r="C13" s="3" t="inlineStr">
        <is>
          <t>src/domain/budget/index.ts</t>
        </is>
      </c>
      <c r="D13" s="3" t="n">
        <v>522</v>
      </c>
      <c r="E13" s="3" t="inlineStr">
        <is>
          <t>2 · DISPLAYED</t>
        </is>
      </c>
      <c r="F13" s="3" t="inlineStr">
        <is>
          <t>Discretionary amount free to save each month = take-home that month (after tax &amp; 401k) minus the expenses due that month.</t>
        </is>
      </c>
      <c r="G13" s="11" t="inlineStr">
        <is>
          <t>avail = income monthly grid(op, 'available')
spend = spend by month(op)
the answer:
for each of avail: label = label
amount = amount − spend[i]</t>
        </is>
      </c>
      <c r="H13" s="3" t="inlineStr">
        <is>
          <t>Avail is income monthly grid(op, 'available'). Spend is spend by month(op). The answer is for each of avail: label = label; amount = amount minus spend[i].</t>
        </is>
      </c>
      <c r="I13" s="3" t="inlineStr">
        <is>
          <t>READ FROM THE CODE — rendered from the expressions the function runs</t>
        </is>
      </c>
      <c r="J13" s="3" t="inlineStr">
        <is>
          <t>op: OnboardingProfile | null</t>
        </is>
      </c>
      <c r="K13" s="3" t="inlineStr">
        <is>
          <t>NOT DECLARED — the code does not say what it gives back</t>
        </is>
      </c>
      <c r="L13" s="3" t="inlineStr">
        <is>
          <t>NOT FOUND — a screen calls it, but the words printed beside its answer could not be traced automatically. Needs reading.</t>
        </is>
      </c>
      <c r="M13" s="3" t="inlineStr">
        <is>
          <t>None found in this function — anything it assumes comes from the functions it depends on.</t>
        </is>
      </c>
      <c r="N13" s="3" t="inlineStr">
        <is>
          <t>Yes</t>
        </is>
      </c>
      <c r="O13" s="3" t="inlineStr">
        <is>
          <t>1. MK-CF-F-092 incomeMonthlyGrid
2. MK-CF-F-132 map
3. MK-CF-F-008 spendByMonth</t>
        </is>
      </c>
      <c r="P13" s="3" t="n">
        <v>99</v>
      </c>
      <c r="Q13" s="3" t="inlineStr">
        <is>
          <t>1. MK-CF-F-092 incomeMonthlyGrid
2. MK-CF-F-132 map
3. MK-CF-F-008 spendByMonth
4. MK-CF-F-069 benefitActiveMonths
5. MK-CF-F-072 currentRetirementIncomeMonthly
6. MK-CF-F-173 earnerWages
7. MK-CF-F-065 equityVestWeights
8. MK-CF-F-071 extraIncome
9. MK-ST-F-056 has
10. MK-CF-F-206 householdK401ByMonth
11. MK-CF-F-087 monthlyTaxRates
12. MK-CF-F-073 otherIncomeMonth
13. MK-CF-F-181 rateInForce
14. MK-CF-F-068 rentalNetAnnual
15. MK-CF-F-066 rsuAnnual
16. MK-CF-F-060 salaryGrossByMonth
17. MK-CF-F-077 scholarshipByCalendarMonth
18. MK-CF-F-088 taxableByCalendarMonth
19. MK-ST-F-052 toNum
20. MK-CF-F-177 wageGrossByMonth
21. MK-PL-F-012 waterfall
22. MK-CF-F-120 pctBaseMonthly
23. MK-CF-F-004 spendBuckets
24. MK-CF-F-075 retirementIncomeMonthly
25. MK-CF-F-172 hasWage
26. MK-CF-F-062 equityRowValue
27. MK-CF-F-070 benefitAnnual
28. MK-ST-F-039 on
29. MK-CF-F-176 sumMonthsOverEarners
30. MK-CF-F-203 MONTH
31. MK-CF-F-090 effectiveRate
32. MK-CF-F-180 enteredLandsAnnual
33. MK-CF-F-085 filingStatusOf
34. MK-CF-F-089 over65CountOf
35. MK-CF-F-082 salaryAnnual
36. MK-CF-F-086 stateRateOf
37. MK-CF-F-101 taxOwedFor
38. MK-CF-F-084 taxableAnnual
39. MK-CF-O-002 expenses
40. MK-CF-F-067 rentalList
41. MK-CF-F-063 rowVestYear
42. MK-XS-F-122 n
43. MK-CF-F-130 enteredMonthlyRaw
44. MK-CF-F-166 hasMonthlySalaryTable
45. MK-ST-F-036 reconcile
46. MK-CF-F-167 salaryCalendarYear
47. MK-CF-F-003 categoryMonthly
48. MK-CF-O-010 theMonth
49. MK-CF-F-100 taxableIncomeFor
50. MK-CF-F-074 tipsAnnual
51. MK-CF-F-151 actualSpending
52. MK-CF-F-150 debtPaymentsCountedAsExpenses
53. MK-CF-F-153 radar
54. MK-CF-F-149 recurringDebtPayments
55. MK-CF-F-165 salaryMonths
56. MK-XS-F-027 takeHomeMonthly
57. MK-CF-F-155 cash
58. MK-CF-O-003 thisMonth
59. MK-CF-F-099 deductionFor
60. MK-CF-F-081 salaryActiveMonths
61. MK-CF-F-148 inMonth
62. MK-CF-F-191 ym
63. MK-CF-F-022 paymentShape
64. MK-CF-F-152 isRadarItem
65. MK-CF-F-023 requiredPayment
66. MK-CF-F-005 actualMonthFlow
67. MK-CF-F-156 plannedMonthFlow
68. MK-CF-F-187 seniorDeductionFor
69. MK-CF-F-021 defaultPaymentType
70. MK-NW-F-078 ONE
71. MK-CF-F-157 debtPaymentsByDebt
72. MK-CF-F-192 inflowLabel
73. MK-NW-F-077 ALL
74. MK-NW-F-059 currentYield
75. MK-XS-F-180 declareFigures
76. MK-ST-F-049 formatMoney
77. MK-ST-F-053 money
78. MK-NW-O-001 theBonds
79. MK-CF-F-193 inflowSourceWord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13" s="3" t="inlineStr">
        <is>
          <t>1. MK-CF-F-069 benefitActiveMonths → MK-CF-F-092 incomeMonthlyGrid → MK-CF-F-011 savingsByMonth
2. MK-XS-F-122 n → MK-ST-F-052 toNum → MK-CF-F-075 retirementIncomeMonthly → MK-CF-F-072 currentRetirementIncomeMonthly → MK-CF-F-092 incomeMonthlyGrid → MK-CF-F-011 savingsByMonth
3. MK-ST-F-056 has → MK-CF-F-172 hasWage → MK-CF-F-173 earnerWages → MK-CF-F-092 incomeMonthlyGrid → MK-CF-F-011 savingsByMonth
4. MK-XS-F-122 n → MK-ST-F-052 toNum → MK-CF-F-062 equityRowValue → MK-CF-F-065 equityVestWeights → MK-CF-F-092 incomeMonthlyGrid → MK-CF-F-011 savingsByMonth
5. MK-CF-F-132 map → MK-CF-F-065 equityVestWeights → MK-CF-F-092 incomeMonthlyGrid → MK-CF-F-011 savingsByMonth
6. MK-CF-F-069 benefitActiveMonths → MK-CF-F-070 benefitAnnual → MK-CF-F-071 extraIncome → MK-CF-F-092 incomeMonthlyGrid → MK-CF-F-011 savingsByMonth
7. MK-XS-F-122 n → MK-ST-F-052 toNum → MK-CF-F-070 benefitAnnual → MK-CF-F-071 extraIncome → MK-CF-F-092 incomeMonthlyGrid → MK-CF-F-011 savingsByMonth
8. MK-ST-F-039 on → MK-CF-F-071 extraIncome → MK-CF-F-092 incomeMonthlyGrid → MK-CF-F-011 savingsByMonth
9. … and 5 more paths</t>
        </is>
      </c>
      <c r="S13" s="3" t="inlineStr">
        <is>
          <t>—</t>
        </is>
      </c>
      <c r="T13" s="3" t="inlineStr">
        <is>
          <t>—</t>
        </is>
      </c>
      <c r="U13" s="3" t="inlineStr">
        <is>
          <t>ACTIVE</t>
        </is>
      </c>
      <c r="V13" s="3" t="inlineStr">
        <is>
          <t>2026-09-09</t>
        </is>
      </c>
      <c r="W13" s="3" t="n"/>
      <c r="X13" s="3" t="n"/>
      <c r="Y13" s="3" t="inlineStr">
        <is>
          <t>NOTHING OPEN</t>
        </is>
      </c>
    </row>
    <row r="14" ht="60" customHeight="1">
      <c r="A14" s="3" t="inlineStr">
        <is>
          <t>MK-CF-F-012</t>
        </is>
      </c>
      <c r="B14" s="3" t="inlineStr">
        <is>
          <t>annualCashflow</t>
        </is>
      </c>
      <c r="C14" s="3" t="inlineStr">
        <is>
          <t>src/domain/budget/index.ts</t>
        </is>
      </c>
      <c r="D14" s="3" t="n">
        <v>552</v>
      </c>
      <c r="E14" s="3" t="inlineStr">
        <is>
          <t>2 · DISPLAYED</t>
        </is>
      </c>
      <c r="F14" s="3" t="inlineStr">
        <is>
          <t>ONE annual cash-flow roll-up, derived entirely from the per-month income grid + spendByMonth — the SAME bases the savings-plan and budget already use.</t>
        </is>
      </c>
      <c r="G14" s="11" t="inlineStr">
        <is>
          <t>sum = Σ over (rows: { amount: number }[]) =&gt; rows of (amount)
gross yr = sum(income monthly grid(op, 'gross'))
net yr = sum(income monthly grid(op, 'net'))
available yr = sum(income monthly grid(op, 'available'))
spend yr = Σ over spend by month(op) of (each)</t>
        </is>
      </c>
      <c r="H14" s="3" t="inlineStr">
        <is>
          <t>Sum: the amount added up across (rows: { amount: number }[]) =&gt; rows. Gross yr is sum(income monthly grid(op, 'gross')). Net yr is sum(income monthly grid(op, 'net')). Available yr is sum(income monthly grid(op, 'available')). Spend yr: the each added up across spend by month(op).</t>
        </is>
      </c>
      <c r="I14" s="3" t="inlineStr">
        <is>
          <t>PARTLY READ — some of the code is still showing through; needs a hand pass</t>
        </is>
      </c>
      <c r="J14" s="3" t="inlineStr">
        <is>
          <t>op: OnboardingProfile | null</t>
        </is>
      </c>
      <c r="K14" s="3" t="inlineStr">
        <is>
          <t>NOT DECLARED — the code does not say what it gives back</t>
        </is>
      </c>
      <c r="L14" s="3" t="inlineStr">
        <is>
          <t>NOT FOUND — a screen calls it, but the words printed beside its answer could not be traced automatically. Needs reading.</t>
        </is>
      </c>
      <c r="M14" s="3" t="inlineStr">
        <is>
          <t>None found in this function — anything it assumes comes from the functions it depends on.</t>
        </is>
      </c>
      <c r="N14" s="3" t="inlineStr">
        <is>
          <t>Yes</t>
        </is>
      </c>
      <c r="O14" s="3" t="inlineStr">
        <is>
          <t>1. MK-CF-F-092 incomeMonthlyGrid
2. MK-CF-F-008 spendByMonth</t>
        </is>
      </c>
      <c r="P14" s="3" t="n">
        <v>100</v>
      </c>
      <c r="Q14" s="3" t="inlineStr">
        <is>
          <t>1. MK-CF-F-092 incomeMonthlyGrid
2. MK-CF-F-008 spendByMonth
3. MK-CF-F-069 benefitActiveMonths
4. MK-CF-F-072 currentRetirementIncomeMonthly
5. MK-CF-F-173 earnerWages
6. MK-CF-F-065 equityVestWeights
7. MK-CF-F-071 extraIncome
8. MK-ST-F-056 has
9. MK-CF-F-206 householdK401ByMonth
10. MK-CF-F-132 map
11. MK-CF-F-087 monthlyTaxRates
12. MK-CF-F-073 otherIncomeMonth
13. MK-CF-F-181 rateInForce
14. MK-CF-F-068 rentalNetAnnual
15. MK-CF-F-066 rsuAnnual
16. MK-CF-F-060 salaryGrossByMonth
17. MK-CF-F-077 scholarshipByCalendarMonth
18. MK-CF-F-088 taxableByCalendarMonth
19. MK-ST-F-052 toNum
20. MK-CF-F-177 wageGrossByMonth
21. MK-PL-F-012 waterfall
22. MK-CF-F-120 pctBaseMonthly
23. MK-CF-F-004 spendBuckets
24. MK-CF-F-075 retirementIncomeMonthly
25. MK-CF-F-172 hasWage
26. MK-CF-F-062 equityRowValue
27. MK-CF-F-070 benefitAnnual
28. MK-ST-F-039 on
29. MK-CF-F-176 sumMonthsOverEarners
30. MK-CF-F-203 MONTH
31. MK-CF-F-090 effectiveRate
32. MK-CF-F-180 enteredLandsAnnual
33. MK-CF-F-085 filingStatusOf
34. MK-CF-F-089 over65CountOf
35. MK-CF-F-082 salaryAnnual
36. MK-CF-F-086 stateRateOf
37. MK-CF-F-101 taxOwedFor
38. MK-CF-F-084 taxableAnnual
39. MK-CF-O-002 expenses
40. MK-CF-F-067 rentalList
41. MK-CF-F-063 rowVestYear
42. MK-XS-F-122 n
43. MK-CF-F-130 enteredMonthlyRaw
44. MK-CF-F-166 hasMonthlySalaryTable
45. MK-ST-F-036 reconcile
46. MK-CF-F-167 salaryCalendarYear
47. MK-CF-F-003 categoryMonthly
48. MK-CF-O-010 theMonth
49. MK-CF-F-100 taxableIncomeFor
50. MK-CF-F-074 tipsAnnual
51. MK-CF-F-151 actualSpending
52. MK-CF-F-150 debtPaymentsCountedAsExpenses
53. MK-CF-F-153 radar
54. MK-CF-F-149 recurringDebtPayments
55. MK-CF-F-165 salaryMonths
56. MK-XS-F-027 takeHomeMonthly
57. MK-CF-F-155 cash
58. MK-CF-O-003 thisMonth
59. MK-CF-F-099 deductionFor
60. MK-CF-F-081 salaryActiveMonths
61. MK-CF-F-148 inMonth
62. MK-CF-F-191 ym
63. MK-CF-F-022 paymentShape
64. MK-CF-F-152 isRadarItem
65. MK-CF-F-023 requiredPayment
66. MK-CF-F-011 savingsByMonth
67. MK-CF-F-005 actualMonthFlow
68. MK-CF-F-156 plannedMonthFlow
69. MK-CF-F-187 seniorDeductionFor
70. MK-CF-F-021 defaultPaymentType
71. MK-NW-F-078 ONE
72. MK-CF-F-157 debtPaymentsByDebt
73. MK-CF-F-192 inflowLabel
74. MK-NW-F-077 ALL
75. MK-NW-F-059 currentYield
76. MK-XS-F-180 declareFigures
77. MK-ST-F-049 formatMoney
78. MK-ST-F-053 money
79. MK-NW-O-001 theBonds
80. MK-CF-F-193 inflowSourceWord
81. MK-NW-F-057 annualCoupon
82. MK-ST-F-048 currencySymbol
83. MK-ST-F-027 accountId
84. MK-NW-F-056 bondInfo
85. MK-NW-F-064 bondRateSensitivity
86. MK-NW-F-061 bondSummary
87. MK-NW-F-055 isBond
88. MK-NW-F-072 rowOf
89. MK-ST-F-047 activeCurrency
90. MK-NW-F-060 approxYTM
91. MK-NW-F-069 priceAtYield
92. MK-NW-F-011 assetClassOf
93. MK-NW-F-070 accruedInterestCaveat
94. MK-NW-F-071 isCertificateOfDeposit
95. MK-NW-F-058 yearsToMaturity
96. MK-NW-F-008 incomeBearingClassOf
97. MK-ST-F-010 nameEvidence
98. MK-XS-F-147 call
99. MK-XS-F-064 currentIdToken
100. MK-XS-F-112 relayUrl</t>
        </is>
      </c>
      <c r="R14" s="3" t="inlineStr">
        <is>
          <t>1. MK-CF-F-069 benefitActiveMonths → MK-CF-F-092 incomeMonthlyGrid → MK-CF-F-012 annualCashflow
2. MK-XS-F-122 n → MK-ST-F-052 toNum → MK-CF-F-075 retirementIncomeMonthly → MK-CF-F-072 currentRetirementIncomeMonthly → MK-CF-F-092 incomeMonthlyGrid → MK-CF-F-012 annualCashflow
3. MK-ST-F-056 has → MK-CF-F-172 hasWage → MK-CF-F-173 earnerWages → MK-CF-F-092 incomeMonthlyGrid → MK-CF-F-012 annualCashflow
4. MK-XS-F-122 n → MK-ST-F-052 toNum → MK-CF-F-062 equityRowValue → MK-CF-F-065 equityVestWeights → MK-CF-F-092 incomeMonthlyGrid → MK-CF-F-012 annualCashflow
5. MK-CF-F-132 map → MK-CF-F-065 equityVestWeights → MK-CF-F-092 incomeMonthlyGrid → MK-CF-F-012 annualCashflow
6. MK-CF-F-069 benefitActiveMonths → MK-CF-F-070 benefitAnnual → MK-CF-F-071 extraIncome → MK-CF-F-092 incomeMonthlyGrid → MK-CF-F-012 annualCashflow
7. MK-XS-F-122 n → MK-ST-F-052 toNum → MK-CF-F-070 benefitAnnual → MK-CF-F-071 extraIncome → MK-CF-F-092 incomeMonthlyGrid → MK-CF-F-012 annualCashflow
8. MK-ST-F-039 on → MK-CF-F-071 extraIncome → MK-CF-F-092 incomeMonthlyGrid → MK-CF-F-012 annualCashflow
9. … and 5 more paths</t>
        </is>
      </c>
      <c r="S14" s="3" t="inlineStr">
        <is>
          <t>—</t>
        </is>
      </c>
      <c r="T14" s="3" t="inlineStr">
        <is>
          <t>—</t>
        </is>
      </c>
      <c r="U14" s="3" t="inlineStr">
        <is>
          <t>ACTIVE</t>
        </is>
      </c>
      <c r="V14" s="3" t="inlineStr">
        <is>
          <t>2026-09-09</t>
        </is>
      </c>
      <c r="W14" s="3" t="n"/>
      <c r="X14" s="3" t="n"/>
      <c r="Y14" s="3" t="inlineStr">
        <is>
          <t>NOTHING OPEN</t>
        </is>
      </c>
    </row>
    <row r="15" ht="60" customHeight="1">
      <c r="A15" s="3" t="inlineStr">
        <is>
          <t>MK-CF-F-013</t>
        </is>
      </c>
      <c r="B15" s="3" t="inlineStr">
        <is>
          <t>budgetFromOnboarding</t>
        </is>
      </c>
      <c r="C15" s="3" t="inlineStr">
        <is>
          <t>src/domain/budget/index.ts</t>
        </is>
      </c>
      <c r="D15" s="3" t="n">
        <v>591</v>
      </c>
      <c r="E15" s="3" t="inlineStr">
        <is>
          <t>3 · DEPENDENT</t>
        </is>
      </c>
      <c r="F15" s="3" t="inlineStr">
        <is>
          <t>Turns the answers about expenses given during setup into the stored budget: the monthly total and its three parts, which are fixed bills, once-in-a-while costs and everyday expenses.</t>
        </is>
      </c>
      <c r="G15" s="11" t="inlineStr">
        <is>
          <t>a = op (or none when missing)
b = spend buckets(op)</t>
        </is>
      </c>
      <c r="H15" s="3" t="inlineStr">
        <is>
          <t>A is op (or none — when missing). B is spend buckets(op).</t>
        </is>
      </c>
      <c r="I15" s="3" t="inlineStr">
        <is>
          <t>READ FROM THE CODE — rendered from the expressions the function runs</t>
        </is>
      </c>
      <c r="J15" s="3" t="inlineStr">
        <is>
          <t>1. uid: UserId
2. op: OnboardingProfile | null</t>
        </is>
      </c>
      <c r="K15" s="3" t="inlineStr">
        <is>
          <t>BudgetDoc</t>
        </is>
      </c>
      <c r="L15" s="3" t="inlineStr">
        <is>
          <t>—</t>
        </is>
      </c>
      <c r="M15" s="3" t="inlineStr">
        <is>
          <t>None found in this function — anything it assumes comes from the functions it depends on.</t>
        </is>
      </c>
      <c r="N15" s="3" t="inlineStr">
        <is>
          <t>Yes</t>
        </is>
      </c>
      <c r="O15" s="3" t="inlineStr">
        <is>
          <t>1. MK-CF-F-002 plannedMonthlySpend
2. MK-CF-F-004 spendBuckets
3. MK-XS-F-175 uid</t>
        </is>
      </c>
      <c r="P15" s="3" t="n">
        <v>157</v>
      </c>
      <c r="Q15" s="3" t="inlineStr">
        <is>
          <t>1. MK-CF-F-002 plannedMonthlySpend
2. MK-CF-F-004 spendBuckets
3. MK-XS-F-175 uid
4. MK-CF-F-092 incomeMonthlyGrid
5. MK-XS-F-027 takeHomeMonthly
6. MK-ST-F-052 toNum
7. MK-CF-F-003 categoryMonthly
8. MK-ST-F-027 accountId
9. MK-CF-F-111 applyTransaction
10. MK-NW-F-040 assetsFromOnboarding
11. MK-PF-F-013 benchmarkTicker
12. MK-ST-F-028 buildDayFromAccounts
13. MK-PF-F-034 closeOnOrBefore
14. MK-CF-F-186 convertTakeHomeMode
15. MK-ST-F-079 dailyWindowStart
16. MK-CF-F-038 debtsFromOnboarding
17. MK-XS-F-083 fetchPriceSeries
18. MK-PL-F-013 goalsFromOnboarding
19. MK-ST-F-056 has
20. MK-CF-F-116 inverseOf
21. MK-ST-F-065 isoLocalDate
22. MK-CF-F-112 makeTransaction
23. MK-CF-F-132 map
24. MK-XS-F-122 n
25. MK-ST-F-043 newEntityId
26. MK-XS-F-006 pruneDaily
27. MK-ST-F-073 rebuildDays
28. MK-NW-F-054 reclassifyAccounts
29. MK-XS-F-174 recomputeBalances
30. MK-CF-F-115 restoreUndo
31. MK-CF-F-109 reviewTransactions
32. MK-ST-F-044 setMoneyFormat
33. MK-CF-F-114 undoSnapshot
34. MK-CF-F-191 ym
35. MK-CF-F-069 benefitActiveMonths
36. MK-CF-F-072 currentRetirementIncomeMonthly
37. MK-CF-F-173 earnerWages
38. MK-CF-F-065 equityVestWeights
39. MK-CF-F-071 extraIncome
40. MK-CF-F-206 householdK401ByMonth
41. MK-CF-F-087 monthlyTaxRates
42. MK-CF-F-073 otherIncomeMonth
43. MK-CF-F-181 rateInForce
44. MK-CF-F-068 rentalNetAnnual
45. MK-CF-F-066 rsuAnnual
46. MK-CF-F-060 salaryGrossByMonth
47. MK-CF-F-077 scholarshipByCalendarMonth
48. MK-CF-F-088 taxableByCalendarMonth
49. MK-CF-F-177 wageGrossByMonth
50. MK-PL-F-012 waterfall
51. MK-CF-F-011 savingsByMonth
52. MK-CF-F-120 pctBaseMonthly
53. MK-CF-F-138 addLot
54. MK-CF-F-136 bumpCash
55. MK-CF-F-137 findPos
56. MK-CF-F-139 removeShares
57. MK-PF-F-001 totalShares
58. MK-ST-F-053 money
59. MK-CF-F-085 filingStatusOf
60. MK-CF-F-097 grossFromNet
61. MK-CF-F-185 needsTakeHomeConversion
62. MK-CF-F-089 over65CountOf
63. MK-CF-F-037 inferDebtType
64. MK-ST-F-069 amountOf
65. MK-CF-F-133 cashOf
66. MK-ST-F-066 isDayKey
67. MK-ST-F-070 isOpening
68. MK-ST-F-071 rebuildableFrom
69. MK-ST-F-068 stepDay
70. MK-ST-F-072 undo
71. MK-NW-F-053 correctClassOf
72. MK-NW-F-008 incomeBearingClassOf
73. MK-PF-F-002 costBasis
74. MK-PF-F-009 latestClose
75. MK-PF-F-004 marketValue
76. MK-ST-F-030 record
77. MK-XS-F-024 resolveLens
78. MK-ST-F-055 round2
79. MK-CF-F-162 daysApart
80. MK-CF-F-108 isMoneyOut
81. MK-PL-F-074 median
82. MK-CF-F-131 normPayee
83. MK-CF-F-113 affectedAccountIds
84. MK-CF-F-075 retirementIncomeMonthly
85. MK-CF-F-172 hasWage
86. MK-CF-F-062 equityRowValue
87. MK-CF-F-070 benefitAnnual
88. MK-ST-F-039 on
89. MK-CF-F-176 sumMonthsOverEarners
90. MK-CF-F-203 MONTH
91. MK-CF-F-090 effectiveRate
92. MK-CF-F-180 enteredLandsAnnual
93. MK-CF-F-082 salaryAnnual
94. MK-CF-F-086 stateRateOf
95. MK-CF-F-101 taxOwedFor
96. MK-CF-F-084 taxableAnnual
97. MK-CF-O-002 expenses
98. MK-CF-F-067 rentalList
99. MK-CF-F-063 rowVestYear
100. MK-CF-F-130 enteredMonthlyRaw
101. MK-CF-F-166 hasMonthlySalaryTable
102. MK-ST-F-036 reconcile
103. MK-CF-F-167 salaryCalendarYear
104. MK-CF-F-008 spendByMonth
105. MK-CF-F-134 usesSleeve
106. MK-ST-F-049 formatMoney
107. MK-ST-F-067 utcOfDay
108. MK-CF-F-155 cash
109. MK-ST-F-035 covers
110. MK-NW-F-009 maturityClass
111. MK-ST-F-010 nameEvidence
112. MK-PF-F-031 contractMultiplier
113. MK-CF-O-010 theMonth
114. MK-CF-F-100 taxableIncomeFor
115. MK-CF-F-074 tipsAnnual
116. MK-CF-F-151 actualSpending
117. MK-CF-F-150 debtPaymentsCountedAsExpenses
118. MK-CF-F-153 radar
119. MK-CF-F-149 recurringDebtPayments
120. MK-CF-F-165 salaryMonths
121. MK-ST-F-048 currencySymbol
122. MK-ST-F-034 firstDate
123. MK-XS-F-147 call
124. MK-CF-O-003 thisMonth
125. MK-CF-F-099 deductionFor
126. MK-CF-F-081 salaryActiveMonths
127. MK-CF-F-148 inMonth
128. MK-CF-F-022 paymentShape
129. MK-CF-F-152 isRadarItem
130. MK-CF-F-023 requiredPayment
131. MK-ST-F-047 activeCurrency
132. MK-XS-F-064 currentIdToken
133. MK-XS-F-112 relayUrl
134. MK-CF-F-005 actualMonthFlow
135. MK-CF-F-156 plannedMonthFlow
136. MK-CF-F-187 seniorDeductionFor
137. MK-CF-F-021 defaultPaymentType
138. MK-NW-F-078 ONE
139. MK-CF-F-157 debtPaymentsByDebt
140. MK-CF-F-192 inflowLabel
141. MK-NW-F-077 ALL
142. MK-NW-F-059 currentYield
143. MK-XS-F-180 declareFigures
144. MK-NW-O-001 theBonds
145. MK-CF-F-193 inflowSourceWord
146. MK-NW-F-057 annualCoupon
147. MK-NW-F-056 bondInfo
148. MK-NW-F-064 bondRateSensitivity
149. MK-NW-F-061 bondSummary
150. MK-NW-F-055 isBond
151. MK-NW-F-072 rowOf
152. MK-NW-F-060 approxYTM
153. MK-NW-F-069 priceAtYield
154. MK-NW-F-011 assetClassOf
155. MK-NW-F-070 accruedInterestCaveat
156. MK-NW-F-071 isCertificateOfDeposit
157. MK-NW-F-058 yearsToMaturity</t>
        </is>
      </c>
      <c r="R15" s="3" t="inlineStr">
        <is>
          <t>1. MK-CF-F-069 benefitActiveMonths → MK-CF-F-092 incomeMonthlyGrid → MK-CF-F-002 plannedMonthlySpend → MK-CF-F-013 budgetFromOnboarding
2. MK-ST-F-052 toNum → MK-CF-F-075 retirementIncomeMonthly → MK-CF-F-072 currentRetirementIncomeMonthly → MK-CF-F-092 incomeMonthlyGrid → MK-CF-F-002 plannedMonthlySpend → MK-CF-F-013 budgetFromOnboarding
3. MK-ST-F-056 has → MK-CF-F-172 hasWage → MK-CF-F-173 earnerWages → MK-CF-F-092 incomeMonthlyGrid → MK-CF-F-002 plannedMonthlySpend → MK-CF-F-013 budgetFromOnboarding
4. MK-ST-F-052 toNum → MK-CF-F-062 equityRowValue → MK-CF-F-065 equityVestWeights → MK-CF-F-092 incomeMonthlyGrid → MK-CF-F-002 plannedMonthlySpend → MK-CF-F-013 budgetFromOnboarding
5. MK-CF-F-132 map → MK-CF-F-065 equityVestWeights → MK-CF-F-092 incomeMonthlyGrid → MK-CF-F-002 plannedMonthlySpend → MK-CF-F-013 budgetFromOnboarding
6. MK-CF-F-069 benefitActiveMonths → MK-CF-F-070 benefitAnnual → MK-CF-F-071 extraIncome → MK-CF-F-092 incomeMonthlyGrid → MK-CF-F-002 plannedMonthlySpend → MK-CF-F-013 budgetFromOnboarding
7. MK-ST-F-052 toNum → MK-CF-F-070 benefitAnnual → MK-CF-F-071 extraIncome → MK-CF-F-092 incomeMonthlyGrid → MK-CF-F-002 plannedMonthlySpend → MK-CF-F-013 budgetFromOnboarding
8. MK-ST-F-039 on → MK-CF-F-071 extraIncome → MK-CF-F-092 incomeMonthlyGrid → MK-CF-F-002 plannedMonthlySpend → MK-CF-F-013 budgetFromOnboarding
9. … and 5 more paths</t>
        </is>
      </c>
      <c r="S15" s="3" t="inlineStr">
        <is>
          <t>—</t>
        </is>
      </c>
      <c r="T15" s="3" t="inlineStr">
        <is>
          <t>—</t>
        </is>
      </c>
      <c r="U15" s="3" t="inlineStr">
        <is>
          <t>ACTIVE</t>
        </is>
      </c>
      <c r="V15" s="3" t="inlineStr">
        <is>
          <t>2026-08-27</t>
        </is>
      </c>
      <c r="W15" s="3" t="n"/>
      <c r="X15" s="3" t="n"/>
      <c r="Y15" s="3" t="inlineStr">
        <is>
          <t>NOTHING OPEN</t>
        </is>
      </c>
    </row>
    <row r="16" ht="60" customHeight="1">
      <c r="A16" s="3" t="inlineStr">
        <is>
          <t>MK-CF-F-014</t>
        </is>
      </c>
      <c r="B16" s="3" t="inlineStr">
        <is>
          <t>budgetVsActual</t>
        </is>
      </c>
      <c r="C16" s="3" t="inlineStr">
        <is>
          <t>src/domain/budget/index.ts</t>
        </is>
      </c>
      <c r="D16" s="3" t="n">
        <v>645</v>
      </c>
      <c r="E16" s="3" t="inlineStr">
        <is>
          <t>2 · DISPLAYED</t>
        </is>
      </c>
      <c r="F16" s="3" t="inlineStr">
        <is>
          <t>Month-to-date actual expenses vs the planned budget, bucketed.</t>
        </is>
      </c>
      <c r="G16" s="11" t="inlineStr">
        <is>
          <t>ym = `${now.get full year()}-${string(now.get month() + 1).pad start(2, '0')}`
planned = spend buckets(op)
spent = fixed = 0
nonmonthly = 0
flexible = 0
spent total = spent.fixed + spent.nonmonthly + spent.flexible
the answer:
month = ym
planned total = planned.monthly total
spent total = spent total
remaining = planned.monthly total − spent total
buckets = buckets</t>
        </is>
      </c>
      <c r="H16" s="3" t="inlineStr">
        <is>
          <t>Ym is `${now.get full year()}-${string(now.get month() plus 1).pad start(2, '0')}`. Planned is spend buckets(op). Spent is fixed = 0; nonmonthly = 0; flexible = 0. Spent total is spent.fixed plus spent.nonmonthly plus spent.flexible. The answer is month = ym; planned total = planned.monthly total; spent total = spent total; remaining = planned.monthly total minus spent total; buckets = buckets.</t>
        </is>
      </c>
      <c r="I16" s="3" t="inlineStr">
        <is>
          <t>PARTLY READ — some of the code is still showing through; needs a hand pass</t>
        </is>
      </c>
      <c r="J16" s="3" t="inlineStr">
        <is>
          <t>1. expenses: any[]
2. op: OnboardingProfile | null
3. now: Date = new Date()</t>
        </is>
      </c>
      <c r="K16" s="3" t="inlineStr">
        <is>
          <t>BudgetVsActual</t>
        </is>
      </c>
      <c r="L16" s="3" t="inlineStr">
        <is>
          <t>"Actual expenses so far" — on the Home screen, under "THIS MONTH"</t>
        </is>
      </c>
      <c r="M16" s="3" t="inlineStr">
        <is>
          <t>· Uses today's date from the device clock, so the answer changes by itself overnight.</t>
        </is>
      </c>
      <c r="N16" s="3" t="inlineStr">
        <is>
          <t>Yes</t>
        </is>
      </c>
      <c r="O16" s="3" t="inlineStr">
        <is>
          <t>1. MK-CF-F-132 map
2. MK-CF-F-004 spendBuckets
3. MK-ST-F-052 toNum
4. MK-CF-F-191 ym</t>
        </is>
      </c>
      <c r="P16" s="3" t="n">
        <v>100</v>
      </c>
      <c r="Q16" s="3" t="inlineStr">
        <is>
          <t>1. MK-CF-F-132 map
2. MK-CF-F-004 spendBuckets
3. MK-ST-F-052 toNum
4. MK-CF-F-191 ym
5. MK-CF-F-003 categoryMonthly
6. MK-XS-F-122 n
7. MK-CF-F-120 pctBaseMonthly
8. MK-XS-F-027 takeHomeMonthly
9. MK-CF-F-092 incomeMonthlyGrid
10. MK-CF-F-011 savingsByMonth
11. MK-CF-F-069 benefitActiveMonths
12. MK-CF-F-072 currentRetirementIncomeMonthly
13. MK-CF-F-173 earnerWages
14. MK-CF-F-065 equityVestWeights
15. MK-CF-F-071 extraIncome
16. MK-ST-F-056 has
17. MK-CF-F-206 householdK401ByMonth
18. MK-CF-F-087 monthlyTaxRates
19. MK-CF-F-073 otherIncomeMonth
20. MK-CF-F-181 rateInForce
21. MK-CF-F-068 rentalNetAnnual
22. MK-CF-F-066 rsuAnnual
23. MK-CF-F-060 salaryGrossByMonth
24. MK-CF-F-077 scholarshipByCalendarMonth
25. MK-CF-F-088 taxableByCalendarMonth
26. MK-CF-F-177 wageGrossByMonth
27. MK-PL-F-012 waterfall
28. MK-CF-F-008 spendByMonth
29. MK-CF-F-075 retirementIncomeMonthly
30. MK-CF-F-172 hasWage
31. MK-CF-F-062 equityRowValue
32. MK-CF-F-070 benefitAnnual
33. MK-ST-F-039 on
34. MK-CF-F-176 sumMonthsOverEarners
35. MK-CF-F-203 MONTH
36. MK-CF-F-090 effectiveRate
37. MK-CF-F-180 enteredLandsAnnual
38. MK-CF-F-085 filingStatusOf
39. MK-CF-F-089 over65CountOf
40. MK-CF-F-082 salaryAnnual
41. MK-CF-F-086 stateRateOf
42. MK-CF-F-101 taxOwedFor
43. MK-CF-F-084 taxableAnnual
44. MK-CF-O-002 expenses
45. MK-CF-F-067 rentalList
46. MK-CF-F-063 rowVestYear
47. MK-CF-F-130 enteredMonthlyRaw
48. MK-CF-F-166 hasMonthlySalaryTable
49. MK-ST-F-036 reconcile
50. MK-CF-F-167 salaryCalendarYear
51. MK-CF-O-010 theMonth
52. MK-CF-F-100 taxableIncomeFor
53. MK-CF-F-074 tipsAnnual
54. MK-CF-F-151 actualSpending
55. MK-CF-F-150 debtPaymentsCountedAsExpenses
56. MK-CF-F-153 radar
57. MK-CF-F-149 recurringDebtPayments
58. MK-CF-F-165 salaryMonths
59. MK-CF-F-155 cash
60. MK-CF-O-003 thisMonth
61. MK-CF-F-099 deductionFor
62. MK-CF-F-081 salaryActiveMonths
63. MK-CF-F-148 inMonth
64. MK-CF-F-022 paymentShape
65. MK-CF-F-152 isRadarItem
66. MK-CF-F-023 requiredPayment
67. MK-CF-F-005 actualMonthFlow
68. MK-CF-F-156 plannedMonthFlow
69. MK-CF-F-187 seniorDeductionFor
70. MK-CF-F-021 defaultPaymentType
71. MK-NW-F-078 ONE
72. MK-CF-F-157 debtPaymentsByDebt
73. MK-CF-F-192 inflowLabel
74. MK-NW-F-077 ALL
75. MK-NW-F-059 currentYield
76. MK-XS-F-180 declareFigures
77. MK-ST-F-049 formatMoney
78. MK-ST-F-053 money
79. MK-NW-O-001 theBonds
80. MK-CF-F-193 inflowSourceWord
81. MK-NW-F-057 annualCoupon
82. MK-ST-F-048 currencySymbol
83. MK-ST-F-027 accountId
84. MK-NW-F-056 bondInfo
85. MK-NW-F-064 bondRateSensitivity
86. MK-NW-F-061 bondSummary
87. MK-NW-F-055 isBond
88. MK-NW-F-072 rowOf
89. MK-ST-F-047 activeCurrency
90. MK-NW-F-060 approxYTM
91. MK-NW-F-069 priceAtYield
92. MK-NW-F-011 assetClassOf
93. MK-NW-F-070 accruedInterestCaveat
94. MK-NW-F-071 isCertificateOfDeposit
95. MK-NW-F-058 yearsToMaturity
96. MK-NW-F-008 incomeBearingClassOf
97. MK-ST-F-010 nameEvidence
98. MK-XS-F-147 call
99. MK-XS-F-064 currentIdToken
100. MK-XS-F-112 relayUrl</t>
        </is>
      </c>
      <c r="R16" s="3" t="inlineStr">
        <is>
          <t>1. MK-CF-F-132 map → MK-CF-F-014 budgetVsActual
2. MK-CF-F-069 benefitActiveMonths → MK-CF-F-092 incomeMonthlyGrid → MK-CF-F-120 pctBaseMonthly → MK-CF-F-003 categoryMonthly → MK-CF-F-004 spendBuckets → MK-CF-F-014 budgetVsActual
3. MK-CF-F-072 currentRetirementIncomeMonthly → MK-CF-F-092 incomeMonthlyGrid → MK-CF-F-120 pctBaseMonthly → MK-CF-F-003 categoryMonthly → MK-CF-F-004 spendBuckets → MK-CF-F-014 budgetVsActual
4. MK-CF-F-173 earnerWages → MK-CF-F-092 incomeMonthlyGrid → MK-CF-F-120 pctBaseMonthly → MK-CF-F-003 categoryMonthly → MK-CF-F-004 spendBuckets → MK-CF-F-014 budgetVsActual
5. MK-CF-F-065 equityVestWeights → MK-CF-F-092 incomeMonthlyGrid → MK-CF-F-120 pctBaseMonthly → MK-CF-F-003 categoryMonthly → MK-CF-F-004 spendBuckets → MK-CF-F-014 budgetVsActual
6. MK-CF-F-071 extraIncome → MK-CF-F-092 incomeMonthlyGrid → MK-CF-F-120 pctBaseMonthly → MK-CF-F-003 categoryMonthly → MK-CF-F-004 spendBuckets → MK-CF-F-014 budgetVsActual
7. MK-ST-F-056 has → MK-CF-F-092 incomeMonthlyGrid → MK-CF-F-120 pctBaseMonthly → MK-CF-F-003 categoryMonthly → MK-CF-F-004 spendBuckets → MK-CF-F-014 budgetVsActual
8. MK-CF-F-206 householdK401ByMonth → MK-CF-F-092 incomeMonthlyGrid → MK-CF-F-120 pctBaseMonthly → MK-CF-F-003 categoryMonthly → MK-CF-F-004 spendBuckets → MK-CF-F-014 budgetVsActual
9. … and 5 more paths</t>
        </is>
      </c>
      <c r="S16" s="3" t="inlineStr">
        <is>
          <t>MK-XS-M-005</t>
        </is>
      </c>
      <c r="T16" s="3" t="inlineStr">
        <is>
          <t>—</t>
        </is>
      </c>
      <c r="U16" s="3" t="inlineStr">
        <is>
          <t>ACTIVE</t>
        </is>
      </c>
      <c r="V16" s="3" t="inlineStr">
        <is>
          <t>2026-09-09</t>
        </is>
      </c>
      <c r="W16" s="3" t="n"/>
      <c r="X16" s="3" t="n"/>
      <c r="Y16" s="3" t="inlineStr">
        <is>
          <t>NOTHING OPEN</t>
        </is>
      </c>
    </row>
    <row r="17" ht="60" customHeight="1">
      <c r="A17" s="3" t="inlineStr">
        <is>
          <t>MK-CF-F-015</t>
        </is>
      </c>
      <c r="B17" s="3" t="inlineStr">
        <is>
          <t>loadBudget</t>
        </is>
      </c>
      <c r="C17" s="3" t="inlineStr">
        <is>
          <t>src/domain/budget/index.ts</t>
        </is>
      </c>
      <c r="D17" s="3" t="n">
        <v>685</v>
      </c>
      <c r="E17" s="3" t="inlineStr">
        <is>
          <t>3 · DEPENDENT (feeds an action only)</t>
        </is>
      </c>
      <c r="F17" s="3" t="inlineStr">
        <is>
          <t>Reads a person's saved budget from storage and calculates nothing.</t>
        </is>
      </c>
      <c r="G17" s="11" t="inlineStr">
        <is>
          <t>It reaches outside the app for data and hands back what came back — no arithmetic of its own.</t>
        </is>
      </c>
      <c r="H17" s="3" t="inlineStr">
        <is>
          <t>It reaches outside the app for data and hands back what came back — no arithmetic of its own.</t>
        </is>
      </c>
      <c r="I17" s="3" t="inlineStr">
        <is>
          <t>NO ARITHMETIC — there is no formula to state</t>
        </is>
      </c>
      <c r="J17" s="3" t="inlineStr">
        <is>
          <t>uid: UserId</t>
        </is>
      </c>
      <c r="K17" s="3" t="inlineStr">
        <is>
          <t>NOT DECLARED — the code does not say what it gives back</t>
        </is>
      </c>
      <c r="L17" s="3" t="inlineStr">
        <is>
          <t>—</t>
        </is>
      </c>
      <c r="M17" s="3" t="inlineStr">
        <is>
          <t>None found in this function — anything it assumes comes from the functions it depends on.</t>
        </is>
      </c>
      <c r="N17" s="3" t="inlineStr">
        <is>
          <t>No</t>
        </is>
      </c>
      <c r="O17" s="3" t="inlineStr">
        <is>
          <t>MK-XS-F-175 uid</t>
        </is>
      </c>
      <c r="P17" s="3" t="n">
        <v>81</v>
      </c>
      <c r="Q17"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17" s="3" t="inlineStr">
        <is>
          <t>1. MK-ST-F-027 accountId → MK-XS-F-175 uid → MK-CF-F-015 loadBudget
2. MK-CF-F-137 findPos → MK-CF-F-138 addLot → MK-CF-F-111 applyTransaction → MK-XS-F-175 uid → MK-CF-F-015 loadBudget
3. MK-CF-F-132 map → MK-CF-F-138 addLot → MK-CF-F-111 applyTransaction → MK-XS-F-175 uid → MK-CF-F-015 loadBudget
4. MK-ST-F-043 newEntityId → MK-CF-F-138 addLot → MK-CF-F-111 applyTransaction → MK-XS-F-175 uid → MK-CF-F-015 loadBudget
5. MK-CF-F-134 usesSleeve → MK-CF-F-136 bumpCash → MK-CF-F-111 applyTransaction → MK-XS-F-175 uid → MK-CF-F-015 loadBudget
6. MK-CF-F-137 findPos → MK-CF-F-111 applyTransaction → MK-XS-F-175 uid → MK-CF-F-015 loadBudget
7. MK-CF-F-132 map → MK-CF-F-111 applyTransaction → MK-XS-F-175 uid → MK-CF-F-015 loadBudget
8. MK-CF-F-137 findPos → MK-CF-F-139 removeShares → MK-CF-F-111 applyTransaction → MK-XS-F-175 uid → MK-CF-F-015 loadBudget
9. … and 4 more paths</t>
        </is>
      </c>
      <c r="S17" s="3" t="inlineStr">
        <is>
          <t>—</t>
        </is>
      </c>
      <c r="T17" s="3" t="inlineStr">
        <is>
          <t>—</t>
        </is>
      </c>
      <c r="U17" s="3" t="inlineStr">
        <is>
          <t>ACTIVE</t>
        </is>
      </c>
      <c r="V17" s="3" t="inlineStr">
        <is>
          <t>2026-08-27</t>
        </is>
      </c>
      <c r="W17" s="3" t="n"/>
      <c r="X17" s="3" t="n"/>
      <c r="Y17" s="3" t="inlineStr">
        <is>
          <t>NOTHING OPEN</t>
        </is>
      </c>
    </row>
    <row r="18" ht="60" customHeight="1">
      <c r="A18" s="3" t="inlineStr">
        <is>
          <t>MK-CF-F-016</t>
        </is>
      </c>
      <c r="B18" s="3" t="inlineStr">
        <is>
          <t>saveBudget</t>
        </is>
      </c>
      <c r="C18" s="3" t="inlineStr">
        <is>
          <t>src/domain/budget/index.ts</t>
        </is>
      </c>
      <c r="D18" s="3" t="n">
        <v>703</v>
      </c>
      <c r="E18" s="3" t="inlineStr">
        <is>
          <t>1 · ACTION</t>
        </is>
      </c>
      <c r="F18" s="3" t="inlineStr">
        <is>
          <t>Saves a person's budget to storage and calculates nothing.</t>
        </is>
      </c>
      <c r="G18" s="11" t="inlineStr">
        <is>
          <t>It records or announces something and returns no figure — no arithmetic of its own.</t>
        </is>
      </c>
      <c r="H18" s="3" t="inlineStr">
        <is>
          <t>It records or announces something and returns no figure — no arithmetic of its own.</t>
        </is>
      </c>
      <c r="I18" s="3" t="inlineStr">
        <is>
          <t>NO ARITHMETIC — there is no formula to state</t>
        </is>
      </c>
      <c r="J18" s="3" t="inlineStr">
        <is>
          <t>d: BudgetDoc</t>
        </is>
      </c>
      <c r="K18" s="3" t="inlineStr">
        <is>
          <t>NOT DECLARED — the code does not say what it gives back</t>
        </is>
      </c>
      <c r="L18" s="3" t="inlineStr">
        <is>
          <t>—</t>
        </is>
      </c>
      <c r="M18" s="3" t="inlineStr">
        <is>
          <t>None found in this function — anything it assumes comes from the functions it depends on.</t>
        </is>
      </c>
      <c r="N18" s="3" t="inlineStr">
        <is>
          <t>No</t>
        </is>
      </c>
      <c r="O18" s="3" t="inlineStr">
        <is>
          <t>MK-ST-F-042 setUserDoc</t>
        </is>
      </c>
      <c r="P18" s="3" t="n">
        <v>82</v>
      </c>
      <c r="Q18" s="3" t="inlineStr">
        <is>
          <t>1. MK-ST-F-042 setUserDoc
2. MK-XS-F-175 uid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is>
      </c>
      <c r="R18" s="3" t="inlineStr">
        <is>
          <t>1. MK-ST-F-027 accountId → MK-XS-F-175 uid → MK-ST-F-042 setUserDoc → MK-CF-F-016 saveBudget
2. MK-CF-F-137 findPos → MK-CF-F-138 addLot → MK-CF-F-111 applyTransaction → MK-XS-F-175 uid → MK-ST-F-042 setUserDoc → MK-CF-F-016 saveBudget
3. MK-CF-F-132 map → MK-CF-F-138 addLot → MK-CF-F-111 applyTransaction → MK-XS-F-175 uid → MK-ST-F-042 setUserDoc → MK-CF-F-016 saveBudget
4. MK-ST-F-043 newEntityId → MK-CF-F-138 addLot → MK-CF-F-111 applyTransaction → MK-XS-F-175 uid → MK-ST-F-042 setUserDoc → MK-CF-F-016 saveBudget
5. MK-CF-F-134 usesSleeve → MK-CF-F-136 bumpCash → MK-CF-F-111 applyTransaction → MK-XS-F-175 uid → MK-ST-F-042 setUserDoc → MK-CF-F-016 saveBudget
6. MK-CF-F-137 findPos → MK-CF-F-111 applyTransaction → MK-XS-F-175 uid → MK-ST-F-042 setUserDoc → MK-CF-F-016 saveBudget
7. MK-CF-F-132 map → MK-CF-F-111 applyTransaction → MK-XS-F-175 uid → MK-ST-F-042 setUserDoc → MK-CF-F-016 saveBudget
8. MK-CF-F-137 findPos → MK-CF-F-139 removeShares → MK-CF-F-111 applyTransaction → MK-XS-F-175 uid → MK-ST-F-042 setUserDoc → MK-CF-F-016 saveBudget
9. … and 4 more paths</t>
        </is>
      </c>
      <c r="S18" s="3" t="inlineStr">
        <is>
          <t>—</t>
        </is>
      </c>
      <c r="T18" s="3" t="inlineStr">
        <is>
          <t>—</t>
        </is>
      </c>
      <c r="U18" s="3" t="inlineStr">
        <is>
          <t>ACTIVE</t>
        </is>
      </c>
      <c r="V18" s="3" t="inlineStr">
        <is>
          <t>2026-08-27</t>
        </is>
      </c>
      <c r="W18" s="3" t="n"/>
      <c r="X18" s="3" t="n"/>
      <c r="Y18" s="3" t="inlineStr">
        <is>
          <t>NOTHING OPEN</t>
        </is>
      </c>
    </row>
    <row r="19" ht="60" customHeight="1">
      <c r="A19" s="3" t="inlineStr">
        <is>
          <t>MK-CF-F-017</t>
        </is>
      </c>
      <c r="B19" s="3" t="inlineStr">
        <is>
          <t>publishSurplus</t>
        </is>
      </c>
      <c r="C19" s="3" t="inlineStr">
        <is>
          <t>src/domain/budget/index.ts</t>
        </is>
      </c>
      <c r="D19" s="3" t="n">
        <v>720</v>
      </c>
      <c r="E19" s="3" t="inlineStr">
        <is>
          <t>1 · ACTION</t>
        </is>
      </c>
      <c r="F19" s="3" t="inlineStr">
        <is>
          <t>Publish the authoritative surplus for Goals/Retirement to consume.</t>
        </is>
      </c>
      <c r="G19" s="11" t="inlineStr">
        <is>
          <t>It records or announces something and returns no figure — no arithmetic of its own.</t>
        </is>
      </c>
      <c r="H19" s="3" t="inlineStr">
        <is>
          <t>It records or announces something and returns no figure — no arithmetic of its own.</t>
        </is>
      </c>
      <c r="I19" s="3" t="inlineStr">
        <is>
          <t>NO ARITHMETIC — there is no formula to state</t>
        </is>
      </c>
      <c r="J19" s="3" t="inlineStr">
        <is>
          <t>1. uid: UserId
2. projectedToSave: number</t>
        </is>
      </c>
      <c r="K19" s="3" t="inlineStr">
        <is>
          <t>NOT DECLARED — the code does not say what it gives back</t>
        </is>
      </c>
      <c r="L19" s="3" t="inlineStr">
        <is>
          <t>—</t>
        </is>
      </c>
      <c r="M19" s="3" t="inlineStr">
        <is>
          <t>None found in this function — anything it assumes comes from the functions it depends on.</t>
        </is>
      </c>
      <c r="N19" s="3" t="inlineStr">
        <is>
          <t>No</t>
        </is>
      </c>
      <c r="O19" s="3" t="inlineStr">
        <is>
          <t>1. MK-ST-F-040 emit
2. MK-XS-F-175 uid</t>
        </is>
      </c>
      <c r="P19" s="3" t="n">
        <v>82</v>
      </c>
      <c r="Q19" s="3" t="inlineStr">
        <is>
          <t>1. MK-ST-F-040 emit
2. MK-XS-F-175 uid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is>
      </c>
      <c r="R19" s="3" t="inlineStr">
        <is>
          <t>1. MK-ST-F-040 emit → MK-CF-F-017 publishSurplus
2. MK-ST-F-027 accountId → MK-XS-F-175 uid → MK-CF-F-017 publishSurplus
3. MK-CF-F-137 findPos → MK-CF-F-138 addLot → MK-CF-F-111 applyTransaction → MK-XS-F-175 uid → MK-CF-F-017 publishSurplus
4. MK-CF-F-132 map → MK-CF-F-138 addLot → MK-CF-F-111 applyTransaction → MK-XS-F-175 uid → MK-CF-F-017 publishSurplus
5. MK-ST-F-043 newEntityId → MK-CF-F-138 addLot → MK-CF-F-111 applyTransaction → MK-XS-F-175 uid → MK-CF-F-017 publishSurplus
6. MK-CF-F-134 usesSleeve → MK-CF-F-136 bumpCash → MK-CF-F-111 applyTransaction → MK-XS-F-175 uid → MK-CF-F-017 publishSurplus
7. MK-CF-F-137 findPos → MK-CF-F-111 applyTransaction → MK-XS-F-175 uid → MK-CF-F-017 publishSurplus
8. MK-CF-F-132 map → MK-CF-F-111 applyTransaction → MK-XS-F-175 uid → MK-CF-F-017 publishSurplus
9. … and 4 more paths</t>
        </is>
      </c>
      <c r="S19" s="3" t="inlineStr">
        <is>
          <t>—</t>
        </is>
      </c>
      <c r="T19" s="3" t="inlineStr">
        <is>
          <t>—</t>
        </is>
      </c>
      <c r="U19" s="3" t="inlineStr">
        <is>
          <t>ACTIVE</t>
        </is>
      </c>
      <c r="V19" s="3" t="inlineStr">
        <is>
          <t>2026-08-27</t>
        </is>
      </c>
      <c r="W19" s="3" t="n"/>
      <c r="X19" s="3" t="n"/>
      <c r="Y19" s="3" t="inlineStr">
        <is>
          <t>NOTHING OPEN</t>
        </is>
      </c>
    </row>
    <row r="20" ht="60" customHeight="1">
      <c r="A20" s="3" t="inlineStr">
        <is>
          <t>MK-CF-F-018</t>
        </is>
      </c>
      <c r="B20" s="3" t="inlineStr">
        <is>
          <t>equityByMonth</t>
        </is>
      </c>
      <c r="C20" s="3" t="inlineStr">
        <is>
          <t>src/domain/cashflow/index.ts</t>
        </is>
      </c>
      <c r="D20" s="3" t="n">
        <v>72</v>
      </c>
      <c r="E20" s="3" t="inlineStr">
        <is>
          <t>3 · DEPENDENT</t>
        </is>
      </c>
      <c r="F20" s="3" t="inlineStr">
        <is>
          <t>Level annual equity spread across the months it vests (0 for most students).</t>
        </is>
      </c>
      <c r="G20" s="11" t="inlineStr">
        <is>
          <t>rows = op.rsu grants   if array.is array(op.rsu grants)
[]   otherwise
type = op.equity type (or 'rsu' when missing)
weights = zero12(); let total = 0
v = equity row value(r, type, op.opt strike, op.opt market)
m = string(date ?? '').match( ÷ \d{4}-(\d{1,2}) ÷ )
idx = min(11, max(0, +m[1] − 1))   if m
11   otherwise
annual = rsu annual(op), out = zero12()
[LOOP — the answer is found inside a loop the extractor cannot render; the steps above are the ones before it. Read by hand.]</t>
        </is>
      </c>
      <c r="H20" s="3" t="inlineStr">
        <is>
          <t>Rows is op.rsu grants — when array.is array(op.rsu grants); [] — otherwise. Type is op.equity type (or 'rsu' — when missing). Weights is zero12(); let total = 0. V is equity row value(r, type, op.opt strike, op.opt market). M is string(date ?? '').match( divided by \d{4}-(\d{1,2}) divided by ). Idx: the smaller of 11 and +m[1] minus 1, never below zero — when m; 11 — otherwise. Annual is rsu annual(op), out = zero12(). The answer is out. The answer is found inside a loop that cannot be rendered here; read the code by hand.</t>
        </is>
      </c>
      <c r="I20" s="3" t="inlineStr">
        <is>
          <t>PARTLY READ — the body has a loop the extractor cannot render; the steps shown are the ones before it. Needs a hand pass (G23).</t>
        </is>
      </c>
      <c r="J20" s="3" t="inlineStr">
        <is>
          <t>op: Record&lt;string, any&gt;</t>
        </is>
      </c>
      <c r="K20" s="3" t="inlineStr">
        <is>
          <t>number[]</t>
        </is>
      </c>
      <c r="L20" s="3" t="inlineStr">
        <is>
          <t>—</t>
        </is>
      </c>
      <c r="M20" s="3" t="inlineStr">
        <is>
          <t>1. Uses a built-in total of 0.
2. Uses a built-in d a y m s of 86400000.</t>
        </is>
      </c>
      <c r="N20" s="3" t="inlineStr">
        <is>
          <t>Yes</t>
        </is>
      </c>
      <c r="O20" s="3" t="inlineStr">
        <is>
          <t>1. MK-CF-F-062 equityRowValue
2. MK-CF-F-066 rsuAnnual
3. MK-CF-F-121 zero12</t>
        </is>
      </c>
      <c r="P20" s="3" t="n">
        <v>7</v>
      </c>
      <c r="Q20" s="3" t="inlineStr">
        <is>
          <t>1. MK-CF-F-062 equityRowValue
2. MK-CF-F-066 rsuAnnual
3. MK-CF-F-121 zero12
4. MK-ST-F-052 toNum
5. MK-CF-F-132 map
6. MK-CF-F-063 rowVestYear
7. MK-XS-F-122 n</t>
        </is>
      </c>
      <c r="R20" s="3" t="inlineStr">
        <is>
          <t>1. MK-XS-F-122 n → MK-ST-F-052 toNum → MK-CF-F-062 equityRowValue → MK-CF-F-018 equityByMonth
2. MK-XS-F-122 n → MK-ST-F-052 toNum → MK-CF-F-062 equityRowValue → MK-CF-F-066 rsuAnnual → MK-CF-F-018 equityByMonth
3. MK-CF-F-132 map → MK-CF-F-066 rsuAnnual → MK-CF-F-018 equityByMonth
4. MK-CF-F-063 rowVestYear → MK-CF-F-066 rsuAnnual → MK-CF-F-018 equityByMonth
5. MK-XS-F-122 n → MK-ST-F-052 toNum → MK-CF-F-066 rsuAnnual → MK-CF-F-018 equityByMonth
6. MK-CF-F-121 zero12 → MK-CF-F-018 equityByMonth</t>
        </is>
      </c>
      <c r="S20" s="3" t="inlineStr">
        <is>
          <t>—</t>
        </is>
      </c>
      <c r="T20" s="3" t="inlineStr">
        <is>
          <t>—</t>
        </is>
      </c>
      <c r="U20" s="3" t="inlineStr">
        <is>
          <t>ACTIVE</t>
        </is>
      </c>
      <c r="V20" s="3" t="inlineStr">
        <is>
          <t>2026-09-08</t>
        </is>
      </c>
      <c r="W20" s="3" t="n"/>
      <c r="X20" s="3" t="n"/>
      <c r="Y20" s="3" t="inlineStr">
        <is>
          <t>NOTHING OPEN</t>
        </is>
      </c>
    </row>
    <row r="21" ht="60" customHeight="1">
      <c r="A21" s="3" t="inlineStr">
        <is>
          <t>MK-CF-F-019</t>
        </is>
      </c>
      <c r="B21" s="3" t="inlineStr">
        <is>
          <t>upcomingBills</t>
        </is>
      </c>
      <c r="C21" s="3" t="inlineStr">
        <is>
          <t>src/domain/cashflow/index.ts</t>
        </is>
      </c>
      <c r="D21" s="3" t="n">
        <v>233</v>
      </c>
      <c r="E21" s="3" t="inlineStr">
        <is>
          <t>3 · DEPENDENT</t>
        </is>
      </c>
      <c r="F21" s="3" t="inlineStr">
        <is>
          <t>The dated bills coming due over the next year, each with the day the money must be there, the cash expected by that day and how much short it would be.</t>
        </is>
      </c>
      <c r="G21" s="11" t="inlineStr">
        <is>
          <t>a = op (or none when missing)
buffer = opts.buffer days (or 2, lead = opts.ask lead days (or 10, horizon = opts.horizon days (or 365 when missing) when missing) when missing)
rate = effective rate(op)
b = spend buckets(op)
uncategorized = max(0, to num(monthly expenses) − monthly total)
steady out monthly = fixed + flexible + uncategorized
steady daily net = (steady in monthly − steady out monthly) × 12 ÷ 365
inflows = []
amt = to num(sc.amount); if (amt ≤ 0) continue
ms = sc.months   if count of array.is array(sc.months) and sc.months
[1]   otherwise
amt = to num(ln.amount); if (amt ≤ 0) continue
[LOOP — the answer is found inside a loop the extractor cannot render; the steps above are the ones before it. Read by hand.]
… the first steps only — the rest of the body needs reading by hand.</t>
        </is>
      </c>
      <c r="H21" s="3" t="inlineStr">
        <is>
          <t>A is op (or none — when missing). Buffer is opts.buffer days (or 2, lead = opts.ask lead days (or 10, horizon = opts.horizon days (or 365 — when missing) — when missing) — when missing). Rate is effective rate(op). B is spend buckets(op). Uncategorized is to num(monthly expenses, never below zero minus monthly total). Steady out monthly is fixed plus flexible plus uncategorized. Steady daily net is (steady in monthly minus steady out monthly) times 12 divided by 365. Inflows is []. Amt is to num(sc.amount); — when (amt is at most 0) continue. Ms is sc.months — when how many array.is array(sc.months) and sc.months there are; [1] — otherwise. Amt is to num(ln.amount); — when (amt is at most 0) continue. The answer is found inside a loop that cannot be rendered here; read the code by hand. Only the first steps are shown; the rest of the body needs reading by hand.</t>
        </is>
      </c>
      <c r="I21" s="3" t="inlineStr">
        <is>
          <t>PARTLY READ — the body has a loop the extractor cannot render; the steps shown are the ones before it. Needs a hand pass (G23).</t>
        </is>
      </c>
      <c r="J21" s="3" t="inlineStr">
        <is>
          <t>Nothing is handed to it</t>
        </is>
      </c>
      <c r="K21" s="3" t="inlineStr">
        <is>
          <t>NOT DECLARED — the code does not say what it gives back</t>
        </is>
      </c>
      <c r="L21" s="3" t="inlineStr">
        <is>
          <t>—</t>
        </is>
      </c>
      <c r="M21" s="3" t="inlineStr">
        <is>
          <t>1. If buffer days is missing it uses 2.
2. If ask lead days is missing it uses 10.
3. If horizon days is missing it uses 365.
4. Turns a monthly figure into a year by multiplying by twelve.
5. Treats a year as 365 days.
6. Uses today's date from the device clock, so the answer changes by itself overnight.</t>
        </is>
      </c>
      <c r="N21" s="3" t="inlineStr">
        <is>
          <t>Yes</t>
        </is>
      </c>
      <c r="O21" s="3" t="inlineStr">
        <is>
          <t>1. MK-CF-F-122 addDays
2. MK-CF-F-070 benefitAnnual
3. MK-CF-F-072 currentRetirementIncomeMonthly
4. MK-CF-F-160 daysBetweenDates
5. MK-CF-F-090 effectiveRate
6. MK-CF-F-061 grossSalaryMonthly
7. MK-ST-F-065 isoLocalDate
8. MK-CF-F-132 map
9. MK-CF-F-124 nextOccurrence
10. MK-CF-F-068 rentalNetAnnual
11. MK-CF-F-004 spendBuckets
12. MK-CF-F-084 taxableAnnual
13. MK-ST-F-052 toNum
14. MK-CF-F-083 totalGrossAnnual</t>
        </is>
      </c>
      <c r="P21" s="3" t="n">
        <v>106</v>
      </c>
      <c r="Q21" s="3" t="inlineStr">
        <is>
          <t>1. MK-CF-F-122 addDays
2. MK-CF-F-070 benefitAnnual
3. MK-CF-F-072 currentRetirementIncomeMonthly
4. MK-CF-F-160 daysBetweenDates
5. MK-CF-F-090 effectiveRate
6. MK-CF-F-061 grossSalaryMonthly
7. MK-ST-F-065 isoLocalDate
8. MK-CF-F-132 map
9. MK-CF-F-124 nextOccurrence
10. MK-CF-F-068 rentalNetAnnual
11. MK-CF-F-004 spendBuckets
12. MK-CF-F-084 taxableAnnual
13. MK-ST-F-052 toNum
14. MK-CF-F-083 totalGrossAnnual
15. MK-CF-F-069 benefitActiveMonths
16. MK-CF-F-075 retirementIncomeMonthly
17. MK-CF-F-181 rateInForce
18. MK-CF-F-060 salaryGrossByMonth
19. MK-CF-O-002 expenses
20. MK-CF-F-067 rentalList
21. MK-CF-F-003 categoryMonthly
22. MK-CF-F-071 extraIncome
23. MK-CF-F-066 rsuAnnual
24. MK-CF-F-082 salaryAnnual
25. MK-CF-F-074 tipsAnnual
26. MK-XS-F-122 n
27. MK-CF-F-173 earnerWages
28. MK-CF-F-180 enteredLandsAnnual
29. MK-CF-F-085 filingStatusOf
30. MK-CF-F-206 householdK401ByMonth
31. MK-CF-F-089 over65CountOf
32. MK-CF-F-086 stateRateOf
33. MK-CF-F-101 taxOwedFor
34. MK-CF-F-176 sumMonthsOverEarners
35. MK-CF-F-177 wageGrossByMonth
36. MK-CF-F-151 actualSpending
37. MK-CF-F-150 debtPaymentsCountedAsExpenses
38. MK-CF-F-153 radar
39. MK-CF-F-149 recurringDebtPayments
40. MK-CF-F-120 pctBaseMonthly
41. MK-XS-F-027 takeHomeMonthly
42. MK-ST-F-039 on
43. MK-CF-F-062 equityRowValue
44. MK-CF-F-063 rowVestYear
45. MK-CF-F-081 salaryActiveMonths
46. MK-CF-F-172 hasWage
47. MK-CF-F-100 taxableIncomeFor
48. MK-CF-F-130 enteredMonthlyRaw
49. MK-CF-F-166 hasMonthlySalaryTable
50. MK-ST-F-036 reconcile
51. MK-CF-F-167 salaryCalendarYear
52. MK-CF-F-148 inMonth
53. MK-CF-F-191 ym
54. MK-ST-F-056 has
55. MK-CF-F-022 paymentShape
56. MK-CF-F-152 isRadarItem
57. MK-CF-F-023 requiredPayment
58. MK-CF-F-092 incomeMonthlyGrid
59. MK-CF-F-011 savingsByMonth
60. MK-CF-F-099 deductionFor
61. MK-CF-F-165 salaryMonths
62. MK-CF-F-021 defaultPaymentType
63. MK-CF-F-065 equityVestWeights
64. MK-CF-F-087 monthlyTaxRates
65. MK-CF-F-073 otherIncomeMonth
66. MK-CF-F-077 scholarshipByCalendarMonth
67. MK-CF-F-088 taxableByCalendarMonth
68. MK-PL-F-012 waterfall
69. MK-CF-F-008 spendByMonth
70. MK-CF-F-187 seniorDeductionFor
71. MK-CF-F-203 MONTH
72. MK-CF-O-010 theMonth
73. MK-CF-F-155 cash
74. MK-CF-O-003 thisMonth
75. MK-CF-F-005 actualMonthFlow
76. MK-CF-F-156 plannedMonthFlow
77. MK-NW-F-078 ONE
78. MK-CF-F-157 debtPaymentsByDebt
79. MK-CF-F-192 inflowLabel
80. MK-NW-F-077 ALL
81. MK-NW-F-059 currentYield
82. MK-XS-F-180 declareFigures
83. MK-ST-F-049 formatMoney
84. MK-ST-F-053 money
85. MK-NW-O-001 theBonds
86. MK-CF-F-193 inflowSourceWord
87. MK-NW-F-057 annualCoupon
88. MK-ST-F-048 currencySymbol
89. MK-ST-F-027 accountId
90. MK-NW-F-056 bondInfo
91. MK-NW-F-064 bondRateSensitivity
92. MK-NW-F-061 bondSummary
93. MK-NW-F-055 isBond
94. MK-NW-F-072 rowOf
95. MK-ST-F-047 activeCurrency
96. MK-NW-F-060 approxYTM
97. MK-NW-F-069 priceAtYield
98. MK-NW-F-011 assetClassOf
99. MK-NW-F-070 accruedInterestCaveat
100. MK-NW-F-071 isCertificateOfDeposit
101. MK-NW-F-058 yearsToMaturity
102. MK-NW-F-008 incomeBearingClassOf
103. MK-ST-F-010 nameEvidence
104. MK-XS-F-147 call
105. MK-XS-F-064 currentIdToken
106. MK-XS-F-112 relayUrl</t>
        </is>
      </c>
      <c r="R21" s="3" t="inlineStr">
        <is>
          <t>1. MK-CF-F-122 addDays → MK-CF-F-019 upcomingBills
2. MK-CF-F-069 benefitActiveMonths → MK-CF-F-070 benefitAnnual → MK-CF-F-019 upcomingBills
3. MK-XS-F-122 n → MK-ST-F-052 toNum → MK-CF-F-070 benefitAnnual → MK-CF-F-019 upcomingBills
4. MK-XS-F-122 n → MK-ST-F-052 toNum → MK-CF-F-075 retirementIncomeMonthly → MK-CF-F-072 currentRetirementIncomeMonthly → MK-CF-F-019 upcomingBills
5. MK-CF-F-160 daysBetweenDates → MK-CF-F-019 upcomingBills
6. MK-ST-F-056 has → MK-CF-F-172 hasWage → MK-CF-F-173 earnerWages → MK-CF-F-181 rateInForce → MK-CF-F-090 effectiveRate → MK-CF-F-019 upcomingBills
7. MK-CF-F-172 hasWage → MK-CF-F-173 earnerWages → MK-CF-F-180 enteredLandsAnnual → MK-CF-F-181 rateInForce → MK-CF-F-090 effectiveRate → MK-CF-F-019 upcomingBills
8. MK-XS-F-122 n → MK-ST-F-052 toNum → MK-CF-F-180 enteredLandsAnnual → MK-CF-F-181 rateInForce → MK-CF-F-090 effectiveRate → MK-CF-F-019 upcomingBills
9. … and 5 more paths</t>
        </is>
      </c>
      <c r="S21" s="3" t="inlineStr">
        <is>
          <t>—</t>
        </is>
      </c>
      <c r="T21" s="3" t="inlineStr">
        <is>
          <t>—</t>
        </is>
      </c>
      <c r="U21" s="3" t="inlineStr">
        <is>
          <t>ACTIVE</t>
        </is>
      </c>
      <c r="V21" s="3" t="inlineStr">
        <is>
          <t>2026-09-28</t>
        </is>
      </c>
      <c r="W21" s="3" t="n"/>
      <c r="X21" s="3" t="n"/>
      <c r="Y21" s="3" t="inlineStr">
        <is>
          <t>NOTHING OPEN</t>
        </is>
      </c>
    </row>
    <row r="22" ht="60" customHeight="1">
      <c r="A22" s="3" t="inlineStr">
        <is>
          <t>MK-CF-F-020</t>
        </is>
      </c>
      <c r="B22" s="3" t="inlineStr">
        <is>
          <t>cashflowYear</t>
        </is>
      </c>
      <c r="C22" s="3" t="inlineStr">
        <is>
          <t>src/domain/cashflow/index.ts</t>
        </is>
      </c>
      <c r="D22" s="3" t="n">
        <v>352</v>
      </c>
      <c r="E22" s="3" t="inlineStr">
        <is>
          <t>3 · DEPENDENT (feeds an action only)</t>
        </is>
      </c>
      <c r="F22" s="3" t="inlineStr">
        <is>
          <t>Build the 12-month cash-flow picture.</t>
        </is>
      </c>
      <c r="G22" s="11" t="inlineStr">
        <is>
          <t>a = op (or none when missing)
rate = effective rate(op)
start month = now.get month()
start year = now.get full year()
cal month = (s: number) =&gt; (start month + s) % 12
slot of = (m1to12: number) =&gt; ((m1to12 − 1) − start month + 12) % 12
now idx = start year × 12 + start month
slot of(m1to12)   when year is missing
idx = year × 12 + (m1to12 − 1) − now idx
the answer:
idx   if idx ≥ 0 and idx &lt; 12
-1   otherwise
beyond window = 0
… the first steps only — the rest of the body needs reading by hand.</t>
        </is>
      </c>
      <c r="H22" s="3" t="inlineStr">
        <is>
          <t>A is op (or none — when missing). Rate is effective rate(op). Start month is now.get month(). Start year is now.get full year(). Cal month is (s: number) =&gt; (start month plus s) % 12. Slot of is (m1to12: number) =&gt; ((m1to12 minus 1) minus start month plus 12) % 12. Now idx is start year times 12 plus start month. When year is missing, it answers slot of(m1to12). Idx is year times 12 plus (m1to12 minus 1) minus now idx. The answer is idx — when idx is at least 0 and idx &lt; 12; -1 — otherwise. Beyond window is 0. Only the first steps are shown; the rest of the body needs reading by hand.</t>
        </is>
      </c>
      <c r="I22" s="3" t="inlineStr">
        <is>
          <t>PARTLY READ — some of the code is still showing through; needs a hand pass</t>
        </is>
      </c>
      <c r="J22" s="3" t="inlineStr">
        <is>
          <t>1. op: OnboardingProfile | null
2. startBalance = 0
3. now: Date = new Date()</t>
        </is>
      </c>
      <c r="K22" s="3" t="inlineStr">
        <is>
          <t>CashflowYear</t>
        </is>
      </c>
      <c r="L22" s="3" t="inlineStr">
        <is>
          <t>—</t>
        </is>
      </c>
      <c r="M22" s="3" t="inlineStr">
        <is>
          <t>1. Uses a built-in beyond window of 0.
2. Turns a monthly figure into a year by multiplying by twelve.
3. Uses today's date from the device clock, so the answer changes by itself overnight.</t>
        </is>
      </c>
      <c r="N22" s="3" t="inlineStr">
        <is>
          <t>No</t>
        </is>
      </c>
      <c r="O22" s="3" t="inlineStr">
        <is>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t>
        </is>
      </c>
      <c r="P22" s="3" t="n">
        <v>102</v>
      </c>
      <c r="Q22" s="3" t="inlineStr">
        <is>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
13. MK-CF-F-075 retirementIncomeMonthly
14. MK-CF-F-181 rateInForce
15. MK-CF-F-062 equityRowValue
16. MK-CF-F-066 rsuAnnual
17. MK-CF-O-002 expenses
18. MK-CF-F-067 rentalList
19. MK-CF-F-176 sumMonthsOverEarners
20. MK-CF-F-177 wageGrossByMonth
21. MK-CF-F-120 pctBaseMonthly
22. MK-CF-F-004 spendBuckets
23. MK-XS-F-122 n
24. MK-CF-F-173 earnerWages
25. MK-CF-F-180 enteredLandsAnnual
26. MK-CF-F-085 filingStatusOf
27. MK-CF-F-206 householdK401ByMonth
28. MK-CF-F-089 over65CountOf
29. MK-CF-F-082 salaryAnnual
30. MK-CF-F-086 stateRateOf
31. MK-CF-F-101 taxOwedFor
32. MK-CF-F-084 taxableAnnual
33. MK-CF-F-063 rowVestYear
34. MK-CF-F-151 actualSpending
35. MK-CF-F-150 debtPaymentsCountedAsExpenses
36. MK-CF-F-153 radar
37. MK-CF-F-149 recurringDebtPayments
38. MK-CF-F-130 enteredMonthlyRaw
39. MK-CF-F-166 hasMonthlySalaryTable
40. MK-ST-F-036 reconcile
41. MK-CF-F-167 salaryCalendarYear
42. MK-CF-F-092 incomeMonthlyGrid
43. MK-CF-F-003 categoryMonthly
44. MK-CF-F-172 hasWage
45. MK-CF-F-100 taxableIncomeFor
46. MK-CF-F-071 extraIncome
47. MK-CF-F-074 tipsAnnual
48. MK-CF-F-148 inMonth
49. MK-CF-F-191 ym
50. MK-CF-F-022 paymentShape
51. MK-CF-F-152 isRadarItem
52. MK-CF-F-023 requiredPayment
53. MK-CF-F-165 salaryMonths
54. MK-CF-F-065 equityVestWeights
55. MK-CF-F-087 monthlyTaxRates
56. MK-CF-F-077 scholarshipByCalendarMonth
57. MK-CF-F-088 taxableByCalendarMonth
58. MK-PL-F-012 waterfall
59. MK-XS-F-027 takeHomeMonthly
60. MK-CF-F-099 deductionFor
61. MK-CF-F-070 benefitAnnual
62. MK-ST-F-039 on
63. MK-CF-F-081 salaryActiveMonths
64. MK-CF-F-021 defaultPaymentType
65. MK-CF-F-203 MONTH
66. MK-CF-F-011 savingsByMonth
67. MK-CF-F-187 seniorDeductionFor
68. MK-CF-O-010 theMonth
69. MK-CF-F-155 cash
70. MK-CF-O-003 thisMonth
71. MK-CF-F-005 actualMonthFlow
72. MK-CF-F-156 plannedMonthFlow
73. MK-NW-F-078 ONE
74. MK-CF-F-157 debtPaymentsByDebt
75. MK-CF-F-192 inflowLabel
76. MK-NW-F-077 ALL
77. MK-NW-F-059 currentYield
78. MK-XS-F-180 declareFigures
79. MK-ST-F-049 formatMoney
80. MK-ST-F-053 money
81. MK-NW-O-001 theBonds
82. MK-CF-F-193 inflowSourceWord
83. MK-NW-F-057 annualCoupon
84. MK-ST-F-048 currencySymbol
85. MK-ST-F-027 accountId
86. MK-NW-F-056 bondInfo
87. MK-NW-F-064 bondRateSensitivity
88. MK-NW-F-061 bondSummary
89. MK-NW-F-055 isBond
90. MK-NW-F-072 rowOf
91. MK-ST-F-047 activeCurrency
92. MK-NW-F-060 approxYTM
93. MK-NW-F-069 priceAtYield
94. MK-NW-F-011 assetClassOf
95. MK-NW-F-070 accruedInterestCaveat
96. MK-NW-F-071 isCertificateOfDeposit
97. MK-NW-F-058 yearsToMaturity
98. MK-NW-F-008 incomeBearingClassOf
99. MK-ST-F-010 nameEvidence
100. MK-XS-F-147 call
101. MK-XS-F-064 currentIdToken
102. MK-XS-F-112 relayUrl</t>
        </is>
      </c>
      <c r="R22" s="3" t="inlineStr">
        <is>
          <t>1. MK-CF-F-069 benefitActiveMonths → MK-CF-F-020 cashflowYear
2. MK-XS-F-122 n → MK-ST-F-052 toNum → MK-CF-F-075 retirementIncomeMonthly → MK-CF-F-072 currentRetirementIncomeMonthly → MK-CF-F-020 cashflowYear
3. MK-ST-F-056 has → MK-CF-F-172 hasWage → MK-CF-F-173 earnerWages → MK-CF-F-181 rateInForce → MK-CF-F-090 effectiveRate → MK-CF-F-020 cashflowYear
4. MK-CF-F-172 hasWage → MK-CF-F-173 earnerWages → MK-CF-F-180 enteredLandsAnnual → MK-CF-F-181 rateInForce → MK-CF-F-090 effectiveRate → MK-CF-F-020 cashflowYear
5. MK-XS-F-122 n → MK-ST-F-052 toNum → MK-CF-F-180 enteredLandsAnnual → MK-CF-F-181 rateInForce → MK-CF-F-090 effectiveRate → MK-CF-F-020 cashflowYear
6. MK-CF-F-085 filingStatusOf → MK-CF-F-181 rateInForce → MK-CF-F-090 effectiveRate → MK-CF-F-020 cashflowYear
7. MK-CF-F-132 map → MK-CF-F-206 householdK401ByMonth → MK-CF-F-181 rateInForce → MK-CF-F-090 effectiveRate → MK-CF-F-020 cashflowYear
8. MK-CF-F-173 earnerWages → MK-CF-F-176 sumMonthsOverEarners → MK-CF-F-206 householdK401ByMonth → MK-CF-F-181 rateInForce → MK-CF-F-090 effectiveRate → MK-CF-F-020 cashflowYear
9. … and 5 more paths</t>
        </is>
      </c>
      <c r="S22" s="3" t="inlineStr">
        <is>
          <t>—</t>
        </is>
      </c>
      <c r="T22" s="3" t="inlineStr">
        <is>
          <t>—</t>
        </is>
      </c>
      <c r="U22" s="3" t="inlineStr">
        <is>
          <t>ACTIVE</t>
        </is>
      </c>
      <c r="V22" s="3" t="inlineStr">
        <is>
          <t>2026-08-27</t>
        </is>
      </c>
      <c r="W22" s="3" t="n"/>
      <c r="X22" s="3" t="n"/>
      <c r="Y22" s="3" t="inlineStr">
        <is>
          <t>NOTHING OPEN</t>
        </is>
      </c>
    </row>
    <row r="23" ht="60" customHeight="1">
      <c r="A23" s="3" t="inlineStr">
        <is>
          <t>MK-CF-F-021</t>
        </is>
      </c>
      <c r="B23" s="3" t="inlineStr">
        <is>
          <t>defaultPaymentType</t>
        </is>
      </c>
      <c r="C23" s="3" t="inlineStr">
        <is>
          <t>src/domain/debt/index.ts</t>
        </is>
      </c>
      <c r="D23" s="3" t="n">
        <v>66</v>
      </c>
      <c r="E23" s="3" t="inlineStr">
        <is>
          <t>2 · DISPLAYED</t>
        </is>
      </c>
      <c r="F23" s="3" t="inlineStr">
        <is>
          <t>How a kind of debt is normally repaid: a card or a credit line revolves, and every other kind is a loan paid in fixed instalments.</t>
        </is>
      </c>
      <c r="G23" s="11" t="inlineStr">
        <is>
          <t>'revolving'   if t = 'CREDIT_CARD' (or t = 'HELOC' when missing or zero)
'installment'   otherwise</t>
        </is>
      </c>
      <c r="H23" s="3" t="inlineStr">
        <is>
          <t>'revolving' — when t = 'CREDIT_CARD' (or t = 'HELOC' when missing or zero); 'installment' — otherwise.</t>
        </is>
      </c>
      <c r="I23" s="3" t="inlineStr">
        <is>
          <t>READ FROM THE CODE — rendered from the expressions the function runs</t>
        </is>
      </c>
      <c r="J23" s="3" t="inlineStr">
        <is>
          <t>t: DebtType</t>
        </is>
      </c>
      <c r="K23" s="3" t="inlineStr">
        <is>
          <t>NonNullable&lt;Debt['payment_type']&gt;</t>
        </is>
      </c>
      <c r="L23" s="3" t="inlineStr">
        <is>
          <t>NOT FOUND — a screen calls it, but the words printed beside its answer could not be traced automatically. Needs reading.</t>
        </is>
      </c>
      <c r="M23" s="3" t="inlineStr">
        <is>
          <t>None found in this function — anything it assumes comes from the functions it depends on.</t>
        </is>
      </c>
      <c r="N23" s="3" t="inlineStr">
        <is>
          <t>Yes</t>
        </is>
      </c>
      <c r="O23" s="3" t="inlineStr">
        <is>
          <t>—</t>
        </is>
      </c>
      <c r="P23" s="3" t="n">
        <v>0</v>
      </c>
      <c r="Q23" s="3" t="inlineStr">
        <is>
          <t>None — no dependent function stands behind it</t>
        </is>
      </c>
      <c r="R23" s="3" t="inlineStr">
        <is>
          <t>No dependent function — it reads its inputs and answers</t>
        </is>
      </c>
      <c r="S23" s="3" t="inlineStr">
        <is>
          <t>—</t>
        </is>
      </c>
      <c r="T23" s="3" t="inlineStr">
        <is>
          <t>DEBT_SHAPE_DEFAULT</t>
        </is>
      </c>
      <c r="U23" s="3" t="inlineStr">
        <is>
          <t>ACTIVE</t>
        </is>
      </c>
      <c r="V23" s="3" t="inlineStr">
        <is>
          <t>2026-08-27</t>
        </is>
      </c>
      <c r="W23" s="3" t="n"/>
      <c r="X23" s="3" t="n"/>
      <c r="Y23" s="3" t="inlineStr">
        <is>
          <t>NOTHING OPEN</t>
        </is>
      </c>
    </row>
    <row r="24" ht="45" customHeight="1">
      <c r="A24" s="3" t="inlineStr">
        <is>
          <t>MK-CF-F-022</t>
        </is>
      </c>
      <c r="B24" s="3" t="inlineStr">
        <is>
          <t>paymentShape</t>
        </is>
      </c>
      <c r="C24" s="3" t="inlineStr">
        <is>
          <t>src/domain/debt/index.ts</t>
        </is>
      </c>
      <c r="D24" s="3" t="n">
        <v>102</v>
      </c>
      <c r="E24" s="3" t="inlineStr">
        <is>
          <t>2 · DISPLAYED</t>
        </is>
      </c>
      <c r="F24" s="3" t="inlineStr">
        <is>
          <t>How this debt is repaid: the way the person said, or the normal way for its kind when they did not say.</t>
        </is>
      </c>
      <c r="G24" s="11" t="inlineStr">
        <is>
          <t>payment type (or default payment type(debt type) when missing)</t>
        </is>
      </c>
      <c r="H24" s="3" t="inlineStr">
        <is>
          <t>payment type (or default payment type(debt type) — when missing).</t>
        </is>
      </c>
      <c r="I24" s="3" t="inlineStr">
        <is>
          <t>READ FROM THE CODE — rendered from the expressions the function runs</t>
        </is>
      </c>
      <c r="J24" s="3" t="inlineStr">
        <is>
          <t>d: Debt</t>
        </is>
      </c>
      <c r="K24" s="3" t="inlineStr">
        <is>
          <t>NonNullable&lt;Debt['payment_type']&gt;</t>
        </is>
      </c>
      <c r="L24" s="3" t="inlineStr">
        <is>
          <t>NOT FOUND — a screen calls it, but the words printed beside its answer could not be traced automatically. Needs reading.</t>
        </is>
      </c>
      <c r="M24" s="3" t="inlineStr">
        <is>
          <t>None found in this function — anything it assumes comes from the functions it depends on.</t>
        </is>
      </c>
      <c r="N24" s="3" t="inlineStr">
        <is>
          <t>Yes</t>
        </is>
      </c>
      <c r="O24" s="3" t="inlineStr">
        <is>
          <t>MK-CF-F-021 defaultPaymentType</t>
        </is>
      </c>
      <c r="P24" s="3" t="n">
        <v>1</v>
      </c>
      <c r="Q24" s="3" t="inlineStr">
        <is>
          <t>MK-CF-F-021 defaultPaymentType</t>
        </is>
      </c>
      <c r="R24" s="3" t="inlineStr">
        <is>
          <t>MK-CF-F-021 defaultPaymentType → MK-CF-F-022 paymentShape</t>
        </is>
      </c>
      <c r="S24" s="3" t="inlineStr">
        <is>
          <t>—</t>
        </is>
      </c>
      <c r="T24" s="3" t="inlineStr">
        <is>
          <t>DEBT_SHAPE</t>
        </is>
      </c>
      <c r="U24" s="3" t="inlineStr">
        <is>
          <t>ACTIVE</t>
        </is>
      </c>
      <c r="V24" s="3" t="inlineStr">
        <is>
          <t>2026-08-27</t>
        </is>
      </c>
      <c r="W24" s="3" t="n"/>
      <c r="X24" s="3" t="n"/>
      <c r="Y24" s="3" t="inlineStr">
        <is>
          <t>NOTHING OPEN</t>
        </is>
      </c>
    </row>
    <row r="25" ht="60" customHeight="1">
      <c r="A25" s="3" t="inlineStr">
        <is>
          <t>MK-CF-F-023</t>
        </is>
      </c>
      <c r="B25" s="3" t="inlineStr">
        <is>
          <t>requiredPayment</t>
        </is>
      </c>
      <c r="C25" s="3" t="inlineStr">
        <is>
          <t>src/domain/debt/index.ts</t>
        </is>
      </c>
      <c r="D25" s="3" t="n">
        <v>146</v>
      </c>
      <c r="E25" s="3" t="inlineStr">
        <is>
          <t>2 · DISPLAYED</t>
        </is>
      </c>
      <c r="F25" s="3" t="inlineStr">
        <is>
          <t>The payment reserved/required each month for a debt (planned payment, else the minimum).</t>
        </is>
      </c>
      <c r="G25" s="11" t="inlineStr">
        <is>
          <t>0   when payment shape(d) = 'due_in_full'
max(minimum monthly payment, monthly payment (or 0 when missing)) (or minimum monthly payment when missing or zero)</t>
        </is>
      </c>
      <c r="H25" s="3" t="inlineStr">
        <is>
          <t>When payment shape(d) = 'due_in_full', it answers 0. the larger of minimum monthly payment and monthly payment (or 0 — when missing) (or minimum monthly payment — when missing or zero).</t>
        </is>
      </c>
      <c r="I25" s="3" t="inlineStr">
        <is>
          <t>READ FROM THE CODE — rendered from the expressions the function runs</t>
        </is>
      </c>
      <c r="J25" s="3" t="inlineStr">
        <is>
          <t>d: Debt</t>
        </is>
      </c>
      <c r="K25" s="3" t="inlineStr">
        <is>
          <t>number</t>
        </is>
      </c>
      <c r="L25" s="3" t="inlineStr">
        <is>
          <t>NOT FOUND — a screen calls it, but the words printed beside its answer could not be traced automatically. Needs reading.</t>
        </is>
      </c>
      <c r="M25" s="3" t="inlineStr">
        <is>
          <t>· If monthly payment is missing it uses 0.</t>
        </is>
      </c>
      <c r="N25" s="3" t="inlineStr">
        <is>
          <t>Yes</t>
        </is>
      </c>
      <c r="O25" s="3" t="inlineStr">
        <is>
          <t>MK-CF-F-022 paymentShape</t>
        </is>
      </c>
      <c r="P25" s="3" t="n">
        <v>2</v>
      </c>
      <c r="Q25" s="3" t="inlineStr">
        <is>
          <t>1. MK-CF-F-022 paymentShape
2. MK-CF-F-021 defaultPaymentType</t>
        </is>
      </c>
      <c r="R25" s="3" t="inlineStr">
        <is>
          <t>MK-CF-F-021 defaultPaymentType → MK-CF-F-022 paymentShape → MK-CF-F-023 requiredPayment</t>
        </is>
      </c>
      <c r="S25" s="3" t="inlineStr">
        <is>
          <t>—</t>
        </is>
      </c>
      <c r="T25" s="3" t="inlineStr">
        <is>
          <t>DEBT_REQUIRED_PAYMENT</t>
        </is>
      </c>
      <c r="U25" s="3" t="inlineStr">
        <is>
          <t>ACTIVE</t>
        </is>
      </c>
      <c r="V25" s="3" t="inlineStr">
        <is>
          <t>2026-08-27</t>
        </is>
      </c>
      <c r="W25" s="3" t="n"/>
      <c r="X25" s="3" t="n"/>
      <c r="Y25" s="3" t="inlineStr">
        <is>
          <t>NOTHING OPEN</t>
        </is>
      </c>
    </row>
    <row r="26" ht="60" customHeight="1">
      <c r="A26" s="3" t="inlineStr">
        <is>
          <t>MK-CF-F-024</t>
        </is>
      </c>
      <c r="B26" s="3" t="inlineStr">
        <is>
          <t>totalDebtMonthly</t>
        </is>
      </c>
      <c r="C26" s="3" t="inlineStr">
        <is>
          <t>src/domain/debt/index.ts</t>
        </is>
      </c>
      <c r="D26" s="3" t="n">
        <v>178</v>
      </c>
      <c r="E26" s="3" t="inlineStr">
        <is>
          <t>2 · DISPLAYED</t>
        </is>
      </c>
      <c r="F26" s="3" t="inlineStr">
        <is>
          <t>Total monthly debt obligation across all debts (override-aware).</t>
        </is>
      </c>
      <c r="G26" s="11" t="inlineStr">
        <is>
          <t>Σ over debts of (required payment(each))</t>
        </is>
      </c>
      <c r="H26" s="3" t="inlineStr">
        <is>
          <t>the required payment(each) added up across debts.</t>
        </is>
      </c>
      <c r="I26" s="3" t="inlineStr">
        <is>
          <t>READ FROM THE CODE — rendered from the expressions the function runs</t>
        </is>
      </c>
      <c r="J26" s="3" t="inlineStr">
        <is>
          <t>debts: Debt[]</t>
        </is>
      </c>
      <c r="K26" s="3" t="inlineStr">
        <is>
          <t>number</t>
        </is>
      </c>
      <c r="L26" s="3" t="inlineStr">
        <is>
          <t>1. "DEBT-TO-INCOME" — on the Goals screen, under "DEBT-TO-INCOME"
2. "Income (take-home)" — on the budget screen</t>
        </is>
      </c>
      <c r="M26" s="3" t="inlineStr">
        <is>
          <t>None found in this function — anything it assumes comes from the functions it depends on.</t>
        </is>
      </c>
      <c r="N26" s="3" t="inlineStr">
        <is>
          <t>Yes</t>
        </is>
      </c>
      <c r="O26" s="3" t="inlineStr">
        <is>
          <t>1. MK-CF-F-201 INCOME
2. MK-CF-F-023 requiredPayment</t>
        </is>
      </c>
      <c r="P26" s="3" t="n">
        <v>122</v>
      </c>
      <c r="Q26" s="3" t="inlineStr">
        <is>
          <t>1. MK-CF-F-201 INCOME
2. MK-CF-F-023 requiredPayment
3. MK-CF-F-207 SOURCE
4. MK-CF-O-004 incomeSummary
5. MK-CF-F-022 paymentShape
6. MK-CF-O-016 incomeSources
7. MK-CF-F-203 MONTH
8. MK-CF-O-001 basePay
9. MK-CF-F-069 benefitActiveMonths
10. MK-CF-F-072 currentRetirementIncomeMonthly
11. MK-CF-F-173 earnerWages
12. MK-CF-F-179 entryFromWage
13. MK-CF-F-071 extraIncome
14. MK-CF-F-085 filingStatusOf
15. MK-CF-F-092 incomeMonthlyGrid
16. MK-CF-F-192 inflowLabel
17. MK-CF-F-132 map
18. MK-CF-F-103 marginalBracketFor
19. MK-CF-F-089 over65CountOf
20. MK-CF-F-181 rateInForce
21. MK-CF-F-068 rentalNetAnnual
22. MK-CF-F-082 salaryAnnual
23. MK-CF-F-060 salaryGrossByMonth
24. MK-CF-F-084 taxableAnnual
25. MK-ST-F-052 toNum
26. MK-CF-F-021 defaultPaymentType
27. MK-CF-F-075 retirementIncomeMonthly
28. MK-CF-F-066 rsuAnnual
29. MK-CF-O-010 theMonth
30. MK-ST-F-035 covers
31. MK-CF-F-171 earnerPay
32. MK-CF-F-204 line
33. MK-ST-F-053 money
34. MK-HM-F-006 money0
35. MK-XS-F-122 n
36. MK-CF-F-198 payrollTaxWithheld
37. MK-CF-F-172 hasWage
38. MK-CF-F-165 salaryMonths
39. MK-CF-F-070 benefitAnnual
40. MK-ST-F-039 on
41. MK-CF-F-065 equityVestWeights
42. MK-ST-F-056 has
43. MK-CF-F-206 householdK401ByMonth
44. MK-CF-F-087 monthlyTaxRates
45. MK-CF-F-073 otherIncomeMonth
46. MK-CF-F-077 scholarshipByCalendarMonth
47. MK-CF-F-088 taxableByCalendarMonth
48. MK-CF-F-177 wageGrossByMonth
49. MK-PL-F-012 waterfall
50. MK-CF-F-193 inflowSourceWord
51. MK-CF-F-100 taxableIncomeFor
52. MK-CF-F-180 enteredLandsAnnual
53. MK-CF-F-086 stateRateOf
54. MK-CF-F-101 taxOwedFor
55. MK-CF-O-002 expenses
56. MK-CF-F-067 rentalList
57. MK-CF-F-176 sumMonthsOverEarners
58. MK-CF-F-074 tipsAnnual
59. MK-CF-F-062 equityRowValue
60. MK-CF-F-063 rowVestYear
61. MK-CF-F-155 cash
62. MK-CF-O-003 thisMonth
63. MK-ST-F-034 firstDate
64. MK-CF-F-143 annualisedGross
65. MK-CF-F-145 deductionsFromPay
66. MK-CF-F-128 grossByMonth
67. MK-CF-F-146 payFiguresAgree
68. MK-CF-F-144 takeHomeAsEntered
69. MK-XS-F-180 declareFigures
70. MK-ST-F-049 formatMoney
71. MK-HM-F-005 pctTxt
72. MK-CF-F-090 effectiveRate
73. MK-CF-F-130 enteredMonthlyRaw
74. MK-CF-F-166 hasMonthlySalaryTable
75. MK-ST-F-036 reconcile
76. MK-CF-F-167 salaryCalendarYear
77. MK-CF-F-099 deductionFor
78. MK-CF-F-151 actualSpending
79. MK-CF-F-150 debtPaymentsCountedAsExpenses
80. MK-CF-F-153 radar
81. MK-CF-F-149 recurringDebtPayments
82. MK-CF-F-081 salaryActiveMonths
83. MK-CF-F-005 actualMonthFlow
84. MK-CF-F-156 plannedMonthFlow
85. MK-CF-F-142 monthsOf
86. MK-CF-F-141 perMonth
87. MK-ST-F-048 currencySymbol
88. MK-CF-F-187 seniorDeductionFor
89. MK-CF-F-148 inMonth
90. MK-CF-F-191 ym
91. MK-CF-F-152 isRadarItem
92. MK-NW-F-078 ONE
93. MK-CF-F-157 debtPaymentsByDebt
94. MK-XS-F-027 takeHomeMonthly
95. MK-CF-F-140 periodsAYear
96. MK-ST-F-047 activeCurrency
97. MK-NW-F-077 ALL
98. MK-NW-F-059 currentYield
99. MK-NW-O-001 theBonds
100. MK-CF-F-011 savingsByMonth
101. MK-NW-F-057 annualCoupon
102. MK-ST-F-027 accountId
103. MK-NW-F-056 bondInfo
104. MK-NW-F-064 bondRateSensitivity
105. MK-NW-F-061 bondSummary
106. MK-NW-F-055 isBond
107. MK-NW-F-072 rowOf
108. MK-CF-F-008 spendByMonth
109. MK-NW-F-060 approxYTM
110. MK-NW-F-069 priceAtYield
111. MK-NW-F-011 assetClassOf
112. MK-NW-F-070 accruedInterestCaveat
113. MK-NW-F-071 isCertificateOfDeposit
114. MK-NW-F-058 yearsToMaturity
115. MK-CF-F-120 pctBaseMonthly
116. MK-CF-F-004 spendBuckets
117. MK-NW-F-008 incomeBearingClassOf
118. MK-CF-F-003 categoryMonthly
119. MK-ST-F-010 nameEvidence
120. MK-XS-F-147 call
121. MK-XS-F-064 currentIdToken
122. MK-XS-F-112 relayUrl</t>
        </is>
      </c>
      <c r="R26" s="3" t="inlineStr">
        <is>
          <t>1. SOURCE (already above — a loop) → MK-CF-O-016 incomeSources → MK-CF-F-207 SOURCE → MK-CF-F-201 INCOME → MK-CF-F-024 totalDebtMonthly
2. MK-CF-F-075 retirementIncomeMonthly → MK-CF-F-072 currentRetirementIncomeMonthly → MK-CF-O-016 incomeSources → MK-CF-F-207 SOURCE → MK-CF-F-201 INCOME → MK-CF-F-024 totalDebtMonthly
3. MK-CF-F-172 hasWage → MK-CF-F-173 earnerWages → MK-CF-O-016 incomeSources → MK-CF-F-207 SOURCE → MK-CF-F-201 INCOME → MK-CF-F-024 totalDebtMonthly
4. MK-CF-O-002 expenses → MK-CF-F-068 rentalNetAnnual → MK-CF-O-016 incomeSources → MK-CF-F-207 SOURCE → MK-CF-F-201 INCOME → MK-CF-F-024 totalDebtMonthly
5. MK-CF-F-067 rentalList → MK-CF-F-068 rentalNetAnnual → MK-CF-O-016 incomeSources → MK-CF-F-207 SOURCE → MK-CF-F-201 INCOME → MK-CF-F-024 totalDebtMonthly
6. MK-ST-F-052 toNum → MK-CF-F-075 retirementIncomeMonthly → MK-CF-O-016 incomeSources → MK-CF-F-207 SOURCE → MK-CF-F-201 INCOME → MK-CF-F-024 totalDebtMonthly
7. MK-CF-F-062 equityRowValue → MK-CF-F-066 rsuAnnual → MK-CF-O-016 incomeSources → MK-CF-F-207 SOURCE → MK-CF-F-201 INCOME → MK-CF-F-024 totalDebtMonthly
8. MK-CF-F-132 map → MK-CF-F-066 rsuAnnual → MK-CF-O-016 incomeSources → MK-CF-F-207 SOURCE → MK-CF-F-201 INCOME → MK-CF-F-024 totalDebtMonthly
9. … and 5 more paths</t>
        </is>
      </c>
      <c r="S26" s="3" t="inlineStr">
        <is>
          <t>MK-NW-M-012</t>
        </is>
      </c>
      <c r="T26" s="3" t="inlineStr">
        <is>
          <t>DEBT_ACTUAL_TOTAL</t>
        </is>
      </c>
      <c r="U26" s="3" t="inlineStr">
        <is>
          <t>ACTIVE</t>
        </is>
      </c>
      <c r="V26" s="3" t="inlineStr">
        <is>
          <t>2026-08-27</t>
        </is>
      </c>
      <c r="W26" s="3" t="n"/>
      <c r="X26" s="3" t="n"/>
      <c r="Y26" s="3" t="inlineStr">
        <is>
          <t>NOTHING OPEN</t>
        </is>
      </c>
    </row>
    <row r="27" ht="60" customHeight="1">
      <c r="A27" s="3" t="inlineStr">
        <is>
          <t>MK-CF-F-025</t>
        </is>
      </c>
      <c r="B27" s="3" t="inlineStr">
        <is>
          <t>minimumDebtService</t>
        </is>
      </c>
      <c r="C27" s="3" t="inlineStr">
        <is>
          <t>src/domain/debt/index.ts</t>
        </is>
      </c>
      <c r="D27" s="3" t="n">
        <v>214</v>
      </c>
      <c r="E27" s="3" t="inlineStr">
        <is>
          <t>2 · DISPLAYED</t>
        </is>
      </c>
      <c r="F27" s="3" t="inlineStr">
        <is>
          <t>The minimum payments every debt requires in a month, added up, leaving out any debt due in one lump on a date.</t>
        </is>
      </c>
      <c r="G27" s="11" t="inlineStr">
        <is>
          <t>Σ over debts (or none when missing) of (0   if payment shape(each) = 'due_in_full'
minimum monthly payment (or 0 when missing or zero)   otherwise)</t>
        </is>
      </c>
      <c r="H27" s="3" t="inlineStr">
        <is>
          <t>the 0 — when payment shape(each added up across debts (or none when missing) = 'due_in_full'; minimum monthly payment (or 0 — when missing or zero) — otherwise).</t>
        </is>
      </c>
      <c r="I27" s="3" t="inlineStr">
        <is>
          <t>READ FROM THE CODE — rendered from the expressions the function runs</t>
        </is>
      </c>
      <c r="J27" s="3" t="inlineStr">
        <is>
          <t>debts: Debt[]</t>
        </is>
      </c>
      <c r="K27" s="3" t="inlineStr">
        <is>
          <t>number</t>
        </is>
      </c>
      <c r="L27" s="3" t="inlineStr">
        <is>
          <t>NOT FOUND — a screen calls it, but the words printed beside its answer could not be traced automatically. Needs reading.</t>
        </is>
      </c>
      <c r="M27" s="3" t="inlineStr">
        <is>
          <t>· If minimum monthly payment is missing it counts as zero, so nothing recorded and a real zero look the same.</t>
        </is>
      </c>
      <c r="N27" s="3" t="inlineStr">
        <is>
          <t>Yes</t>
        </is>
      </c>
      <c r="O27" s="3" t="inlineStr">
        <is>
          <t>MK-CF-F-022 paymentShape</t>
        </is>
      </c>
      <c r="P27" s="3" t="n">
        <v>2</v>
      </c>
      <c r="Q27" s="3" t="inlineStr">
        <is>
          <t>1. MK-CF-F-022 paymentShape
2. MK-CF-F-021 defaultPaymentType</t>
        </is>
      </c>
      <c r="R27" s="3" t="inlineStr">
        <is>
          <t>MK-CF-F-021 defaultPaymentType → MK-CF-F-022 paymentShape → MK-CF-F-025 minimumDebtService</t>
        </is>
      </c>
      <c r="S27" s="3" t="inlineStr">
        <is>
          <t>—</t>
        </is>
      </c>
      <c r="T27" s="3" t="inlineStr">
        <is>
          <t>DEBT_MINIMUM_TOTAL</t>
        </is>
      </c>
      <c r="U27" s="3" t="inlineStr">
        <is>
          <t>ACTIVE</t>
        </is>
      </c>
      <c r="V27" s="3" t="inlineStr">
        <is>
          <t>2026-09-09</t>
        </is>
      </c>
      <c r="W27" s="3" t="n"/>
      <c r="X27" s="3" t="n"/>
      <c r="Y27" s="3" t="inlineStr">
        <is>
          <t>NOTHING OPEN</t>
        </is>
      </c>
    </row>
    <row r="28" ht="60" customHeight="1">
      <c r="A28" s="3" t="inlineStr">
        <is>
          <t>MK-CF-F-026</t>
        </is>
      </c>
      <c r="B28" s="3" t="inlineStr">
        <is>
          <t>actualDebtPayment</t>
        </is>
      </c>
      <c r="C28" s="3" t="inlineStr">
        <is>
          <t>src/domain/debt/index.ts</t>
        </is>
      </c>
      <c r="D28" s="3" t="n">
        <v>240</v>
      </c>
      <c r="E28" s="3" t="inlineStr">
        <is>
          <t>3 · DEPENDENT</t>
        </is>
      </c>
      <c r="F28" s="3" t="inlineStr">
        <is>
          <t>Σ ACTUAL payments (override ≥ minimum) — what actually leaves your account.</t>
        </is>
      </c>
      <c r="G28" s="11" t="inlineStr">
        <is>
          <t>total debt monthly(debts ?? [])</t>
        </is>
      </c>
      <c r="H28" s="3" t="inlineStr">
        <is>
          <t>total debt monthly(debts ?? []).</t>
        </is>
      </c>
      <c r="I28" s="3" t="inlineStr">
        <is>
          <t>PARTLY READ — some of the code is still showing through; needs a hand pass</t>
        </is>
      </c>
      <c r="J28" s="3" t="inlineStr">
        <is>
          <t>debts: Debt[]</t>
        </is>
      </c>
      <c r="K28" s="3" t="inlineStr">
        <is>
          <t>number</t>
        </is>
      </c>
      <c r="L28" s="3" t="inlineStr">
        <is>
          <t>—</t>
        </is>
      </c>
      <c r="M28" s="3" t="inlineStr">
        <is>
          <t>None found in this function — anything it assumes comes from the functions it depends on.</t>
        </is>
      </c>
      <c r="N28" s="3" t="inlineStr">
        <is>
          <t>Yes</t>
        </is>
      </c>
      <c r="O28" s="3" t="inlineStr">
        <is>
          <t>MK-CF-F-024 totalDebtMonthly</t>
        </is>
      </c>
      <c r="P28" s="3" t="n">
        <v>123</v>
      </c>
      <c r="Q28" s="3" t="inlineStr">
        <is>
          <t>1. MK-CF-F-024 totalDebtMonthly
2. MK-CF-F-201 INCOME
3. MK-CF-F-023 requiredPayment
4. MK-CF-F-207 SOURCE
5. MK-CF-O-004 incomeSummary
6. MK-CF-F-022 paymentShape
7. MK-CF-O-016 incomeSources
8. MK-CF-F-203 MONTH
9. MK-CF-O-001 basePay
10. MK-CF-F-069 benefitActiveMonths
11. MK-CF-F-072 currentRetirementIncomeMonthly
12. MK-CF-F-173 earnerWages
13. MK-CF-F-179 entryFromWage
14. MK-CF-F-071 extraIncome
15. MK-CF-F-085 filingStatusOf
16. MK-CF-F-092 incomeMonthlyGrid
17. MK-CF-F-192 inflowLabel
18. MK-CF-F-132 map
19. MK-CF-F-103 marginalBracketFor
20. MK-CF-F-089 over65CountOf
21. MK-CF-F-181 rateInForce
22. MK-CF-F-068 rentalNetAnnual
23. MK-CF-F-082 salaryAnnual
24. MK-CF-F-060 salaryGrossByMonth
25. MK-CF-F-084 taxableAnnual
26. MK-ST-F-052 toNum
27. MK-CF-F-021 defaultPaymentType
28. MK-CF-F-075 retirementIncomeMonthly
29. MK-CF-F-066 rsuAnnual
30. MK-CF-O-010 theMonth
31. MK-ST-F-035 covers
32. MK-CF-F-171 earnerPay
33. MK-CF-F-204 line
34. MK-ST-F-053 money
35. MK-HM-F-006 money0
36. MK-XS-F-122 n
37. MK-CF-F-198 payrollTaxWithheld
38. MK-CF-F-172 hasWage
39. MK-CF-F-165 salaryMonths
40. MK-CF-F-070 benefitAnnual
41. MK-ST-F-039 on
42. MK-CF-F-065 equityVestWeights
43. MK-ST-F-056 has
44. MK-CF-F-206 householdK401ByMonth
45. MK-CF-F-087 monthlyTaxRates
46. MK-CF-F-073 otherIncomeMonth
47. MK-CF-F-077 scholarshipByCalendarMonth
48. MK-CF-F-088 taxableByCalendarMonth
49. MK-CF-F-177 wageGrossByMonth
50. MK-PL-F-012 waterfall
51. MK-CF-F-193 inflowSourceWord
52. MK-CF-F-100 taxableIncomeFor
53. MK-CF-F-180 enteredLandsAnnual
54. MK-CF-F-086 stateRateOf
55. MK-CF-F-101 taxOwedFor
56. MK-CF-O-002 expenses
57. MK-CF-F-067 rentalList
58. MK-CF-F-176 sumMonthsOverEarners
59. MK-CF-F-074 tipsAnnual
60. MK-CF-F-062 equityRowValue
61. MK-CF-F-063 rowVestYear
62. MK-CF-F-155 cash
63. MK-CF-O-003 thisMonth
64. MK-ST-F-034 firstDate
65. MK-CF-F-143 annualisedGross
66. MK-CF-F-145 deductionsFromPay
67. MK-CF-F-128 grossByMonth
68. MK-CF-F-146 payFiguresAgree
69. MK-CF-F-144 takeHomeAsEntered
70. MK-XS-F-180 declareFigures
71. MK-ST-F-049 formatMoney
72. MK-HM-F-005 pctTxt
73. MK-CF-F-090 effectiveRate
74. MK-CF-F-130 enteredMonthlyRaw
75. MK-CF-F-166 hasMonthlySalaryTable
76. MK-ST-F-036 reconcile
77. MK-CF-F-167 salaryCalendarYear
78. MK-CF-F-099 deductionFor
79. MK-CF-F-151 actualSpending
80. MK-CF-F-150 debtPaymentsCountedAsExpenses
81. MK-CF-F-153 radar
82. MK-CF-F-149 recurringDebtPayments
83. MK-CF-F-081 salaryActiveMonths
84. MK-CF-F-005 actualMonthFlow
85. MK-CF-F-156 plannedMonthFlow
86. MK-CF-F-142 monthsOf
87. MK-CF-F-141 perMonth
88. MK-ST-F-048 currencySymbol
89. MK-CF-F-187 seniorDeductionFor
90. MK-CF-F-148 inMonth
91. MK-CF-F-191 ym
92. MK-CF-F-152 isRadarItem
93. MK-NW-F-078 ONE
94. MK-CF-F-157 debtPaymentsByDebt
95. MK-XS-F-027 takeHomeMonthly
96. MK-CF-F-140 periodsAYear
97. MK-ST-F-047 activeCurrency
98. MK-NW-F-077 ALL
99. MK-NW-F-059 currentYield
100. MK-NW-O-001 theBonds
101. MK-CF-F-011 savingsByMonth
102. MK-NW-F-057 annualCoupon
103. MK-ST-F-027 accountId
104. MK-NW-F-056 bondInfo
105. MK-NW-F-064 bondRateSensitivity
106. MK-NW-F-061 bondSummary
107. MK-NW-F-055 isBond
108. MK-NW-F-072 rowOf
109. MK-CF-F-008 spendByMonth
110. MK-NW-F-060 approxYTM
111. MK-NW-F-069 priceAtYield
112. MK-NW-F-011 assetClassOf
113. MK-NW-F-070 accruedInterestCaveat
114. MK-NW-F-071 isCertificateOfDeposit
115. MK-NW-F-058 yearsToMaturity
116. MK-CF-F-120 pctBaseMonthly
117. MK-CF-F-004 spendBuckets
118. MK-NW-F-008 incomeBearingClassOf
119. MK-CF-F-003 categoryMonthly
120. MK-ST-F-010 nameEvidence
121. MK-XS-F-147 call
122. MK-XS-F-064 currentIdToken
123. MK-XS-F-112 relayUrl</t>
        </is>
      </c>
      <c r="R28" s="3" t="inlineStr">
        <is>
          <t>1. SOURCE (already above — a loop) → MK-CF-O-016 incomeSources → MK-CF-F-207 SOURCE → MK-CF-F-201 INCOME → MK-CF-F-024 totalDebtMonthly → MK-CF-F-026 actualDebtPayment
2. MK-CF-F-072 currentRetirementIncomeMonthly → MK-CF-O-016 incomeSources → MK-CF-F-207 SOURCE → MK-CF-F-201 INCOME → MK-CF-F-024 totalDebtMonthly → MK-CF-F-026 actualDebtPayment
3. MK-CF-F-173 earnerWages → MK-CF-O-016 incomeSources → MK-CF-F-207 SOURCE → MK-CF-F-201 INCOME → MK-CF-F-024 totalDebtMonthly → MK-CF-F-026 actualDebtPayment
4. MK-CF-F-068 rentalNetAnnual → MK-CF-O-016 incomeSources → MK-CF-F-207 SOURCE → MK-CF-F-201 INCOME → MK-CF-F-024 totalDebtMonthly → MK-CF-F-026 actualDebtPayment
5. MK-CF-F-075 retirementIncomeMonthly → MK-CF-O-016 incomeSources → MK-CF-F-207 SOURCE → MK-CF-F-201 INCOME → MK-CF-F-024 totalDebtMonthly → MK-CF-F-026 actualDebtPayment
6. MK-CF-F-066 rsuAnnual → MK-CF-O-016 incomeSources → MK-CF-F-207 SOURCE → MK-CF-F-201 INCOME → MK-CF-F-024 totalDebtMonthly → MK-CF-F-026 actualDebtPayment
7. MK-ST-F-052 toNum → MK-CF-O-016 incomeSources → MK-CF-F-207 SOURCE → MK-CF-F-201 INCOME → MK-CF-F-024 totalDebtMonthly → MK-CF-F-026 actualDebtPayment
8. MK-CF-O-010 theMonth → MK-CF-F-203 MONTH → MK-CF-O-004 incomeSummary → MK-CF-F-201 INCOME → MK-CF-F-024 totalDebtMonthly → MK-CF-F-026 actualDebtPayment
9. … and 4 more paths</t>
        </is>
      </c>
      <c r="S28" s="3" t="inlineStr">
        <is>
          <t>—</t>
        </is>
      </c>
      <c r="T28" s="3" t="inlineStr">
        <is>
          <t>DEBT_PAYMENTS_ACTUAL</t>
        </is>
      </c>
      <c r="U28" s="3" t="inlineStr">
        <is>
          <t>ACTIVE</t>
        </is>
      </c>
      <c r="V28" s="3" t="inlineStr">
        <is>
          <t>2026-10-03</t>
        </is>
      </c>
      <c r="W28" s="3" t="n"/>
      <c r="X28" s="3" t="n"/>
      <c r="Y28" s="3" t="inlineStr">
        <is>
          <t>NOTHING OPEN</t>
        </is>
      </c>
    </row>
    <row r="29" ht="45" customHeight="1">
      <c r="A29" s="3" t="inlineStr">
        <is>
          <t>MK-CF-F-027</t>
        </is>
      </c>
      <c r="B29" s="3" t="inlineStr">
        <is>
          <t>totalDebtBalance</t>
        </is>
      </c>
      <c r="C29" s="3" t="inlineStr">
        <is>
          <t>src/domain/debt/index.ts</t>
        </is>
      </c>
      <c r="D29" s="3" t="n">
        <v>264</v>
      </c>
      <c r="E29" s="3" t="inlineStr">
        <is>
          <t>2 · DISPLAYED</t>
        </is>
      </c>
      <c r="F29" s="3" t="inlineStr">
        <is>
          <t>Σ outstanding debt BALANCE — what you still owe (not a monthly payment).</t>
        </is>
      </c>
      <c r="G29" s="11" t="inlineStr">
        <is>
          <t>Σ over debts (or none when missing) of (remaining balance (or 0 when missing or zero))</t>
        </is>
      </c>
      <c r="H29" s="3" t="inlineStr">
        <is>
          <t>the remaining balance (or 0 — when missing or zero) added up across debts (or none — when missing).</t>
        </is>
      </c>
      <c r="I29" s="3" t="inlineStr">
        <is>
          <t>READ FROM THE CODE — rendered from the expressions the function runs</t>
        </is>
      </c>
      <c r="J29" s="3" t="inlineStr">
        <is>
          <t>debts: Debt[]</t>
        </is>
      </c>
      <c r="K29" s="3" t="inlineStr">
        <is>
          <t>number</t>
        </is>
      </c>
      <c r="L29" s="3" t="inlineStr">
        <is>
          <t>NOT FOUND — a screen calls it, but the words printed beside its answer could not be traced automatically. Needs reading.</t>
        </is>
      </c>
      <c r="M29" s="3" t="inlineStr">
        <is>
          <t>· If remaining balance is missing it counts as zero, so nothing recorded and a real zero look the same.</t>
        </is>
      </c>
      <c r="N29" s="3" t="inlineStr">
        <is>
          <t>Yes</t>
        </is>
      </c>
      <c r="O29" s="3" t="inlineStr">
        <is>
          <t>—</t>
        </is>
      </c>
      <c r="P29" s="3" t="n">
        <v>0</v>
      </c>
      <c r="Q29" s="3" t="inlineStr">
        <is>
          <t>None — no dependent function stands behind it</t>
        </is>
      </c>
      <c r="R29" s="3" t="inlineStr">
        <is>
          <t>No dependent function — it reads its inputs and answers</t>
        </is>
      </c>
      <c r="S29" s="3" t="inlineStr">
        <is>
          <t>—</t>
        </is>
      </c>
      <c r="T29" s="3" t="inlineStr">
        <is>
          <t>—</t>
        </is>
      </c>
      <c r="U29" s="3" t="inlineStr">
        <is>
          <t>ACTIVE</t>
        </is>
      </c>
      <c r="V29" s="3" t="inlineStr">
        <is>
          <t>2026-09-09</t>
        </is>
      </c>
      <c r="W29" s="3" t="n"/>
      <c r="X29" s="3" t="n"/>
      <c r="Y29" s="3" t="inlineStr">
        <is>
          <t>NOTHING OPEN</t>
        </is>
      </c>
    </row>
    <row r="30" ht="60" customHeight="1">
      <c r="A30" s="3" t="inlineStr">
        <is>
          <t>MK-CF-F-028</t>
        </is>
      </c>
      <c r="B30" s="3" t="inlineStr">
        <is>
          <t>loanPayment</t>
        </is>
      </c>
      <c r="C30" s="3" t="inlineStr">
        <is>
          <t>src/domain/debt/index.ts</t>
        </is>
      </c>
      <c r="D30" s="3" t="n">
        <v>305</v>
      </c>
      <c r="E30" s="3" t="inlineStr">
        <is>
          <t>2 · DISPLAYED</t>
        </is>
      </c>
      <c r="F30" s="3" t="inlineStr">
        <is>
          <t>UNIT LANDMINE (P0): `aprPct` is a PERCENT (7 = 7%), unlike Debt.interest_rate_apr which is a DECIMAL (0.07).</t>
        </is>
      </c>
      <c r="G30" s="11" t="inlineStr">
        <is>
          <t>dev = __DEV__   if __DEV__ is not a undefined
process.env.NODE_ENV ! = 'production'   otherwise
n = round(term years × 12), r = apr pct ÷ 100 ÷ 12
monthly = 0
total interest = 0
total paid = 0   when principal ≤ 0 (or n ≤ 0 when missing or zero)
monthly = (principal × r) ÷ (1 − math.pow(1 + r, -n))   if r &gt; 0
principal ÷ n   otherwise
total paid = monthly × n
the answer:
monthly = monthly
total interest = total paid − principal
total paid = total paid</t>
        </is>
      </c>
      <c r="H30" s="3" t="inlineStr">
        <is>
          <t>Dev is __DEV__ — when __DEV__ is a is missing undefined; process.env.NODE_ENV ! = 'production' — otherwise. N is term years times 12, to a whole number, r = apr pct divided by 100 divided by 12. When principal is at most 0 (or n is at most 0 — when missing or zero), it answers monthly = 0; total interest = 0; total paid = 0. Monthly is (principal times r) divided by (1 minus math.pow(1 plus r, -n)) — when r &gt; 0; principal divided by n — otherwise. Total paid is monthly times n. The answer is monthly = monthly; total interest = total paid minus principal; total paid = total paid.</t>
        </is>
      </c>
      <c r="I30" s="3" t="inlineStr">
        <is>
          <t>PARTLY READ — some of the code is still showing through; needs a hand pass</t>
        </is>
      </c>
      <c r="J30" s="3" t="inlineStr">
        <is>
          <t>1. principal: number
2. aprPct: number
3. termYears: number</t>
        </is>
      </c>
      <c r="K30" s="3" t="inlineStr">
        <is>
          <t>LoanPlan</t>
        </is>
      </c>
      <c r="L30" s="3" t="inlineStr">
        <is>
          <t>"Pay off over (years)" — on the setup questions, which appear on more than one screen</t>
        </is>
      </c>
      <c r="M30" s="3" t="inlineStr">
        <is>
          <t>1. Turns a monthly figure into a year by multiplying by twelve.
2. Rounds the answer to a whole number.</t>
        </is>
      </c>
      <c r="N30" s="3" t="inlineStr">
        <is>
          <t>Yes</t>
        </is>
      </c>
      <c r="O30" s="3" t="inlineStr">
        <is>
          <t>MK-XS-F-122 n</t>
        </is>
      </c>
      <c r="P30" s="3" t="n">
        <v>1</v>
      </c>
      <c r="Q30" s="3" t="inlineStr">
        <is>
          <t>MK-XS-F-122 n</t>
        </is>
      </c>
      <c r="R30" s="3" t="inlineStr">
        <is>
          <t>MK-XS-F-122 n → MK-CF-F-028 loanPayment</t>
        </is>
      </c>
      <c r="S30" s="3" t="inlineStr">
        <is>
          <t>—</t>
        </is>
      </c>
      <c r="T30" s="3" t="inlineStr">
        <is>
          <t>—</t>
        </is>
      </c>
      <c r="U30" s="3" t="inlineStr">
        <is>
          <t>ACTIVE</t>
        </is>
      </c>
      <c r="V30" s="3" t="inlineStr">
        <is>
          <t>2026-09-09</t>
        </is>
      </c>
      <c r="W30" s="3" t="n"/>
      <c r="X30" s="3" t="n"/>
      <c r="Y30" s="3" t="inlineStr">
        <is>
          <t>NOTHING OPEN</t>
        </is>
      </c>
    </row>
    <row r="31" ht="60" customHeight="1">
      <c r="A31" s="3" t="inlineStr">
        <is>
          <t>MK-CF-F-029</t>
        </is>
      </c>
      <c r="B31" s="3" t="inlineStr">
        <is>
          <t>monthsToClear</t>
        </is>
      </c>
      <c r="C31" s="3" t="inlineStr">
        <is>
          <t>src/domain/debt/index.ts</t>
        </is>
      </c>
      <c r="D31" s="3" t="n">
        <v>345</v>
      </c>
      <c r="E31" s="3" t="inlineStr">
        <is>
          <t>2 · DISPLAYED</t>
        </is>
      </c>
      <c r="F31" s="3" t="inlineStr">
        <is>
          <t>How many months it takes to clear a balance at a given yearly rate and monthly payment, or never when the payment does not cover the interest.</t>
        </is>
      </c>
      <c r="G31" s="11" t="inlineStr">
        <is>
          <t>0   when principal ≤ 0
nothing   when payment ≤ 0
r = apr decimal ÷ 12
round up(principal ÷ payment)   when r ≤ 0
nothing   when payment ≤ principal × r
the answer = round up(math.log(payment ÷ (payment − principal × r)) ÷ math.log(1 + r))</t>
        </is>
      </c>
      <c r="H31" s="3" t="inlineStr">
        <is>
          <t>When principal is at most 0, it answers 0. When payment is at most 0, it answers no answer. R is apr decimal divided by 12. When r is at most 0, it answers principal divided by payment, rounded up. When payment is at most principal times r, it answers no answer. The answer is math.log(payment divided by (payment minus principal times r, rounded up) divided by math.log(1 plus r)).</t>
        </is>
      </c>
      <c r="I31" s="3" t="inlineStr">
        <is>
          <t>PARTLY READ — some of the code is still showing through; needs a hand pass</t>
        </is>
      </c>
      <c r="J31" s="3" t="inlineStr">
        <is>
          <t>1. principal: number
2. aprDecimal: number
3. payment: number</t>
        </is>
      </c>
      <c r="K31" s="3" t="inlineStr">
        <is>
          <t>number | null</t>
        </is>
      </c>
      <c r="L31" s="3" t="inlineStr">
        <is>
          <t>"You pay /month" — on a card used on more than one screen (DebtEditorSheet)</t>
        </is>
      </c>
      <c r="M31" s="3" t="inlineStr">
        <is>
          <t>None found in this function — anything it assumes comes from the functions it depends on.</t>
        </is>
      </c>
      <c r="N31" s="3" t="inlineStr">
        <is>
          <t>Yes</t>
        </is>
      </c>
      <c r="O31" s="3" t="inlineStr">
        <is>
          <t>—</t>
        </is>
      </c>
      <c r="P31" s="3" t="n">
        <v>0</v>
      </c>
      <c r="Q31" s="3" t="inlineStr">
        <is>
          <t>None — no dependent function stands behind it</t>
        </is>
      </c>
      <c r="R31" s="3" t="inlineStr">
        <is>
          <t>No dependent function — it reads its inputs and answers</t>
        </is>
      </c>
      <c r="S31" s="3" t="inlineStr">
        <is>
          <t>—</t>
        </is>
      </c>
      <c r="T31" s="3" t="inlineStr">
        <is>
          <t>—</t>
        </is>
      </c>
      <c r="U31" s="3" t="inlineStr">
        <is>
          <t>ACTIVE</t>
        </is>
      </c>
      <c r="V31" s="3" t="inlineStr">
        <is>
          <t>2026-08-27</t>
        </is>
      </c>
      <c r="W31" s="3" t="n"/>
      <c r="X31" s="3" t="n"/>
      <c r="Y31" s="3" t="inlineStr">
        <is>
          <t>NOTHING OPEN</t>
        </is>
      </c>
    </row>
    <row r="32" ht="60" customHeight="1">
      <c r="A32" s="3" t="inlineStr">
        <is>
          <t>MK-CF-F-030</t>
        </is>
      </c>
      <c r="B32" s="3" t="inlineStr">
        <is>
          <t>paymentToClearBy</t>
        </is>
      </c>
      <c r="C32" s="3" t="inlineStr">
        <is>
          <t>src/domain/debt/index.ts</t>
        </is>
      </c>
      <c r="D32" s="3" t="n">
        <v>374</v>
      </c>
      <c r="E32" s="3" t="inlineStr">
        <is>
          <t>2 · DISPLAYED</t>
        </is>
      </c>
      <c r="F32" s="3" t="inlineStr">
        <is>
          <t>Monthly payment that clears `principal` in `months` at decimal APR (amortization).</t>
        </is>
      </c>
      <c r="G32" s="11" t="inlineStr">
        <is>
          <t>0   when principal ≤ 0 (or months ≤ 0 when missing or zero)
r = apr decimal ÷ 12
monthly = (principal × r) ÷ (1 − math.pow(1 + r, -months))   if r &gt; 0
principal ÷ months   otherwise
the answer = round up(monthly × 100) ÷ 100</t>
        </is>
      </c>
      <c r="H32" s="3" t="inlineStr">
        <is>
          <t>When principal is at most 0 (or months is at most 0 — when missing or zero), it answers 0. R is apr decimal divided by 12. Monthly is (principal times r) divided by (1 minus math.pow(1 plus r, -months)) — when r &gt; 0; principal divided by months — otherwise. The answer is monthly times 100, rounded up divided by 100.</t>
        </is>
      </c>
      <c r="I32" s="3" t="inlineStr">
        <is>
          <t>PARTLY READ — some of the code is still showing through; needs a hand pass</t>
        </is>
      </c>
      <c r="J32" s="3" t="inlineStr">
        <is>
          <t>1. principal: number
2. aprDecimal: number
3. months: number</t>
        </is>
      </c>
      <c r="K32" s="3" t="inlineStr">
        <is>
          <t>number</t>
        </is>
      </c>
      <c r="L32" s="3" t="inlineStr">
        <is>
          <t>NOT FOUND — a screen calls it, but the words printed beside its answer could not be traced automatically. Needs reading.</t>
        </is>
      </c>
      <c r="M32" s="3" t="inlineStr">
        <is>
          <t>None found in this function — anything it assumes comes from the functions it depends on.</t>
        </is>
      </c>
      <c r="N32" s="3" t="inlineStr">
        <is>
          <t>Yes</t>
        </is>
      </c>
      <c r="O32" s="3" t="inlineStr">
        <is>
          <t>—</t>
        </is>
      </c>
      <c r="P32" s="3" t="n">
        <v>0</v>
      </c>
      <c r="Q32" s="3" t="inlineStr">
        <is>
          <t>None — no dependent function stands behind it</t>
        </is>
      </c>
      <c r="R32" s="3" t="inlineStr">
        <is>
          <t>No dependent function — it reads its inputs and answers</t>
        </is>
      </c>
      <c r="S32" s="3" t="inlineStr">
        <is>
          <t>—</t>
        </is>
      </c>
      <c r="T32" s="3" t="inlineStr">
        <is>
          <t>—</t>
        </is>
      </c>
      <c r="U32" s="3" t="inlineStr">
        <is>
          <t>ACTIVE</t>
        </is>
      </c>
      <c r="V32" s="3" t="inlineStr">
        <is>
          <t>2026-08-27</t>
        </is>
      </c>
      <c r="W32" s="3" t="n"/>
      <c r="X32" s="3" t="n"/>
      <c r="Y32" s="3" t="inlineStr">
        <is>
          <t>NOTHING OPEN</t>
        </is>
      </c>
    </row>
    <row r="33" ht="60" customHeight="1">
      <c r="A33" s="3" t="inlineStr">
        <is>
          <t>MK-CF-F-031</t>
        </is>
      </c>
      <c r="B33" s="3" t="inlineStr">
        <is>
          <t>creditUtilization</t>
        </is>
      </c>
      <c r="C33" s="3" t="inlineStr">
        <is>
          <t>src/domain/debt/index.ts</t>
        </is>
      </c>
      <c r="D33" s="3" t="n">
        <v>415</v>
      </c>
      <c r="E33" s="3" t="inlineStr">
        <is>
          <t>3 · DEPENDENT</t>
        </is>
      </c>
      <c r="F33" s="3" t="inlineStr">
        <is>
          <t>How much of a credit limit is in use, as a share, and whether that is good (30% or less), a caution (up to 50%) or high.</t>
        </is>
      </c>
      <c r="G33" s="11" t="inlineStr">
        <is>
          <t>ratio = balance ÷ limit   if limit &gt; 0
0   otherwise
status = 'good'   if ratio ≤ 0.30
'caution'   if ratio ≤ 0.50
'high'   otherwise   otherwise
the answer:
ratio = round(ratio, 3 dp)
status = status</t>
        </is>
      </c>
      <c r="H33" s="3" t="inlineStr">
        <is>
          <t>Ratio is balance divided by limit — when limit &gt; 0; 0 — otherwise. Status is 'good' — when ratio is at most 0.30; 'caution' — when ratio is at most 0.50; 'high' — otherwise — otherwise. The answer is ratio = ratio, to 3 decimal places; status = status.</t>
        </is>
      </c>
      <c r="I33" s="3" t="inlineStr">
        <is>
          <t>READ FROM THE CODE — rendered from the expressions the function runs</t>
        </is>
      </c>
      <c r="J33" s="3" t="inlineStr">
        <is>
          <t>1. balance: number
2. limit: number</t>
        </is>
      </c>
      <c r="K33" s="3" t="inlineStr">
        <is>
          <t>CreditUtil</t>
        </is>
      </c>
      <c r="L33" s="3" t="inlineStr">
        <is>
          <t>—</t>
        </is>
      </c>
      <c r="M33" s="3" t="inlineStr">
        <is>
          <t>· Rounds the answer to 3 decimal places.</t>
        </is>
      </c>
      <c r="N33" s="3" t="inlineStr">
        <is>
          <t>Yes</t>
        </is>
      </c>
      <c r="O33" s="3" t="inlineStr">
        <is>
          <t>—</t>
        </is>
      </c>
      <c r="P33" s="3" t="n">
        <v>0</v>
      </c>
      <c r="Q33" s="3" t="inlineStr">
        <is>
          <t>None — no dependent function stands behind it</t>
        </is>
      </c>
      <c r="R33" s="3" t="inlineStr">
        <is>
          <t>No dependent function — it reads its inputs and answers</t>
        </is>
      </c>
      <c r="S33" s="3" t="inlineStr">
        <is>
          <t>—</t>
        </is>
      </c>
      <c r="T33" s="3" t="inlineStr">
        <is>
          <t>—</t>
        </is>
      </c>
      <c r="U33" s="3" t="inlineStr">
        <is>
          <t>ACTIVE</t>
        </is>
      </c>
      <c r="V33" s="3" t="inlineStr">
        <is>
          <t>2026-09-28</t>
        </is>
      </c>
      <c r="W33" s="3" t="n"/>
      <c r="X33" s="3" t="n"/>
      <c r="Y33" s="3" t="inlineStr">
        <is>
          <t>NOTHING OPEN</t>
        </is>
      </c>
    </row>
    <row r="34" ht="60" customHeight="1">
      <c r="A34" s="3" t="inlineStr">
        <is>
          <t>MK-CF-F-032</t>
        </is>
      </c>
      <c r="B34" s="3" t="inlineStr">
        <is>
          <t>creditScoreBand</t>
        </is>
      </c>
      <c r="C34" s="3" t="inlineStr">
        <is>
          <t>src/domain/debt/index.ts</t>
        </is>
      </c>
      <c r="D34" s="3" t="n">
        <v>446</v>
      </c>
      <c r="E34" s="3" t="inlineStr">
        <is>
          <t>2 · DISPLAYED</t>
        </is>
      </c>
      <c r="F34" s="3" t="inlineStr">
        <is>
          <t>The word for a credit score: Excellent from 800, Very good from 740, Good from 670, Fair from 580 and Poor below that.</t>
        </is>
      </c>
      <c r="G34" s="11" t="inlineStr">
        <is>
          <t>label = 'Excellent'
good = true   when score ≥ 800
label = 'very good'
good = true   when score ≥ 740
label = 'Good'
good = true   when score ≥ 670
label = 'Fair'
good = false   when score ≥ 580
label = 'Poor'
good = false</t>
        </is>
      </c>
      <c r="H34" s="3" t="inlineStr">
        <is>
          <t>When score is at least 800, it answers label = 'Excellent'; good = true. When score is at least 740, it answers label = 'very good'; good = true. When score is at least 670, it answers label = 'Good'; good = true. When score is at least 580, it answers label = 'Fair'; good = false. label = 'Poor'; good = false.</t>
        </is>
      </c>
      <c r="I34" s="3" t="inlineStr">
        <is>
          <t>READ FROM THE CODE — rendered from the expressions the function runs</t>
        </is>
      </c>
      <c r="J34" s="3" t="inlineStr">
        <is>
          <t>score: number</t>
        </is>
      </c>
      <c r="K34" s="3" t="inlineStr">
        <is>
          <t>NOT DECLARED — the code does not say what it gives back</t>
        </is>
      </c>
      <c r="L34" s="3" t="inlineStr">
        <is>
          <t>"Your credit score (optional)" — on the Credit screen</t>
        </is>
      </c>
      <c r="M34" s="3" t="inlineStr">
        <is>
          <t>None found in this function — anything it assumes comes from the functions it depends on.</t>
        </is>
      </c>
      <c r="N34" s="3" t="inlineStr">
        <is>
          <t>Yes</t>
        </is>
      </c>
      <c r="O34" s="3" t="inlineStr">
        <is>
          <t>—</t>
        </is>
      </c>
      <c r="P34" s="3" t="n">
        <v>0</v>
      </c>
      <c r="Q34" s="3" t="inlineStr">
        <is>
          <t>None — no dependent function stands behind it</t>
        </is>
      </c>
      <c r="R34" s="3" t="inlineStr">
        <is>
          <t>No dependent function — it reads its inputs and answers</t>
        </is>
      </c>
      <c r="S34" s="3" t="inlineStr">
        <is>
          <t>—</t>
        </is>
      </c>
      <c r="T34" s="3" t="inlineStr">
        <is>
          <t>—</t>
        </is>
      </c>
      <c r="U34" s="3" t="inlineStr">
        <is>
          <t>ACTIVE</t>
        </is>
      </c>
      <c r="V34" s="3" t="inlineStr">
        <is>
          <t>2026-08-27</t>
        </is>
      </c>
      <c r="W34" s="3" t="n"/>
      <c r="X34" s="3" t="n"/>
      <c r="Y34" s="3" t="inlineStr">
        <is>
          <t>NOTHING OPEN</t>
        </is>
      </c>
    </row>
    <row r="35" ht="60" customHeight="1">
      <c r="A35" s="3" t="inlineStr">
        <is>
          <t>MK-CF-F-033</t>
        </is>
      </c>
      <c r="B35" s="3" t="inlineStr">
        <is>
          <t>debtToIncome</t>
        </is>
      </c>
      <c r="C35" s="3" t="inlineStr">
        <is>
          <t>src/domain/debt/index.ts</t>
        </is>
      </c>
      <c r="D35" s="3" t="n">
        <v>488</v>
      </c>
      <c r="E35" s="3" t="inlineStr">
        <is>
          <t>2 · DISPLAYED</t>
        </is>
      </c>
      <c r="F35" s="3" t="inlineStr">
        <is>
          <t>Monthly debt payments as a share of gross monthly income, judged against a guideline of 36% for a homeowner and 20% for anyone else.</t>
        </is>
      </c>
      <c r="G35" s="11" t="inlineStr">
        <is>
          <t>ratio = monthly debt ÷ gross monthly   if gross monthly &gt; 0
0   otherwise
guideline = 0.36   if homeowner
0.20   otherwise
status = 'good'   if ratio ≤ guideline
'caution'   if ratio ≤ guideline × 1.4
'high'   otherwise   otherwise
the answer:
ratio = round(ratio, 3 dp)
monthly debt = monthly debt
gross monthly = gross monthly
guideline = guideline
status = status</t>
        </is>
      </c>
      <c r="H35" s="3" t="inlineStr">
        <is>
          <t>Ratio is monthly debt divided by gross monthly — when gross monthly &gt; 0; 0 — otherwise. Guideline is 0.36 — when homeowner; 0.20 — otherwise. Status is 'good' — when ratio is at most guideline; 'caution' — when ratio is at most guideline times 1.4; 'high' — otherwise — otherwise. The answer is ratio = ratio, to 3 decimal places; monthly debt = monthly debt; gross monthly = gross monthly; guideline = guideline; status = status.</t>
        </is>
      </c>
      <c r="I35" s="3" t="inlineStr">
        <is>
          <t>READ FROM THE CODE — rendered from the expressions the function runs</t>
        </is>
      </c>
      <c r="J35" s="3" t="inlineStr">
        <is>
          <t>1. monthlyDebt: number
2. grossMonthly: number
3. homeowner = false</t>
        </is>
      </c>
      <c r="K35" s="3" t="inlineStr">
        <is>
          <t>DTI</t>
        </is>
      </c>
      <c r="L35" s="3" t="inlineStr">
        <is>
          <t>"DEBT-TO-INCOME" — on the Goals screen, under "DEBT-TO-INCOME"</t>
        </is>
      </c>
      <c r="M35" s="3" t="inlineStr">
        <is>
          <t>· Rounds the answer to 3 decimal places.</t>
        </is>
      </c>
      <c r="N35" s="3" t="inlineStr">
        <is>
          <t>Yes</t>
        </is>
      </c>
      <c r="O35" s="3" t="inlineStr">
        <is>
          <t>—</t>
        </is>
      </c>
      <c r="P35" s="3" t="n">
        <v>0</v>
      </c>
      <c r="Q35" s="3" t="inlineStr">
        <is>
          <t>None — no dependent function stands behind it</t>
        </is>
      </c>
      <c r="R35" s="3" t="inlineStr">
        <is>
          <t>No dependent function — it reads its inputs and answers</t>
        </is>
      </c>
      <c r="S35" s="3" t="inlineStr">
        <is>
          <t>—</t>
        </is>
      </c>
      <c r="T35" s="3" t="inlineStr">
        <is>
          <t>—</t>
        </is>
      </c>
      <c r="U35" s="3" t="inlineStr">
        <is>
          <t>ACTIVE</t>
        </is>
      </c>
      <c r="V35" s="3" t="inlineStr">
        <is>
          <t>2026-09-09</t>
        </is>
      </c>
      <c r="W35" s="3" t="n"/>
      <c r="X35" s="3" t="n"/>
      <c r="Y35" s="3" t="inlineStr">
        <is>
          <t>NOTHING OPEN</t>
        </is>
      </c>
    </row>
    <row r="36" ht="60" customHeight="1">
      <c r="A36" s="3" t="inlineStr">
        <is>
          <t>MK-CF-F-034</t>
        </is>
      </c>
      <c r="B36" s="3" t="inlineStr">
        <is>
          <t>payoffPlan</t>
        </is>
      </c>
      <c r="C36" s="3" t="inlineStr">
        <is>
          <t>src/domain/debt/index.ts</t>
        </is>
      </c>
      <c r="D36" s="3" t="n">
        <v>542</v>
      </c>
      <c r="E36" s="3" t="inlineStr">
        <is>
          <t>2 · DISPLAYED</t>
        </is>
      </c>
      <c r="F36" s="3" t="inlineStr">
        <is>
          <t>Simulate paying off debts with a constant monthly budget (sum of minimums + extra), rolling each cleared debt's freed-up payment into the next per the chosen method.</t>
        </is>
      </c>
      <c r="G36" s="11" t="inlineStr">
        <is>
          <t>each month:  balance ← balance + balance × rate ÷ 12
             pay each debt its minimum, once its first payment month has arrived
             pay everything left over to ONE debt — highest rate (avalanche)
                                              or smallest balance (snowball)
             a debt clears when its balance falls to a cent or less, and its payment
                 rolls into the budget for the next one
stops at 600 months and reports "never pays off"</t>
        </is>
      </c>
      <c r="H36" s="3" t="inlineStr">
        <is>
          <t>Rolls every debt forward a month at a time on one constant budget. Interest is charged before anything is paid. Debts due in full as a lump are taken out of this and settled in their own month. A loan whose first payment has not arrived still accrues interest but is not paid. The roll-over of a cleared debt's payment into the next is what makes the answer right, and none of this is in the master file — finding A43.</t>
        </is>
      </c>
      <c r="I36" s="3" t="inlineStr">
        <is>
          <t>READ BY HAND 2026-08-26 — checked line by line against the code</t>
        </is>
      </c>
      <c r="J36" s="3" t="inlineStr">
        <is>
          <t>1. debts: Debt[]
2. extraMonthly: number
3. method: PayoffMethod = 'avalanche'
4. now: Date = new Date()</t>
        </is>
      </c>
      <c r="K36" s="3" t="inlineStr">
        <is>
          <t>PayoffResult</t>
        </is>
      </c>
      <c r="L36" s="3" t="inlineStr">
        <is>
          <t>1. "Add any loans or credit cards to plan your payoff." — on the budget screen, under "YOUR DEBTS"
2. "Extra / month (beyond minimums)" — on the Goals screen, under "DEBT PAYOFF PLAN"
3. "Extra / month" — on the budget screen, under "YOUR DEBT"
4. "Income (take-home)" — on the budget screen
5. "No budget yet" — on the budget screen
6. "Payoff plan" — on the budget screen, under "YOUR DEBT"</t>
        </is>
      </c>
      <c r="M36" s="3" t="inlineStr">
        <is>
          <t>1. Uses a built-in month of 0.
2. Turns a monthly figure into a year by multiplying by twelve.
3. Uses today's date from the device clock, so the answer changes by itself overnight.
4. Never lets extra monthly fall below 0.</t>
        </is>
      </c>
      <c r="N36" s="3" t="inlineStr">
        <is>
          <t>Yes</t>
        </is>
      </c>
      <c r="O36" s="3" t="inlineStr">
        <is>
          <t>1. MK-CF-F-132 map
2. MK-CF-F-022 paymentShape</t>
        </is>
      </c>
      <c r="P36" s="3" t="n">
        <v>3</v>
      </c>
      <c r="Q36" s="3" t="inlineStr">
        <is>
          <t>1. MK-CF-F-132 map
2. MK-CF-F-022 paymentShape
3. MK-CF-F-021 defaultPaymentType</t>
        </is>
      </c>
      <c r="R36" s="3" t="inlineStr">
        <is>
          <t>1. MK-CF-F-132 map → MK-CF-F-034 payoffPlan
2. MK-CF-F-021 defaultPaymentType → MK-CF-F-022 paymentShape → MK-CF-F-034 payoffPlan</t>
        </is>
      </c>
      <c r="S36" s="3" t="inlineStr">
        <is>
          <t>MK-PL-M-031</t>
        </is>
      </c>
      <c r="T36" s="3" t="inlineStr">
        <is>
          <t>—</t>
        </is>
      </c>
      <c r="U36" s="3" t="inlineStr">
        <is>
          <t>ACTIVE</t>
        </is>
      </c>
      <c r="V36" s="3" t="inlineStr">
        <is>
          <t>2026-08-27</t>
        </is>
      </c>
      <c r="W36" s="3" t="n"/>
      <c r="X36" s="3" t="n"/>
      <c r="Y36" s="3" t="inlineStr">
        <is>
          <t>NOTHING OPEN</t>
        </is>
      </c>
    </row>
    <row r="37" ht="45" customHeight="1">
      <c r="A37" s="3" t="inlineStr">
        <is>
          <t>MK-CF-F-035</t>
        </is>
      </c>
      <c r="B37" s="3" t="inlineStr">
        <is>
          <t>debtKind</t>
        </is>
      </c>
      <c r="C37" s="3" t="inlineStr">
        <is>
          <t>src/domain/debt/index.ts</t>
        </is>
      </c>
      <c r="D37" s="3" t="n">
        <v>617</v>
      </c>
      <c r="E37" s="3" t="inlineStr">
        <is>
          <t>2 · DISPLAYED</t>
        </is>
      </c>
      <c r="F37" s="3" t="inlineStr">
        <is>
          <t>What do we know about this kind of debt?</t>
        </is>
      </c>
      <c r="G37" s="11" t="inlineStr">
        <is>
          <t>id = id); }</t>
        </is>
      </c>
      <c r="H37" s="3" t="inlineStr">
        <is>
          <t>id = id); }</t>
        </is>
      </c>
      <c r="I37" s="3" t="inlineStr">
        <is>
          <t>READ FROM THE CODE — rendered from the expressions the function runs</t>
        </is>
      </c>
      <c r="J37" s="3" t="inlineStr">
        <is>
          <t>id?: string</t>
        </is>
      </c>
      <c r="K37" s="3" t="inlineStr">
        <is>
          <t>NOT DECLARED — the code does not say what it gives back</t>
        </is>
      </c>
      <c r="L37" s="3" t="inlineStr">
        <is>
          <t>"Add a debt →" — on the Net worth screen, under "💳  DEBTS"</t>
        </is>
      </c>
      <c r="M37" s="3" t="inlineStr">
        <is>
          <t>· Uses a built-in t o x i c a p r of 7%.</t>
        </is>
      </c>
      <c r="N37" s="3" t="inlineStr">
        <is>
          <t>Yes</t>
        </is>
      </c>
      <c r="O37" s="3" t="inlineStr">
        <is>
          <t>—</t>
        </is>
      </c>
      <c r="P37" s="3" t="n">
        <v>0</v>
      </c>
      <c r="Q37" s="3" t="inlineStr">
        <is>
          <t>None — no dependent function stands behind it</t>
        </is>
      </c>
      <c r="R37" s="3" t="inlineStr">
        <is>
          <t>No dependent function — it reads its inputs and answers</t>
        </is>
      </c>
      <c r="S37" s="3" t="inlineStr">
        <is>
          <t>—</t>
        </is>
      </c>
      <c r="T37" s="3" t="inlineStr">
        <is>
          <t>DEBT_TYPE_FACTS</t>
        </is>
      </c>
      <c r="U37" s="3" t="inlineStr">
        <is>
          <t>ACTIVE</t>
        </is>
      </c>
      <c r="V37" s="3" t="inlineStr">
        <is>
          <t>2026-08-27</t>
        </is>
      </c>
      <c r="W37" s="3" t="n"/>
      <c r="X37" s="3" t="n"/>
      <c r="Y37" s="3" t="inlineStr">
        <is>
          <t>NOTHING OPEN</t>
        </is>
      </c>
    </row>
    <row r="38" ht="60" customHeight="1">
      <c r="A38" s="3" t="inlineStr">
        <is>
          <t>MK-CF-F-036</t>
        </is>
      </c>
      <c r="B38" s="3" t="inlineStr">
        <is>
          <t>buildDebtState</t>
        </is>
      </c>
      <c r="C38" s="3" t="inlineStr">
        <is>
          <t>src/domain/debt/index.ts</t>
        </is>
      </c>
      <c r="D38" s="3" t="n">
        <v>660</v>
      </c>
      <c r="E38" s="3" t="inlineStr">
        <is>
          <t>2 · DISPLAYED</t>
        </is>
      </c>
      <c r="F38" s="3" t="inlineStr">
        <is>
          <t>What is the whole debt picture?</t>
        </is>
      </c>
      <c r="G38" s="11" t="inlineStr">
        <is>
          <t>total debt balance = round(Σ over every debt of (remaining balance), 2 dp)
toxic debt         = round(Σ over debts where rate &gt; 10% of (remaining balance), 2 dp)
highest rate debt  = the debt with the largest rate</t>
        </is>
      </c>
      <c r="H38" s="3" t="inlineStr">
        <is>
          <t>Adds up what is still owed on every debt, in full and as of today — no interest accrued since the balance was set, no maturity, no distinction between a mortgage and a card. Separately totals the debts above the toxic rate, and names the single most expensive one.</t>
        </is>
      </c>
      <c r="I38" s="3" t="inlineStr">
        <is>
          <t>READ BY HAND 2026-08-26 — checked line by line against the code</t>
        </is>
      </c>
      <c r="J38" s="3" t="inlineStr">
        <is>
          <t>1. uid: UserId
2. debts: Debt[]</t>
        </is>
      </c>
      <c r="K38" s="3" t="inlineStr">
        <is>
          <t>DebtState</t>
        </is>
      </c>
      <c r="L38" s="3" t="inlineStr">
        <is>
          <t>"DEBTS" — on the Net worth screen, under "DEBTS"</t>
        </is>
      </c>
      <c r="M38" s="3" t="inlineStr">
        <is>
          <t>None found in this function — anything it assumes comes from the functions it depends on.</t>
        </is>
      </c>
      <c r="N38" s="3" t="inlineStr">
        <is>
          <t>Yes</t>
        </is>
      </c>
      <c r="O38" s="3" t="inlineStr">
        <is>
          <t>1. MK-CF-F-026 actualDebtPayment
2. MK-CF-F-204 line
3. MK-CF-F-025 minimumDebtService
4. MK-XS-F-175 uid</t>
        </is>
      </c>
      <c r="P38" s="3" t="n">
        <v>179</v>
      </c>
      <c r="Q38" s="3" t="inlineStr">
        <is>
          <t>1. MK-CF-F-026 actualDebtPayment
2. MK-CF-F-204 line
3. MK-CF-F-025 minimumDebtService
4. MK-XS-F-175 uid
5. MK-CF-F-024 totalDebtMonthly
6. MK-CF-F-203 MONTH
7. MK-XS-F-180 declareFigures
8. MK-CF-F-022 paymentShape
9. MK-ST-F-027 accountId
10. MK-CF-F-111 applyTransaction
11. MK-NW-F-040 assetsFromOnboarding
12. MK-PF-F-013 benchmarkTicker
13. MK-ST-F-028 buildDayFromAccounts
14. MK-PF-F-034 closeOnOrBefore
15. MK-CF-F-186 convertTakeHomeMode
16. MK-ST-F-079 dailyWindowStart
17. MK-CF-F-038 debtsFromOnboarding
18. MK-XS-F-083 fetchPriceSeries
19. MK-PL-F-013 goalsFromOnboarding
20. MK-ST-F-056 has
21. MK-CF-F-116 inverseOf
22. MK-ST-F-065 isoLocalDate
23. MK-CF-F-112 makeTransaction
24. MK-CF-F-132 map
25. MK-XS-F-122 n
26. MK-ST-F-043 newEntityId
27. MK-XS-F-006 pruneDaily
28. MK-ST-F-073 rebuildDays
29. MK-NW-F-054 reclassifyAccounts
30. MK-XS-F-174 recomputeBalances
31. MK-CF-F-115 restoreUndo
32. MK-CF-F-109 reviewTransactions
33. MK-ST-F-044 setMoneyFormat
34. MK-CF-F-114 undoSnapshot
35. MK-CF-F-191 ym
36. MK-CF-F-201 INCOME
37. MK-CF-F-023 requiredPayment
38. MK-CF-O-010 theMonth
39. MK-CF-F-021 defaultPaymentType
40. MK-CF-F-138 addLot
41. MK-CF-F-136 bumpCash
42. MK-CF-F-137 findPos
43. MK-CF-F-139 removeShares
44. MK-PF-F-001 totalShares
45. MK-ST-F-052 toNum
46. MK-ST-F-053 money
47. MK-CF-F-085 filingStatusOf
48. MK-CF-F-097 grossFromNet
49. MK-CF-F-185 needsTakeHomeConversion
50. MK-CF-F-089 over65CountOf
51. MK-CF-F-037 inferDebtType
52. MK-ST-F-069 amountOf
53. MK-CF-F-133 cashOf
54. MK-ST-F-066 isDayKey
55. MK-ST-F-070 isOpening
56. MK-ST-F-071 rebuildableFrom
57. MK-ST-F-068 stepDay
58. MK-ST-F-072 undo
59. MK-NW-F-053 correctClassOf
60. MK-NW-F-008 incomeBearingClassOf
61. MK-PF-F-002 costBasis
62. MK-PF-F-009 latestClose
63. MK-PF-F-004 marketValue
64. MK-ST-F-030 record
65. MK-XS-F-024 resolveLens
66. MK-ST-F-055 round2
67. MK-CF-F-162 daysApart
68. MK-CF-F-108 isMoneyOut
69. MK-PL-F-074 median
70. MK-CF-F-131 normPayee
71. MK-CF-F-113 affectedAccountIds
72. MK-CF-F-207 SOURCE
73. MK-CF-O-004 incomeSummary
74. MK-CF-F-155 cash
75. MK-CF-O-002 expenses
76. MK-CF-O-003 thisMonth
77. MK-CF-F-134 usesSleeve
78. MK-ST-F-049 formatMoney
79. MK-CF-F-101 taxOwedFor
80. MK-ST-F-067 utcOfDay
81. MK-ST-F-035 covers
82. MK-NW-F-009 maturityClass
83. MK-ST-F-010 nameEvidence
84. MK-PF-F-031 contractMultiplier
85. MK-CF-F-072 currentRetirementIncomeMonthly
86. MK-CF-O-016 incomeSources
87. MK-CF-O-001 basePay
88. MK-CF-F-069 benefitActiveMonths
89. MK-CF-F-173 earnerWages
90. MK-CF-F-179 entryFromWage
91. MK-CF-F-071 extraIncome
92. MK-CF-F-092 incomeMonthlyGrid
93. MK-CF-F-192 inflowLabel
94. MK-CF-F-103 marginalBracketFor
95. MK-CF-F-181 rateInForce
96. MK-CF-F-068 rentalNetAnnual
97. MK-CF-F-082 salaryAnnual
98. MK-CF-F-060 salaryGrossByMonth
99. MK-CF-F-084 taxableAnnual
100. MK-CF-F-151 actualSpending
101. MK-CF-F-150 debtPaymentsCountedAsExpenses
102. MK-CF-F-153 radar
103. MK-CF-F-149 recurringDebtPayments
104. MK-CF-F-005 actualMonthFlow
105. MK-CF-F-156 plannedMonthFlow
106. MK-ST-F-048 currencySymbol
107. MK-ST-F-039 on
108. MK-CF-F-100 taxableIncomeFor
109. MK-ST-F-034 firstDate
110. MK-XS-F-147 call
111. MK-CF-F-075 retirementIncomeMonthly
112. MK-CF-F-066 rsuAnnual
113. MK-CF-F-171 earnerPay
114. MK-HM-F-006 money0
115. MK-CF-F-198 payrollTaxWithheld
116. MK-CF-F-172 hasWage
117. MK-CF-F-165 salaryMonths
118. MK-CF-F-070 benefitAnnual
119. MK-CF-F-065 equityVestWeights
120. MK-CF-F-206 householdK401ByMonth
121. MK-CF-F-087 monthlyTaxRates
122. MK-CF-F-073 otherIncomeMonth
123. MK-CF-F-077 scholarshipByCalendarMonth
124. MK-CF-F-088 taxableByCalendarMonth
125. MK-CF-F-177 wageGrossByMonth
126. MK-PL-F-012 waterfall
127. MK-CF-F-193 inflowSourceWord
128. MK-CF-F-180 enteredLandsAnnual
129. MK-CF-F-086 stateRateOf
130. MK-CF-F-067 rentalList
131. MK-CF-F-176 sumMonthsOverEarners
132. MK-CF-F-074 tipsAnnual
133. MK-CF-F-148 inMonth
134. MK-CF-F-152 isRadarItem
135. MK-NW-F-078 ONE
136. MK-CF-F-157 debtPaymentsByDebt
137. MK-XS-F-027 takeHomeMonthly
138. MK-ST-F-047 activeCurrency
139. MK-CF-F-099 deductionFor
140. MK-XS-F-064 currentIdToken
141. MK-XS-F-112 relayUrl
142. MK-CF-F-062 equityRowValue
143. MK-CF-F-063 rowVestYear
144. MK-CF-F-143 annualisedGross
145. MK-CF-F-145 deductionsFromPay
146. MK-CF-F-128 grossByMonth
147. MK-CF-F-146 payFiguresAgree
148. MK-CF-F-144 takeHomeAsEntered
149. MK-HM-F-005 pctTxt
150. MK-CF-F-090 effectiveRate
151. MK-CF-F-130 enteredMonthlyRaw
152. MK-CF-F-166 hasMonthlySalaryTable
153. MK-ST-F-036 reconcile
154. MK-CF-F-167 salaryCalendarYear
155. MK-CF-F-081 salaryActiveMonths
156. MK-NW-F-077 ALL
157. MK-NW-F-059 currentYield
158. MK-NW-O-001 theBonds
159. MK-CF-F-011 savingsByMonth
160. MK-CF-F-187 seniorDeductionFor
161. MK-CF-F-142 monthsOf
162. MK-CF-F-141 perMonth
163. MK-NW-F-057 annualCoupon
164. MK-NW-F-056 bondInfo
165. MK-NW-F-064 bondRateSensitivity
166. MK-NW-F-061 bondSummary
167. MK-NW-F-055 isBond
168. MK-NW-F-072 rowOf
169. MK-CF-F-008 spendByMonth
170. MK-CF-F-140 periodsAYear
171. MK-NW-F-060 approxYTM
172. MK-NW-F-069 priceAtYield
173. MK-NW-F-011 assetClassOf
174. MK-NW-F-070 accruedInterestCaveat
175. MK-NW-F-071 isCertificateOfDeposit
176. MK-NW-F-058 yearsToMaturity
177. MK-CF-F-120 pctBaseMonthly
178. MK-CF-F-004 spendBuckets
179. MK-CF-F-003 categoryMonthly</t>
        </is>
      </c>
      <c r="R38" s="3" t="inlineStr">
        <is>
          <t>1. MK-CF-O-016 incomeSources → MK-CF-F-207 SOURCE → MK-CF-F-201 INCOME → MK-CF-F-024 totalDebtMonthly → MK-CF-F-026 actualDebtPayment → MK-CF-F-036 buildDebtState
2. MK-CF-F-203 MONTH → MK-CF-O-004 incomeSummary → MK-CF-F-201 INCOME → MK-CF-F-024 totalDebtMonthly → MK-CF-F-026 actualDebtPayment → MK-CF-F-036 buildDebtState
3. MK-CF-O-001 basePay → MK-CF-O-004 incomeSummary → MK-CF-F-201 INCOME → MK-CF-F-024 totalDebtMonthly → MK-CF-F-026 actualDebtPayment → MK-CF-F-036 buildDebtState
4. MK-CF-F-069 benefitActiveMonths → MK-CF-O-004 incomeSummary → MK-CF-F-201 INCOME → MK-CF-F-024 totalDebtMonthly → MK-CF-F-026 actualDebtPayment → MK-CF-F-036 buildDebtState
5. MK-CF-F-072 currentRetirementIncomeMonthly → MK-CF-O-004 incomeSummary → MK-CF-F-201 INCOME → MK-CF-F-024 totalDebtMonthly → MK-CF-F-026 actualDebtPayment → MK-CF-F-036 buildDebtState
6. MK-CF-F-173 earnerWages → MK-CF-O-004 incomeSummary → MK-CF-F-201 INCOME → MK-CF-F-024 totalDebtMonthly → MK-CF-F-026 actualDebtPayment → MK-CF-F-036 buildDebtState
7. MK-CF-F-179 entryFromWage → MK-CF-O-004 incomeSummary → MK-CF-F-201 INCOME → MK-CF-F-024 totalDebtMonthly → MK-CF-F-026 actualDebtPayment → MK-CF-F-036 buildDebtState
8. MK-CF-F-071 extraIncome → MK-CF-O-004 incomeSummary → MK-CF-F-201 INCOME → MK-CF-F-024 totalDebtMonthly → MK-CF-F-026 actualDebtPayment → MK-CF-F-036 buildDebtState
9. … and 5 more paths</t>
        </is>
      </c>
      <c r="S38" s="3" t="inlineStr">
        <is>
          <t>—</t>
        </is>
      </c>
      <c r="T38" s="3" t="inlineStr">
        <is>
          <t>DEBT_PICTURE</t>
        </is>
      </c>
      <c r="U38" s="3" t="inlineStr">
        <is>
          <t>ACTIVE</t>
        </is>
      </c>
      <c r="V38" s="3" t="inlineStr">
        <is>
          <t>2026-08-27</t>
        </is>
      </c>
      <c r="W38" s="3" t="n"/>
      <c r="X38" s="3" t="n"/>
      <c r="Y38" s="3" t="inlineStr">
        <is>
          <t>NOTHING OPEN</t>
        </is>
      </c>
    </row>
    <row r="39" ht="60" customHeight="1">
      <c r="A39" s="3" t="inlineStr">
        <is>
          <t>MK-CF-F-037</t>
        </is>
      </c>
      <c r="B39" s="3" t="inlineStr">
        <is>
          <t>inferDebtType</t>
        </is>
      </c>
      <c r="C39" s="3" t="inlineStr">
        <is>
          <t>src/domain/debt/index.ts</t>
        </is>
      </c>
      <c r="D39" s="3" t="n">
        <v>711</v>
      </c>
      <c r="E39" s="3" t="inlineStr">
        <is>
          <t>3 · DEPENDENT</t>
        </is>
      </c>
      <c r="F39" s="3" t="inlineStr">
        <is>
          <t>The kind of debt, judged from its name: a home-equity credit line, a mortgage, a car loan, a student loan, a credit card, a medical debt, a personal loan or something else.</t>
        </is>
      </c>
      <c r="G39" s="11" t="inlineStr">
        <is>
          <t>s = (label ?? '').to lower case()
'HELOC'   when ÷ heloc|home\s × equity ÷ .test(s)
'MORTGAGE'   when ÷ mortgage|home\s × loan ÷ .test(s)
'AUTO'   when ÷ auto|car\s × loan|vehicle ÷ .test(s)
'STUDENT_LOAN'   when ÷ student|tuition ÷ .test(s)
'CREDIT_CARD'   when ÷ credit\s × card|visa|mastercard|amex ÷ .test(s)
'MEDICAL'   when ÷ medical|hospital|dental ÷ .test(s)
'PERSONAL'   when ÷ personal ÷ .test(s)
the answer = 'OTHER'</t>
        </is>
      </c>
      <c r="H39" s="3" t="inlineStr">
        <is>
          <t>S is (label ?? '').to lower case(). When ÷ heloc|home\s times equity divided by .test(s), it answers 'HELOC'. When ÷ mortgage|home\s times loan divided by .test(s), it answers 'MORTGAGE'. When ÷ auto|car\s times loan|vehicle divided by .test(s), it answers 'AUTO'. When ÷ student|tuition divided by .test(s), it answers 'STUDENT_LOAN'. When ÷ credit\s times card|visa|mastercard|amex divided by .test(s), it answers 'CREDIT_CARD'. When ÷ medical|hospital|dental divided by .test(s), it answers 'MEDICAL'. When ÷ personal divided by .test(s), it answers 'PERSONAL'. The answer is 'OTHER'.</t>
        </is>
      </c>
      <c r="I39" s="3" t="inlineStr">
        <is>
          <t>PARTLY READ — some of the code is still showing through; needs a hand pass</t>
        </is>
      </c>
      <c r="J39" s="3" t="inlineStr">
        <is>
          <t>label: string | undefined</t>
        </is>
      </c>
      <c r="K39" s="3" t="inlineStr">
        <is>
          <t>DebtType</t>
        </is>
      </c>
      <c r="L39" s="3" t="inlineStr">
        <is>
          <t>—</t>
        </is>
      </c>
      <c r="M39" s="3" t="inlineStr">
        <is>
          <t>None found in this function — anything it assumes comes from the functions it depends on.</t>
        </is>
      </c>
      <c r="N39" s="3" t="inlineStr">
        <is>
          <t>Yes</t>
        </is>
      </c>
      <c r="O39" s="3" t="inlineStr">
        <is>
          <t>—</t>
        </is>
      </c>
      <c r="P39" s="3" t="n">
        <v>0</v>
      </c>
      <c r="Q39" s="3" t="inlineStr">
        <is>
          <t>None — no dependent function stands behind it</t>
        </is>
      </c>
      <c r="R39" s="3" t="inlineStr">
        <is>
          <t>No dependent function — it reads its inputs and answers</t>
        </is>
      </c>
      <c r="S39" s="3" t="inlineStr">
        <is>
          <t>—</t>
        </is>
      </c>
      <c r="T39" s="3" t="inlineStr">
        <is>
          <t>DEBT_TYPE_FROM_NAME</t>
        </is>
      </c>
      <c r="U39" s="3" t="inlineStr">
        <is>
          <t>ACTIVE</t>
        </is>
      </c>
      <c r="V39" s="3" t="inlineStr">
        <is>
          <t>2026-08-27</t>
        </is>
      </c>
      <c r="W39" s="3" t="n"/>
      <c r="X39" s="3" t="n"/>
      <c r="Y39" s="3" t="inlineStr">
        <is>
          <t>NOTHING OPEN</t>
        </is>
      </c>
    </row>
    <row r="40" ht="60" customHeight="1">
      <c r="A40" s="3" t="inlineStr">
        <is>
          <t>MK-CF-F-038</t>
        </is>
      </c>
      <c r="B40" s="3" t="inlineStr">
        <is>
          <t>debtsFromOnboarding</t>
        </is>
      </c>
      <c r="C40" s="3" t="inlineStr">
        <is>
          <t>src/domain/debt/index.ts</t>
        </is>
      </c>
      <c r="D40" s="3" t="n">
        <v>760</v>
      </c>
      <c r="E40" s="3" t="inlineStr">
        <is>
          <t>3 · DEPENDENT</t>
        </is>
      </c>
      <c r="F40" s="3" t="inlineStr">
        <is>
          <t>What debts should exist from the setup answers?</t>
        </is>
      </c>
      <c r="G40" s="11" t="inlineStr">
        <is>
          <t>a = op (or none when missing)
debts = []
bal = debt balance read as a number (0 when it is not one)
label = debt name (or 'Debt' when missing) (or 'Debt' when missing or zero)
the answer:
user id = uid
debts = debts</t>
        </is>
      </c>
      <c r="H40" s="3" t="inlineStr">
        <is>
          <t>A is op (or none — when missing). Debts is []. Bal is debt balance read as a number (0 — when it is one is missing). Label is debt name (or 'Debt' — when missing) (or 'Debt' — when missing or zero). The answer is user id = uid; debts = debts.</t>
        </is>
      </c>
      <c r="I40" s="3" t="inlineStr">
        <is>
          <t>READ FROM THE CODE — rendered from the expressions the function runs</t>
        </is>
      </c>
      <c r="J40" s="3" t="inlineStr">
        <is>
          <t>1. uid: UserId
2. op: Record&lt;string, any&gt; | null</t>
        </is>
      </c>
      <c r="K40" s="3" t="inlineStr">
        <is>
          <t>DebtDoc</t>
        </is>
      </c>
      <c r="L40" s="3" t="inlineStr">
        <is>
          <t>—</t>
        </is>
      </c>
      <c r="M40" s="3" t="inlineStr">
        <is>
          <t>None found in this function — anything it assumes comes from the functions it depends on.</t>
        </is>
      </c>
      <c r="N40" s="3" t="inlineStr">
        <is>
          <t>Yes</t>
        </is>
      </c>
      <c r="O40" s="3" t="inlineStr">
        <is>
          <t>1. MK-CF-F-037 inferDebtType
2. MK-ST-F-043 newEntityId
3. MK-ST-F-052 toNum
4. MK-XS-F-175 uid</t>
        </is>
      </c>
      <c r="P40" s="3" t="n">
        <v>80</v>
      </c>
      <c r="Q40" s="3" t="inlineStr">
        <is>
          <t>1. MK-CF-F-037 inferDebtType
2. MK-ST-F-043 newEntityId
3. MK-ST-F-052 toNum
4. MK-XS-F-175 uid
5. MK-XS-F-122 n
6. MK-ST-F-027 accountId
7. MK-CF-F-111 applyTransaction
8. MK-NW-F-040 assetsFromOnboarding
9. MK-PF-F-013 benchmarkTicker
10. MK-ST-F-028 buildDayFromAccounts
11. MK-PF-F-034 closeOnOrBefore
12. MK-CF-F-186 convertTakeHomeMode
13. MK-ST-F-079 dailyWindowStart
14. MK-XS-F-083 fetchPriceSeries
15. MK-PL-F-013 goalsFromOnboarding
16. MK-ST-F-056 has
17. MK-CF-F-116 inverseOf
18. MK-ST-F-065 isoLocalDate
19. MK-CF-F-112 makeTransaction
20. MK-CF-F-132 map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MK-ST-F-053 money
36. MK-CF-F-085 filingStatusOf
37. MK-CF-F-097 grossFromNet
38. MK-CF-F-185 needsTakeHomeConversion
39. MK-CF-F-089 over65CountOf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is>
      </c>
      <c r="R40" s="3" t="inlineStr">
        <is>
          <t>1. MK-CF-F-037 inferDebtType → MK-CF-F-038 debtsFromOnboarding
2. MK-ST-F-043 newEntityId → MK-CF-F-038 debtsFromOnboarding
3. MK-XS-F-122 n → MK-ST-F-052 toNum → MK-CF-F-038 debtsFromOnboarding
4. MK-ST-F-027 accountId → MK-XS-F-175 uid → MK-CF-F-038 debtsFromOnboarding
5. MK-CF-F-137 findPos → MK-CF-F-138 addLot → MK-CF-F-111 applyTransaction → MK-XS-F-175 uid → MK-CF-F-038 debtsFromOnboarding
6. MK-CF-F-132 map → MK-CF-F-138 addLot → MK-CF-F-111 applyTransaction → MK-XS-F-175 uid → MK-CF-F-038 debtsFromOnboarding
7. MK-ST-F-043 newEntityId → MK-CF-F-138 addLot → MK-CF-F-111 applyTransaction → MK-XS-F-175 uid → MK-CF-F-038 debtsFromOnboarding
8. MK-CF-F-134 usesSleeve → MK-CF-F-136 bumpCash → MK-CF-F-111 applyTransaction → MK-XS-F-175 uid → MK-CF-F-038 debtsFromOnboarding
9. … and 4 more paths</t>
        </is>
      </c>
      <c r="S40" s="3" t="inlineStr">
        <is>
          <t>—</t>
        </is>
      </c>
      <c r="T40" s="3" t="inlineStr">
        <is>
          <t>DEBTS_FROM_SETUP</t>
        </is>
      </c>
      <c r="U40" s="3" t="inlineStr">
        <is>
          <t>ACTIVE</t>
        </is>
      </c>
      <c r="V40" s="3" t="inlineStr">
        <is>
          <t>2026-08-27</t>
        </is>
      </c>
      <c r="W40" s="3" t="n"/>
      <c r="X40" s="3" t="n"/>
      <c r="Y40" s="3" t="inlineStr">
        <is>
          <t>NOTHING OPEN</t>
        </is>
      </c>
    </row>
    <row r="41" ht="60" customHeight="1">
      <c r="A41" s="3" t="inlineStr">
        <is>
          <t>MK-CF-F-039</t>
        </is>
      </c>
      <c r="B41" s="3" t="inlineStr">
        <is>
          <t>loadDebt</t>
        </is>
      </c>
      <c r="C41" s="3" t="inlineStr">
        <is>
          <t>src/domain/debt/index.ts</t>
        </is>
      </c>
      <c r="D41" s="3" t="n">
        <v>797</v>
      </c>
      <c r="E41" s="3" t="inlineStr">
        <is>
          <t>3 · DEPENDENT (feeds an action only)</t>
        </is>
      </c>
      <c r="F41" s="3" t="inlineStr">
        <is>
          <t>Reads a person's saved debts from storage and calculates nothing.</t>
        </is>
      </c>
      <c r="G41" s="11" t="inlineStr">
        <is>
          <t>It reaches outside the app for data and hands back what came back — no arithmetic of its own.</t>
        </is>
      </c>
      <c r="H41" s="3" t="inlineStr">
        <is>
          <t>It reaches outside the app for data and hands back what came back — no arithmetic of its own.</t>
        </is>
      </c>
      <c r="I41" s="3" t="inlineStr">
        <is>
          <t>NO ARITHMETIC — there is no formula to state</t>
        </is>
      </c>
      <c r="J41" s="3" t="inlineStr">
        <is>
          <t>uid: UserId</t>
        </is>
      </c>
      <c r="K41" s="3" t="inlineStr">
        <is>
          <t>NOT DECLARED — the code does not say what it gives back</t>
        </is>
      </c>
      <c r="L41" s="3" t="inlineStr">
        <is>
          <t>—</t>
        </is>
      </c>
      <c r="M41" s="3" t="inlineStr">
        <is>
          <t>None found in this function — anything it assumes comes from the functions it depends on.</t>
        </is>
      </c>
      <c r="N41" s="3" t="inlineStr">
        <is>
          <t>No</t>
        </is>
      </c>
      <c r="O41" s="3" t="inlineStr">
        <is>
          <t>MK-XS-F-175 uid</t>
        </is>
      </c>
      <c r="P41" s="3" t="n">
        <v>81</v>
      </c>
      <c r="Q41"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41" s="3" t="inlineStr">
        <is>
          <t>1. MK-ST-F-027 accountId → MK-XS-F-175 uid → MK-CF-F-039 loadDebt
2. MK-CF-F-137 findPos → MK-CF-F-138 addLot → MK-CF-F-111 applyTransaction → MK-XS-F-175 uid → MK-CF-F-039 loadDebt
3. MK-CF-F-132 map → MK-CF-F-138 addLot → MK-CF-F-111 applyTransaction → MK-XS-F-175 uid → MK-CF-F-039 loadDebt
4. MK-ST-F-043 newEntityId → MK-CF-F-138 addLot → MK-CF-F-111 applyTransaction → MK-XS-F-175 uid → MK-CF-F-039 loadDebt
5. MK-CF-F-134 usesSleeve → MK-CF-F-136 bumpCash → MK-CF-F-111 applyTransaction → MK-XS-F-175 uid → MK-CF-F-039 loadDebt
6. MK-CF-F-137 findPos → MK-CF-F-111 applyTransaction → MK-XS-F-175 uid → MK-CF-F-039 loadDebt
7. MK-CF-F-132 map → MK-CF-F-111 applyTransaction → MK-XS-F-175 uid → MK-CF-F-039 loadDebt
8. MK-CF-F-137 findPos → MK-CF-F-139 removeShares → MK-CF-F-111 applyTransaction → MK-XS-F-175 uid → MK-CF-F-039 loadDebt
9. … and 4 more paths</t>
        </is>
      </c>
      <c r="S41" s="3" t="inlineStr">
        <is>
          <t>—</t>
        </is>
      </c>
      <c r="T41" s="3" t="inlineStr">
        <is>
          <t>—</t>
        </is>
      </c>
      <c r="U41" s="3" t="inlineStr">
        <is>
          <t>ACTIVE</t>
        </is>
      </c>
      <c r="V41" s="3" t="inlineStr">
        <is>
          <t>2026-08-27</t>
        </is>
      </c>
      <c r="W41" s="3" t="n"/>
      <c r="X41" s="3" t="n"/>
      <c r="Y41" s="3" t="inlineStr">
        <is>
          <t>NOTHING OPEN</t>
        </is>
      </c>
    </row>
    <row r="42" ht="60" customHeight="1">
      <c r="A42" s="3" t="inlineStr">
        <is>
          <t>MK-CF-F-040</t>
        </is>
      </c>
      <c r="B42" s="3" t="inlineStr">
        <is>
          <t>saveDebt</t>
        </is>
      </c>
      <c r="C42" s="3" t="inlineStr">
        <is>
          <t>src/domain/debt/index.ts</t>
        </is>
      </c>
      <c r="D42" s="3" t="n">
        <v>815</v>
      </c>
      <c r="E42" s="3" t="inlineStr">
        <is>
          <t>1 · ACTION</t>
        </is>
      </c>
      <c r="F42" s="3" t="inlineStr">
        <is>
          <t>Saves a person's debts to storage, tells the rest of the app it changed, and calculates nothing.</t>
        </is>
      </c>
      <c r="G42" s="11" t="inlineStr">
        <is>
          <t>It records or announces something and returns no figure — no arithmetic of its own.</t>
        </is>
      </c>
      <c r="H42" s="3" t="inlineStr">
        <is>
          <t>It records or announces something and returns no figure — no arithmetic of its own.</t>
        </is>
      </c>
      <c r="I42" s="3" t="inlineStr">
        <is>
          <t>NO ARITHMETIC — there is no formula to state</t>
        </is>
      </c>
      <c r="J42" s="3" t="inlineStr">
        <is>
          <t>d: DebtDoc</t>
        </is>
      </c>
      <c r="K42" s="3" t="inlineStr">
        <is>
          <t>d.user_id }); }</t>
        </is>
      </c>
      <c r="L42" s="3" t="inlineStr">
        <is>
          <t>—</t>
        </is>
      </c>
      <c r="M42" s="3" t="inlineStr">
        <is>
          <t>None found in this function — anything it assumes comes from the functions it depends on.</t>
        </is>
      </c>
      <c r="N42" s="3" t="inlineStr">
        <is>
          <t>No</t>
        </is>
      </c>
      <c r="O42" s="3" t="inlineStr">
        <is>
          <t>1. MK-ST-F-040 emit
2. MK-ST-F-042 setUserDoc</t>
        </is>
      </c>
      <c r="P42" s="3" t="n">
        <v>83</v>
      </c>
      <c r="Q42" s="3" t="inlineStr">
        <is>
          <t>1. MK-ST-F-040 emit
2. MK-ST-F-042 setUserDoc
3. MK-XS-F-175 uid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42" s="3" t="inlineStr">
        <is>
          <t>1. MK-ST-F-040 emit → MK-CF-F-040 saveDebt
2. MK-ST-F-027 accountId → MK-XS-F-175 uid → MK-ST-F-042 setUserDoc → MK-CF-F-040 saveDebt
3. MK-CF-F-137 findPos → MK-CF-F-138 addLot → MK-CF-F-111 applyTransaction → MK-XS-F-175 uid → MK-ST-F-042 setUserDoc → MK-CF-F-040 saveDebt
4. MK-CF-F-132 map → MK-CF-F-138 addLot → MK-CF-F-111 applyTransaction → MK-XS-F-175 uid → MK-ST-F-042 setUserDoc → MK-CF-F-040 saveDebt
5. MK-ST-F-043 newEntityId → MK-CF-F-138 addLot → MK-CF-F-111 applyTransaction → MK-XS-F-175 uid → MK-ST-F-042 setUserDoc → MK-CF-F-040 saveDebt
6. MK-CF-F-134 usesSleeve → MK-CF-F-136 bumpCash → MK-CF-F-111 applyTransaction → MK-XS-F-175 uid → MK-ST-F-042 setUserDoc → MK-CF-F-040 saveDebt
7. MK-CF-F-137 findPos → MK-CF-F-111 applyTransaction → MK-XS-F-175 uid → MK-ST-F-042 setUserDoc → MK-CF-F-040 saveDebt
8. MK-CF-F-132 map → MK-CF-F-111 applyTransaction → MK-XS-F-175 uid → MK-ST-F-042 setUserDoc → MK-CF-F-040 saveDebt
9. … and 4 more paths</t>
        </is>
      </c>
      <c r="S42" s="3" t="inlineStr">
        <is>
          <t>—</t>
        </is>
      </c>
      <c r="T42" s="3" t="inlineStr">
        <is>
          <t>—</t>
        </is>
      </c>
      <c r="U42" s="3" t="inlineStr">
        <is>
          <t>ACTIVE</t>
        </is>
      </c>
      <c r="V42" s="3" t="inlineStr">
        <is>
          <t>2026-08-27</t>
        </is>
      </c>
      <c r="W42" s="3" t="n"/>
      <c r="X42" s="3" t="n"/>
      <c r="Y42" s="3" t="inlineStr">
        <is>
          <t>NOTHING OPEN</t>
        </is>
      </c>
    </row>
    <row r="43" ht="60" customHeight="1">
      <c r="A43" s="3" t="inlineStr">
        <is>
          <t>MK-CF-F-041</t>
        </is>
      </c>
      <c r="B43" s="3" t="inlineStr">
        <is>
          <t>getDebtState</t>
        </is>
      </c>
      <c r="C43" s="3" t="inlineStr">
        <is>
          <t>src/domain/debt/index.ts</t>
        </is>
      </c>
      <c r="D43" s="3" t="n">
        <v>834</v>
      </c>
      <c r="E43" s="3" t="inlineStr">
        <is>
          <t>3 · DEPENDENT (feeds an action only)</t>
        </is>
      </c>
      <c r="F43" s="3" t="inlineStr">
        <is>
          <t>Reads a person's saved debts and returns their totals, or nothing when none are saved.</t>
        </is>
      </c>
      <c r="G43" s="11" t="inlineStr">
        <is>
          <t>d = build debt state(uid, debts ?? [])   if await load debt(uid); return d
nothing   otherwise</t>
        </is>
      </c>
      <c r="H43" s="3" t="inlineStr">
        <is>
          <t>D is build debt state(uid, debts ?? []) — when await load debt(uid); return d; no answer — otherwise.</t>
        </is>
      </c>
      <c r="I43" s="3" t="inlineStr">
        <is>
          <t>PARTLY READ — some of the code is still showing through; needs a hand pass</t>
        </is>
      </c>
      <c r="J43" s="3" t="inlineStr">
        <is>
          <t>uid: UserId</t>
        </is>
      </c>
      <c r="K43" s="3" t="inlineStr">
        <is>
          <t>NOT DECLARED — the code does not say what it gives back</t>
        </is>
      </c>
      <c r="L43" s="3" t="inlineStr">
        <is>
          <t>—</t>
        </is>
      </c>
      <c r="M43" s="3" t="inlineStr">
        <is>
          <t>None found in this function — anything it assumes comes from the functions it depends on.</t>
        </is>
      </c>
      <c r="N43" s="3" t="inlineStr">
        <is>
          <t>No</t>
        </is>
      </c>
      <c r="O43" s="3" t="inlineStr">
        <is>
          <t>1. MK-CF-F-036 buildDebtState
2. MK-CF-F-039 loadDebt
3. MK-XS-F-175 uid</t>
        </is>
      </c>
      <c r="P43" s="3" t="n">
        <v>181</v>
      </c>
      <c r="Q43" s="3" t="inlineStr">
        <is>
          <t>1. MK-CF-F-036 buildDebtState
2. MK-CF-F-039 loadDebt
3. MK-XS-F-175 uid
4. MK-CF-F-026 actualDebtPayment
5. MK-CF-F-204 line
6. MK-CF-F-025 minimumDebtService
7. MK-ST-F-027 accountId
8. MK-CF-F-111 applyTransaction
9. MK-NW-F-040 assetsFromOnboarding
10. MK-PF-F-013 benchmarkTicker
11. MK-ST-F-028 buildDayFromAccounts
12. MK-PF-F-034 closeOnOrBefore
13. MK-CF-F-186 convertTakeHomeMode
14. MK-ST-F-079 dailyWindowStart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MK-CF-F-024 totalDebtMonthly
35. MK-CF-F-203 MONTH
36. MK-XS-F-180 declareFigures
37. MK-CF-F-022 paymentShape
38. MK-CF-F-138 addLot
39. MK-CF-F-136 bumpCash
40. MK-CF-F-137 findPos
41. MK-CF-F-139 removeShares
42. MK-PF-F-001 totalShares
43. MK-ST-F-052 toNum
44. MK-ST-F-053 money
45. MK-CF-F-085 filingStatusOf
46. MK-CF-F-097 grossFromNet
47. MK-CF-F-185 needsTakeHomeConversion
48. MK-CF-F-089 over65CountOf
49. MK-CF-F-037 inferDebtType
50. MK-ST-F-069 amountOf
51. MK-CF-F-133 cashOf
52. MK-ST-F-066 isDayKey
53. MK-ST-F-070 isOpening
54. MK-ST-F-071 rebuildableFrom
55. MK-ST-F-068 stepDay
56. MK-ST-F-072 undo
57. MK-NW-F-053 correctClassOf
58. MK-NW-F-008 incomeBearingClassOf
59. MK-PF-F-002 costBasis
60. MK-PF-F-009 latestClose
61. MK-PF-F-004 marketValue
62. MK-ST-F-030 record
63. MK-XS-F-024 resolveLens
64. MK-ST-F-055 round2
65. MK-CF-F-162 daysApart
66. MK-CF-F-108 isMoneyOut
67. MK-PL-F-074 median
68. MK-CF-F-131 normPayee
69. MK-CF-F-113 affectedAccountIds
70. MK-CF-F-201 INCOME
71. MK-CF-F-023 requiredPayment
72. MK-CF-O-010 theMonth
73. MK-CF-F-021 defaultPaymentType
74. MK-CF-F-134 usesSleeve
75. MK-ST-F-049 formatMoney
76. MK-CF-F-101 taxOwedFor
77. MK-ST-F-067 utcOfDay
78. MK-CF-F-155 cash
79. MK-ST-F-035 covers
80. MK-NW-F-009 maturityClass
81. MK-ST-F-010 nameEvidence
82. MK-PF-F-031 contractMultiplier
83. MK-CF-F-072 currentRetirementIncomeMonthly
84. MK-CF-F-207 SOURCE
85. MK-CF-O-004 incomeSummary
86. MK-CF-O-002 expenses
87. MK-CF-O-003 thisMonth
88. MK-ST-F-048 currencySymbol
89. MK-ST-F-039 on
90. MK-CF-F-100 taxableIncomeFor
91. MK-ST-F-034 firstDate
92. MK-XS-F-147 call
93. MK-CF-F-075 retirementIncomeMonthly
94. MK-CF-O-016 incomeSources
95. MK-CF-O-001 basePay
96. MK-CF-F-069 benefitActiveMonths
97. MK-CF-F-173 earnerWages
98. MK-CF-F-179 entryFromWage
99. MK-CF-F-071 extraIncome
100. MK-CF-F-092 incomeMonthlyGrid
101. MK-CF-F-192 inflowLabel
102. MK-CF-F-103 marginalBracketFor
103. MK-CF-F-181 rateInForce
104. MK-CF-F-068 rentalNetAnnual
105. MK-CF-F-082 salaryAnnual
106. MK-CF-F-060 salaryGrossByMonth
107. MK-CF-F-084 taxableAnnual
108. MK-CF-F-151 actualSpending
109. MK-CF-F-150 debtPaymentsCountedAsExpenses
110. MK-CF-F-153 radar
111. MK-CF-F-149 recurringDebtPayments
112. MK-CF-F-005 actualMonthFlow
113. MK-CF-F-156 plannedMonthFlow
114. MK-ST-F-047 activeCurrency
115. MK-CF-F-099 deductionFor
116. MK-XS-F-064 currentIdToken
117. MK-XS-F-112 relayUrl
118. MK-CF-F-066 rsuAnnual
119. MK-CF-F-171 earnerPay
120. MK-HM-F-006 money0
121. MK-CF-F-198 payrollTaxWithheld
122. MK-CF-F-172 hasWage
123. MK-CF-F-165 salaryMonths
124. MK-CF-F-070 benefitAnnual
125. MK-CF-F-065 equityVestWeights
126. MK-CF-F-206 householdK401ByMonth
127. MK-CF-F-087 monthlyTaxRates
128. MK-CF-F-073 otherIncomeMonth
129. MK-CF-F-077 scholarshipByCalendarMonth
130. MK-CF-F-088 taxableByCalendarMonth
131. MK-CF-F-177 wageGrossByMonth
132. MK-PL-F-012 waterfall
133. MK-CF-F-193 inflowSourceWord
134. MK-CF-F-180 enteredLandsAnnual
135. MK-CF-F-086 stateRateOf
136. MK-CF-F-067 rentalList
137. MK-CF-F-176 sumMonthsOverEarners
138. MK-CF-F-074 tipsAnnual
139. MK-CF-F-148 inMonth
140. MK-CF-F-152 isRadarItem
141. MK-NW-F-078 ONE
142. MK-CF-F-157 debtPaymentsByDebt
143. MK-XS-F-027 takeHomeMonthly
144. MK-CF-F-187 seniorDeductionFor
145. MK-CF-F-062 equityRowValue
146. MK-CF-F-063 rowVestYear
147. MK-CF-F-143 annualisedGross
148. MK-CF-F-145 deductionsFromPay
149. MK-CF-F-128 grossByMonth
150. MK-CF-F-146 payFiguresAgree
151. MK-CF-F-144 takeHomeAsEntered
152. MK-HM-F-005 pctTxt
153. MK-CF-F-090 effectiveRate
154. MK-CF-F-130 enteredMonthlyRaw
155. MK-CF-F-166 hasMonthlySalaryTable
156. MK-ST-F-036 reconcile
157. MK-CF-F-167 salaryCalendarYear
158. MK-CF-F-081 salaryActiveMonths
159. MK-NW-F-077 ALL
160. MK-NW-F-059 currentYield
161. MK-NW-O-001 theBonds
162. MK-CF-F-011 savingsByMonth
163. MK-CF-F-142 monthsOf
164. MK-CF-F-141 perMonth
165. MK-NW-F-057 annualCoupon
166. MK-NW-F-056 bondInfo
167. MK-NW-F-064 bondRateSensitivity
168. MK-NW-F-061 bondSummary
169. MK-NW-F-055 isBond
170. MK-NW-F-072 rowOf
171. MK-CF-F-008 spendByMonth
172. MK-CF-F-140 periodsAYear
173. MK-NW-F-060 approxYTM
174. MK-NW-F-069 priceAtYield
175. MK-NW-F-011 assetClassOf
176. MK-NW-F-070 accruedInterestCaveat
177. MK-NW-F-071 isCertificateOfDeposit
178. MK-NW-F-058 yearsToMaturity
179. MK-CF-F-120 pctBaseMonthly
180. MK-CF-F-004 spendBuckets
181. MK-CF-F-003 categoryMonthly</t>
        </is>
      </c>
      <c r="R43" s="3" t="inlineStr">
        <is>
          <t>1. MK-CF-F-207 SOURCE → MK-CF-F-201 INCOME → MK-CF-F-024 totalDebtMonthly → MK-CF-F-026 actualDebtPayment → MK-CF-F-036 buildDebtState → MK-CF-F-041 getDebtState
2. MK-CF-O-004 incomeSummary → MK-CF-F-201 INCOME → MK-CF-F-024 totalDebtMonthly → MK-CF-F-026 actualDebtPayment → MK-CF-F-036 buildDebtState → MK-CF-F-041 getDebtState
3. MK-CF-F-022 paymentShape → MK-CF-F-023 requiredPayment → MK-CF-F-024 totalDebtMonthly → MK-CF-F-026 actualDebtPayment → MK-CF-F-036 buildDebtState → MK-CF-F-041 getDebtState
4. MONTH (already above — a loop) → MK-CF-O-010 theMonth → MK-CF-F-203 MONTH → MK-CF-F-204 line → MK-CF-F-036 buildDebtState → MK-CF-F-041 getDebtState
5. MK-CF-F-155 cash → MK-CF-O-010 theMonth → MK-CF-F-203 MONTH → MK-CF-F-204 line → MK-CF-F-036 buildDebtState → MK-CF-F-041 getDebtState
6. MK-CF-O-002 expenses → MK-CF-O-010 theMonth → MK-CF-F-203 MONTH → MK-CF-F-204 line → MK-CF-F-036 buildDebtState → MK-CF-F-041 getDebtState
7. MK-CF-O-003 thisMonth → MK-CF-O-010 theMonth → MK-CF-F-203 MONTH → MK-CF-F-204 line → MK-CF-F-036 buildDebtState → MK-CF-F-041 getDebtState
8. MK-XS-F-180 declareFigures → MK-CF-F-204 line → MK-CF-F-036 buildDebtState → MK-CF-F-041 getDebtState
9. … and 5 more paths</t>
        </is>
      </c>
      <c r="S43" s="3" t="inlineStr">
        <is>
          <t>—</t>
        </is>
      </c>
      <c r="T43" s="3" t="inlineStr">
        <is>
          <t>—</t>
        </is>
      </c>
      <c r="U43" s="3" t="inlineStr">
        <is>
          <t>ACTIVE</t>
        </is>
      </c>
      <c r="V43" s="3" t="inlineStr">
        <is>
          <t>2026-08-27</t>
        </is>
      </c>
      <c r="W43" s="3" t="n"/>
      <c r="X43" s="3" t="n"/>
      <c r="Y43" s="3" t="inlineStr">
        <is>
          <t>NOTHING OPEN</t>
        </is>
      </c>
    </row>
    <row r="44" ht="60" customHeight="1">
      <c r="A44" s="3" t="inlineStr">
        <is>
          <t>MK-CF-F-042</t>
        </is>
      </c>
      <c r="B44" s="3" t="inlineStr">
        <is>
          <t>mortgageOddsEffect</t>
        </is>
      </c>
      <c r="C44" s="3" t="inlineStr">
        <is>
          <t>src/domain/debt/mortgageOdds.ts</t>
        </is>
      </c>
      <c r="D44" s="3" t="n">
        <v>62</v>
      </c>
      <c r="E44" s="3" t="inlineStr">
        <is>
          <t>2 · DISPLAYED</t>
        </is>
      </c>
      <c r="F44" s="3" t="inlineStr">
        <is>
          <t>Run the plan twice and report both results.</t>
        </is>
      </c>
      <c r="G44" s="11" t="inlineStr">
        <is>
          <t>slow = months to clear(balance, annual rate, monthly payment)
fast = months to clear(balance, annual rate, monthly payment + extra monthly)
nothing   when slow = nothing (or fast = nothing (or extra monthly ≤ 0 when missing or zero) when missing or zero)
year of = (months: number) =&gt; now year + round down((months − 1) ÷ 12)
payoff year = year of(slow)
faster payoff year = year of(fast)
the answer = { before, after, payoff year, faster payoff year }</t>
        </is>
      </c>
      <c r="H44" s="3" t="inlineStr">
        <is>
          <t>Slow is months to clear(balance, annual rate, monthly payment). Fast is months to clear(balance, annual rate, monthly payment plus extra monthly). When slow is missing (or fast is missing (or extra monthly is at most 0 — when missing or zero) — when missing or zero), it answers no answer. Year of is (months: number) =&gt; now year plus (months minus 1, rounded down divided by 12). Payoff year is year of(slow). Faster payoff year is year of(fast). The answer is { before, after, payoff year, faster payoff year }.</t>
        </is>
      </c>
      <c r="I44" s="3" t="inlineStr">
        <is>
          <t>PARTLY READ — some of the code is still showing through; needs a hand pass</t>
        </is>
      </c>
      <c r="J44" s="3" t="inlineStr">
        <is>
          <t>Nothing is handed to it</t>
        </is>
      </c>
      <c r="K44" s="3" t="inlineStr">
        <is>
          <t>NOT DECLARED — the code does not say what it gives back</t>
        </is>
      </c>
      <c r="L44" s="3" t="inlineStr">
        <is>
          <t>NOT FOUND — a screen calls it, but the words printed beside its answer could not be traced automatically. Needs reading.</t>
        </is>
      </c>
      <c r="M44" s="3" t="inlineStr">
        <is>
          <t>· Turns a monthly figure into a year by multiplying by twelve.</t>
        </is>
      </c>
      <c r="N44" s="3" t="inlineStr">
        <is>
          <t>Yes</t>
        </is>
      </c>
      <c r="O44" s="3" t="inlineStr">
        <is>
          <t>1. MK-CF-F-029 monthsToClear
2. MK-PL-F-050 simulate</t>
        </is>
      </c>
      <c r="P44" s="3" t="n">
        <v>23</v>
      </c>
      <c r="Q44" s="3" t="inlineStr">
        <is>
          <t>1. MK-CF-F-029 monthsToClear
2. MK-PL-F-050 simulate
3. MK-CF-O-002 expenses
4. MK-CF-F-132 map
5. MK-PL-F-074 median
6. MK-PL-F-072 mulberry32
7. MK-XS-F-122 n
8. MK-PL-F-073 normal
9. MK-PL-F-075 pctOfSorted
10. MK-ST-F-025 rmdStartAgeFromAge
11. MK-CF-F-151 actualSpending
12. MK-CF-F-150 debtPaymentsCountedAsExpenses
13. MK-CF-F-153 radar
14. MK-CF-F-149 recurringDebtPayments
15. MK-ST-F-024 rmdStartAge
16. MK-CF-F-148 inMonth
17. MK-ST-F-052 toNum
18. MK-CF-F-191 ym
19. MK-ST-F-056 has
20. MK-CF-F-022 paymentShape
21. MK-CF-F-152 isRadarItem
22. MK-CF-F-023 requiredPayment
23. MK-CF-F-021 defaultPaymentType</t>
        </is>
      </c>
      <c r="R44" s="3" t="inlineStr">
        <is>
          <t>1. MK-CF-F-029 monthsToClear → MK-CF-F-042 mortgageOddsEffect
2. MK-CF-F-191 ym → MK-CF-F-148 inMonth → MK-CF-F-151 actualSpending → MK-CF-O-002 expenses → MK-PL-F-050 simulate → MK-CF-F-042 mortgageOddsEffect
3. MK-XS-F-122 n → MK-ST-F-052 toNum → MK-CF-F-151 actualSpending → MK-CF-O-002 expenses → MK-PL-F-050 simulate → MK-CF-F-042 mortgageOddsEffect
4. MK-CF-F-191 ym → MK-CF-F-151 actualSpending → MK-CF-O-002 expenses → MK-PL-F-050 simulate → MK-CF-F-042 mortgageOddsEffect
5. MK-ST-F-056 has → MK-CF-F-150 debtPaymentsCountedAsExpenses → MK-CF-O-002 expenses → MK-PL-F-050 simulate → MK-CF-F-042 mortgageOddsEffect
6. MK-CF-F-191 ym → MK-CF-F-148 inMonth → MK-CF-F-150 debtPaymentsCountedAsExpenses → MK-CF-O-002 expenses → MK-PL-F-050 simulate → MK-CF-F-042 mortgageOddsEffect
7. MK-CF-F-021 defaultPaymentType → MK-CF-F-022 paymentShape → MK-CF-F-150 debtPaymentsCountedAsExpenses → MK-CF-O-002 expenses → MK-PL-F-050 simulate → MK-CF-F-042 mortgageOddsEffect
8. MK-XS-F-122 n → MK-ST-F-052 toNum → MK-CF-F-150 debtPaymentsCountedAsExpenses → MK-CF-O-002 expenses → MK-PL-F-050 simulate → MK-CF-F-042 mortgageOddsEffect
9. … and 4 more paths</t>
        </is>
      </c>
      <c r="S44" s="3" t="inlineStr">
        <is>
          <t>—</t>
        </is>
      </c>
      <c r="T44" s="3" t="inlineStr">
        <is>
          <t>—</t>
        </is>
      </c>
      <c r="U44" s="3" t="inlineStr">
        <is>
          <t>ACTIVE</t>
        </is>
      </c>
      <c r="V44" s="3" t="inlineStr">
        <is>
          <t>2026-08-27</t>
        </is>
      </c>
      <c r="W44" s="3" t="n"/>
      <c r="X44" s="3" t="n"/>
      <c r="Y44" s="3" t="inlineStr">
        <is>
          <t>NOTHING OPEN</t>
        </is>
      </c>
    </row>
    <row r="45" ht="60" customHeight="1">
      <c r="A45" s="3" t="inlineStr">
        <is>
          <t>MK-CF-F-043</t>
        </is>
      </c>
      <c r="B45" s="3" t="inlineStr">
        <is>
          <t>compareMortgageToTreasury</t>
        </is>
      </c>
      <c r="C45" s="3" t="inlineStr">
        <is>
          <t>src/domain/debt/mortgageVsTreasury.ts</t>
        </is>
      </c>
      <c r="D45" s="3" t="n">
        <v>148</v>
      </c>
      <c r="E45" s="3" t="inlineStr">
        <is>
          <t>2 · DISPLAYED</t>
        </is>
      </c>
      <c r="F45" s="3" t="inlineStr">
        <is>
          <t>Compare paying `extraMonthly` into the mortgage against putting the same money into Treasuries.</t>
        </is>
      </c>
      <c r="G45" s="11" t="inlineStr">
        <is>
          <t>nothing   when not (balance &gt; 0) or !(annual rate &gt; 0) or !(monthly payment &gt; 0)
gap points = +((annual rate − treasury yield) × 100).to fixed(2)
too close = size of(gap points) &lt; TOO_CLOSE_POINTS
base = amortise(balance, annual rate, monthly payment)
fast = amortise(balance, annual rate, monthly payment + extra monthly)
lifetime = 0
freed months = base.months − fast.months
paying down = future value(monthly payment + extra monthly, treasury yield, freed months)
treasuries = future value(extra monthly, treasury yield, base.months)</t>
        </is>
      </c>
      <c r="H45" s="3" t="inlineStr">
        <is>
          <t>When not (balance &gt; 0) or !(annual rate &gt; 0) or !(monthly payment &gt; 0), it answers no answer. Gap points is +((annual rate minus treasury yield) times 100).to fixed(2). Too close is size of(gap points) &lt; TOO_CLOSE_POINTS. Base is amortise(balance, annual rate, monthly payment). Fast is amortise(balance, annual rate, monthly payment plus extra monthly). Lifetime is 0. Freed months is base.months minus fast.months. Paying down is future value(monthly payment plus extra monthly, treasury yield, freed months). Treasuries is future value(extra monthly, treasury yield, base.months).</t>
        </is>
      </c>
      <c r="I45" s="3" t="inlineStr">
        <is>
          <t>PARTLY READ — some of the code is still showing through; needs a hand pass</t>
        </is>
      </c>
      <c r="J45" s="3" t="inlineStr">
        <is>
          <t>Nothing is handed to it</t>
        </is>
      </c>
      <c r="K45" s="3" t="inlineStr">
        <is>
          <t>NOT DECLARED — the code does not say what it gives back</t>
        </is>
      </c>
      <c r="L45" s="3" t="inlineStr">
        <is>
          <t>NOT FOUND — a screen calls it, but the words printed beside its answer could not be traced automatically. Needs reading.</t>
        </is>
      </c>
      <c r="M45" s="3" t="inlineStr">
        <is>
          <t>1. Uses a built-in lifetime of 0.
2. Shows 2 decimal places.</t>
        </is>
      </c>
      <c r="N45" s="3" t="inlineStr">
        <is>
          <t>Yes</t>
        </is>
      </c>
      <c r="O45" s="3" t="inlineStr">
        <is>
          <t>1. MK-CF-F-125 amortise
2. MK-CF-F-126 futureValue</t>
        </is>
      </c>
      <c r="P45" s="3" t="n">
        <v>2</v>
      </c>
      <c r="Q45" s="3" t="inlineStr">
        <is>
          <t>1. MK-CF-F-125 amortise
2. MK-CF-F-126 futureValue</t>
        </is>
      </c>
      <c r="R45" s="3" t="inlineStr">
        <is>
          <t>1. MK-CF-F-125 amortise → MK-CF-F-043 compareMortgageToTreasury
2. MK-CF-F-126 futureValue → MK-CF-F-043 compareMortgageToTreasury</t>
        </is>
      </c>
      <c r="S45" s="3" t="inlineStr">
        <is>
          <t>—</t>
        </is>
      </c>
      <c r="T45" s="3" t="inlineStr">
        <is>
          <t>—</t>
        </is>
      </c>
      <c r="U45" s="3" t="inlineStr">
        <is>
          <t>ACTIVE</t>
        </is>
      </c>
      <c r="V45" s="3" t="inlineStr">
        <is>
          <t>2026-08-27</t>
        </is>
      </c>
      <c r="W45" s="3" t="n"/>
      <c r="X45" s="3" t="n"/>
      <c r="Y45" s="3" t="inlineStr">
        <is>
          <t>NOTHING OPEN</t>
        </is>
      </c>
    </row>
    <row r="46" ht="60" customHeight="1">
      <c r="A46" s="3" t="inlineStr">
        <is>
          <t>MK-CF-F-044</t>
        </is>
      </c>
      <c r="B46" s="3" t="inlineStr">
        <is>
          <t>annualNet</t>
        </is>
      </c>
      <c r="C46" s="3" t="inlineStr">
        <is>
          <t>src/domain/income/calc.ts</t>
        </is>
      </c>
      <c r="D46" s="3" t="n">
        <v>59</v>
      </c>
      <c r="E46" s="3" t="inlineStr">
        <is>
          <t>3 · DEPENDENT</t>
        </is>
      </c>
      <c r="F46" s="3" t="inlineStr">
        <is>
          <t>Annual NET contribution of a source: jobs use gross; rentals net out operating expenses.</t>
        </is>
      </c>
      <c r="G46" s="11" t="inlineStr">
        <is>
          <t>per period = gross amount − (operating expenses or 0)   if is rental(income type)
gross amount   otherwise
the answer = per period × PERIODS_PER_YEAR[frequency]</t>
        </is>
      </c>
      <c r="H46" s="3" t="inlineStr">
        <is>
          <t>Per period is gross amount minus (operating expenses or 0) — when is rental(income type); gross amount — otherwise. The answer is per period times PERIODS_PER_YEAR[frequency].</t>
        </is>
      </c>
      <c r="I46" s="3" t="inlineStr">
        <is>
          <t>READ FROM THE CODE — rendered from the expressions the function runs</t>
        </is>
      </c>
      <c r="J46" s="3" t="inlineStr">
        <is>
          <t>s: IncomeSource</t>
        </is>
      </c>
      <c r="K46" s="3" t="inlineStr">
        <is>
          <t>number</t>
        </is>
      </c>
      <c r="L46" s="3" t="inlineStr">
        <is>
          <t>—</t>
        </is>
      </c>
      <c r="M46" s="3" t="inlineStr">
        <is>
          <t>· If operating expenses is missing it counts as zero, so nothing recorded and a real zero look the same.</t>
        </is>
      </c>
      <c r="N46" s="3" t="inlineStr">
        <is>
          <t>Yes</t>
        </is>
      </c>
      <c r="O46" s="3" t="inlineStr">
        <is>
          <t>1. MK-CF-O-002 expenses
2. MK-CF-F-127 isRental</t>
        </is>
      </c>
      <c r="P46" s="3" t="n">
        <v>16</v>
      </c>
      <c r="Q46" s="3" t="inlineStr">
        <is>
          <t>1. MK-CF-O-002 expenses
2. MK-CF-F-127 isRental
3. MK-CF-F-151 actualSpending
4. MK-CF-F-150 debtPaymentsCountedAsExpenses
5. MK-CF-F-153 radar
6. MK-CF-F-149 recurringDebtPayments
7. MK-CF-F-148 inMonth
8. MK-ST-F-052 toNum
9. MK-CF-F-191 ym
10. MK-ST-F-056 has
11. MK-CF-F-022 paymentShape
12. MK-CF-F-152 isRadarItem
13. MK-CF-F-023 requiredPayment
14. MK-CF-F-132 map
15. MK-XS-F-122 n
16. MK-CF-F-021 defaultPaymentType</t>
        </is>
      </c>
      <c r="R46" s="3" t="inlineStr">
        <is>
          <t>1. MK-CF-F-191 ym → MK-CF-F-148 inMonth → MK-CF-F-151 actualSpending → MK-CF-O-002 expenses → MK-CF-F-044 annualNet
2. MK-XS-F-122 n → MK-ST-F-052 toNum → MK-CF-F-151 actualSpending → MK-CF-O-002 expenses → MK-CF-F-044 annualNet
3. MK-CF-F-191 ym → MK-CF-F-151 actualSpending → MK-CF-O-002 expenses → MK-CF-F-044 annualNet
4. MK-ST-F-056 has → MK-CF-F-150 debtPaymentsCountedAsExpenses → MK-CF-O-002 expenses → MK-CF-F-044 annualNet
5. MK-CF-F-191 ym → MK-CF-F-148 inMonth → MK-CF-F-150 debtPaymentsCountedAsExpenses → MK-CF-O-002 expenses → MK-CF-F-044 annualNet
6. MK-CF-F-021 defaultPaymentType → MK-CF-F-022 paymentShape → MK-CF-F-150 debtPaymentsCountedAsExpenses → MK-CF-O-002 expenses → MK-CF-F-044 annualNet
7. MK-XS-F-122 n → MK-ST-F-052 toNum → MK-CF-F-150 debtPaymentsCountedAsExpenses → MK-CF-O-002 expenses → MK-CF-F-044 annualNet
8. MK-CF-F-191 ym → MK-CF-F-150 debtPaymentsCountedAsExpenses → MK-CF-O-002 expenses → MK-CF-F-044 annualNet
9. … and 5 more paths</t>
        </is>
      </c>
      <c r="S46" s="3" t="inlineStr">
        <is>
          <t>—</t>
        </is>
      </c>
      <c r="T46" s="3" t="inlineStr">
        <is>
          <t>—</t>
        </is>
      </c>
      <c r="U46" s="3" t="inlineStr">
        <is>
          <t>ACTIVE</t>
        </is>
      </c>
      <c r="V46" s="3" t="inlineStr">
        <is>
          <t>2026-08-27</t>
        </is>
      </c>
      <c r="W46" s="3" t="n"/>
      <c r="X46" s="3" t="n"/>
      <c r="Y46" s="3" t="inlineStr">
        <is>
          <t>NOTHING OPEN</t>
        </is>
      </c>
    </row>
    <row r="47" ht="60" customHeight="1">
      <c r="A47" s="3" t="inlineStr">
        <is>
          <t>MK-CF-F-045</t>
        </is>
      </c>
      <c r="B47" s="3" t="inlineStr">
        <is>
          <t>grossAnnualBaseline</t>
        </is>
      </c>
      <c r="C47" s="3" t="inlineStr">
        <is>
          <t>src/domain/income/calc.ts</t>
        </is>
      </c>
      <c r="D47" s="3" t="n">
        <v>84</v>
      </c>
      <c r="E47" s="3" t="inlineStr">
        <is>
          <t>3 · DEPENDENT</t>
        </is>
      </c>
      <c r="F47" s="3" t="inlineStr">
        <is>
          <t>Gross annual baseline = jobs (gross) + rentals (gross − expenses), all annualized.</t>
        </is>
      </c>
      <c r="G47" s="11" t="inlineStr">
        <is>
          <t>Σ over sources of (annual net(each))</t>
        </is>
      </c>
      <c r="H47" s="3" t="inlineStr">
        <is>
          <t>the annual net(each) added up across sources.</t>
        </is>
      </c>
      <c r="I47" s="3" t="inlineStr">
        <is>
          <t>READ FROM THE CODE — rendered from the expressions the function runs</t>
        </is>
      </c>
      <c r="J47" s="3" t="inlineStr">
        <is>
          <t>sources: IncomeSource[]</t>
        </is>
      </c>
      <c r="K47" s="3" t="inlineStr">
        <is>
          <t>number</t>
        </is>
      </c>
      <c r="L47" s="3" t="inlineStr">
        <is>
          <t>—</t>
        </is>
      </c>
      <c r="M47" s="3" t="inlineStr">
        <is>
          <t>None found in this function — anything it assumes comes from the functions it depends on.</t>
        </is>
      </c>
      <c r="N47" s="3" t="inlineStr">
        <is>
          <t>Yes</t>
        </is>
      </c>
      <c r="O47" s="3" t="inlineStr">
        <is>
          <t>MK-CF-F-044 annualNet</t>
        </is>
      </c>
      <c r="P47" s="3" t="n">
        <v>17</v>
      </c>
      <c r="Q47" s="3" t="inlineStr">
        <is>
          <t>1. MK-CF-F-044 annualNet
2. MK-CF-O-002 expenses
3. MK-CF-F-127 isRental
4. MK-CF-F-151 actualSpending
5. MK-CF-F-150 debtPaymentsCountedAsExpenses
6. MK-CF-F-153 radar
7. MK-CF-F-149 recurringDebtPayments
8. MK-CF-F-148 inMonth
9. MK-ST-F-052 toNum
10. MK-CF-F-191 ym
11. MK-ST-F-056 has
12. MK-CF-F-022 paymentShape
13. MK-CF-F-152 isRadarItem
14. MK-CF-F-023 requiredPayment
15. MK-CF-F-132 map
16. MK-XS-F-122 n
17. MK-CF-F-021 defaultPaymentType</t>
        </is>
      </c>
      <c r="R47" s="3" t="inlineStr">
        <is>
          <t>1. MK-CF-F-191 ym → MK-CF-F-148 inMonth → MK-CF-F-151 actualSpending → MK-CF-O-002 expenses → MK-CF-F-044 annualNet → MK-CF-F-045 grossAnnualBaseline
2. MK-XS-F-122 n → MK-ST-F-052 toNum → MK-CF-F-151 actualSpending → MK-CF-O-002 expenses → MK-CF-F-044 annualNet → MK-CF-F-045 grossAnnualBaseline
3. MK-CF-F-191 ym → MK-CF-F-151 actualSpending → MK-CF-O-002 expenses → MK-CF-F-044 annualNet → MK-CF-F-045 grossAnnualBaseline
4. MK-ST-F-056 has → MK-CF-F-150 debtPaymentsCountedAsExpenses → MK-CF-O-002 expenses → MK-CF-F-044 annualNet → MK-CF-F-045 grossAnnualBaseline
5. MK-CF-F-191 ym → MK-CF-F-148 inMonth → MK-CF-F-150 debtPaymentsCountedAsExpenses → MK-CF-O-002 expenses → MK-CF-F-044 annualNet → MK-CF-F-045 grossAnnualBaseline
6. MK-CF-F-021 defaultPaymentType → MK-CF-F-022 paymentShape → MK-CF-F-150 debtPaymentsCountedAsExpenses → MK-CF-O-002 expenses → MK-CF-F-044 annualNet → MK-CF-F-045 grossAnnualBaseline
7. MK-XS-F-122 n → MK-ST-F-052 toNum → MK-CF-F-150 debtPaymentsCountedAsExpenses → MK-CF-O-002 expenses → MK-CF-F-044 annualNet → MK-CF-F-045 grossAnnualBaseline
8. MK-CF-F-191 ym → MK-CF-F-150 debtPaymentsCountedAsExpenses → MK-CF-O-002 expenses → MK-CF-F-044 annualNet → MK-CF-F-045 grossAnnualBaseline
9. … and 4 more paths</t>
        </is>
      </c>
      <c r="S47" s="3" t="inlineStr">
        <is>
          <t>—</t>
        </is>
      </c>
      <c r="T47" s="3" t="inlineStr">
        <is>
          <t>—</t>
        </is>
      </c>
      <c r="U47" s="3" t="inlineStr">
        <is>
          <t>ACTIVE</t>
        </is>
      </c>
      <c r="V47" s="3" t="inlineStr">
        <is>
          <t>2026-08-27</t>
        </is>
      </c>
      <c r="W47" s="3" t="n"/>
      <c r="X47" s="3" t="n"/>
      <c r="Y47" s="3" t="inlineStr">
        <is>
          <t>NOTHING OPEN</t>
        </is>
      </c>
    </row>
    <row r="48" ht="60" customHeight="1">
      <c r="A48" s="3" t="inlineStr">
        <is>
          <t>MK-CF-F-046</t>
        </is>
      </c>
      <c r="B48" s="3" t="inlineStr">
        <is>
          <t>employerMatchAnnual</t>
        </is>
      </c>
      <c r="C48" s="3" t="inlineStr">
        <is>
          <t>src/domain/income/calc.ts</t>
        </is>
      </c>
      <c r="D48" s="3" t="n">
        <v>112</v>
      </c>
      <c r="E48" s="3" t="inlineStr">
        <is>
          <t>3 · DEPENDENT</t>
        </is>
      </c>
      <c r="F48" s="3" t="inlineStr">
        <is>
          <t>The employer's 401(k) match for a year, added up across every job.</t>
        </is>
      </c>
      <c r="G48" s="11" t="inlineStr">
        <is>
          <t>Σ over sources of ((employer match amount or 0) × PERIODS_PER_YEAR[frequency])</t>
        </is>
      </c>
      <c r="H48" s="3" t="inlineStr">
        <is>
          <t>the (employer match amount or 0) times PERIODS_PER_YEAR[frequency] added up across sources.</t>
        </is>
      </c>
      <c r="I48" s="3" t="inlineStr">
        <is>
          <t>PARTLY READ — some of the code is still showing through; needs a hand pass</t>
        </is>
      </c>
      <c r="J48" s="3" t="inlineStr">
        <is>
          <t>sources: IncomeSource[]</t>
        </is>
      </c>
      <c r="K48" s="3" t="inlineStr">
        <is>
          <t>number</t>
        </is>
      </c>
      <c r="L48" s="3" t="inlineStr">
        <is>
          <t>—</t>
        </is>
      </c>
      <c r="M48" s="3" t="inlineStr">
        <is>
          <t>· If employer match amount is missing it counts as zero, so nothing recorded and a real zero look the same.</t>
        </is>
      </c>
      <c r="N48" s="3" t="inlineStr">
        <is>
          <t>Yes</t>
        </is>
      </c>
      <c r="O48" s="3" t="inlineStr">
        <is>
          <t>MK-CF-F-102 effectiveRateOnGrossFor</t>
        </is>
      </c>
      <c r="P48" s="3" t="n">
        <v>5</v>
      </c>
      <c r="Q48" s="3" t="inlineStr">
        <is>
          <t>1. MK-CF-F-102 effectiveRateOnGrossFor
2. MK-CF-F-101 taxOwedFor
3. MK-CF-F-100 taxableIncomeFor
4. MK-CF-F-099 deductionFor
5. MK-CF-F-187 seniorDeductionFor</t>
        </is>
      </c>
      <c r="R48" s="3" t="inlineStr">
        <is>
          <t>MK-CF-F-187 seniorDeductionFor → MK-CF-F-099 deductionFor → MK-CF-F-100 taxableIncomeFor → MK-CF-F-101 taxOwedFor → MK-CF-F-102 effectiveRateOnGrossFor → MK-CF-F-046 employerMatchAnnual</t>
        </is>
      </c>
      <c r="S48" s="3" t="inlineStr">
        <is>
          <t>—</t>
        </is>
      </c>
      <c r="T48" s="3" t="inlineStr">
        <is>
          <t>—</t>
        </is>
      </c>
      <c r="U48" s="3" t="inlineStr">
        <is>
          <t>ACTIVE</t>
        </is>
      </c>
      <c r="V48" s="3" t="inlineStr">
        <is>
          <t>2026-08-27</t>
        </is>
      </c>
      <c r="W48" s="3" t="n"/>
      <c r="X48" s="3" t="n"/>
      <c r="Y48" s="3" t="inlineStr">
        <is>
          <t>NOTHING OPEN</t>
        </is>
      </c>
    </row>
    <row r="49" ht="60" customHeight="1">
      <c r="A49" s="3" t="inlineStr">
        <is>
          <t>MK-CF-F-048</t>
        </is>
      </c>
      <c r="B49" s="3" t="inlineStr">
        <is>
          <t>effectiveTaxRate</t>
        </is>
      </c>
      <c r="C49" s="3" t="inlineStr">
        <is>
          <t>src/domain/income/calc.ts</t>
        </is>
      </c>
      <c r="D49" s="3" t="n">
        <v>147</v>
      </c>
      <c r="E49" s="3" t="inlineStr">
        <is>
          <t>3 · DEPENDENT</t>
        </is>
      </c>
      <c r="F49" s="3" t="inlineStr">
        <is>
          <t>The share of gross income that goes to tax: the person's own rate where they gave one, otherwise the calculated federal rate for the way they file.</t>
        </is>
      </c>
      <c r="G49" s="11" t="inlineStr">
        <is>
          <t>min(max(tax.manual effective tax rate, 0), 1)</t>
        </is>
      </c>
      <c r="H49" s="3" t="inlineStr">
        <is>
          <t>the smaller of the larger of tax.manual effective tax rate and 0 and 1.</t>
        </is>
      </c>
      <c r="I49" s="3" t="inlineStr">
        <is>
          <t>READ FROM THE CODE — rendered from the expressions the function runs</t>
        </is>
      </c>
      <c r="J49" s="3" t="inlineStr">
        <is>
          <t>1. grossAnnual: number
2. tax: TaxProfile</t>
        </is>
      </c>
      <c r="K49" s="3" t="inlineStr">
        <is>
          <t>number</t>
        </is>
      </c>
      <c r="L49" s="3" t="inlineStr">
        <is>
          <t>—</t>
        </is>
      </c>
      <c r="M49" s="3" t="inlineStr">
        <is>
          <t>1. If over65 is missing it uses 0.
2. Never lets manual effective tax rate fall below 0.</t>
        </is>
      </c>
      <c r="N49" s="3" t="inlineStr">
        <is>
          <t>Yes</t>
        </is>
      </c>
      <c r="O49" s="3" t="inlineStr">
        <is>
          <t>MK-CF-F-102 effectiveRateOnGrossFor</t>
        </is>
      </c>
      <c r="P49" s="3" t="n">
        <v>5</v>
      </c>
      <c r="Q49" s="3" t="inlineStr">
        <is>
          <t>1. MK-CF-F-102 effectiveRateOnGrossFor
2. MK-CF-F-101 taxOwedFor
3. MK-CF-F-100 taxableIncomeFor
4. MK-CF-F-099 deductionFor
5. MK-CF-F-187 seniorDeductionFor</t>
        </is>
      </c>
      <c r="R49" s="3" t="inlineStr">
        <is>
          <t>MK-CF-F-187 seniorDeductionFor → MK-CF-F-099 deductionFor → MK-CF-F-100 taxableIncomeFor → MK-CF-F-101 taxOwedFor → MK-CF-F-102 effectiveRateOnGrossFor → MK-CF-F-048 effectiveTaxRate</t>
        </is>
      </c>
      <c r="S49" s="3" t="inlineStr">
        <is>
          <t>—</t>
        </is>
      </c>
      <c r="T49" s="3" t="inlineStr">
        <is>
          <t>—</t>
        </is>
      </c>
      <c r="U49" s="3" t="inlineStr">
        <is>
          <t>ACTIVE</t>
        </is>
      </c>
      <c r="V49" s="3" t="inlineStr">
        <is>
          <t>2026-08-27</t>
        </is>
      </c>
      <c r="W49" s="3" t="n"/>
      <c r="X49" s="3" t="n"/>
      <c r="Y49" s="3" t="inlineStr">
        <is>
          <t>NOTHING OPEN</t>
        </is>
      </c>
    </row>
    <row r="50" ht="60" customHeight="1">
      <c r="A50" s="3" t="inlineStr">
        <is>
          <t>MK-CF-F-049</t>
        </is>
      </c>
      <c r="B50" s="3" t="inlineStr">
        <is>
          <t>buildIncomeState</t>
        </is>
      </c>
      <c r="C50" s="3" t="inlineStr">
        <is>
          <t>src/domain/income/calc.ts</t>
        </is>
      </c>
      <c r="D50" s="3" t="n">
        <v>234</v>
      </c>
      <c r="E50" s="3" t="inlineStr">
        <is>
          <t>2 · DISPLAYED</t>
        </is>
      </c>
      <c r="F50" s="3" t="inlineStr">
        <is>
          <t>The income picture for a year: gross, tax rate and take-home, and the gross, tax and take-home of each of the twelve months.</t>
        </is>
      </c>
      <c r="G50" s="11" t="inlineStr">
        <is>
          <t>gross = gross annual baseline(sources)
rate = effective tax rate(gross, tax)
net = gross × (1 − rate)
monthly gross = for each of 12 slots, each 0: Σ over sources of (monthly gross of source(each)[i])
grid = []
g = monthly gross[i]</t>
        </is>
      </c>
      <c r="H50" s="3" t="inlineStr">
        <is>
          <t>Gross is gross annual baseline(sources). Rate is effective tax rate(gross, tax). Net is gross times (1 minus rate). Monthly gross is for each of 12 slots, each 0: the monthly gross of source(each added up across sources[i]). Grid is []. G is monthly gross[i].</t>
        </is>
      </c>
      <c r="I50" s="3" t="inlineStr">
        <is>
          <t>READ FROM THE CODE — rendered from the expressions the function runs</t>
        </is>
      </c>
      <c r="J50" s="3" t="inlineStr">
        <is>
          <t>1. userId: string
2. sources: IncomeSource[]
3. tax: TaxProfile</t>
        </is>
      </c>
      <c r="K50" s="3" t="inlineStr">
        <is>
          <t>IncomeState</t>
        </is>
      </c>
      <c r="L50" s="3" t="inlineStr">
        <is>
          <t>NOT FOUND — a screen calls it, but the words printed beside its answer could not be traced automatically. Needs reading.</t>
        </is>
      </c>
      <c r="M50" s="3" t="inlineStr">
        <is>
          <t>None found in this function — anything it assumes comes from the functions it depends on.</t>
        </is>
      </c>
      <c r="N50" s="3" t="inlineStr">
        <is>
          <t>Yes</t>
        </is>
      </c>
      <c r="O50" s="3" t="inlineStr">
        <is>
          <t>1. MK-CF-F-048 effectiveTaxRate
2. MK-CF-F-046 employerMatchAnnual
3. MK-CF-F-045 grossAnnualBaseline
4. MK-CF-F-132 map
5. MK-CF-F-161 monthlyGrossOfSource
6. MK-CF-F-098 progressiveMonthlyTax
7. MK-CF-F-129 round4</t>
        </is>
      </c>
      <c r="P50" s="3" t="n">
        <v>28</v>
      </c>
      <c r="Q50" s="3" t="inlineStr">
        <is>
          <t>1. MK-CF-F-048 effectiveTaxRate
2. MK-CF-F-046 employerMatchAnnual
3. MK-CF-F-045 grossAnnualBaseline
4. MK-CF-F-132 map
5. MK-CF-F-161 monthlyGrossOfSource
6. MK-CF-F-098 progressiveMonthlyTax
7. MK-CF-F-129 round4
8. MK-CF-F-102 effectiveRateOnGrossFor
9. MK-CF-F-044 annualNet
10. MK-CF-F-127 isRental
11. MK-CF-F-101 taxOwedFor
12. MK-CF-F-100 taxableIncomeFor
13. MK-XS-F-122 n
14. MK-CF-O-002 expenses
15. MK-CF-F-099 deductionFor
16. MK-CF-F-151 actualSpending
17. MK-CF-F-150 debtPaymentsCountedAsExpenses
18. MK-CF-F-153 radar
19. MK-CF-F-149 recurringDebtPayments
20. MK-CF-F-187 seniorDeductionFor
21. MK-CF-F-148 inMonth
22. MK-ST-F-052 toNum
23. MK-CF-F-191 ym
24. MK-ST-F-056 has
25. MK-CF-F-022 paymentShape
26. MK-CF-F-152 isRadarItem
27. MK-CF-F-023 requiredPayment
28. MK-CF-F-021 defaultPaymentType</t>
        </is>
      </c>
      <c r="R50" s="3" t="inlineStr">
        <is>
          <t>1. MK-CF-F-099 deductionFor → MK-CF-F-100 taxableIncomeFor → MK-CF-F-101 taxOwedFor → MK-CF-F-102 effectiveRateOnGrossFor → MK-CF-F-048 effectiveTaxRate → MK-CF-F-049 buildIncomeState
2. MK-CF-F-099 deductionFor → MK-CF-F-100 taxableIncomeFor → MK-CF-F-101 taxOwedFor → MK-CF-F-102 effectiveRateOnGrossFor → MK-CF-F-046 employerMatchAnnual → MK-CF-F-049 buildIncomeState
3. MK-CF-F-148 inMonth → MK-CF-F-151 actualSpending → MK-CF-O-002 expenses → MK-CF-F-044 annualNet → MK-CF-F-045 grossAnnualBaseline → MK-CF-F-049 buildIncomeState
4. MK-ST-F-052 toNum → MK-CF-F-151 actualSpending → MK-CF-O-002 expenses → MK-CF-F-044 annualNet → MK-CF-F-045 grossAnnualBaseline → MK-CF-F-049 buildIncomeState
5. MK-CF-F-191 ym → MK-CF-F-151 actualSpending → MK-CF-O-002 expenses → MK-CF-F-044 annualNet → MK-CF-F-045 grossAnnualBaseline → MK-CF-F-049 buildIncomeState
6. MK-ST-F-056 has → MK-CF-F-150 debtPaymentsCountedAsExpenses → MK-CF-O-002 expenses → MK-CF-F-044 annualNet → MK-CF-F-045 grossAnnualBaseline → MK-CF-F-049 buildIncomeState
7. MK-CF-F-148 inMonth → MK-CF-F-150 debtPaymentsCountedAsExpenses → MK-CF-O-002 expenses → MK-CF-F-044 annualNet → MK-CF-F-045 grossAnnualBaseline → MK-CF-F-049 buildIncomeState
8. MK-CF-F-022 paymentShape → MK-CF-F-150 debtPaymentsCountedAsExpenses → MK-CF-O-002 expenses → MK-CF-F-044 annualNet → MK-CF-F-045 grossAnnualBaseline → MK-CF-F-049 buildIncomeState
9. … and 5 more paths</t>
        </is>
      </c>
      <c r="S50" s="3" t="inlineStr">
        <is>
          <t>—</t>
        </is>
      </c>
      <c r="T50" s="3" t="inlineStr">
        <is>
          <t>—</t>
        </is>
      </c>
      <c r="U50" s="3" t="inlineStr">
        <is>
          <t>ACTIVE</t>
        </is>
      </c>
      <c r="V50" s="3" t="inlineStr">
        <is>
          <t>2026-08-27</t>
        </is>
      </c>
      <c r="W50" s="3" t="n"/>
      <c r="X50" s="3" t="n"/>
      <c r="Y50" s="3" t="inlineStr">
        <is>
          <t>NOTHING OPEN</t>
        </is>
      </c>
    </row>
    <row r="51" ht="60" customHeight="1">
      <c r="A51" s="3" t="inlineStr">
        <is>
          <t>MK-CF-F-050</t>
        </is>
      </c>
      <c r="B51" s="3" t="inlineStr">
        <is>
          <t>loadIncome</t>
        </is>
      </c>
      <c r="C51" s="3" t="inlineStr">
        <is>
          <t>src/domain/income/index.ts</t>
        </is>
      </c>
      <c r="D51" s="3" t="n">
        <v>38</v>
      </c>
      <c r="E51" s="3" t="inlineStr">
        <is>
          <t>3 · DEPENDENT (feeds an action only)</t>
        </is>
      </c>
      <c r="F51" s="3" t="inlineStr">
        <is>
          <t>Reads a person's saved income from storage and calculates nothing.</t>
        </is>
      </c>
      <c r="G51" s="11" t="inlineStr">
        <is>
          <t>get user doc&lt;income doc&gt;(COLLECTION, uid)</t>
        </is>
      </c>
      <c r="H51" s="3" t="inlineStr">
        <is>
          <t>get user doc&lt;income doc&gt;(COLLECTION, uid).</t>
        </is>
      </c>
      <c r="I51" s="3" t="inlineStr">
        <is>
          <t>READ FROM THE CODE — rendered from the expressions the function runs</t>
        </is>
      </c>
      <c r="J51" s="3" t="inlineStr">
        <is>
          <t>uid: UserId</t>
        </is>
      </c>
      <c r="K51" s="3" t="inlineStr">
        <is>
          <t>Promise&lt;IncomeDoc | null&gt;</t>
        </is>
      </c>
      <c r="L51" s="3" t="inlineStr">
        <is>
          <t>—</t>
        </is>
      </c>
      <c r="M51" s="3" t="inlineStr">
        <is>
          <t>None found in this function — anything it assumes comes from the functions it depends on.</t>
        </is>
      </c>
      <c r="N51" s="3" t="inlineStr">
        <is>
          <t>No</t>
        </is>
      </c>
      <c r="O51" s="3" t="inlineStr">
        <is>
          <t>MK-XS-F-175 uid</t>
        </is>
      </c>
      <c r="P51" s="3" t="n">
        <v>81</v>
      </c>
      <c r="Q51"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51" s="3" t="inlineStr">
        <is>
          <t>1. MK-ST-F-027 accountId → MK-XS-F-175 uid → MK-CF-F-050 loadIncome
2. MK-CF-F-137 findPos → MK-CF-F-138 addLot → MK-CF-F-111 applyTransaction → MK-XS-F-175 uid → MK-CF-F-050 loadIncome
3. MK-CF-F-132 map → MK-CF-F-138 addLot → MK-CF-F-111 applyTransaction → MK-XS-F-175 uid → MK-CF-F-050 loadIncome
4. MK-ST-F-043 newEntityId → MK-CF-F-138 addLot → MK-CF-F-111 applyTransaction → MK-XS-F-175 uid → MK-CF-F-050 loadIncome
5. MK-CF-F-134 usesSleeve → MK-CF-F-136 bumpCash → MK-CF-F-111 applyTransaction → MK-XS-F-175 uid → MK-CF-F-050 loadIncome
6. MK-CF-F-137 findPos → MK-CF-F-111 applyTransaction → MK-XS-F-175 uid → MK-CF-F-050 loadIncome
7. MK-CF-F-132 map → MK-CF-F-111 applyTransaction → MK-XS-F-175 uid → MK-CF-F-050 loadIncome
8. MK-CF-F-137 findPos → MK-CF-F-139 removeShares → MK-CF-F-111 applyTransaction → MK-XS-F-175 uid → MK-CF-F-050 loadIncome
9. … and 4 more paths</t>
        </is>
      </c>
      <c r="S51" s="3" t="inlineStr">
        <is>
          <t>—</t>
        </is>
      </c>
      <c r="T51" s="3" t="inlineStr">
        <is>
          <t>—</t>
        </is>
      </c>
      <c r="U51" s="3" t="inlineStr">
        <is>
          <t>ACTIVE</t>
        </is>
      </c>
      <c r="V51" s="3" t="inlineStr">
        <is>
          <t>2026-08-27</t>
        </is>
      </c>
      <c r="W51" s="3" t="n"/>
      <c r="X51" s="3" t="n"/>
      <c r="Y51" s="3" t="inlineStr">
        <is>
          <t>NOTHING OPEN</t>
        </is>
      </c>
    </row>
    <row r="52" ht="60" customHeight="1">
      <c r="A52" s="3" t="inlineStr">
        <is>
          <t>MK-CF-F-051</t>
        </is>
      </c>
      <c r="B52" s="3" t="inlineStr">
        <is>
          <t>saveIncome</t>
        </is>
      </c>
      <c r="C52" s="3" t="inlineStr">
        <is>
          <t>src/domain/income/index.ts</t>
        </is>
      </c>
      <c r="D52" s="3" t="n">
        <v>58</v>
      </c>
      <c r="E52" s="3" t="inlineStr">
        <is>
          <t>1 · ACTION</t>
        </is>
      </c>
      <c r="F52" s="3" t="inlineStr">
        <is>
          <t>Saves a person's income to storage, tells the rest of the app it changed, and calculates nothing.</t>
        </is>
      </c>
      <c r="G52" s="11" t="inlineStr">
        <is>
          <t>It records or announces something and returns no figure — no arithmetic of its own.</t>
        </is>
      </c>
      <c r="H52" s="3" t="inlineStr">
        <is>
          <t>It records or announces something and returns no figure — no arithmetic of its own.</t>
        </is>
      </c>
      <c r="I52" s="3" t="inlineStr">
        <is>
          <t>NO ARITHMETIC — there is no formula to state</t>
        </is>
      </c>
      <c r="J52" s="3" t="inlineStr">
        <is>
          <t>docData: IncomeDoc</t>
        </is>
      </c>
      <c r="K52" s="3" t="inlineStr">
        <is>
          <t>Promise&lt;void&gt;</t>
        </is>
      </c>
      <c r="L52" s="3" t="inlineStr">
        <is>
          <t>—</t>
        </is>
      </c>
      <c r="M52" s="3" t="inlineStr">
        <is>
          <t>None found in this function — anything it assumes comes from the functions it depends on.</t>
        </is>
      </c>
      <c r="N52" s="3" t="inlineStr">
        <is>
          <t>Yes</t>
        </is>
      </c>
      <c r="O52" s="3" t="inlineStr">
        <is>
          <t>1. MK-ST-F-040 emit
2. MK-ST-F-042 setUserDoc</t>
        </is>
      </c>
      <c r="P52" s="3" t="n">
        <v>83</v>
      </c>
      <c r="Q52" s="3" t="inlineStr">
        <is>
          <t>1. MK-ST-F-040 emit
2. MK-ST-F-042 setUserDoc
3. MK-XS-F-175 uid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52" s="3" t="inlineStr">
        <is>
          <t>1. MK-ST-F-040 emit → MK-CF-F-051 saveIncome
2. MK-ST-F-027 accountId → MK-XS-F-175 uid → MK-ST-F-042 setUserDoc → MK-CF-F-051 saveIncome
3. MK-CF-F-137 findPos → MK-CF-F-138 addLot → MK-CF-F-111 applyTransaction → MK-XS-F-175 uid → MK-ST-F-042 setUserDoc → MK-CF-F-051 saveIncome
4. MK-CF-F-132 map → MK-CF-F-138 addLot → MK-CF-F-111 applyTransaction → MK-XS-F-175 uid → MK-ST-F-042 setUserDoc → MK-CF-F-051 saveIncome
5. MK-ST-F-043 newEntityId → MK-CF-F-138 addLot → MK-CF-F-111 applyTransaction → MK-XS-F-175 uid → MK-ST-F-042 setUserDoc → MK-CF-F-051 saveIncome
6. MK-CF-F-134 usesSleeve → MK-CF-F-136 bumpCash → MK-CF-F-111 applyTransaction → MK-XS-F-175 uid → MK-ST-F-042 setUserDoc → MK-CF-F-051 saveIncome
7. MK-CF-F-137 findPos → MK-CF-F-111 applyTransaction → MK-XS-F-175 uid → MK-ST-F-042 setUserDoc → MK-CF-F-051 saveIncome
8. MK-CF-F-132 map → MK-CF-F-111 applyTransaction → MK-XS-F-175 uid → MK-ST-F-042 setUserDoc → MK-CF-F-051 saveIncome
9. … and 4 more paths</t>
        </is>
      </c>
      <c r="S52" s="3" t="inlineStr">
        <is>
          <t>—</t>
        </is>
      </c>
      <c r="T52" s="3" t="inlineStr">
        <is>
          <t>—</t>
        </is>
      </c>
      <c r="U52" s="3" t="inlineStr">
        <is>
          <t>ACTIVE</t>
        </is>
      </c>
      <c r="V52" s="3" t="inlineStr">
        <is>
          <t>2026-08-27</t>
        </is>
      </c>
      <c r="W52" s="3" t="n"/>
      <c r="X52" s="3" t="n"/>
      <c r="Y52" s="3" t="inlineStr">
        <is>
          <t>NOTHING OPEN</t>
        </is>
      </c>
    </row>
    <row r="53" ht="60" customHeight="1">
      <c r="A53" s="3" t="inlineStr">
        <is>
          <t>MK-CF-F-052</t>
        </is>
      </c>
      <c r="B53" s="3" t="inlineStr">
        <is>
          <t>getIncomeState</t>
        </is>
      </c>
      <c r="C53" s="3" t="inlineStr">
        <is>
          <t>src/domain/income/index.ts</t>
        </is>
      </c>
      <c r="D53" s="3" t="n">
        <v>81</v>
      </c>
      <c r="E53" s="3" t="inlineStr">
        <is>
          <t>3 · DEPENDENT (feeds an action only)</t>
        </is>
      </c>
      <c r="F53" s="3" t="inlineStr">
        <is>
          <t>The public read-model (spec IncomeState): totals, effective rate, monthly grid.</t>
        </is>
      </c>
      <c r="G53" s="11" t="inlineStr">
        <is>
          <t>d = await load income(uid)
nothing   when d is missing
the answer = build income state(uid, sources ?? [], tax ?? DEFAULT_TAX)</t>
        </is>
      </c>
      <c r="H53" s="3" t="inlineStr">
        <is>
          <t>D is await load income(uid). When d is missing, it answers no answer. The answer is build income state(uid, sources ?? [], tax ?? DEFAULT_TAX).</t>
        </is>
      </c>
      <c r="I53" s="3" t="inlineStr">
        <is>
          <t>PARTLY READ — some of the code is still showing through; needs a hand pass</t>
        </is>
      </c>
      <c r="J53" s="3" t="inlineStr">
        <is>
          <t>uid: UserId</t>
        </is>
      </c>
      <c r="K53" s="3" t="inlineStr">
        <is>
          <t>Promise&lt;IncomeState | null&gt;</t>
        </is>
      </c>
      <c r="L53" s="3" t="inlineStr">
        <is>
          <t>—</t>
        </is>
      </c>
      <c r="M53" s="3" t="inlineStr">
        <is>
          <t>None found in this function — anything it assumes comes from the functions it depends on.</t>
        </is>
      </c>
      <c r="N53" s="3" t="inlineStr">
        <is>
          <t>No</t>
        </is>
      </c>
      <c r="O53" s="3" t="inlineStr">
        <is>
          <t>1. MK-CF-F-049 buildIncomeState
2. MK-CF-F-050 loadIncome
3. MK-XS-F-175 uid</t>
        </is>
      </c>
      <c r="P53" s="3" t="n">
        <v>102</v>
      </c>
      <c r="Q53" s="3" t="inlineStr">
        <is>
          <t>1. MK-CF-F-049 buildIncomeState
2. MK-CF-F-050 loadIncome
3. MK-XS-F-175 uid
4. MK-CF-F-048 effectiveTaxRate
5. MK-CF-F-046 employerMatchAnnual
6. MK-CF-F-045 grossAnnualBaseline
7. MK-CF-F-132 map
8. MK-CF-F-161 monthlyGrossOfSource
9. MK-CF-F-098 progressiveMonthlyTax
10. MK-CF-F-129 round4
11. MK-ST-F-027 accountId
12. MK-CF-F-111 applyTransaction
13. MK-NW-F-040 assetsFromOnboarding
14. MK-PF-F-013 benchmarkTicker
15. MK-ST-F-028 buildDayFromAccounts
16. MK-PF-F-034 closeOnOrBefore
17. MK-CF-F-186 convertTakeHomeMode
18. MK-ST-F-079 dailyWindowStart
19. MK-CF-F-038 debtsFromOnboarding
20. MK-XS-F-083 fetchPriceSeries
21. MK-PL-F-013 goalsFromOnboarding
22. MK-ST-F-056 has
23. MK-CF-F-116 inverseOf
24. MK-ST-F-065 isoLocalDate
25. MK-CF-F-112 makeTransaction
26. MK-XS-F-122 n
27. MK-ST-F-043 newEntityId
28. MK-XS-F-006 pruneDaily
29. MK-ST-F-073 rebuildDays
30. MK-NW-F-054 reclassifyAccounts
31. MK-XS-F-174 recomputeBalances
32. MK-CF-F-115 restoreUndo
33. MK-CF-F-109 reviewTransactions
34. MK-ST-F-044 setMoneyFormat
35. MK-CF-F-114 undoSnapshot
36. MK-CF-F-191 ym
37. MK-CF-F-102 effectiveRateOnGrossFor
38. MK-CF-F-044 annualNet
39. MK-CF-F-127 isRental
40. MK-CF-F-101 taxOwedFor
41. MK-CF-F-100 taxableIncomeFor
42. MK-CF-F-138 addLot
43. MK-CF-F-136 bumpCash
44. MK-CF-F-137 findPos
45. MK-CF-F-139 removeShares
46. MK-PF-F-001 totalShares
47. MK-ST-F-052 toNum
48. MK-ST-F-053 money
49. MK-CF-F-085 filingStatusOf
50. MK-CF-F-097 grossFromNet
51. MK-CF-F-185 needsTakeHomeConversion
52. MK-CF-F-089 over65CountOf
53. MK-CF-F-037 inferDebtType
54. MK-ST-F-069 amountOf
55. MK-CF-F-133 cashOf
56. MK-ST-F-066 isDayKey
57. MK-ST-F-070 isOpening
58. MK-ST-F-071 rebuildableFrom
59. MK-ST-F-068 stepDay
60. MK-ST-F-072 undo
61. MK-NW-F-053 correctClassOf
62. MK-NW-F-008 incomeBearingClassOf
63. MK-PF-F-002 costBasis
64. MK-PF-F-009 latestClose
65. MK-PF-F-004 marketValue
66. MK-ST-F-030 record
67. MK-XS-F-024 resolveLens
68. MK-ST-F-055 round2
69. MK-CF-F-162 daysApart
70. MK-CF-F-108 isMoneyOut
71. MK-PL-F-074 median
72. MK-CF-F-131 normPayee
73. MK-CF-F-113 affectedAccountIds
74. MK-CF-O-002 expenses
75. MK-CF-F-099 deductionFor
76. MK-CF-F-134 usesSleeve
77. MK-ST-F-049 formatMoney
78. MK-ST-F-067 utcOfDay
79. MK-CF-F-155 cash
80. MK-ST-F-035 covers
81. MK-NW-F-009 maturityClass
82. MK-ST-F-010 nameEvidence
83. MK-PF-F-031 contractMultiplier
84. MK-CF-F-072 currentRetirementIncomeMonthly
85. MK-CF-F-151 actualSpending
86. MK-CF-F-150 debtPaymentsCountedAsExpenses
87. MK-CF-F-153 radar
88. MK-CF-F-149 recurringDebtPayments
89. MK-CF-F-187 seniorDeductionFor
90. MK-ST-F-048 currencySymbol
91. MK-ST-F-039 on
92. MK-ST-F-034 firstDate
93. MK-XS-F-147 call
94. MK-CF-F-075 retirementIncomeMonthly
95. MK-CF-F-148 inMonth
96. MK-CF-F-022 paymentShape
97. MK-CF-F-152 isRadarItem
98. MK-CF-F-023 requiredPayment
99. MK-ST-F-047 activeCurrency
100. MK-XS-F-064 currentIdToken
101. MK-XS-F-112 relayUrl
102. MK-CF-F-021 defaultPaymentType</t>
        </is>
      </c>
      <c r="R53" s="3" t="inlineStr">
        <is>
          <t>1. MK-CF-F-100 taxableIncomeFor → MK-CF-F-101 taxOwedFor → MK-CF-F-102 effectiveRateOnGrossFor → MK-CF-F-048 effectiveTaxRate → MK-CF-F-049 buildIncomeState → MK-CF-F-052 getIncomeState
2. MK-CF-F-100 taxableIncomeFor → MK-CF-F-101 taxOwedFor → MK-CF-F-102 effectiveRateOnGrossFor → MK-CF-F-046 employerMatchAnnual → MK-CF-F-049 buildIncomeState → MK-CF-F-052 getIncomeState
3. MK-CF-F-151 actualSpending → MK-CF-O-002 expenses → MK-CF-F-044 annualNet → MK-CF-F-045 grossAnnualBaseline → MK-CF-F-049 buildIncomeState → MK-CF-F-052 getIncomeState
4. MK-CF-F-150 debtPaymentsCountedAsExpenses → MK-CF-O-002 expenses → MK-CF-F-044 annualNet → MK-CF-F-045 grossAnnualBaseline → MK-CF-F-049 buildIncomeState → MK-CF-F-052 getIncomeState
5. MK-CF-F-153 radar → MK-CF-O-002 expenses → MK-CF-F-044 annualNet → MK-CF-F-045 grossAnnualBaseline → MK-CF-F-049 buildIncomeState → MK-CF-F-052 getIncomeState
6. MK-CF-F-149 recurringDebtPayments → MK-CF-O-002 expenses → MK-CF-F-044 annualNet → MK-CF-F-045 grossAnnualBaseline → MK-CF-F-049 buildIncomeState → MK-CF-F-052 getIncomeState
7. MK-CF-F-127 isRental → MK-CF-F-044 annualNet → MK-CF-F-045 grossAnnualBaseline → MK-CF-F-049 buildIncomeState → MK-CF-F-052 getIncomeState
8. MK-CF-F-132 map → MK-CF-F-049 buildIncomeState → MK-CF-F-052 getIncomeState
9. … and 5 more paths</t>
        </is>
      </c>
      <c r="S53" s="3" t="inlineStr">
        <is>
          <t>—</t>
        </is>
      </c>
      <c r="T53" s="3" t="inlineStr">
        <is>
          <t>—</t>
        </is>
      </c>
      <c r="U53" s="3" t="inlineStr">
        <is>
          <t>ACTIVE</t>
        </is>
      </c>
      <c r="V53" s="3" t="inlineStr">
        <is>
          <t>2026-08-27</t>
        </is>
      </c>
      <c r="W53" s="3" t="n"/>
      <c r="X53" s="3" t="n"/>
      <c r="Y53" s="3" t="inlineStr">
        <is>
          <t>NOTHING OPEN</t>
        </is>
      </c>
    </row>
    <row r="54" ht="60" customHeight="1">
      <c r="A54" s="3" t="inlineStr">
        <is>
          <t>MK-CF-F-053</t>
        </is>
      </c>
      <c r="B54" s="3" t="inlineStr">
        <is>
          <t>annual401kLimit</t>
        </is>
      </c>
      <c r="C54" s="3" t="inlineStr">
        <is>
          <t>src/domain/income/limits.ts</t>
        </is>
      </c>
      <c r="D54" s="3" t="n">
        <v>137</v>
      </c>
      <c r="E54" s="3" t="inlineStr">
        <is>
          <t>2 · DISPLAYED</t>
        </is>
      </c>
      <c r="F54" s="3" t="inlineStr">
        <is>
          <t>Annual employee 401(k) limit for the user's age (adds the 50+ catch-up).</t>
        </is>
      </c>
      <c r="G54" s="11" t="inlineStr">
        <is>
          <t>IRS_LIMITS.elective deferral 401k + IRS_LIMITS.super catch up 6063   when age ≠ nothing and age ≥ 60 and age ≤ 63
IRS_LIMITS.elective deferral 401k + (age ≠ nothing and age ≥ 50 ? IRS_LIMITS.catch up 50 : 0)</t>
        </is>
      </c>
      <c r="H54" s="3" t="inlineStr">
        <is>
          <t>When age is not no answer and age is at least 60 and age is at most 63, it answers IRS_LIMITS.elective deferral 401k plus IRS_LIMITS.super catch up 6063. IRS_LIMITS.elective deferral 401k plus (age is not no answer and age is at least 50 ? IRS_LIMITS.catch up 50 : 0).</t>
        </is>
      </c>
      <c r="I54" s="3" t="inlineStr">
        <is>
          <t>READ FROM THE CODE — rendered from the expressions the function runs</t>
        </is>
      </c>
      <c r="J54" s="3" t="inlineStr">
        <is>
          <t>age: number | null</t>
        </is>
      </c>
      <c r="K54" s="3" t="inlineStr">
        <is>
          <t>number</t>
        </is>
      </c>
      <c r="L54" s="3" t="inlineStr">
        <is>
          <t>"Your contribution (per month)" — on the setup questions, which appear on more than one screen</t>
        </is>
      </c>
      <c r="M54" s="3" t="inlineStr">
        <is>
          <t>· Age = the age attained at any time in the calendar year (this year − birth year), the IRS test for the 50+ catch-up and the 60–63 super catch-up (IRC §414(v)) — never the birthday-aware age (G1). No age → the base limit, no catch-up.</t>
        </is>
      </c>
      <c r="N54" s="3" t="inlineStr">
        <is>
          <t>Yes</t>
        </is>
      </c>
      <c r="O54" s="3" t="inlineStr">
        <is>
          <t>—</t>
        </is>
      </c>
      <c r="P54" s="3" t="n">
        <v>0</v>
      </c>
      <c r="Q54" s="3" t="inlineStr">
        <is>
          <t>None — no dependent function stands behind it</t>
        </is>
      </c>
      <c r="R54" s="3" t="inlineStr">
        <is>
          <t>No dependent function — it reads its inputs and answers</t>
        </is>
      </c>
      <c r="S54" s="3" t="inlineStr">
        <is>
          <t>—</t>
        </is>
      </c>
      <c r="T54" s="3" t="inlineStr">
        <is>
          <t>—</t>
        </is>
      </c>
      <c r="U54" s="3" t="inlineStr">
        <is>
          <t>ACTIVE</t>
        </is>
      </c>
      <c r="V54" s="3" t="inlineStr">
        <is>
          <t>2026-09-01</t>
        </is>
      </c>
      <c r="W54" s="3" t="n"/>
      <c r="X54" s="3" t="n"/>
      <c r="Y54" s="6" t="inlineStr">
        <is>
          <t>TESTED, NOT VERIFIED (G1)</t>
        </is>
      </c>
    </row>
    <row r="55" ht="60" customHeight="1">
      <c r="A55" s="3" t="inlineStr">
        <is>
          <t>MK-CF-F-054</t>
        </is>
      </c>
      <c r="B55" s="3" t="inlineStr">
        <is>
          <t>annualIraLimit</t>
        </is>
      </c>
      <c r="C55" s="3" t="inlineStr">
        <is>
          <t>src/domain/income/limits.ts</t>
        </is>
      </c>
      <c r="D55" s="3" t="n">
        <v>167</v>
      </c>
      <c r="E55" s="3" t="inlineStr">
        <is>
          <t>2 · DISPLAYED</t>
        </is>
      </c>
      <c r="F55" s="3" t="inlineStr">
        <is>
          <t>How much a person may put into an IRA this year: the standard limit, plus the catch-up amount from age 50.</t>
        </is>
      </c>
      <c r="G55" s="11" t="inlineStr">
        <is>
          <t>IRS_LIMITS.ira + (age ≠ nothing and age ≥ 50 ? IRS_LIMITS.ira catch up 50 : 0)</t>
        </is>
      </c>
      <c r="H55" s="3" t="inlineStr">
        <is>
          <t>IRS_LIMITS.ira plus (age is not no answer and age is at least 50 ? IRS_LIMITS.ira catch up 50 : 0).</t>
        </is>
      </c>
      <c r="I55" s="3" t="inlineStr">
        <is>
          <t>READ FROM THE CODE — rendered from the expressions the function runs</t>
        </is>
      </c>
      <c r="J55" s="3" t="inlineStr">
        <is>
          <t>age: number | null</t>
        </is>
      </c>
      <c r="K55" s="3" t="inlineStr">
        <is>
          <t>number</t>
        </is>
      </c>
      <c r="L55" s="3" t="inlineStr">
        <is>
          <t>"Tax-smart moves" — on the Retirement cockpit screen</t>
        </is>
      </c>
      <c r="M55" s="3" t="inlineStr">
        <is>
          <t>· Age = the age attained at any time in the calendar year (this year − birth year), the IRS test for the 50+ catch-up (IRC §219(b)(5)(B)) — never the birthday-aware age (G1).</t>
        </is>
      </c>
      <c r="N55" s="3" t="inlineStr">
        <is>
          <t>Yes</t>
        </is>
      </c>
      <c r="O55" s="3" t="inlineStr">
        <is>
          <t>—</t>
        </is>
      </c>
      <c r="P55" s="3" t="n">
        <v>0</v>
      </c>
      <c r="Q55" s="3" t="inlineStr">
        <is>
          <t>None — no dependent function stands behind it</t>
        </is>
      </c>
      <c r="R55" s="3" t="inlineStr">
        <is>
          <t>No dependent function — it reads its inputs and answers</t>
        </is>
      </c>
      <c r="S55" s="3" t="inlineStr">
        <is>
          <t>—</t>
        </is>
      </c>
      <c r="T55" s="3" t="inlineStr">
        <is>
          <t>—</t>
        </is>
      </c>
      <c r="U55" s="3" t="inlineStr">
        <is>
          <t>ACTIVE</t>
        </is>
      </c>
      <c r="V55" s="3" t="inlineStr">
        <is>
          <t>2026-08-27</t>
        </is>
      </c>
      <c r="W55" s="3" t="n"/>
      <c r="X55" s="3" t="n"/>
      <c r="Y55" s="6" t="inlineStr">
        <is>
          <t>TESTED, NOT VERIFIED (G1)</t>
        </is>
      </c>
    </row>
    <row r="56" ht="60" customHeight="1">
      <c r="A56" s="3" t="inlineStr">
        <is>
          <t>MK-CF-F-055</t>
        </is>
      </c>
      <c r="B56" s="3" t="inlineStr">
        <is>
          <t>annualHsaLimit</t>
        </is>
      </c>
      <c r="C56" s="3" t="inlineStr">
        <is>
          <t>src/domain/income/limits.ts</t>
        </is>
      </c>
      <c r="D56" s="3" t="n">
        <v>195</v>
      </c>
      <c r="E56" s="3" t="inlineStr">
        <is>
          <t>3 · DEPENDENT</t>
        </is>
      </c>
      <c r="F56" s="3" t="inlineStr">
        <is>
          <t>How much can this person put into a health savings account this year?</t>
        </is>
      </c>
      <c r="G56" s="11" t="inlineStr">
        <is>
          <t>0   when enrolled in Medicare (no contribution is allowed)
(family ? family limit : self-only limit) + (age ≥ 55 ? the 55+ catch-up : 0)   otherwise</t>
        </is>
      </c>
      <c r="H56" s="3" t="inlineStr">
        <is>
          <t>Nothing while enrolled in Medicare. Otherwise the self-only limit (or the family limit when told so), plus the 55-and-over catch-up.</t>
        </is>
      </c>
      <c r="I56" s="3" t="inlineStr">
        <is>
          <t>READ BY HAND 2026-08-26 — checked line by line against the code</t>
        </is>
      </c>
      <c r="J56" s="3" t="inlineStr">
        <is>
          <t>1. age: number | null
2. family = false
3. medicareEnrolled: boolean | null = null</t>
        </is>
      </c>
      <c r="K56" s="3" t="inlineStr">
        <is>
          <t>number</t>
        </is>
      </c>
      <c r="L56" s="3" t="inlineStr">
        <is>
          <t>—</t>
        </is>
      </c>
      <c r="M56" s="3" t="inlineStr">
        <is>
          <t>1. Enrolled in Medicare → 0 (IRS Publication 969: no HSA contribution while enrolled). Not enrolled, or not answered → the limit, and at 65+ the screen says "if you are not enrolled in Medicare" and asks — founder ruling 2026-09-08 (second verification G10).
2. Self-only limit unless told it is a family plan.</t>
        </is>
      </c>
      <c r="N56" s="3" t="inlineStr">
        <is>
          <t>Yes</t>
        </is>
      </c>
      <c r="O56" s="3" t="inlineStr">
        <is>
          <t>—</t>
        </is>
      </c>
      <c r="P56" s="3" t="n">
        <v>0</v>
      </c>
      <c r="Q56" s="3" t="inlineStr">
        <is>
          <t>None — no dependent function stands behind it</t>
        </is>
      </c>
      <c r="R56" s="3" t="inlineStr">
        <is>
          <t>No dependent function — it reads its inputs and answers</t>
        </is>
      </c>
      <c r="S56" s="3" t="inlineStr">
        <is>
          <t>—</t>
        </is>
      </c>
      <c r="T56" s="3" t="inlineStr">
        <is>
          <t>—</t>
        </is>
      </c>
      <c r="U56" s="3" t="inlineStr">
        <is>
          <t>ACTIVE</t>
        </is>
      </c>
      <c r="V56" s="3" t="inlineStr">
        <is>
          <t>2026-09-28</t>
        </is>
      </c>
      <c r="W56" s="3" t="n"/>
      <c r="X56" s="3" t="n"/>
      <c r="Y56" s="6" t="inlineStr">
        <is>
          <t>TESTED, NOT VERIFIED (G1, G10)</t>
        </is>
      </c>
    </row>
    <row r="57" ht="60" customHeight="1">
      <c r="A57" s="3" t="inlineStr">
        <is>
          <t>MK-CF-F-056</t>
        </is>
      </c>
      <c r="B57" s="3" t="inlineStr">
        <is>
          <t>k401Headroom</t>
        </is>
      </c>
      <c r="C57" s="3" t="inlineStr">
        <is>
          <t>src/domain/income/limits.ts</t>
        </is>
      </c>
      <c r="D57" s="3" t="n">
        <v>229</v>
      </c>
      <c r="E57" s="3" t="inlineStr">
        <is>
          <t>2 · DISPLAYED</t>
        </is>
      </c>
      <c r="F57" s="3" t="inlineStr">
        <is>
          <t>How much more you can still put into your 401(k) this year (incl.</t>
        </is>
      </c>
      <c r="G57" s="11" t="inlineStr">
        <is>
          <t>limit = annual401k limit(age)
used = max(0, annual401k contribution)
the answer:
limit = limit
used = min(used, limit)
remaining = max(0, limit − used)
catch up = age ≠ nothing and age ≥ 50</t>
        </is>
      </c>
      <c r="H57" s="3" t="inlineStr">
        <is>
          <t>Limit is annual401k limit(age). Used is annual401k contribution, never below zero. The answer is limit = limit; used = the smaller of used and limit; remaining = limit minus used, never below zero; catch up = age is not no answer and age is at least 50.</t>
        </is>
      </c>
      <c r="I57" s="3" t="inlineStr">
        <is>
          <t>READ FROM THE CODE — rendered from the expressions the function runs</t>
        </is>
      </c>
      <c r="J57" s="3" t="inlineStr">
        <is>
          <t>1. age: number | null
2. annual401kContribution: number</t>
        </is>
      </c>
      <c r="K57" s="3" t="inlineStr">
        <is>
          <t>Headroom</t>
        </is>
      </c>
      <c r="L57" s="3" t="inlineStr">
        <is>
          <t>"Tax-smart moves" — on the Retirement cockpit screen</t>
        </is>
      </c>
      <c r="M57" s="3" t="inlineStr">
        <is>
          <t>· Never lets annual401k contribution fall below 0.</t>
        </is>
      </c>
      <c r="N57" s="3" t="inlineStr">
        <is>
          <t>Yes</t>
        </is>
      </c>
      <c r="O57" s="3" t="inlineStr">
        <is>
          <t>MK-CF-F-053 annual401kLimit</t>
        </is>
      </c>
      <c r="P57" s="3" t="n">
        <v>1</v>
      </c>
      <c r="Q57" s="3" t="inlineStr">
        <is>
          <t>MK-CF-F-053 annual401kLimit</t>
        </is>
      </c>
      <c r="R57" s="3" t="inlineStr">
        <is>
          <t>MK-CF-F-053 annual401kLimit → MK-CF-F-056 k401Headroom</t>
        </is>
      </c>
      <c r="S57" s="3" t="inlineStr">
        <is>
          <t>—</t>
        </is>
      </c>
      <c r="T57" s="3" t="inlineStr">
        <is>
          <t>—</t>
        </is>
      </c>
      <c r="U57" s="3" t="inlineStr">
        <is>
          <t>ACTIVE</t>
        </is>
      </c>
      <c r="V57" s="3" t="inlineStr">
        <is>
          <t>2026-09-09</t>
        </is>
      </c>
      <c r="W57" s="3" t="n"/>
      <c r="X57" s="3" t="n"/>
      <c r="Y57" s="3" t="inlineStr">
        <is>
          <t>NOTHING OPEN</t>
        </is>
      </c>
    </row>
    <row r="58" ht="60" customHeight="1">
      <c r="A58" s="3" t="inlineStr">
        <is>
          <t>MK-CF-F-057</t>
        </is>
      </c>
      <c r="B58" s="3" t="inlineStr">
        <is>
          <t>rothVsTraditional</t>
        </is>
      </c>
      <c r="C58" s="3" t="inlineStr">
        <is>
          <t>src/domain/income/limits.ts</t>
        </is>
      </c>
      <c r="D58" s="3" t="n">
        <v>253</v>
      </c>
      <c r="E58" s="3" t="inlineStr">
        <is>
          <t>2 · DISPLAYED</t>
        </is>
      </c>
      <c r="F58" s="3" t="inlineStr">
        <is>
          <t>Roth vs Traditional lean from current vs expected-retirement marginal rate (decimals).</t>
        </is>
      </c>
      <c r="G58" s="11" t="inlineStr">
        <is>
          <t>lean = 'roth'            when marginal now ≤ 12%     why = "You're in a low bracket now — pay the tax now (Roth) and withdraw tax-free later."
lean = 'traditional'     when marginal now ≥ 24% and marginal retire &lt; marginal now     why = "High bracket now, likely lower in retirement — deduct now (Traditional), pay tax later."
lean = 'either'          otherwise     why = "Your brackets are similar — splitting Roth and Traditional hedges your future tax rate."</t>
        </is>
      </c>
      <c r="H58" s="3" t="inlineStr">
        <is>
          <t>A marginal rate of 12% or less today leans Roth (pay the tax now, withdraw tax-free later). A rate of 24% or more today that is expected to be lower in retirement leans Traditional (deduct now, pay later). Anything else: either — split the two.</t>
        </is>
      </c>
      <c r="I58" s="3" t="inlineStr">
        <is>
          <t>READ BY HAND 2026-08-26 — checked line by line against the code</t>
        </is>
      </c>
      <c r="J58" s="3" t="inlineStr">
        <is>
          <t>1. marginalNow: number
2. marginalRetire: number</t>
        </is>
      </c>
      <c r="K58" s="3" t="inlineStr">
        <is>
          <t>NOT DECLARED — the code does not say what it gives back</t>
        </is>
      </c>
      <c r="L58" s="3" t="inlineStr">
        <is>
          <t>NOT FOUND — a screen calls it, but the words printed beside its answer could not be traced automatically. Needs reading.</t>
        </is>
      </c>
      <c r="M58" s="3" t="inlineStr">
        <is>
          <t>None found in this function — anything it assumes comes from the functions it depends on.</t>
        </is>
      </c>
      <c r="N58" s="3" t="inlineStr">
        <is>
          <t>Yes</t>
        </is>
      </c>
      <c r="O58" s="3" t="inlineStr">
        <is>
          <t>—</t>
        </is>
      </c>
      <c r="P58" s="3" t="n">
        <v>0</v>
      </c>
      <c r="Q58" s="3" t="inlineStr">
        <is>
          <t>None — no dependent function stands behind it</t>
        </is>
      </c>
      <c r="R58" s="3" t="inlineStr">
        <is>
          <t>No dependent function — it reads its inputs and answers</t>
        </is>
      </c>
      <c r="S58" s="3" t="inlineStr">
        <is>
          <t>—</t>
        </is>
      </c>
      <c r="T58" s="3" t="inlineStr">
        <is>
          <t>—</t>
        </is>
      </c>
      <c r="U58" s="3" t="inlineStr">
        <is>
          <t>ACTIVE</t>
        </is>
      </c>
      <c r="V58" s="3" t="inlineStr">
        <is>
          <t>2026-09-08</t>
        </is>
      </c>
      <c r="W58" s="3" t="n"/>
      <c r="X58" s="3" t="n"/>
      <c r="Y58" s="6" t="inlineStr">
        <is>
          <t>TESTED, NOT VERIFIED (G35)</t>
        </is>
      </c>
    </row>
    <row r="59" ht="60" customHeight="1">
      <c r="A59" s="3" t="inlineStr">
        <is>
          <t>MK-CF-F-058</t>
        </is>
      </c>
      <c r="B59" s="3" t="inlineStr">
        <is>
          <t>rothConversionWindow</t>
        </is>
      </c>
      <c r="C59" s="3" t="inlineStr">
        <is>
          <t>src/domain/income/limits.ts</t>
        </is>
      </c>
      <c r="D59" s="3" t="n">
        <v>277</v>
      </c>
      <c r="E59" s="3" t="inlineStr">
        <is>
          <t>2 · DISPLAYED</t>
        </is>
      </c>
      <c r="F59" s="3" t="inlineStr">
        <is>
          <t>Are you in the low-income "Roth conversion window" (retired, before RMDs/SS push income up)?</t>
        </is>
      </c>
      <c r="G59" s="11" t="inlineStr">
        <is>
          <t>age ≥ retire age and age &lt; min(rmd age, claim age (or rmd age when missing or zero))</t>
        </is>
      </c>
      <c r="H59" s="3" t="inlineStr">
        <is>
          <t>age is at least retire age and age &lt; the smaller of rmd age and claim age (or rmd age — when missing or zero).</t>
        </is>
      </c>
      <c r="I59" s="3" t="inlineStr">
        <is>
          <t>READ FROM THE CODE — rendered from the expressions the function runs</t>
        </is>
      </c>
      <c r="J59" s="3" t="inlineStr">
        <is>
          <t>1. age: number
2. retireAge: number
3. claimAge: number
4. rmdAge = 73</t>
        </is>
      </c>
      <c r="K59" s="3" t="inlineStr">
        <is>
          <t>boolean</t>
        </is>
      </c>
      <c r="L59" s="3" t="inlineStr">
        <is>
          <t>"Roth conversion window:" — on the Retirement cockpit screen</t>
        </is>
      </c>
      <c r="M59" s="3" t="inlineStr">
        <is>
          <t>None found in this function — anything it assumes comes from the functions it depends on.</t>
        </is>
      </c>
      <c r="N59" s="3" t="inlineStr">
        <is>
          <t>Yes</t>
        </is>
      </c>
      <c r="O59" s="3" t="inlineStr">
        <is>
          <t>—</t>
        </is>
      </c>
      <c r="P59" s="3" t="n">
        <v>0</v>
      </c>
      <c r="Q59" s="3" t="inlineStr">
        <is>
          <t>None — no dependent function stands behind it</t>
        </is>
      </c>
      <c r="R59" s="3" t="inlineStr">
        <is>
          <t>No dependent function — it reads its inputs and answers</t>
        </is>
      </c>
      <c r="S59" s="3" t="inlineStr">
        <is>
          <t>—</t>
        </is>
      </c>
      <c r="T59" s="3" t="inlineStr">
        <is>
          <t>—</t>
        </is>
      </c>
      <c r="U59" s="3" t="inlineStr">
        <is>
          <t>ACTIVE</t>
        </is>
      </c>
      <c r="V59" s="3" t="inlineStr">
        <is>
          <t>2026-08-27</t>
        </is>
      </c>
      <c r="W59" s="3" t="n"/>
      <c r="X59" s="3" t="n"/>
      <c r="Y59" s="3" t="inlineStr">
        <is>
          <t>NOTHING OPEN</t>
        </is>
      </c>
    </row>
    <row r="60" ht="60" customHeight="1">
      <c r="A60" s="3" t="inlineStr">
        <is>
          <t>MK-CF-F-059</t>
        </is>
      </c>
      <c r="B60" s="3" t="inlineStr">
        <is>
          <t>annualizedEnteredSalary</t>
        </is>
      </c>
      <c r="C60" s="3" t="inlineStr">
        <is>
          <t>src/domain/income/onboarding.ts</t>
        </is>
      </c>
      <c r="D60" s="3" t="n">
        <v>44</v>
      </c>
      <c r="E60" s="3" t="inlineStr">
        <is>
          <t>3 · DEPENDENT (feeds an action only)</t>
        </is>
      </c>
      <c r="F60" s="3" t="inlineStr">
        <is>
          <t>Annual amount of what the user ENTERED (not grossed up) — for display.</t>
        </is>
      </c>
      <c r="G60" s="11" t="inlineStr">
        <is>
          <t>a = op (or none when missing)
hrs = hours per week read as a number (0 when it is not one) (or DEFAULT_HOURS_PER_WEEK when missing or zero)
the answer = to num(base salary) × hrs × 52</t>
        </is>
      </c>
      <c r="H60" s="3" t="inlineStr">
        <is>
          <t>A is op (or none — when missing). Hrs is hours per week read as a number (0 — when it is one is missing) (or DEFAULT_HOURS_PER_WEEK — when missing or zero). The answer is to num(base salary) times hrs times 52.</t>
        </is>
      </c>
      <c r="I60" s="3" t="inlineStr">
        <is>
          <t>READ FROM THE CODE — rendered from the expressions the function runs</t>
        </is>
      </c>
      <c r="J60" s="3" t="inlineStr">
        <is>
          <t>op: OnboardingProfile | null</t>
        </is>
      </c>
      <c r="K60" s="3" t="inlineStr">
        <is>
          <t>number</t>
        </is>
      </c>
      <c r="L60" s="3" t="inlineStr">
        <is>
          <t>—</t>
        </is>
      </c>
      <c r="M60" s="3" t="inlineStr">
        <is>
          <t>None found in this function — anything it assumes comes from the functions it depends on.</t>
        </is>
      </c>
      <c r="N60" s="3" t="inlineStr">
        <is>
          <t>No</t>
        </is>
      </c>
      <c r="O60" s="3" t="inlineStr">
        <is>
          <t>MK-ST-F-052 toNum</t>
        </is>
      </c>
      <c r="P60" s="3" t="n">
        <v>2</v>
      </c>
      <c r="Q60" s="3" t="inlineStr">
        <is>
          <t>1. MK-ST-F-052 toNum
2. MK-XS-F-122 n</t>
        </is>
      </c>
      <c r="R60" s="3" t="inlineStr">
        <is>
          <t>MK-XS-F-122 n → MK-ST-F-052 toNum → MK-CF-F-059 annualizedEnteredSalary</t>
        </is>
      </c>
      <c r="S60" s="3" t="inlineStr">
        <is>
          <t>—</t>
        </is>
      </c>
      <c r="T60" s="3" t="inlineStr">
        <is>
          <t>—</t>
        </is>
      </c>
      <c r="U60" s="3" t="inlineStr">
        <is>
          <t>ACTIVE</t>
        </is>
      </c>
      <c r="V60" s="3" t="inlineStr">
        <is>
          <t>2026-08-27</t>
        </is>
      </c>
      <c r="W60" s="3" t="n"/>
      <c r="X60" s="3" t="n"/>
      <c r="Y60" s="3" t="inlineStr">
        <is>
          <t>NOTHING OPEN</t>
        </is>
      </c>
    </row>
    <row r="61" ht="60" customHeight="1">
      <c r="A61" s="3" t="inlineStr">
        <is>
          <t>MK-CF-F-060</t>
        </is>
      </c>
      <c r="B61" s="3" t="inlineStr">
        <is>
          <t>salaryGrossByMonth</t>
        </is>
      </c>
      <c r="C61" s="3" t="inlineStr">
        <is>
          <t>src/domain/income/onboarding.ts</t>
        </is>
      </c>
      <c r="D61" s="3" t="n">
        <v>130</v>
      </c>
      <c r="E61" s="3" t="inlineStr">
        <is>
          <t>3 · DEPENDENT</t>
        </is>
      </c>
      <c r="F61" s="3" t="inlineStr">
        <is>
          <t>Per-month GROSS base salary, Jan→Dec.</t>
        </is>
      </c>
      <c r="G61" s="11" t="inlineStr">
        <is>
          <t>sum months over earners(op, (w) =&gt; wage gross by month(w))</t>
        </is>
      </c>
      <c r="H61" s="3" t="inlineStr">
        <is>
          <t>sum months over earners(op, (w) =&gt; wage gross by month(w)).</t>
        </is>
      </c>
      <c r="I61" s="3" t="inlineStr">
        <is>
          <t>PARTLY READ — some of the code is still showing through; needs a hand pass</t>
        </is>
      </c>
      <c r="J61" s="3" t="inlineStr">
        <is>
          <t>op: OnboardingProfile | null</t>
        </is>
      </c>
      <c r="K61" s="3" t="inlineStr">
        <is>
          <t>number[]</t>
        </is>
      </c>
      <c r="L61" s="3" t="inlineStr">
        <is>
          <t>—</t>
        </is>
      </c>
      <c r="M61" s="3" t="inlineStr">
        <is>
          <t>None found in this function — anything it assumes comes from the functions it depends on.</t>
        </is>
      </c>
      <c r="N61" s="3" t="inlineStr">
        <is>
          <t>Yes</t>
        </is>
      </c>
      <c r="O61" s="3" t="inlineStr">
        <is>
          <t>1. MK-CF-F-176 sumMonthsOverEarners
2. MK-CF-F-177 wageGrossByMonth</t>
        </is>
      </c>
      <c r="P61" s="3" t="n">
        <v>13</v>
      </c>
      <c r="Q61" s="3" t="inlineStr">
        <is>
          <t>1. MK-CF-F-176 sumMonthsOverEarners
2. MK-CF-F-177 wageGrossByMonth
3. MK-CF-F-173 earnerWages
4. MK-CF-F-132 map
5. MK-CF-F-130 enteredMonthlyRaw
6. MK-CF-F-166 hasMonthlySalaryTable
7. MK-ST-F-036 reconcile
8. MK-CF-F-167 salaryCalendarYear
9. MK-CF-F-172 hasWage
10. MK-ST-F-052 toNum
11. MK-CF-F-165 salaryMonths
12. MK-ST-F-056 has
13. MK-XS-F-122 n</t>
        </is>
      </c>
      <c r="R61" s="3" t="inlineStr">
        <is>
          <t>1. MK-ST-F-056 has → MK-CF-F-172 hasWage → MK-CF-F-173 earnerWages → MK-CF-F-176 sumMonthsOverEarners → MK-CF-F-060 salaryGrossByMonth
2. MK-CF-F-132 map → MK-CF-F-176 sumMonthsOverEarners → MK-CF-F-060 salaryGrossByMonth
3. MK-XS-F-122 n → MK-ST-F-052 toNum → MK-CF-F-130 enteredMonthlyRaw → MK-CF-F-177 wageGrossByMonth → MK-CF-F-060 salaryGrossByMonth
4. MK-XS-F-122 n → MK-ST-F-052 toNum → MK-CF-F-165 salaryMonths → MK-CF-F-166 hasMonthlySalaryTable → MK-CF-F-177 wageGrossByMonth → MK-CF-F-060 salaryGrossByMonth
5. MK-CF-F-132 map → MK-CF-F-177 wageGrossByMonth → MK-CF-F-060 salaryGrossByMonth
6. MK-ST-F-036 reconcile → MK-CF-F-177 wageGrossByMonth → MK-CF-F-060 salaryGrossByMonth
7. MK-XS-F-122 n → MK-ST-F-052 toNum → MK-CF-F-165 salaryMonths → MK-CF-F-167 salaryCalendarYear → MK-CF-F-177 wageGrossByMonth → MK-CF-F-060 salaryGrossByMonth</t>
        </is>
      </c>
      <c r="S61" s="3" t="inlineStr">
        <is>
          <t>—</t>
        </is>
      </c>
      <c r="T61" s="3" t="inlineStr">
        <is>
          <t>SALARY_BY_MONTH</t>
        </is>
      </c>
      <c r="U61" s="3" t="inlineStr">
        <is>
          <t>ACTIVE</t>
        </is>
      </c>
      <c r="V61" s="3" t="inlineStr">
        <is>
          <t>2026-08-27</t>
        </is>
      </c>
      <c r="W61" s="3" t="n"/>
      <c r="X61" s="3" t="n"/>
      <c r="Y61" s="6" t="inlineStr">
        <is>
          <t>TESTED, NOT VERIFIED (G37)</t>
        </is>
      </c>
    </row>
    <row r="62" ht="60" customHeight="1">
      <c r="A62" s="3" t="inlineStr">
        <is>
          <t>MK-CF-F-061</t>
        </is>
      </c>
      <c r="B62" s="3" t="inlineStr">
        <is>
          <t>grossSalaryMonthly</t>
        </is>
      </c>
      <c r="C62" s="3" t="inlineStr">
        <is>
          <t>src/domain/income/onboarding.ts</t>
        </is>
      </c>
      <c r="D62" s="3" t="n">
        <v>216</v>
      </c>
      <c r="E62" s="3" t="inlineStr">
        <is>
          <t>3 · DEPENDENT</t>
        </is>
      </c>
      <c r="F62" s="3" t="inlineStr">
        <is>
          <t>A representative full-month GROSS salary (the highest month — undiluted by $0 gap months).</t>
        </is>
      </c>
      <c r="G62" s="11" t="inlineStr">
        <is>
          <t>arr = salary gross by month(op)
the answer:
max(...arr)   if count of arr
0   otherwise</t>
        </is>
      </c>
      <c r="H62" s="3" t="inlineStr">
        <is>
          <t>Arr is salary gross by month(op). The answer is max(...arr) — when how many arr there are; 0 — otherwise.</t>
        </is>
      </c>
      <c r="I62" s="3" t="inlineStr">
        <is>
          <t>READ FROM THE CODE — rendered from the expressions the function runs</t>
        </is>
      </c>
      <c r="J62" s="3" t="inlineStr">
        <is>
          <t>op: OnboardingProfile | null</t>
        </is>
      </c>
      <c r="K62" s="3" t="inlineStr">
        <is>
          <t>number</t>
        </is>
      </c>
      <c r="L62" s="3" t="inlineStr">
        <is>
          <t>—</t>
        </is>
      </c>
      <c r="M62" s="3" t="inlineStr">
        <is>
          <t>None found in this function — anything it assumes comes from the functions it depends on.</t>
        </is>
      </c>
      <c r="N62" s="3" t="inlineStr">
        <is>
          <t>Yes</t>
        </is>
      </c>
      <c r="O62" s="3" t="inlineStr">
        <is>
          <t>MK-CF-F-060 salaryGrossByMonth</t>
        </is>
      </c>
      <c r="P62" s="3" t="n">
        <v>14</v>
      </c>
      <c r="Q62" s="3" t="inlineStr">
        <is>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is>
      </c>
      <c r="R62" s="3" t="inlineStr">
        <is>
          <t>1. MK-ST-F-056 has → MK-CF-F-172 hasWage → MK-CF-F-173 earnerWages → MK-CF-F-176 sumMonthsOverEarners → MK-CF-F-060 salaryGrossByMonth → MK-CF-F-061 grossSalaryMonthly
2. MK-CF-F-132 map → MK-CF-F-176 sumMonthsOverEarners → MK-CF-F-060 salaryGrossByMonth → MK-CF-F-061 grossSalaryMonthly
3. MK-XS-F-122 n → MK-ST-F-052 toNum → MK-CF-F-130 enteredMonthlyRaw → MK-CF-F-177 wageGrossByMonth → MK-CF-F-060 salaryGrossByMonth → MK-CF-F-061 grossSalaryMonthly
4. MK-ST-F-052 toNum → MK-CF-F-165 salaryMonths → MK-CF-F-166 hasMonthlySalaryTable → MK-CF-F-177 wageGrossByMonth → MK-CF-F-060 salaryGrossByMonth → MK-CF-F-061 grossSalaryMonthly
5. MK-CF-F-132 map → MK-CF-F-177 wageGrossByMonth → MK-CF-F-060 salaryGrossByMonth → MK-CF-F-061 grossSalaryMonthly
6. MK-ST-F-036 reconcile → MK-CF-F-177 wageGrossByMonth → MK-CF-F-060 salaryGrossByMonth → MK-CF-F-061 grossSalaryMonthly
7. MK-ST-F-052 toNum → MK-CF-F-165 salaryMonths → MK-CF-F-167 salaryCalendarYear → MK-CF-F-177 wageGrossByMonth → MK-CF-F-060 salaryGrossByMonth → MK-CF-F-061 grossSalaryMonthly</t>
        </is>
      </c>
      <c r="S62" s="3" t="inlineStr">
        <is>
          <t>—</t>
        </is>
      </c>
      <c r="T62" s="3" t="inlineStr">
        <is>
          <t>—</t>
        </is>
      </c>
      <c r="U62" s="3" t="inlineStr">
        <is>
          <t>ACTIVE</t>
        </is>
      </c>
      <c r="V62" s="3" t="inlineStr">
        <is>
          <t>2026-08-27</t>
        </is>
      </c>
      <c r="W62" s="3" t="n"/>
      <c r="X62" s="3" t="n"/>
      <c r="Y62" s="3" t="inlineStr">
        <is>
          <t>NOTHING OPEN</t>
        </is>
      </c>
    </row>
    <row r="63" ht="60" customHeight="1">
      <c r="A63" s="3" t="inlineStr">
        <is>
          <t>MK-CF-F-062</t>
        </is>
      </c>
      <c r="B63" s="3" t="inlineStr">
        <is>
          <t>equityRowValue</t>
        </is>
      </c>
      <c r="C63" s="3" t="inlineStr">
        <is>
          <t>src/domain/income/onboarding.ts</t>
        </is>
      </c>
      <c r="D63" s="3" t="n">
        <v>255</v>
      </c>
      <c r="E63" s="3" t="inlineStr">
        <is>
          <t>3 · DEPENDENT</t>
        </is>
      </c>
      <c r="F63" s="3" t="inlineStr">
        <is>
          <t>Value of one vesting-schedule row.</t>
        </is>
      </c>
      <c r="G63" s="11" t="inlineStr">
        <is>
          <t>to num(row.shares) × max(0, to num(market) − to num(strike))   when type = 'option'
to num(row.shares) × to num(row.price)</t>
        </is>
      </c>
      <c r="H63" s="3" t="inlineStr">
        <is>
          <t>When type = 'option', it answers to num(row.shares) times to num(market, never below zero minus to num(strike)). to num(row.shares) times to num(row.price).</t>
        </is>
      </c>
      <c r="I63" s="3" t="inlineStr">
        <is>
          <t>READ FROM THE CODE — rendered from the expressions the function runs</t>
        </is>
      </c>
      <c r="J63" s="3" t="inlineStr">
        <is>
          <t>1. row: any
2. type: string
3. strike?: any
4. market?: any</t>
        </is>
      </c>
      <c r="K63" s="3" t="inlineStr">
        <is>
          <t>number</t>
        </is>
      </c>
      <c r="L63" s="3" t="inlineStr">
        <is>
          <t>—</t>
        </is>
      </c>
      <c r="M63" s="3" t="inlineStr">
        <is>
          <t>None found in this function — anything it assumes comes from the functions it depends on.</t>
        </is>
      </c>
      <c r="N63" s="3" t="inlineStr">
        <is>
          <t>Yes</t>
        </is>
      </c>
      <c r="O63" s="3" t="inlineStr">
        <is>
          <t>MK-ST-F-052 toNum</t>
        </is>
      </c>
      <c r="P63" s="3" t="n">
        <v>2</v>
      </c>
      <c r="Q63" s="3" t="inlineStr">
        <is>
          <t>1. MK-ST-F-052 toNum
2. MK-XS-F-122 n</t>
        </is>
      </c>
      <c r="R63" s="3" t="inlineStr">
        <is>
          <t>MK-XS-F-122 n → MK-ST-F-052 toNum → MK-CF-F-062 equityRowValue</t>
        </is>
      </c>
      <c r="S63" s="3" t="inlineStr">
        <is>
          <t>—</t>
        </is>
      </c>
      <c r="T63" s="3" t="inlineStr">
        <is>
          <t>EQUITY_ROW_VALUE</t>
        </is>
      </c>
      <c r="U63" s="3" t="inlineStr">
        <is>
          <t>ACTIVE</t>
        </is>
      </c>
      <c r="V63" s="3" t="inlineStr">
        <is>
          <t>2026-08-27</t>
        </is>
      </c>
      <c r="W63" s="3" t="n"/>
      <c r="X63" s="3" t="n"/>
      <c r="Y63" s="3" t="inlineStr">
        <is>
          <t>NOTHING OPEN</t>
        </is>
      </c>
    </row>
    <row r="64" ht="60" customHeight="1">
      <c r="A64" s="3" t="inlineStr">
        <is>
          <t>MK-CF-F-063</t>
        </is>
      </c>
      <c r="B64" s="3" t="inlineStr">
        <is>
          <t>rowVestYear</t>
        </is>
      </c>
      <c r="C64" s="3" t="inlineStr">
        <is>
          <t>src/domain/income/onboarding.ts</t>
        </is>
      </c>
      <c r="D64" s="3" t="n">
        <v>294</v>
      </c>
      <c r="E64" s="3" t="inlineStr">
        <is>
          <t>3 · DEPENDENT</t>
        </is>
      </c>
      <c r="F64" s="3" t="inlineStr">
        <is>
          <t>Calendar year a row vests (first 4 digits of its date; this year if blank).</t>
        </is>
      </c>
      <c r="G64" s="11" t="inlineStr">
        <is>
          <t>m = string(row.date ?? '').match( ÷ (\d{4}) ÷ )
the answer:
parse int(m[1], 10)   if m
the date ).get full year(   otherwise</t>
        </is>
      </c>
      <c r="H64" s="3" t="inlineStr">
        <is>
          <t>M is string(row.date ?? '').match( divided by (\d{4}) divided by ). The answer is parse int(m[1], 10) — when m; the date ).get full year( — otherwise.</t>
        </is>
      </c>
      <c r="I64" s="3" t="inlineStr">
        <is>
          <t>PARTLY READ — some of the code is still showing through; needs a hand pass</t>
        </is>
      </c>
      <c r="J64" s="3" t="inlineStr">
        <is>
          <t>row: any</t>
        </is>
      </c>
      <c r="K64" s="3" t="inlineStr">
        <is>
          <t>number</t>
        </is>
      </c>
      <c r="L64" s="3" t="inlineStr">
        <is>
          <t>—</t>
        </is>
      </c>
      <c r="M64" s="3" t="inlineStr">
        <is>
          <t>· Uses today's date from the device clock, so the answer changes by itself overnight.</t>
        </is>
      </c>
      <c r="N64" s="3" t="inlineStr">
        <is>
          <t>Yes</t>
        </is>
      </c>
      <c r="O64" s="3" t="inlineStr">
        <is>
          <t>—</t>
        </is>
      </c>
      <c r="P64" s="3" t="n">
        <v>0</v>
      </c>
      <c r="Q64" s="3" t="inlineStr">
        <is>
          <t>None — no dependent function stands behind it</t>
        </is>
      </c>
      <c r="R64" s="3" t="inlineStr">
        <is>
          <t>No dependent function — it reads its inputs and answers</t>
        </is>
      </c>
      <c r="S64" s="3" t="inlineStr">
        <is>
          <t>—</t>
        </is>
      </c>
      <c r="T64" s="3" t="inlineStr">
        <is>
          <t>VESTING_YEAR</t>
        </is>
      </c>
      <c r="U64" s="3" t="inlineStr">
        <is>
          <t>ACTIVE</t>
        </is>
      </c>
      <c r="V64" s="3" t="inlineStr">
        <is>
          <t>2026-08-27</t>
        </is>
      </c>
      <c r="W64" s="3" t="n"/>
      <c r="X64" s="3" t="n"/>
      <c r="Y64" s="3" t="inlineStr">
        <is>
          <t>NOTHING OPEN</t>
        </is>
      </c>
    </row>
    <row r="65" ht="60" customHeight="1">
      <c r="A65" s="3" t="inlineStr">
        <is>
          <t>MK-CF-F-064</t>
        </is>
      </c>
      <c r="B65" s="3" t="inlineStr">
        <is>
          <t>equityCashFlow</t>
        </is>
      </c>
      <c r="C65" s="3" t="inlineStr">
        <is>
          <t>src/domain/income/onboarding.ts</t>
        </is>
      </c>
      <c r="D65" s="3" t="n">
        <v>321</v>
      </c>
      <c r="E65" s="3" t="inlineStr">
        <is>
          <t>2 · DISPLAYED</t>
        </is>
      </c>
      <c r="F65" s="3" t="inlineStr">
        <is>
          <t>Per-calendar-year vesting cash flow across all schedule rows — drives the chart &amp; table.</t>
        </is>
      </c>
      <c r="G65" s="11" t="inlineStr">
        <is>
          <t>a = op (or none when missing)
type = equity type (or 'rsu' when missing)
rows = rsu grants   if array.is array(rsu grants)
[]   otherwise
by year = new map&lt;number, number&gt;()
v = equity row value(r, type, opt strike, opt market)
the answer = for each of [...by year.entries()].sort((x, y) =&gt; x[0] − y[0]): [year, amount]) =&gt; ({ year, amount }</t>
        </is>
      </c>
      <c r="H65" s="3" t="inlineStr">
        <is>
          <t>A is op (or none — when missing). Type is equity type (or 'rsu' — when missing). Rows is rsu grants — when array.is array(rsu grants); [] — otherwise. By year is new map&lt;number, number&gt;(). V is equity row value(r, type, opt strike, opt market). The answer is for each of [...by year.entries()].sort((x, y) =&gt; x[0] minus y[0]): [year, amount]) =&gt; ({ year, amount }.</t>
        </is>
      </c>
      <c r="I65" s="3" t="inlineStr">
        <is>
          <t>PARTLY READ — some of the code is still showing through; needs a hand pass</t>
        </is>
      </c>
      <c r="J65" s="3" t="inlineStr">
        <is>
          <t>op: OnboardingProfile | null</t>
        </is>
      </c>
      <c r="K65" s="3" t="inlineStr">
        <is>
          <t>NOT DECLARED — the code does not say what it gives back</t>
        </is>
      </c>
      <c r="L65" s="3" t="inlineStr">
        <is>
          <t>1. "Annual vesting cash flow" — on the setup questions, which appear on more than one screen
2. "Monthly (retirement)" — on the setup questions, which appear on more than one screen
3. "Monthly cash flow" — on the setup questions, which appear on more than one screen</t>
        </is>
      </c>
      <c r="M65" s="3" t="inlineStr">
        <is>
          <t>None found in this function — anything it assumes comes from the functions it depends on.</t>
        </is>
      </c>
      <c r="N65" s="3" t="inlineStr">
        <is>
          <t>Yes</t>
        </is>
      </c>
      <c r="O65" s="3" t="inlineStr">
        <is>
          <t>1. MK-CF-F-062 equityRowValue
2. MK-CF-F-132 map
3. MK-CF-F-063 rowVestYear</t>
        </is>
      </c>
      <c r="P65" s="3" t="n">
        <v>5</v>
      </c>
      <c r="Q65" s="3" t="inlineStr">
        <is>
          <t>1. MK-CF-F-062 equityRowValue
2. MK-CF-F-132 map
3. MK-CF-F-063 rowVestYear
4. MK-ST-F-052 toNum
5. MK-XS-F-122 n</t>
        </is>
      </c>
      <c r="R65" s="3" t="inlineStr">
        <is>
          <t>1. MK-XS-F-122 n → MK-ST-F-052 toNum → MK-CF-F-062 equityRowValue → MK-CF-F-064 equityCashFlow
2. MK-CF-F-132 map → MK-CF-F-064 equityCashFlow
3. MK-CF-F-063 rowVestYear → MK-CF-F-064 equityCashFlow</t>
        </is>
      </c>
      <c r="S65" s="3" t="inlineStr">
        <is>
          <t>—</t>
        </is>
      </c>
      <c r="T65" s="3" t="inlineStr">
        <is>
          <t>—</t>
        </is>
      </c>
      <c r="U65" s="3" t="inlineStr">
        <is>
          <t>ACTIVE</t>
        </is>
      </c>
      <c r="V65" s="3" t="inlineStr">
        <is>
          <t>2026-08-27</t>
        </is>
      </c>
      <c r="W65" s="3" t="n"/>
      <c r="X65" s="3" t="n"/>
      <c r="Y65" s="3" t="inlineStr">
        <is>
          <t>NOTHING OPEN</t>
        </is>
      </c>
    </row>
    <row r="66" ht="60" customHeight="1">
      <c r="A66" s="3" t="inlineStr">
        <is>
          <t>MK-CF-F-065</t>
        </is>
      </c>
      <c r="B66" s="3" t="inlineStr">
        <is>
          <t>equityVestWeights</t>
        </is>
      </c>
      <c r="C66" s="3" t="inlineStr">
        <is>
          <t>src/domain/income/onboarding.ts</t>
        </is>
      </c>
      <c r="D66" s="3" t="n">
        <v>378</v>
      </c>
      <c r="E66" s="3" t="inlineStr">
        <is>
          <t>3 · DEPENDENT</t>
        </is>
      </c>
      <c r="F66" s="3" t="inlineStr">
        <is>
          <t>Vest-month weights (Jan→Dec, summing to 1) from the equity grant rows — THE one placement rule.</t>
        </is>
      </c>
      <c r="G66" s="11" t="inlineStr">
        <is>
          <t>a = op (or none when missing)
type = equity type (or 'rsu' when missing)
rows = rsu grants   if array.is array(rsu grants)
[]   otherwise
weights = 12 slots, each 0
total v = 0
v = equity row value(r, type, opt strike, opt market)
m = string(date ?? '').match( ÷ \d{4}-(\d{1,2}) ÷ )
idx = min(11, max(0, +m[1] − 1))   if m
11   otherwise
the answer = for each of total v &gt; 0 ? weights: each ÷ total v: nothing</t>
        </is>
      </c>
      <c r="H66" s="3" t="inlineStr">
        <is>
          <t>A is op (or none — when missing). Type is equity type (or 'rsu' — when missing). Rows is rsu grants — when array.is array(rsu grants); [] — otherwise. Weights is 12 slots, each 0. Total v is 0. V is equity row value(r, type, opt strike, opt market). M is string(date ?? '').match( divided by \d{4}-(\d{1,2}) divided by ). Idx: the smaller of 11 and +m[1] minus 1, never below zero — when m; 11 — otherwise. The answer is for each of total v &gt; 0 ? weights: each divided by total v: no answer.</t>
        </is>
      </c>
      <c r="I66" s="3" t="inlineStr">
        <is>
          <t>PARTLY READ — some of the code is still showing through; needs a hand pass</t>
        </is>
      </c>
      <c r="J66" s="3" t="inlineStr">
        <is>
          <t>op: OnboardingProfile | null</t>
        </is>
      </c>
      <c r="K66" s="3" t="inlineStr">
        <is>
          <t>number[] | null</t>
        </is>
      </c>
      <c r="L66" s="3" t="inlineStr">
        <is>
          <t>—</t>
        </is>
      </c>
      <c r="M66" s="3" t="inlineStr">
        <is>
          <t>· Uses a built-in total v of 0.</t>
        </is>
      </c>
      <c r="N66" s="3" t="inlineStr">
        <is>
          <t>Yes</t>
        </is>
      </c>
      <c r="O66" s="3" t="inlineStr">
        <is>
          <t>1. MK-CF-F-062 equityRowValue
2. MK-CF-F-132 map</t>
        </is>
      </c>
      <c r="P66" s="3" t="n">
        <v>4</v>
      </c>
      <c r="Q66" s="3" t="inlineStr">
        <is>
          <t>1. MK-CF-F-062 equityRowValue
2. MK-CF-F-132 map
3. MK-ST-F-052 toNum
4. MK-XS-F-122 n</t>
        </is>
      </c>
      <c r="R66" s="3" t="inlineStr">
        <is>
          <t>1. MK-XS-F-122 n → MK-ST-F-052 toNum → MK-CF-F-062 equityRowValue → MK-CF-F-065 equityVestWeights
2. MK-CF-F-132 map → MK-CF-F-065 equityVestWeights</t>
        </is>
      </c>
      <c r="S66" s="3" t="inlineStr">
        <is>
          <t>—</t>
        </is>
      </c>
      <c r="T66" s="3" t="inlineStr">
        <is>
          <t>—</t>
        </is>
      </c>
      <c r="U66" s="3" t="inlineStr">
        <is>
          <t>ACTIVE</t>
        </is>
      </c>
      <c r="V66" s="3" t="inlineStr">
        <is>
          <t>2026-08-27</t>
        </is>
      </c>
      <c r="W66" s="3" t="n"/>
      <c r="X66" s="3" t="n"/>
      <c r="Y66" s="3" t="inlineStr">
        <is>
          <t>NOTHING OPEN</t>
        </is>
      </c>
    </row>
    <row r="67" ht="60" customHeight="1">
      <c r="A67" s="3" t="inlineStr">
        <is>
          <t>MK-CF-F-066</t>
        </is>
      </c>
      <c r="B67" s="3" t="inlineStr">
        <is>
          <t>rsuAnnual</t>
        </is>
      </c>
      <c r="C67" s="3" t="inlineStr">
        <is>
          <t>src/domain/income/onboarding.ts</t>
        </is>
      </c>
      <c r="D67" s="3" t="n">
        <v>434</v>
      </c>
      <c r="E67" s="3" t="inlineStr">
        <is>
          <t>2 · DISPLAYED</t>
        </is>
      </c>
      <c r="F67" s="3" t="inlineStr">
        <is>
          <t>Annual equity-comp run-rate: total scheduled value spread over the years it vests across (a level annual figure for the income estimate).</t>
        </is>
      </c>
      <c r="G67" s="11" t="inlineStr">
        <is>
          <t>a = op (or none when missing)
type = equity type (or 'rsu' when missing)
rows = rsu grants   if array.is array(rsu grants)
[]   otherwise
valued = for each of rows: v = equity row value(r, type, opt strike, opt market)
y = row vest year(r)
total = valued.reduce((t: number, x: any) =&gt; t + v, 0)
years = a list with no repeats of valued where v &gt; 0for each of : size (or 1 when missing or zero)
the answer = total ÷ years</t>
        </is>
      </c>
      <c r="H67" s="3" t="inlineStr">
        <is>
          <t>A is op (or none — when missing). Type is equity type (or 'rsu' — when missing). Rows is rsu grants — when array.is array(rsu grants); [] — otherwise. Valued is for each of rows: v = equity row value(r, type, opt strike, opt market); y = row vest year(r). Total is valued.reduce((t: number, x: any) =&gt; t plus v, 0). Years is a list with no repeats of valued where v &gt; 0for each of : size (or 1 — when missing or zero). The answer is total divided by years.</t>
        </is>
      </c>
      <c r="I67" s="3" t="inlineStr">
        <is>
          <t>PARTLY READ — some of the code is still showing through; needs a hand pass</t>
        </is>
      </c>
      <c r="J67" s="3" t="inlineStr">
        <is>
          <t>op: OnboardingProfile | null</t>
        </is>
      </c>
      <c r="K67" s="3" t="inlineStr">
        <is>
          <t>number</t>
        </is>
      </c>
      <c r="L67" s="3" t="inlineStr">
        <is>
          <t>NOT FOUND — a screen calls it, but the words printed beside its answer could not be traced automatically. Needs reading.</t>
        </is>
      </c>
      <c r="M67" s="3" t="inlineStr">
        <is>
          <t>None found in this function — anything it assumes comes from the functions it depends on.</t>
        </is>
      </c>
      <c r="N67" s="3" t="inlineStr">
        <is>
          <t>Yes</t>
        </is>
      </c>
      <c r="O67" s="3" t="inlineStr">
        <is>
          <t>1. MK-CF-F-062 equityRowValue
2. MK-CF-F-132 map
3. MK-CF-F-063 rowVestYear
4. MK-ST-F-052 toNum</t>
        </is>
      </c>
      <c r="P67" s="3" t="n">
        <v>5</v>
      </c>
      <c r="Q67" s="3" t="inlineStr">
        <is>
          <t>1. MK-CF-F-062 equityRowValue
2. MK-CF-F-132 map
3. MK-CF-F-063 rowVestYear
4. MK-ST-F-052 toNum
5. MK-XS-F-122 n</t>
        </is>
      </c>
      <c r="R67" s="3" t="inlineStr">
        <is>
          <t>1. MK-XS-F-122 n → MK-ST-F-052 toNum → MK-CF-F-062 equityRowValue → MK-CF-F-066 rsuAnnual
2. MK-CF-F-132 map → MK-CF-F-066 rsuAnnual
3. MK-CF-F-063 rowVestYear → MK-CF-F-066 rsuAnnual
4. MK-XS-F-122 n → MK-ST-F-052 toNum → MK-CF-F-066 rsuAnnual</t>
        </is>
      </c>
      <c r="S67" s="3" t="inlineStr">
        <is>
          <t>—</t>
        </is>
      </c>
      <c r="T67" s="3" t="inlineStr">
        <is>
          <t>EQUITY_THIS_YEAR</t>
        </is>
      </c>
      <c r="U67" s="3" t="inlineStr">
        <is>
          <t>ACTIVE</t>
        </is>
      </c>
      <c r="V67" s="3" t="inlineStr">
        <is>
          <t>2026-08-27</t>
        </is>
      </c>
      <c r="W67" s="3" t="n"/>
      <c r="X67" s="3" t="n"/>
      <c r="Y67" s="3" t="inlineStr">
        <is>
          <t>NOTHING OPEN</t>
        </is>
      </c>
    </row>
    <row r="68" ht="60" customHeight="1">
      <c r="A68" s="3" t="inlineStr">
        <is>
          <t>MK-CF-F-067</t>
        </is>
      </c>
      <c r="B68" s="3" t="inlineStr">
        <is>
          <t>rentalList</t>
        </is>
      </c>
      <c r="C68" s="3" t="inlineStr">
        <is>
          <t>src/domain/income/onboarding.ts</t>
        </is>
      </c>
      <c r="D68" s="3" t="n">
        <v>480</v>
      </c>
      <c r="E68" s="3" t="inlineStr">
        <is>
          <t>3 · DEPENDENT</t>
        </is>
      </c>
      <c r="F68" s="3" t="inlineStr">
        <is>
          <t>Normalized list of rental properties.</t>
        </is>
      </c>
      <c r="G68" s="11" t="inlineStr">
        <is>
          <t>a = op (or none when missing)
norm = (t: any): 'long' | 'short' =&gt; (t = 'short' ? 'short' : 'long')
[{ type: norm(rental type), income: to num(rental income), expenses: to num(rental expenses) }]   when to num(rental income) &gt; 0
the answer = []</t>
        </is>
      </c>
      <c r="H68" s="3" t="inlineStr">
        <is>
          <t>A is op (or none — when missing). Norm is (t: any): 'long' | 'short' =&gt; (t = 'short' ? 'short' : 'long'). When to num(rental income) &gt; 0, it answers [{ type: norm(rental type), income: to num(rental income), expenses: to num(rental expenses) }]. The answer is [].</t>
        </is>
      </c>
      <c r="I68" s="3" t="inlineStr">
        <is>
          <t>PARTLY READ — some of the code is still showing through; needs a hand pass</t>
        </is>
      </c>
      <c r="J68" s="3" t="inlineStr">
        <is>
          <t>op: OnboardingProfile | null</t>
        </is>
      </c>
      <c r="K68" s="3" t="inlineStr">
        <is>
          <t>NOT DECLARED — the code does not say what it gives back</t>
        </is>
      </c>
      <c r="L68" s="3" t="inlineStr">
        <is>
          <t>—</t>
        </is>
      </c>
      <c r="M68" s="3" t="inlineStr">
        <is>
          <t>None found in this function — anything it assumes comes from the functions it depends on.</t>
        </is>
      </c>
      <c r="N68" s="3" t="inlineStr">
        <is>
          <t>Yes</t>
        </is>
      </c>
      <c r="O68" s="3" t="inlineStr">
        <is>
          <t>1. MK-CF-O-002 expenses
2. MK-CF-F-132 map
3. MK-ST-F-052 toNum</t>
        </is>
      </c>
      <c r="P68" s="3" t="n">
        <v>15</v>
      </c>
      <c r="Q68" s="3" t="inlineStr">
        <is>
          <t>1. MK-CF-O-002 expenses
2. MK-CF-F-132 map
3. MK-ST-F-052 toNum
4. MK-CF-F-151 actualSpending
5. MK-CF-F-150 debtPaymentsCountedAsExpenses
6. MK-CF-F-153 radar
7. MK-CF-F-149 recurringDebtPayments
8. MK-XS-F-122 n
9. MK-CF-F-148 inMonth
10. MK-CF-F-191 ym
11. MK-ST-F-056 has
12. MK-CF-F-022 paymentShape
13. MK-CF-F-152 isRadarItem
14. MK-CF-F-023 requiredPayment
15. MK-CF-F-021 defaultPaymentType</t>
        </is>
      </c>
      <c r="R68" s="3" t="inlineStr">
        <is>
          <t>1. MK-CF-F-191 ym → MK-CF-F-148 inMonth → MK-CF-F-151 actualSpending → MK-CF-O-002 expenses → MK-CF-F-067 rentalList
2. MK-XS-F-122 n → MK-ST-F-052 toNum → MK-CF-F-151 actualSpending → MK-CF-O-002 expenses → MK-CF-F-067 rentalList
3. MK-CF-F-191 ym → MK-CF-F-151 actualSpending → MK-CF-O-002 expenses → MK-CF-F-067 rentalList
4. MK-ST-F-056 has → MK-CF-F-150 debtPaymentsCountedAsExpenses → MK-CF-O-002 expenses → MK-CF-F-067 rentalList
5. MK-CF-F-191 ym → MK-CF-F-148 inMonth → MK-CF-F-150 debtPaymentsCountedAsExpenses → MK-CF-O-002 expenses → MK-CF-F-067 rentalList
6. MK-CF-F-021 defaultPaymentType → MK-CF-F-022 paymentShape → MK-CF-F-150 debtPaymentsCountedAsExpenses → MK-CF-O-002 expenses → MK-CF-F-067 rentalList
7. MK-XS-F-122 n → MK-ST-F-052 toNum → MK-CF-F-150 debtPaymentsCountedAsExpenses → MK-CF-O-002 expenses → MK-CF-F-067 rentalList
8. MK-CF-F-191 ym → MK-CF-F-150 debtPaymentsCountedAsExpenses → MK-CF-O-002 expenses → MK-CF-F-067 rentalList
9. … and 5 more paths</t>
        </is>
      </c>
      <c r="S68" s="3" t="inlineStr">
        <is>
          <t>—</t>
        </is>
      </c>
      <c r="T68" s="3" t="inlineStr">
        <is>
          <t>RENTALS</t>
        </is>
      </c>
      <c r="U68" s="3" t="inlineStr">
        <is>
          <t>ACTIVE</t>
        </is>
      </c>
      <c r="V68" s="3" t="inlineStr">
        <is>
          <t>2026-08-27</t>
        </is>
      </c>
      <c r="W68" s="3" t="n"/>
      <c r="X68" s="3" t="n"/>
      <c r="Y68" s="3" t="inlineStr">
        <is>
          <t>NOTHING OPEN</t>
        </is>
      </c>
    </row>
    <row r="69" ht="60" customHeight="1">
      <c r="A69" s="3" t="inlineStr">
        <is>
          <t>MK-CF-F-068</t>
        </is>
      </c>
      <c r="B69" s="3" t="inlineStr">
        <is>
          <t>rentalNetAnnual</t>
        </is>
      </c>
      <c r="C69" s="3" t="inlineStr">
        <is>
          <t>src/domain/income/onboarding.ts</t>
        </is>
      </c>
      <c r="D69" s="3" t="n">
        <v>528</v>
      </c>
      <c r="E69" s="3" t="inlineStr">
        <is>
          <t>2 · DISPLAYED</t>
        </is>
      </c>
      <c r="F69" s="3" t="inlineStr">
        <is>
          <t>Total net rental income per year, across all properties (income − operating expenses).</t>
        </is>
      </c>
      <c r="G69" s="11" t="inlineStr">
        <is>
          <t>Σ over rental list(op) of (income − expenses)× 12</t>
        </is>
      </c>
      <c r="H69" s="3" t="inlineStr">
        <is>
          <t>the income minus expenses added up across rental list(op)× 12.</t>
        </is>
      </c>
      <c r="I69" s="3" t="inlineStr">
        <is>
          <t>READ FROM THE CODE — rendered from the expressions the function runs</t>
        </is>
      </c>
      <c r="J69" s="3" t="inlineStr">
        <is>
          <t>op: OnboardingProfile | null</t>
        </is>
      </c>
      <c r="K69" s="3" t="inlineStr">
        <is>
          <t>number</t>
        </is>
      </c>
      <c r="L69" s="3" t="inlineStr">
        <is>
          <t>"Net" — on the setup questions, which appear on more than one screen</t>
        </is>
      </c>
      <c r="M69" s="3" t="inlineStr">
        <is>
          <t>· Turns a monthly figure into a year by multiplying by twelve.</t>
        </is>
      </c>
      <c r="N69" s="3" t="inlineStr">
        <is>
          <t>Yes</t>
        </is>
      </c>
      <c r="O69" s="3" t="inlineStr">
        <is>
          <t>1. MK-CF-O-002 expenses
2. MK-CF-F-067 rentalList</t>
        </is>
      </c>
      <c r="P69" s="3" t="n">
        <v>16</v>
      </c>
      <c r="Q69" s="3" t="inlineStr">
        <is>
          <t>1. MK-CF-O-002 expenses
2. MK-CF-F-067 rentalList
3. MK-CF-F-151 actualSpending
4. MK-CF-F-150 debtPaymentsCountedAsExpenses
5. MK-CF-F-153 radar
6. MK-CF-F-149 recurringDebtPayments
7. MK-CF-F-132 map
8. MK-ST-F-052 toNum
9. MK-CF-F-148 inMonth
10. MK-CF-F-191 ym
11. MK-ST-F-056 has
12. MK-CF-F-022 paymentShape
13. MK-CF-F-152 isRadarItem
14. MK-CF-F-023 requiredPayment
15. MK-XS-F-122 n
16. MK-CF-F-021 defaultPaymentType</t>
        </is>
      </c>
      <c r="R69" s="3" t="inlineStr">
        <is>
          <t>1. MK-CF-F-191 ym → MK-CF-F-148 inMonth → MK-CF-F-151 actualSpending → MK-CF-O-002 expenses → MK-CF-F-068 rentalNetAnnual
2. MK-XS-F-122 n → MK-ST-F-052 toNum → MK-CF-F-151 actualSpending → MK-CF-O-002 expenses → MK-CF-F-068 rentalNetAnnual
3. MK-CF-F-191 ym → MK-CF-F-151 actualSpending → MK-CF-O-002 expenses → MK-CF-F-068 rentalNetAnnual
4. MK-ST-F-056 has → MK-CF-F-150 debtPaymentsCountedAsExpenses → MK-CF-O-002 expenses → MK-CF-F-068 rentalNetAnnual
5. MK-CF-F-191 ym → MK-CF-F-148 inMonth → MK-CF-F-150 debtPaymentsCountedAsExpenses → MK-CF-O-002 expenses → MK-CF-F-068 rentalNetAnnual
6. MK-CF-F-021 defaultPaymentType → MK-CF-F-022 paymentShape → MK-CF-F-150 debtPaymentsCountedAsExpenses → MK-CF-O-002 expenses → MK-CF-F-068 rentalNetAnnual
7. MK-XS-F-122 n → MK-ST-F-052 toNum → MK-CF-F-150 debtPaymentsCountedAsExpenses → MK-CF-O-002 expenses → MK-CF-F-068 rentalNetAnnual
8. MK-CF-F-191 ym → MK-CF-F-150 debtPaymentsCountedAsExpenses → MK-CF-O-002 expenses → MK-CF-F-068 rentalNetAnnual
9. … and 5 more paths</t>
        </is>
      </c>
      <c r="S69" s="3" t="inlineStr">
        <is>
          <t>—</t>
        </is>
      </c>
      <c r="T69" s="3" t="inlineStr">
        <is>
          <t>RENTAL_INCOME_A_YEAR</t>
        </is>
      </c>
      <c r="U69" s="3" t="inlineStr">
        <is>
          <t>ACTIVE</t>
        </is>
      </c>
      <c r="V69" s="3" t="inlineStr">
        <is>
          <t>2026-08-27</t>
        </is>
      </c>
      <c r="W69" s="3" t="n"/>
      <c r="X69" s="3" t="n"/>
      <c r="Y69" s="3" t="inlineStr">
        <is>
          <t>NOTHING OPEN</t>
        </is>
      </c>
    </row>
    <row r="70" ht="60" customHeight="1">
      <c r="A70" s="3" t="inlineStr">
        <is>
          <t>MK-CF-F-069</t>
        </is>
      </c>
      <c r="B70" s="3" t="inlineStr">
        <is>
          <t>benefitActiveMonths</t>
        </is>
      </c>
      <c r="C70" s="3" t="inlineStr">
        <is>
          <t>src/domain/income/onboarding.ts</t>
        </is>
      </c>
      <c r="D70" s="3" t="n">
        <v>566</v>
      </c>
      <c r="E70" s="3" t="inlineStr">
        <is>
          <t>3 · DEPENDENT</t>
        </is>
      </c>
      <c r="F70" s="3" t="inlineStr">
        <is>
          <t>Calendar months (1-12) benefits are received — e.g.</t>
        </is>
      </c>
      <c r="G70" s="11" t="inlineStr">
        <is>
          <t>m = array.is array(op.benefit months) ? op!.benefit months! where each ≥ 1 and each ≤ 12: []
the answer:
[...m].sort((a, b) =&gt; a − b)   if count of m
[1, 2, 3, 4, 5, 6, 7, 8, 9, 10, 11, 12]   otherwise</t>
        </is>
      </c>
      <c r="H70" s="3" t="inlineStr">
        <is>
          <t>M is array.is array(op.benefit months) ? op!.benefit months! where each is at least 1 and each is at most 12: []. The answer is [...m].sort((a, b) =&gt; a minus b) — when how many m there are; [1, 2, 3, 4, 5, 6, 7, 8, 9, 10, 11, 12] — otherwise.</t>
        </is>
      </c>
      <c r="I70" s="3" t="inlineStr">
        <is>
          <t>PARTLY READ — some of the code is still showing through; needs a hand pass</t>
        </is>
      </c>
      <c r="J70" s="3" t="inlineStr">
        <is>
          <t>op: OnboardingProfile | null</t>
        </is>
      </c>
      <c r="K70" s="3" t="inlineStr">
        <is>
          <t>number[]</t>
        </is>
      </c>
      <c r="L70" s="3" t="inlineStr">
        <is>
          <t>—</t>
        </is>
      </c>
      <c r="M70" s="3" t="inlineStr">
        <is>
          <t>None found in this function — anything it assumes comes from the functions it depends on.</t>
        </is>
      </c>
      <c r="N70" s="3" t="inlineStr">
        <is>
          <t>Yes</t>
        </is>
      </c>
      <c r="O70" s="3" t="inlineStr">
        <is>
          <t>—</t>
        </is>
      </c>
      <c r="P70" s="3" t="n">
        <v>0</v>
      </c>
      <c r="Q70" s="3" t="inlineStr">
        <is>
          <t>None — no dependent function stands behind it</t>
        </is>
      </c>
      <c r="R70" s="3" t="inlineStr">
        <is>
          <t>No dependent function — it reads its inputs and answers</t>
        </is>
      </c>
      <c r="S70" s="3" t="inlineStr">
        <is>
          <t>—</t>
        </is>
      </c>
      <c r="T70" s="3" t="inlineStr">
        <is>
          <t>—</t>
        </is>
      </c>
      <c r="U70" s="3" t="inlineStr">
        <is>
          <t>ACTIVE</t>
        </is>
      </c>
      <c r="V70" s="3" t="inlineStr">
        <is>
          <t>2026-08-27</t>
        </is>
      </c>
      <c r="W70" s="3" t="n"/>
      <c r="X70" s="3" t="n"/>
      <c r="Y70" s="3" t="inlineStr">
        <is>
          <t>NOTHING OPEN</t>
        </is>
      </c>
    </row>
    <row r="71" ht="60" customHeight="1">
      <c r="A71" s="3" t="inlineStr">
        <is>
          <t>MK-CF-F-070</t>
        </is>
      </c>
      <c r="B71" s="3" t="inlineStr">
        <is>
          <t>benefitAnnual</t>
        </is>
      </c>
      <c r="C71" s="3" t="inlineStr">
        <is>
          <t>src/domain/income/onboarding.ts</t>
        </is>
      </c>
      <c r="D71" s="3" t="n">
        <v>600</v>
      </c>
      <c r="E71" s="3" t="inlineStr">
        <is>
          <t>2 · DISPLAYED</t>
        </is>
      </c>
      <c r="F71" s="3" t="inlineStr">
        <is>
          <t>Annual benefits = monthly amount × the months it's actually received.</t>
        </is>
      </c>
      <c r="G71" s="11" t="inlineStr">
        <is>
          <t>count of to num(op.benefit monthly) × benefit active months(op)</t>
        </is>
      </c>
      <c r="H71" s="3" t="inlineStr">
        <is>
          <t>how many to num(op.benefit monthly) times benefit active months(op) there are.</t>
        </is>
      </c>
      <c r="I71" s="3" t="inlineStr">
        <is>
          <t>READ FROM THE CODE — rendered from the expressions the function runs</t>
        </is>
      </c>
      <c r="J71" s="3" t="inlineStr">
        <is>
          <t>op: OnboardingProfile | null</t>
        </is>
      </c>
      <c r="K71" s="3" t="inlineStr">
        <is>
          <t>number</t>
        </is>
      </c>
      <c r="L71" s="3" t="inlineStr">
        <is>
          <t>NOT FOUND — a screen calls it, but the words printed beside its answer could not be traced automatically. Needs reading.</t>
        </is>
      </c>
      <c r="M71" s="3" t="inlineStr">
        <is>
          <t>None found in this function — anything it assumes comes from the functions it depends on.</t>
        </is>
      </c>
      <c r="N71" s="3" t="inlineStr">
        <is>
          <t>Yes</t>
        </is>
      </c>
      <c r="O71" s="3" t="inlineStr">
        <is>
          <t>1. MK-CF-F-069 benefitActiveMonths
2. MK-ST-F-052 toNum</t>
        </is>
      </c>
      <c r="P71" s="3" t="n">
        <v>3</v>
      </c>
      <c r="Q71" s="3" t="inlineStr">
        <is>
          <t>1. MK-CF-F-069 benefitActiveMonths
2. MK-ST-F-052 toNum
3. MK-XS-F-122 n</t>
        </is>
      </c>
      <c r="R71" s="3" t="inlineStr">
        <is>
          <t>1. MK-CF-F-069 benefitActiveMonths → MK-CF-F-070 benefitAnnual
2. MK-XS-F-122 n → MK-ST-F-052 toNum → MK-CF-F-070 benefitAnnual</t>
        </is>
      </c>
      <c r="S71" s="3" t="inlineStr">
        <is>
          <t>—</t>
        </is>
      </c>
      <c r="T71" s="3" t="inlineStr">
        <is>
          <t>—</t>
        </is>
      </c>
      <c r="U71" s="3" t="inlineStr">
        <is>
          <t>ACTIVE</t>
        </is>
      </c>
      <c r="V71" s="3" t="inlineStr">
        <is>
          <t>2026-08-27</t>
        </is>
      </c>
      <c r="W71" s="3" t="n"/>
      <c r="X71" s="3" t="n"/>
      <c r="Y71" s="3" t="inlineStr">
        <is>
          <t>NOTHING OPEN</t>
        </is>
      </c>
    </row>
    <row r="72" ht="60" customHeight="1">
      <c r="A72" s="3" t="inlineStr">
        <is>
          <t>MK-CF-F-071</t>
        </is>
      </c>
      <c r="B72" s="3" t="inlineStr">
        <is>
          <t>extraIncome</t>
        </is>
      </c>
      <c r="C72" s="3" t="inlineStr">
        <is>
          <t>src/domain/income/onboarding.ts</t>
        </is>
      </c>
      <c r="D72" s="3" t="n">
        <v>654</v>
      </c>
      <c r="E72" s="3" t="inlineStr">
        <is>
          <t>2 · DISPLAYED</t>
        </is>
      </c>
      <c r="F72" s="3" t="inlineStr">
        <is>
          <t>Extra income sources beyond salary/rental/equity (self-employment, investment, benefits, support, scholarship, other), split into taxable vs non-taxable steady monthly amounts + a one-time Jan amount.</t>
        </is>
      </c>
      <c r="G72" s="11" t="inlineStr">
        <is>
          <t>a = op (or none when missing)
se m = to num(se amount) ÷ 12   if se freq = 'annual'
se amount read as a number (0 when it is not one)   otherwise
inv m = to num(inv annual) ÷ 12
ben m = benefit annual(a) ÷ 12
sup m = support monthly read as a number (0 when it is not one)
sch list = scholarships   if array.is array(scholarships)
nothing   otherwise
oth freq = other freq (or 'monthly' when missing)
oth m = to num(other amount) ÷ 12   if oth freq = 'annual'
other amount read as a number (0 when it is not one)   if oth freq = 'monthly'
0   otherwise   otherwise
oth once = other amount read as a number (0 when it is not one)   if oth freq = 'onetime'
0   otherwise
oth taxable = other taxable ! = 'no'
reinvested = 0   if inv paid to bank = 'yes'
inv m   otherwise
… the first steps only — the rest of the body needs reading by hand.</t>
        </is>
      </c>
      <c r="H72" s="3" t="inlineStr">
        <is>
          <t>A is op (or none — when missing). Se m is to num(se amount) divided by 12 — when se freq = 'annual'; se amount read as a number (0 — when it is one is missing) — otherwise. Inv m is to num(inv annual) divided by 12. Ben m is benefit annual(a) divided by 12. Sup m is support monthly read as a number (0 — when it is one is missing). Sch list is scholarships — when array.is array(scholarships); no answer — otherwise. Oth freq is other freq (or 'monthly' — when missing). Oth m is to num(other amount) divided by 12 — when oth freq = 'annual'; other amount read as a number (0 when it is one is missing) — when oth freq = 'monthly'; 0 — otherwise — otherwise. Oth once is other amount read as a number (0 when it is one is missing) — when oth freq = 'onetime'; 0 — otherwise. Oth taxable is other taxable ! = 'no'. Reinvested is 0 — when inv paid to bank = 'yes'; inv m — otherwise. Only the first steps are shown; the rest of the body needs reading by hand.</t>
        </is>
      </c>
      <c r="I72" s="3" t="inlineStr">
        <is>
          <t>PARTLY READ — some of the code is still showing through; needs a hand pass</t>
        </is>
      </c>
      <c r="J72" s="3" t="inlineStr">
        <is>
          <t>op: OnboardingProfile | null</t>
        </is>
      </c>
      <c r="K72" s="3" t="inlineStr">
        <is>
          <t>NOT DECLARED — the code does not say what it gives back</t>
        </is>
      </c>
      <c r="L72" s="3" t="inlineStr">
        <is>
          <t>NOT FOUND — a screen calls it, but the words printed beside its answer could not be traced automatically. Needs reading.</t>
        </is>
      </c>
      <c r="M72" s="3" t="inlineStr">
        <is>
          <t>None found in this function — anything it assumes comes from the functions it depends on.</t>
        </is>
      </c>
      <c r="N72" s="3" t="inlineStr">
        <is>
          <t>Yes</t>
        </is>
      </c>
      <c r="O72" s="3" t="inlineStr">
        <is>
          <t>1. MK-CF-F-070 benefitAnnual
2. MK-ST-F-039 on
3. MK-ST-F-052 toNum</t>
        </is>
      </c>
      <c r="P72" s="3" t="n">
        <v>5</v>
      </c>
      <c r="Q72" s="3" t="inlineStr">
        <is>
          <t>1. MK-CF-F-070 benefitAnnual
2. MK-ST-F-039 on
3. MK-ST-F-052 toNum
4. MK-CF-F-069 benefitActiveMonths
5. MK-XS-F-122 n</t>
        </is>
      </c>
      <c r="R72" s="3" t="inlineStr">
        <is>
          <t>1. MK-CF-F-069 benefitActiveMonths → MK-CF-F-070 benefitAnnual → MK-CF-F-071 extraIncome
2. MK-XS-F-122 n → MK-ST-F-052 toNum → MK-CF-F-070 benefitAnnual → MK-CF-F-071 extraIncome
3. MK-ST-F-039 on → MK-CF-F-071 extraIncome
4. MK-XS-F-122 n → MK-ST-F-052 toNum → MK-CF-F-071 extraIncome</t>
        </is>
      </c>
      <c r="S72" s="3" t="inlineStr">
        <is>
          <t>—</t>
        </is>
      </c>
      <c r="T72" s="3" t="inlineStr">
        <is>
          <t>OTHER_INCOME</t>
        </is>
      </c>
      <c r="U72" s="3" t="inlineStr">
        <is>
          <t>ACTIVE</t>
        </is>
      </c>
      <c r="V72" s="3" t="inlineStr">
        <is>
          <t>2026-08-28</t>
        </is>
      </c>
      <c r="W72" s="3" t="n"/>
      <c r="X72" s="3" t="n"/>
      <c r="Y72" s="3" t="inlineStr">
        <is>
          <t>NOTHING OPEN</t>
        </is>
      </c>
    </row>
    <row r="73" ht="60" customHeight="1">
      <c r="A73" s="3" t="inlineStr">
        <is>
          <t>MK-CF-F-072</t>
        </is>
      </c>
      <c r="B73" s="3" t="inlineStr">
        <is>
          <t>currentRetirementIncomeMonthly</t>
        </is>
      </c>
      <c r="C73" s="3" t="inlineStr">
        <is>
          <t>src/domain/income/onboarding.ts</t>
        </is>
      </c>
      <c r="D73" s="3" t="n">
        <v>733</v>
      </c>
      <c r="E73" s="3" t="inlineStr">
        <is>
          <t>2 · DISPLAYED</t>
        </is>
      </c>
      <c r="F73" s="3" t="inlineStr">
        <is>
          <t>Retirement income (ri_*) counts as CURRENT income only when the user actually receives it now — i.e.</t>
        </is>
      </c>
      <c r="G73" s="11" t="inlineStr">
        <is>
          <t>srcs = op.income sources
0   when array.is array(srcs) and !srcs.includes('retirement_income')
the answer = retirement income monthly(op)</t>
        </is>
      </c>
      <c r="H73" s="3" t="inlineStr">
        <is>
          <t>Srcs is op.income sources. When array.is array(srcs) and !srcs.includes('retirement_income'), it answers 0. The answer is retirement income monthly(op).</t>
        </is>
      </c>
      <c r="I73" s="3" t="inlineStr">
        <is>
          <t>PARTLY READ — some of the code is still showing through; needs a hand pass</t>
        </is>
      </c>
      <c r="J73" s="3" t="inlineStr">
        <is>
          <t>op: OnboardingProfile | null</t>
        </is>
      </c>
      <c r="K73" s="3" t="inlineStr">
        <is>
          <t>number</t>
        </is>
      </c>
      <c r="L73" s="3" t="inlineStr">
        <is>
          <t>NOT FOUND — a screen calls it, but the words printed beside its answer could not be traced automatically. Needs reading.</t>
        </is>
      </c>
      <c r="M73" s="3" t="inlineStr">
        <is>
          <t>None found in this function — anything it assumes comes from the functions it depends on.</t>
        </is>
      </c>
      <c r="N73" s="3" t="inlineStr">
        <is>
          <t>Yes</t>
        </is>
      </c>
      <c r="O73" s="3" t="inlineStr">
        <is>
          <t>MK-CF-F-075 retirementIncomeMonthly</t>
        </is>
      </c>
      <c r="P73" s="3" t="n">
        <v>3</v>
      </c>
      <c r="Q73" s="3" t="inlineStr">
        <is>
          <t>1. MK-CF-F-075 retirementIncomeMonthly
2. MK-ST-F-052 toNum
3. MK-XS-F-122 n</t>
        </is>
      </c>
      <c r="R73" s="3" t="inlineStr">
        <is>
          <t>MK-XS-F-122 n → MK-ST-F-052 toNum → MK-CF-F-075 retirementIncomeMonthly → MK-CF-F-072 currentRetirementIncomeMonthly</t>
        </is>
      </c>
      <c r="S73" s="3" t="inlineStr">
        <is>
          <t>MK-PL-M-018 · MK-PL-M-032</t>
        </is>
      </c>
      <c r="T73" s="3" t="inlineStr">
        <is>
          <t>RETIREMENT_INCOME_NOW</t>
        </is>
      </c>
      <c r="U73" s="3" t="inlineStr">
        <is>
          <t>ACTIVE</t>
        </is>
      </c>
      <c r="V73" s="3" t="inlineStr">
        <is>
          <t>2026-08-27</t>
        </is>
      </c>
      <c r="W73" s="3" t="n"/>
      <c r="X73" s="3" t="n"/>
      <c r="Y73" s="3" t="inlineStr">
        <is>
          <t>NOTHING OPEN</t>
        </is>
      </c>
    </row>
    <row r="74" ht="45" customHeight="1">
      <c r="A74" s="3" t="inlineStr">
        <is>
          <t>MK-CF-F-073</t>
        </is>
      </c>
      <c r="B74" s="3" t="inlineStr">
        <is>
          <t>otherIncomeMonth</t>
        </is>
      </c>
      <c r="C74" s="3" t="inlineStr">
        <is>
          <t>src/domain/income/onboarding.ts</t>
        </is>
      </c>
      <c r="D74" s="3" t="n">
        <v>768</v>
      </c>
      <c r="E74" s="3" t="inlineStr">
        <is>
          <t>3 · DEPENDENT</t>
        </is>
      </c>
      <c r="F74" s="3" t="inlineStr">
        <is>
          <t>Calendar month (1-12) a one-time "other income" lands in (default January).</t>
        </is>
      </c>
      <c r="G74" s="11" t="inlineStr">
        <is>
          <t>min(12, max(1, op.other month read as a number (0 when it is not one) (or 1 when missing or zero)))</t>
        </is>
      </c>
      <c r="H74" s="3" t="inlineStr">
        <is>
          <t>the smaller of 12 and the larger of 1 and op.other month read as a number (0 — when it is one is missing (or 1 — when missing or zero)).</t>
        </is>
      </c>
      <c r="I74" s="3" t="inlineStr">
        <is>
          <t>PARTLY READ — some of the code is still showing through; needs a hand pass</t>
        </is>
      </c>
      <c r="J74" s="3" t="inlineStr">
        <is>
          <t>op: OnboardingProfile | null</t>
        </is>
      </c>
      <c r="K74" s="3" t="inlineStr">
        <is>
          <t>number</t>
        </is>
      </c>
      <c r="L74" s="3" t="inlineStr">
        <is>
          <t>—</t>
        </is>
      </c>
      <c r="M74" s="3" t="inlineStr">
        <is>
          <t>None found in this function — anything it assumes comes from the functions it depends on.</t>
        </is>
      </c>
      <c r="N74" s="3" t="inlineStr">
        <is>
          <t>Yes</t>
        </is>
      </c>
      <c r="O74" s="3" t="inlineStr">
        <is>
          <t>MK-ST-F-052 toNum</t>
        </is>
      </c>
      <c r="P74" s="3" t="n">
        <v>2</v>
      </c>
      <c r="Q74" s="3" t="inlineStr">
        <is>
          <t>1. MK-ST-F-052 toNum
2. MK-XS-F-122 n</t>
        </is>
      </c>
      <c r="R74" s="3" t="inlineStr">
        <is>
          <t>MK-XS-F-122 n → MK-ST-F-052 toNum → MK-CF-F-073 otherIncomeMonth</t>
        </is>
      </c>
      <c r="S74" s="3" t="inlineStr">
        <is>
          <t>—</t>
        </is>
      </c>
      <c r="T74" s="3" t="inlineStr">
        <is>
          <t>—</t>
        </is>
      </c>
      <c r="U74" s="3" t="inlineStr">
        <is>
          <t>ACTIVE</t>
        </is>
      </c>
      <c r="V74" s="3" t="inlineStr">
        <is>
          <t>2026-08-27</t>
        </is>
      </c>
      <c r="W74" s="3" t="n"/>
      <c r="X74" s="3" t="n"/>
      <c r="Y74" s="3" t="inlineStr">
        <is>
          <t>NOTHING OPEN</t>
        </is>
      </c>
    </row>
    <row r="75" ht="60" customHeight="1">
      <c r="A75" s="3" t="inlineStr">
        <is>
          <t>MK-CF-F-074</t>
        </is>
      </c>
      <c r="B75" s="3" t="inlineStr">
        <is>
          <t>tipsAnnual</t>
        </is>
      </c>
      <c r="C75" s="3" t="inlineStr">
        <is>
          <t>src/domain/income/onboarding.ts</t>
        </is>
      </c>
      <c r="D75" s="3" t="n">
        <v>807</v>
      </c>
      <c r="E75" s="3" t="inlineStr">
        <is>
          <t>3 · DEPENDENT</t>
        </is>
      </c>
      <c r="F75" s="3" t="inlineStr">
        <is>
          <t>Tips are part of employment income — they only count in the months the job is active, and the annual figure is prorated like salary (a temp job that ends stops the tips too).</t>
        </is>
      </c>
      <c r="G75" s="11" t="inlineStr">
        <is>
          <t>to num((op ?? {}).tips monthly) × salary active months(op, now)</t>
        </is>
      </c>
      <c r="H75" s="3" t="inlineStr">
        <is>
          <t>to num((op ?? {}).tips monthly) times salary active months(op, now).</t>
        </is>
      </c>
      <c r="I75" s="3" t="inlineStr">
        <is>
          <t>PARTLY READ — some of the code is still showing through; needs a hand pass</t>
        </is>
      </c>
      <c r="J75" s="3" t="inlineStr">
        <is>
          <t>1. op: OnboardingProfile | null
2. now: Date = new Date()</t>
        </is>
      </c>
      <c r="K75" s="3" t="inlineStr">
        <is>
          <t>number</t>
        </is>
      </c>
      <c r="L75" s="3" t="inlineStr">
        <is>
          <t>—</t>
        </is>
      </c>
      <c r="M75" s="3" t="inlineStr">
        <is>
          <t>· Uses today's date from the device clock, so the answer changes by itself overnight.</t>
        </is>
      </c>
      <c r="N75" s="3" t="inlineStr">
        <is>
          <t>Yes</t>
        </is>
      </c>
      <c r="O75" s="3" t="inlineStr">
        <is>
          <t>1. MK-CF-F-081 salaryActiveMonths
2. MK-ST-F-052 toNum</t>
        </is>
      </c>
      <c r="P75" s="3" t="n">
        <v>15</v>
      </c>
      <c r="Q75" s="3" t="inlineStr">
        <is>
          <t>1. MK-CF-F-081 salaryActiveMonths
2. MK-ST-F-052 toNum
3. MK-CF-F-060 salaryGrossByMonth
4. MK-XS-F-122 n
5. MK-CF-F-176 sumMonthsOverEarners
6. MK-CF-F-177 wageGrossByMonth
7. MK-CF-F-173 earnerWages
8. MK-CF-F-132 map
9. MK-CF-F-130 enteredMonthlyRaw
10. MK-CF-F-166 hasMonthlySalaryTable
11. MK-ST-F-036 reconcile
12. MK-CF-F-167 salaryCalendarYear
13. MK-CF-F-172 hasWage
14. MK-CF-F-165 salaryMonths
15. MK-ST-F-056 has</t>
        </is>
      </c>
      <c r="R75" s="3" t="inlineStr">
        <is>
          <t>1. MK-CF-F-172 hasWage → MK-CF-F-173 earnerWages → MK-CF-F-176 sumMonthsOverEarners → MK-CF-F-060 salaryGrossByMonth → MK-CF-F-081 salaryActiveMonths → MK-CF-F-074 tipsAnnual
2. MK-CF-F-132 map → MK-CF-F-176 sumMonthsOverEarners → MK-CF-F-060 salaryGrossByMonth → MK-CF-F-081 salaryActiveMonths → MK-CF-F-074 tipsAnnual
3. MK-ST-F-052 toNum → MK-CF-F-130 enteredMonthlyRaw → MK-CF-F-177 wageGrossByMonth → MK-CF-F-060 salaryGrossByMonth → MK-CF-F-081 salaryActiveMonths → MK-CF-F-074 tipsAnnual
4. MK-CF-F-165 salaryMonths → MK-CF-F-166 hasMonthlySalaryTable → MK-CF-F-177 wageGrossByMonth → MK-CF-F-060 salaryGrossByMonth → MK-CF-F-081 salaryActiveMonths → MK-CF-F-074 tipsAnnual
5. MK-CF-F-132 map → MK-CF-F-177 wageGrossByMonth → MK-CF-F-060 salaryGrossByMonth → MK-CF-F-081 salaryActiveMonths → MK-CF-F-074 tipsAnnual
6. MK-ST-F-036 reconcile → MK-CF-F-177 wageGrossByMonth → MK-CF-F-060 salaryGrossByMonth → MK-CF-F-081 salaryActiveMonths → MK-CF-F-074 tipsAnnual
7. MK-CF-F-165 salaryMonths → MK-CF-F-167 salaryCalendarYear → MK-CF-F-177 wageGrossByMonth → MK-CF-F-060 salaryGrossByMonth → MK-CF-F-081 salaryActiveMonths → MK-CF-F-074 tipsAnnual
8. MK-XS-F-122 n → MK-ST-F-052 toNum → MK-CF-F-074 tipsAnnual</t>
        </is>
      </c>
      <c r="S75" s="3" t="inlineStr">
        <is>
          <t>—</t>
        </is>
      </c>
      <c r="T75" s="3" t="inlineStr">
        <is>
          <t>TIPS_A_YEAR</t>
        </is>
      </c>
      <c r="U75" s="3" t="inlineStr">
        <is>
          <t>ACTIVE</t>
        </is>
      </c>
      <c r="V75" s="3" t="inlineStr">
        <is>
          <t>2026-08-27</t>
        </is>
      </c>
      <c r="W75" s="3" t="n"/>
      <c r="X75" s="3" t="n"/>
      <c r="Y75" s="3" t="inlineStr">
        <is>
          <t>NOTHING OPEN</t>
        </is>
      </c>
    </row>
    <row r="76" ht="45" customHeight="1">
      <c r="A76" s="3" t="inlineStr">
        <is>
          <t>MK-CF-F-075</t>
        </is>
      </c>
      <c r="B76" s="3" t="inlineStr">
        <is>
          <t>retirementIncomeMonthly</t>
        </is>
      </c>
      <c r="C76" s="3" t="inlineStr">
        <is>
          <t>src/domain/income/onboarding.ts</t>
        </is>
      </c>
      <c r="D76" s="3" t="n">
        <v>852</v>
      </c>
      <c r="E76" s="3" t="inlineStr">
        <is>
          <t>2 · DISPLAYED</t>
        </is>
      </c>
      <c r="F76" s="3" t="inlineStr">
        <is>
          <t>Retirement income (Social Security, pension, withdrawals, RMDs, annuities) per month — taxable.</t>
        </is>
      </c>
      <c r="G76" s="11" t="inlineStr">
        <is>
          <t>a = op (or none when missing)</t>
        </is>
      </c>
      <c r="H76" s="3" t="inlineStr">
        <is>
          <t>A is op (or none — when missing).</t>
        </is>
      </c>
      <c r="I76" s="3" t="inlineStr">
        <is>
          <t>READ FROM THE CODE — rendered from the expressions the function runs</t>
        </is>
      </c>
      <c r="J76" s="3" t="inlineStr">
        <is>
          <t>op: OnboardingProfile | null</t>
        </is>
      </c>
      <c r="K76" s="3" t="inlineStr">
        <is>
          <t>number</t>
        </is>
      </c>
      <c r="L76" s="3" t="inlineStr">
        <is>
          <t>"Your guaranteed income" — on the Monthly income screen, under "Other steady income"</t>
        </is>
      </c>
      <c r="M76" s="3" t="inlineStr">
        <is>
          <t>None found in this function — anything it assumes comes from the functions it depends on.</t>
        </is>
      </c>
      <c r="N76" s="3" t="inlineStr">
        <is>
          <t>Yes</t>
        </is>
      </c>
      <c r="O76" s="3" t="inlineStr">
        <is>
          <t>MK-ST-F-052 toNum</t>
        </is>
      </c>
      <c r="P76" s="3" t="n">
        <v>2</v>
      </c>
      <c r="Q76" s="3" t="inlineStr">
        <is>
          <t>1. MK-ST-F-052 toNum
2. MK-XS-F-122 n</t>
        </is>
      </c>
      <c r="R76" s="3" t="inlineStr">
        <is>
          <t>MK-XS-F-122 n → MK-ST-F-052 toNum → MK-CF-F-075 retirementIncomeMonthly</t>
        </is>
      </c>
      <c r="S76" s="3" t="inlineStr">
        <is>
          <t>—</t>
        </is>
      </c>
      <c r="T76" s="3" t="inlineStr">
        <is>
          <t>RETIREMENT_INCOME</t>
        </is>
      </c>
      <c r="U76" s="3" t="inlineStr">
        <is>
          <t>ACTIVE</t>
        </is>
      </c>
      <c r="V76" s="3" t="inlineStr">
        <is>
          <t>2026-08-27</t>
        </is>
      </c>
      <c r="W76" s="3" t="n"/>
      <c r="X76" s="3" t="n"/>
      <c r="Y76" s="3" t="inlineStr">
        <is>
          <t>NOTHING OPEN</t>
        </is>
      </c>
    </row>
    <row r="77" ht="60" customHeight="1">
      <c r="A77" s="3" t="inlineStr">
        <is>
          <t>MK-CF-F-076</t>
        </is>
      </c>
      <c r="B77" s="3" t="inlineStr">
        <is>
          <t>guaranteedOutsideStreams</t>
        </is>
      </c>
      <c r="C77" s="3" t="inlineStr">
        <is>
          <t>src/domain/income/onboarding.ts</t>
        </is>
      </c>
      <c r="D77" s="3" t="n">
        <v>898</v>
      </c>
      <c r="E77" s="3" t="inlineStr">
        <is>
          <t>2 · DISPLAYED</t>
        </is>
      </c>
      <c r="F77" s="3" t="inlineStr">
        <is>
          <t>The guaranteed income that comes from outside the person's own savings, one row for each source that pays anything: Social Security, a pension, an annuity or another, each as a monthly amount with whether it rises with prices.</t>
        </is>
      </c>
      <c r="G77" s="11" t="inlineStr">
        <is>
          <t>a = (op ?? {}) as any
per = (k: string) =&gt; to num(a['ri_' + k]) ÷ (RI_CAD_DIV[a['ri_' + k + '_freq']] ?? 1)
flag = (k: string, dflt: boolean) =&gt; (typeof a['ri_' + k + '_inflates'] = 'boolean' ? a['ri_' + k + '_inflates'] : dflt)
the answer = rows where monthly &gt; 0</t>
        </is>
      </c>
      <c r="H77" s="3" t="inlineStr">
        <is>
          <t>A is (op ?? {}) as any. Per is (k: string) =&gt; to num(a['ri_' plus k]) divided by (RI_CAD_DIV[a['ri_' plus k plus '_freq']] ?? 1). Flag is (k: string, dflt: boolean) =&gt; (typeof a['ri_' plus k plus '_inflates'] = 'boolean' ? a['ri_' plus k plus '_inflates'] : dflt). The answer is rows where monthly &gt; 0.</t>
        </is>
      </c>
      <c r="I77" s="3" t="inlineStr">
        <is>
          <t>PARTLY READ — some of the code is still showing through; needs a hand pass</t>
        </is>
      </c>
      <c r="J77" s="3" t="inlineStr">
        <is>
          <t>op: OnboardingProfile | null</t>
        </is>
      </c>
      <c r="K77" s="3" t="inlineStr">
        <is>
          <t>GuaranteedStream[]</t>
        </is>
      </c>
      <c r="L77" s="3" t="inlineStr">
        <is>
          <t>NOT FOUND — a screen calls it, but the words printed beside its answer could not be traced automatically. Needs reading.</t>
        </is>
      </c>
      <c r="M77" s="3" t="inlineStr">
        <is>
          <t>None found in this function — anything it assumes comes from the functions it depends on.</t>
        </is>
      </c>
      <c r="N77" s="3" t="inlineStr">
        <is>
          <t>Yes</t>
        </is>
      </c>
      <c r="O77" s="3" t="inlineStr">
        <is>
          <t>MK-ST-F-052 toNum</t>
        </is>
      </c>
      <c r="P77" s="3" t="n">
        <v>2</v>
      </c>
      <c r="Q77" s="3" t="inlineStr">
        <is>
          <t>1. MK-ST-F-052 toNum
2. MK-XS-F-122 n</t>
        </is>
      </c>
      <c r="R77" s="3" t="inlineStr">
        <is>
          <t>MK-XS-F-122 n → MK-ST-F-052 toNum → MK-CF-F-076 guaranteedOutsideStreams</t>
        </is>
      </c>
      <c r="S77" s="3" t="inlineStr">
        <is>
          <t>MK-CF-M-022 · MK-CF-M-023</t>
        </is>
      </c>
      <c r="T77" s="3" t="inlineStr">
        <is>
          <t>GUARANTEED_OUTSIDE_STREAMS</t>
        </is>
      </c>
      <c r="U77" s="3" t="inlineStr">
        <is>
          <t>ACTIVE</t>
        </is>
      </c>
      <c r="V77" s="3" t="inlineStr">
        <is>
          <t>2026-08-27</t>
        </is>
      </c>
      <c r="W77" s="3" t="n"/>
      <c r="X77" s="3" t="n"/>
      <c r="Y77" s="6" t="inlineStr">
        <is>
          <t>TESTED, NOT VERIFIED (G13, G14)</t>
        </is>
      </c>
    </row>
    <row r="78" ht="60" customHeight="1">
      <c r="A78" s="3" t="inlineStr">
        <is>
          <t>MK-CF-F-077</t>
        </is>
      </c>
      <c r="B78" s="3" t="inlineStr">
        <is>
          <t>scholarshipByCalendarMonth</t>
        </is>
      </c>
      <c r="C78" s="3" t="inlineStr">
        <is>
          <t>src/domain/income/onboarding.ts</t>
        </is>
      </c>
      <c r="D78" s="3" t="n">
        <v>948</v>
      </c>
      <c r="E78" s="3" t="inlineStr">
        <is>
          <t>3 · DEPENDENT</t>
        </is>
      </c>
      <c r="F78" s="3" t="inlineStr">
        <is>
          <t>Scholarships/grants placed in the calendar months they actually land (Jan→Dec) — NOT averaged.</t>
        </is>
      </c>
      <c r="G78" s="11" t="inlineStr">
        <is>
          <t>a = op (or none when missing)
out = 12 slots, each 0
list = scholarships   if array.is array(scholarships)
nothing   otherwise
amt = to num(sc.amount); if (amt ≤ 0) continue
months = sc.months   if count of array.is array(sc.months) and sc.months
nothing   otherwise
amt = scholarship amount read as a number (0 when it is not one)
the answer = out</t>
        </is>
      </c>
      <c r="H78" s="3" t="inlineStr">
        <is>
          <t>A is op (or none — when missing). Out is 12 slots, each 0. List is scholarships — when array.is array(scholarships); no answer — otherwise. Amt is to num(sc.amount); — when (amt is at most 0) continue. Months is sc.months — when how many array.is array(sc.months) and sc.months there are; no answer — otherwise. Amt is scholarship amount read as a number (0 — when it is one is missing). The answer is out.</t>
        </is>
      </c>
      <c r="I78" s="3" t="inlineStr">
        <is>
          <t>PARTLY READ — some of the code is still showing through; needs a hand pass</t>
        </is>
      </c>
      <c r="J78" s="3" t="inlineStr">
        <is>
          <t>op: OnboardingProfile | null</t>
        </is>
      </c>
      <c r="K78" s="3" t="inlineStr">
        <is>
          <t>number[]</t>
        </is>
      </c>
      <c r="L78" s="3" t="inlineStr">
        <is>
          <t>—</t>
        </is>
      </c>
      <c r="M78" s="3" t="inlineStr">
        <is>
          <t>None found in this function — anything it assumes comes from the functions it depends on.</t>
        </is>
      </c>
      <c r="N78" s="3" t="inlineStr">
        <is>
          <t>Yes</t>
        </is>
      </c>
      <c r="O78" s="3" t="inlineStr">
        <is>
          <t>MK-ST-F-052 toNum</t>
        </is>
      </c>
      <c r="P78" s="3" t="n">
        <v>2</v>
      </c>
      <c r="Q78" s="3" t="inlineStr">
        <is>
          <t>1. MK-ST-F-052 toNum
2. MK-XS-F-122 n</t>
        </is>
      </c>
      <c r="R78" s="3" t="inlineStr">
        <is>
          <t>MK-XS-F-122 n → MK-ST-F-052 toNum → MK-CF-F-077 scholarshipByCalendarMonth</t>
        </is>
      </c>
      <c r="S78" s="3" t="inlineStr">
        <is>
          <t>—</t>
        </is>
      </c>
      <c r="T78" s="3" t="inlineStr">
        <is>
          <t>—</t>
        </is>
      </c>
      <c r="U78" s="3" t="inlineStr">
        <is>
          <t>ACTIVE</t>
        </is>
      </c>
      <c r="V78" s="3" t="inlineStr">
        <is>
          <t>2026-08-27</t>
        </is>
      </c>
      <c r="W78" s="3" t="n"/>
      <c r="X78" s="3" t="n"/>
      <c r="Y78" s="3" t="inlineStr">
        <is>
          <t>NOTHING OPEN</t>
        </is>
      </c>
    </row>
    <row r="79" ht="60" customHeight="1">
      <c r="A79" s="3" t="inlineStr">
        <is>
          <t>MK-CF-F-078</t>
        </is>
      </c>
      <c r="B79" s="3" t="inlineStr">
        <is>
          <t>employerMatchMonthly</t>
        </is>
      </c>
      <c r="C79" s="3" t="inlineStr">
        <is>
          <t>src/domain/income/onboarding.ts</t>
        </is>
      </c>
      <c r="D79" s="3" t="n">
        <v>990</v>
      </c>
      <c r="E79" s="3" t="inlineStr">
        <is>
          <t>2 · DISPLAYED</t>
        </is>
      </c>
      <c r="F79" s="3" t="inlineStr">
        <is>
          <t>Employer match resolved to $/month.</t>
        </is>
      </c>
      <c r="G79" s="11" t="inlineStr">
        <is>
          <t>sum over earners(op, wage match monthly)</t>
        </is>
      </c>
      <c r="H79" s="3" t="inlineStr">
        <is>
          <t>sum over earners(op, wage match monthly).</t>
        </is>
      </c>
      <c r="I79" s="3" t="inlineStr">
        <is>
          <t>PARTLY READ — some of the code is still showing through; needs a hand pass</t>
        </is>
      </c>
      <c r="J79" s="3" t="inlineStr">
        <is>
          <t>op: OnboardingProfile | null</t>
        </is>
      </c>
      <c r="K79" s="3" t="inlineStr">
        <is>
          <t>number</t>
        </is>
      </c>
      <c r="L79" s="3" t="inlineStr">
        <is>
          <t>"Match (% of your contribution, or a flat amount per month)" — on the setup questions, which appear on more than one screen</t>
        </is>
      </c>
      <c r="M79" s="3" t="inlineStr">
        <is>
          <t>None found in this function — anything it assumes comes from the functions it depends on.</t>
        </is>
      </c>
      <c r="N79" s="3" t="inlineStr">
        <is>
          <t>Yes</t>
        </is>
      </c>
      <c r="O79" s="3" t="inlineStr">
        <is>
          <t>1. MK-CF-F-175 sumOverEarners
2. MK-CF-F-178 wageMatchMonthly</t>
        </is>
      </c>
      <c r="P79" s="3" t="n">
        <v>7</v>
      </c>
      <c r="Q79" s="3" t="inlineStr">
        <is>
          <t>1. MK-CF-F-175 sumOverEarners
2. MK-CF-F-178 wageMatchMonthly
3. MK-CF-F-173 earnerWages
4. MK-ST-F-052 toNum
5. MK-CF-F-172 hasWage
6. MK-XS-F-122 n
7. MK-ST-F-056 has</t>
        </is>
      </c>
      <c r="R79" s="3" t="inlineStr">
        <is>
          <t>1. MK-ST-F-056 has → MK-CF-F-172 hasWage → MK-CF-F-173 earnerWages → MK-CF-F-175 sumOverEarners → MK-CF-F-078 employerMatchMonthly
2. MK-XS-F-122 n → MK-ST-F-052 toNum → MK-CF-F-178 wageMatchMonthly → MK-CF-F-078 employerMatchMonthly</t>
        </is>
      </c>
      <c r="S79" s="3" t="inlineStr">
        <is>
          <t>MK-MN-M-014</t>
        </is>
      </c>
      <c r="T79" s="3" t="inlineStr">
        <is>
          <t>EMPLOYER_MATCH</t>
        </is>
      </c>
      <c r="U79" s="3" t="inlineStr">
        <is>
          <t>ACTIVE</t>
        </is>
      </c>
      <c r="V79" s="3" t="inlineStr">
        <is>
          <t>2026-08-27</t>
        </is>
      </c>
      <c r="W79" s="3" t="n"/>
      <c r="X79" s="3" t="n"/>
      <c r="Y79" s="3" t="inlineStr">
        <is>
          <t>NOTHING OPEN</t>
        </is>
      </c>
    </row>
    <row r="80" ht="60" customHeight="1">
      <c r="A80" s="3" t="inlineStr">
        <is>
          <t>MK-CF-F-079</t>
        </is>
      </c>
      <c r="B80" s="3" t="inlineStr">
        <is>
          <t>incomeFromOnboarding</t>
        </is>
      </c>
      <c r="C80" s="3" t="inlineStr">
        <is>
          <t>src/domain/income/onboarding.ts</t>
        </is>
      </c>
      <c r="D80" s="3" t="n">
        <v>1061</v>
      </c>
      <c r="E80" s="3" t="inlineStr">
        <is>
          <t>2 · DISPLAYED</t>
        </is>
      </c>
      <c r="F80" s="3" t="inlineStr">
        <is>
          <t>Turns the income answers given during setup into the list of income sources the app stores.</t>
        </is>
      </c>
      <c r="G80" s="11" t="inlineStr">
        <is>
          <t>a = op (or none when missing)
who = who earns as who earns (or 'you' when missing)
sources = []
vest w = equity vest weights(op)
the answer:
user id = uid
sources = sources
tax = tax</t>
        </is>
      </c>
      <c r="H80" s="3" t="inlineStr">
        <is>
          <t>A is op (or none — when missing). Who is who earns as who earns (or 'you' — when missing). Sources is []. Vest w is equity vest weights(op). The answer is user id = uid; sources = sources; tax = tax.</t>
        </is>
      </c>
      <c r="I80" s="3" t="inlineStr">
        <is>
          <t>READ FROM THE CODE — rendered from the expressions the function runs</t>
        </is>
      </c>
      <c r="J80" s="3" t="inlineStr">
        <is>
          <t>1. uid: UserId
2. op: OnboardingProfile | null</t>
        </is>
      </c>
      <c r="K80" s="3" t="inlineStr">
        <is>
          <t>IncomeDoc</t>
        </is>
      </c>
      <c r="L80" s="3" t="inlineStr">
        <is>
          <t>NOT FOUND — a screen calls it, but the words printed beside its answer could not be traced automatically. Needs reading.</t>
        </is>
      </c>
      <c r="M80" s="3" t="inlineStr">
        <is>
          <t>None found in this function — anything it assumes comes from the functions it depends on.</t>
        </is>
      </c>
      <c r="N80" s="3" t="inlineStr">
        <is>
          <t>Yes</t>
        </is>
      </c>
      <c r="O80" s="3" t="inlineStr">
        <is>
          <t>1. MK-CF-F-070 benefitAnnual
2. MK-CF-F-072 currentRetirementIncomeMonthly
3. MK-CF-F-078 employerMatchMonthly
4. MK-CF-F-065 equityVestWeights
5. MK-CF-O-002 expenses
6. MK-CF-F-132 map
7. MK-ST-F-043 newEntityId
8. MK-CF-F-067 rentalList
9. MK-CF-F-066 rsuAnnual
10. MK-CF-F-082 salaryAnnual
11. MK-CF-F-074 tipsAnnual
12. MK-ST-F-052 toNum
13. MK-XS-F-175 uid</t>
        </is>
      </c>
      <c r="P80" s="3" t="n">
        <v>114</v>
      </c>
      <c r="Q80" s="3" t="inlineStr">
        <is>
          <t>1. MK-CF-F-070 benefitAnnual
2. MK-CF-F-072 currentRetirementIncomeMonthly
3. MK-CF-F-078 employerMatchMonthly
4. MK-CF-F-065 equityVestWeights
5. MK-CF-O-002 expenses
6. MK-CF-F-132 map
7. MK-ST-F-043 newEntityId
8. MK-CF-F-067 rentalList
9. MK-CF-F-066 rsuAnnual
10. MK-CF-F-082 salaryAnnual
11. MK-CF-F-074 tipsAnnual
12. MK-ST-F-052 toNum
13. MK-XS-F-175 uid
14. MK-CF-F-069 benefitActiveMonths
15. MK-CF-F-075 retirementIncomeMonthly
16. MK-CF-F-175 sumOverEarners
17. MK-CF-F-178 wageMatchMonthly
18. MK-CF-F-062 equityRowValue
19. MK-CF-F-151 actualSpending
20. MK-CF-F-150 debtPaymentsCountedAsExpenses
21. MK-CF-F-153 radar
22. MK-CF-F-149 recurringDebtPayments
23. MK-CF-F-063 rowVestYear
24. MK-CF-F-060 salaryGrossByMonth
25. MK-CF-F-081 salaryActiveMonths
26. MK-XS-F-122 n
27. MK-ST-F-027 accountId
28. MK-CF-F-111 applyTransaction
29. MK-NW-F-040 assetsFromOnboarding
30. MK-PF-F-013 benchmarkTicker
31. MK-ST-F-028 buildDayFromAccounts
32. MK-PF-F-034 closeOnOrBefore
33. MK-CF-F-186 convertTakeHomeMode
34. MK-ST-F-079 dailyWindowStart
35. MK-CF-F-038 debtsFromOnboarding
36. MK-XS-F-083 fetchPriceSeries
37. MK-PL-F-013 goalsFromOnboarding
38. MK-ST-F-056 has
39. MK-CF-F-116 inverseOf
40. MK-ST-F-065 isoLocalDate
41. MK-CF-F-112 makeTransaction
42. MK-XS-F-006 pruneDaily
43. MK-ST-F-073 rebuildDays
44. MK-NW-F-054 reclassifyAccounts
45. MK-XS-F-174 recomputeBalances
46. MK-CF-F-115 restoreUndo
47. MK-CF-F-109 reviewTransactions
48. MK-ST-F-044 setMoneyFormat
49. MK-CF-F-114 undoSnapshot
50. MK-CF-F-191 ym
51. MK-CF-F-173 earnerWages
52. MK-CF-F-148 inMonth
53. MK-CF-F-022 paymentShape
54. MK-CF-F-152 isRadarItem
55. MK-CF-F-023 requiredPayment
56. MK-CF-F-176 sumMonthsOverEarners
57. MK-CF-F-177 wageGrossByMonth
58. MK-CF-F-138 addLot
59. MK-CF-F-136 bumpCash
60. MK-CF-F-137 findPos
61. MK-CF-F-139 removeShares
62. MK-PF-F-001 totalShares
63. MK-ST-F-053 money
64. MK-CF-F-085 filingStatusOf
65. MK-CF-F-097 grossFromNet
66. MK-CF-F-185 needsTakeHomeConversion
67. MK-CF-F-089 over65CountOf
68. MK-CF-F-037 inferDebtType
69. MK-ST-F-069 amountOf
70. MK-CF-F-133 cashOf
71. MK-ST-F-066 isDayKey
72. MK-ST-F-070 isOpening
73. MK-ST-F-071 rebuildableFrom
74. MK-ST-F-068 stepDay
75. MK-ST-F-072 undo
76. MK-NW-F-053 correctClassOf
77. MK-NW-F-008 incomeBearingClassOf
78. MK-PF-F-002 costBasis
79. MK-PF-F-009 latestClose
80. MK-PF-F-004 marketValue
81. MK-ST-F-030 record
82. MK-XS-F-024 resolveLens
83. MK-ST-F-055 round2
84. MK-CF-F-162 daysApart
85. MK-CF-F-108 isMoneyOut
86. MK-PL-F-074 median
87. MK-CF-F-131 normPayee
88. MK-CF-F-113 affectedAccountIds
89. MK-CF-F-172 hasWage
90. MK-CF-F-021 defaultPaymentType
91. MK-CF-F-130 enteredMonthlyRaw
92. MK-CF-F-166 hasMonthlySalaryTable
93. MK-ST-F-036 reconcile
94. MK-CF-F-167 salaryCalendarYear
95. MK-CF-F-134 usesSleeve
96. MK-ST-F-049 formatMoney
97. MK-CF-F-101 taxOwedFor
98. MK-ST-F-067 utcOfDay
99. MK-CF-F-155 cash
100. MK-ST-F-035 covers
101. MK-NW-F-009 maturityClass
102. MK-ST-F-010 nameEvidence
103. MK-PF-F-031 contractMultiplier
104. MK-CF-F-165 salaryMonths
105. MK-ST-F-048 currencySymbol
106. MK-ST-F-039 on
107. MK-CF-F-100 taxableIncomeFor
108. MK-ST-F-034 firstDate
109. MK-XS-F-147 call
110. MK-ST-F-047 activeCurrency
111. MK-CF-F-099 deductionFor
112. MK-XS-F-064 currentIdToken
113. MK-XS-F-112 relayUrl
114. MK-CF-F-187 seniorDeductionFor</t>
        </is>
      </c>
      <c r="R80" s="3" t="inlineStr">
        <is>
          <t>1. MK-CF-F-069 benefitActiveMonths → MK-CF-F-070 benefitAnnual → MK-CF-F-079 incomeFromOnboarding
2. MK-XS-F-122 n → MK-ST-F-052 toNum → MK-CF-F-070 benefitAnnual → MK-CF-F-079 incomeFromOnboarding
3. MK-XS-F-122 n → MK-ST-F-052 toNum → MK-CF-F-075 retirementIncomeMonthly → MK-CF-F-072 currentRetirementIncomeMonthly → MK-CF-F-079 incomeFromOnboarding
4. MK-ST-F-056 has → MK-CF-F-172 hasWage → MK-CF-F-173 earnerWages → MK-CF-F-175 sumOverEarners → MK-CF-F-078 employerMatchMonthly → MK-CF-F-079 incomeFromOnboarding
5. MK-XS-F-122 n → MK-ST-F-052 toNum → MK-CF-F-178 wageMatchMonthly → MK-CF-F-078 employerMatchMonthly → MK-CF-F-079 incomeFromOnboarding
6. MK-XS-F-122 n → MK-ST-F-052 toNum → MK-CF-F-062 equityRowValue → MK-CF-F-065 equityVestWeights → MK-CF-F-079 incomeFromOnboarding
7. MK-CF-F-132 map → MK-CF-F-065 equityVestWeights → MK-CF-F-079 incomeFromOnboarding
8. MK-CF-F-191 ym → MK-CF-F-148 inMonth → MK-CF-F-151 actualSpending → MK-CF-O-002 expenses → MK-CF-F-079 incomeFromOnboarding
9. … and 5 more paths</t>
        </is>
      </c>
      <c r="S80" s="3" t="inlineStr">
        <is>
          <t>—</t>
        </is>
      </c>
      <c r="T80" s="3" t="inlineStr">
        <is>
          <t>—</t>
        </is>
      </c>
      <c r="U80" s="3" t="inlineStr">
        <is>
          <t>ACTIVE</t>
        </is>
      </c>
      <c r="V80" s="3" t="inlineStr">
        <is>
          <t>2026-08-27</t>
        </is>
      </c>
      <c r="W80" s="3" t="n"/>
      <c r="X80" s="3" t="n"/>
      <c r="Y80" s="3" t="inlineStr">
        <is>
          <t>NOTHING OPEN</t>
        </is>
      </c>
    </row>
    <row r="81" ht="60" customHeight="1">
      <c r="A81" s="3" t="inlineStr">
        <is>
          <t>MK-CF-F-080</t>
        </is>
      </c>
      <c r="B81" s="3" t="inlineStr">
        <is>
          <t>jobActiveMonth</t>
        </is>
      </c>
      <c r="C81" s="3" t="inlineStr">
        <is>
          <t>src/domain/income/onboarding.ts</t>
        </is>
      </c>
      <c r="D81" s="3" t="n">
        <v>1133</v>
      </c>
      <c r="E81" s="3" t="inlineStr">
        <is>
          <t>3 · DEPENDENT (feeds an action only)</t>
        </is>
      </c>
      <c r="F81" s="3" t="inlineStr">
        <is>
          <t>Is base salary present in calendar month i (0-11)?</t>
        </is>
      </c>
      <c r="G81" s="11" t="inlineStr">
        <is>
          <t>salary gross by month(op)[((i % 12) + 12) % 12] &gt; 0</t>
        </is>
      </c>
      <c r="H81" s="3" t="inlineStr">
        <is>
          <t>salary gross by month(op)[((i % 12) plus 12) % 12] &gt; 0.</t>
        </is>
      </c>
      <c r="I81" s="3" t="inlineStr">
        <is>
          <t>READ FROM THE CODE — rendered from the expressions the function runs</t>
        </is>
      </c>
      <c r="J81" s="3" t="inlineStr">
        <is>
          <t>1. op: OnboardingProfile | null
2. i: number
3. _now: Date = new Date()</t>
        </is>
      </c>
      <c r="K81" s="3" t="inlineStr">
        <is>
          <t>boolean</t>
        </is>
      </c>
      <c r="L81" s="3" t="inlineStr">
        <is>
          <t>—</t>
        </is>
      </c>
      <c r="M81" s="3" t="inlineStr">
        <is>
          <t>· Uses today's date from the device clock, so the answer changes by itself overnight.</t>
        </is>
      </c>
      <c r="N81" s="3" t="inlineStr">
        <is>
          <t>No</t>
        </is>
      </c>
      <c r="O81" s="3" t="inlineStr">
        <is>
          <t>MK-CF-F-060 salaryGrossByMonth</t>
        </is>
      </c>
      <c r="P81" s="3" t="n">
        <v>14</v>
      </c>
      <c r="Q81" s="3" t="inlineStr">
        <is>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is>
      </c>
      <c r="R81" s="3" t="inlineStr">
        <is>
          <t>1. MK-ST-F-056 has → MK-CF-F-172 hasWage → MK-CF-F-173 earnerWages → MK-CF-F-176 sumMonthsOverEarners → MK-CF-F-060 salaryGrossByMonth → MK-CF-F-080 jobActiveMonth
2. MK-CF-F-132 map → MK-CF-F-176 sumMonthsOverEarners → MK-CF-F-060 salaryGrossByMonth → MK-CF-F-080 jobActiveMonth
3. MK-XS-F-122 n → MK-ST-F-052 toNum → MK-CF-F-130 enteredMonthlyRaw → MK-CF-F-177 wageGrossByMonth → MK-CF-F-060 salaryGrossByMonth → MK-CF-F-080 jobActiveMonth
4. MK-ST-F-052 toNum → MK-CF-F-165 salaryMonths → MK-CF-F-166 hasMonthlySalaryTable → MK-CF-F-177 wageGrossByMonth → MK-CF-F-060 salaryGrossByMonth → MK-CF-F-080 jobActiveMonth
5. MK-CF-F-132 map → MK-CF-F-177 wageGrossByMonth → MK-CF-F-060 salaryGrossByMonth → MK-CF-F-080 jobActiveMonth
6. MK-ST-F-036 reconcile → MK-CF-F-177 wageGrossByMonth → MK-CF-F-060 salaryGrossByMonth → MK-CF-F-080 jobActiveMonth
7. MK-ST-F-052 toNum → MK-CF-F-165 salaryMonths → MK-CF-F-167 salaryCalendarYear → MK-CF-F-177 wageGrossByMonth → MK-CF-F-060 salaryGrossByMonth → MK-CF-F-080 jobActiveMonth</t>
        </is>
      </c>
      <c r="S81" s="3" t="inlineStr">
        <is>
          <t>—</t>
        </is>
      </c>
      <c r="T81" s="3" t="inlineStr">
        <is>
          <t>—</t>
        </is>
      </c>
      <c r="U81" s="3" t="inlineStr">
        <is>
          <t>ACTIVE</t>
        </is>
      </c>
      <c r="V81" s="3" t="inlineStr">
        <is>
          <t>2026-08-27</t>
        </is>
      </c>
      <c r="W81" s="3" t="n"/>
      <c r="X81" s="3" t="n"/>
      <c r="Y81" s="3" t="inlineStr">
        <is>
          <t>NOTHING OPEN</t>
        </is>
      </c>
    </row>
    <row r="82" ht="60" customHeight="1">
      <c r="A82" s="3" t="inlineStr">
        <is>
          <t>MK-CF-F-081</t>
        </is>
      </c>
      <c r="B82" s="3" t="inlineStr">
        <is>
          <t>salaryActiveMonths</t>
        </is>
      </c>
      <c r="C82" s="3" t="inlineStr">
        <is>
          <t>src/domain/income/onboarding.ts</t>
        </is>
      </c>
      <c r="D82" s="3" t="n">
        <v>1167</v>
      </c>
      <c r="E82" s="3" t="inlineStr">
        <is>
          <t>3 · DEPENDENT</t>
        </is>
      </c>
      <c r="F82" s="3" t="inlineStr">
        <is>
          <t>How many months of the year you draw a salary.</t>
        </is>
      </c>
      <c r="G82" s="11" t="inlineStr">
        <is>
          <t xml:space="preserve">salary gross by month(op) where each &gt; 0count of </t>
        </is>
      </c>
      <c r="H82" s="3" t="inlineStr">
        <is>
          <t>salary gross by month(op) where each &gt; 0count of.</t>
        </is>
      </c>
      <c r="I82" s="3" t="inlineStr">
        <is>
          <t>READ FROM THE CODE — rendered from the expressions the function runs</t>
        </is>
      </c>
      <c r="J82" s="3" t="inlineStr">
        <is>
          <t>1. op: OnboardingProfile | null
2. _now: Date = new Date()</t>
        </is>
      </c>
      <c r="K82" s="3" t="inlineStr">
        <is>
          <t>number</t>
        </is>
      </c>
      <c r="L82" s="3" t="inlineStr">
        <is>
          <t>—</t>
        </is>
      </c>
      <c r="M82" s="3" t="inlineStr">
        <is>
          <t>· Uses today's date from the device clock, so the answer changes by itself overnight.</t>
        </is>
      </c>
      <c r="N82" s="3" t="inlineStr">
        <is>
          <t>Yes</t>
        </is>
      </c>
      <c r="O82" s="3" t="inlineStr">
        <is>
          <t>MK-CF-F-060 salaryGrossByMonth</t>
        </is>
      </c>
      <c r="P82" s="3" t="n">
        <v>14</v>
      </c>
      <c r="Q82" s="3" t="inlineStr">
        <is>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is>
      </c>
      <c r="R82" s="3" t="inlineStr">
        <is>
          <t>1. MK-ST-F-056 has → MK-CF-F-172 hasWage → MK-CF-F-173 earnerWages → MK-CF-F-176 sumMonthsOverEarners → MK-CF-F-060 salaryGrossByMonth → MK-CF-F-081 salaryActiveMonths
2. MK-CF-F-132 map → MK-CF-F-176 sumMonthsOverEarners → MK-CF-F-060 salaryGrossByMonth → MK-CF-F-081 salaryActiveMonths
3. MK-XS-F-122 n → MK-ST-F-052 toNum → MK-CF-F-130 enteredMonthlyRaw → MK-CF-F-177 wageGrossByMonth → MK-CF-F-060 salaryGrossByMonth → MK-CF-F-081 salaryActiveMonths
4. MK-ST-F-052 toNum → MK-CF-F-165 salaryMonths → MK-CF-F-166 hasMonthlySalaryTable → MK-CF-F-177 wageGrossByMonth → MK-CF-F-060 salaryGrossByMonth → MK-CF-F-081 salaryActiveMonths
5. MK-CF-F-132 map → MK-CF-F-177 wageGrossByMonth → MK-CF-F-060 salaryGrossByMonth → MK-CF-F-081 salaryActiveMonths
6. MK-ST-F-036 reconcile → MK-CF-F-177 wageGrossByMonth → MK-CF-F-060 salaryGrossByMonth → MK-CF-F-081 salaryActiveMonths
7. MK-ST-F-052 toNum → MK-CF-F-165 salaryMonths → MK-CF-F-167 salaryCalendarYear → MK-CF-F-177 wageGrossByMonth → MK-CF-F-060 salaryGrossByMonth → MK-CF-F-081 salaryActiveMonths</t>
        </is>
      </c>
      <c r="S82" s="3" t="inlineStr">
        <is>
          <t>—</t>
        </is>
      </c>
      <c r="T82" s="3" t="inlineStr">
        <is>
          <t>MONTHS_WORKED</t>
        </is>
      </c>
      <c r="U82" s="3" t="inlineStr">
        <is>
          <t>ACTIVE</t>
        </is>
      </c>
      <c r="V82" s="3" t="inlineStr">
        <is>
          <t>2026-08-28</t>
        </is>
      </c>
      <c r="W82" s="3" t="n"/>
      <c r="X82" s="3" t="n"/>
      <c r="Y82" s="3" t="inlineStr">
        <is>
          <t>NOTHING OPEN</t>
        </is>
      </c>
    </row>
    <row r="83" ht="60" customHeight="1">
      <c r="A83" s="3" t="inlineStr">
        <is>
          <t>MK-CF-F-082</t>
        </is>
      </c>
      <c r="B83" s="3" t="inlineStr">
        <is>
          <t>salaryAnnual</t>
        </is>
      </c>
      <c r="C83" s="3" t="inlineStr">
        <is>
          <t>src/domain/income/onboarding.ts</t>
        </is>
      </c>
      <c r="D83" s="3" t="n">
        <v>1205</v>
      </c>
      <c r="E83" s="3" t="inlineStr">
        <is>
          <t>2 · DISPLAYED</t>
        </is>
      </c>
      <c r="F83" s="3" t="inlineStr">
        <is>
          <t>Salary income for the year = sum of the per-month gross salary.</t>
        </is>
      </c>
      <c r="G83" s="11" t="inlineStr">
        <is>
          <t>Σ over salary gross by month(op) of (each)</t>
        </is>
      </c>
      <c r="H83" s="3" t="inlineStr">
        <is>
          <t>the each added up across salary gross by month(op).</t>
        </is>
      </c>
      <c r="I83" s="3" t="inlineStr">
        <is>
          <t>READ FROM THE CODE — rendered from the expressions the function runs</t>
        </is>
      </c>
      <c r="J83" s="3" t="inlineStr">
        <is>
          <t>1. op: OnboardingProfile | null
2. _now: Date = new Date()</t>
        </is>
      </c>
      <c r="K83" s="3" t="inlineStr">
        <is>
          <t>number</t>
        </is>
      </c>
      <c r="L83" s="3" t="inlineStr">
        <is>
          <t>NOT FOUND — a screen calls it, but the words printed beside its answer could not be traced automatically. Needs reading.</t>
        </is>
      </c>
      <c r="M83" s="3" t="inlineStr">
        <is>
          <t>· Uses today's date from the device clock, so the answer changes by itself overnight.</t>
        </is>
      </c>
      <c r="N83" s="3" t="inlineStr">
        <is>
          <t>Yes</t>
        </is>
      </c>
      <c r="O83" s="3" t="inlineStr">
        <is>
          <t>MK-CF-F-060 salaryGrossByMonth</t>
        </is>
      </c>
      <c r="P83" s="3" t="n">
        <v>14</v>
      </c>
      <c r="Q83" s="3" t="inlineStr">
        <is>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is>
      </c>
      <c r="R83" s="3" t="inlineStr">
        <is>
          <t>1. MK-ST-F-056 has → MK-CF-F-172 hasWage → MK-CF-F-173 earnerWages → MK-CF-F-176 sumMonthsOverEarners → MK-CF-F-060 salaryGrossByMonth → MK-CF-F-082 salaryAnnual
2. MK-CF-F-132 map → MK-CF-F-176 sumMonthsOverEarners → MK-CF-F-060 salaryGrossByMonth → MK-CF-F-082 salaryAnnual
3. MK-XS-F-122 n → MK-ST-F-052 toNum → MK-CF-F-130 enteredMonthlyRaw → MK-CF-F-177 wageGrossByMonth → MK-CF-F-060 salaryGrossByMonth → MK-CF-F-082 salaryAnnual
4. MK-ST-F-052 toNum → MK-CF-F-165 salaryMonths → MK-CF-F-166 hasMonthlySalaryTable → MK-CF-F-177 wageGrossByMonth → MK-CF-F-060 salaryGrossByMonth → MK-CF-F-082 salaryAnnual
5. MK-CF-F-132 map → MK-CF-F-177 wageGrossByMonth → MK-CF-F-060 salaryGrossByMonth → MK-CF-F-082 salaryAnnual
6. MK-ST-F-036 reconcile → MK-CF-F-177 wageGrossByMonth → MK-CF-F-060 salaryGrossByMonth → MK-CF-F-082 salaryAnnual
7. MK-ST-F-052 toNum → MK-CF-F-165 salaryMonths → MK-CF-F-167 salaryCalendarYear → MK-CF-F-177 wageGrossByMonth → MK-CF-F-060 salaryGrossByMonth → MK-CF-F-082 salaryAnnual</t>
        </is>
      </c>
      <c r="S83" s="3" t="inlineStr">
        <is>
          <t>—</t>
        </is>
      </c>
      <c r="T83" s="3" t="inlineStr">
        <is>
          <t>SALARY_A_YEAR</t>
        </is>
      </c>
      <c r="U83" s="3" t="inlineStr">
        <is>
          <t>ACTIVE</t>
        </is>
      </c>
      <c r="V83" s="3" t="inlineStr">
        <is>
          <t>2026-08-27</t>
        </is>
      </c>
      <c r="W83" s="3" t="n"/>
      <c r="X83" s="3" t="n"/>
      <c r="Y83" s="3" t="inlineStr">
        <is>
          <t>NOTHING OPEN</t>
        </is>
      </c>
    </row>
    <row r="84" ht="60" customHeight="1">
      <c r="A84" s="3" t="inlineStr">
        <is>
          <t>MK-CF-F-083</t>
        </is>
      </c>
      <c r="B84" s="3" t="inlineStr">
        <is>
          <t>totalGrossAnnual</t>
        </is>
      </c>
      <c r="C84" s="3" t="inlineStr">
        <is>
          <t>src/domain/income/onboarding.ts</t>
        </is>
      </c>
      <c r="D84" s="3" t="n">
        <v>1240</v>
      </c>
      <c r="E84" s="3" t="inlineStr">
        <is>
          <t>2 · DISPLAYED</t>
        </is>
      </c>
      <c r="F84" s="3" t="inlineStr">
        <is>
          <t>Total annual income across every inflow (salary for months worked + bonus + signing + equity + net rental + self-employment/investment/benefits/support/scholarship/other).</t>
        </is>
      </c>
      <c r="G84" s="11" t="inlineStr">
        <is>
          <t>a = op (or none when missing)
ex = extra income(op)</t>
        </is>
      </c>
      <c r="H84" s="3" t="inlineStr">
        <is>
          <t>A is op (or none — when missing). Ex is extra income(op).</t>
        </is>
      </c>
      <c r="I84" s="3" t="inlineStr">
        <is>
          <t>READ FROM THE CODE — rendered from the expressions the function runs</t>
        </is>
      </c>
      <c r="J84" s="3" t="inlineStr">
        <is>
          <t>1. op: OnboardingProfile | null
2. now: Date = new Date()</t>
        </is>
      </c>
      <c r="K84" s="3" t="inlineStr">
        <is>
          <t>number</t>
        </is>
      </c>
      <c r="L84" s="3" t="inlineStr">
        <is>
          <t>1. "Net Worth" — on the setup questions, which appear on more than one screen
2. "Operating expense /month" — on the setup questions, which appear on more than one screen
3. "Pay off over (years)" — on the setup questions, which appear on more than one screen
4. "STUDENT LOAN OUTLOOK" — on the Goals screen, under "STUDENT LOAN OUTLOOK"
5. "Total income /year" — on the setup questions, which appear on more than one screen
6. "Total value" — on the setup questions, which appear on more than one screen</t>
        </is>
      </c>
      <c r="M84" s="3" t="inlineStr">
        <is>
          <t>1. Turns a monthly figure into a year by multiplying by twelve.
2. Uses today's date from the device clock, so the answer changes by itself overnight.</t>
        </is>
      </c>
      <c r="N84" s="3" t="inlineStr">
        <is>
          <t>Yes</t>
        </is>
      </c>
      <c r="O84" s="3" t="inlineStr">
        <is>
          <t>1. MK-CF-F-072 currentRetirementIncomeMonthly
2. MK-CF-F-071 extraIncome
3. MK-CF-F-068 rentalNetAnnual
4. MK-CF-F-066 rsuAnnual
5. MK-CF-F-082 salaryAnnual
6. MK-CF-F-074 tipsAnnual
7. MK-ST-F-052 toNum</t>
        </is>
      </c>
      <c r="P84" s="3" t="n">
        <v>39</v>
      </c>
      <c r="Q84" s="3" t="inlineStr">
        <is>
          <t>1. MK-CF-F-072 currentRetirementIncomeMonthly
2. MK-CF-F-071 extraIncome
3. MK-CF-F-068 rentalNetAnnual
4. MK-CF-F-066 rsuAnnual
5. MK-CF-F-082 salaryAnnual
6. MK-CF-F-074 tipsAnnual
7. MK-ST-F-052 toNum
8. MK-CF-F-075 retirementIncomeMonthly
9. MK-CF-F-070 benefitAnnual
10. MK-ST-F-039 on
11. MK-CF-O-002 expenses
12. MK-CF-F-067 rentalList
13. MK-CF-F-062 equityRowValue
14. MK-CF-F-132 map
15. MK-CF-F-063 rowVestYear
16. MK-CF-F-060 salaryGrossByMonth
17. MK-CF-F-081 salaryActiveMonths
18. MK-XS-F-122 n
19. MK-CF-F-069 benefitActiveMonths
20. MK-CF-F-151 actualSpending
21. MK-CF-F-150 debtPaymentsCountedAsExpenses
22. MK-CF-F-153 radar
23. MK-CF-F-149 recurringDebtPayments
24. MK-CF-F-176 sumMonthsOverEarners
25. MK-CF-F-177 wageGrossByMonth
26. MK-CF-F-148 inMonth
27. MK-CF-F-191 ym
28. MK-ST-F-056 has
29. MK-CF-F-022 paymentShape
30. MK-CF-F-152 isRadarItem
31. MK-CF-F-023 requiredPayment
32. MK-CF-F-173 earnerWages
33. MK-CF-F-130 enteredMonthlyRaw
34. MK-CF-F-166 hasMonthlySalaryTable
35. MK-ST-F-036 reconcile
36. MK-CF-F-167 salaryCalendarYear
37. MK-CF-F-021 defaultPaymentType
38. MK-CF-F-172 hasWage
39. MK-CF-F-165 salaryMonths</t>
        </is>
      </c>
      <c r="R84" s="3" t="inlineStr">
        <is>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MK-CF-F-191 ym → MK-CF-F-148 inMonth → MK-CF-F-151 actualSpending → MK-CF-O-002 expenses → MK-CF-F-068 rentalNetAnnual → MK-CF-F-083 totalGrossAnnual
7. MK-XS-F-122 n → MK-ST-F-052 toNum → MK-CF-F-151 actualSpending → MK-CF-O-002 expenses → MK-CF-F-068 rentalNetAnnual → MK-CF-F-083 totalGrossAnnual
8. MK-CF-F-191 ym → MK-CF-F-151 actualSpending → MK-CF-O-002 expenses → MK-CF-F-068 rentalNetAnnual → MK-CF-F-083 totalGrossAnnual
9. … and 5 more paths</t>
        </is>
      </c>
      <c r="S84" s="3" t="inlineStr">
        <is>
          <t>—</t>
        </is>
      </c>
      <c r="T84" s="3" t="inlineStr">
        <is>
          <t>TOTAL_INCOME</t>
        </is>
      </c>
      <c r="U84" s="3" t="inlineStr">
        <is>
          <t>ACTIVE</t>
        </is>
      </c>
      <c r="V84" s="3" t="inlineStr">
        <is>
          <t>2026-08-27</t>
        </is>
      </c>
      <c r="W84" s="3" t="n"/>
      <c r="X84" s="3" t="n"/>
      <c r="Y84" s="3" t="inlineStr">
        <is>
          <t>NOTHING OPEN</t>
        </is>
      </c>
    </row>
    <row r="85" ht="60" customHeight="1">
      <c r="A85" s="3" t="inlineStr">
        <is>
          <t>MK-CF-F-084</t>
        </is>
      </c>
      <c r="B85" s="3" t="inlineStr">
        <is>
          <t>taxableAnnual</t>
        </is>
      </c>
      <c r="C85" s="3" t="inlineStr">
        <is>
          <t>src/domain/income/onboarding.ts</t>
        </is>
      </c>
      <c r="D85" s="3" t="n">
        <v>1282</v>
      </c>
      <c r="E85" s="3" t="inlineStr">
        <is>
          <t>2 · DISPLAYED</t>
        </is>
      </c>
      <c r="F85" s="3" t="inlineStr">
        <is>
          <t>Taxable annual income (excludes non-taxable benefits/support/scholarships) — the base for tax estimates.</t>
        </is>
      </c>
      <c r="G85" s="11" t="inlineStr">
        <is>
          <t>a = op (or none when missing)
ex = extra income(op)</t>
        </is>
      </c>
      <c r="H85" s="3" t="inlineStr">
        <is>
          <t>A is op (or none — when missing). Ex is extra income(op).</t>
        </is>
      </c>
      <c r="I85" s="3" t="inlineStr">
        <is>
          <t>READ FROM THE CODE — rendered from the expressions the function runs</t>
        </is>
      </c>
      <c r="J85" s="3" t="inlineStr">
        <is>
          <t>1. op: OnboardingProfile | null
2. now: Date = new Date()</t>
        </is>
      </c>
      <c r="K85" s="3" t="inlineStr">
        <is>
          <t>number</t>
        </is>
      </c>
      <c r="L85" s="3" t="inlineStr">
        <is>
          <t>1. "Count money you receive to live on. We won't tax this." — on the setup questions, which appear on more than one screen
2. "Each month: tax
3. expenses
4. savings" — on the setup questions, which appear on more than one screen
5. "How often?" — on the setup questions, which appear on more than one screen
6. "Taxes" — on the setup questions, which appear on more than one screen
7. "That changes your take-home" — on the filing status screen
8. "WHAT'S TAKEN OUT" — on the setup questions, which appear on more than one screen</t>
        </is>
      </c>
      <c r="M85" s="3" t="inlineStr">
        <is>
          <t>1. Turns a monthly figure into a year by multiplying by twelve.
2. Uses today's date from the device clock, so the answer changes by itself overnight.</t>
        </is>
      </c>
      <c r="N85" s="3" t="inlineStr">
        <is>
          <t>Yes</t>
        </is>
      </c>
      <c r="O85" s="3" t="inlineStr">
        <is>
          <t>1. MK-CF-F-072 currentRetirementIncomeMonthly
2. MK-CF-F-071 extraIncome
3. MK-CF-F-068 rentalNetAnnual
4. MK-CF-F-066 rsuAnnual
5. MK-CF-F-082 salaryAnnual
6. MK-CF-F-074 tipsAnnual
7. MK-ST-F-052 toNum</t>
        </is>
      </c>
      <c r="P85" s="3" t="n">
        <v>39</v>
      </c>
      <c r="Q85" s="3" t="inlineStr">
        <is>
          <t>1. MK-CF-F-072 currentRetirementIncomeMonthly
2. MK-CF-F-071 extraIncome
3. MK-CF-F-068 rentalNetAnnual
4. MK-CF-F-066 rsuAnnual
5. MK-CF-F-082 salaryAnnual
6. MK-CF-F-074 tipsAnnual
7. MK-ST-F-052 toNum
8. MK-CF-F-075 retirementIncomeMonthly
9. MK-CF-F-070 benefitAnnual
10. MK-ST-F-039 on
11. MK-CF-O-002 expenses
12. MK-CF-F-067 rentalList
13. MK-CF-F-062 equityRowValue
14. MK-CF-F-132 map
15. MK-CF-F-063 rowVestYear
16. MK-CF-F-060 salaryGrossByMonth
17. MK-CF-F-081 salaryActiveMonths
18. MK-XS-F-122 n
19. MK-CF-F-069 benefitActiveMonths
20. MK-CF-F-151 actualSpending
21. MK-CF-F-150 debtPaymentsCountedAsExpenses
22. MK-CF-F-153 radar
23. MK-CF-F-149 recurringDebtPayments
24. MK-CF-F-176 sumMonthsOverEarners
25. MK-CF-F-177 wageGrossByMonth
26. MK-CF-F-148 inMonth
27. MK-CF-F-191 ym
28. MK-ST-F-056 has
29. MK-CF-F-022 paymentShape
30. MK-CF-F-152 isRadarItem
31. MK-CF-F-023 requiredPayment
32. MK-CF-F-173 earnerWages
33. MK-CF-F-130 enteredMonthlyRaw
34. MK-CF-F-166 hasMonthlySalaryTable
35. MK-ST-F-036 reconcile
36. MK-CF-F-167 salaryCalendarYear
37. MK-CF-F-021 defaultPaymentType
38. MK-CF-F-172 hasWage
39. MK-CF-F-165 salaryMonths</t>
        </is>
      </c>
      <c r="R85" s="3" t="inlineStr">
        <is>
          <t>1. MK-XS-F-122 n → MK-ST-F-052 toNum → MK-CF-F-075 retirementIncomeMonthly → MK-CF-F-072 currentRetirementIncomeMonthly → MK-CF-F-084 taxableAnnual
2. MK-CF-F-069 benefitActiveMonths → MK-CF-F-070 benefitAnnual → MK-CF-F-071 extraIncome → MK-CF-F-084 taxableAnnual
3. MK-XS-F-122 n → MK-ST-F-052 toNum → MK-CF-F-070 benefitAnnual → MK-CF-F-071 extraIncome → MK-CF-F-084 taxableAnnual
4. MK-ST-F-039 on → MK-CF-F-071 extraIncome → MK-CF-F-084 taxableAnnual
5. MK-XS-F-122 n → MK-ST-F-052 toNum → MK-CF-F-071 extraIncome → MK-CF-F-084 taxableAnnual
6. MK-CF-F-191 ym → MK-CF-F-148 inMonth → MK-CF-F-151 actualSpending → MK-CF-O-002 expenses → MK-CF-F-068 rentalNetAnnual → MK-CF-F-084 taxableAnnual
7. MK-XS-F-122 n → MK-ST-F-052 toNum → MK-CF-F-151 actualSpending → MK-CF-O-002 expenses → MK-CF-F-068 rentalNetAnnual → MK-CF-F-084 taxableAnnual
8. MK-CF-F-191 ym → MK-CF-F-151 actualSpending → MK-CF-O-002 expenses → MK-CF-F-068 rentalNetAnnual → MK-CF-F-084 taxableAnnual
9. … and 5 more paths</t>
        </is>
      </c>
      <c r="S85" s="3" t="inlineStr">
        <is>
          <t>—</t>
        </is>
      </c>
      <c r="T85" s="3" t="inlineStr">
        <is>
          <t>—</t>
        </is>
      </c>
      <c r="U85" s="3" t="inlineStr">
        <is>
          <t>ACTIVE</t>
        </is>
      </c>
      <c r="V85" s="3" t="inlineStr">
        <is>
          <t>2026-08-27</t>
        </is>
      </c>
      <c r="W85" s="3" t="n"/>
      <c r="X85" s="3" t="n"/>
      <c r="Y85" s="3" t="inlineStr">
        <is>
          <t>NOTHING OPEN</t>
        </is>
      </c>
    </row>
    <row r="86" ht="60" customHeight="1">
      <c r="A86" s="3" t="inlineStr">
        <is>
          <t>MK-CF-F-085</t>
        </is>
      </c>
      <c r="B86" s="3" t="inlineStr">
        <is>
          <t>filingStatusOf</t>
        </is>
      </c>
      <c r="C86" s="3" t="inlineStr">
        <is>
          <t>src/domain/income/onboarding.ts</t>
        </is>
      </c>
      <c r="D86" s="3" t="n">
        <v>1326</v>
      </c>
      <c r="E86" s="3" t="inlineStr">
        <is>
          <t>2 · DISPLAYED</t>
        </is>
      </c>
      <c r="F86" s="3" t="inlineStr">
        <is>
          <t>Effective tax rate in use: the user's manual rate, else the IRS-schedule estimate on taxable income.</t>
        </is>
      </c>
      <c r="G86" s="11" t="inlineStr">
        <is>
          <t>a = op (or none when missing)
who = who earns
the answer:
'married'   if has spouse = 'yes' (or who = 'both' (or who = 'partner' when missing or zero) when missing or zero)
'single'   otherwise
v = filing status</t>
        </is>
      </c>
      <c r="H86" s="3" t="inlineStr">
        <is>
          <t>A is op (or none — when missing). Who is who earns. The answer is 'married' — when has spouse = 'yes' (or who = 'both' (or who = 'partner' when missing or zero) when missing or zero); 'single' — otherwise. V is filing status.</t>
        </is>
      </c>
      <c r="I86" s="3" t="inlineStr">
        <is>
          <t>READ FROM THE CODE — rendered from the expressions the function runs</t>
        </is>
      </c>
      <c r="J86" s="3" t="inlineStr">
        <is>
          <t>op: OnboardingProfile | null</t>
        </is>
      </c>
      <c r="K86" s="3" t="inlineStr">
        <is>
          <t>import('./tax').FilingStatus</t>
        </is>
      </c>
      <c r="L86" s="3" t="inlineStr">
        <is>
          <t>NOT FOUND — a screen calls it, but the words printed beside its answer could not be traced automatically. Needs reading.</t>
        </is>
      </c>
      <c r="M86" s="3" t="inlineStr">
        <is>
          <t>None found in this function — anything it assumes comes from the functions it depends on.</t>
        </is>
      </c>
      <c r="N86" s="3" t="inlineStr">
        <is>
          <t>Yes</t>
        </is>
      </c>
      <c r="O86" s="3" t="inlineStr">
        <is>
          <t>—</t>
        </is>
      </c>
      <c r="P86" s="3" t="n">
        <v>0</v>
      </c>
      <c r="Q86" s="3" t="inlineStr">
        <is>
          <t>None — no dependent function stands behind it</t>
        </is>
      </c>
      <c r="R86" s="3" t="inlineStr">
        <is>
          <t>No dependent function — it reads its inputs and answers</t>
        </is>
      </c>
      <c r="S86" s="3" t="inlineStr">
        <is>
          <t>—</t>
        </is>
      </c>
      <c r="T86" s="3" t="inlineStr">
        <is>
          <t>FILING_STATUS</t>
        </is>
      </c>
      <c r="U86" s="3" t="inlineStr">
        <is>
          <t>ACTIVE</t>
        </is>
      </c>
      <c r="V86" s="3" t="inlineStr">
        <is>
          <t>2026-09-11</t>
        </is>
      </c>
      <c r="W86" s="3" t="n"/>
      <c r="X86" s="3" t="n"/>
      <c r="Y86" s="3" t="inlineStr">
        <is>
          <t>NOTHING OPEN</t>
        </is>
      </c>
    </row>
    <row r="87" ht="45" customHeight="1">
      <c r="A87" s="3" t="inlineStr">
        <is>
          <t>MK-CF-F-086</t>
        </is>
      </c>
      <c r="B87" s="3" t="inlineStr">
        <is>
          <t>stateRateOf</t>
        </is>
      </c>
      <c r="C87" s="3" t="inlineStr">
        <is>
          <t>src/domain/income/onboarding.ts</t>
        </is>
      </c>
      <c r="D87" s="3" t="n">
        <v>1374</v>
      </c>
      <c r="E87" s="3" t="inlineStr">
        <is>
          <t>2 · DISPLAYED</t>
        </is>
      </c>
      <c r="F87" s="3" t="inlineStr">
        <is>
          <t>The state income tax rate the person entered, as a share, held between 0% and 15%.</t>
        </is>
      </c>
      <c r="G87" s="11" t="inlineStr">
        <is>
          <t>min(0.15, max(0, to num((op as any).state tax rate) ÷ 100))</t>
        </is>
      </c>
      <c r="H87" s="3" t="inlineStr">
        <is>
          <t>the smaller of 0.15 and to num((op as any, never below zero.state tax rate divided by 100)).</t>
        </is>
      </c>
      <c r="I87" s="3" t="inlineStr">
        <is>
          <t>PARTLY READ — some of the code is still showing through; needs a hand pass</t>
        </is>
      </c>
      <c r="J87" s="3" t="inlineStr">
        <is>
          <t>op: OnboardingProfile | null</t>
        </is>
      </c>
      <c r="K87" s="3" t="inlineStr">
        <is>
          <t>number</t>
        </is>
      </c>
      <c r="L87" s="3" t="inlineStr">
        <is>
          <t>NOT FOUND — a screen calls it, but the words printed beside its answer could not be traced automatically. Needs reading.</t>
        </is>
      </c>
      <c r="M87" s="3" t="inlineStr">
        <is>
          <t>None found in this function — anything it assumes comes from the functions it depends on.</t>
        </is>
      </c>
      <c r="N87" s="3" t="inlineStr">
        <is>
          <t>Yes</t>
        </is>
      </c>
      <c r="O87" s="3" t="inlineStr">
        <is>
          <t>MK-ST-F-052 toNum</t>
        </is>
      </c>
      <c r="P87" s="3" t="n">
        <v>2</v>
      </c>
      <c r="Q87" s="3" t="inlineStr">
        <is>
          <t>1. MK-ST-F-052 toNum
2. MK-XS-F-122 n</t>
        </is>
      </c>
      <c r="R87" s="3" t="inlineStr">
        <is>
          <t>MK-XS-F-122 n → MK-ST-F-052 toNum → MK-CF-F-086 stateRateOf</t>
        </is>
      </c>
      <c r="S87" s="3" t="inlineStr">
        <is>
          <t>—</t>
        </is>
      </c>
      <c r="T87" s="3" t="inlineStr">
        <is>
          <t>STATE_TAX_RATE</t>
        </is>
      </c>
      <c r="U87" s="3" t="inlineStr">
        <is>
          <t>ACTIVE</t>
        </is>
      </c>
      <c r="V87" s="3" t="inlineStr">
        <is>
          <t>2026-08-27</t>
        </is>
      </c>
      <c r="W87" s="3" t="n"/>
      <c r="X87" s="3" t="n"/>
      <c r="Y87" s="3" t="inlineStr">
        <is>
          <t>NOTHING OPEN</t>
        </is>
      </c>
    </row>
    <row r="88" ht="60" customHeight="1">
      <c r="A88" s="3" t="inlineStr">
        <is>
          <t>MK-CF-F-087</t>
        </is>
      </c>
      <c r="B88" s="3" t="inlineStr">
        <is>
          <t>monthlyTaxRates</t>
        </is>
      </c>
      <c r="C88" s="3" t="inlineStr">
        <is>
          <t>src/domain/income/onboarding.ts</t>
        </is>
      </c>
      <c r="D88" s="3" t="n">
        <v>1420</v>
      </c>
      <c r="E88" s="3" t="inlineStr">
        <is>
          <t>2 · DISPLAYED</t>
        </is>
      </c>
      <c r="F88" s="3" t="inlineStr">
        <is>
          <t>The tax rate for each of the twelve months, as a share: the person's own rate in every month where they gave one, otherwise a calculated rate that is higher in a month with a bonus.</t>
        </is>
      </c>
      <c r="G88" s="11" t="inlineStr">
        <is>
          <t>flat = effective rate(op)
12 slots, each flat   when the person's own rate is in force
taxable = taxable by calendar month(op, now)
12 slots, each flat   when Σ taxable ≤ 0
tax = progressive monthly tax(taxable, filing status, state rate, people 65+)
the answer: for each month, min(60%, max(0, tax ÷ taxable))   if taxable &gt; 0, else flat</t>
        </is>
      </c>
      <c r="H88" s="3" t="inlineStr">
        <is>
          <t>One withholding rate per calendar month. If the person set their own rate it is used for every month. Otherwise the year's taxable income is laid out by month, the progressive tax on the running total gives each month's tax, and the month's rate is that tax over that month's taxable income, capped at 60%; a month with no taxable income takes the flat rate.</t>
        </is>
      </c>
      <c r="I88" s="3" t="inlineStr">
        <is>
          <t>READ BY HAND 2026-08-26 — checked line by line against the code</t>
        </is>
      </c>
      <c r="J88" s="3" t="inlineStr">
        <is>
          <t>1. op: OnboardingProfile | null
2. now: Date = new Date()</t>
        </is>
      </c>
      <c r="K88" s="3" t="inlineStr">
        <is>
          <t>number[]</t>
        </is>
      </c>
      <c r="L88" s="3" t="inlineStr">
        <is>
          <t>NOT FOUND — a screen calls it, but the words printed beside its answer could not be traced automatically. Needs reading.</t>
        </is>
      </c>
      <c r="M88" s="3" t="inlineStr">
        <is>
          <t>· Uses today's date from the device clock, so the answer changes by itself overnight.</t>
        </is>
      </c>
      <c r="N88" s="3" t="inlineStr">
        <is>
          <t>Yes</t>
        </is>
      </c>
      <c r="O88" s="3" t="inlineStr">
        <is>
          <t>1. MK-CF-F-203 MONTH
2. MK-CF-F-090 effectiveRate
3. MK-ST-F-039 on
4. MK-ST-F-052 toNum</t>
        </is>
      </c>
      <c r="P88" s="3" t="n">
        <v>99</v>
      </c>
      <c r="Q88" s="3" t="inlineStr">
        <is>
          <t>1. MK-CF-F-203 MONTH
2. MK-CF-F-090 effectiveRate
3. MK-ST-F-039 on
4. MK-ST-F-052 toNum
5. MK-CF-O-010 theMonth
6. MK-CF-F-181 rateInForce
7. MK-XS-F-122 n
8. MK-CF-F-155 cash
9. MK-CF-O-002 expenses
10. MK-CF-O-003 thisMonth
11. MK-CF-F-173 earnerWages
12. MK-CF-F-180 enteredLandsAnnual
13. MK-CF-F-085 filingStatusOf
14. MK-CF-F-206 householdK401ByMonth
15. MK-CF-F-089 over65CountOf
16. MK-CF-F-082 salaryAnnual
17. MK-CF-F-086 stateRateOf
18. MK-CF-F-101 taxOwedFor
19. MK-CF-F-084 taxableAnnual
20. MK-CF-F-151 actualSpending
21. MK-CF-F-150 debtPaymentsCountedAsExpenses
22. MK-CF-F-153 radar
23. MK-CF-F-149 recurringDebtPayments
24. MK-CF-F-005 actualMonthFlow
25. MK-CF-F-156 plannedMonthFlow
26. MK-CF-F-172 hasWage
27. MK-CF-F-132 map
28. MK-CF-F-176 sumMonthsOverEarners
29. MK-CF-F-177 wageGrossByMonth
30. MK-CF-F-060 salaryGrossByMonth
31. MK-CF-F-100 taxableIncomeFor
32. MK-CF-F-072 currentRetirementIncomeMonthly
33. MK-CF-F-071 extraIncome
34. MK-CF-F-068 rentalNetAnnual
35. MK-CF-F-066 rsuAnnual
36. MK-CF-F-074 tipsAnnual
37. MK-CF-F-148 inMonth
38. MK-CF-F-191 ym
39. MK-ST-F-056 has
40. MK-CF-F-022 paymentShape
41. MK-CF-F-152 isRadarItem
42. MK-CF-F-023 requiredPayment
43. MK-NW-F-078 ONE
44. MK-CF-F-157 debtPaymentsByDebt
45. MK-CF-F-192 inflowLabel
46. MK-XS-F-027 takeHomeMonthly
47. MK-CF-F-130 enteredMonthlyRaw
48. MK-CF-F-166 hasMonthlySalaryTable
49. MK-ST-F-036 reconcile
50. MK-CF-F-167 salaryCalendarYear
51. MK-CF-F-099 deductionFor
52. MK-CF-F-075 retirementIncomeMonthly
53. MK-CF-F-070 benefitAnnual
54. MK-CF-F-067 rentalList
55. MK-CF-F-062 equityRowValue
56. MK-CF-F-063 rowVestYear
57. MK-CF-F-081 salaryActiveMonths
58. MK-CF-F-021 defaultPaymentType
59. MK-NW-F-077 ALL
60. MK-NW-F-059 currentYield
61. MK-XS-F-180 declareFigures
62. MK-ST-F-049 formatMoney
63. MK-ST-F-053 money
64. MK-NW-O-001 theBonds
65. MK-CF-F-193 inflowSourceWord
66. MK-CF-F-092 incomeMonthlyGrid
67. MK-CF-F-011 savingsByMonth
68. MK-CF-F-165 salaryMonths
69. MK-CF-F-187 seniorDeductionFor
70. MK-CF-F-069 benefitActiveMonths
71. MK-NW-F-057 annualCoupon
72. MK-ST-F-048 currencySymbol
73. MK-ST-F-027 accountId
74. MK-NW-F-056 bondInfo
75. MK-NW-F-064 bondRateSensitivity
76. MK-NW-F-061 bondSummary
77. MK-NW-F-055 isBond
78. MK-NW-F-072 rowOf
79. MK-CF-F-065 equityVestWeights
80. MK-CF-F-073 otherIncomeMonth
81. MK-CF-F-077 scholarshipByCalendarMonth
82. MK-CF-F-088 taxableByCalendarMonth
83. MK-PL-F-012 waterfall
84. MK-CF-F-008 spendByMonth
85. MK-ST-F-047 activeCurrency
86. MK-NW-F-060 approxYTM
87. MK-NW-F-069 priceAtYield
88. MK-NW-F-011 assetClassOf
89. MK-NW-F-070 accruedInterestCaveat
90. MK-NW-F-071 isCertificateOfDeposit
91. MK-NW-F-058 yearsToMaturity
92. MK-CF-F-120 pctBaseMonthly
93. MK-CF-F-004 spendBuckets
94. MK-NW-F-008 incomeBearingClassOf
95. MK-CF-F-003 categoryMonthly
96. MK-ST-F-010 nameEvidence
97. MK-XS-F-147 call
98. MK-XS-F-064 currentIdToken
99. MK-XS-F-112 relayUrl</t>
        </is>
      </c>
      <c r="R88" s="3" t="inlineStr">
        <is>
          <t>1. MONTH (already above — a loop) → MK-CF-O-010 theMonth → MK-CF-F-203 MONTH → MK-CF-F-087 monthlyTaxRates
2. MK-XS-F-122 n → MK-CF-F-155 cash → MK-CF-O-010 theMonth → MK-CF-F-203 MONTH → MK-CF-F-087 monthlyTaxRates
3. MK-CF-F-148 inMonth → MK-CF-F-151 actualSpending → MK-CF-O-002 expenses → MK-CF-O-010 theMonth → MK-CF-F-203 MONTH → MK-CF-F-087 monthlyTaxRates
4. MK-ST-F-052 toNum → MK-CF-F-151 actualSpending → MK-CF-O-002 expenses → MK-CF-O-010 theMonth → MK-CF-F-203 MONTH → MK-CF-F-087 monthlyTaxRates
5. MK-CF-F-191 ym → MK-CF-F-151 actualSpending → MK-CF-O-002 expenses → MK-CF-O-010 theMonth → MK-CF-F-203 MONTH → MK-CF-F-087 monthlyTaxRates
6. MK-ST-F-056 has → MK-CF-F-150 debtPaymentsCountedAsExpenses → MK-CF-O-002 expenses → MK-CF-O-010 theMonth → MK-CF-F-203 MONTH → MK-CF-F-087 monthlyTaxRates
7. MK-CF-F-148 inMonth → MK-CF-F-150 debtPaymentsCountedAsExpenses → MK-CF-O-002 expenses → MK-CF-O-010 theMonth → MK-CF-F-203 MONTH → MK-CF-F-087 monthlyTaxRates
8. MK-CF-F-022 paymentShape → MK-CF-F-150 debtPaymentsCountedAsExpenses → MK-CF-O-002 expenses → MK-CF-O-010 theMonth → MK-CF-F-203 MONTH → MK-CF-F-087 monthlyTaxRates
9. … and 5 more paths</t>
        </is>
      </c>
      <c r="S88" s="3" t="inlineStr">
        <is>
          <t>—</t>
        </is>
      </c>
      <c r="T88" s="3" t="inlineStr">
        <is>
          <t>—</t>
        </is>
      </c>
      <c r="U88" s="3" t="inlineStr">
        <is>
          <t>ACTIVE</t>
        </is>
      </c>
      <c r="V88" s="3" t="inlineStr">
        <is>
          <t>2026-09-08</t>
        </is>
      </c>
      <c r="W88" s="3" t="n"/>
      <c r="X88" s="3" t="n"/>
      <c r="Y88" s="6" t="inlineStr">
        <is>
          <t>TESTED, NOT VERIFIED (G35)</t>
        </is>
      </c>
    </row>
    <row r="89" ht="60" customHeight="1">
      <c r="A89" s="3" t="inlineStr">
        <is>
          <t>MK-CF-F-088</t>
        </is>
      </c>
      <c r="B89" s="3" t="inlineStr">
        <is>
          <t>taxableByCalendarMonth</t>
        </is>
      </c>
      <c r="C89" s="3" t="inlineStr">
        <is>
          <t>src/domain/income/onboarding.ts</t>
        </is>
      </c>
      <c r="D89" s="3" t="n">
        <v>1543</v>
      </c>
      <c r="E89" s="3" t="inlineStr">
        <is>
          <t>3 · DEPENDENT</t>
        </is>
      </c>
      <c r="F89" s="3" t="inlineStr">
        <is>
          <t>The calendar-year TAXABLE profile (Jan→Dec) — the same placement rules incomeMonthlyGrid uses, extracted so the rate vector and the grid can never drift apart.</t>
        </is>
      </c>
      <c r="G89" s="11" t="inlineStr">
        <is>
          <t>a = op (or none when missing)
sal by month = salary gross by month(op)
tips m = tips monthly read as a number (0 when it is not one)
rental m = rental net annual(op) ÷ 12
ex = extra income(op)
ret inc monthly = current retirement income monthly(op)
eq annual = rsu annual(op)
vest w = equity vest weights(op)
equity by month = for each of vest w ? vest w: eq annual × each: 12 slots, each 0
bonus idx = min(11, max(0, (to num(bonus month) or 12) − 1))
other idx = other income month(op) − 1
… the first steps only — the rest of the body needs reading by hand.</t>
        </is>
      </c>
      <c r="H89" s="3" t="inlineStr">
        <is>
          <t>A is op (or none — when missing). Sal by month is salary gross by month(op). Tips m is tips monthly read as a number (0 — when it is one is missing). Rental m is rental net annual(op) divided by 12. Ex is extra income(op). Ret inc monthly is current retirement income monthly(op). Eq annual is rsu annual(op). Vest w is equity vest weights(op). Equity by month is for each of vest w ? vest w: eq annual times each: 12 slots, each 0. Bonus idx: the smaller of 11 and (to num(bonus month, never below zero or 12 minus 1)). Other idx is other income month(op) minus 1. Only the first steps are shown; the rest of the body needs reading by hand.</t>
        </is>
      </c>
      <c r="I89" s="3" t="inlineStr">
        <is>
          <t>READ FROM THE CODE — rendered from the expressions the function runs</t>
        </is>
      </c>
      <c r="J89" s="3" t="inlineStr">
        <is>
          <t>1. op: OnboardingProfile | null
2. now: Date = new Date()</t>
        </is>
      </c>
      <c r="K89" s="3" t="inlineStr">
        <is>
          <t>number[]</t>
        </is>
      </c>
      <c r="L89" s="3" t="inlineStr">
        <is>
          <t>—</t>
        </is>
      </c>
      <c r="M89" s="3" t="inlineStr">
        <is>
          <t>1. Uses today's date from the device clock, so the answer changes by itself overnight.
2. Never lets t fall below 0.</t>
        </is>
      </c>
      <c r="N89" s="3" t="inlineStr">
        <is>
          <t>Yes</t>
        </is>
      </c>
      <c r="O89" s="3" t="inlineStr">
        <is>
          <t>1. MK-CF-F-072 currentRetirementIncomeMonthly
2. MK-CF-F-065 equityVestWeights
3. MK-CF-F-071 extraIncome
4. MK-CF-F-206 householdK401ByMonth
5. MK-CF-F-132 map
6. MK-CF-F-073 otherIncomeMonth
7. MK-CF-F-068 rentalNetAnnual
8. MK-CF-F-066 rsuAnnual
9. MK-CF-F-060 salaryGrossByMonth
10. MK-ST-F-052 toNum</t>
        </is>
      </c>
      <c r="P89" s="3" t="n">
        <v>39</v>
      </c>
      <c r="Q89" s="3" t="inlineStr">
        <is>
          <t>1. MK-CF-F-072 currentRetirementIncomeMonthly
2. MK-CF-F-065 equityVestWeights
3. MK-CF-F-071 extraIncome
4. MK-CF-F-206 householdK401ByMonth
5. MK-CF-F-132 map
6. MK-CF-F-073 otherIncomeMonth
7. MK-CF-F-068 rentalNetAnnual
8. MK-CF-F-066 rsuAnnual
9. MK-CF-F-060 salaryGrossByMonth
10. MK-ST-F-052 toNum
11. MK-CF-F-075 retirementIncomeMonthly
12. MK-CF-F-062 equityRowValue
13. MK-CF-F-070 benefitAnnual
14. MK-ST-F-039 on
15. MK-CF-F-176 sumMonthsOverEarners
16. MK-CF-F-177 wageGrossByMonth
17. MK-CF-O-002 expenses
18. MK-CF-F-067 rentalList
19. MK-CF-F-063 rowVestYear
20. MK-XS-F-122 n
21. MK-CF-F-069 benefitActiveMonths
22. MK-CF-F-173 earnerWages
23. MK-CF-F-130 enteredMonthlyRaw
24. MK-CF-F-166 hasMonthlySalaryTable
25. MK-ST-F-036 reconcile
26. MK-CF-F-167 salaryCalendarYear
27. MK-CF-F-151 actualSpending
28. MK-CF-F-150 debtPaymentsCountedAsExpenses
29. MK-CF-F-153 radar
30. MK-CF-F-149 recurringDebtPayments
31. MK-CF-F-172 hasWage
32. MK-CF-F-165 salaryMonths
33. MK-CF-F-148 inMonth
34. MK-CF-F-191 ym
35. MK-ST-F-056 has
36. MK-CF-F-022 paymentShape
37. MK-CF-F-152 isRadarItem
38. MK-CF-F-023 requiredPayment
39. MK-CF-F-021 defaultPaymentType</t>
        </is>
      </c>
      <c r="R89" s="3" t="inlineStr">
        <is>
          <t>1. MK-XS-F-122 n → MK-ST-F-052 toNum → MK-CF-F-075 retirementIncomeMonthly → MK-CF-F-072 currentRetirementIncomeMonthly → MK-CF-F-088 taxableByCalendarMonth
2. MK-XS-F-122 n → MK-ST-F-052 toNum → MK-CF-F-062 equityRowValue → MK-CF-F-065 equityVestWeights → MK-CF-F-088 taxableByCalendarMonth
3. MK-CF-F-132 map → MK-CF-F-065 equityVestWeights → MK-CF-F-088 taxableByCalendarMonth
4. MK-CF-F-069 benefitActiveMonths → MK-CF-F-070 benefitAnnual → MK-CF-F-071 extraIncome → MK-CF-F-088 taxableByCalendarMonth
5. MK-XS-F-122 n → MK-ST-F-052 toNum → MK-CF-F-070 benefitAnnual → MK-CF-F-071 extraIncome → MK-CF-F-088 taxableByCalendarMonth
6. MK-ST-F-039 on → MK-CF-F-071 extraIncome → MK-CF-F-088 taxableByCalendarMonth
7. MK-XS-F-122 n → MK-ST-F-052 toNum → MK-CF-F-071 extraIncome → MK-CF-F-088 taxableByCalendarMonth
8. MK-CF-F-132 map → MK-CF-F-206 householdK401ByMonth → MK-CF-F-088 taxableByCalendarMonth
9. … and 5 more paths</t>
        </is>
      </c>
      <c r="S89" s="3" t="inlineStr">
        <is>
          <t>—</t>
        </is>
      </c>
      <c r="T89" s="3" t="inlineStr">
        <is>
          <t>—</t>
        </is>
      </c>
      <c r="U89" s="3" t="inlineStr">
        <is>
          <t>ACTIVE</t>
        </is>
      </c>
      <c r="V89" s="3" t="inlineStr">
        <is>
          <t>2026-08-27</t>
        </is>
      </c>
      <c r="W89" s="3" t="n"/>
      <c r="X89" s="3" t="n"/>
      <c r="Y89" s="3" t="inlineStr">
        <is>
          <t>NOTHING OPEN</t>
        </is>
      </c>
    </row>
    <row r="90" ht="60" customHeight="1">
      <c r="A90" s="3" t="inlineStr">
        <is>
          <t>MK-CF-F-089</t>
        </is>
      </c>
      <c r="B90" s="3" t="inlineStr">
        <is>
          <t>over65CountOf</t>
        </is>
      </c>
      <c r="C90" s="3" t="inlineStr">
        <is>
          <t>src/domain/income/onboarding.ts</t>
        </is>
      </c>
      <c r="D90" s="3" t="n">
        <v>1618</v>
      </c>
      <c r="E90" s="3" t="inlineStr">
        <is>
          <t>2 · DISPLAYED</t>
        </is>
      </c>
      <c r="F90" s="3" t="inlineStr">
        <is>
          <t>How many people on the tax return are 65 or older: none, one or two.</t>
        </is>
      </c>
      <c r="G90" s="11" t="inlineStr">
        <is>
          <t>a = op (or none when missing)
joint = filing status = 'married'
the answer:
2   if over65 who = 'both'
0   if over65 who = 'neither'
1   otherwise   otherwise
y = birth year read as a number (0 when it is not one)
0   when y is missing</t>
        </is>
      </c>
      <c r="H90" s="3" t="inlineStr">
        <is>
          <t>A is op (or none — when missing). Joint is filing status = 'married'. The answer is 2 — when over65 who = 'both'; 0 — when over65 who = 'neither'; 1 — otherwise — otherwise. Y is birth year read as a number (0 — when it is one is missing). When y is missing, it answers 0.</t>
        </is>
      </c>
      <c r="I90" s="3" t="inlineStr">
        <is>
          <t>READ FROM THE CODE — rendered from the expressions the function runs</t>
        </is>
      </c>
      <c r="J90" s="3" t="inlineStr">
        <is>
          <t>op: OnboardingProfile | null</t>
        </is>
      </c>
      <c r="K90" s="3" t="inlineStr">
        <is>
          <t>number</t>
        </is>
      </c>
      <c r="L90" s="3" t="inlineStr">
        <is>
          <t>NOT FOUND — a screen calls it, but the words printed beside its answer could not be traced automatically. Needs reading.</t>
        </is>
      </c>
      <c r="M90" s="3" t="inlineStr">
        <is>
          <t>· Uses today's date from the device clock, so the answer changes by itself overnight.</t>
        </is>
      </c>
      <c r="N90" s="3" t="inlineStr">
        <is>
          <t>Yes</t>
        </is>
      </c>
      <c r="O90" s="3" t="inlineStr">
        <is>
          <t>MK-ST-F-052 toNum</t>
        </is>
      </c>
      <c r="P90" s="3" t="n">
        <v>2</v>
      </c>
      <c r="Q90" s="3" t="inlineStr">
        <is>
          <t>1. MK-ST-F-052 toNum
2. MK-XS-F-122 n</t>
        </is>
      </c>
      <c r="R90" s="3" t="inlineStr">
        <is>
          <t>MK-XS-F-122 n → MK-ST-F-052 toNum → MK-CF-F-089 over65CountOf</t>
        </is>
      </c>
      <c r="S90" s="3" t="inlineStr">
        <is>
          <t>—</t>
        </is>
      </c>
      <c r="T90" s="3" t="inlineStr">
        <is>
          <t>TAX_OVER65_COUNT</t>
        </is>
      </c>
      <c r="U90" s="3" t="inlineStr">
        <is>
          <t>ACTIVE</t>
        </is>
      </c>
      <c r="V90" s="3" t="inlineStr">
        <is>
          <t>2026-08-28</t>
        </is>
      </c>
      <c r="W90" s="3" t="n"/>
      <c r="X90" s="3" t="n"/>
      <c r="Y90" s="3" t="inlineStr">
        <is>
          <t>NOTHING OPEN</t>
        </is>
      </c>
    </row>
    <row r="91" ht="60" customHeight="1">
      <c r="A91" s="3" t="inlineStr">
        <is>
          <t>MK-CF-F-090</t>
        </is>
      </c>
      <c r="B91" s="3" t="inlineStr">
        <is>
          <t>effectiveRate</t>
        </is>
      </c>
      <c r="C91" s="3" t="inlineStr">
        <is>
          <t>src/domain/income/onboarding.ts</t>
        </is>
      </c>
      <c r="D91" s="3" t="n">
        <v>1662</v>
      </c>
      <c r="E91" s="3" t="inlineStr">
        <is>
          <t>3 · DEPENDENT</t>
        </is>
      </c>
      <c r="F91" s="3" t="inlineStr">
        <is>
          <t>The one tax rate in force for the household, as a share of gross: their own figure where they gave one, otherwise the calculated rate.</t>
        </is>
      </c>
      <c r="G91" s="11" t="inlineStr">
        <is>
          <t>rate in force(op).rate</t>
        </is>
      </c>
      <c r="H91" s="3" t="inlineStr">
        <is>
          <t>rate in force(op).rate.</t>
        </is>
      </c>
      <c r="I91" s="3" t="inlineStr">
        <is>
          <t>PARTLY READ — some of the code is still showing through; needs a hand pass</t>
        </is>
      </c>
      <c r="J91" s="3" t="inlineStr">
        <is>
          <t>op: OnboardingProfile | null</t>
        </is>
      </c>
      <c r="K91" s="3" t="inlineStr">
        <is>
          <t>number</t>
        </is>
      </c>
      <c r="L91" s="3" t="inlineStr">
        <is>
          <t>—</t>
        </is>
      </c>
      <c r="M91" s="3" t="inlineStr">
        <is>
          <t>None found in this function — anything it assumes comes from the functions it depends on.</t>
        </is>
      </c>
      <c r="N91" s="3" t="inlineStr">
        <is>
          <t>Yes</t>
        </is>
      </c>
      <c r="O91" s="3" t="inlineStr">
        <is>
          <t>MK-CF-F-181 rateInForce</t>
        </is>
      </c>
      <c r="P91" s="3" t="n">
        <v>50</v>
      </c>
      <c r="Q91" s="3" t="inlineStr">
        <is>
          <t>1. MK-CF-F-181 rateInForce
2. MK-CF-F-173 earnerWages
3. MK-CF-F-180 enteredLandsAnnual
4. MK-CF-F-085 filingStatusOf
5. MK-CF-F-206 householdK401ByMonth
6. MK-CF-F-089 over65CountOf
7. MK-CF-F-082 salaryAnnual
8. MK-CF-F-086 stateRateOf
9. MK-CF-F-101 taxOwedFor
10. MK-CF-F-084 taxableAnnual
11. MK-ST-F-052 toNum
12. MK-CF-F-172 hasWage
13. MK-CF-F-132 map
14. MK-CF-F-176 sumMonthsOverEarners
15. MK-CF-F-177 wageGrossByMonth
16. MK-CF-F-060 salaryGrossByMonth
17. MK-CF-F-100 taxableIncomeFor
18. MK-CF-F-072 currentRetirementIncomeMonthly
19. MK-CF-F-071 extraIncome
20. MK-CF-F-068 rentalNetAnnual
21. MK-CF-F-066 rsuAnnual
22. MK-CF-F-074 tipsAnnual
23. MK-XS-F-122 n
24. MK-ST-F-056 has
25. MK-CF-F-130 enteredMonthlyRaw
26. MK-CF-F-166 hasMonthlySalaryTable
27. MK-ST-F-036 reconcile
28. MK-CF-F-167 salaryCalendarYear
29. MK-CF-F-099 deductionFor
30. MK-CF-F-075 retirementIncomeMonthly
31. MK-CF-F-070 benefitAnnual
32. MK-ST-F-039 on
33. MK-CF-O-002 expenses
34. MK-CF-F-067 rentalList
35. MK-CF-F-062 equityRowValue
36. MK-CF-F-063 rowVestYear
37. MK-CF-F-081 salaryActiveMonths
38. MK-CF-F-165 salaryMonths
39. MK-CF-F-187 seniorDeductionFor
40. MK-CF-F-069 benefitActiveMonths
41. MK-CF-F-151 actualSpending
42. MK-CF-F-150 debtPaymentsCountedAsExpenses
43. MK-CF-F-153 radar
44. MK-CF-F-149 recurringDebtPayments
45. MK-CF-F-148 inMonth
46. MK-CF-F-191 ym
47. MK-CF-F-022 paymentShape
48. MK-CF-F-152 isRadarItem
49. MK-CF-F-023 requiredPayment
50. MK-CF-F-021 defaultPaymentType</t>
        </is>
      </c>
      <c r="R91" s="3" t="inlineStr">
        <is>
          <t>1. MK-ST-F-056 has → MK-CF-F-172 hasWage → MK-CF-F-173 earnerWages → MK-CF-F-181 rateInForce → MK-CF-F-090 effectiveRate
2. MK-ST-F-056 has → MK-CF-F-172 hasWage → MK-CF-F-173 earnerWages → MK-CF-F-180 enteredLandsAnnual → MK-CF-F-181 rateInForce → MK-CF-F-090 effectiveRate
3. MK-XS-F-122 n → MK-ST-F-052 toNum → MK-CF-F-180 enteredLandsAnnual → MK-CF-F-181 rateInForce → MK-CF-F-090 effectiveRate
4. MK-CF-F-085 filingStatusOf → MK-CF-F-181 rateInForce → MK-CF-F-090 effectiveRate
5. MK-CF-F-132 map → MK-CF-F-206 householdK401ByMonth → MK-CF-F-181 rateInForce → MK-CF-F-090 effectiveRate
6. MK-CF-F-172 hasWage → MK-CF-F-173 earnerWages → MK-CF-F-176 sumMonthsOverEarners → MK-CF-F-206 householdK401ByMonth → MK-CF-F-181 rateInForce → MK-CF-F-090 effectiveRate
7. MK-CF-F-132 map → MK-CF-F-176 sumMonthsOverEarners → MK-CF-F-206 householdK401ByMonth → MK-CF-F-181 rateInForce → MK-CF-F-090 effectiveRate
8. MK-XS-F-122 n → MK-ST-F-052 toNum → MK-CF-F-206 householdK401ByMonth → MK-CF-F-181 rateInForce → MK-CF-F-090 effectiveRate
9. … and 4 more paths</t>
        </is>
      </c>
      <c r="S91" s="3" t="inlineStr">
        <is>
          <t>—</t>
        </is>
      </c>
      <c r="T91" s="3" t="inlineStr">
        <is>
          <t>—</t>
        </is>
      </c>
      <c r="U91" s="3" t="inlineStr">
        <is>
          <t>ACTIVE</t>
        </is>
      </c>
      <c r="V91" s="3" t="inlineStr">
        <is>
          <t>2026-08-28</t>
        </is>
      </c>
      <c r="W91" s="3" t="n"/>
      <c r="X91" s="3" t="n"/>
      <c r="Y91" s="3" t="inlineStr">
        <is>
          <t>NOTHING OPEN</t>
        </is>
      </c>
    </row>
    <row r="92" ht="60" customHeight="1">
      <c r="A92" s="3" t="inlineStr">
        <is>
          <t>MK-CF-F-091</t>
        </is>
      </c>
      <c r="B92" s="3" t="inlineStr">
        <is>
          <t>userCapGainsRates</t>
        </is>
      </c>
      <c r="C92" s="3" t="inlineStr">
        <is>
          <t>src/domain/income/onboarding.ts</t>
        </is>
      </c>
      <c r="D92" s="3" t="n">
        <v>1698</v>
      </c>
      <c r="E92" s="3" t="inlineStr">
        <is>
          <t>3 · DEPENDENT (feeds an action only)</t>
        </is>
      </c>
      <c r="F92" s="3" t="inlineStr">
        <is>
          <t>The person's own capital-gains tax rates, long-term and short-term, each with their state rate added.</t>
        </is>
      </c>
      <c r="G92" s="11" t="inlineStr">
        <is>
          <t>gross = total gross annual(op)
status = filing status of(op)
state = state rate of(op)
over65 = over65 count of(op)
the answer:
lt = ltcg rate for(gross, status, over65) + state
st = marginal bracket for(gross, status, over65) + state</t>
        </is>
      </c>
      <c r="H92" s="3" t="inlineStr">
        <is>
          <t>Gross is total gross annual(op). Status is filing status of(op). State is state rate of(op). Over65 is over65 count of(op). The answer is lt = ltcg rate for(gross, status, over65) plus state; st = marginal bracket for(gross, status, over65) plus state.</t>
        </is>
      </c>
      <c r="I92" s="3" t="inlineStr">
        <is>
          <t>READ FROM THE CODE — rendered from the expressions the function runs</t>
        </is>
      </c>
      <c r="J92" s="3" t="inlineStr">
        <is>
          <t>op: OnboardingProfile | null</t>
        </is>
      </c>
      <c r="K92" s="3" t="inlineStr">
        <is>
          <t>NOT DECLARED — the code does not say what it gives back</t>
        </is>
      </c>
      <c r="L92" s="3" t="inlineStr">
        <is>
          <t>—</t>
        </is>
      </c>
      <c r="M92" s="3" t="inlineStr">
        <is>
          <t>None found in this function — anything it assumes comes from the functions it depends on.</t>
        </is>
      </c>
      <c r="N92" s="3" t="inlineStr">
        <is>
          <t>No</t>
        </is>
      </c>
      <c r="O92" s="3" t="inlineStr">
        <is>
          <t>1. MK-CF-F-085 filingStatusOf
2. MK-CF-F-104 ltcgRateFor
3. MK-CF-F-103 marginalBracketFor
4. MK-ST-F-039 on
5. MK-CF-F-089 over65CountOf
6. MK-CF-F-086 stateRateOf
7. MK-CF-F-083 totalGrossAnnual</t>
        </is>
      </c>
      <c r="P92" s="3" t="n">
        <v>48</v>
      </c>
      <c r="Q92" s="3" t="inlineStr">
        <is>
          <t>1. MK-CF-F-085 filingStatusOf
2. MK-CF-F-104 ltcgRateFor
3. MK-CF-F-103 marginalBracketFor
4. MK-ST-F-039 on
5. MK-CF-F-089 over65CountOf
6. MK-CF-F-086 stateRateOf
7. MK-CF-F-083 totalGrossAnnual
8. MK-CF-F-100 taxableIncomeFor
9. MK-ST-F-052 toNum
10. MK-CF-F-072 currentRetirementIncomeMonthly
11. MK-CF-F-071 extraIncome
12. MK-CF-F-068 rentalNetAnnual
13. MK-CF-F-066 rsuAnnual
14. MK-CF-F-082 salaryAnnual
15. MK-CF-F-074 tipsAnnual
16. MK-CF-F-099 deductionFor
17. MK-XS-F-122 n
18. MK-CF-F-075 retirementIncomeMonthly
19. MK-CF-F-070 benefitAnnual
20. MK-CF-O-002 expenses
21. MK-CF-F-067 rentalList
22. MK-CF-F-062 equityRowValue
23. MK-CF-F-132 map
24. MK-CF-F-063 rowVestYear
25. MK-CF-F-060 salaryGrossByMonth
26. MK-CF-F-081 salaryActiveMonths
27. MK-CF-F-187 seniorDeductionFor
28. MK-CF-F-069 benefitActiveMonths
29. MK-CF-F-151 actualSpending
30. MK-CF-F-150 debtPaymentsCountedAsExpenses
31. MK-CF-F-153 radar
32. MK-CF-F-149 recurringDebtPayments
33. MK-CF-F-176 sumMonthsOverEarners
34. MK-CF-F-177 wageGrossByMonth
35. MK-CF-F-148 inMonth
36. MK-CF-F-191 ym
37. MK-ST-F-056 has
38. MK-CF-F-022 paymentShape
39. MK-CF-F-152 isRadarItem
40. MK-CF-F-023 requiredPayment
41. MK-CF-F-173 earnerWages
42. MK-CF-F-130 enteredMonthlyRaw
43. MK-CF-F-166 hasMonthlySalaryTable
44. MK-ST-F-036 reconcile
45. MK-CF-F-167 salaryCalendarYear
46. MK-CF-F-021 defaultPaymentType
47. MK-CF-F-172 hasWage
48. MK-CF-F-165 salaryMonths</t>
        </is>
      </c>
      <c r="R92" s="3" t="inlineStr">
        <is>
          <t>1. MK-CF-F-085 filingStatusOf → MK-CF-F-091 userCapGainsRates
2. MK-CF-F-187 seniorDeductionFor → MK-CF-F-099 deductionFor → MK-CF-F-100 taxableIncomeFor → MK-CF-F-104 ltcgRateFor → MK-CF-F-091 userCapGainsRates
3. MK-CF-F-187 seniorDeductionFor → MK-CF-F-099 deductionFor → MK-CF-F-100 taxableIncomeFor → MK-CF-F-103 marginalBracketFor → MK-CF-F-091 userCapGainsRates
4. MK-ST-F-039 on → MK-CF-F-091 userCapGainsRates
5. MK-XS-F-122 n → MK-ST-F-052 toNum → MK-CF-F-089 over65CountOf → MK-CF-F-091 userCapGainsRates
6. MK-XS-F-122 n → MK-ST-F-052 toNum → MK-CF-F-086 stateRateOf → MK-CF-F-091 userCapGainsRates
7. MK-XS-F-122 n → MK-ST-F-052 toNum → MK-CF-F-075 retirementIncomeMonthly → MK-CF-F-072 currentRetirementIncomeMonthly → MK-CF-F-083 totalGrossAnnual → MK-CF-F-091 userCapGainsRates
8. MK-CF-F-069 benefitActiveMonths → MK-CF-F-070 benefitAnnual → MK-CF-F-071 extraIncome → MK-CF-F-083 totalGrossAnnual → MK-CF-F-091 userCapGainsRates
9. … and 4 more paths</t>
        </is>
      </c>
      <c r="S92" s="3" t="inlineStr">
        <is>
          <t>—</t>
        </is>
      </c>
      <c r="T92" s="3" t="inlineStr">
        <is>
          <t>—</t>
        </is>
      </c>
      <c r="U92" s="3" t="inlineStr">
        <is>
          <t>ACTIVE</t>
        </is>
      </c>
      <c r="V92" s="3" t="inlineStr">
        <is>
          <t>2026-08-27</t>
        </is>
      </c>
      <c r="W92" s="3" t="n"/>
      <c r="X92" s="3" t="n"/>
      <c r="Y92" s="3" t="inlineStr">
        <is>
          <t>NOTHING OPEN</t>
        </is>
      </c>
    </row>
    <row r="93" ht="60" customHeight="1">
      <c r="A93" s="3" t="inlineStr">
        <is>
          <t>MK-CF-F-092</t>
        </is>
      </c>
      <c r="B93" s="3" t="inlineStr">
        <is>
          <t>incomeMonthlyGrid</t>
        </is>
      </c>
      <c r="C93" s="3" t="inlineStr">
        <is>
          <t>src/domain/income/onboarding.ts</t>
        </is>
      </c>
      <c r="D93" s="3" t="n">
        <v>1760</v>
      </c>
      <c r="E93" s="3" t="inlineStr">
        <is>
          <t>2 · DISPLAYED</t>
        </is>
      </c>
      <c r="F93" s="3" t="inlineStr">
        <is>
          <t>A representative 12-month cash-flow grid (Jan→Dec) that honors lumpiness: salary &amp; net rental are steady every month; the annual bonus lands in December; the signing bonus is one-time (January); equity is the level annual vesting spread across the month-of-year its vest dates fall on (so quarterly vesting shows up as quarterly spikes).</t>
        </is>
      </c>
      <c r="G93" s="11" t="inlineStr">
        <is>
          <t>a = op (or none when missing)
sal by month = salary gross by month(op)
tips m = tips monthly read as a number (0 when it is not one)
rental m = rental net annual(op) ÷ 12
bonus = bonus annual read as a number (0 when it is not one)
signing = signing onetime read as a number (0 when it is not one)
k401 by month = household k401 by month(op)
rates = monthly tax rates(op, now)
eq annual = rsu annual(op)
vest w = equity vest weights(op)
equity by month = for each of vest w ? vest w: eq annual × each: 12 slots, each 0
… the first steps only — the rest of the body needs reading by hand.</t>
        </is>
      </c>
      <c r="H93" s="3" t="inlineStr">
        <is>
          <t>A is op (or none — when missing). Sal by month is salary gross by month(op). Tips m is tips monthly read as a number (0 — when it is one is missing). Rental m is rental net annual(op) divided by 12. Bonus is bonus annual read as a number (0 — when it is one is missing). Signing is signing onetime read as a number (0 — when it is one is missing). K401 by month is household k401 by month(op). Rates is monthly tax rates(op, now). Eq annual is rsu annual(op). Vest w is equity vest weights(op). Equity by month is for each of vest w ? vest w: eq annual times each: 12 slots, each 0. Only the first steps are shown; the rest of the body needs reading by hand.</t>
        </is>
      </c>
      <c r="I93" s="3" t="inlineStr">
        <is>
          <t>READ FROM THE CODE — rendered from the expressions the function runs</t>
        </is>
      </c>
      <c r="J93" s="3" t="inlineStr">
        <is>
          <t>1. op: OnboardingProfile | null
2. mode: 'gross' | 'net' | 'available' = 'available'
3. now: Date = new Date()</t>
        </is>
      </c>
      <c r="K93" s="3" t="inlineStr">
        <is>
          <t>NOT DECLARED — the code does not say what it gives back</t>
        </is>
      </c>
      <c r="L93" s="3" t="inlineStr">
        <is>
          <t>NOT FOUND — a screen calls it, but the words printed beside its answer could not be traced automatically. Needs reading.</t>
        </is>
      </c>
      <c r="M93" s="3" t="inlineStr">
        <is>
          <t>1. Turns a monthly figure into a year by multiplying by twelve.
2. Uses today's date from the device clock, so the answer changes by itself overnight.
3. Never lets earned before401k fall below 0.</t>
        </is>
      </c>
      <c r="N93" s="3" t="inlineStr">
        <is>
          <t>Yes</t>
        </is>
      </c>
      <c r="O93" s="3" t="inlineStr">
        <is>
          <t>1. MK-CF-F-069 benefitActiveMonths
2. MK-CF-F-072 currentRetirementIncomeMonthly
3. MK-CF-F-173 earnerWages
4. MK-CF-F-065 equityVestWeights
5. MK-CF-F-071 extraIncome
6. MK-ST-F-056 has
7. MK-CF-F-206 householdK401ByMonth
8. MK-CF-F-132 map
9. MK-CF-F-087 monthlyTaxRates
10. MK-CF-F-073 otherIncomeMonth
11. MK-CF-F-181 rateInForce
12. MK-CF-F-068 rentalNetAnnual
13. MK-CF-F-066 rsuAnnual
14. MK-CF-F-060 salaryGrossByMonth
15. MK-CF-F-077 scholarshipByCalendarMonth
16. MK-CF-F-088 taxableByCalendarMonth
17. MK-ST-F-052 toNum
18. MK-CF-F-177 wageGrossByMonth
19. MK-PL-F-012 waterfall</t>
        </is>
      </c>
      <c r="P93" s="3" t="n">
        <v>99</v>
      </c>
      <c r="Q93" s="3" t="inlineStr">
        <is>
          <t>1. MK-CF-F-069 benefitActiveMonths
2. MK-CF-F-072 currentRetirementIncomeMonthly
3. MK-CF-F-173 earnerWages
4. MK-CF-F-065 equityVestWeights
5. MK-CF-F-071 extraIncome
6. MK-ST-F-056 has
7. MK-CF-F-206 householdK401ByMonth
8. MK-CF-F-132 map
9. MK-CF-F-087 monthlyTaxRates
10. MK-CF-F-073 otherIncomeMonth
11. MK-CF-F-181 rateInForce
12. MK-CF-F-068 rentalNetAnnual
13. MK-CF-F-066 rsuAnnual
14. MK-CF-F-060 salaryGrossByMonth
15. MK-CF-F-077 scholarshipByCalendarMonth
16. MK-CF-F-088 taxableByCalendarMonth
17. MK-ST-F-052 toNum
18. MK-CF-F-177 wageGrossByMonth
19. MK-PL-F-012 waterfall
20. MK-CF-F-075 retirementIncomeMonthly
21. MK-CF-F-172 hasWage
22. MK-CF-F-062 equityRowValue
23. MK-CF-F-070 benefitAnnual
24. MK-ST-F-039 on
25. MK-CF-F-176 sumMonthsOverEarners
26. MK-CF-F-203 MONTH
27. MK-CF-F-090 effectiveRate
28. MK-CF-F-180 enteredLandsAnnual
29. MK-CF-F-085 filingStatusOf
30. MK-CF-F-089 over65CountOf
31. MK-CF-F-082 salaryAnnual
32. MK-CF-F-086 stateRateOf
33. MK-CF-F-101 taxOwedFor
34. MK-CF-F-084 taxableAnnual
35. MK-CF-O-002 expenses
36. MK-CF-F-067 rentalList
37. MK-CF-F-063 rowVestYear
38. MK-XS-F-122 n
39. MK-CF-F-130 enteredMonthlyRaw
40. MK-CF-F-166 hasMonthlySalaryTable
41. MK-ST-F-036 reconcile
42. MK-CF-F-167 salaryCalendarYear
43. MK-CF-O-010 theMonth
44. MK-CF-F-100 taxableIncomeFor
45. MK-CF-F-074 tipsAnnual
46. MK-CF-F-151 actualSpending
47. MK-CF-F-150 debtPaymentsCountedAsExpenses
48. MK-CF-F-153 radar
49. MK-CF-F-149 recurringDebtPayments
50. MK-CF-F-165 salaryMonths
51. MK-CF-F-155 cash
52. MK-CF-O-003 thisMonth
53. MK-CF-F-099 deductionFor
54. MK-CF-F-081 salaryActiveMonths
55. MK-CF-F-148 inMonth
56. MK-CF-F-191 ym
57. MK-CF-F-022 paymentShape
58. MK-CF-F-152 isRadarItem
59. MK-CF-F-023 requiredPayment
60. MK-CF-F-005 actualMonthFlow
61. MK-CF-F-156 plannedMonthFlow
62. MK-CF-F-187 seniorDeductionFor
63. MK-CF-F-021 defaultPaymentType
64. MK-NW-F-078 ONE
65. MK-CF-F-157 debtPaymentsByDebt
66. MK-CF-F-192 inflowLabel
67. MK-XS-F-027 takeHomeMonthly
68. MK-NW-F-077 ALL
69. MK-NW-F-059 currentYield
70. MK-XS-F-180 declareFigures
71. MK-ST-F-049 formatMoney
72. MK-ST-F-053 money
73. MK-NW-O-001 theBonds
74. MK-CF-F-193 inflowSourceWord
75. MK-CF-F-011 savingsByMonth
76. MK-NW-F-057 annualCoupon
77. MK-ST-F-048 currencySymbol
78. MK-ST-F-027 accountId
79. MK-NW-F-056 bondInfo
80. MK-NW-F-064 bondRateSensitivity
81. MK-NW-F-061 bondSummary
82. MK-NW-F-055 isBond
83. MK-NW-F-072 rowOf
84. MK-CF-F-008 spendByMonth
85. MK-ST-F-047 activeCurrency
86. MK-NW-F-060 approxYTM
87. MK-NW-F-069 priceAtYield
88. MK-NW-F-011 assetClassOf
89. MK-NW-F-070 accruedInterestCaveat
90. MK-NW-F-071 isCertificateOfDeposit
91. MK-NW-F-058 yearsToMaturity
92. MK-CF-F-120 pctBaseMonthly
93. MK-CF-F-004 spendBuckets
94. MK-NW-F-008 incomeBearingClassOf
95. MK-CF-F-003 categoryMonthly
96. MK-ST-F-010 nameEvidence
97. MK-XS-F-147 call
98. MK-XS-F-064 currentIdToken
99. MK-XS-F-112 relayUrl</t>
        </is>
      </c>
      <c r="R93" s="3" t="inlineStr">
        <is>
          <t>1. MK-CF-F-069 benefitActiveMonths → MK-CF-F-092 incomeMonthlyGrid
2. MK-XS-F-122 n → MK-ST-F-052 toNum → MK-CF-F-075 retirementIncomeMonthly → MK-CF-F-072 currentRetirementIncomeMonthly → MK-CF-F-092 incomeMonthlyGrid
3. MK-ST-F-056 has → MK-CF-F-172 hasWage → MK-CF-F-173 earnerWages → MK-CF-F-092 incomeMonthlyGrid
4. MK-XS-F-122 n → MK-ST-F-052 toNum → MK-CF-F-062 equityRowValue → MK-CF-F-065 equityVestWeights → MK-CF-F-092 incomeMonthlyGrid
5. MK-CF-F-132 map → MK-CF-F-065 equityVestWeights → MK-CF-F-092 incomeMonthlyGrid
6. MK-CF-F-069 benefitActiveMonths → MK-CF-F-070 benefitAnnual → MK-CF-F-071 extraIncome → MK-CF-F-092 incomeMonthlyGrid
7. MK-XS-F-122 n → MK-ST-F-052 toNum → MK-CF-F-070 benefitAnnual → MK-CF-F-071 extraIncome → MK-CF-F-092 incomeMonthlyGrid
8. MK-ST-F-039 on → MK-CF-F-071 extraIncome → MK-CF-F-092 incomeMonthlyGrid
9. … and 5 more paths</t>
        </is>
      </c>
      <c r="S93" s="3" t="inlineStr">
        <is>
          <t>MK-XS-M-006</t>
        </is>
      </c>
      <c r="T93" s="3" t="inlineStr">
        <is>
          <t>—</t>
        </is>
      </c>
      <c r="U93" s="3" t="inlineStr">
        <is>
          <t>ACTIVE</t>
        </is>
      </c>
      <c r="V93" s="3" t="inlineStr">
        <is>
          <t>2026-09-28</t>
        </is>
      </c>
      <c r="W93" s="3" t="n"/>
      <c r="X93" s="3" t="n"/>
      <c r="Y93" s="3" t="inlineStr">
        <is>
          <t>NOTHING OPEN</t>
        </is>
      </c>
    </row>
    <row r="94" ht="60" customHeight="1">
      <c r="A94" s="3" t="inlineStr">
        <is>
          <t>MK-CF-F-097</t>
        </is>
      </c>
      <c r="B94" s="3" t="inlineStr">
        <is>
          <t>grossFromNet</t>
        </is>
      </c>
      <c r="C94" s="3" t="inlineStr">
        <is>
          <t>src/domain/income/tax.ts</t>
        </is>
      </c>
      <c r="D94" s="3" t="n">
        <v>52</v>
      </c>
      <c r="E94" s="3" t="inlineStr">
        <is>
          <t>3 · DEPENDENT</t>
        </is>
      </c>
      <c r="F94" s="3" t="inlineStr">
        <is>
          <t>Invert the schedule: the gross income whose take-home equals `net` (bisection).</t>
        </is>
      </c>
      <c r="G94" s="11" t="inlineStr">
        <is>
          <t>0   when net ≤ 0
lo = net, hi = net × 3
repeat 50 times: mid = (lo + hi) ÷ 2; if mid − tax owed for(mid, status, 0, over65) &lt; net then lo = mid else hi = mid
the answer = (lo + hi) ÷ 2   — the gross whose take-home equals net, found by halving the interval</t>
        </is>
      </c>
      <c r="H94" s="3" t="inlineStr">
        <is>
          <t>Searches for the gross pay whose take-home after federal tax equals the net entered: start with the interval from the net to three times the net, and halve it fifty times, keeping the half that brackets the answer. The result is that gross.</t>
        </is>
      </c>
      <c r="I94" s="3" t="inlineStr">
        <is>
          <t>READ BY HAND 2026-08-26 — checked line by line against the code</t>
        </is>
      </c>
      <c r="J94" s="3" t="inlineStr">
        <is>
          <t>1. net: number
2. status: FilingStatus = 'single'
3. over65 = 0</t>
        </is>
      </c>
      <c r="K94" s="3" t="inlineStr">
        <is>
          <t>number</t>
        </is>
      </c>
      <c r="L94" s="3" t="inlineStr">
        <is>
          <t>—</t>
        </is>
      </c>
      <c r="M94" s="3" t="inlineStr">
        <is>
          <t>None found in this function — anything it assumes comes from the functions it depends on.</t>
        </is>
      </c>
      <c r="N94" s="3" t="inlineStr">
        <is>
          <t>Yes</t>
        </is>
      </c>
      <c r="O94" s="3" t="inlineStr">
        <is>
          <t>MK-CF-F-101 taxOwedFor</t>
        </is>
      </c>
      <c r="P94" s="3" t="n">
        <v>4</v>
      </c>
      <c r="Q94" s="3" t="inlineStr">
        <is>
          <t>1. MK-CF-F-101 taxOwedFor
2. MK-CF-F-100 taxableIncomeFor
3. MK-CF-F-099 deductionFor
4. MK-CF-F-187 seniorDeductionFor</t>
        </is>
      </c>
      <c r="R94" s="3" t="inlineStr">
        <is>
          <t>MK-CF-F-187 seniorDeductionFor → MK-CF-F-099 deductionFor → MK-CF-F-100 taxableIncomeFor → MK-CF-F-101 taxOwedFor → MK-CF-F-097 grossFromNet</t>
        </is>
      </c>
      <c r="S94" s="3" t="inlineStr">
        <is>
          <t>—</t>
        </is>
      </c>
      <c r="T94" s="3" t="inlineStr">
        <is>
          <t>GROSS_FROM_TAKE_HOME</t>
        </is>
      </c>
      <c r="U94" s="3" t="inlineStr">
        <is>
          <t>ACTIVE</t>
        </is>
      </c>
      <c r="V94" s="3" t="inlineStr">
        <is>
          <t>2026-09-12</t>
        </is>
      </c>
      <c r="W94" s="3" t="n"/>
      <c r="X94" s="3" t="n"/>
      <c r="Y94" s="6" t="inlineStr">
        <is>
          <t>TESTED, NOT VERIFIED (G35)</t>
        </is>
      </c>
    </row>
    <row r="95" ht="60" customHeight="1">
      <c r="A95" s="3" t="inlineStr">
        <is>
          <t>MK-CF-F-098</t>
        </is>
      </c>
      <c r="B95" s="3" t="inlineStr">
        <is>
          <t>progressiveMonthlyTax</t>
        </is>
      </c>
      <c r="C95" s="3" t="inlineStr">
        <is>
          <t>src/domain/income/tax.ts</t>
        </is>
      </c>
      <c r="D95" s="3" t="n">
        <v>97</v>
      </c>
      <c r="E95" s="3" t="inlineStr">
        <is>
          <t>3 · DEPENDENT</t>
        </is>
      </c>
      <c r="F95" s="3" t="inlineStr">
        <is>
          <t>The tax taken in each of the twelve months when the brackets fill as the year's income builds up, so a month with a bonus is taxed higher and the twelve add up to the year's tax exactly.</t>
        </is>
      </c>
      <c r="G95" s="11" t="inlineStr">
        <is>
          <t>cum = 0, prev tax = 0, prev ti = 0
t = tax owed for(cum, status, 0, over65)
m = t − prev tax
ti = taxable income for(cum, status, over65)
state m = (ti − prev ti) × min(0.15, max(0, state rate))
the answer = m + state m</t>
        </is>
      </c>
      <c r="H95" s="3" t="inlineStr">
        <is>
          <t>Cum is 0, prev tax = 0, prev ti = 0. T is tax owed for(cum, status, 0, over65). M is t minus prev tax. Ti is taxable income for(cum, status, over65). State m is (ti minus prev ti) times the smaller of 0.15 and state rate, never below zero. The answer is m plus state m.</t>
        </is>
      </c>
      <c r="I95" s="3" t="inlineStr">
        <is>
          <t>READ FROM THE CODE — rendered from the expressions the function runs</t>
        </is>
      </c>
      <c r="J95" s="3" t="inlineStr">
        <is>
          <t>1. taxableByMonth: number[]
2. status: FilingStatus = 'single'
3. stateRate = 0
4. over65 = 0</t>
        </is>
      </c>
      <c r="K95" s="3" t="inlineStr">
        <is>
          <t>number[]</t>
        </is>
      </c>
      <c r="L95" s="3" t="inlineStr">
        <is>
          <t>—</t>
        </is>
      </c>
      <c r="M95" s="3" t="inlineStr">
        <is>
          <t>1. Never lets g fall below 0.
2. Never lets state rate fall below 0.</t>
        </is>
      </c>
      <c r="N95" s="3" t="inlineStr">
        <is>
          <t>Yes</t>
        </is>
      </c>
      <c r="O95" s="3" t="inlineStr">
        <is>
          <t>1. MK-CF-F-132 map
2. MK-CF-F-101 taxOwedFor
3. MK-CF-F-100 taxableIncomeFor</t>
        </is>
      </c>
      <c r="P95" s="3" t="n">
        <v>5</v>
      </c>
      <c r="Q95" s="3" t="inlineStr">
        <is>
          <t>1. MK-CF-F-132 map
2. MK-CF-F-101 taxOwedFor
3. MK-CF-F-100 taxableIncomeFor
4. MK-CF-F-099 deductionFor
5. MK-CF-F-187 seniorDeductionFor</t>
        </is>
      </c>
      <c r="R95" s="3" t="inlineStr">
        <is>
          <t>1. MK-CF-F-132 map → MK-CF-F-098 progressiveMonthlyTax
2. MK-CF-F-187 seniorDeductionFor → MK-CF-F-099 deductionFor → MK-CF-F-100 taxableIncomeFor → MK-CF-F-101 taxOwedFor → MK-CF-F-098 progressiveMonthlyTax
3. MK-CF-F-187 seniorDeductionFor → MK-CF-F-099 deductionFor → MK-CF-F-100 taxableIncomeFor → MK-CF-F-098 progressiveMonthlyTax</t>
        </is>
      </c>
      <c r="S95" s="3" t="inlineStr">
        <is>
          <t>—</t>
        </is>
      </c>
      <c r="T95" s="3" t="inlineStr">
        <is>
          <t>—</t>
        </is>
      </c>
      <c r="U95" s="3" t="inlineStr">
        <is>
          <t>ACTIVE</t>
        </is>
      </c>
      <c r="V95" s="3" t="inlineStr">
        <is>
          <t>2026-08-27</t>
        </is>
      </c>
      <c r="W95" s="3" t="n"/>
      <c r="X95" s="3" t="n"/>
      <c r="Y95" s="3" t="inlineStr">
        <is>
          <t>NOTHING OPEN</t>
        </is>
      </c>
    </row>
    <row r="96" ht="60" customHeight="1">
      <c r="A96" s="3" t="inlineStr">
        <is>
          <t>MK-CF-F-099</t>
        </is>
      </c>
      <c r="B96" s="3" t="inlineStr">
        <is>
          <t>deductionFor</t>
        </is>
      </c>
      <c r="C96" s="3" t="inlineStr">
        <is>
          <t>src/domain/income/tax.ts</t>
        </is>
      </c>
      <c r="D96" s="3" t="n">
        <v>256</v>
      </c>
      <c r="E96" s="3" t="inlineStr">
        <is>
          <t>3 · DEPENDENT</t>
        </is>
      </c>
      <c r="F96" s="3" t="inlineStr">
        <is>
          <t>The amount of income that is free of tax before the brackets start: the standard deduction for the way the person files, plus the extra amounts for anyone 65 or older.</t>
        </is>
      </c>
      <c r="G96" s="11" t="inlineStr">
        <is>
          <t>t = TAX_TABLES[status]
the answer = deduction + min(2, max(0, over65)) × over65 add + senior deduction for(status, over65, magi)</t>
        </is>
      </c>
      <c r="H96" s="3" t="inlineStr">
        <is>
          <t>The standard deduction for the filing status, plus the 65-and-over add-on for each person 65+ (at most two), plus the senior deduction calculated by MK-CF-F-187 from the filing status, the number of people 65+ and the income.</t>
        </is>
      </c>
      <c r="I96" s="3" t="inlineStr">
        <is>
          <t>READ BY HAND 2026-08-26 — checked line by line against the code</t>
        </is>
      </c>
      <c r="J96" s="3" t="inlineStr">
        <is>
          <t>1. status: FilingStatus = 'single'
2. over65 = 0
3. magi: number | null = null</t>
        </is>
      </c>
      <c r="K96" s="3" t="inlineStr">
        <is>
          <t>number</t>
        </is>
      </c>
      <c r="L96" s="3" t="inlineStr">
        <is>
          <t>—</t>
        </is>
      </c>
      <c r="M96" s="3" t="inlineStr">
        <is>
          <t>1. Never lets over65 fall below 0.
2. 2026 standard deduction $16,100 single · $32,200 married · $16,100 filing separately · $24,150 head of household; 65+ add-on $2,050 single / head of household · $1,650 per person married (IRS Rev. Proc. 2025-32 §3.18).
3. Plus the senior deduction of MK-CF-F-187 — $6,000 per person 65+, phased out 6% above $75,000 / $150,000, tax years 2025–2028 (P.L. 119-21 §70103).</t>
        </is>
      </c>
      <c r="N96" s="3" t="inlineStr">
        <is>
          <t>Yes</t>
        </is>
      </c>
      <c r="O96" s="3" t="inlineStr">
        <is>
          <t>MK-CF-F-187 seniorDeductionFor</t>
        </is>
      </c>
      <c r="P96" s="3" t="n">
        <v>1</v>
      </c>
      <c r="Q96" s="3" t="inlineStr">
        <is>
          <t>MK-CF-F-187 seniorDeductionFor</t>
        </is>
      </c>
      <c r="R96" s="3" t="inlineStr">
        <is>
          <t>MK-CF-F-187 seniorDeductionFor → MK-CF-F-099 deductionFor</t>
        </is>
      </c>
      <c r="S96" s="3" t="inlineStr">
        <is>
          <t>—</t>
        </is>
      </c>
      <c r="T96" s="3" t="inlineStr">
        <is>
          <t>TAX_DEDUCTION</t>
        </is>
      </c>
      <c r="U96" s="3" t="inlineStr">
        <is>
          <t>ACTIVE</t>
        </is>
      </c>
      <c r="V96" s="3" t="inlineStr">
        <is>
          <t>2026-09-08</t>
        </is>
      </c>
      <c r="W96" s="3" t="n"/>
      <c r="X96" s="3" t="n"/>
      <c r="Y96" s="6" t="inlineStr">
        <is>
          <t>TESTED, NOT VERIFIED (G3)</t>
        </is>
      </c>
    </row>
    <row r="97" ht="60" customHeight="1">
      <c r="A97" s="3" t="inlineStr">
        <is>
          <t>MK-CF-F-100</t>
        </is>
      </c>
      <c r="B97" s="3" t="inlineStr">
        <is>
          <t>taxableIncomeFor</t>
        </is>
      </c>
      <c r="C97" s="3" t="inlineStr">
        <is>
          <t>src/domain/income/tax.ts</t>
        </is>
      </c>
      <c r="D97" s="3" t="n">
        <v>290</v>
      </c>
      <c r="E97" s="3" t="inlineStr">
        <is>
          <t>3 · DEPENDENT</t>
        </is>
      </c>
      <c r="F97" s="3" t="inlineStr">
        <is>
          <t>What income is taxed, given how this person files?</t>
        </is>
      </c>
      <c r="G97" s="11" t="inlineStr">
        <is>
          <t>max(0, gross − deduction for(status, over65, gross))   — gross is handed on as the income the senior deduction phases out against</t>
        </is>
      </c>
      <c r="H97" s="3" t="inlineStr">
        <is>
          <t>Gross minus the deduction for that filing status, age count and income, never below zero. The same gross figure is handed to the deduction as the income the senior deduction phases out against.</t>
        </is>
      </c>
      <c r="I97" s="3" t="inlineStr">
        <is>
          <t>READ BY HAND 2026-08-26 — checked line by line against the code</t>
        </is>
      </c>
      <c r="J97" s="3" t="inlineStr">
        <is>
          <t>1. gross: number
2. status: FilingStatus = 'single'
3. over65 = 0</t>
        </is>
      </c>
      <c r="K97" s="3" t="inlineStr">
        <is>
          <t>number</t>
        </is>
      </c>
      <c r="L97" s="3" t="inlineStr">
        <is>
          <t>—</t>
        </is>
      </c>
      <c r="M97" s="3" t="inlineStr">
        <is>
          <t>None found in this function — anything it assumes comes from the functions it depends on.</t>
        </is>
      </c>
      <c r="N97" s="3" t="inlineStr">
        <is>
          <t>Yes</t>
        </is>
      </c>
      <c r="O97" s="3" t="inlineStr">
        <is>
          <t>MK-CF-F-099 deductionFor</t>
        </is>
      </c>
      <c r="P97" s="3" t="n">
        <v>2</v>
      </c>
      <c r="Q97" s="3" t="inlineStr">
        <is>
          <t>1. MK-CF-F-099 deductionFor
2. MK-CF-F-187 seniorDeductionFor</t>
        </is>
      </c>
      <c r="R97" s="3" t="inlineStr">
        <is>
          <t>MK-CF-F-187 seniorDeductionFor → MK-CF-F-099 deductionFor → MK-CF-F-100 taxableIncomeFor</t>
        </is>
      </c>
      <c r="S97" s="3" t="inlineStr">
        <is>
          <t>—</t>
        </is>
      </c>
      <c r="T97" s="3" t="inlineStr">
        <is>
          <t>TAXABLE_INCOME</t>
        </is>
      </c>
      <c r="U97" s="3" t="inlineStr">
        <is>
          <t>ACTIVE</t>
        </is>
      </c>
      <c r="V97" s="3" t="inlineStr">
        <is>
          <t>2026-09-08</t>
        </is>
      </c>
      <c r="W97" s="3" t="n"/>
      <c r="X97" s="3" t="n"/>
      <c r="Y97" s="6" t="inlineStr">
        <is>
          <t>TESTED, NOT VERIFIED (G3)</t>
        </is>
      </c>
    </row>
    <row r="98" ht="60" customHeight="1">
      <c r="A98" s="3" t="inlineStr">
        <is>
          <t>MK-CF-F-101</t>
        </is>
      </c>
      <c r="B98" s="3" t="inlineStr">
        <is>
          <t>taxOwedFor</t>
        </is>
      </c>
      <c r="C98" s="3" t="inlineStr">
        <is>
          <t>src/domain/income/tax.ts</t>
        </is>
      </c>
      <c r="D98" s="3" t="n">
        <v>333</v>
      </c>
      <c r="E98" s="3" t="inlineStr">
        <is>
          <t>2 · DISPLAYED</t>
        </is>
      </c>
      <c r="F98" s="3" t="inlineStr">
        <is>
          <t>Federal tax owed under a filing status, plus an optional user-set FLAT state rate applied to TAXABLE income (E10) — states differ wildly, so one honest user-entered percent beats fifty guessed tables, and it never taxes the deduction.</t>
        </is>
      </c>
      <c r="G98" s="11" t="inlineStr">
        <is>
          <t>ti = taxable income for(gross, status, over65)
federal = Σ over the bands of the filing status, lowest first, while ti is above the band's floor: (min(ti, top of band) − top of the band below) × rate of band
the answer = federal + ti × min(15%, max(0, state rate))</t>
        </is>
      </c>
      <c r="H98" s="3" t="inlineStr">
        <is>
          <t>Taxable income is calculated first. Federal tax fills the bands in order: each band taxes the slice of income between the top of the band below and the smaller of the band's top and the income, at the band's rate. The person's flat state rate, capped at 15%, is then applied to the same taxable income.</t>
        </is>
      </c>
      <c r="I98" s="3" t="inlineStr">
        <is>
          <t>READ BY HAND 2026-08-26 — checked line by line against the code</t>
        </is>
      </c>
      <c r="J98" s="3" t="inlineStr">
        <is>
          <t>1. gross: number
2. status: FilingStatus = 'single'
3. stateRate = 0
4. over65 = 0</t>
        </is>
      </c>
      <c r="K98" s="3" t="inlineStr">
        <is>
          <t>number</t>
        </is>
      </c>
      <c r="L98" s="3" t="inlineStr">
        <is>
          <t>"Taxed as single" — on the filing status screen</t>
        </is>
      </c>
      <c r="M98" s="3" t="inlineStr">
        <is>
          <t>1. Never lets state rate fall below 0.
2. The 2026 bands per filing status are the Reference tab's statutory table (IRS Rev. Proc. 2025-32 §4.01), checked by statutory_constants.test.ts.</t>
        </is>
      </c>
      <c r="N98" s="3" t="inlineStr">
        <is>
          <t>Yes</t>
        </is>
      </c>
      <c r="O98" s="3" t="inlineStr">
        <is>
          <t>MK-CF-F-100 taxableIncomeFor</t>
        </is>
      </c>
      <c r="P98" s="3" t="n">
        <v>3</v>
      </c>
      <c r="Q98" s="3" t="inlineStr">
        <is>
          <t>1. MK-CF-F-100 taxableIncomeFor
2. MK-CF-F-099 deductionFor
3. MK-CF-F-187 seniorDeductionFor</t>
        </is>
      </c>
      <c r="R98" s="3" t="inlineStr">
        <is>
          <t>MK-CF-F-187 seniorDeductionFor → MK-CF-F-099 deductionFor → MK-CF-F-100 taxableIncomeFor → MK-CF-F-101 taxOwedFor</t>
        </is>
      </c>
      <c r="S98" s="3" t="inlineStr">
        <is>
          <t>—</t>
        </is>
      </c>
      <c r="T98" s="3" t="inlineStr">
        <is>
          <t>TAX_OWED</t>
        </is>
      </c>
      <c r="U98" s="3" t="inlineStr">
        <is>
          <t>ACTIVE</t>
        </is>
      </c>
      <c r="V98" s="3" t="inlineStr">
        <is>
          <t>2026-09-08</t>
        </is>
      </c>
      <c r="W98" s="3" t="n"/>
      <c r="X98" s="3" t="n"/>
      <c r="Y98" s="6" t="inlineStr">
        <is>
          <t>TESTED, NOT VERIFIED (G23, G35)</t>
        </is>
      </c>
    </row>
    <row r="99" ht="60" customHeight="1">
      <c r="A99" s="3" t="inlineStr">
        <is>
          <t>MK-CF-F-102</t>
        </is>
      </c>
      <c r="B99" s="3" t="inlineStr">
        <is>
          <t>effectiveRateOnGrossFor</t>
        </is>
      </c>
      <c r="C99" s="3" t="inlineStr">
        <is>
          <t>src/domain/income/tax.ts</t>
        </is>
      </c>
      <c r="D99" s="3" t="n">
        <v>371</v>
      </c>
      <c r="E99" s="3" t="inlineStr">
        <is>
          <t>2 · DISPLAYED</t>
        </is>
      </c>
      <c r="F99" s="3" t="inlineStr">
        <is>
          <t>What share of my income actually goes in tax?</t>
        </is>
      </c>
      <c r="G99" s="11" t="inlineStr">
        <is>
          <t>tax owed for(gross, status, state rate, over65) ÷ gross   if gross &gt; 0
0   otherwise</t>
        </is>
      </c>
      <c r="H99" s="3" t="inlineStr">
        <is>
          <t>tax owed for(gross, status, state rate, over65) divided by gross — when gross &gt; 0; 0 — otherwise.</t>
        </is>
      </c>
      <c r="I99" s="3" t="inlineStr">
        <is>
          <t>READ FROM THE CODE — rendered from the expressions the function runs</t>
        </is>
      </c>
      <c r="J99" s="3" t="inlineStr">
        <is>
          <t>1. gross: number
2. status: FilingStatus = 'single'
3. stateRate = 0
4. over65 = 0</t>
        </is>
      </c>
      <c r="K99" s="3" t="inlineStr">
        <is>
          <t>number</t>
        </is>
      </c>
      <c r="L99" s="3" t="inlineStr">
        <is>
          <t>NOT FOUND — a screen calls it, but the words printed beside its answer could not be traced automatically. Needs reading.</t>
        </is>
      </c>
      <c r="M99" s="3" t="inlineStr">
        <is>
          <t>None found in this function — anything it assumes comes from the functions it depends on.</t>
        </is>
      </c>
      <c r="N99" s="3" t="inlineStr">
        <is>
          <t>Yes</t>
        </is>
      </c>
      <c r="O99" s="3" t="inlineStr">
        <is>
          <t>MK-CF-F-101 taxOwedFor</t>
        </is>
      </c>
      <c r="P99" s="3" t="n">
        <v>4</v>
      </c>
      <c r="Q99" s="3" t="inlineStr">
        <is>
          <t>1. MK-CF-F-101 taxOwedFor
2. MK-CF-F-100 taxableIncomeFor
3. MK-CF-F-099 deductionFor
4. MK-CF-F-187 seniorDeductionFor</t>
        </is>
      </c>
      <c r="R99" s="3" t="inlineStr">
        <is>
          <t>MK-CF-F-187 seniorDeductionFor → MK-CF-F-099 deductionFor → MK-CF-F-100 taxableIncomeFor → MK-CF-F-101 taxOwedFor → MK-CF-F-102 effectiveRateOnGrossFor</t>
        </is>
      </c>
      <c r="S99" s="3" t="inlineStr">
        <is>
          <t>—</t>
        </is>
      </c>
      <c r="T99" s="3" t="inlineStr">
        <is>
          <t>EFFECTIVE_TAX_RATE</t>
        </is>
      </c>
      <c r="U99" s="3" t="inlineStr">
        <is>
          <t>ACTIVE</t>
        </is>
      </c>
      <c r="V99" s="3" t="inlineStr">
        <is>
          <t>2026-08-27</t>
        </is>
      </c>
      <c r="W99" s="3" t="n"/>
      <c r="X99" s="3" t="n"/>
      <c r="Y99" s="3" t="inlineStr">
        <is>
          <t>NOTHING OPEN</t>
        </is>
      </c>
    </row>
    <row r="100" ht="60" customHeight="1">
      <c r="A100" s="3" t="inlineStr">
        <is>
          <t>MK-CF-F-103</t>
        </is>
      </c>
      <c r="B100" s="3" t="inlineStr">
        <is>
          <t>marginalBracketFor</t>
        </is>
      </c>
      <c r="C100" s="3" t="inlineStr">
        <is>
          <t>src/domain/income/tax.ts</t>
        </is>
      </c>
      <c r="D100" s="3" t="n">
        <v>406</v>
      </c>
      <c r="E100" s="3" t="inlineStr">
        <is>
          <t>2 · DISPLAYED</t>
        </is>
      </c>
      <c r="F100" s="3" t="inlineStr">
        <is>
          <t>Which federal band does this person's last dollar fall in?</t>
        </is>
      </c>
      <c r="G100" s="11" t="inlineStr">
        <is>
          <t>ti = taxable income for(gross, status, over65)
the answer = the rate of the FIRST band whose top is ≥ ti, read in order from the table for the filing status (10% · 12% · 22% · 24% · 32% · 35% · 37%)</t>
        </is>
      </c>
      <c r="H100" s="3" t="inlineStr">
        <is>
          <t>Taxable income is calculated first; the answer is the rate of the first band whose top is at or above it, reading the filing status's table from the lowest band up.</t>
        </is>
      </c>
      <c r="I100" s="3" t="inlineStr">
        <is>
          <t>READ BY HAND 2026-08-26 — checked line by line against the code</t>
        </is>
      </c>
      <c r="J100" s="3" t="inlineStr">
        <is>
          <t>1. gross: number
2. status: FilingStatus = 'single'
3. over65 = 0</t>
        </is>
      </c>
      <c r="K100" s="3" t="inlineStr">
        <is>
          <t>number</t>
        </is>
      </c>
      <c r="L100" s="3" t="inlineStr">
        <is>
          <t>NOT FOUND — a screen calls it, but the words printed beside its answer could not be traced automatically. Needs reading.</t>
        </is>
      </c>
      <c r="M100" s="3" t="inlineStr">
        <is>
          <t>None found in this function — anything it assumes comes from the functions it depends on.</t>
        </is>
      </c>
      <c r="N100" s="3" t="inlineStr">
        <is>
          <t>Yes</t>
        </is>
      </c>
      <c r="O100" s="3" t="inlineStr">
        <is>
          <t>MK-CF-F-100 taxableIncomeFor</t>
        </is>
      </c>
      <c r="P100" s="3" t="n">
        <v>3</v>
      </c>
      <c r="Q100" s="3" t="inlineStr">
        <is>
          <t>1. MK-CF-F-100 taxableIncomeFor
2. MK-CF-F-099 deductionFor
3. MK-CF-F-187 seniorDeductionFor</t>
        </is>
      </c>
      <c r="R100" s="3" t="inlineStr">
        <is>
          <t>MK-CF-F-187 seniorDeductionFor → MK-CF-F-099 deductionFor → MK-CF-F-100 taxableIncomeFor → MK-CF-F-103 marginalBracketFor</t>
        </is>
      </c>
      <c r="S100" s="3" t="inlineStr">
        <is>
          <t>—</t>
        </is>
      </c>
      <c r="T100" s="3" t="inlineStr">
        <is>
          <t>—</t>
        </is>
      </c>
      <c r="U100" s="3" t="inlineStr">
        <is>
          <t>ACTIVE</t>
        </is>
      </c>
      <c r="V100" s="3" t="inlineStr">
        <is>
          <t>2026-09-08</t>
        </is>
      </c>
      <c r="W100" s="3" t="n"/>
      <c r="X100" s="3" t="n"/>
      <c r="Y100" s="6" t="inlineStr">
        <is>
          <t>TESTED, NOT VERIFIED (G23)</t>
        </is>
      </c>
    </row>
    <row r="101" ht="60" customHeight="1">
      <c r="A101" s="3" t="inlineStr">
        <is>
          <t>MK-CF-F-104</t>
        </is>
      </c>
      <c r="B101" s="3" t="inlineStr">
        <is>
          <t>ltcgRateFor</t>
        </is>
      </c>
      <c r="C101" s="3" t="inlineStr">
        <is>
          <t>src/domain/income/tax.ts</t>
        </is>
      </c>
      <c r="D101" s="3" t="n">
        <v>444</v>
      </c>
      <c r="E101" s="3" t="inlineStr">
        <is>
          <t>2 · DISPLAYED</t>
        </is>
      </c>
      <c r="F101" s="3" t="inlineStr">
        <is>
          <t>The user's own long-term capital-gains rate, from their income + filing status (federal).</t>
        </is>
      </c>
      <c r="G101" s="11" t="inlineStr">
        <is>
          <t>ti = taxable income for(gross, status, over65)
the answer:
0   if ti ≤ zero top
0.15   if ti ≤ fifteen top
0.20   otherwise   otherwise</t>
        </is>
      </c>
      <c r="H101" s="3" t="inlineStr">
        <is>
          <t>Ti is taxable income for(gross, status, over65). The answer is 0 — when ti is at most zero top; 0.15 — when ti is at most fifteen top; 0.20 — otherwise — otherwise.</t>
        </is>
      </c>
      <c r="I101" s="3" t="inlineStr">
        <is>
          <t>READ FROM THE CODE — rendered from the expressions the function runs</t>
        </is>
      </c>
      <c r="J101" s="3" t="inlineStr">
        <is>
          <t>1. gross: number
2. status: FilingStatus = 'single'
3. over65 = 0</t>
        </is>
      </c>
      <c r="K101" s="3" t="inlineStr">
        <is>
          <t>number</t>
        </is>
      </c>
      <c r="L101" s="3" t="inlineStr">
        <is>
          <t>NOT FOUND — a screen calls it, but the words printed beside its answer could not be traced automatically. Needs reading.</t>
        </is>
      </c>
      <c r="M101" s="3" t="inlineStr">
        <is>
          <t>None found in this function — anything it assumes comes from the functions it depends on.</t>
        </is>
      </c>
      <c r="N101" s="3" t="inlineStr">
        <is>
          <t>Yes</t>
        </is>
      </c>
      <c r="O101" s="3" t="inlineStr">
        <is>
          <t>MK-CF-F-100 taxableIncomeFor</t>
        </is>
      </c>
      <c r="P101" s="3" t="n">
        <v>3</v>
      </c>
      <c r="Q101" s="3" t="inlineStr">
        <is>
          <t>1. MK-CF-F-100 taxableIncomeFor
2. MK-CF-F-099 deductionFor
3. MK-CF-F-187 seniorDeductionFor</t>
        </is>
      </c>
      <c r="R101" s="3" t="inlineStr">
        <is>
          <t>MK-CF-F-187 seniorDeductionFor → MK-CF-F-099 deductionFor → MK-CF-F-100 taxableIncomeFor → MK-CF-F-104 ltcgRateFor</t>
        </is>
      </c>
      <c r="S101" s="3" t="inlineStr">
        <is>
          <t>—</t>
        </is>
      </c>
      <c r="T101" s="3" t="inlineStr">
        <is>
          <t>—</t>
        </is>
      </c>
      <c r="U101" s="3" t="inlineStr">
        <is>
          <t>ACTIVE</t>
        </is>
      </c>
      <c r="V101" s="3" t="inlineStr">
        <is>
          <t>2026-09-08</t>
        </is>
      </c>
      <c r="W101" s="3" t="n"/>
      <c r="X101" s="3" t="n"/>
      <c r="Y101" s="3" t="inlineStr">
        <is>
          <t>NOTHING OPEN</t>
        </is>
      </c>
    </row>
    <row r="102" ht="60" customHeight="1">
      <c r="A102" s="3" t="inlineStr">
        <is>
          <t>MK-CF-F-105</t>
        </is>
      </c>
      <c r="B102" s="3" t="inlineStr">
        <is>
          <t>guaranteedRows</t>
        </is>
      </c>
      <c r="C102" s="3" t="inlineStr">
        <is>
          <t>src/domain/paycheck/index.ts</t>
        </is>
      </c>
      <c r="D102" s="3" t="n">
        <v>108</v>
      </c>
      <c r="E102" s="3" t="inlineStr">
        <is>
          <t>3 · DEPENDENT</t>
        </is>
      </c>
      <c r="F102" s="3" t="inlineStr">
        <is>
          <t>The dated guaranteed-income rows for the next 12 months (the F2 grid seam).</t>
        </is>
      </c>
      <c r="G102" s="11" t="inlineStr">
        <is>
          <t>a = op (or none when missing)
srcs = income sources
[]   when array.is array(srcs) and !srcs.includes('retirement_income')
start month = now.get month(), start year = now.get full year()
month at = (s: number) =&gt; ((start month + s) % 12) + 1
year at = (s: number) =&gt; start year + round down((start month + s) ÷ 12)
slot of = (m1to12: number) =&gt; ((m1to12 − 1) − start month + 12) % 12
rows = []
amt = a['ri_' + key] read as a number (0 when it is not one)
freq = a['ri_' + key + '_freq'] (or 'monthly' when missing)
day = a['ri_' + key + '_day'] read as a number (0 when it is not one) (or undefined when missing or zero)
… the first steps only — the rest of the body needs reading by hand.</t>
        </is>
      </c>
      <c r="H102" s="3" t="inlineStr">
        <is>
          <t>A is op (or none — when missing). Srcs is income sources. When array.is array(srcs) and !srcs.includes('retirement_income'), it answers []. Start month is now.get month(), start year = now.get full year(). Month at is (s: number) =&gt; ((start month plus s) % 12) plus 1. Year at is (s: number) =&gt; start year plus (start month plus s, rounded down divided by 12). Slot of is (m1to12: number) =&gt; ((m1to12 minus 1) minus start month plus 12) % 12. Rows is []. Amt is a['ri_' plus key] read as a number (0 — when it is one is missing). Freq is a['ri_' plus key plus '_freq'] (or 'monthly' — when missing). Day is a['ri_' plus key plus '_day'] read as a number (0 — when it is one is missing) (or undefined — when missing or zero). Only the first steps are shown; the rest of the body needs reading by hand.</t>
        </is>
      </c>
      <c r="I102" s="3" t="inlineStr">
        <is>
          <t>PARTLY READ — some of the code is still showing through; needs a hand pass</t>
        </is>
      </c>
      <c r="J102" s="3" t="inlineStr">
        <is>
          <t>1. op: OnboardingProfile | null
2. now: Date = new Date()</t>
        </is>
      </c>
      <c r="K102" s="3" t="inlineStr">
        <is>
          <t>GuaranteedRow[]</t>
        </is>
      </c>
      <c r="L102" s="3" t="inlineStr">
        <is>
          <t>—</t>
        </is>
      </c>
      <c r="M102" s="3" t="inlineStr">
        <is>
          <t>· Uses today's date from the device clock, so the answer changes by itself overnight.</t>
        </is>
      </c>
      <c r="N102" s="3" t="inlineStr">
        <is>
          <t>Yes</t>
        </is>
      </c>
      <c r="O102" s="3" t="inlineStr">
        <is>
          <t>MK-ST-F-052 toNum</t>
        </is>
      </c>
      <c r="P102" s="3" t="n">
        <v>2</v>
      </c>
      <c r="Q102" s="3" t="inlineStr">
        <is>
          <t>1. MK-ST-F-052 toNum
2. MK-XS-F-122 n</t>
        </is>
      </c>
      <c r="R102" s="3" t="inlineStr">
        <is>
          <t>MK-XS-F-122 n → MK-ST-F-052 toNum → MK-CF-F-105 guaranteedRows</t>
        </is>
      </c>
      <c r="S102" s="3" t="inlineStr">
        <is>
          <t>—</t>
        </is>
      </c>
      <c r="T102" s="3" t="inlineStr">
        <is>
          <t>—</t>
        </is>
      </c>
      <c r="U102" s="3" t="inlineStr">
        <is>
          <t>ACTIVE</t>
        </is>
      </c>
      <c r="V102" s="3" t="inlineStr">
        <is>
          <t>2026-10-03</t>
        </is>
      </c>
      <c r="W102" s="3" t="n"/>
      <c r="X102" s="3" t="n"/>
      <c r="Y102" s="3" t="inlineStr">
        <is>
          <t>NOTHING OPEN</t>
        </is>
      </c>
    </row>
    <row r="103" ht="60" customHeight="1">
      <c r="A103" s="3" t="inlineStr">
        <is>
          <t>MK-CF-F-106</t>
        </is>
      </c>
      <c r="B103" s="3" t="inlineStr">
        <is>
          <t>solveSafeDraw</t>
        </is>
      </c>
      <c r="C103" s="3" t="inlineStr">
        <is>
          <t>src/domain/paycheck/index.ts</t>
        </is>
      </c>
      <c r="D103" s="3" t="n">
        <v>164</v>
      </c>
      <c r="E103" s="3" t="inlineStr">
        <is>
          <t>3 · DEPENDENT</t>
        </is>
      </c>
      <c r="F103" s="3" t="inlineStr">
        <is>
          <t>Largest level monthly draw that keeps chance-of-success ≥ the floor.</t>
        </is>
      </c>
      <c r="G103" s="11" t="inlineStr">
        <is>
          <t>0   when nest egg ≤ 0
years = max(1, sim.horizon age − sim.current age)
lo = 0, hi = max(100, (nest egg ÷ years ÷ 12) × 2)
hi   when chance at(hi) ≥ chance floor
mid = (lo + hi) ÷ 2
the answer = round down(lo ÷ 5) × 5</t>
        </is>
      </c>
      <c r="H103" s="3" t="inlineStr">
        <is>
          <t>When nest egg is at most 0, it answers 0. Years: the larger of 1 and sim.horizon age minus sim.current age. Lo is 0, hi = the larger of 100 and (nest egg divided by years divided by 12 times 2). When chance at(hi) is at least chance floor, it answers hi. Mid is (lo plus hi) divided by 2. The answer is lo divided by 5, rounded down times 5.</t>
        </is>
      </c>
      <c r="I103" s="3" t="inlineStr">
        <is>
          <t>READ FROM THE CODE — rendered from the expressions the function runs</t>
        </is>
      </c>
      <c r="J103" s="3" t="inlineStr">
        <is>
          <t>1. nestEgg: number
2. guaranteedMonthlyAvg: number
3. sim: PaycheckSimInputs
4. chanceFloor = 80</t>
        </is>
      </c>
      <c r="K103" s="3" t="inlineStr">
        <is>
          <t>number</t>
        </is>
      </c>
      <c r="L103" s="3" t="inlineStr">
        <is>
          <t>—</t>
        </is>
      </c>
      <c r="M103" s="3" t="inlineStr">
        <is>
          <t>1. If paths is missing it uses 1000.
2. If seed is missing it uses 42.
3. Treats a year as twelve equal months.</t>
        </is>
      </c>
      <c r="N103" s="3" t="inlineStr">
        <is>
          <t>Yes</t>
        </is>
      </c>
      <c r="O103" s="3" t="inlineStr">
        <is>
          <t>MK-PL-F-050 simulate</t>
        </is>
      </c>
      <c r="P103" s="3" t="n">
        <v>22</v>
      </c>
      <c r="Q103" s="3" t="inlineStr">
        <is>
          <t>1. MK-PL-F-050 simulate
2. MK-CF-O-002 expenses
3. MK-CF-F-132 map
4. MK-PL-F-074 median
5. MK-PL-F-072 mulberry32
6. MK-XS-F-122 n
7. MK-PL-F-073 normal
8. MK-PL-F-075 pctOfSorted
9. MK-ST-F-025 rmdStartAgeFromAge
10. MK-CF-F-151 actualSpending
11. MK-CF-F-150 debtPaymentsCountedAsExpenses
12. MK-CF-F-153 radar
13. MK-CF-F-149 recurringDebtPayments
14. MK-ST-F-024 rmdStartAge
15. MK-CF-F-148 inMonth
16. MK-ST-F-052 toNum
17. MK-CF-F-191 ym
18. MK-ST-F-056 has
19. MK-CF-F-022 paymentShape
20. MK-CF-F-152 isRadarItem
21. MK-CF-F-023 requiredPayment
22. MK-CF-F-021 defaultPaymentType</t>
        </is>
      </c>
      <c r="R103" s="3" t="inlineStr">
        <is>
          <t>1. MK-CF-F-191 ym → MK-CF-F-148 inMonth → MK-CF-F-151 actualSpending → MK-CF-O-002 expenses → MK-PL-F-050 simulate → MK-CF-F-106 solveSafeDraw
2. MK-XS-F-122 n → MK-ST-F-052 toNum → MK-CF-F-151 actualSpending → MK-CF-O-002 expenses → MK-PL-F-050 simulate → MK-CF-F-106 solveSafeDraw
3. MK-CF-F-191 ym → MK-CF-F-151 actualSpending → MK-CF-O-002 expenses → MK-PL-F-050 simulate → MK-CF-F-106 solveSafeDraw
4. MK-ST-F-056 has → MK-CF-F-150 debtPaymentsCountedAsExpenses → MK-CF-O-002 expenses → MK-PL-F-050 simulate → MK-CF-F-106 solveSafeDraw
5. MK-CF-F-191 ym → MK-CF-F-148 inMonth → MK-CF-F-150 debtPaymentsCountedAsExpenses → MK-CF-O-002 expenses → MK-PL-F-050 simulate → MK-CF-F-106 solveSafeDraw
6. MK-CF-F-021 defaultPaymentType → MK-CF-F-022 paymentShape → MK-CF-F-150 debtPaymentsCountedAsExpenses → MK-CF-O-002 expenses → MK-PL-F-050 simulate → MK-CF-F-106 solveSafeDraw
7. MK-XS-F-122 n → MK-ST-F-052 toNum → MK-CF-F-150 debtPaymentsCountedAsExpenses → MK-CF-O-002 expenses → MK-PL-F-050 simulate → MK-CF-F-106 solveSafeDraw
8. MK-CF-F-191 ym → MK-CF-F-150 debtPaymentsCountedAsExpenses → MK-CF-O-002 expenses → MK-PL-F-050 simulate → MK-CF-F-106 solveSafeDraw
9. … and 4 more paths</t>
        </is>
      </c>
      <c r="S103" s="3" t="inlineStr">
        <is>
          <t>—</t>
        </is>
      </c>
      <c r="T103" s="3" t="inlineStr">
        <is>
          <t>—</t>
        </is>
      </c>
      <c r="U103" s="3" t="inlineStr">
        <is>
          <t>ACTIVE</t>
        </is>
      </c>
      <c r="V103" s="3" t="inlineStr">
        <is>
          <t>2026-10-03</t>
        </is>
      </c>
      <c r="W103" s="3" t="n"/>
      <c r="X103" s="3" t="n"/>
      <c r="Y103" s="3" t="inlineStr">
        <is>
          <t>NOTHING OPEN</t>
        </is>
      </c>
    </row>
    <row r="104" ht="60" customHeight="1">
      <c r="A104" s="3" t="inlineStr">
        <is>
          <t>MK-CF-F-107</t>
        </is>
      </c>
      <c r="B104" s="3" t="inlineStr">
        <is>
          <t>buildPaycheckYear</t>
        </is>
      </c>
      <c r="C104" s="3" t="inlineStr">
        <is>
          <t>src/domain/paycheck/index.ts</t>
        </is>
      </c>
      <c r="D104" s="3" t="n">
        <v>225</v>
      </c>
      <c r="E104" s="3" t="inlineStr">
        <is>
          <t>3 · DEPENDENT</t>
        </is>
      </c>
      <c r="F104" s="3" t="inlineStr">
        <is>
          <t>Build the month-by-month paycheck.</t>
        </is>
      </c>
      <c r="G104" s="11" t="inlineStr">
        <is>
          <t>now = opts.now (or new date() when missing)
rows = guaranteed rows(op, now)
nest egg = opts.nest egg (or retirement earmarked value(opts.accounts ?? []) when missing)
guaranteed annual = Σ over rows of (amount)
draw from savings = solve draw from savings(nest egg, guaranteed annual ÷ 12, opts.sim, opts.chance floor ?? 80)
grid = build dated grid(op, { now, liabilities: opts.liabilities, guaranteed income: rows })
start month = now.get month(), start year = now.get full year()
cm = ((start month + s) % 12) + 1
yr = start year + round down((start month + s) ÷ 12)
label = MONTHS[cm − 1] + (yr &gt; start year ? ` ’${string(yr).slice(2)}` : '')
g total = Σ over g of (amount)
… the first steps only — the rest of the body needs reading by hand.</t>
        </is>
      </c>
      <c r="H104" s="3" t="inlineStr">
        <is>
          <t>Now is opts.now (or new date() — when missing). Rows is guaranteed rows(op, now). Nest egg is opts.nest egg (or retirement earmarked value(opts.accounts ?? []) — when missing). Guaranteed annual: the amount added up across rows. Safe draw is solve draw from savings(nest egg, guaranteed annual divided by 12, opts.sim, opts.chance floor ?? 80). Grid is build dated grid(op, { now, liabilities: opts.liabilities, guaranteed income: rows }). Start month is now.get month(), start year = now.get full year(). Cm is ((start month plus s) % 12) plus 1. Yr is start year plus (start month plus s, rounded down divided by 12). Label is MONTHS[cm minus 1] plus (yr &gt; start year ? ` ’${string(yr).slice(2)}` : ''). G total: the amount added up across g. Only the first steps are shown; the rest of the body needs reading by hand.</t>
        </is>
      </c>
      <c r="I104" s="3" t="inlineStr">
        <is>
          <t>PARTLY READ — some of the code is still showing through; needs a hand pass</t>
        </is>
      </c>
      <c r="J104" s="3" t="inlineStr">
        <is>
          <t>1. op: OnboardingProfile | null
2. opts: PaycheckOptions</t>
        </is>
      </c>
      <c r="K104" s="3" t="inlineStr">
        <is>
          <t>PaycheckYear</t>
        </is>
      </c>
      <c r="L104" s="3" t="inlineStr">
        <is>
          <t>—</t>
        </is>
      </c>
      <c r="M104" s="3" t="inlineStr">
        <is>
          <t>1. If chance floor is missing it uses 80.
2. Treats a year as twelve equal months.
3. Turns a monthly figure into a year by multiplying by twelve.
4. Uses today's date from the device clock, so the answer changes by itself overnight.</t>
        </is>
      </c>
      <c r="N104" s="3" t="inlineStr">
        <is>
          <t>Yes</t>
        </is>
      </c>
      <c r="O104" s="3" t="inlineStr">
        <is>
          <t>1. MK-XS-F-004 buildDatedGrid
2. MK-CF-F-105 guaranteedRows
3. MK-CF-F-132 map
4. MK-NW-F-033 retirementEarmarkedValue
5. MK-CF-F-106 solveSafeDraw</t>
        </is>
      </c>
      <c r="P104" s="3" t="n">
        <v>118</v>
      </c>
      <c r="Q104" s="3" t="inlineStr">
        <is>
          <t>1. MK-XS-F-004 buildDatedGrid
2. MK-CF-F-105 guaranteedRows
3. MK-CF-F-132 map
4. MK-NW-F-033 retirementEarmarkedValue
5. MK-CF-F-106 solveSafeDraw
6. MK-CF-F-069 benefitActiveMonths
7. MK-CF-F-072 currentRetirementIncomeMonthly
8. MK-CF-F-018 equityByMonth
9. MK-CF-O-002 expenses
10. MK-ST-F-056 has
11. MK-CF-F-204 line
12. MK-ST-F-053 money
13. MK-CF-F-087 monthlyTaxRates
14. MK-CF-F-073 otherIncomeMonth
15. MK-CF-F-022 paymentShape
16. MK-CF-F-068 rentalNetAnnual
17. MK-CF-F-023 requiredPayment
18. MK-CF-F-060 salaryGrossByMonth
19. MK-CF-F-008 spendByMonth
20. MK-ST-F-052 toNum
21. MK-NW-F-032 earmarkedAmount
22. MK-NW-F-031 primaryCarIdOf
23. MK-PL-F-050 simulate
24. MK-CF-F-075 retirementIncomeMonthly
25. MK-CF-F-062 equityRowValue
26. MK-CF-F-066 rsuAnnual
27. MK-CF-F-121 zero12
28. MK-CF-F-151 actualSpending
29. MK-CF-F-150 debtPaymentsCountedAsExpenses
30. MK-CF-F-153 radar
31. MK-CF-F-149 recurringDebtPayments
32. MK-CF-F-203 MONTH
33. MK-XS-F-180 declareFigures
34. MK-ST-F-049 formatMoney
35. MK-XS-F-122 n
36. MK-CF-F-090 effectiveRate
37. MK-ST-F-039 on
38. MK-CF-F-021 defaultPaymentType
39. MK-CF-F-067 rentalList
40. MK-CF-F-176 sumMonthsOverEarners
41. MK-CF-F-177 wageGrossByMonth
42. MK-CF-F-120 pctBaseMonthly
43. MK-CF-F-004 spendBuckets
44. MK-NW-F-030 earmarkDefault
45. MK-NW-F-011 assetClassOf
46. MK-PL-F-074 median
47. MK-PL-F-072 mulberry32
48. MK-PL-F-073 normal
49. MK-PL-F-075 pctOfSorted
50. MK-ST-F-025 rmdStartAgeFromAge
51. MK-CF-F-063 rowVestYear
52. MK-CF-F-148 inMonth
53. MK-CF-F-191 ym
54. MK-CF-F-152 isRadarItem
55. MK-CF-O-010 theMonth
56. MK-ST-F-048 currencySymbol
57. MK-CF-F-181 rateInForce
58. MK-CF-F-173 earnerWages
59. MK-CF-F-130 enteredMonthlyRaw
60. MK-CF-F-166 hasMonthlySalaryTable
61. MK-ST-F-036 reconcile
62. MK-CF-F-167 salaryCalendarYear
63. MK-CF-F-092 incomeMonthlyGrid
64. MK-CF-F-003 categoryMonthly
65. MK-NW-F-013 realEstateUseOf
66. MK-NW-F-008 incomeBearingClassOf
67. MK-ST-F-024 rmdStartAge
68. MK-CF-F-155 cash
69. MK-CF-O-003 thisMonth
70. MK-ST-F-047 activeCurrency
71. MK-CF-F-180 enteredLandsAnnual
72. MK-CF-F-085 filingStatusOf
73. MK-CF-F-206 householdK401ByMonth
74. MK-CF-F-089 over65CountOf
75. MK-CF-F-082 salaryAnnual
76. MK-CF-F-086 stateRateOf
77. MK-CF-F-101 taxOwedFor
78. MK-CF-F-084 taxableAnnual
79. MK-CF-F-172 hasWage
80. MK-CF-F-165 salaryMonths
81. MK-CF-F-065 equityVestWeights
82. MK-CF-F-071 extraIncome
83. MK-CF-F-077 scholarshipByCalendarMonth
84. MK-CF-F-088 taxableByCalendarMonth
85. MK-PL-F-012 waterfall
86. MK-XS-F-027 takeHomeMonthly
87. MK-ST-F-010 nameEvidence
88. MK-CF-F-005 actualMonthFlow
89. MK-CF-F-156 plannedMonthFlow
90. MK-CF-F-100 taxableIncomeFor
91. MK-CF-F-074 tipsAnnual
92. MK-CF-F-070 benefitAnnual
93. MK-CF-F-011 savingsByMonth
94. MK-XS-F-147 call
95. MK-NW-F-078 ONE
96. MK-CF-F-157 debtPaymentsByDebt
97. MK-CF-F-192 inflowLabel
98. MK-CF-F-099 deductionFor
99. MK-CF-F-081 salaryActiveMonths
100. MK-ST-F-027 accountId
101. MK-XS-F-064 currentIdToken
102. MK-XS-F-112 relayUrl
103. MK-NW-F-077 ALL
104. MK-NW-F-059 currentYield
105. MK-NW-O-001 theBonds
106. MK-CF-F-193 inflowSourceWord
107. MK-CF-F-187 seniorDeductionFor
108. MK-NW-F-057 annualCoupon
109. MK-NW-F-056 bondInfo
110. MK-NW-F-064 bondRateSensitivity
111. MK-NW-F-061 bondSummary
112. MK-NW-F-055 isBond
113. MK-NW-F-072 rowOf
114. MK-NW-F-060 approxYTM
115. MK-NW-F-069 priceAtYield
116. MK-NW-F-070 accruedInterestCaveat
117. MK-NW-F-071 isCertificateOfDeposit
118. MK-NW-F-058 yearsToMaturity</t>
        </is>
      </c>
      <c r="R104" s="3" t="inlineStr">
        <is>
          <t>1. MK-CF-F-069 benefitActiveMonths → MK-XS-F-004 buildDatedGrid → MK-CF-F-107 buildPaycheckYear
2. MK-XS-F-122 n → MK-ST-F-052 toNum → MK-CF-F-075 retirementIncomeMonthly → MK-CF-F-072 currentRetirementIncomeMonthly → MK-XS-F-004 buildDatedGrid → MK-CF-F-107 buildPaycheckYear
3. MK-XS-F-122 n → MK-ST-F-052 toNum → MK-CF-F-062 equityRowValue → MK-CF-F-018 equityByMonth → MK-XS-F-004 buildDatedGrid → MK-CF-F-107 buildPaycheckYear
4. MK-ST-F-052 toNum → MK-CF-F-062 equityRowValue → MK-CF-F-066 rsuAnnual → MK-CF-F-018 equityByMonth → MK-XS-F-004 buildDatedGrid → MK-CF-F-107 buildPaycheckYear
5. MK-CF-F-132 map → MK-CF-F-066 rsuAnnual → MK-CF-F-018 equityByMonth → MK-XS-F-004 buildDatedGrid → MK-CF-F-107 buildPaycheckYear
6. MK-CF-F-063 rowVestYear → MK-CF-F-066 rsuAnnual → MK-CF-F-018 equityByMonth → MK-XS-F-004 buildDatedGrid → MK-CF-F-107 buildPaycheckYear
7. MK-XS-F-122 n → MK-ST-F-052 toNum → MK-CF-F-066 rsuAnnual → MK-CF-F-018 equityByMonth → MK-XS-F-004 buildDatedGrid → MK-CF-F-107 buildPaycheckYear
8. MK-CF-F-121 zero12 → MK-CF-F-018 equityByMonth → MK-XS-F-004 buildDatedGrid → MK-CF-F-107 buildPaycheckYear
9. … and 5 more paths</t>
        </is>
      </c>
      <c r="S104" s="3" t="inlineStr">
        <is>
          <t>MK-CF-M-022</t>
        </is>
      </c>
      <c r="T104" s="3" t="inlineStr">
        <is>
          <t>—</t>
        </is>
      </c>
      <c r="U104" s="3" t="inlineStr">
        <is>
          <t>ACTIVE</t>
        </is>
      </c>
      <c r="V104" s="3" t="inlineStr">
        <is>
          <t>2026-10-03</t>
        </is>
      </c>
      <c r="W104" s="3" t="n"/>
      <c r="X104" s="3" t="n"/>
      <c r="Y104" s="6" t="inlineStr">
        <is>
          <t>TESTED, NOT VERIFIED (G14)</t>
        </is>
      </c>
    </row>
    <row r="105" ht="60" customHeight="1">
      <c r="A105" s="3" t="inlineStr">
        <is>
          <t>MK-CF-F-108</t>
        </is>
      </c>
      <c r="B105" s="3" t="inlineStr">
        <is>
          <t>isMoneyOut</t>
        </is>
      </c>
      <c r="C105" s="3" t="inlineStr">
        <is>
          <t>src/domain/transactions/flags.ts</t>
        </is>
      </c>
      <c r="D105" s="3" t="n">
        <v>59</v>
      </c>
      <c r="E105" s="3" t="inlineStr">
        <is>
          <t>3 · DEPENDENT</t>
        </is>
      </c>
      <c r="F105" s="3" t="inlineStr">
        <is>
          <t>Money leaves the account: withdrawals, fees, and transfers with no recognized counter-account.</t>
        </is>
      </c>
      <c r="G105" s="11" t="inlineStr">
        <is>
          <t>true   when type = 'WITHDRAWAL' (or type = 'FEE' when missing or zero)
true   when type = 'TRANSFER' and !counter account id
false</t>
        </is>
      </c>
      <c r="H105" s="3" t="inlineStr">
        <is>
          <t>When type = 'WITHDRAWAL' (or type = 'FEE' — when missing or zero), it answers true. When type = 'TRANSFER' and !counter account id, it answers true. false.</t>
        </is>
      </c>
      <c r="I105" s="3" t="inlineStr">
        <is>
          <t>READ FROM THE CODE — rendered from the expressions the function runs</t>
        </is>
      </c>
      <c r="J105" s="3" t="inlineStr">
        <is>
          <t>t: Transaction</t>
        </is>
      </c>
      <c r="K105" s="3" t="inlineStr">
        <is>
          <t>boolean</t>
        </is>
      </c>
      <c r="L105" s="3" t="inlineStr">
        <is>
          <t>—</t>
        </is>
      </c>
      <c r="M105" s="3" t="inlineStr">
        <is>
          <t>None found in this function — anything it assumes comes from the functions it depends on.</t>
        </is>
      </c>
      <c r="N105" s="3" t="inlineStr">
        <is>
          <t>Yes</t>
        </is>
      </c>
      <c r="O105" s="3" t="inlineStr">
        <is>
          <t>—</t>
        </is>
      </c>
      <c r="P105" s="3" t="n">
        <v>0</v>
      </c>
      <c r="Q105" s="3" t="inlineStr">
        <is>
          <t>None — no dependent function stands behind it</t>
        </is>
      </c>
      <c r="R105" s="3" t="inlineStr">
        <is>
          <t>No dependent function — it reads its inputs and answers</t>
        </is>
      </c>
      <c r="S105" s="3" t="inlineStr">
        <is>
          <t>—</t>
        </is>
      </c>
      <c r="T105" s="3" t="inlineStr">
        <is>
          <t>—</t>
        </is>
      </c>
      <c r="U105" s="3" t="inlineStr">
        <is>
          <t>ACTIVE</t>
        </is>
      </c>
      <c r="V105" s="3" t="inlineStr">
        <is>
          <t>2026-09-12</t>
        </is>
      </c>
      <c r="W105" s="3" t="n"/>
      <c r="X105" s="3" t="n"/>
      <c r="Y105" s="3" t="inlineStr">
        <is>
          <t>NOTHING OPEN</t>
        </is>
      </c>
    </row>
    <row r="106" ht="60" customHeight="1">
      <c r="A106" s="3" t="inlineStr">
        <is>
          <t>MK-CF-F-109</t>
        </is>
      </c>
      <c r="B106" s="3" t="inlineStr">
        <is>
          <t>reviewTransactions</t>
        </is>
      </c>
      <c r="C106" s="3" t="inlineStr">
        <is>
          <t>src/domain/transactions/flags.ts</t>
        </is>
      </c>
      <c r="D106" s="3" t="n">
        <v>206</v>
      </c>
      <c r="E106" s="3" t="inlineStr">
        <is>
          <t>3 · DEPENDENT</t>
        </is>
      </c>
      <c r="F106" s="3" t="inlineStr">
        <is>
          <t>Review new transactions against an account's history.</t>
        </is>
      </c>
      <c r="G106" s="11" t="inlineStr">
        <is>
          <t>make id = ctx.make id (or () =&gt; `flag${math.random().to string(36).slice(2, 10)}` when missing)
now iso = (ctx.now ?? new date()).to isostring()
flags = []
flagged ids = new set&lt;string&gt;()
dup candidates = new ones where is money out(each) and (amount ?? 0) &gt; 0
acct = string(account id)
candidates = new ones where source = 'connected' and is money out(each) and (amount ?? 0) &gt; 0
acct = string(account id)
amount = amount as number
past amounts = for each of past: amount as number
typical = median(past amounts)
… the first steps only — the rest of the body needs reading by hand.</t>
        </is>
      </c>
      <c r="H106" s="3" t="inlineStr">
        <is>
          <t>Make id is ctx.make id (or () =&gt; `flag${math.random().to string(36).slice(2, 10)}` — when missing). Now iso is (ctx.now ?? new date()).to isostring(). Flags is []. Flagged ids is new set&lt;string&gt;(). Dup candidates is new ones where is money out(each) and (amount ?? 0) &gt; 0. Acct is string(account id). Candidates is new ones where source = 'connected' and is money out(each) and (amount ?? 0) &gt; 0. Acct is string(account id). Amount is amount as number. Past amounts is for each of past: amount as number. Typical is median(past amounts). Only the first steps are shown; the rest of the body needs reading by hand.</t>
        </is>
      </c>
      <c r="I106" s="3" t="inlineStr">
        <is>
          <t>PARTLY READ — some of the code is still showing through; needs a hand pass</t>
        </is>
      </c>
      <c r="J106" s="3" t="inlineStr">
        <is>
          <t>1. newOnes: Transaction[]
2. ctx: ReviewContext</t>
        </is>
      </c>
      <c r="K106" s="3" t="inlineStr">
        <is>
          <t>TxnFlag[]</t>
        </is>
      </c>
      <c r="L106" s="3" t="inlineStr">
        <is>
          <t>—</t>
        </is>
      </c>
      <c r="M106" s="3" t="inlineStr">
        <is>
          <t>1. If amount is missing it uses 0.
2. Uses today's date from the device clock, so the answer changes by itself overnight.</t>
        </is>
      </c>
      <c r="N106" s="3" t="inlineStr">
        <is>
          <t>Yes</t>
        </is>
      </c>
      <c r="O106" s="3" t="inlineStr">
        <is>
          <t>1. MK-CF-F-162 daysApart
2. MK-ST-F-056 has
3. MK-CF-F-108 isMoneyOut
4. MK-CF-F-132 map
5. MK-PL-F-074 median
6. MK-CF-F-131 normPayee</t>
        </is>
      </c>
      <c r="P106" s="3" t="n">
        <v>6</v>
      </c>
      <c r="Q106" s="3" t="inlineStr">
        <is>
          <t>1. MK-CF-F-162 daysApart
2. MK-ST-F-056 has
3. MK-CF-F-108 isMoneyOut
4. MK-CF-F-132 map
5. MK-PL-F-074 median
6. MK-CF-F-131 normPayee</t>
        </is>
      </c>
      <c r="R106" s="3" t="inlineStr">
        <is>
          <t>1. MK-CF-F-162 daysApart → MK-CF-F-109 reviewTransactions
2. MK-ST-F-056 has → MK-CF-F-109 reviewTransactions
3. MK-CF-F-108 isMoneyOut → MK-CF-F-109 reviewTransactions
4. MK-CF-F-132 map → MK-CF-F-109 reviewTransactions
5. MK-PL-F-074 median → MK-CF-F-109 reviewTransactions
6. MK-CF-F-131 normPayee → MK-CF-F-109 reviewTransactions</t>
        </is>
      </c>
      <c r="S106" s="3" t="inlineStr">
        <is>
          <t>—</t>
        </is>
      </c>
      <c r="T106" s="3" t="inlineStr">
        <is>
          <t>—</t>
        </is>
      </c>
      <c r="U106" s="3" t="inlineStr">
        <is>
          <t>ACTIVE</t>
        </is>
      </c>
      <c r="V106" s="3" t="inlineStr">
        <is>
          <t>2026-09-12</t>
        </is>
      </c>
      <c r="W106" s="3" t="n"/>
      <c r="X106" s="3" t="n"/>
      <c r="Y106" s="3" t="inlineStr">
        <is>
          <t>NOTHING OPEN</t>
        </is>
      </c>
    </row>
    <row r="107" ht="60" customHeight="1">
      <c r="A107" s="3" t="inlineStr">
        <is>
          <t>MK-CF-F-110</t>
        </is>
      </c>
      <c r="B107" s="3" t="inlineStr">
        <is>
          <t>flagComparisonText</t>
        </is>
      </c>
      <c r="C107" s="3" t="inlineStr">
        <is>
          <t>src/domain/transactions/flags.ts</t>
        </is>
      </c>
      <c r="D107" s="3" t="n">
        <v>329</v>
      </c>
      <c r="E107" s="3" t="inlineStr">
        <is>
          <t>3 · DEPENDENT (feeds an action only)</t>
        </is>
      </c>
      <c r="F107" s="3" t="inlineStr">
        <is>
          <t>The plain-English comparison sentence for the detail view — fixed, human-reviewed templates.</t>
        </is>
      </c>
      <c r="G107" s="11" t="inlineStr">
        <is>
          <t>times = round(amount ÷ comparison)
the answer = `your usual withdrawal from this account is about $${math.round(comparison).to locale string()}. this one is ${times} times that.`
`first time we've seen this payee on this account.`   when reason = 'first_time_payee'
`looks like the same charge twice — same amount, same place, within two days. if one was typed by mistake, delete it; if both are real, mark it settled.`   when reason = 'possible_duplicate'</t>
        </is>
      </c>
      <c r="H107" s="3" t="inlineStr">
        <is>
          <t>Times is amount divided by comparison, to a whole number. The answer is `your usual withdrawal from this account is about $${math.comparison, to a whole number.to locale string()}. this one is ${times} times that.`. When reason = 'first_time_payee', it answers `first time we've seen this payee on this account.`. When reason = 'possible_duplicate', it answers `looks like the same charge twice — same amount, same place, within two days. — when one was typed by mistake, delete it; — when both are real, mark it settled.`.</t>
        </is>
      </c>
      <c r="I107" s="3" t="inlineStr">
        <is>
          <t>PARTLY READ — some of the code is still showing through; needs a hand pass</t>
        </is>
      </c>
      <c r="J107" s="3" t="inlineStr">
        <is>
          <t>f: TxnFlag</t>
        </is>
      </c>
      <c r="K107" s="3" t="inlineStr">
        <is>
          <t>string</t>
        </is>
      </c>
      <c r="L107" s="3" t="inlineStr">
        <is>
          <t>—</t>
        </is>
      </c>
      <c r="M107" s="3" t="inlineStr">
        <is>
          <t>· Rounds the answer to a whole number.</t>
        </is>
      </c>
      <c r="N107" s="3" t="inlineStr">
        <is>
          <t>No</t>
        </is>
      </c>
      <c r="O107" s="3" t="inlineStr">
        <is>
          <t>—</t>
        </is>
      </c>
      <c r="P107" s="3" t="n">
        <v>0</v>
      </c>
      <c r="Q107" s="3" t="inlineStr">
        <is>
          <t>None — no dependent function stands behind it</t>
        </is>
      </c>
      <c r="R107" s="3" t="inlineStr">
        <is>
          <t>No dependent function — it reads its inputs and answers</t>
        </is>
      </c>
      <c r="S107" s="3" t="inlineStr">
        <is>
          <t>—</t>
        </is>
      </c>
      <c r="T107" s="3" t="inlineStr">
        <is>
          <t>—</t>
        </is>
      </c>
      <c r="U107" s="3" t="inlineStr">
        <is>
          <t>ACTIVE</t>
        </is>
      </c>
      <c r="V107" s="3" t="inlineStr">
        <is>
          <t>2026-10-02</t>
        </is>
      </c>
      <c r="W107" s="3" t="n"/>
      <c r="X107" s="3" t="n"/>
      <c r="Y107" s="3" t="inlineStr">
        <is>
          <t>NOTHING OPEN</t>
        </is>
      </c>
    </row>
    <row r="108" ht="60" customHeight="1">
      <c r="A108" s="3" t="inlineStr">
        <is>
          <t>MK-CF-F-111</t>
        </is>
      </c>
      <c r="B108" s="3" t="inlineStr">
        <is>
          <t>applyTransaction</t>
        </is>
      </c>
      <c r="C108" s="3" t="inlineStr">
        <is>
          <t>src/domain/transactions/index.ts</t>
        </is>
      </c>
      <c r="D108" s="3" t="n">
        <v>470</v>
      </c>
      <c r="E108" s="3" t="inlineStr">
        <is>
          <t>3 · DEPENDENT</t>
        </is>
      </c>
      <c r="F108" s="3" t="inlineStr">
        <is>
          <t>Apply one transaction to the accounts (pure).</t>
        </is>
      </c>
      <c r="G108" s="11" t="inlineStr">
        <is>
          <t>the answer = accounts
amt = amount (or 0 when missing or zero)
out = map(accounts, account id, (a) =&gt; bump cash(a, -amt))
src = accounts.find((a) =&gt; asset id = account id)
pos = src and find pos(src, t)
accounts   when src is missing (or pos is missing (or counter account id is missing when missing or zero) when missing or zero)
out = map(accounts, account id, (a) =&gt; ({ ...a, positions: (positions ?? []).filter((p) =&gt; p ! = pos) }))
map(accounts, account id, (a) =&gt; (find pos(a, t) ? add lot(a, t, shares!, price!) : a))   when reinvested and shares and price</t>
        </is>
      </c>
      <c r="H108" s="3" t="inlineStr">
        <is>
          <t>The answer is accounts. Amt is amount (or 0 — when missing or zero). Out is map(accounts, account id, (a) =&gt; bump cash(a, -amt)). Src is accounts.find((a) =&gt; asset id = account id). Pos is src and find pos(src, t). When src is missing (or pos is missing (or counter account id is missing — when missing or zero) — when missing or zero), it answers accounts. Out is map(accounts, account id, (a) =&gt; ({ ...a, positions: (positions ?? []).filter((p) =&gt; p ! = pos) })). When reinvested and shares and price, it answers map(accounts, account id, (a) =&gt; (find pos(a, t) ? add lot(a, t, shares!, price!) : a)).</t>
        </is>
      </c>
      <c r="I108" s="3" t="inlineStr">
        <is>
          <t>PARTLY READ — some of the code is still showing through; needs a hand pass</t>
        </is>
      </c>
      <c r="J108" s="3" t="inlineStr">
        <is>
          <t>1. accounts: AssetAccount[]
2. t: Transaction</t>
        </is>
      </c>
      <c r="K108" s="3" t="inlineStr">
        <is>
          <t>AssetAccount[]</t>
        </is>
      </c>
      <c r="L108" s="3" t="inlineStr">
        <is>
          <t>—</t>
        </is>
      </c>
      <c r="M108" s="3" t="inlineStr">
        <is>
          <t>1. If shares is missing it counts as zero, so nothing recorded and a real zero look the same.
2. If price is missing it counts as zero, so nothing recorded and a real zero look the same.
3. If amount is missing it counts as zero, so nothing recorded and a real zero look the same.
4. If balance is missing it counts as zero, so nothing recorded and a real zero look the same.</t>
        </is>
      </c>
      <c r="N108" s="3" t="inlineStr">
        <is>
          <t>Yes</t>
        </is>
      </c>
      <c r="O108" s="3" t="inlineStr">
        <is>
          <t>1. MK-CF-F-138 addLot
2. MK-CF-F-136 bumpCash
3. MK-CF-F-137 findPos
4. MK-CF-F-132 map
5. MK-CF-F-139 removeShares
6. MK-PF-F-001 totalShares</t>
        </is>
      </c>
      <c r="P108" s="3" t="n">
        <v>8</v>
      </c>
      <c r="Q108" s="3" t="inlineStr">
        <is>
          <t>1. MK-CF-F-138 addLot
2. MK-CF-F-136 bumpCash
3. MK-CF-F-137 findPos
4. MK-CF-F-132 map
5. MK-CF-F-139 removeShares
6. MK-PF-F-001 totalShares
7. MK-ST-F-043 newEntityId
8. MK-CF-F-134 usesSleeve</t>
        </is>
      </c>
      <c r="R108" s="3" t="inlineStr">
        <is>
          <t>1. MK-CF-F-137 findPos → MK-CF-F-138 addLot → MK-CF-F-111 applyTransaction
2. MK-CF-F-132 map → MK-CF-F-138 addLot → MK-CF-F-111 applyTransaction
3. MK-ST-F-043 newEntityId → MK-CF-F-138 addLot → MK-CF-F-111 applyTransaction
4. MK-CF-F-134 usesSleeve → MK-CF-F-136 bumpCash → MK-CF-F-111 applyTransaction
5. MK-CF-F-137 findPos → MK-CF-F-111 applyTransaction
6. MK-CF-F-132 map → MK-CF-F-111 applyTransaction
7. MK-CF-F-137 findPos → MK-CF-F-139 removeShares → MK-CF-F-111 applyTransaction
8. MK-CF-F-132 map → MK-CF-F-139 removeShares → MK-CF-F-111 applyTransaction
9. … and 1 more paths</t>
        </is>
      </c>
      <c r="S108" s="3" t="inlineStr">
        <is>
          <t>—</t>
        </is>
      </c>
      <c r="T108" s="3" t="inlineStr">
        <is>
          <t>—</t>
        </is>
      </c>
      <c r="U108" s="3" t="inlineStr">
        <is>
          <t>ACTIVE</t>
        </is>
      </c>
      <c r="V108" s="3" t="inlineStr">
        <is>
          <t>2026-09-12</t>
        </is>
      </c>
      <c r="W108" s="3" t="n"/>
      <c r="X108" s="3" t="n"/>
      <c r="Y108" s="3" t="inlineStr">
        <is>
          <t>NOTHING OPEN</t>
        </is>
      </c>
    </row>
    <row r="109" ht="60" customHeight="1">
      <c r="A109" s="3" t="inlineStr">
        <is>
          <t>MK-CF-F-112</t>
        </is>
      </c>
      <c r="B109" s="3" t="inlineStr">
        <is>
          <t>makeTransaction</t>
        </is>
      </c>
      <c r="C109" s="3" t="inlineStr">
        <is>
          <t>src/domain/transactions/index.ts</t>
        </is>
      </c>
      <c r="D109" s="3" t="n">
        <v>558</v>
      </c>
      <c r="E109" s="3" t="inlineStr">
        <is>
          <t>3 · DEPENDENT</t>
        </is>
      </c>
      <c r="F109" s="3" t="inlineStr">
        <is>
          <t>Build a full transaction (id + created_at) from a partial.</t>
        </is>
      </c>
      <c r="G109" s="11" t="inlineStr">
        <is>
          <t>...p = ...p
ticker = ticker.to upper case()
id = new entity id('txn')
created at = the date ).to isostring(</t>
        </is>
      </c>
      <c r="H109" s="3" t="inlineStr">
        <is>
          <t>...p = ...p; ticker = ticker.to upper case(); id = new entity id('txn'); created at = the date ).to isostring(.</t>
        </is>
      </c>
      <c r="I109" s="3" t="inlineStr">
        <is>
          <t>PARTLY READ — some of the code is still showing through; needs a hand pass</t>
        </is>
      </c>
      <c r="J109" s="3" t="inlineStr">
        <is>
          <t>p: Omit&lt;Transaction, 'id' | 'created_at'&gt;</t>
        </is>
      </c>
      <c r="K109" s="3" t="inlineStr">
        <is>
          <t>Transaction</t>
        </is>
      </c>
      <c r="L109" s="3" t="inlineStr">
        <is>
          <t>—</t>
        </is>
      </c>
      <c r="M109" s="3" t="inlineStr">
        <is>
          <t>· Uses today's date from the device clock, so the answer changes by itself overnight.</t>
        </is>
      </c>
      <c r="N109" s="3" t="inlineStr">
        <is>
          <t>Yes</t>
        </is>
      </c>
      <c r="O109" s="3" t="inlineStr">
        <is>
          <t>MK-ST-F-043 newEntityId</t>
        </is>
      </c>
      <c r="P109" s="3" t="n">
        <v>1</v>
      </c>
      <c r="Q109" s="3" t="inlineStr">
        <is>
          <t>MK-ST-F-043 newEntityId</t>
        </is>
      </c>
      <c r="R109" s="3" t="inlineStr">
        <is>
          <t>MK-ST-F-043 newEntityId → MK-CF-F-112 makeTransaction</t>
        </is>
      </c>
      <c r="S109" s="3" t="inlineStr">
        <is>
          <t>—</t>
        </is>
      </c>
      <c r="T109" s="3" t="inlineStr">
        <is>
          <t>—</t>
        </is>
      </c>
      <c r="U109" s="3" t="inlineStr">
        <is>
          <t>ACTIVE</t>
        </is>
      </c>
      <c r="V109" s="3" t="inlineStr">
        <is>
          <t>2026-09-12</t>
        </is>
      </c>
      <c r="W109" s="3" t="n"/>
      <c r="X109" s="3" t="n"/>
      <c r="Y109" s="3" t="inlineStr">
        <is>
          <t>NOTHING OPEN</t>
        </is>
      </c>
    </row>
    <row r="110" ht="45" customHeight="1">
      <c r="A110" s="3" t="inlineStr">
        <is>
          <t>MK-CF-F-113</t>
        </is>
      </c>
      <c r="B110" s="3" t="inlineStr">
        <is>
          <t>affectedAccountIds</t>
        </is>
      </c>
      <c r="C110" s="3" t="inlineStr">
        <is>
          <t>src/domain/transactions/index.ts</t>
        </is>
      </c>
      <c r="D110" s="3" t="n">
        <v>597</v>
      </c>
      <c r="E110" s="3" t="inlineStr">
        <is>
          <t>3 · DEPENDENT</t>
        </is>
      </c>
      <c r="F110" s="3" t="inlineStr">
        <is>
          <t>The account ids a transaction can touch.</t>
        </is>
      </c>
      <c r="G110" s="11" t="inlineStr">
        <is>
          <t>[account id, counter account id]   if counter account id
[account id]   otherwise</t>
        </is>
      </c>
      <c r="H110" s="3" t="inlineStr">
        <is>
          <t>[account id, counter account id] — when counter account id; [account id] — otherwise.</t>
        </is>
      </c>
      <c r="I110" s="3" t="inlineStr">
        <is>
          <t>READ FROM THE CODE — rendered from the expressions the function runs</t>
        </is>
      </c>
      <c r="J110" s="3" t="inlineStr">
        <is>
          <t>t: Transaction</t>
        </is>
      </c>
      <c r="K110" s="3" t="inlineStr">
        <is>
          <t>EntityId[]</t>
        </is>
      </c>
      <c r="L110" s="3" t="inlineStr">
        <is>
          <t>—</t>
        </is>
      </c>
      <c r="M110" s="3" t="inlineStr">
        <is>
          <t>None found in this function — anything it assumes comes from the functions it depends on.</t>
        </is>
      </c>
      <c r="N110" s="3" t="inlineStr">
        <is>
          <t>Yes</t>
        </is>
      </c>
      <c r="O110" s="3" t="inlineStr">
        <is>
          <t>—</t>
        </is>
      </c>
      <c r="P110" s="3" t="n">
        <v>0</v>
      </c>
      <c r="Q110" s="3" t="inlineStr">
        <is>
          <t>None — no dependent function stands behind it</t>
        </is>
      </c>
      <c r="R110" s="3" t="inlineStr">
        <is>
          <t>No dependent function — it reads its inputs and answers</t>
        </is>
      </c>
      <c r="S110" s="3" t="inlineStr">
        <is>
          <t>—</t>
        </is>
      </c>
      <c r="T110" s="3" t="inlineStr">
        <is>
          <t>—</t>
        </is>
      </c>
      <c r="U110" s="3" t="inlineStr">
        <is>
          <t>ACTIVE</t>
        </is>
      </c>
      <c r="V110" s="3" t="inlineStr">
        <is>
          <t>2026-09-12</t>
        </is>
      </c>
      <c r="W110" s="3" t="n"/>
      <c r="X110" s="3" t="n"/>
      <c r="Y110" s="3" t="inlineStr">
        <is>
          <t>NOTHING OPEN</t>
        </is>
      </c>
    </row>
    <row r="111" ht="60" customHeight="1">
      <c r="A111" s="3" t="inlineStr">
        <is>
          <t>MK-CF-F-114</t>
        </is>
      </c>
      <c r="B111" s="3" t="inlineStr">
        <is>
          <t>undoSnapshot</t>
        </is>
      </c>
      <c r="C111" s="3" t="inlineStr">
        <is>
          <t>src/domain/transactions/index.ts</t>
        </is>
      </c>
      <c r="D111" s="3" t="n">
        <v>630</v>
      </c>
      <c r="E111" s="3" t="inlineStr">
        <is>
          <t>3 · DEPENDENT</t>
        </is>
      </c>
      <c r="F111" s="3" t="inlineStr">
        <is>
          <t>Deep copies of the affected accounts, taken BEFORE applyTransaction.</t>
        </is>
      </c>
      <c r="G111" s="11" t="inlineStr">
        <is>
          <t>ids = a list with no repeats of affected account ids(t)
the answer = accounts where ids.has(asset id)for each of : JSON.parse(JSON.stringify(each))</t>
        </is>
      </c>
      <c r="H111" s="3" t="inlineStr">
        <is>
          <t>Ids is a list with no repeats of affected account ids(t). The answer is accounts where ids.has(asset id)for each of : JSON.parse(JSON.stringify(each)).</t>
        </is>
      </c>
      <c r="I111" s="3" t="inlineStr">
        <is>
          <t>PARTLY READ — some of the code is still showing through; needs a hand pass</t>
        </is>
      </c>
      <c r="J111" s="3" t="inlineStr">
        <is>
          <t>1. accounts: AssetAccount[]
2. t: Transaction</t>
        </is>
      </c>
      <c r="K111" s="3" t="inlineStr">
        <is>
          <t>AssetAccount[]</t>
        </is>
      </c>
      <c r="L111" s="3" t="inlineStr">
        <is>
          <t>—</t>
        </is>
      </c>
      <c r="M111" s="3" t="inlineStr">
        <is>
          <t>None found in this function — anything it assumes comes from the functions it depends on.</t>
        </is>
      </c>
      <c r="N111" s="3" t="inlineStr">
        <is>
          <t>Yes</t>
        </is>
      </c>
      <c r="O111" s="3" t="inlineStr">
        <is>
          <t>1. MK-CF-F-113 affectedAccountIds
2. MK-ST-F-056 has
3. MK-CF-F-132 map</t>
        </is>
      </c>
      <c r="P111" s="3" t="n">
        <v>3</v>
      </c>
      <c r="Q111" s="3" t="inlineStr">
        <is>
          <t>1. MK-CF-F-113 affectedAccountIds
2. MK-ST-F-056 has
3. MK-CF-F-132 map</t>
        </is>
      </c>
      <c r="R111" s="3" t="inlineStr">
        <is>
          <t>1. MK-CF-F-113 affectedAccountIds → MK-CF-F-114 undoSnapshot
2. MK-ST-F-056 has → MK-CF-F-114 undoSnapshot
3. MK-CF-F-132 map → MK-CF-F-114 undoSnapshot</t>
        </is>
      </c>
      <c r="S111" s="3" t="inlineStr">
        <is>
          <t>—</t>
        </is>
      </c>
      <c r="T111" s="3" t="inlineStr">
        <is>
          <t>—</t>
        </is>
      </c>
      <c r="U111" s="3" t="inlineStr">
        <is>
          <t>ACTIVE</t>
        </is>
      </c>
      <c r="V111" s="3" t="inlineStr">
        <is>
          <t>2026-09-12</t>
        </is>
      </c>
      <c r="W111" s="3" t="n"/>
      <c r="X111" s="3" t="n"/>
      <c r="Y111" s="3" t="inlineStr">
        <is>
          <t>NOTHING OPEN</t>
        </is>
      </c>
    </row>
    <row r="112" ht="60" customHeight="1">
      <c r="A112" s="3" t="inlineStr">
        <is>
          <t>MK-CF-F-115</t>
        </is>
      </c>
      <c r="B112" s="3" t="inlineStr">
        <is>
          <t>restoreUndo</t>
        </is>
      </c>
      <c r="C112" s="3" t="inlineStr">
        <is>
          <t>src/domain/transactions/index.ts</t>
        </is>
      </c>
      <c r="D112" s="3" t="n">
        <v>666</v>
      </c>
      <c r="E112" s="3" t="inlineStr">
        <is>
          <t>3 · DEPENDENT</t>
        </is>
      </c>
      <c r="F112" s="3" t="inlineStr">
        <is>
          <t>Restore the affected accounts to the transaction's pre-apply copies (pure).</t>
        </is>
      </c>
      <c r="G112" s="11" t="inlineStr">
        <is>
          <t>by id = a lookup of for each of undo prev (or none when missing): [asset id, each]
the answer:
for each of accounts: JSON.parse(JSON.stringify(by id.get(asset id)))   if by id.has(asset id)
each   otherwise</t>
        </is>
      </c>
      <c r="H112" s="3" t="inlineStr">
        <is>
          <t>By id is a lookup of for each of undo prev (or none — when missing): [asset id, each]. The answer is for each of accounts: JSON.parse(JSON.stringify(by id.get(asset id))) — when by id.has(asset id); each — otherwise.</t>
        </is>
      </c>
      <c r="I112" s="3" t="inlineStr">
        <is>
          <t>PARTLY READ — some of the code is still showing through; needs a hand pass</t>
        </is>
      </c>
      <c r="J112" s="3" t="inlineStr">
        <is>
          <t>1. accounts: AssetAccount[]
2. t: Transaction</t>
        </is>
      </c>
      <c r="K112" s="3" t="inlineStr">
        <is>
          <t>AssetAccount[]</t>
        </is>
      </c>
      <c r="L112" s="3" t="inlineStr">
        <is>
          <t>—</t>
        </is>
      </c>
      <c r="M112" s="3" t="inlineStr">
        <is>
          <t>None found in this function — anything it assumes comes from the functions it depends on.</t>
        </is>
      </c>
      <c r="N112" s="3" t="inlineStr">
        <is>
          <t>Yes</t>
        </is>
      </c>
      <c r="O112" s="3" t="inlineStr">
        <is>
          <t>1. MK-ST-F-056 has
2. MK-CF-F-132 map</t>
        </is>
      </c>
      <c r="P112" s="3" t="n">
        <v>2</v>
      </c>
      <c r="Q112" s="3" t="inlineStr">
        <is>
          <t>1. MK-ST-F-056 has
2. MK-CF-F-132 map</t>
        </is>
      </c>
      <c r="R112" s="3" t="inlineStr">
        <is>
          <t>1. MK-ST-F-056 has → MK-CF-F-115 restoreUndo
2. MK-CF-F-132 map → MK-CF-F-115 restoreUndo</t>
        </is>
      </c>
      <c r="S112" s="3" t="inlineStr">
        <is>
          <t>—</t>
        </is>
      </c>
      <c r="T112" s="3" t="inlineStr">
        <is>
          <t>—</t>
        </is>
      </c>
      <c r="U112" s="3" t="inlineStr">
        <is>
          <t>ACTIVE</t>
        </is>
      </c>
      <c r="V112" s="3" t="inlineStr">
        <is>
          <t>2026-09-12</t>
        </is>
      </c>
      <c r="W112" s="3" t="n"/>
      <c r="X112" s="3" t="n"/>
      <c r="Y112" s="3" t="inlineStr">
        <is>
          <t>NOTHING OPEN</t>
        </is>
      </c>
    </row>
    <row r="113" ht="60" customHeight="1">
      <c r="A113" s="3" t="inlineStr">
        <is>
          <t>MK-CF-F-116</t>
        </is>
      </c>
      <c r="B113" s="3" t="inlineStr">
        <is>
          <t>inverseOf</t>
        </is>
      </c>
      <c r="C113" s="3" t="inlineStr">
        <is>
          <t>src/domain/transactions/index.ts</t>
        </is>
      </c>
      <c r="D113" s="3" t="n">
        <v>708</v>
      </c>
      <c r="E113" s="3" t="inlineStr">
        <is>
          <t>3 · DEPENDENT</t>
        </is>
      </c>
      <c r="F113" s="3" t="inlineStr">
        <is>
          <t>Legacy fallback for rows recorded before undo_prev: a synthetic opposite transaction.</t>
        </is>
      </c>
      <c r="G113" s="11" t="inlineStr">
        <is>
          <t>base = ...t = ...t
id = new entity id('txn')
note = `reversal of ${id}`
the answer:
nothing   if reinvested
...base = ...base
type = 'WITHDRAWAL'   otherwise</t>
        </is>
      </c>
      <c r="H113" s="3" t="inlineStr">
        <is>
          <t>Base is ...t = ...t; id = new entity id('txn'); note = `reversal of ${id}`. The answer is no answer — when reinvested; ...base = ...base; type = 'WITHDRAWAL' — otherwise.</t>
        </is>
      </c>
      <c r="I113" s="3" t="inlineStr">
        <is>
          <t>PARTLY READ — some of the code is still showing through; needs a hand pass</t>
        </is>
      </c>
      <c r="J113" s="3" t="inlineStr">
        <is>
          <t>t: Transaction</t>
        </is>
      </c>
      <c r="K113" s="3" t="inlineStr">
        <is>
          <t>Transaction | null</t>
        </is>
      </c>
      <c r="L113" s="3" t="inlineStr">
        <is>
          <t>—</t>
        </is>
      </c>
      <c r="M113" s="3" t="inlineStr">
        <is>
          <t>None found in this function — anything it assumes comes from the functions it depends on.</t>
        </is>
      </c>
      <c r="N113" s="3" t="inlineStr">
        <is>
          <t>Yes</t>
        </is>
      </c>
      <c r="O113" s="3" t="inlineStr">
        <is>
          <t>MK-ST-F-043 newEntityId</t>
        </is>
      </c>
      <c r="P113" s="3" t="n">
        <v>1</v>
      </c>
      <c r="Q113" s="3" t="inlineStr">
        <is>
          <t>MK-ST-F-043 newEntityId</t>
        </is>
      </c>
      <c r="R113" s="3" t="inlineStr">
        <is>
          <t>MK-ST-F-043 newEntityId → MK-CF-F-116 inverseOf</t>
        </is>
      </c>
      <c r="S113" s="3" t="inlineStr">
        <is>
          <t>—</t>
        </is>
      </c>
      <c r="T113" s="3" t="inlineStr">
        <is>
          <t>—</t>
        </is>
      </c>
      <c r="U113" s="3" t="inlineStr">
        <is>
          <t>ACTIVE</t>
        </is>
      </c>
      <c r="V113" s="3" t="inlineStr">
        <is>
          <t>2026-09-12</t>
        </is>
      </c>
      <c r="W113" s="3" t="n"/>
      <c r="X113" s="3" t="n"/>
      <c r="Y113" s="3" t="inlineStr">
        <is>
          <t>NOTHING OPEN</t>
        </is>
      </c>
    </row>
    <row r="114" ht="45" customHeight="1">
      <c r="A114" s="3" t="inlineStr">
        <is>
          <t>MK-CF-F-117</t>
        </is>
      </c>
      <c r="B114" s="3" t="inlineStr">
        <is>
          <t>txnLabel</t>
        </is>
      </c>
      <c r="C114" s="3" t="inlineStr">
        <is>
          <t>src/domain/transactions/index.ts</t>
        </is>
      </c>
      <c r="D114" s="3" t="n">
        <v>748</v>
      </c>
      <c r="E114" s="3" t="inlineStr">
        <is>
          <t>2 · DISPLAYED</t>
        </is>
      </c>
      <c r="F114" s="3" t="inlineStr">
        <is>
          <t>What do we call this kind of row on screen?</t>
        </is>
      </c>
      <c r="G114" s="11" t="inlineStr">
        <is>
          <t>the answer = TYPE_LABEL[t], or t itself when the type has no label</t>
        </is>
      </c>
      <c r="H114" s="3" t="inlineStr">
        <is>
          <t>The plain-English label for a transaction type, or the raw type when none is on record. No arithmetic.</t>
        </is>
      </c>
      <c r="I114" s="3" t="inlineStr">
        <is>
          <t>READ BY HAND 2026-08-26 — checked line by line against the code</t>
        </is>
      </c>
      <c r="J114" s="3" t="inlineStr">
        <is>
          <t>t: TxnType</t>
        </is>
      </c>
      <c r="K114" s="3" t="inlineStr">
        <is>
          <t>string</t>
        </is>
      </c>
      <c r="L114" s="3" t="inlineStr">
        <is>
          <t>"Date" — on the Performance screen</t>
        </is>
      </c>
      <c r="M114" s="3" t="inlineStr">
        <is>
          <t>None found in this function — anything it assumes comes from the functions it depends on.</t>
        </is>
      </c>
      <c r="N114" s="3" t="inlineStr">
        <is>
          <t>Yes</t>
        </is>
      </c>
      <c r="O114" s="3" t="inlineStr">
        <is>
          <t>—</t>
        </is>
      </c>
      <c r="P114" s="3" t="n">
        <v>0</v>
      </c>
      <c r="Q114" s="3" t="inlineStr">
        <is>
          <t>None — no dependent function stands behind it</t>
        </is>
      </c>
      <c r="R114" s="3" t="inlineStr">
        <is>
          <t>No dependent function — it reads its inputs and answers</t>
        </is>
      </c>
      <c r="S114" s="3" t="inlineStr">
        <is>
          <t>—</t>
        </is>
      </c>
      <c r="T114" s="3" t="inlineStr">
        <is>
          <t>LEDGER_ROW_NAME</t>
        </is>
      </c>
      <c r="U114" s="3" t="inlineStr">
        <is>
          <t>ACTIVE</t>
        </is>
      </c>
      <c r="V114" s="3" t="inlineStr">
        <is>
          <t>2026-09-12</t>
        </is>
      </c>
      <c r="W114" s="3" t="n"/>
      <c r="X114" s="3" t="n"/>
      <c r="Y114" s="3" t="inlineStr">
        <is>
          <t>NOTHING OPEN</t>
        </is>
      </c>
    </row>
    <row r="115" ht="60" customHeight="1">
      <c r="A115" s="3" t="inlineStr">
        <is>
          <t>MK-CF-F-118</t>
        </is>
      </c>
      <c r="B115" s="3" t="inlineStr">
        <is>
          <t>cashEffect</t>
        </is>
      </c>
      <c r="C115" s="3" t="inlineStr">
        <is>
          <t>src/domain/transactions/index.ts</t>
        </is>
      </c>
      <c r="D115" s="3" t="n">
        <v>781</v>
      </c>
      <c r="E115" s="3" t="inlineStr">
        <is>
          <t>2 · DISPLAYED</t>
        </is>
      </c>
      <c r="F115" s="3" t="inlineStr">
        <is>
          <t>Signed cash effect on the primary account (for display).</t>
        </is>
      </c>
      <c r="G115" s="11" t="inlineStr">
        <is>
          <t>DEPOSIT → +amount
SELL → +shares × price, or +amount when no shares
DIVIDEND / INTEREST / COUPON → 0 when reinvested, else +amount
WITHDRAWAL / FEE / TRANSFER → −amount
BUY → −(shares × price)
anything else → 0</t>
        </is>
      </c>
      <c r="H115" s="3" t="inlineStr">
        <is>
          <t>The signed cash effect of one transaction on its account, for display: money arriving is positive (a deposit, a sale, a payout that was not reinvested), money leaving is negative (a withdrawal, a fee, a transfer out, a purchase). A reinvested payout moves no cash.</t>
        </is>
      </c>
      <c r="I115" s="3" t="inlineStr">
        <is>
          <t>READ BY HAND 2026-08-26 — checked line by line against the code</t>
        </is>
      </c>
      <c r="J115" s="3" t="inlineStr">
        <is>
          <t>t: Transaction</t>
        </is>
      </c>
      <c r="K115" s="3" t="inlineStr">
        <is>
          <t>number</t>
        </is>
      </c>
      <c r="L115" s="3" t="inlineStr">
        <is>
          <t>NOT FOUND — a screen calls it, but the words printed beside its answer could not be traced automatically. Needs reading.</t>
        </is>
      </c>
      <c r="M115" s="3" t="inlineStr">
        <is>
          <t>1. If shares is missing it counts as zero, so nothing recorded and a real zero look the same.
2. If price is missing it counts as zero, so nothing recorded and a real zero look the same.
3. If amount is missing it counts as zero, so nothing recorded and a real zero look the same.</t>
        </is>
      </c>
      <c r="N115" s="3" t="inlineStr">
        <is>
          <t>Yes</t>
        </is>
      </c>
      <c r="O115" s="3" t="inlineStr">
        <is>
          <t>—</t>
        </is>
      </c>
      <c r="P115" s="3" t="n">
        <v>0</v>
      </c>
      <c r="Q115" s="3" t="inlineStr">
        <is>
          <t>None — no dependent function stands behind it</t>
        </is>
      </c>
      <c r="R115" s="3" t="inlineStr">
        <is>
          <t>No dependent function — it reads its inputs and answers</t>
        </is>
      </c>
      <c r="S115" s="3" t="inlineStr">
        <is>
          <t>—</t>
        </is>
      </c>
      <c r="T115" s="3" t="inlineStr">
        <is>
          <t>CASH_EFFECT_OF_A_ROW</t>
        </is>
      </c>
      <c r="U115" s="3" t="inlineStr">
        <is>
          <t>ACTIVE</t>
        </is>
      </c>
      <c r="V115" s="3" t="inlineStr">
        <is>
          <t>2026-09-12</t>
        </is>
      </c>
      <c r="W115" s="3" t="n"/>
      <c r="X115" s="3" t="n"/>
      <c r="Y115" s="3" t="inlineStr">
        <is>
          <t>NOTHING OPEN</t>
        </is>
      </c>
    </row>
    <row r="116" ht="60" customHeight="1">
      <c r="A116" s="3" t="inlineStr">
        <is>
          <t>MK-CF-F-119</t>
        </is>
      </c>
      <c r="B116" s="3" t="inlineStr">
        <is>
          <t>investmentIncomeAnnual</t>
        </is>
      </c>
      <c r="C116" s="3" t="inlineStr">
        <is>
          <t>src/domain/transactions/index.ts</t>
        </is>
      </c>
      <c r="D116" s="3" t="n">
        <v>816</v>
      </c>
      <c r="E116" s="3" t="inlineStr">
        <is>
          <t>3 · DEPENDENT (feeds an action only)</t>
        </is>
      </c>
      <c r="F116" s="3" t="inlineStr">
        <is>
          <t>Investment income (cash dividends/interest/coupons, not reinvested) over the trailing window — feeds the Income module.</t>
        </is>
      </c>
      <c r="G116" s="11" t="inlineStr">
        <is>
          <t>cutoff = the date now); cutoff.set full year(cutoff.get full year() − 1</t>
        </is>
      </c>
      <c r="H116" s="3" t="inlineStr">
        <is>
          <t>Cutoff: the date now); cutoff.set full year(cutoff.get full year() minus 1.</t>
        </is>
      </c>
      <c r="I116" s="3" t="inlineStr">
        <is>
          <t>PARTLY READ — some of the code is still showing through; needs a hand pass</t>
        </is>
      </c>
      <c r="J116" s="3" t="inlineStr">
        <is>
          <t>1. txns: Transaction[]
2. now: Date = new Date()</t>
        </is>
      </c>
      <c r="K116" s="3" t="inlineStr">
        <is>
          <t>number</t>
        </is>
      </c>
      <c r="L116" s="3" t="inlineStr">
        <is>
          <t>—</t>
        </is>
      </c>
      <c r="M116" s="3" t="inlineStr">
        <is>
          <t>1. If amount is missing it counts as zero, so nothing recorded and a real zero look the same.
2. Uses today's date from the device clock, so the answer changes by itself overnight.</t>
        </is>
      </c>
      <c r="N116" s="3" t="inlineStr">
        <is>
          <t>No</t>
        </is>
      </c>
      <c r="O116" s="3" t="inlineStr">
        <is>
          <t>—</t>
        </is>
      </c>
      <c r="P116" s="3" t="n">
        <v>0</v>
      </c>
      <c r="Q116" s="3" t="inlineStr">
        <is>
          <t>None — no dependent function stands behind it</t>
        </is>
      </c>
      <c r="R116" s="3" t="inlineStr">
        <is>
          <t>No dependent function — it reads its inputs and answers</t>
        </is>
      </c>
      <c r="S116" s="3" t="inlineStr">
        <is>
          <t>—</t>
        </is>
      </c>
      <c r="T116" s="3" t="inlineStr">
        <is>
          <t>—</t>
        </is>
      </c>
      <c r="U116" s="3" t="inlineStr">
        <is>
          <t>ACTIVE</t>
        </is>
      </c>
      <c r="V116" s="3" t="inlineStr">
        <is>
          <t>2026-08-28</t>
        </is>
      </c>
      <c r="W116" s="3" t="n"/>
      <c r="X116" s="3" t="n"/>
      <c r="Y116" s="3" t="inlineStr">
        <is>
          <t>NOTHING OPEN</t>
        </is>
      </c>
    </row>
    <row r="117" ht="60" customHeight="1">
      <c r="A117" s="3" t="inlineStr">
        <is>
          <t>MK-CF-F-120</t>
        </is>
      </c>
      <c r="B117" s="3" t="inlineStr">
        <is>
          <t>pctBaseMonthly</t>
        </is>
      </c>
      <c r="C117" s="3" t="inlineStr">
        <is>
          <t>src/domain/budget/index.ts</t>
        </is>
      </c>
      <c r="D117" s="3" t="n">
        <v>126</v>
      </c>
      <c r="E117" s="3" t="inlineStr">
        <is>
          <t>3 · DEPENDENT</t>
        </is>
      </c>
      <c r="F117" s="3" t="inlineStr">
        <is>
          <t>A-1: the %-of-income base = true take-home (after tax AND 401k) — the SAME base the expenses-plan screen uses (modules.tsx SpendingEditor → takeHomeMonthly).</t>
        </is>
      </c>
      <c r="G117" s="11" t="inlineStr">
        <is>
          <t>grid = income monthly grid(op, 'available')
the answer = Σ over grid of (amount)÷ 12</t>
        </is>
      </c>
      <c r="H117" s="3" t="inlineStr">
        <is>
          <t>Grid is income monthly grid(op, 'available'). The answer: the amount added up across grid÷ 12.</t>
        </is>
      </c>
      <c r="I117" s="3" t="inlineStr">
        <is>
          <t>READ FROM THE CODE — rendered from the expressions the function runs</t>
        </is>
      </c>
      <c r="J117" s="3" t="inlineStr">
        <is>
          <t>op: OnboardingProfile | null</t>
        </is>
      </c>
      <c r="K117" s="3" t="inlineStr">
        <is>
          <t>number</t>
        </is>
      </c>
      <c r="L117" s="3" t="inlineStr">
        <is>
          <t>—</t>
        </is>
      </c>
      <c r="M117" s="3" t="inlineStr">
        <is>
          <t>None found in this function — anything it assumes comes from the functions it depends on.</t>
        </is>
      </c>
      <c r="N117" s="3" t="inlineStr">
        <is>
          <t>Yes</t>
        </is>
      </c>
      <c r="O117" s="3" t="inlineStr">
        <is>
          <t>MK-CF-F-092 incomeMonthlyGrid</t>
        </is>
      </c>
      <c r="P117" s="3" t="n">
        <v>99</v>
      </c>
      <c r="Q117" s="3" t="inlineStr">
        <is>
          <t>1. MK-CF-F-092 incomeMonthlyGrid
2. MK-CF-F-069 benefitActiveMonths
3. MK-CF-F-072 currentRetirementIncomeMonthly
4. MK-CF-F-173 earnerWages
5. MK-CF-F-065 equityVestWeights
6. MK-CF-F-071 extraIncome
7. MK-ST-F-056 has
8. MK-CF-F-206 householdK401ByMonth
9. MK-CF-F-132 map
10. MK-CF-F-087 monthlyTaxRates
11. MK-CF-F-073 otherIncomeMonth
12. MK-CF-F-181 rateInForce
13. MK-CF-F-068 rentalNetAnnual
14. MK-CF-F-066 rsuAnnual
15. MK-CF-F-060 salaryGrossByMonth
16. MK-CF-F-077 scholarshipByCalendarMonth
17. MK-CF-F-088 taxableByCalendarMonth
18. MK-ST-F-052 toNum
19. MK-CF-F-177 wageGrossByMonth
20. MK-PL-F-012 waterfall
21. MK-CF-F-075 retirementIncomeMonthly
22. MK-CF-F-172 hasWage
23. MK-CF-F-062 equityRowValue
24. MK-CF-F-070 benefitAnnual
25. MK-ST-F-039 on
26. MK-CF-F-176 sumMonthsOverEarners
27. MK-CF-F-203 MONTH
28. MK-CF-F-090 effectiveRate
29. MK-CF-F-180 enteredLandsAnnual
30. MK-CF-F-085 filingStatusOf
31. MK-CF-F-089 over65CountOf
32. MK-CF-F-082 salaryAnnual
33. MK-CF-F-086 stateRateOf
34. MK-CF-F-101 taxOwedFor
35. MK-CF-F-084 taxableAnnual
36. MK-CF-O-002 expenses
37. MK-CF-F-067 rentalList
38. MK-CF-F-063 rowVestYear
39. MK-XS-F-122 n
40. MK-CF-F-130 enteredMonthlyRaw
41. MK-CF-F-166 hasMonthlySalaryTable
42. MK-ST-F-036 reconcile
43. MK-CF-F-167 salaryCalendarYear
44. MK-CF-O-010 theMonth
45. MK-CF-F-100 taxableIncomeFor
46. MK-CF-F-074 tipsAnnual
47. MK-CF-F-151 actualSpending
48. MK-CF-F-150 debtPaymentsCountedAsExpenses
49. MK-CF-F-153 radar
50. MK-CF-F-149 recurringDebtPayments
51. MK-CF-F-165 salaryMonths
52. MK-CF-F-155 cash
53. MK-CF-O-003 thisMonth
54. MK-CF-F-099 deductionFor
55. MK-CF-F-081 salaryActiveMonths
56. MK-CF-F-148 inMonth
57. MK-CF-F-191 ym
58. MK-CF-F-022 paymentShape
59. MK-CF-F-152 isRadarItem
60. MK-CF-F-023 requiredPayment
61. MK-CF-F-005 actualMonthFlow
62. MK-CF-F-156 plannedMonthFlow
63. MK-CF-F-187 seniorDeductionFor
64. MK-CF-F-021 defaultPaymentType
65. MK-NW-F-078 ONE
66. MK-CF-F-157 debtPaymentsByDebt
67. MK-CF-F-192 inflowLabel
68. MK-XS-F-027 takeHomeMonthly
69. MK-NW-F-077 ALL
70. MK-NW-F-059 currentYield
71. MK-XS-F-180 declareFigures
72. MK-ST-F-049 formatMoney
73. MK-ST-F-053 money
74. MK-NW-O-001 theBonds
75. MK-CF-F-193 inflowSourceWord
76. MK-CF-F-011 savingsByMonth
77. MK-NW-F-057 annualCoupon
78. MK-ST-F-048 currencySymbol
79. MK-ST-F-027 accountId
80. MK-NW-F-056 bondInfo
81. MK-NW-F-064 bondRateSensitivity
82. MK-NW-F-061 bondSummary
83. MK-NW-F-055 isBond
84. MK-NW-F-072 rowOf
85. MK-CF-F-008 spendByMonth
86. MK-ST-F-047 activeCurrency
87. MK-NW-F-060 approxYTM
88. MK-NW-F-069 priceAtYield
89. MK-NW-F-011 assetClassOf
90. MK-NW-F-070 accruedInterestCaveat
91. MK-NW-F-071 isCertificateOfDeposit
92. MK-NW-F-058 yearsToMaturity
93. MK-CF-F-004 spendBuckets
94. MK-NW-F-008 incomeBearingClassOf
95. MK-CF-F-003 categoryMonthly
96. MK-ST-F-010 nameEvidence
97. MK-XS-F-147 call
98. MK-XS-F-064 currentIdToken
99. MK-XS-F-112 relayUrl</t>
        </is>
      </c>
      <c r="R117" s="3" t="inlineStr">
        <is>
          <t>1. MK-CF-F-069 benefitActiveMonths → MK-CF-F-092 incomeMonthlyGrid → MK-CF-F-120 pctBaseMonthly
2. MK-XS-F-122 n → MK-ST-F-052 toNum → MK-CF-F-075 retirementIncomeMonthly → MK-CF-F-072 currentRetirementIncomeMonthly → MK-CF-F-092 incomeMonthlyGrid → MK-CF-F-120 pctBaseMonthly
3. MK-ST-F-056 has → MK-CF-F-172 hasWage → MK-CF-F-173 earnerWages → MK-CF-F-092 incomeMonthlyGrid → MK-CF-F-120 pctBaseMonthly
4. MK-XS-F-122 n → MK-ST-F-052 toNum → MK-CF-F-062 equityRowValue → MK-CF-F-065 equityVestWeights → MK-CF-F-092 incomeMonthlyGrid → MK-CF-F-120 pctBaseMonthly
5. MK-CF-F-132 map → MK-CF-F-065 equityVestWeights → MK-CF-F-092 incomeMonthlyGrid → MK-CF-F-120 pctBaseMonthly
6. MK-CF-F-069 benefitActiveMonths → MK-CF-F-070 benefitAnnual → MK-CF-F-071 extraIncome → MK-CF-F-092 incomeMonthlyGrid → MK-CF-F-120 pctBaseMonthly
7. MK-XS-F-122 n → MK-ST-F-052 toNum → MK-CF-F-070 benefitAnnual → MK-CF-F-071 extraIncome → MK-CF-F-092 incomeMonthlyGrid → MK-CF-F-120 pctBaseMonthly
8. MK-ST-F-039 on → MK-CF-F-071 extraIncome → MK-CF-F-092 incomeMonthlyGrid → MK-CF-F-120 pctBaseMonthly
9. … and 4 more paths</t>
        </is>
      </c>
      <c r="S117" s="3" t="inlineStr">
        <is>
          <t>—</t>
        </is>
      </c>
      <c r="T117" s="3" t="inlineStr">
        <is>
          <t>—</t>
        </is>
      </c>
      <c r="U117" s="3" t="inlineStr">
        <is>
          <t>ACTIVE</t>
        </is>
      </c>
      <c r="V117" s="3" t="inlineStr">
        <is>
          <t>2026-08-27</t>
        </is>
      </c>
      <c r="W117" s="3" t="n"/>
      <c r="X117" s="3" t="n"/>
      <c r="Y117" s="3" t="inlineStr">
        <is>
          <t>NOTHING OPEN</t>
        </is>
      </c>
    </row>
    <row r="118" ht="45" customHeight="1">
      <c r="A118" s="3" t="inlineStr">
        <is>
          <t>MK-CF-F-121</t>
        </is>
      </c>
      <c r="B118" s="3" t="inlineStr">
        <is>
          <t>zero12</t>
        </is>
      </c>
      <c r="C118" s="3" t="inlineStr">
        <is>
          <t>src/domain/cashflow/index.ts</t>
        </is>
      </c>
      <c r="D118" s="3" t="n">
        <v>36</v>
      </c>
      <c r="E118" s="3" t="inlineStr">
        <is>
          <t>3 · DEPENDENT</t>
        </is>
      </c>
      <c r="F118" s="3" t="inlineStr">
        <is>
          <t>Twelve zeros: an empty year, one slot for each month.</t>
        </is>
      </c>
      <c r="G118" s="11" t="inlineStr">
        <is>
          <t>the answer = twelve zeros, one per month</t>
        </is>
      </c>
      <c r="H118" s="3" t="inlineStr">
        <is>
          <t>Twelve zeros, one per calendar month — the empty grid a month-by-month figure is built on. No arithmetic.</t>
        </is>
      </c>
      <c r="I118" s="3" t="inlineStr">
        <is>
          <t>READ BY HAND 2026-08-26 — checked line by line against the code</t>
        </is>
      </c>
      <c r="J118" s="3" t="inlineStr">
        <is>
          <t>Nothing is handed to it</t>
        </is>
      </c>
      <c r="K118" s="3" t="inlineStr">
        <is>
          <t>number[]</t>
        </is>
      </c>
      <c r="L118" s="3" t="inlineStr">
        <is>
          <t>—</t>
        </is>
      </c>
      <c r="M118" s="3" t="inlineStr">
        <is>
          <t>None found in this function — anything it assumes comes from the functions it depends on.</t>
        </is>
      </c>
      <c r="N118" s="3" t="inlineStr">
        <is>
          <t>Yes</t>
        </is>
      </c>
      <c r="O118" s="3" t="inlineStr">
        <is>
          <t>—</t>
        </is>
      </c>
      <c r="P118" s="3" t="n">
        <v>0</v>
      </c>
      <c r="Q118" s="3" t="inlineStr">
        <is>
          <t>None — no dependent function stands behind it</t>
        </is>
      </c>
      <c r="R118" s="3" t="inlineStr">
        <is>
          <t>No dependent function — it reads its inputs and answers</t>
        </is>
      </c>
      <c r="S118" s="3" t="inlineStr">
        <is>
          <t>—</t>
        </is>
      </c>
      <c r="T118" s="3" t="inlineStr">
        <is>
          <t>—</t>
        </is>
      </c>
      <c r="U118" s="3" t="inlineStr">
        <is>
          <t>ACTIVE</t>
        </is>
      </c>
      <c r="V118" s="3" t="inlineStr">
        <is>
          <t>2026-09-12</t>
        </is>
      </c>
      <c r="W118" s="3" t="n"/>
      <c r="X118" s="3" t="n"/>
      <c r="Y118" s="3" t="inlineStr">
        <is>
          <t>NOTHING OPEN</t>
        </is>
      </c>
    </row>
    <row r="119" ht="45" customHeight="1">
      <c r="A119" s="3" t="inlineStr">
        <is>
          <t>MK-CF-F-122</t>
        </is>
      </c>
      <c r="B119" s="3" t="inlineStr">
        <is>
          <t>addDays</t>
        </is>
      </c>
      <c r="C119" s="3" t="inlineStr">
        <is>
          <t>src/domain/cashflow/index.ts</t>
        </is>
      </c>
      <c r="D119" s="3" t="n">
        <v>140</v>
      </c>
      <c r="E119" s="3" t="inlineStr">
        <is>
          <t>2 · DISPLAYED</t>
        </is>
      </c>
      <c r="F119" s="3" t="inlineStr">
        <is>
          <t>The date a given number of days after another date.</t>
        </is>
      </c>
      <c r="G119" s="11" t="inlineStr">
        <is>
          <t>the answer = d + n × 86,400,000 milliseconds</t>
        </is>
      </c>
      <c r="H119" s="3" t="inlineStr">
        <is>
          <t>The date n days after d — adding whole days in milliseconds.</t>
        </is>
      </c>
      <c r="I119" s="3" t="inlineStr">
        <is>
          <t>READ BY HAND 2026-08-26 — checked line by line against the code</t>
        </is>
      </c>
      <c r="J119" s="3" t="inlineStr">
        <is>
          <t>1. d: Date
2. n: number</t>
        </is>
      </c>
      <c r="K119" s="3" t="inlineStr">
        <is>
          <t>Date</t>
        </is>
      </c>
      <c r="L119" s="3" t="inlineStr">
        <is>
          <t>NOT FOUND — a screen calls it, but the words printed beside its answer could not be traced automatically. Needs reading.</t>
        </is>
      </c>
      <c r="M119" s="3" t="inlineStr">
        <is>
          <t>None found in this function — anything it assumes comes from the functions it depends on.</t>
        </is>
      </c>
      <c r="N119" s="3" t="inlineStr">
        <is>
          <t>Yes</t>
        </is>
      </c>
      <c r="O119" s="3" t="inlineStr">
        <is>
          <t>—</t>
        </is>
      </c>
      <c r="P119" s="3" t="n">
        <v>0</v>
      </c>
      <c r="Q119" s="3" t="inlineStr">
        <is>
          <t>None — no dependent function stands behind it</t>
        </is>
      </c>
      <c r="R119" s="3" t="inlineStr">
        <is>
          <t>No dependent function — it reads its inputs and answers</t>
        </is>
      </c>
      <c r="S119" s="3" t="inlineStr">
        <is>
          <t>—</t>
        </is>
      </c>
      <c r="T119" s="3" t="inlineStr">
        <is>
          <t>—</t>
        </is>
      </c>
      <c r="U119" s="3" t="inlineStr">
        <is>
          <t>ACTIVE</t>
        </is>
      </c>
      <c r="V119" s="3" t="inlineStr">
        <is>
          <t>2026-09-12</t>
        </is>
      </c>
      <c r="W119" s="3" t="n"/>
      <c r="X119" s="3" t="n"/>
      <c r="Y119" s="3" t="inlineStr">
        <is>
          <t>NOTHING OPEN</t>
        </is>
      </c>
    </row>
    <row r="120" ht="60" customHeight="1">
      <c r="A120" s="3" t="inlineStr">
        <is>
          <t>MK-CF-F-124</t>
        </is>
      </c>
      <c r="B120" s="3" t="inlineStr">
        <is>
          <t>nextOccurrence</t>
        </is>
      </c>
      <c r="C120" s="3" t="inlineStr">
        <is>
          <t>src/domain/cashflow/index.ts</t>
        </is>
      </c>
      <c r="D120" s="3" t="n">
        <v>166</v>
      </c>
      <c r="E120" s="3" t="inlineStr">
        <is>
          <t>3 · DEPENDENT</t>
        </is>
      </c>
      <c r="F120" s="3" t="inlineStr">
        <is>
          <t>The next time (month, day) occurs on/after `now`, unless an explicit year is given.</t>
        </is>
      </c>
      <c r="G120" s="11" t="inlineStr">
        <is>
          <t>d0 = day   if day &gt; 0
1   otherwise
the date year, month1to12 − 1, d0   when year and year &gt; 0
d = the date now.get full year(), month1to12 − 1, d0
the answer = d</t>
        </is>
      </c>
      <c r="H120" s="3" t="inlineStr">
        <is>
          <t>D0 is day — when day &gt; 0; 1 — otherwise. When year and year &gt; 0, it answers the date year, month1to12 minus 1, d0. D: the date now.get full year(), month1to12 minus 1, d0. The answer is d.</t>
        </is>
      </c>
      <c r="I120" s="3" t="inlineStr">
        <is>
          <t>PARTLY READ — some of the code is still showing through; needs a hand pass</t>
        </is>
      </c>
      <c r="J120" s="3" t="inlineStr">
        <is>
          <t>1. month1to12: number
2. day: number
3. now: Date
4. year?: number</t>
        </is>
      </c>
      <c r="K120" s="3" t="inlineStr">
        <is>
          <t>Date</t>
        </is>
      </c>
      <c r="L120" s="3" t="inlineStr">
        <is>
          <t>—</t>
        </is>
      </c>
      <c r="M120" s="3" t="inlineStr">
        <is>
          <t>None found in this function — anything it assumes comes from the functions it depends on.</t>
        </is>
      </c>
      <c r="N120" s="3" t="inlineStr">
        <is>
          <t>Yes</t>
        </is>
      </c>
      <c r="O120" s="3" t="inlineStr">
        <is>
          <t>—</t>
        </is>
      </c>
      <c r="P120" s="3" t="n">
        <v>0</v>
      </c>
      <c r="Q120" s="3" t="inlineStr">
        <is>
          <t>None — no dependent function stands behind it</t>
        </is>
      </c>
      <c r="R120" s="3" t="inlineStr">
        <is>
          <t>No dependent function — it reads its inputs and answers</t>
        </is>
      </c>
      <c r="S120" s="3" t="inlineStr">
        <is>
          <t>—</t>
        </is>
      </c>
      <c r="T120" s="3" t="inlineStr">
        <is>
          <t>—</t>
        </is>
      </c>
      <c r="U120" s="3" t="inlineStr">
        <is>
          <t>ACTIVE</t>
        </is>
      </c>
      <c r="V120" s="3" t="inlineStr">
        <is>
          <t>2026-08-27</t>
        </is>
      </c>
      <c r="W120" s="3" t="n"/>
      <c r="X120" s="3" t="n"/>
      <c r="Y120" s="3" t="inlineStr">
        <is>
          <t>NOTHING OPEN</t>
        </is>
      </c>
    </row>
    <row r="121" ht="60" customHeight="1">
      <c r="A121" s="3" t="inlineStr">
        <is>
          <t>MK-CF-F-125</t>
        </is>
      </c>
      <c r="B121" s="3" t="inlineStr">
        <is>
          <t>amortise</t>
        </is>
      </c>
      <c r="C121" s="3" t="inlineStr">
        <is>
          <t>src/domain/debt/mortgageVsTreasury.ts</t>
        </is>
      </c>
      <c r="D121" s="3" t="n">
        <v>70</v>
      </c>
      <c r="E121" s="3" t="inlineStr">
        <is>
          <t>3 · DEPENDENT</t>
        </is>
      </c>
      <c r="F121" s="3" t="inlineStr">
        <is>
          <t>Months to clear a balance at a given payment, and the total interest paid getting there.</t>
        </is>
      </c>
      <c r="G121" s="11" t="inlineStr">
        <is>
          <t>i = annual rate ÷ 12
b = balance, months = 0, interest = 0
months = infinity
interest = infinity   when payment ≤ b × i
charge = b × i
the answer = { months, interest }</t>
        </is>
      </c>
      <c r="H121" s="3" t="inlineStr">
        <is>
          <t>I is annual rate divided by 12. B is balance, months = 0, interest = 0. When payment is at most b times i, it answers months = infinity; interest = infinity. Charge is b times i. The answer is { months, interest }.</t>
        </is>
      </c>
      <c r="I121" s="3" t="inlineStr">
        <is>
          <t>READ FROM THE CODE — rendered from the expressions the function runs</t>
        </is>
      </c>
      <c r="J121" s="3" t="inlineStr">
        <is>
          <t>1. balance: number
2. annualRate: number
3. payment: number</t>
        </is>
      </c>
      <c r="K121" s="3" t="inlineStr">
        <is>
          <t>NOT DECLARED — the code does not say what it gives back</t>
        </is>
      </c>
      <c r="L121" s="3" t="inlineStr">
        <is>
          <t>—</t>
        </is>
      </c>
      <c r="M121" s="3" t="inlineStr">
        <is>
          <t>· Treats a year as twelve equal months.</t>
        </is>
      </c>
      <c r="N121" s="3" t="inlineStr">
        <is>
          <t>Yes</t>
        </is>
      </c>
      <c r="O121" s="3" t="inlineStr">
        <is>
          <t>—</t>
        </is>
      </c>
      <c r="P121" s="3" t="n">
        <v>0</v>
      </c>
      <c r="Q121" s="3" t="inlineStr">
        <is>
          <t>None — no dependent function stands behind it</t>
        </is>
      </c>
      <c r="R121" s="3" t="inlineStr">
        <is>
          <t>No dependent function — it reads its inputs and answers</t>
        </is>
      </c>
      <c r="S121" s="3" t="inlineStr">
        <is>
          <t>—</t>
        </is>
      </c>
      <c r="T121" s="3" t="inlineStr">
        <is>
          <t>—</t>
        </is>
      </c>
      <c r="U121" s="3" t="inlineStr">
        <is>
          <t>ACTIVE</t>
        </is>
      </c>
      <c r="V121" s="3" t="inlineStr">
        <is>
          <t>2026-08-27</t>
        </is>
      </c>
      <c r="W121" s="3" t="n"/>
      <c r="X121" s="3" t="n"/>
      <c r="Y121" s="3" t="inlineStr">
        <is>
          <t>NOTHING OPEN</t>
        </is>
      </c>
    </row>
    <row r="122" ht="60" customHeight="1">
      <c r="A122" s="3" t="inlineStr">
        <is>
          <t>MK-CF-F-126</t>
        </is>
      </c>
      <c r="B122" s="3" t="inlineStr">
        <is>
          <t>futureValue</t>
        </is>
      </c>
      <c r="C122" s="3" t="inlineStr">
        <is>
          <t>src/domain/debt/mortgageVsTreasury.ts</t>
        </is>
      </c>
      <c r="D122" s="3" t="n">
        <v>105</v>
      </c>
      <c r="E122" s="3" t="inlineStr">
        <is>
          <t>3 · DEPENDENT</t>
        </is>
      </c>
      <c r="F122" s="3" t="inlineStr">
        <is>
          <t>Future value of a monthly contribution earning `rate`, contributed at the end of each month.</t>
        </is>
      </c>
      <c r="G122" s="11" t="inlineStr">
        <is>
          <t>0   when months ≤ 0 (or monthly ≤ 0 when missing or zero)
i = rate ÷ 12
the answer = monthly × (((1 + i) ×  × months − 1) ÷ i)</t>
        </is>
      </c>
      <c r="H122" s="3" t="inlineStr">
        <is>
          <t>When months is at most 0 (or monthly is at most 0 — when missing or zero), it answers 0. I is rate divided by 12. The answer is monthly times (((1 plus i) times times months minus 1) divided by i).</t>
        </is>
      </c>
      <c r="I122" s="3" t="inlineStr">
        <is>
          <t>READ FROM THE CODE — rendered from the expressions the function runs</t>
        </is>
      </c>
      <c r="J122" s="3" t="inlineStr">
        <is>
          <t>1. monthly: number
2. rate: number
3. months: number</t>
        </is>
      </c>
      <c r="K122" s="3" t="inlineStr">
        <is>
          <t>number</t>
        </is>
      </c>
      <c r="L122" s="3" t="inlineStr">
        <is>
          <t>—</t>
        </is>
      </c>
      <c r="M122" s="3" t="inlineStr">
        <is>
          <t>None found in this function — anything it assumes comes from the functions it depends on.</t>
        </is>
      </c>
      <c r="N122" s="3" t="inlineStr">
        <is>
          <t>Yes</t>
        </is>
      </c>
      <c r="O122" s="3" t="inlineStr">
        <is>
          <t>—</t>
        </is>
      </c>
      <c r="P122" s="3" t="n">
        <v>0</v>
      </c>
      <c r="Q122" s="3" t="inlineStr">
        <is>
          <t>None — no dependent function stands behind it</t>
        </is>
      </c>
      <c r="R122" s="3" t="inlineStr">
        <is>
          <t>No dependent function — it reads its inputs and answers</t>
        </is>
      </c>
      <c r="S122" s="3" t="inlineStr">
        <is>
          <t>—</t>
        </is>
      </c>
      <c r="T122" s="3" t="inlineStr">
        <is>
          <t>—</t>
        </is>
      </c>
      <c r="U122" s="3" t="inlineStr">
        <is>
          <t>ACTIVE</t>
        </is>
      </c>
      <c r="V122" s="3" t="inlineStr">
        <is>
          <t>2026-08-27</t>
        </is>
      </c>
      <c r="W122" s="3" t="n"/>
      <c r="X122" s="3" t="n"/>
      <c r="Y122" s="3" t="inlineStr">
        <is>
          <t>NOTHING OPEN</t>
        </is>
      </c>
    </row>
    <row r="123" ht="45" customHeight="1">
      <c r="A123" s="3" t="inlineStr">
        <is>
          <t>MK-CF-F-127</t>
        </is>
      </c>
      <c r="B123" s="3" t="inlineStr">
        <is>
          <t>isRental</t>
        </is>
      </c>
      <c r="C123" s="3" t="inlineStr">
        <is>
          <t>src/domain/income/calc.ts</t>
        </is>
      </c>
      <c r="D123" s="3" t="n">
        <v>30</v>
      </c>
      <c r="E123" s="3" t="inlineStr">
        <is>
          <t>1 · ACTION</t>
        </is>
      </c>
      <c r="F123" s="3" t="inlineStr">
        <is>
          <t>Whether an income source is rent from a property, long-term or short-term.</t>
        </is>
      </c>
      <c r="G123" s="11" t="inlineStr">
        <is>
          <t>t = 'LONG_TERM_RENTAL' (or t = 'SHORT_TERM_RENTAL' when missing or zero)</t>
        </is>
      </c>
      <c r="H123" s="3" t="inlineStr">
        <is>
          <t>t = 'LONG_TERM_RENTAL' (or t = 'SHORT_TERM_RENTAL' — when missing or zero)</t>
        </is>
      </c>
      <c r="I123" s="3" t="inlineStr">
        <is>
          <t>READ FROM THE CODE — rendered from the expressions the function runs</t>
        </is>
      </c>
      <c r="J123" s="3" t="inlineStr">
        <is>
          <t>t: string</t>
        </is>
      </c>
      <c r="K123" s="3" t="inlineStr">
        <is>
          <t>NOT DECLARED — the code does not say what it gives back</t>
        </is>
      </c>
      <c r="L123" s="3" t="inlineStr">
        <is>
          <t>—</t>
        </is>
      </c>
      <c r="M123" s="3" t="inlineStr">
        <is>
          <t>None found in this function — anything it assumes comes from the functions it depends on.</t>
        </is>
      </c>
      <c r="N123" s="3" t="inlineStr">
        <is>
          <t>Yes</t>
        </is>
      </c>
      <c r="O123" s="3" t="inlineStr">
        <is>
          <t>—</t>
        </is>
      </c>
      <c r="P123" s="3" t="n">
        <v>0</v>
      </c>
      <c r="Q123" s="3" t="inlineStr">
        <is>
          <t>None — no dependent function stands behind it</t>
        </is>
      </c>
      <c r="R123" s="3" t="inlineStr">
        <is>
          <t>No dependent function — it reads its inputs and answers</t>
        </is>
      </c>
      <c r="S123" s="3" t="inlineStr">
        <is>
          <t>—</t>
        </is>
      </c>
      <c r="T123" s="3" t="inlineStr">
        <is>
          <t>—</t>
        </is>
      </c>
      <c r="U123" s="3" t="inlineStr">
        <is>
          <t>ACTIVE</t>
        </is>
      </c>
      <c r="V123" s="3" t="inlineStr">
        <is>
          <t>2026-08-27</t>
        </is>
      </c>
      <c r="W123" s="3" t="n"/>
      <c r="X123" s="3" t="n"/>
      <c r="Y123" s="3" t="inlineStr">
        <is>
          <t>NOTHING OPEN</t>
        </is>
      </c>
    </row>
    <row r="124" ht="60" customHeight="1">
      <c r="A124" s="3" t="inlineStr">
        <is>
          <t>MK-CF-F-128</t>
        </is>
      </c>
      <c r="B124" s="3" t="inlineStr">
        <is>
          <t>grossByMonth</t>
        </is>
      </c>
      <c r="C124" s="3" t="inlineStr">
        <is>
          <t>MoneyKeel/functions/cashflow/base-pay.ts</t>
        </is>
      </c>
      <c r="D124" s="3" t="n">
        <v>184</v>
      </c>
      <c r="E124" s="3" t="inlineStr">
        <is>
          <t>3 · DEPENDENT</t>
        </is>
      </c>
      <c r="F124" s="3" t="inlineStr">
        <is>
          <t>GROSS pay for each month the table covers, or twelve identical months when pay is steady.</t>
        </is>
      </c>
      <c r="G124" s="11" t="inlineStr">
        <is>
          <t>table = months of(gross by month)
table   when count of varies and table
the answer = [['typical', per month(gross typical, e)]]</t>
        </is>
      </c>
      <c r="H124" s="3" t="inlineStr">
        <is>
          <t>Table is months of(gross by month). When how many varies and table there are, it answers table. The answer is [['typical', per month(gross typical, e)]].</t>
        </is>
      </c>
      <c r="I124" s="3" t="inlineStr">
        <is>
          <t>READ FROM THE CODE — rendered from the expressions the function runs</t>
        </is>
      </c>
      <c r="J124" s="3" t="inlineStr">
        <is>
          <t>e: BasePayEntry</t>
        </is>
      </c>
      <c r="K124" s="3" t="inlineStr">
        <is>
          <t>[string, number][]</t>
        </is>
      </c>
      <c r="L124" s="3" t="inlineStr">
        <is>
          <t>—</t>
        </is>
      </c>
      <c r="M124" s="3" t="inlineStr">
        <is>
          <t>None found in this function — anything it assumes comes from the functions it depends on.</t>
        </is>
      </c>
      <c r="N124" s="3" t="inlineStr">
        <is>
          <t>Yes</t>
        </is>
      </c>
      <c r="O124" s="3" t="inlineStr">
        <is>
          <t>1. MK-CF-F-142 monthsOf
2. MK-CF-F-141 perMonth</t>
        </is>
      </c>
      <c r="P124" s="3" t="n">
        <v>8</v>
      </c>
      <c r="Q124" s="3" t="inlineStr">
        <is>
          <t>1. MK-CF-F-142 monthsOf
2. MK-CF-F-141 perMonth
3. MK-ST-F-035 covers
4. MK-CF-F-132 map
5. MK-ST-F-052 toNum
6. MK-CF-F-140 periodsAYear
7. MK-ST-F-034 firstDate
8. MK-XS-F-122 n</t>
        </is>
      </c>
      <c r="R124" s="3" t="inlineStr">
        <is>
          <t>1. MK-ST-F-034 firstDate → MK-ST-F-035 covers → MK-CF-F-142 monthsOf → MK-CF-F-128 grossByMonth
2. MK-CF-F-132 map → MK-CF-F-142 monthsOf → MK-CF-F-128 grossByMonth
3. MK-XS-F-122 n → MK-ST-F-052 toNum → MK-CF-F-142 monthsOf → MK-CF-F-128 grossByMonth
4. MK-CF-F-140 periodsAYear → MK-CF-F-141 perMonth → MK-CF-F-128 grossByMonth
5. MK-XS-F-122 n → MK-ST-F-052 toNum → MK-CF-F-141 perMonth → MK-CF-F-128 grossByMonth</t>
        </is>
      </c>
      <c r="S124" s="3" t="inlineStr">
        <is>
          <t>—</t>
        </is>
      </c>
      <c r="T124" s="3" t="inlineStr">
        <is>
          <t>—</t>
        </is>
      </c>
      <c r="U124" s="3" t="inlineStr">
        <is>
          <t>ACTIVE</t>
        </is>
      </c>
      <c r="V124" s="3" t="inlineStr">
        <is>
          <t>2026-08-28</t>
        </is>
      </c>
      <c r="W124" s="3" t="n"/>
      <c r="X124" s="3" t="n"/>
      <c r="Y124" s="3" t="inlineStr">
        <is>
          <t>NOTHING OPEN</t>
        </is>
      </c>
    </row>
    <row r="125" ht="45" customHeight="1">
      <c r="A125" s="3" t="inlineStr">
        <is>
          <t>MK-CF-F-129</t>
        </is>
      </c>
      <c r="B125" s="3" t="inlineStr">
        <is>
          <t>round4</t>
        </is>
      </c>
      <c r="C125" s="3" t="inlineStr">
        <is>
          <t>src/domain/income/calc.ts</t>
        </is>
      </c>
      <c r="D125" s="3" t="n">
        <v>282</v>
      </c>
      <c r="E125" s="3" t="inlineStr">
        <is>
          <t>1 · ACTION</t>
        </is>
      </c>
      <c r="F125" s="3" t="inlineStr">
        <is>
          <t>Returns a number unchanged, because rounding is done once, where a figure is shown.</t>
        </is>
      </c>
      <c r="G125" s="11" t="inlineStr">
        <is>
          <t>n</t>
        </is>
      </c>
      <c r="H125" s="3" t="inlineStr">
        <is>
          <t>n</t>
        </is>
      </c>
      <c r="I125" s="3" t="inlineStr">
        <is>
          <t>READ FROM THE CODE — rendered from the expressions the function runs</t>
        </is>
      </c>
      <c r="J125" s="3" t="inlineStr">
        <is>
          <t>n: number</t>
        </is>
      </c>
      <c r="K125" s="3" t="inlineStr">
        <is>
          <t>NOT DECLARED — the code does not say what it gives back</t>
        </is>
      </c>
      <c r="L125" s="3" t="inlineStr">
        <is>
          <t>—</t>
        </is>
      </c>
      <c r="M125" s="3" t="inlineStr">
        <is>
          <t>None found in this function — anything it assumes comes from the functions it depends on.</t>
        </is>
      </c>
      <c r="N125" s="3" t="inlineStr">
        <is>
          <t>Yes</t>
        </is>
      </c>
      <c r="O125" s="3" t="inlineStr">
        <is>
          <t>MK-XS-F-122 n</t>
        </is>
      </c>
      <c r="P125" s="3" t="n">
        <v>1</v>
      </c>
      <c r="Q125" s="3" t="inlineStr">
        <is>
          <t>MK-XS-F-122 n</t>
        </is>
      </c>
      <c r="R125" s="3" t="inlineStr">
        <is>
          <t>MK-XS-F-122 n → MK-CF-F-129 round4</t>
        </is>
      </c>
      <c r="S125" s="3" t="inlineStr">
        <is>
          <t>—</t>
        </is>
      </c>
      <c r="T125" s="3" t="inlineStr">
        <is>
          <t>—</t>
        </is>
      </c>
      <c r="U125" s="3" t="inlineStr">
        <is>
          <t>ACTIVE</t>
        </is>
      </c>
      <c r="V125" s="3" t="inlineStr">
        <is>
          <t>2026-09-09</t>
        </is>
      </c>
      <c r="W125" s="3" t="n"/>
      <c r="X125" s="3" t="n"/>
      <c r="Y125" s="3" t="inlineStr">
        <is>
          <t>NOTHING OPEN</t>
        </is>
      </c>
    </row>
    <row r="126" ht="60" customHeight="1">
      <c r="A126" s="3" t="inlineStr">
        <is>
          <t>MK-CF-F-130</t>
        </is>
      </c>
      <c r="B126" s="3" t="inlineStr">
        <is>
          <t>enteredMonthlyRaw</t>
        </is>
      </c>
      <c r="C126" s="3" t="inlineStr">
        <is>
          <t>src/domain/income/onboarding.ts</t>
        </is>
      </c>
      <c r="D126" s="3" t="n">
        <v>87</v>
      </c>
      <c r="E126" s="3" t="inlineStr">
        <is>
          <t>3 · DEPENDENT</t>
        </is>
      </c>
      <c r="F126" s="3" t="inlineStr">
        <is>
          <t>A single entered base amount expressed per month, before tax gross-up (hourly/weekly/… → monthly).</t>
        </is>
      </c>
      <c r="G126" s="11" t="inlineStr">
        <is>
          <t>hrs = hours per week read as a number (0 when it is not one) (or DEFAULT_HOURS_PER_WEEK when missing or zero)
the answer = (to num(base salary) × hrs × 52) ÷ 12</t>
        </is>
      </c>
      <c r="H126" s="3" t="inlineStr">
        <is>
          <t>Hrs is hours per week read as a number (0 — when it is one is missing) (or DEFAULT_HOURS_PER_WEEK — when missing or zero). The answer is (to num(base salary) times hrs times 52) divided by 12.</t>
        </is>
      </c>
      <c r="I126" s="3" t="inlineStr">
        <is>
          <t>READ FROM THE CODE — rendered from the expressions the function runs</t>
        </is>
      </c>
      <c r="J126" s="3" t="inlineStr">
        <is>
          <t>a: Record&lt;string, any&gt;</t>
        </is>
      </c>
      <c r="K126" s="3" t="inlineStr">
        <is>
          <t>number</t>
        </is>
      </c>
      <c r="L126" s="3" t="inlineStr">
        <is>
          <t>—</t>
        </is>
      </c>
      <c r="M126" s="3" t="inlineStr">
        <is>
          <t>· If salary freq] is missing it uses 12.</t>
        </is>
      </c>
      <c r="N126" s="3" t="inlineStr">
        <is>
          <t>Yes</t>
        </is>
      </c>
      <c r="O126" s="3" t="inlineStr">
        <is>
          <t>MK-ST-F-052 toNum</t>
        </is>
      </c>
      <c r="P126" s="3" t="n">
        <v>2</v>
      </c>
      <c r="Q126" s="3" t="inlineStr">
        <is>
          <t>1. MK-ST-F-052 toNum
2. MK-XS-F-122 n</t>
        </is>
      </c>
      <c r="R126" s="3" t="inlineStr">
        <is>
          <t>MK-XS-F-122 n → MK-ST-F-052 toNum → MK-CF-F-130 enteredMonthlyRaw</t>
        </is>
      </c>
      <c r="S126" s="3" t="inlineStr">
        <is>
          <t>—</t>
        </is>
      </c>
      <c r="T126" s="3" t="inlineStr">
        <is>
          <t>—</t>
        </is>
      </c>
      <c r="U126" s="3" t="inlineStr">
        <is>
          <t>ACTIVE</t>
        </is>
      </c>
      <c r="V126" s="3" t="inlineStr">
        <is>
          <t>2026-08-27</t>
        </is>
      </c>
      <c r="W126" s="3" t="n"/>
      <c r="X126" s="3" t="n"/>
      <c r="Y126" s="3" t="inlineStr">
        <is>
          <t>NOTHING OPEN</t>
        </is>
      </c>
    </row>
    <row r="127" ht="45" customHeight="1">
      <c r="A127" s="3" t="inlineStr">
        <is>
          <t>MK-CF-F-131</t>
        </is>
      </c>
      <c r="B127" s="3" t="inlineStr">
        <is>
          <t>normPayee</t>
        </is>
      </c>
      <c r="C127" s="3" t="inlineStr">
        <is>
          <t>src/domain/transactions/flags.ts</t>
        </is>
      </c>
      <c r="D127" s="3" t="n">
        <v>93</v>
      </c>
      <c r="E127" s="3" t="inlineStr">
        <is>
          <t>1 · ACTION</t>
        </is>
      </c>
      <c r="F127" s="3" t="inlineStr">
        <is>
          <t>Tidies a payee's name so two can be compared: trims the spaces and puts it in lower case.</t>
        </is>
      </c>
      <c r="G127" s="11" t="inlineStr">
        <is>
          <t>(note ?? '').trim().to lower case()</t>
        </is>
      </c>
      <c r="H127" s="3" t="inlineStr">
        <is>
          <t>(note ?? '').trim().to lower case()</t>
        </is>
      </c>
      <c r="I127" s="3" t="inlineStr">
        <is>
          <t>PARTLY READ — some of the code is still showing through; needs a hand pass</t>
        </is>
      </c>
      <c r="J127" s="3" t="inlineStr">
        <is>
          <t>note?: string | null</t>
        </is>
      </c>
      <c r="K127" s="3" t="inlineStr">
        <is>
          <t>NOT DECLARED — the code does not say what it gives back</t>
        </is>
      </c>
      <c r="L127" s="3" t="inlineStr">
        <is>
          <t>—</t>
        </is>
      </c>
      <c r="M127" s="3" t="inlineStr">
        <is>
          <t>None found in this function — anything it assumes comes from the functions it depends on.</t>
        </is>
      </c>
      <c r="N127" s="3" t="inlineStr">
        <is>
          <t>Yes</t>
        </is>
      </c>
      <c r="O127" s="3" t="inlineStr">
        <is>
          <t>—</t>
        </is>
      </c>
      <c r="P127" s="3" t="n">
        <v>0</v>
      </c>
      <c r="Q127" s="3" t="inlineStr">
        <is>
          <t>None — no dependent function stands behind it</t>
        </is>
      </c>
      <c r="R127" s="3" t="inlineStr">
        <is>
          <t>No dependent function — it reads its inputs and answers</t>
        </is>
      </c>
      <c r="S127" s="3" t="inlineStr">
        <is>
          <t>—</t>
        </is>
      </c>
      <c r="T127" s="3" t="inlineStr">
        <is>
          <t>—</t>
        </is>
      </c>
      <c r="U127" s="3" t="inlineStr">
        <is>
          <t>ACTIVE</t>
        </is>
      </c>
      <c r="V127" s="3" t="inlineStr">
        <is>
          <t>2026-08-27</t>
        </is>
      </c>
      <c r="W127" s="3" t="n"/>
      <c r="X127" s="3" t="n"/>
      <c r="Y127" s="3" t="inlineStr">
        <is>
          <t>NOTHING OPEN</t>
        </is>
      </c>
    </row>
    <row r="128" ht="60" customHeight="1">
      <c r="A128" s="3" t="inlineStr">
        <is>
          <t>MK-CF-F-132</t>
        </is>
      </c>
      <c r="B128" s="3" t="inlineStr">
        <is>
          <t>map</t>
        </is>
      </c>
      <c r="C128" s="3" t="inlineStr">
        <is>
          <t>src/domain/transactions/index.ts</t>
        </is>
      </c>
      <c r="D128" s="3" t="n">
        <v>123</v>
      </c>
      <c r="E128" s="3" t="inlineStr">
        <is>
          <t>1 · ACTION</t>
        </is>
      </c>
      <c r="F128" s="3" t="inlineStr">
        <is>
          <t>Applies one change to the one account named and leaves every other account as it was.</t>
        </is>
      </c>
      <c r="G128" s="11" t="inlineStr">
        <is>
          <t>asset account) =&gt;</t>
        </is>
      </c>
      <c r="H128" s="3" t="inlineStr">
        <is>
          <t>asset account) =&gt;</t>
        </is>
      </c>
      <c r="I128" s="3" t="inlineStr">
        <is>
          <t>PARTLY READ — some of the code is still showing through; needs a hand pass</t>
        </is>
      </c>
      <c r="J128" s="3" t="inlineStr">
        <is>
          <t>1. accs: AssetAccount[]
2. id: EntityId
3. fn: (a: AssetAccount) =&gt; AssetAccount</t>
        </is>
      </c>
      <c r="K128" s="3" t="inlineStr">
        <is>
          <t>NOT DECLARED — the code does not say what it gives back</t>
        </is>
      </c>
      <c r="L128" s="3" t="inlineStr">
        <is>
          <t>1. "ACCOUNTS (year-end)" — on the Tax organiser screen, under "ACCOUNTS (year-end)"
2. "Account name" — on the Import holdings screen, under "REVIEW YOUR HOLDINGS"
3. "Add a goal ›" — on the Goals together screen, under "TRY THESE TOGETHER"
4. "Add your income ›" — on the income summary screen
5. "COMING UP" — on the Bill calendar screen, under "COMING UP"
6. "Certain months" — on the setup questions, which appear on more than one screen</t>
        </is>
      </c>
      <c r="M128" s="3" t="inlineStr">
        <is>
          <t>None found in this function — anything it assumes comes from the functions it depends on.</t>
        </is>
      </c>
      <c r="N128" s="3" t="inlineStr">
        <is>
          <t>Yes</t>
        </is>
      </c>
      <c r="O128" s="3" t="inlineStr">
        <is>
          <t>—</t>
        </is>
      </c>
      <c r="P128" s="3" t="n">
        <v>0</v>
      </c>
      <c r="Q128" s="3" t="inlineStr">
        <is>
          <t>None — no dependent function stands behind it</t>
        </is>
      </c>
      <c r="R128" s="3" t="inlineStr">
        <is>
          <t>No dependent function — it reads its inputs and answers</t>
        </is>
      </c>
      <c r="S128" s="3" t="inlineStr">
        <is>
          <t>—</t>
        </is>
      </c>
      <c r="T128" s="3" t="inlineStr">
        <is>
          <t>—</t>
        </is>
      </c>
      <c r="U128" s="3" t="inlineStr">
        <is>
          <t>ACTIVE</t>
        </is>
      </c>
      <c r="V128" s="3" t="inlineStr">
        <is>
          <t>2026-08-27</t>
        </is>
      </c>
      <c r="W128" s="3" t="n"/>
      <c r="X128" s="3" t="n"/>
      <c r="Y128" s="3" t="inlineStr">
        <is>
          <t>NOTHING OPEN</t>
        </is>
      </c>
    </row>
    <row r="129" ht="45" customHeight="1">
      <c r="A129" s="3" t="inlineStr">
        <is>
          <t>MK-CF-F-133</t>
        </is>
      </c>
      <c r="B129" s="3" t="inlineStr">
        <is>
          <t>cashOf</t>
        </is>
      </c>
      <c r="C129" s="3" t="inlineStr">
        <is>
          <t>src/domain/transactions/index.ts</t>
        </is>
      </c>
      <c r="D129" s="3" t="n">
        <v>158</v>
      </c>
      <c r="E129" s="3" t="inlineStr">
        <is>
          <t>1 · ACTION</t>
        </is>
      </c>
      <c r="F129" s="3" t="inlineStr">
        <is>
          <t>The uninvested cash held inside an account, or zero when none is recorded.</t>
        </is>
      </c>
      <c r="G129" s="11" t="inlineStr">
        <is>
          <t>cash balance (or 0 when missing or zero)</t>
        </is>
      </c>
      <c r="H129" s="3" t="inlineStr">
        <is>
          <t>cash balance (or 0 — when missing or zero)</t>
        </is>
      </c>
      <c r="I129" s="3" t="inlineStr">
        <is>
          <t>READ FROM THE CODE — rendered from the expressions the function runs</t>
        </is>
      </c>
      <c r="J129" s="3" t="inlineStr">
        <is>
          <t>a: AssetAccount</t>
        </is>
      </c>
      <c r="K129" s="3" t="inlineStr">
        <is>
          <t>NOT DECLARED — the code does not say what it gives back</t>
        </is>
      </c>
      <c r="L129" s="3" t="inlineStr">
        <is>
          <t>—</t>
        </is>
      </c>
      <c r="M129" s="3" t="inlineStr">
        <is>
          <t>· If cash balance is missing it counts as zero, so nothing recorded and a real zero look the same.</t>
        </is>
      </c>
      <c r="N129" s="3" t="inlineStr">
        <is>
          <t>No</t>
        </is>
      </c>
      <c r="O129" s="3" t="inlineStr">
        <is>
          <t>—</t>
        </is>
      </c>
      <c r="P129" s="3" t="n">
        <v>0</v>
      </c>
      <c r="Q129" s="3" t="inlineStr">
        <is>
          <t>None — no dependent function stands behind it</t>
        </is>
      </c>
      <c r="R129" s="3" t="inlineStr">
        <is>
          <t>No dependent function — it reads its inputs and answers</t>
        </is>
      </c>
      <c r="S129" s="3" t="inlineStr">
        <is>
          <t>—</t>
        </is>
      </c>
      <c r="T129" s="3" t="inlineStr">
        <is>
          <t>—</t>
        </is>
      </c>
      <c r="U129" s="3" t="inlineStr">
        <is>
          <t>ACTIVE</t>
        </is>
      </c>
      <c r="V129" s="3" t="inlineStr">
        <is>
          <t>2026-08-27</t>
        </is>
      </c>
      <c r="W129" s="3" t="n"/>
      <c r="X129" s="3" t="n"/>
      <c r="Y129" s="3" t="inlineStr">
        <is>
          <t>NOTHING OPEN</t>
        </is>
      </c>
    </row>
    <row r="130" ht="60" customHeight="1">
      <c r="A130" s="3" t="inlineStr">
        <is>
          <t>MK-CF-F-134</t>
        </is>
      </c>
      <c r="B130" s="3" t="inlineStr">
        <is>
          <t>usesSleeve</t>
        </is>
      </c>
      <c r="C130" s="3" t="inlineStr">
        <is>
          <t>src/domain/transactions/index.ts</t>
        </is>
      </c>
      <c r="D130" s="3" t="n">
        <v>194</v>
      </c>
      <c r="E130" s="3" t="inlineStr">
        <is>
          <t>1 · ACTION</t>
        </is>
      </c>
      <c r="F130" s="3" t="inlineStr">
        <is>
          <t>Where an account's spendable cash lives: investment accounts use the cash_balance SLEEVE; cash accounts (checking/savings) and property hold their money in `balance`.</t>
        </is>
      </c>
      <c r="G130" s="11" t="inlineStr">
        <is>
          <t>tax bucket ! = 'CASH' and tax bucket ! = 'PROPERTY'</t>
        </is>
      </c>
      <c r="H130" s="3" t="inlineStr">
        <is>
          <t>tax bucket ! = 'CASH' and tax bucket ! = 'PROPERTY'</t>
        </is>
      </c>
      <c r="I130" s="3" t="inlineStr">
        <is>
          <t>READ FROM THE CODE — rendered from the expressions the function runs</t>
        </is>
      </c>
      <c r="J130" s="3" t="inlineStr">
        <is>
          <t>a: AssetAccount</t>
        </is>
      </c>
      <c r="K130" s="3" t="inlineStr">
        <is>
          <t>NOT DECLARED — the code does not say what it gives back</t>
        </is>
      </c>
      <c r="L130" s="3" t="inlineStr">
        <is>
          <t>—</t>
        </is>
      </c>
      <c r="M130" s="3" t="inlineStr">
        <is>
          <t>None found in this function — anything it assumes comes from the functions it depends on.</t>
        </is>
      </c>
      <c r="N130" s="3" t="inlineStr">
        <is>
          <t>Yes</t>
        </is>
      </c>
      <c r="O130" s="3" t="inlineStr">
        <is>
          <t>—</t>
        </is>
      </c>
      <c r="P130" s="3" t="n">
        <v>0</v>
      </c>
      <c r="Q130" s="3" t="inlineStr">
        <is>
          <t>None — no dependent function stands behind it</t>
        </is>
      </c>
      <c r="R130" s="3" t="inlineStr">
        <is>
          <t>No dependent function — it reads its inputs and answers</t>
        </is>
      </c>
      <c r="S130" s="3" t="inlineStr">
        <is>
          <t>—</t>
        </is>
      </c>
      <c r="T130" s="3" t="inlineStr">
        <is>
          <t>—</t>
        </is>
      </c>
      <c r="U130" s="3" t="inlineStr">
        <is>
          <t>ACTIVE</t>
        </is>
      </c>
      <c r="V130" s="3" t="inlineStr">
        <is>
          <t>2026-08-27</t>
        </is>
      </c>
      <c r="W130" s="3" t="n"/>
      <c r="X130" s="3" t="n"/>
      <c r="Y130" s="3" t="inlineStr">
        <is>
          <t>NOTHING OPEN</t>
        </is>
      </c>
    </row>
    <row r="131" ht="60" customHeight="1">
      <c r="A131" s="3" t="inlineStr">
        <is>
          <t>MK-CF-F-135</t>
        </is>
      </c>
      <c r="B131" s="3" t="inlineStr">
        <is>
          <t>availableCash</t>
        </is>
      </c>
      <c r="C131" s="3" t="inlineStr">
        <is>
          <t>src/domain/transactions/index.ts</t>
        </is>
      </c>
      <c r="D131" s="3" t="n">
        <v>222</v>
      </c>
      <c r="E131" s="3" t="inlineStr">
        <is>
          <t>1 · ACTION</t>
        </is>
      </c>
      <c r="F131" s="3" t="inlineStr">
        <is>
          <t>The cash an account can spend right now: the uninvested cash inside an investment account, or the whole balance of a bank account.</t>
        </is>
      </c>
      <c r="G131" s="11" t="inlineStr">
        <is>
          <t>cash balance (or 0 when missing or zero)   if uses sleeve(a)
balance (or 0 when missing or zero)   otherwise</t>
        </is>
      </c>
      <c r="H131" s="3" t="inlineStr">
        <is>
          <t>cash balance (or 0 when missing or zero) — when uses sleeve(a); balance (or 0 — when missing or zero) — otherwise</t>
        </is>
      </c>
      <c r="I131" s="3" t="inlineStr">
        <is>
          <t>READ FROM THE CODE — rendered from the expressions the function runs</t>
        </is>
      </c>
      <c r="J131" s="3" t="inlineStr">
        <is>
          <t>a: AssetAccount</t>
        </is>
      </c>
      <c r="K131" s="3" t="inlineStr">
        <is>
          <t>(a.balance || 0));</t>
        </is>
      </c>
      <c r="L131" s="3" t="inlineStr">
        <is>
          <t>—</t>
        </is>
      </c>
      <c r="M131" s="3" t="inlineStr">
        <is>
          <t>1. If cash balance is missing it counts as zero, so nothing recorded and a real zero look the same.
2. If balance is missing it counts as zero, so nothing recorded and a real zero look the same.</t>
        </is>
      </c>
      <c r="N131" s="3" t="inlineStr">
        <is>
          <t>Yes</t>
        </is>
      </c>
      <c r="O131" s="3" t="inlineStr">
        <is>
          <t>MK-CF-F-134 usesSleeve</t>
        </is>
      </c>
      <c r="P131" s="3" t="n">
        <v>1</v>
      </c>
      <c r="Q131" s="3" t="inlineStr">
        <is>
          <t>MK-CF-F-134 usesSleeve</t>
        </is>
      </c>
      <c r="R131" s="3" t="inlineStr">
        <is>
          <t>MK-CF-F-134 usesSleeve → MK-CF-F-135 availableCash</t>
        </is>
      </c>
      <c r="S131" s="3" t="inlineStr">
        <is>
          <t>—</t>
        </is>
      </c>
      <c r="T131" s="3" t="inlineStr">
        <is>
          <t>—</t>
        </is>
      </c>
      <c r="U131" s="3" t="inlineStr">
        <is>
          <t>ACTIVE</t>
        </is>
      </c>
      <c r="V131" s="3" t="inlineStr">
        <is>
          <t>2026-08-27</t>
        </is>
      </c>
      <c r="W131" s="3" t="n"/>
      <c r="X131" s="3" t="n"/>
      <c r="Y131" s="3" t="inlineStr">
        <is>
          <t>NOTHING OPEN</t>
        </is>
      </c>
    </row>
    <row r="132" ht="60" customHeight="1">
      <c r="A132" s="3" t="inlineStr">
        <is>
          <t>MK-CF-F-136</t>
        </is>
      </c>
      <c r="B132" s="3" t="inlineStr">
        <is>
          <t>bumpCash</t>
        </is>
      </c>
      <c r="C132" s="3" t="inlineStr">
        <is>
          <t>src/domain/transactions/index.ts</t>
        </is>
      </c>
      <c r="D132" s="3" t="n">
        <v>264</v>
      </c>
      <c r="E132" s="3" t="inlineStr">
        <is>
          <t>3 · DEPENDENT</t>
        </is>
      </c>
      <c r="F132" s="3" t="inlineStr">
        <is>
          <t>Adds cash to an account, or takes it out, in the right place: the uninvested cash of an investment account, or the balance of a bank account.</t>
        </is>
      </c>
      <c r="G132" s="11" t="inlineStr">
        <is>
          <t>...a = ...a
cash balance = (cash balance or 0) + delta   when uses sleeve(a)
itemised = (positions.length ?? 0) &gt; 0 and tax bucket ! = 'CASH' and tax bucket ! = 'PROPERTY'
the answer:
...a = ...a
balance = (balance or 0) + delta</t>
        </is>
      </c>
      <c r="H132" s="3" t="inlineStr">
        <is>
          <t>When uses sleeve(a), it answers ...a = ...a; cash balance = (cash balance or 0) plus delta. Itemised is (positions.length ?? 0) &gt; 0 and tax bucket ! = 'CASH' and tax bucket ! = 'PROPERTY'. The answer is ...a = ...a; balance = (balance or 0) plus delta.</t>
        </is>
      </c>
      <c r="I132" s="3" t="inlineStr">
        <is>
          <t>PARTLY READ — some of the code is still showing through; needs a hand pass</t>
        </is>
      </c>
      <c r="J132" s="3" t="inlineStr">
        <is>
          <t>1. a: AssetAccount
2. delta: number</t>
        </is>
      </c>
      <c r="K132" s="3" t="inlineStr">
        <is>
          <t>AssetAccount</t>
        </is>
      </c>
      <c r="L132" s="3" t="inlineStr">
        <is>
          <t>—</t>
        </is>
      </c>
      <c r="M132" s="3" t="inlineStr">
        <is>
          <t>1. If length is missing it uses 0.
2. If cash balance is missing it counts as zero, so nothing recorded and a real zero look the same.
3. If balance is missing it counts as zero, so nothing recorded and a real zero look the same.</t>
        </is>
      </c>
      <c r="N132" s="3" t="inlineStr">
        <is>
          <t>Yes</t>
        </is>
      </c>
      <c r="O132" s="3" t="inlineStr">
        <is>
          <t>MK-CF-F-134 usesSleeve</t>
        </is>
      </c>
      <c r="P132" s="3" t="n">
        <v>1</v>
      </c>
      <c r="Q132" s="3" t="inlineStr">
        <is>
          <t>MK-CF-F-134 usesSleeve</t>
        </is>
      </c>
      <c r="R132" s="3" t="inlineStr">
        <is>
          <t>MK-CF-F-134 usesSleeve → MK-CF-F-136 bumpCash</t>
        </is>
      </c>
      <c r="S132" s="3" t="inlineStr">
        <is>
          <t>—</t>
        </is>
      </c>
      <c r="T132" s="3" t="inlineStr">
        <is>
          <t>—</t>
        </is>
      </c>
      <c r="U132" s="3" t="inlineStr">
        <is>
          <t>ACTIVE</t>
        </is>
      </c>
      <c r="V132" s="3" t="inlineStr">
        <is>
          <t>2026-09-12</t>
        </is>
      </c>
      <c r="W132" s="3" t="n"/>
      <c r="X132" s="3" t="n"/>
      <c r="Y132" s="3" t="inlineStr">
        <is>
          <t>NOTHING OPEN</t>
        </is>
      </c>
    </row>
    <row r="133" ht="45" customHeight="1">
      <c r="A133" s="3" t="inlineStr">
        <is>
          <t>MK-CF-F-137</t>
        </is>
      </c>
      <c r="B133" s="3" t="inlineStr">
        <is>
          <t>findPos</t>
        </is>
      </c>
      <c r="C133" s="3" t="inlineStr">
        <is>
          <t>src/domain/transactions/index.ts</t>
        </is>
      </c>
      <c r="D133" s="3" t="n">
        <v>315</v>
      </c>
      <c r="E133" s="3" t="inlineStr">
        <is>
          <t>1 · ACTION</t>
        </is>
      </c>
      <c r="F133" s="3" t="inlineStr">
        <is>
          <t>Finds the holding a transaction refers to, by the holding's own identifier or by its ticker.</t>
        </is>
      </c>
      <c r="G133" s="11" t="inlineStr">
        <is>
          <t>the answer = the first holding in the account whose position id matches, or whose ticker matches (case-insensitive)</t>
        </is>
      </c>
      <c r="H133" s="3" t="inlineStr">
        <is>
          <t>Finds the holding a transaction refers to — by position identifier first, then by ticker. No arithmetic.</t>
        </is>
      </c>
      <c r="I133" s="3" t="inlineStr">
        <is>
          <t>READ BY HAND 2026-08-26 — checked line by line against the code</t>
        </is>
      </c>
      <c r="J133" s="3" t="inlineStr">
        <is>
          <t>1. a: AssetAccount
2. t: Transaction</t>
        </is>
      </c>
      <c r="K133" s="3" t="inlineStr">
        <is>
          <t>NOT DECLARED — the code does not say what it gives back</t>
        </is>
      </c>
      <c r="L133" s="3" t="inlineStr">
        <is>
          <t>—</t>
        </is>
      </c>
      <c r="M133" s="3" t="inlineStr">
        <is>
          <t>None found in this function — anything it assumes comes from the functions it depends on.</t>
        </is>
      </c>
      <c r="N133" s="3" t="inlineStr">
        <is>
          <t>Yes</t>
        </is>
      </c>
      <c r="O133" s="3" t="inlineStr">
        <is>
          <t>—</t>
        </is>
      </c>
      <c r="P133" s="3" t="n">
        <v>0</v>
      </c>
      <c r="Q133" s="3" t="inlineStr">
        <is>
          <t>None — no dependent function stands behind it</t>
        </is>
      </c>
      <c r="R133" s="3" t="inlineStr">
        <is>
          <t>No dependent function — it reads its inputs and answers</t>
        </is>
      </c>
      <c r="S133" s="3" t="inlineStr">
        <is>
          <t>—</t>
        </is>
      </c>
      <c r="T133" s="3" t="inlineStr">
        <is>
          <t>—</t>
        </is>
      </c>
      <c r="U133" s="3" t="inlineStr">
        <is>
          <t>ACTIVE</t>
        </is>
      </c>
      <c r="V133" s="3" t="inlineStr">
        <is>
          <t>2026-09-12</t>
        </is>
      </c>
      <c r="W133" s="3" t="n"/>
      <c r="X133" s="3" t="n"/>
      <c r="Y133" s="3" t="inlineStr">
        <is>
          <t>NOTHING OPEN</t>
        </is>
      </c>
    </row>
    <row r="134" ht="60" customHeight="1">
      <c r="A134" s="3" t="inlineStr">
        <is>
          <t>MK-CF-F-138</t>
        </is>
      </c>
      <c r="B134" s="3" t="inlineStr">
        <is>
          <t>addLot</t>
        </is>
      </c>
      <c r="C134" s="3" t="inlineStr">
        <is>
          <t>src/domain/transactions/index.ts</t>
        </is>
      </c>
      <c r="D134" s="3" t="n">
        <v>363</v>
      </c>
      <c r="E134" s="3" t="inlineStr">
        <is>
          <t>3 · DEPENDENT</t>
        </is>
      </c>
      <c r="F134" s="3" t="inlineStr">
        <is>
          <t>Add shares to a position (creating it if needed) at a cost basis — used by BUY and reinvested dividends.</t>
        </is>
      </c>
      <c r="G134" s="11" t="inlineStr">
        <is>
          <t>lot = lot id = new entity id('lot')
shares = shares
cost per share = cost per share
purchase date = date
existing = find pos(a, t)
the answer:
...a = ...a
positions = for each of positions (or none when missing): ...each = ...each
lots = [...lots, lot]   if each = existing
each   otherwise
pos = position id = new entity id('pos')
ticker = (ticker ?? '').to upper case()
kind = kind
lots = [lot]</t>
        </is>
      </c>
      <c r="H134" s="3" t="inlineStr">
        <is>
          <t>Lot is lot id = new entity id('lot'); shares = shares; cost per share = cost per share; purchase date = date. Existing is find pos(a, t). The answer is ...a = ...a; positions = for each of positions (or none — when missing): ...each = ...each; lots = [...lots, lot] — when each = existing; each — otherwise. Pos is position id = new entity id('pos'); ticker = (ticker ?? '').to upper case(); kind = kind; lots = [lot].</t>
        </is>
      </c>
      <c r="I134" s="3" t="inlineStr">
        <is>
          <t>PARTLY READ — some of the code is still showing through; needs a hand pass</t>
        </is>
      </c>
      <c r="J134" s="3" t="inlineStr">
        <is>
          <t>1. a: AssetAccount
2. t: Transaction
3. shares: number
4. costPerShare: number</t>
        </is>
      </c>
      <c r="K134" s="3" t="inlineStr">
        <is>
          <t>AssetAccount</t>
        </is>
      </c>
      <c r="L134" s="3" t="inlineStr">
        <is>
          <t>—</t>
        </is>
      </c>
      <c r="M134" s="3" t="inlineStr">
        <is>
          <t>None found in this function — anything it assumes comes from the functions it depends on.</t>
        </is>
      </c>
      <c r="N134" s="3" t="inlineStr">
        <is>
          <t>Yes</t>
        </is>
      </c>
      <c r="O134" s="3" t="inlineStr">
        <is>
          <t>1. MK-CF-F-137 findPos
2. MK-CF-F-132 map
3. MK-ST-F-043 newEntityId</t>
        </is>
      </c>
      <c r="P134" s="3" t="n">
        <v>3</v>
      </c>
      <c r="Q134" s="3" t="inlineStr">
        <is>
          <t>1. MK-CF-F-137 findPos
2. MK-CF-F-132 map
3. MK-ST-F-043 newEntityId</t>
        </is>
      </c>
      <c r="R134" s="3" t="inlineStr">
        <is>
          <t>1. MK-CF-F-137 findPos → MK-CF-F-138 addLot
2. MK-CF-F-132 map → MK-CF-F-138 addLot
3. MK-ST-F-043 newEntityId → MK-CF-F-138 addLot</t>
        </is>
      </c>
      <c r="S134" s="3" t="inlineStr">
        <is>
          <t>—</t>
        </is>
      </c>
      <c r="T134" s="3" t="inlineStr">
        <is>
          <t>—</t>
        </is>
      </c>
      <c r="U134" s="3" t="inlineStr">
        <is>
          <t>ACTIVE</t>
        </is>
      </c>
      <c r="V134" s="3" t="inlineStr">
        <is>
          <t>2026-09-12</t>
        </is>
      </c>
      <c r="W134" s="3" t="n"/>
      <c r="X134" s="3" t="n"/>
      <c r="Y134" s="3" t="inlineStr">
        <is>
          <t>NOTHING OPEN</t>
        </is>
      </c>
    </row>
    <row r="135" ht="60" customHeight="1">
      <c r="A135" s="3" t="inlineStr">
        <is>
          <t>MK-CF-F-139</t>
        </is>
      </c>
      <c r="B135" s="3" t="inlineStr">
        <is>
          <t>removeShares</t>
        </is>
      </c>
      <c r="C135" s="3" t="inlineStr">
        <is>
          <t>src/domain/transactions/index.ts</t>
        </is>
      </c>
      <c r="D135" s="3" t="n">
        <v>408</v>
      </c>
      <c r="E135" s="3" t="inlineStr">
        <is>
          <t>3 · DEPENDENT</t>
        </is>
      </c>
      <c r="F135" s="3" t="inlineStr">
        <is>
          <t>Remove `shares` from a position FIFO (oldest lots first); returns updated account.</t>
        </is>
      </c>
      <c r="G135" s="11" t="inlineStr">
        <is>
          <t>pos = find pos(a, t)
a   when pos is missing
remaining = shares
lots = for each of pos.lots: { ...each }
take = min(shares, remaining)
kept = lots where shares &gt; 1e − 9
the answer = { ...a, positions }</t>
        </is>
      </c>
      <c r="H135" s="3" t="inlineStr">
        <is>
          <t>Pos is find pos(a, t). When pos is missing, it answers a. Remaining is shares. Lots is for each of pos.lots: { ...each }. Take: the smaller of shares and remaining. Kept is lots where shares &gt; 1e minus 9. The answer is { ...a, positions }.</t>
        </is>
      </c>
      <c r="I135" s="3" t="inlineStr">
        <is>
          <t>READ FROM THE CODE — rendered from the expressions the function runs</t>
        </is>
      </c>
      <c r="J135" s="3" t="inlineStr">
        <is>
          <t>1. a: AssetAccount
2. t: Transaction
3. shares: number</t>
        </is>
      </c>
      <c r="K135" s="3" t="inlineStr">
        <is>
          <t>AssetAccount</t>
        </is>
      </c>
      <c r="L135" s="3" t="inlineStr">
        <is>
          <t>—</t>
        </is>
      </c>
      <c r="M135" s="3" t="inlineStr">
        <is>
          <t>None found in this function — anything it assumes comes from the functions it depends on.</t>
        </is>
      </c>
      <c r="N135" s="3" t="inlineStr">
        <is>
          <t>Yes</t>
        </is>
      </c>
      <c r="O135" s="3" t="inlineStr">
        <is>
          <t>1. MK-CF-F-137 findPos
2. MK-CF-F-132 map</t>
        </is>
      </c>
      <c r="P135" s="3" t="n">
        <v>2</v>
      </c>
      <c r="Q135" s="3" t="inlineStr">
        <is>
          <t>1. MK-CF-F-137 findPos
2. MK-CF-F-132 map</t>
        </is>
      </c>
      <c r="R135" s="3" t="inlineStr">
        <is>
          <t>1. MK-CF-F-137 findPos → MK-CF-F-139 removeShares
2. MK-CF-F-132 map → MK-CF-F-139 removeShares</t>
        </is>
      </c>
      <c r="S135" s="3" t="inlineStr">
        <is>
          <t>—</t>
        </is>
      </c>
      <c r="T135" s="3" t="inlineStr">
        <is>
          <t>—</t>
        </is>
      </c>
      <c r="U135" s="3" t="inlineStr">
        <is>
          <t>ACTIVE</t>
        </is>
      </c>
      <c r="V135" s="3" t="inlineStr">
        <is>
          <t>2026-09-12</t>
        </is>
      </c>
      <c r="W135" s="3" t="n"/>
      <c r="X135" s="3" t="n"/>
      <c r="Y135" s="3" t="inlineStr">
        <is>
          <t>NOTHING OPEN</t>
        </is>
      </c>
    </row>
    <row r="136" ht="45" customHeight="1">
      <c r="A136" s="3" t="inlineStr">
        <is>
          <t>MK-CF-F-140</t>
        </is>
      </c>
      <c r="B136" s="3" t="inlineStr">
        <is>
          <t>periodsAYear</t>
        </is>
      </c>
      <c r="C136" s="3" t="inlineStr">
        <is>
          <t>MoneyKeel/functions/cashflow/base-pay.ts</t>
        </is>
      </c>
      <c r="D136" s="3" t="n">
        <v>80</v>
      </c>
      <c r="E136" s="3" t="inlineStr">
        <is>
          <t>1 · ACTION</t>
        </is>
      </c>
      <c r="F136" s="3" t="inlineStr">
        <is>
          <t>How many pay periods a year a pay frequency has, taken as 12 when it is monthly or not stated.</t>
        </is>
      </c>
      <c r="G136" s="11" t="inlineStr">
        <is>
          <t>PAY_PERIODS[string(freq)] (or 12 when missing)</t>
        </is>
      </c>
      <c r="H136" s="3" t="inlineStr">
        <is>
          <t>PAY_PERIODS[string(freq)] (or 12 — when missing)</t>
        </is>
      </c>
      <c r="I136" s="3" t="inlineStr">
        <is>
          <t>READ FROM THE CODE — rendered from the expressions the function runs</t>
        </is>
      </c>
      <c r="J136" s="3" t="inlineStr">
        <is>
          <t>e: BasePayEntry</t>
        </is>
      </c>
      <c r="K136" s="3" t="inlineStr">
        <is>
          <t>number</t>
        </is>
      </c>
      <c r="L136" s="3" t="inlineStr">
        <is>
          <t>—</t>
        </is>
      </c>
      <c r="M136" s="3" t="inlineStr">
        <is>
          <t>None found in this function — anything it assumes comes from the functions it depends on.</t>
        </is>
      </c>
      <c r="N136" s="3" t="inlineStr">
        <is>
          <t>Yes</t>
        </is>
      </c>
      <c r="O136" s="3" t="inlineStr">
        <is>
          <t>—</t>
        </is>
      </c>
      <c r="P136" s="3" t="n">
        <v>0</v>
      </c>
      <c r="Q136" s="3" t="inlineStr">
        <is>
          <t>None — no dependent function stands behind it</t>
        </is>
      </c>
      <c r="R136" s="3" t="inlineStr">
        <is>
          <t>No dependent function — it reads its inputs and answers</t>
        </is>
      </c>
      <c r="S136" s="3" t="inlineStr">
        <is>
          <t>—</t>
        </is>
      </c>
      <c r="T136" s="3" t="inlineStr">
        <is>
          <t>—</t>
        </is>
      </c>
      <c r="U136" s="3" t="inlineStr">
        <is>
          <t>ACTIVE</t>
        </is>
      </c>
      <c r="V136" s="3" t="inlineStr">
        <is>
          <t>2026-08-27</t>
        </is>
      </c>
      <c r="W136" s="3" t="n"/>
      <c r="X136" s="3" t="n"/>
      <c r="Y136" s="3" t="inlineStr">
        <is>
          <t>NOTHING OPEN</t>
        </is>
      </c>
    </row>
    <row r="137" ht="60" customHeight="1">
      <c r="A137" s="3" t="inlineStr">
        <is>
          <t>MK-CF-F-141</t>
        </is>
      </c>
      <c r="B137" s="3" t="inlineStr">
        <is>
          <t>perMonth</t>
        </is>
      </c>
      <c r="C137" s="3" t="inlineStr">
        <is>
          <t>MoneyKeel/functions/cashflow/base-pay.ts</t>
        </is>
      </c>
      <c r="D137" s="3" t="n">
        <v>112</v>
      </c>
      <c r="E137" s="3" t="inlineStr">
        <is>
          <t>3 · DEPENDENT</t>
        </is>
      </c>
      <c r="F137" s="3" t="inlineStr">
        <is>
          <t>One period of pay expressed as a month.</t>
        </is>
      </c>
      <c r="G137" s="11" t="inlineStr">
        <is>
          <t>n = amount read as a number (0 when it is not one)
(n × (to num(hours per week) or 40) × 52) ÷ 12   when string(freq) = 'hourly'
the answer = (n × periods ayear(e)) ÷ 12</t>
        </is>
      </c>
      <c r="H137" s="3" t="inlineStr">
        <is>
          <t>N is amount read as a number (0 — when it is one is missing). When string(freq) = 'hourly', it answers (n times (to num(hours per week) or 40) times 52) divided by 12. The answer is (n times periods ayear(e)) divided by 12.</t>
        </is>
      </c>
      <c r="I137" s="3" t="inlineStr">
        <is>
          <t>READ FROM THE CODE — rendered from the expressions the function runs</t>
        </is>
      </c>
      <c r="J137" s="3" t="inlineStr">
        <is>
          <t>1. amount: any
2. e: BasePayEntry</t>
        </is>
      </c>
      <c r="K137" s="3" t="inlineStr">
        <is>
          <t>number</t>
        </is>
      </c>
      <c r="L137" s="3" t="inlineStr">
        <is>
          <t>—</t>
        </is>
      </c>
      <c r="M137" s="3" t="inlineStr">
        <is>
          <t>None found in this function — anything it assumes comes from the functions it depends on.</t>
        </is>
      </c>
      <c r="N137" s="3" t="inlineStr">
        <is>
          <t>Yes</t>
        </is>
      </c>
      <c r="O137" s="3" t="inlineStr">
        <is>
          <t>1. MK-CF-F-140 periodsAYear
2. MK-ST-F-052 toNum</t>
        </is>
      </c>
      <c r="P137" s="3" t="n">
        <v>3</v>
      </c>
      <c r="Q137" s="3" t="inlineStr">
        <is>
          <t>1. MK-CF-F-140 periodsAYear
2. MK-ST-F-052 toNum
3. MK-XS-F-122 n</t>
        </is>
      </c>
      <c r="R137" s="3" t="inlineStr">
        <is>
          <t>1. MK-CF-F-140 periodsAYear → MK-CF-F-141 perMonth
2. MK-XS-F-122 n → MK-ST-F-052 toNum → MK-CF-F-141 perMonth</t>
        </is>
      </c>
      <c r="S137" s="3" t="inlineStr">
        <is>
          <t>—</t>
        </is>
      </c>
      <c r="T137" s="3" t="inlineStr">
        <is>
          <t>—</t>
        </is>
      </c>
      <c r="U137" s="3" t="inlineStr">
        <is>
          <t>ACTIVE</t>
        </is>
      </c>
      <c r="V137" s="3" t="inlineStr">
        <is>
          <t>2026-08-28</t>
        </is>
      </c>
      <c r="W137" s="3" t="n"/>
      <c r="X137" s="3" t="n"/>
      <c r="Y137" s="3" t="inlineStr">
        <is>
          <t>NOTHING OPEN</t>
        </is>
      </c>
    </row>
    <row r="138" ht="60" customHeight="1">
      <c r="A138" s="3" t="inlineStr">
        <is>
          <t>MK-CF-F-142</t>
        </is>
      </c>
      <c r="B138" s="3" t="inlineStr">
        <is>
          <t>monthsOf</t>
        </is>
      </c>
      <c r="C138" s="3" t="inlineStr">
        <is>
          <t>MoneyKeel/functions/cashflow/base-pay.ts</t>
        </is>
      </c>
      <c r="D138" s="3" t="n">
        <v>148</v>
      </c>
      <c r="E138" s="3" t="inlineStr">
        <is>
          <t>3 · DEPENDENT</t>
        </is>
      </c>
      <c r="F138" s="3" t="inlineStr">
        <is>
          <t>The months the person filled in, in order.</t>
        </is>
      </c>
      <c r="G138" s="11" t="inlineStr">
        <is>
          <t>[]   when table is missing
for each of the names in table, in order: [each, to num(table[each])] as [string, number]</t>
        </is>
      </c>
      <c r="H138" s="3" t="inlineStr">
        <is>
          <t>When table is missing, it answers []. for each of the names in table, in order: [each, to num(table[each])] as [string, number].</t>
        </is>
      </c>
      <c r="I138" s="3" t="inlineStr">
        <is>
          <t>READ FROM THE CODE — rendered from the expressions the function runs</t>
        </is>
      </c>
      <c r="J138" s="3" t="inlineStr">
        <is>
          <t>table: Record&lt;string, any&gt; | undefined</t>
        </is>
      </c>
      <c r="K138" s="3" t="inlineStr">
        <is>
          <t>[string, number][]</t>
        </is>
      </c>
      <c r="L138" s="3" t="inlineStr">
        <is>
          <t>—</t>
        </is>
      </c>
      <c r="M138" s="3" t="inlineStr">
        <is>
          <t>None found in this function — anything it assumes comes from the functions it depends on.</t>
        </is>
      </c>
      <c r="N138" s="3" t="inlineStr">
        <is>
          <t>Yes</t>
        </is>
      </c>
      <c r="O138" s="3" t="inlineStr">
        <is>
          <t>1. MK-ST-F-035 covers
2. MK-CF-F-132 map
3. MK-ST-F-052 toNum</t>
        </is>
      </c>
      <c r="P138" s="3" t="n">
        <v>5</v>
      </c>
      <c r="Q138" s="3" t="inlineStr">
        <is>
          <t>1. MK-ST-F-035 covers
2. MK-CF-F-132 map
3. MK-ST-F-052 toNum
4. MK-ST-F-034 firstDate
5. MK-XS-F-122 n</t>
        </is>
      </c>
      <c r="R138" s="3" t="inlineStr">
        <is>
          <t>1. MK-ST-F-034 firstDate → MK-ST-F-035 covers → MK-CF-F-142 monthsOf
2. MK-CF-F-132 map → MK-CF-F-142 monthsOf
3. MK-XS-F-122 n → MK-ST-F-052 toNum → MK-CF-F-142 monthsOf</t>
        </is>
      </c>
      <c r="S138" s="3" t="inlineStr">
        <is>
          <t>—</t>
        </is>
      </c>
      <c r="T138" s="3" t="inlineStr">
        <is>
          <t>—</t>
        </is>
      </c>
      <c r="U138" s="3" t="inlineStr">
        <is>
          <t>ACTIVE</t>
        </is>
      </c>
      <c r="V138" s="3" t="inlineStr">
        <is>
          <t>2026-08-28</t>
        </is>
      </c>
      <c r="W138" s="3" t="n"/>
      <c r="X138" s="3" t="n"/>
      <c r="Y138" s="3" t="inlineStr">
        <is>
          <t>NOTHING OPEN</t>
        </is>
      </c>
    </row>
    <row r="139" ht="60" customHeight="1">
      <c r="A139" s="3" t="inlineStr">
        <is>
          <t>MK-CF-F-143</t>
        </is>
      </c>
      <c r="B139" s="3" t="inlineStr">
        <is>
          <t>annualisedGross</t>
        </is>
      </c>
      <c r="C139" s="3" t="inlineStr">
        <is>
          <t>MoneyKeel/functions/cashflow/base-pay.ts</t>
        </is>
      </c>
      <c r="D139" s="3" t="n">
        <v>233</v>
      </c>
      <c r="E139" s="3" t="inlineStr">
        <is>
          <t>3 · DEPENDENT</t>
        </is>
      </c>
      <c r="F139" s="3" t="inlineStr">
        <is>
          <t>GROSS PAY ANNUALISED — the figure a tax bracket is read from.</t>
        </is>
      </c>
      <c r="G139" s="11" t="inlineStr">
        <is>
          <t>months = gross by month(e)
0   when count of months is missing
avg = count of months.reduce((t, [, v]) =&gt; t + v, 0) ÷ months
the answer = avg × 12</t>
        </is>
      </c>
      <c r="H139" s="3" t="inlineStr">
        <is>
          <t>Months is gross by month(e). When how many months is missing there are, it answers 0. Avg: how many months.reduce((t, [, v]) =&gt; t plus v, 0) divided by months there are. The answer is avg times 12.</t>
        </is>
      </c>
      <c r="I139" s="3" t="inlineStr">
        <is>
          <t>PARTLY READ — some of the code is still showing through; needs a hand pass</t>
        </is>
      </c>
      <c r="J139" s="3" t="inlineStr">
        <is>
          <t>e: BasePayEntry</t>
        </is>
      </c>
      <c r="K139" s="3" t="inlineStr">
        <is>
          <t>number</t>
        </is>
      </c>
      <c r="L139" s="3" t="inlineStr">
        <is>
          <t>—</t>
        </is>
      </c>
      <c r="M139" s="3" t="inlineStr">
        <is>
          <t>· Turns a monthly figure into a year by multiplying by twelve.</t>
        </is>
      </c>
      <c r="N139" s="3" t="inlineStr">
        <is>
          <t>Yes</t>
        </is>
      </c>
      <c r="O139" s="3" t="inlineStr">
        <is>
          <t>MK-CF-F-128 grossByMonth</t>
        </is>
      </c>
      <c r="P139" s="3" t="n">
        <v>9</v>
      </c>
      <c r="Q139" s="3" t="inlineStr">
        <is>
          <t>1. MK-CF-F-128 grossByMonth
2. MK-CF-F-142 monthsOf
3. MK-CF-F-141 perMonth
4. MK-ST-F-035 covers
5. MK-CF-F-132 map
6. MK-ST-F-052 toNum
7. MK-CF-F-140 periodsAYear
8. MK-ST-F-034 firstDate
9. MK-XS-F-122 n</t>
        </is>
      </c>
      <c r="R139" s="3" t="inlineStr">
        <is>
          <t>1. MK-ST-F-034 firstDate → MK-ST-F-035 covers → MK-CF-F-142 monthsOf → MK-CF-F-128 grossByMonth → MK-CF-F-143 annualisedGross
2. MK-CF-F-132 map → MK-CF-F-142 monthsOf → MK-CF-F-128 grossByMonth → MK-CF-F-143 annualisedGross
3. MK-XS-F-122 n → MK-ST-F-052 toNum → MK-CF-F-142 monthsOf → MK-CF-F-128 grossByMonth → MK-CF-F-143 annualisedGross
4. MK-CF-F-140 periodsAYear → MK-CF-F-141 perMonth → MK-CF-F-128 grossByMonth → MK-CF-F-143 annualisedGross
5. MK-XS-F-122 n → MK-ST-F-052 toNum → MK-CF-F-141 perMonth → MK-CF-F-128 grossByMonth → MK-CF-F-143 annualisedGross</t>
        </is>
      </c>
      <c r="S139" s="3" t="inlineStr">
        <is>
          <t>—</t>
        </is>
      </c>
      <c r="T139" s="3" t="inlineStr">
        <is>
          <t>—</t>
        </is>
      </c>
      <c r="U139" s="3" t="inlineStr">
        <is>
          <t>ACTIVE</t>
        </is>
      </c>
      <c r="V139" s="3" t="inlineStr">
        <is>
          <t>2026-09-09</t>
        </is>
      </c>
      <c r="W139" s="3" t="n"/>
      <c r="X139" s="3" t="n"/>
      <c r="Y139" s="3" t="inlineStr">
        <is>
          <t>NOTHING OPEN</t>
        </is>
      </c>
    </row>
    <row r="140" ht="60" customHeight="1">
      <c r="A140" s="3" t="inlineStr">
        <is>
          <t>MK-CF-F-144</t>
        </is>
      </c>
      <c r="B140" s="3" t="inlineStr">
        <is>
          <t>takeHomeAsEntered</t>
        </is>
      </c>
      <c r="C140" s="3" t="inlineStr">
        <is>
          <t>MoneyKeel/functions/cashflow/base-pay.ts</t>
        </is>
      </c>
      <c r="D140" s="3" t="n">
        <v>291</v>
      </c>
      <c r="E140" s="3" t="inlineStr">
        <is>
          <t>3 · DEPENDENT</t>
        </is>
      </c>
      <c r="F140" s="3" t="inlineStr">
        <is>
          <t>A person's monthly take-home exactly as they entered it, averaged over their month-by-month table when their pay varies, or a calculated figure marked as calculated when they entered none.</t>
        </is>
      </c>
      <c r="G140" s="11" t="inlineStr">
        <is>
          <t>months = months of(lands by month)
entered = lands typical
gross = annualised gross(e)
k401 = to num(monthly401k) × 12
taxable = max(0, gross − k401)
monthly = (gross − k401 − tax owed for(taxable, filing status ?? 'single', 0, over65 ?? 0)) ÷ 12</t>
        </is>
      </c>
      <c r="H140" s="3" t="inlineStr">
        <is>
          <t>Months is months of(lands by month). Entered is lands typical. Gross is annualised gross(e). K401 is to num(monthly401k) times 12. Taxable is gross minus k401, never below zero. Monthly is (gross minus k401 minus tax owed for(taxable, filing status ?? 'single', 0, over65 ?? 0)) divided by 12.</t>
        </is>
      </c>
      <c r="I140" s="3" t="inlineStr">
        <is>
          <t>PARTLY READ — some of the code is still showing through; needs a hand pass</t>
        </is>
      </c>
      <c r="J140" s="3" t="inlineStr">
        <is>
          <t>e: BasePayEntry</t>
        </is>
      </c>
      <c r="K140" s="3" t="inlineStr">
        <is>
          <t>TakeHome</t>
        </is>
      </c>
      <c r="L140" s="3" t="inlineStr">
        <is>
          <t>—</t>
        </is>
      </c>
      <c r="M140" s="3" t="inlineStr">
        <is>
          <t>1. If over65 is missing it uses 0.
2. Turns a monthly figure into a year by multiplying by twelve.
3. Rounds the answer to a whole number.</t>
        </is>
      </c>
      <c r="N140" s="3" t="inlineStr">
        <is>
          <t>Yes</t>
        </is>
      </c>
      <c r="O140" s="3" t="inlineStr">
        <is>
          <t>1. MK-CF-F-143 annualisedGross
2. MK-CF-F-142 monthsOf
3. MK-ST-F-039 on
4. MK-CF-F-101 taxOwedFor
5. MK-ST-F-052 toNum</t>
        </is>
      </c>
      <c r="P140" s="3" t="n">
        <v>15</v>
      </c>
      <c r="Q140" s="3" t="inlineStr">
        <is>
          <t>1. MK-CF-F-143 annualisedGross
2. MK-CF-F-142 monthsOf
3. MK-ST-F-039 on
4. MK-CF-F-101 taxOwedFor
5. MK-ST-F-052 toNum
6. MK-CF-F-128 grossByMonth
7. MK-ST-F-035 covers
8. MK-CF-F-132 map
9. MK-CF-F-100 taxableIncomeFor
10. MK-XS-F-122 n
11. MK-CF-F-141 perMonth
12. MK-ST-F-034 firstDate
13. MK-CF-F-099 deductionFor
14. MK-CF-F-140 periodsAYear
15. MK-CF-F-187 seniorDeductionFor</t>
        </is>
      </c>
      <c r="R140" s="3" t="inlineStr">
        <is>
          <t>1. MK-ST-F-034 firstDate → MK-ST-F-035 covers → MK-CF-F-142 monthsOf → MK-CF-F-128 grossByMonth → MK-CF-F-143 annualisedGross → MK-CF-F-144 takeHomeAsEntered
2. MK-CF-F-132 map → MK-CF-F-142 monthsOf → MK-CF-F-128 grossByMonth → MK-CF-F-143 annualisedGross → MK-CF-F-144 takeHomeAsEntered
3. MK-XS-F-122 n → MK-ST-F-052 toNum → MK-CF-F-142 monthsOf → MK-CF-F-128 grossByMonth → MK-CF-F-143 annualisedGross → MK-CF-F-144 takeHomeAsEntered
4. MK-CF-F-140 periodsAYear → MK-CF-F-141 perMonth → MK-CF-F-128 grossByMonth → MK-CF-F-143 annualisedGross → MK-CF-F-144 takeHomeAsEntered
5. MK-XS-F-122 n → MK-ST-F-052 toNum → MK-CF-F-141 perMonth → MK-CF-F-128 grossByMonth → MK-CF-F-143 annualisedGross → MK-CF-F-144 takeHomeAsEntered
6. MK-ST-F-034 firstDate → MK-ST-F-035 covers → MK-CF-F-142 monthsOf → MK-CF-F-144 takeHomeAsEntered
7. MK-CF-F-132 map → MK-CF-F-142 monthsOf → MK-CF-F-144 takeHomeAsEntered
8. MK-XS-F-122 n → MK-ST-F-052 toNum → MK-CF-F-142 monthsOf → MK-CF-F-144 takeHomeAsEntered
9. … and 3 more paths</t>
        </is>
      </c>
      <c r="S140" s="3" t="inlineStr">
        <is>
          <t>—</t>
        </is>
      </c>
      <c r="T140" s="3" t="inlineStr">
        <is>
          <t>—</t>
        </is>
      </c>
      <c r="U140" s="3" t="inlineStr">
        <is>
          <t>ACTIVE</t>
        </is>
      </c>
      <c r="V140" s="3" t="inlineStr">
        <is>
          <t>2026-09-09</t>
        </is>
      </c>
      <c r="W140" s="3" t="n"/>
      <c r="X140" s="3" t="n"/>
      <c r="Y140" s="3" t="inlineStr">
        <is>
          <t>NOTHING OPEN</t>
        </is>
      </c>
    </row>
    <row r="141" ht="60" customHeight="1">
      <c r="A141" s="3" t="inlineStr">
        <is>
          <t>MK-CF-F-145</t>
        </is>
      </c>
      <c r="B141" s="3" t="inlineStr">
        <is>
          <t>deductionsFromPay</t>
        </is>
      </c>
      <c r="C141" s="3" t="inlineStr">
        <is>
          <t>MoneyKeel/functions/cashflow/base-pay.ts</t>
        </is>
      </c>
      <c r="D141" s="3" t="n">
        <v>373</v>
      </c>
      <c r="E141" s="3" t="inlineStr">
        <is>
          <t>3 · DEPENDENT</t>
        </is>
      </c>
      <c r="F141" s="3" t="inlineStr">
        <is>
          <t>EVERYTHING ELSE TAKEN OUT — gross, less the 401(k), less the take-home.</t>
        </is>
      </c>
      <c r="G141" s="11" t="inlineStr">
        <is>
          <t>t = take home as entered(e)
nothing   when estimated
the answer = annualised gross(e) − (to num(monthly401k) × 12) − (monthly × 12)</t>
        </is>
      </c>
      <c r="H141" s="3" t="inlineStr">
        <is>
          <t>T is take home as entered(e). When estimated, it answers no answer. The answer is annualised gross(e) minus (to num(monthly401k) times 12) minus (monthly times 12).</t>
        </is>
      </c>
      <c r="I141" s="3" t="inlineStr">
        <is>
          <t>READ FROM THE CODE — rendered from the expressions the function runs</t>
        </is>
      </c>
      <c r="J141" s="3" t="inlineStr">
        <is>
          <t>e: BasePayEntry</t>
        </is>
      </c>
      <c r="K141" s="3" t="inlineStr">
        <is>
          <t>number | null</t>
        </is>
      </c>
      <c r="L141" s="3" t="inlineStr">
        <is>
          <t>—</t>
        </is>
      </c>
      <c r="M141" s="3" t="inlineStr">
        <is>
          <t>1. Uses a built-in a g r e e t o l e r a n c e of 5.
2. Uses a built-in h i g h d e d u c t i o n s h a r e of 60%.
3. Turns a monthly figure into a year by multiplying by twelve.</t>
        </is>
      </c>
      <c r="N141" s="3" t="inlineStr">
        <is>
          <t>Yes</t>
        </is>
      </c>
      <c r="O141" s="3" t="inlineStr">
        <is>
          <t>1. MK-CF-F-143 annualisedGross
2. MK-CF-F-144 takeHomeAsEntered
3. MK-ST-F-052 toNum</t>
        </is>
      </c>
      <c r="P141" s="3" t="n">
        <v>16</v>
      </c>
      <c r="Q141" s="3" t="inlineStr">
        <is>
          <t>1. MK-CF-F-143 annualisedGross
2. MK-CF-F-144 takeHomeAsEntered
3. MK-ST-F-052 toNum
4. MK-CF-F-128 grossByMonth
5. MK-CF-F-142 monthsOf
6. MK-ST-F-039 on
7. MK-CF-F-101 taxOwedFor
8. MK-XS-F-122 n
9. MK-CF-F-141 perMonth
10. MK-ST-F-035 covers
11. MK-CF-F-132 map
12. MK-CF-F-100 taxableIncomeFor
13. MK-CF-F-140 periodsAYear
14. MK-ST-F-034 firstDate
15. MK-CF-F-099 deductionFor
16. MK-CF-F-187 seniorDeductionFor</t>
        </is>
      </c>
      <c r="R141" s="3" t="inlineStr">
        <is>
          <t>1. MK-ST-F-034 firstDate → MK-ST-F-035 covers → MK-CF-F-142 monthsOf → MK-CF-F-128 grossByMonth → MK-CF-F-143 annualisedGross → MK-CF-F-145 deductionsFromPay
2. MK-CF-F-132 map → MK-CF-F-142 monthsOf → MK-CF-F-128 grossByMonth → MK-CF-F-143 annualisedGross → MK-CF-F-145 deductionsFromPay
3. MK-XS-F-122 n → MK-ST-F-052 toNum → MK-CF-F-142 monthsOf → MK-CF-F-128 grossByMonth → MK-CF-F-143 annualisedGross → MK-CF-F-145 deductionsFromPay
4. MK-CF-F-140 periodsAYear → MK-CF-F-141 perMonth → MK-CF-F-128 grossByMonth → MK-CF-F-143 annualisedGross → MK-CF-F-145 deductionsFromPay
5. MK-XS-F-122 n → MK-ST-F-052 toNum → MK-CF-F-141 perMonth → MK-CF-F-128 grossByMonth → MK-CF-F-143 annualisedGross → MK-CF-F-145 deductionsFromPay
6. MK-ST-F-035 covers → MK-CF-F-142 monthsOf → MK-CF-F-128 grossByMonth → MK-CF-F-143 annualisedGross → MK-CF-F-144 takeHomeAsEntered → MK-CF-F-145 deductionsFromPay
7. MK-CF-F-132 map → MK-CF-F-142 monthsOf → MK-CF-F-128 grossByMonth → MK-CF-F-143 annualisedGross → MK-CF-F-144 takeHomeAsEntered → MK-CF-F-145 deductionsFromPay
8. MK-ST-F-052 toNum → MK-CF-F-142 monthsOf → MK-CF-F-128 grossByMonth → MK-CF-F-143 annualisedGross → MK-CF-F-144 takeHomeAsEntered → MK-CF-F-145 deductionsFromPay
9. … and 5 more paths</t>
        </is>
      </c>
      <c r="S141" s="3" t="inlineStr">
        <is>
          <t>—</t>
        </is>
      </c>
      <c r="T141" s="3" t="inlineStr">
        <is>
          <t>—</t>
        </is>
      </c>
      <c r="U141" s="3" t="inlineStr">
        <is>
          <t>ACTIVE</t>
        </is>
      </c>
      <c r="V141" s="3" t="inlineStr">
        <is>
          <t>2026-09-09</t>
        </is>
      </c>
      <c r="W141" s="3" t="n"/>
      <c r="X141" s="3" t="n"/>
      <c r="Y141" s="3" t="inlineStr">
        <is>
          <t>NOTHING OPEN</t>
        </is>
      </c>
    </row>
    <row r="142" ht="60" customHeight="1">
      <c r="A142" s="3" t="inlineStr">
        <is>
          <t>MK-CF-F-146</t>
        </is>
      </c>
      <c r="B142" s="3" t="inlineStr">
        <is>
          <t>payFiguresAgree</t>
        </is>
      </c>
      <c r="C142" s="3" t="inlineStr">
        <is>
          <t>MoneyKeel/functions/cashflow/base-pay.ts</t>
        </is>
      </c>
      <c r="D142" s="3" t="n">
        <v>441</v>
      </c>
      <c r="E142" s="3" t="inlineStr">
        <is>
          <t>3 · DEPENDENT</t>
        </is>
      </c>
      <c r="F142" s="3" t="inlineStr">
        <is>
          <t>Checks month by month that gross pay, less the 401(k), is enough to leave the take-home the person entered, and says in words when it is not or when an unusually large share goes elsewhere.</t>
        </is>
      </c>
      <c r="G142" s="11" t="inlineStr">
        <is>
          <t>t = take home as entered(e)
ok = true
warn = false
say = ''   when estimated
k401 = monthly401k read as a number (0 when it is not one)
gm = gross by month(e)
lands = a lookup of lm
landed = lands.get(key) as number   if lands.has(key)
lands typical read as a number (0 when it is not one)   otherwise
left = gross − k401 − landed
when = ''   if key = 'typical'
` in ${key}`   otherwise
when = ''   if key = 'typical'
` in ${key}`   otherwise
the answer:
ok = true
warn = false
say = ''</t>
        </is>
      </c>
      <c r="H142" s="3" t="inlineStr">
        <is>
          <t>T is take home as entered(e). When estimated, it answers ok = true; warn = false; say = ''. K401 is monthly401k read as a number (0 — when it is one is missing). Gm is gross by month(e). Lands is a lookup of lm. Landed is lands.get(key) as number — when lands.has(key); lands typical read as a number (0 — when it is one is missing) — otherwise. Left is gross minus k401 minus landed. When is '' — when key = 'typical'; ` in ${key}` — otherwise. When is '' — when key = 'typical'; ` in ${key}` — otherwise. The answer is ok = true; warn = false; say = ''.</t>
        </is>
      </c>
      <c r="I142" s="3" t="inlineStr">
        <is>
          <t>PARTLY READ — some of the code is still showing through; needs a hand pass</t>
        </is>
      </c>
      <c r="J142" s="3" t="inlineStr">
        <is>
          <t>e: BasePayEntry</t>
        </is>
      </c>
      <c r="K142" s="3" t="inlineStr">
        <is>
          <t>PayVerdict</t>
        </is>
      </c>
      <c r="L142" s="3" t="inlineStr">
        <is>
          <t>—</t>
        </is>
      </c>
      <c r="M142" s="3" t="inlineStr">
        <is>
          <t>· Rounds the answer to a whole number.</t>
        </is>
      </c>
      <c r="N142" s="3" t="inlineStr">
        <is>
          <t>Yes</t>
        </is>
      </c>
      <c r="O142" s="3" t="inlineStr">
        <is>
          <t>1. MK-CF-F-128 grossByMonth
2. MK-ST-F-056 has
3. MK-CF-F-132 map
4. MK-ST-F-053 money
5. MK-CF-F-142 monthsOf
6. MK-CF-F-144 takeHomeAsEntered
7. MK-ST-F-052 toNum</t>
        </is>
      </c>
      <c r="P142" s="3" t="n">
        <v>21</v>
      </c>
      <c r="Q142" s="3" t="inlineStr">
        <is>
          <t>1. MK-CF-F-128 grossByMonth
2. MK-ST-F-056 has
3. MK-CF-F-132 map
4. MK-ST-F-053 money
5. MK-CF-F-142 monthsOf
6. MK-CF-F-144 takeHomeAsEntered
7. MK-ST-F-052 toNum
8. MK-CF-F-141 perMonth
9. MK-ST-F-049 formatMoney
10. MK-XS-F-122 n
11. MK-ST-F-035 covers
12. MK-CF-F-143 annualisedGross
13. MK-ST-F-039 on
14. MK-CF-F-101 taxOwedFor
15. MK-CF-F-140 periodsAYear
16. MK-ST-F-048 currencySymbol
17. MK-ST-F-034 firstDate
18. MK-CF-F-100 taxableIncomeFor
19. MK-ST-F-047 activeCurrency
20. MK-CF-F-099 deductionFor
21. MK-CF-F-187 seniorDeductionFor</t>
        </is>
      </c>
      <c r="R142" s="3" t="inlineStr">
        <is>
          <t>1. MK-ST-F-034 firstDate → MK-ST-F-035 covers → MK-CF-F-142 monthsOf → MK-CF-F-128 grossByMonth → MK-CF-F-146 payFiguresAgree
2. MK-CF-F-132 map → MK-CF-F-142 monthsOf → MK-CF-F-128 grossByMonth → MK-CF-F-146 payFiguresAgree
3. MK-XS-F-122 n → MK-ST-F-052 toNum → MK-CF-F-142 monthsOf → MK-CF-F-128 grossByMonth → MK-CF-F-146 payFiguresAgree
4. MK-CF-F-140 periodsAYear → MK-CF-F-141 perMonth → MK-CF-F-128 grossByMonth → MK-CF-F-146 payFiguresAgree
5. MK-XS-F-122 n → MK-ST-F-052 toNum → MK-CF-F-141 perMonth → MK-CF-F-128 grossByMonth → MK-CF-F-146 payFiguresAgree
6. MK-ST-F-056 has → MK-CF-F-146 payFiguresAgree
7. MK-CF-F-132 map → MK-CF-F-146 payFiguresAgree
8. MK-ST-F-047 activeCurrency → MK-ST-F-048 currencySymbol → MK-ST-F-049 formatMoney → MK-ST-F-053 money → MK-CF-F-146 payFiguresAgree
9. … and 5 more paths</t>
        </is>
      </c>
      <c r="S142" s="3" t="inlineStr">
        <is>
          <t>—</t>
        </is>
      </c>
      <c r="T142" s="3" t="inlineStr">
        <is>
          <t>—</t>
        </is>
      </c>
      <c r="U142" s="3" t="inlineStr">
        <is>
          <t>ACTIVE</t>
        </is>
      </c>
      <c r="V142" s="3" t="inlineStr">
        <is>
          <t>2026-10-04</t>
        </is>
      </c>
      <c r="W142" s="3" t="n"/>
      <c r="X142" s="3" t="n"/>
      <c r="Y142" s="3" t="inlineStr">
        <is>
          <t>NOTHING OPEN</t>
        </is>
      </c>
    </row>
    <row r="143" ht="45" customHeight="1">
      <c r="A143" s="3" t="inlineStr">
        <is>
          <t>MK-CF-F-148</t>
        </is>
      </c>
      <c r="B143" s="3" t="inlineStr">
        <is>
          <t>inMonth</t>
        </is>
      </c>
      <c r="C143" s="3" t="inlineStr">
        <is>
          <t>MoneyKeel/functions/cashflow/logged-expenses.ts</t>
        </is>
      </c>
      <c r="D143" s="3" t="n">
        <v>50</v>
      </c>
      <c r="E143" s="3" t="inlineStr">
        <is>
          <t>1 · ACTION</t>
        </is>
      </c>
      <c r="F143" s="3" t="inlineStr">
        <is>
          <t>Does this logged expense fall in the month `ym` ("2026-08")?</t>
        </is>
      </c>
      <c r="G143" s="11" t="inlineStr">
        <is>
          <t>the answer = true when the expense date starts with the month text 'YYYY-MM'</t>
        </is>
      </c>
      <c r="H143" s="3" t="inlineStr">
        <is>
          <t>Whether a logged expense falls in the given month: its date begins with that year and month. No arithmetic.</t>
        </is>
      </c>
      <c r="I143" s="3" t="inlineStr">
        <is>
          <t>READ BY HAND 2026-08-26 — checked line by line against the code</t>
        </is>
      </c>
      <c r="J143" s="3" t="inlineStr">
        <is>
          <t>1. e: LoggedExpense
2. ym: string</t>
        </is>
      </c>
      <c r="K143" s="3" t="inlineStr">
        <is>
          <t>boolean</t>
        </is>
      </c>
      <c r="L143" s="3" t="inlineStr">
        <is>
          <t>—</t>
        </is>
      </c>
      <c r="M143" s="3" t="inlineStr">
        <is>
          <t>None found in this function — anything it assumes comes from the functions it depends on.</t>
        </is>
      </c>
      <c r="N143" s="3" t="inlineStr">
        <is>
          <t>Yes</t>
        </is>
      </c>
      <c r="O143" s="3" t="inlineStr">
        <is>
          <t>MK-CF-F-191 ym</t>
        </is>
      </c>
      <c r="P143" s="3" t="n">
        <v>1</v>
      </c>
      <c r="Q143" s="3" t="inlineStr">
        <is>
          <t>MK-CF-F-191 ym</t>
        </is>
      </c>
      <c r="R143" s="3" t="inlineStr">
        <is>
          <t>MK-CF-F-191 ym → MK-CF-F-148 inMonth</t>
        </is>
      </c>
      <c r="S143" s="3" t="inlineStr">
        <is>
          <t>—</t>
        </is>
      </c>
      <c r="T143" s="3" t="inlineStr">
        <is>
          <t>—</t>
        </is>
      </c>
      <c r="U143" s="3" t="inlineStr">
        <is>
          <t>ACTIVE</t>
        </is>
      </c>
      <c r="V143" s="3" t="inlineStr">
        <is>
          <t>2026-09-12</t>
        </is>
      </c>
      <c r="W143" s="3" t="n"/>
      <c r="X143" s="3" t="n"/>
      <c r="Y143" s="3" t="inlineStr">
        <is>
          <t>NOTHING OPEN</t>
        </is>
      </c>
    </row>
    <row r="144" ht="60" customHeight="1">
      <c r="A144" s="3" t="inlineStr">
        <is>
          <t>MK-CF-F-149</t>
        </is>
      </c>
      <c r="B144" s="3" t="inlineStr">
        <is>
          <t>recurringDebtPayments</t>
        </is>
      </c>
      <c r="C144" s="3" t="inlineStr">
        <is>
          <t>MoneyKeel/functions/cashflow/expenses.ts</t>
        </is>
      </c>
      <c r="D144" s="3" t="n">
        <v>60</v>
      </c>
      <c r="E144" s="3" t="inlineStr">
        <is>
          <t>3 · DEPENDENT</t>
        </is>
      </c>
      <c r="F144" s="3" t="inlineStr">
        <is>
          <t>RECURRING DEBT PAYMENTS — the installment debts, one row each.</t>
        </is>
      </c>
      <c r="G144" s="11" t="inlineStr">
        <is>
          <t>for each debt whose payment shape is 'installment' and whose required payment &gt; 0: { label, monthly = required payment(debt) }</t>
        </is>
      </c>
      <c r="H144" s="3" t="inlineStr">
        <is>
          <t>The instalment debts — mortgage, car, loans — each with its required monthly payment (MK-CF-F-023). A debt due in full is not an instalment and is left out; so is one with no payment.</t>
        </is>
      </c>
      <c r="I144" s="3" t="inlineStr">
        <is>
          <t>READ BY HAND 2026-08-26 — checked line by line against the code</t>
        </is>
      </c>
      <c r="J144" s="3" t="inlineStr">
        <is>
          <t>s: ExpensesInput</t>
        </is>
      </c>
      <c r="K144" s="3" t="inlineStr">
        <is>
          <t>NOT DECLARED — the code does not say what it gives back</t>
        </is>
      </c>
      <c r="L144" s="3" t="inlineStr">
        <is>
          <t>—</t>
        </is>
      </c>
      <c r="M144" s="3" t="inlineStr">
        <is>
          <t>None found in this function — anything it assumes comes from the functions it depends on.</t>
        </is>
      </c>
      <c r="N144" s="3" t="inlineStr">
        <is>
          <t>Yes</t>
        </is>
      </c>
      <c r="O144" s="3" t="inlineStr">
        <is>
          <t>1. MK-CF-F-132 map
2. MK-CF-F-022 paymentShape
3. MK-CF-F-023 requiredPayment</t>
        </is>
      </c>
      <c r="P144" s="3" t="n">
        <v>4</v>
      </c>
      <c r="Q144" s="3" t="inlineStr">
        <is>
          <t>1. MK-CF-F-132 map
2. MK-CF-F-022 paymentShape
3. MK-CF-F-023 requiredPayment
4. MK-CF-F-021 defaultPaymentType</t>
        </is>
      </c>
      <c r="R144" s="3" t="inlineStr">
        <is>
          <t>1. MK-CF-F-132 map → MK-CF-F-149 recurringDebtPayments
2. MK-CF-F-021 defaultPaymentType → MK-CF-F-022 paymentShape → MK-CF-F-149 recurringDebtPayments
3. MK-CF-F-021 defaultPaymentType → MK-CF-F-022 paymentShape → MK-CF-F-023 requiredPayment → MK-CF-F-149 recurringDebtPayments</t>
        </is>
      </c>
      <c r="S144" s="3" t="inlineStr">
        <is>
          <t>—</t>
        </is>
      </c>
      <c r="T144" s="3" t="inlineStr">
        <is>
          <t>—</t>
        </is>
      </c>
      <c r="U144" s="3" t="inlineStr">
        <is>
          <t>ACTIVE</t>
        </is>
      </c>
      <c r="V144" s="3" t="inlineStr">
        <is>
          <t>2026-09-28</t>
        </is>
      </c>
      <c r="W144" s="3" t="n"/>
      <c r="X144" s="3" t="n"/>
      <c r="Y144" s="3" t="inlineStr">
        <is>
          <t>NOTHING OPEN</t>
        </is>
      </c>
    </row>
    <row r="145" ht="60" customHeight="1">
      <c r="A145" s="3" t="inlineStr">
        <is>
          <t>MK-CF-F-150</t>
        </is>
      </c>
      <c r="B145" s="3" t="inlineStr">
        <is>
          <t>debtPaymentsCountedAsExpenses</t>
        </is>
      </c>
      <c r="C145" s="3" t="inlineStr">
        <is>
          <t>MoneyKeel/functions/cashflow/expenses.ts</t>
        </is>
      </c>
      <c r="D145" s="3" t="n">
        <v>106</v>
      </c>
      <c r="E145" s="3" t="inlineStr">
        <is>
          <t>3 · DEPENDENT</t>
        </is>
      </c>
      <c r="F145" s="3" t="inlineStr">
        <is>
          <t>DEBT PAYMENTS THAT ARE COUNTED AS EXPENSES — revolving and due-in-full.</t>
        </is>
      </c>
      <c r="G145" s="11" t="inlineStr">
        <is>
          <t>out = []
the answer = out</t>
        </is>
      </c>
      <c r="H145" s="3" t="inlineStr">
        <is>
          <t>Out is []. The answer is out.</t>
        </is>
      </c>
      <c r="I145" s="3" t="inlineStr">
        <is>
          <t>READ FROM THE CODE — rendered from the expressions the function runs</t>
        </is>
      </c>
      <c r="J145" s="3" t="inlineStr">
        <is>
          <t>Nothing is handed to it</t>
        </is>
      </c>
      <c r="K145" s="3" t="inlineStr">
        <is>
          <t>NOT DECLARED — the code does not say what it gives back</t>
        </is>
      </c>
      <c r="L145" s="3" t="inlineStr">
        <is>
          <t>—</t>
        </is>
      </c>
      <c r="M145" s="3" t="inlineStr">
        <is>
          <t>· Uses a built-in s h o w f i r s t of 5.</t>
        </is>
      </c>
      <c r="N145" s="3" t="inlineStr">
        <is>
          <t>Yes</t>
        </is>
      </c>
      <c r="O145" s="3" t="inlineStr">
        <is>
          <t>1. MK-ST-F-056 has
2. MK-CF-F-148 inMonth
3. MK-CF-F-022 paymentShape
4. MK-ST-F-052 toNum
5. MK-CF-F-191 ym</t>
        </is>
      </c>
      <c r="P145" s="3" t="n">
        <v>7</v>
      </c>
      <c r="Q145" s="3" t="inlineStr">
        <is>
          <t>1. MK-ST-F-056 has
2. MK-CF-F-148 inMonth
3. MK-CF-F-022 paymentShape
4. MK-ST-F-052 toNum
5. MK-CF-F-191 ym
6. MK-CF-F-021 defaultPaymentType
7. MK-XS-F-122 n</t>
        </is>
      </c>
      <c r="R145" s="3" t="inlineStr">
        <is>
          <t>1. MK-ST-F-056 has → MK-CF-F-150 debtPaymentsCountedAsExpenses
2. MK-CF-F-191 ym → MK-CF-F-148 inMonth → MK-CF-F-150 debtPaymentsCountedAsExpenses
3. MK-CF-F-021 defaultPaymentType → MK-CF-F-022 paymentShape → MK-CF-F-150 debtPaymentsCountedAsExpenses
4. MK-XS-F-122 n → MK-ST-F-052 toNum → MK-CF-F-150 debtPaymentsCountedAsExpenses
5. MK-CF-F-191 ym → MK-CF-F-150 debtPaymentsCountedAsExpenses</t>
        </is>
      </c>
      <c r="S145" s="3" t="inlineStr">
        <is>
          <t>—</t>
        </is>
      </c>
      <c r="T145" s="3" t="inlineStr">
        <is>
          <t>—</t>
        </is>
      </c>
      <c r="U145" s="3" t="inlineStr">
        <is>
          <t>ACTIVE</t>
        </is>
      </c>
      <c r="V145" s="3" t="inlineStr">
        <is>
          <t>2026-09-28</t>
        </is>
      </c>
      <c r="W145" s="3" t="n"/>
      <c r="X145" s="3" t="n"/>
      <c r="Y145" s="3" t="inlineStr">
        <is>
          <t>NOTHING OPEN</t>
        </is>
      </c>
    </row>
    <row r="146" ht="60" customHeight="1">
      <c r="A146" s="3" t="inlineStr">
        <is>
          <t>MK-CF-F-151</t>
        </is>
      </c>
      <c r="B146" s="3" t="inlineStr">
        <is>
          <t>actualSpending</t>
        </is>
      </c>
      <c r="C146" s="3" t="inlineStr">
        <is>
          <t>MoneyKeel/functions/cashflow/expenses.ts</t>
        </is>
      </c>
      <c r="D146" s="3" t="n">
        <v>160</v>
      </c>
      <c r="E146" s="3" t="inlineStr">
        <is>
          <t>3 · DEPENDENT</t>
        </is>
      </c>
      <c r="F146" s="3" t="inlineStr">
        <is>
          <t>What was actually spent in a month, debt payments left out: every expense newest first, the five shown, how many more there are and the totals, for all of them or only those entered by hand or only those imported.</t>
        </is>
      </c>
      <c r="G146" s="11" t="inlineStr">
        <is>
          <t>shown = the first SHOW_FIRST of items
total = Σ over items of (amount read as a number (0 when it is not one))
shown total = Σ over shown of (amount read as a number (0 when it is not one))</t>
        </is>
      </c>
      <c r="H146" s="3" t="inlineStr">
        <is>
          <t>Shown: the first SHOW_FIRST of items. Total: the amount read as a number (0 — when it is one is missing) added up across items. Shown total: the amount read as a number (0 — when it is one is missing) added up across shown.</t>
        </is>
      </c>
      <c r="I146" s="3" t="inlineStr">
        <is>
          <t>READ FROM THE CODE — rendered from the expressions the function runs</t>
        </is>
      </c>
      <c r="J146" s="3" t="inlineStr">
        <is>
          <t>1. s: ExpensesInput
2. origin?: 'by-hand' | 'imported'</t>
        </is>
      </c>
      <c r="K146" s="3" t="inlineStr">
        <is>
          <t>SpentList</t>
        </is>
      </c>
      <c r="L146" s="3" t="inlineStr">
        <is>
          <t>—</t>
        </is>
      </c>
      <c r="M146" s="3" t="inlineStr">
        <is>
          <t>None found in this function — anything it assumes comes from the functions it depends on.</t>
        </is>
      </c>
      <c r="N146" s="3" t="inlineStr">
        <is>
          <t>Yes</t>
        </is>
      </c>
      <c r="O146" s="3" t="inlineStr">
        <is>
          <t>1. MK-CF-F-148 inMonth
2. MK-ST-F-052 toNum
3. MK-CF-F-191 ym</t>
        </is>
      </c>
      <c r="P146" s="3" t="n">
        <v>4</v>
      </c>
      <c r="Q146" s="3" t="inlineStr">
        <is>
          <t>1. MK-CF-F-148 inMonth
2. MK-ST-F-052 toNum
3. MK-CF-F-191 ym
4. MK-XS-F-122 n</t>
        </is>
      </c>
      <c r="R146" s="3" t="inlineStr">
        <is>
          <t>1. MK-CF-F-191 ym → MK-CF-F-148 inMonth → MK-CF-F-151 actualSpending
2. MK-XS-F-122 n → MK-ST-F-052 toNum → MK-CF-F-151 actualSpending
3. MK-CF-F-191 ym → MK-CF-F-151 actualSpending</t>
        </is>
      </c>
      <c r="S146" s="3" t="inlineStr">
        <is>
          <t>—</t>
        </is>
      </c>
      <c r="T146" s="3" t="inlineStr">
        <is>
          <t>—</t>
        </is>
      </c>
      <c r="U146" s="3" t="inlineStr">
        <is>
          <t>ACTIVE</t>
        </is>
      </c>
      <c r="V146" s="3" t="inlineStr">
        <is>
          <t>2026-09-28</t>
        </is>
      </c>
      <c r="W146" s="3" t="n"/>
      <c r="X146" s="3" t="n"/>
      <c r="Y146" s="3" t="inlineStr">
        <is>
          <t>NOTHING OPEN</t>
        </is>
      </c>
    </row>
    <row r="147" ht="60" customHeight="1">
      <c r="A147" s="3" t="inlineStr">
        <is>
          <t>MK-CF-F-152</t>
        </is>
      </c>
      <c r="B147" s="3" t="inlineStr">
        <is>
          <t>isRadarItem</t>
        </is>
      </c>
      <c r="C147" s="3" t="inlineStr">
        <is>
          <t>MoneyKeel/functions/cashflow/expenses.ts</t>
        </is>
      </c>
      <c r="D147" s="3" t="n">
        <v>217</v>
      </c>
      <c r="E147" s="3" t="inlineStr">
        <is>
          <t>3 · DEPENDENT</t>
        </is>
      </c>
      <c r="F147" s="3" t="inlineStr">
        <is>
          <t>Whether a debt belongs on the big-ticket radar: yes for a card or a credit line and for a debt due in one lump, no for a loan paid the same every month.</t>
        </is>
      </c>
      <c r="G147" s="11" t="inlineStr">
        <is>
          <t>shape = payment shape(d)
nothing   when shape = 'installment'
the answer:
'lump − debt'   if shape = 'due_in_full'
'revolving − debt'   otherwise</t>
        </is>
      </c>
      <c r="H147" s="3" t="inlineStr">
        <is>
          <t>Shape is payment shape(d). When shape = 'installment', it answers no answer. The answer is 'lump minus debt' — when shape = 'due_in_full'; 'revolving minus debt' — otherwise.</t>
        </is>
      </c>
      <c r="I147" s="3" t="inlineStr">
        <is>
          <t>READ FROM THE CODE — rendered from the expressions the function runs</t>
        </is>
      </c>
      <c r="J147" s="3" t="inlineStr">
        <is>
          <t>d: Debt</t>
        </is>
      </c>
      <c r="K147" s="3" t="inlineStr">
        <is>
          <t>RadarReason | null</t>
        </is>
      </c>
      <c r="L147" s="3" t="inlineStr">
        <is>
          <t>—</t>
        </is>
      </c>
      <c r="M147" s="3" t="inlineStr">
        <is>
          <t>None found in this function — anything it assumes comes from the functions it depends on.</t>
        </is>
      </c>
      <c r="N147" s="3" t="inlineStr">
        <is>
          <t>Yes</t>
        </is>
      </c>
      <c r="O147" s="3" t="inlineStr">
        <is>
          <t>MK-CF-F-022 paymentShape</t>
        </is>
      </c>
      <c r="P147" s="3" t="n">
        <v>2</v>
      </c>
      <c r="Q147" s="3" t="inlineStr">
        <is>
          <t>1. MK-CF-F-022 paymentShape
2. MK-CF-F-021 defaultPaymentType</t>
        </is>
      </c>
      <c r="R147" s="3" t="inlineStr">
        <is>
          <t>MK-CF-F-021 defaultPaymentType → MK-CF-F-022 paymentShape → MK-CF-F-152 isRadarItem</t>
        </is>
      </c>
      <c r="S147" s="3" t="inlineStr">
        <is>
          <t>—</t>
        </is>
      </c>
      <c r="T147" s="3" t="inlineStr">
        <is>
          <t>—</t>
        </is>
      </c>
      <c r="U147" s="3" t="inlineStr">
        <is>
          <t>ACTIVE</t>
        </is>
      </c>
      <c r="V147" s="3" t="inlineStr">
        <is>
          <t>2026-09-28</t>
        </is>
      </c>
      <c r="W147" s="3" t="n"/>
      <c r="X147" s="3" t="n"/>
      <c r="Y147" s="3" t="inlineStr">
        <is>
          <t>NOTHING OPEN</t>
        </is>
      </c>
    </row>
    <row r="148" ht="60" customHeight="1">
      <c r="A148" s="3" t="inlineStr">
        <is>
          <t>MK-CF-F-153</t>
        </is>
      </c>
      <c r="B148" s="3" t="inlineStr">
        <is>
          <t>radar</t>
        </is>
      </c>
      <c r="C148" s="3" t="inlineStr">
        <is>
          <t>MoneyKeel/functions/cashflow/expenses.ts</t>
        </is>
      </c>
      <c r="D148" s="3" t="n">
        <v>259</v>
      </c>
      <c r="E148" s="3" t="inlineStr">
        <is>
          <t>3 · DEPENDENT</t>
        </is>
      </c>
      <c r="F148" s="3" t="inlineStr">
        <is>
          <t>The big-ticket radar for a month: each card, credit-line or lump-sum debt payment and each large dated bill, with its amount and whether it is already counted as an expense.</t>
        </is>
      </c>
      <c r="G148" s="11" t="inlineStr">
        <is>
          <t>out = []
reason = is radar item(d)
amount = paid   if paid &gt; 0
required payment(d)   otherwise
counted = !purchases captured.has(string(debt id))
name = label   if ÷ payment$ ÷ test(string(label).trim())
`${label} payment`   otherwise
the answer = out</t>
        </is>
      </c>
      <c r="H148" s="3" t="inlineStr">
        <is>
          <t>Out is []. Reason is is radar item(d). Amount is paid — when paid &gt; 0; required payment(d) — otherwise. Counted is !purchases captured.has(string(debt id)). Name is label — when divided by payment$ divided by test(string(label).trim()); `${label} payment` — otherwise. The answer is out.</t>
        </is>
      </c>
      <c r="I148" s="3" t="inlineStr">
        <is>
          <t>PARTLY READ — some of the code is still showing through; needs a hand pass</t>
        </is>
      </c>
      <c r="J148" s="3" t="inlineStr">
        <is>
          <t>1. s: ExpensesInput
2. purchasesCaptured: Set&lt;string&gt; = new Set()</t>
        </is>
      </c>
      <c r="K148" s="3" t="inlineStr">
        <is>
          <t>RadarItem[]</t>
        </is>
      </c>
      <c r="L148" s="3" t="inlineStr">
        <is>
          <t>—</t>
        </is>
      </c>
      <c r="M148" s="3" t="inlineStr">
        <is>
          <t>None found in this function — anything it assumes comes from the functions it depends on.</t>
        </is>
      </c>
      <c r="N148" s="3" t="inlineStr">
        <is>
          <t>Yes</t>
        </is>
      </c>
      <c r="O148" s="3" t="inlineStr">
        <is>
          <t>1. MK-CF-O-002 expenses
2. MK-ST-F-056 has
3. MK-CF-F-148 inMonth
4. MK-CF-F-152 isRadarItem
5. MK-CF-F-023 requiredPayment
6. MK-ST-F-052 toNum
7. MK-CF-F-191 ym</t>
        </is>
      </c>
      <c r="P148" s="3" t="n">
        <v>14</v>
      </c>
      <c r="Q148" s="3" t="inlineStr">
        <is>
          <t>1. MK-CF-O-002 expenses
2. MK-ST-F-056 has
3. MK-CF-F-148 inMonth
4. MK-CF-F-152 isRadarItem
5. MK-CF-F-023 requiredPayment
6. MK-ST-F-052 toNum
7. MK-CF-F-191 ym
8. MK-CF-F-151 actualSpending
9. MK-CF-F-150 debtPaymentsCountedAsExpenses
10. MK-CF-F-149 recurringDebtPayments
11. MK-CF-F-022 paymentShape
12. MK-XS-F-122 n
13. MK-CF-F-132 map
14. MK-CF-F-021 defaultPaymentType</t>
        </is>
      </c>
      <c r="R148" s="3" t="inlineStr">
        <is>
          <t>1. MK-CF-F-191 ym → MK-CF-F-148 inMonth → MK-CF-F-151 actualSpending → MK-CF-O-002 expenses → MK-CF-F-153 radar
2. MK-XS-F-122 n → MK-ST-F-052 toNum → MK-CF-F-151 actualSpending → MK-CF-O-002 expenses → MK-CF-F-153 radar
3. MK-CF-F-191 ym → MK-CF-F-151 actualSpending → MK-CF-O-002 expenses → MK-CF-F-153 radar
4. MK-ST-F-056 has → MK-CF-F-150 debtPaymentsCountedAsExpenses → MK-CF-O-002 expenses → MK-CF-F-153 radar
5. MK-CF-F-191 ym → MK-CF-F-148 inMonth → MK-CF-F-150 debtPaymentsCountedAsExpenses → MK-CF-O-002 expenses → MK-CF-F-153 radar
6. MK-CF-F-021 defaultPaymentType → MK-CF-F-022 paymentShape → MK-CF-F-150 debtPaymentsCountedAsExpenses → MK-CF-O-002 expenses → MK-CF-F-153 radar
7. MK-XS-F-122 n → MK-ST-F-052 toNum → MK-CF-F-150 debtPaymentsCountedAsExpenses → MK-CF-O-002 expenses → MK-CF-F-153 radar
8. MK-CF-F-191 ym → MK-CF-F-150 debtPaymentsCountedAsExpenses → MK-CF-O-002 expenses → MK-CF-F-153 radar
9. … and 5 more paths</t>
        </is>
      </c>
      <c r="S148" s="3" t="inlineStr">
        <is>
          <t>—</t>
        </is>
      </c>
      <c r="T148" s="3" t="inlineStr">
        <is>
          <t>—</t>
        </is>
      </c>
      <c r="U148" s="3" t="inlineStr">
        <is>
          <t>ACTIVE</t>
        </is>
      </c>
      <c r="V148" s="3" t="inlineStr">
        <is>
          <t>2026-10-03</t>
        </is>
      </c>
      <c r="W148" s="3" t="n"/>
      <c r="X148" s="3" t="n"/>
      <c r="Y148" s="3" t="inlineStr">
        <is>
          <t>NOTHING OPEN</t>
        </is>
      </c>
    </row>
    <row r="149" ht="60" customHeight="1">
      <c r="A149" s="3" t="inlineStr">
        <is>
          <t>MK-CF-F-155</t>
        </is>
      </c>
      <c r="B149" s="3" t="inlineStr">
        <is>
          <t>cash</t>
        </is>
      </c>
      <c r="C149" s="3" t="inlineStr">
        <is>
          <t>MoneyKeel/functions/cashflow/this-month.ts</t>
        </is>
      </c>
      <c r="D149" s="3" t="n">
        <v>204</v>
      </c>
      <c r="E149" s="3" t="inlineStr">
        <is>
          <t>1 · ACTION</t>
        </is>
      </c>
      <c r="F149" s="3" t="inlineStr">
        <is>
          <t>Negating zero in JavaScript gives NEGATIVE zero, which formats as "−$0" — and a person looking at "−$0" beside an unpaid car loan reasonably wonders what it means.</t>
        </is>
      </c>
      <c r="G149" s="11" t="inlineStr">
        <is>
          <t>0   if n = 0
n   otherwise</t>
        </is>
      </c>
      <c r="H149" s="3" t="inlineStr">
        <is>
          <t>0 — when n = 0; n — otherwise</t>
        </is>
      </c>
      <c r="I149" s="3" t="inlineStr">
        <is>
          <t>READ FROM THE CODE — rendered from the expressions the function runs</t>
        </is>
      </c>
      <c r="J149" s="3" t="inlineStr">
        <is>
          <t>n: number</t>
        </is>
      </c>
      <c r="K149" s="3" t="inlineStr">
        <is>
          <t>number</t>
        </is>
      </c>
      <c r="L149" s="3" t="inlineStr">
        <is>
          <t>—</t>
        </is>
      </c>
      <c r="M149" s="3" t="inlineStr">
        <is>
          <t>None found in this function — anything it assumes comes from the functions it depends on.</t>
        </is>
      </c>
      <c r="N149" s="3" t="inlineStr">
        <is>
          <t>Yes</t>
        </is>
      </c>
      <c r="O149" s="3" t="inlineStr">
        <is>
          <t>MK-XS-F-122 n</t>
        </is>
      </c>
      <c r="P149" s="3" t="n">
        <v>1</v>
      </c>
      <c r="Q149" s="3" t="inlineStr">
        <is>
          <t>MK-XS-F-122 n</t>
        </is>
      </c>
      <c r="R149" s="3" t="inlineStr">
        <is>
          <t>MK-XS-F-122 n → MK-CF-F-155 cash</t>
        </is>
      </c>
      <c r="S149" s="3" t="inlineStr">
        <is>
          <t>—</t>
        </is>
      </c>
      <c r="T149" s="3" t="inlineStr">
        <is>
          <t>—</t>
        </is>
      </c>
      <c r="U149" s="3" t="inlineStr">
        <is>
          <t>ACTIVE</t>
        </is>
      </c>
      <c r="V149" s="3" t="inlineStr">
        <is>
          <t>2026-09-09</t>
        </is>
      </c>
      <c r="W149" s="3" t="n"/>
      <c r="X149" s="3" t="n"/>
      <c r="Y149" s="3" t="inlineStr">
        <is>
          <t>NOTHING OPEN</t>
        </is>
      </c>
    </row>
    <row r="150" ht="60" customHeight="1">
      <c r="A150" s="3" t="inlineStr">
        <is>
          <t>MK-CF-F-156</t>
        </is>
      </c>
      <c r="B150" s="3" t="inlineStr">
        <is>
          <t>plannedMonthFlow</t>
        </is>
      </c>
      <c r="C150" s="3" t="inlineStr">
        <is>
          <t>MoneyKeel/functions/cashflow/this-month.ts</t>
        </is>
      </c>
      <c r="D150" s="3" t="n">
        <v>250</v>
      </c>
      <c r="E150" s="3" t="inlineStr">
        <is>
          <t>3 · DEPENDENT</t>
        </is>
      </c>
      <c r="F150" s="3" t="inlineStr">
        <is>
          <t>THE PLAN for this month: the take-home, less each debt, less planned expenses.</t>
        </is>
      </c>
      <c r="G150" s="11" t="inlineStr">
        <is>
          <t>plan set = (planned expenses ?? 0) &gt; 0
every month = debts (or none when missing) where !is radar item(each)
radar = debts (or none when missing) where is radar item(each)
due = required payment(d)
radar kind = is radar item(d)
the answer:
lines = lines
surplus = cash(lines.reduce((t, l) =&gt; t + amount, 0))
plan set = plan set</t>
        </is>
      </c>
      <c r="H150" s="3" t="inlineStr">
        <is>
          <t>Plan set is (planned expenses ?? 0) &gt; 0. Every month is debts (or none — when missing) where !is radar item(each). Radar is debts (or none — when missing) where is radar item(each). Due is required payment(d). Radar kind is is radar item(d). The answer is lines = lines; surplus = cash(lines.reduce((t, l) =&gt; t plus amount, 0)); plan set = plan set.</t>
        </is>
      </c>
      <c r="I150" s="3" t="inlineStr">
        <is>
          <t>PARTLY READ — some of the code is still showing through; needs a hand pass</t>
        </is>
      </c>
      <c r="J150" s="3" t="inlineStr">
        <is>
          <t>m: MonthInput</t>
        </is>
      </c>
      <c r="K150" s="3" t="inlineStr">
        <is>
          <t>MonthBlock</t>
        </is>
      </c>
      <c r="L150" s="3" t="inlineStr">
        <is>
          <t>—</t>
        </is>
      </c>
      <c r="M150" s="3" t="inlineStr">
        <is>
          <t>· If planned expenses is missing it uses 0.</t>
        </is>
      </c>
      <c r="N150" s="3" t="inlineStr">
        <is>
          <t>Yes</t>
        </is>
      </c>
      <c r="O150" s="3" t="inlineStr">
        <is>
          <t>1. MK-CF-F-155 cash
2. MK-CF-F-192 inflowLabel
3. MK-CF-F-152 isRadarItem
4. MK-CF-F-023 requiredPayment
5. MK-XS-F-027 takeHomeMonthly</t>
        </is>
      </c>
      <c r="P150" s="3" t="n">
        <v>99</v>
      </c>
      <c r="Q150" s="3" t="inlineStr">
        <is>
          <t>1. MK-CF-F-155 cash
2. MK-CF-F-192 inflowLabel
3. MK-CF-F-152 isRadarItem
4. MK-CF-F-023 requiredPayment
5. MK-XS-F-027 takeHomeMonthly
6. MK-XS-F-122 n
7. MK-CF-F-193 inflowSourceWord
8. MK-CF-F-022 paymentShape
9. MK-CF-F-092 incomeMonthlyGrid
10. MK-CF-F-011 savingsByMonth
11. MK-CF-F-021 defaultPaymentType
12. MK-CF-F-069 benefitActiveMonths
13. MK-CF-F-072 currentRetirementIncomeMonthly
14. MK-CF-F-173 earnerWages
15. MK-CF-F-065 equityVestWeights
16. MK-CF-F-071 extraIncome
17. MK-ST-F-056 has
18. MK-CF-F-206 householdK401ByMonth
19. MK-CF-F-132 map
20. MK-CF-F-087 monthlyTaxRates
21. MK-CF-F-073 otherIncomeMonth
22. MK-CF-F-181 rateInForce
23. MK-CF-F-068 rentalNetAnnual
24. MK-CF-F-066 rsuAnnual
25. MK-CF-F-060 salaryGrossByMonth
26. MK-CF-F-077 scholarshipByCalendarMonth
27. MK-CF-F-088 taxableByCalendarMonth
28. MK-ST-F-052 toNum
29. MK-CF-F-177 wageGrossByMonth
30. MK-PL-F-012 waterfall
31. MK-CF-F-008 spendByMonth
32. MK-CF-F-075 retirementIncomeMonthly
33. MK-CF-F-172 hasWage
34. MK-CF-F-062 equityRowValue
35. MK-CF-F-070 benefitAnnual
36. MK-ST-F-039 on
37. MK-CF-F-176 sumMonthsOverEarners
38. MK-CF-F-203 MONTH
39. MK-CF-F-090 effectiveRate
40. MK-CF-F-180 enteredLandsAnnual
41. MK-CF-F-085 filingStatusOf
42. MK-CF-F-089 over65CountOf
43. MK-CF-F-082 salaryAnnual
44. MK-CF-F-086 stateRateOf
45. MK-CF-F-101 taxOwedFor
46. MK-CF-F-084 taxableAnnual
47. MK-CF-O-002 expenses
48. MK-CF-F-067 rentalList
49. MK-CF-F-063 rowVestYear
50. MK-CF-F-130 enteredMonthlyRaw
51. MK-CF-F-166 hasMonthlySalaryTable
52. MK-ST-F-036 reconcile
53. MK-CF-F-167 salaryCalendarYear
54. MK-CF-F-120 pctBaseMonthly
55. MK-CF-F-004 spendBuckets
56. MK-CF-O-010 theMonth
57. MK-CF-F-100 taxableIncomeFor
58. MK-CF-F-074 tipsAnnual
59. MK-CF-F-151 actualSpending
60. MK-CF-F-150 debtPaymentsCountedAsExpenses
61. MK-CF-F-153 radar
62. MK-CF-F-149 recurringDebtPayments
63. MK-CF-F-165 salaryMonths
64. MK-CF-F-003 categoryMonthly
65. MK-CF-O-003 thisMonth
66. MK-CF-F-099 deductionFor
67. MK-CF-F-081 salaryActiveMonths
68. MK-CF-F-148 inMonth
69. MK-CF-F-191 ym
70. MK-CF-F-005 actualMonthFlow
71. MK-CF-F-187 seniorDeductionFor
72. MK-NW-F-078 ONE
73. MK-CF-F-157 debtPaymentsByDebt
74. MK-NW-F-077 ALL
75. MK-NW-F-059 currentYield
76. MK-XS-F-180 declareFigures
77. MK-ST-F-049 formatMoney
78. MK-ST-F-053 money
79. MK-NW-O-001 theBonds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150" s="3" t="inlineStr">
        <is>
          <t>1. MK-XS-F-122 n → MK-CF-F-155 cash → MK-CF-F-156 plannedMonthFlow
2. MK-CF-F-193 inflowSourceWord → MK-CF-F-192 inflowLabel → MK-CF-F-156 plannedMonthFlow
3. MK-CF-F-021 defaultPaymentType → MK-CF-F-022 paymentShape → MK-CF-F-152 isRadarItem → MK-CF-F-156 plannedMonthFlow
4. MK-CF-F-021 defaultPaymentType → MK-CF-F-022 paymentShape → MK-CF-F-023 requiredPayment → MK-CF-F-156 plannedMonthFlow
5. MK-CF-F-069 benefitActiveMonths → MK-CF-F-092 incomeMonthlyGrid → MK-XS-F-027 takeHomeMonthly → MK-CF-F-156 plannedMonthFlow
6. MK-ST-F-052 toNum → MK-CF-F-075 retirementIncomeMonthly → MK-CF-F-072 currentRetirementIncomeMonthly → MK-CF-F-092 incomeMonthlyGrid → MK-XS-F-027 takeHomeMonthly → MK-CF-F-156 plannedMonthFlow
7. MK-ST-F-056 has → MK-CF-F-172 hasWage → MK-CF-F-173 earnerWages → MK-CF-F-092 incomeMonthlyGrid → MK-XS-F-027 takeHomeMonthly → MK-CF-F-156 plannedMonthFlow
8. MK-ST-F-052 toNum → MK-CF-F-062 equityRowValue → MK-CF-F-065 equityVestWeights → MK-CF-F-092 incomeMonthlyGrid → MK-XS-F-027 takeHomeMonthly → MK-CF-F-156 plannedMonthFlow
9. … and 4 more paths</t>
        </is>
      </c>
      <c r="S150" s="3" t="inlineStr">
        <is>
          <t>—</t>
        </is>
      </c>
      <c r="T150" s="3" t="inlineStr">
        <is>
          <t>—</t>
        </is>
      </c>
      <c r="U150" s="3" t="inlineStr">
        <is>
          <t>ACTIVE</t>
        </is>
      </c>
      <c r="V150" s="3" t="inlineStr">
        <is>
          <t>2026-10-03</t>
        </is>
      </c>
      <c r="W150" s="3" t="n"/>
      <c r="X150" s="3" t="n"/>
      <c r="Y150" s="3" t="inlineStr">
        <is>
          <t>NOTHING OPEN</t>
        </is>
      </c>
    </row>
    <row r="151" ht="60" customHeight="1">
      <c r="A151" s="3" t="inlineStr">
        <is>
          <t>MK-CF-F-157</t>
        </is>
      </c>
      <c r="B151" s="3" t="inlineStr">
        <is>
          <t>debtPaymentsByDebt</t>
        </is>
      </c>
      <c r="C151" s="3" t="inlineStr">
        <is>
          <t>MoneyKeel/functions/cashflow/this-month.ts</t>
        </is>
      </c>
      <c r="D151" s="3" t="n">
        <v>416</v>
      </c>
      <c r="E151" s="3" t="inlineStr">
        <is>
          <t>3 · DEPENDENT</t>
        </is>
      </c>
      <c r="F151" s="3" t="inlineStr">
        <is>
          <t>WHICH DEBTS HAVE ACTUALLY BEEN PAID this month, and how much each.</t>
        </is>
      </c>
      <c r="G151" s="11" t="inlineStr">
        <is>
          <t>out = new map&lt;string, number&gt;()
by label = a lookup of for each of debts (or none when missing): [string(label).trim().to lower case(), debt id]
id = by label.get(string(store ?? '').trim().to lower case())
the answer = out</t>
        </is>
      </c>
      <c r="H151" s="3" t="inlineStr">
        <is>
          <t>Out is new map&lt;string, number&gt;(). By label is a lookup of for each of debts (or none — when missing): [string(label).trim().to lower case(), debt id]. Id is by label.get(string(store ?? '').trim().to lower case()). The answer is out.</t>
        </is>
      </c>
      <c r="I151" s="3" t="inlineStr">
        <is>
          <t>PARTLY READ — some of the code is still showing through; needs a hand pass</t>
        </is>
      </c>
      <c r="J151" s="3" t="inlineStr">
        <is>
          <t>m: MonthInput</t>
        </is>
      </c>
      <c r="K151" s="3" t="inlineStr">
        <is>
          <t>Map&lt;string, number&gt;</t>
        </is>
      </c>
      <c r="L151" s="3" t="inlineStr">
        <is>
          <t>—</t>
        </is>
      </c>
      <c r="M151" s="3" t="inlineStr">
        <is>
          <t>None found in this function — anything it assumes comes from the functions it depends on.</t>
        </is>
      </c>
      <c r="N151" s="3" t="inlineStr">
        <is>
          <t>Yes</t>
        </is>
      </c>
      <c r="O151" s="3" t="inlineStr">
        <is>
          <t>1. MK-CF-F-203 MONTH
2. MK-CF-F-148 inMonth
3. MK-CF-F-132 map
4. MK-ST-F-052 toNum
5. MK-CF-F-191 ym</t>
        </is>
      </c>
      <c r="P151" s="3" t="n">
        <v>99</v>
      </c>
      <c r="Q151" s="3" t="inlineStr">
        <is>
          <t>1. MK-CF-F-203 MONTH
2. MK-CF-F-148 inMonth
3. MK-CF-F-132 map
4. MK-ST-F-052 toNum
5. MK-CF-F-191 ym
6. MK-CF-O-010 theMonth
7. MK-XS-F-122 n
8. MK-CF-F-155 cash
9. MK-CF-O-002 expenses
10. MK-CF-O-003 thisMonth
11. MK-CF-F-151 actualSpending
12. MK-CF-F-150 debtPaymentsCountedAsExpenses
13. MK-CF-F-153 radar
14. MK-CF-F-149 recurringDebtPayments
15. MK-CF-F-005 actualMonthFlow
16. MK-CF-F-156 plannedMonthFlow
17. MK-ST-F-056 has
18. MK-CF-F-022 paymentShape
19. MK-CF-F-152 isRadarItem
20. MK-CF-F-023 requiredPayment
21. MK-NW-F-078 ONE
22. MK-CF-F-192 inflowLabel
23. MK-XS-F-027 takeHomeMonthly
24. MK-CF-F-021 defaultPaymentType
25. MK-NW-F-077 ALL
26. MK-NW-F-059 currentYield
27. MK-XS-F-180 declareFigures
28. MK-ST-F-049 formatMoney
29. MK-ST-F-053 money
30. MK-NW-O-001 theBonds
31. MK-CF-F-193 inflowSourceWord
32. MK-CF-F-092 incomeMonthlyGrid
33. MK-CF-F-011 savingsByMonth
34. MK-NW-F-057 annualCoupon
35. MK-ST-F-048 currencySymbol
36. MK-ST-F-039 on
37. MK-ST-F-027 accountId
38. MK-NW-F-056 bondInfo
39. MK-NW-F-064 bondRateSensitivity
40. MK-NW-F-061 bondSummary
41. MK-NW-F-055 isBond
42. MK-NW-F-072 rowOf
43. MK-CF-F-069 benefitActiveMonths
44. MK-CF-F-072 currentRetirementIncomeMonthly
45. MK-CF-F-173 earnerWages
46. MK-CF-F-065 equityVestWeights
47. MK-CF-F-071 extraIncome
48. MK-CF-F-206 householdK401ByMonth
49. MK-CF-F-087 monthlyTaxRates
50. MK-CF-F-073 otherIncomeMonth
51. MK-CF-F-181 rateInForce
52. MK-CF-F-068 rentalNetAnnual
53. MK-CF-F-066 rsuAnnual
54. MK-CF-F-060 salaryGrossByMonth
55. MK-CF-F-077 scholarshipByCalendarMonth
56. MK-CF-F-088 taxableByCalendarMonth
57. MK-CF-F-177 wageGrossByMonth
58. MK-PL-F-012 waterfall
59. MK-CF-F-008 spendByMonth
60. MK-ST-F-047 activeCurrency
61. MK-NW-F-060 approxYTM
62. MK-NW-F-069 priceAtYield
63. MK-NW-F-011 assetClassOf
64. MK-NW-F-070 accruedInterestCaveat
65. MK-NW-F-071 isCertificateOfDeposit
66. MK-NW-F-058 yearsToMaturity
67. MK-CF-F-075 retirementIncomeMonthly
68. MK-CF-F-172 hasWage
69. MK-CF-F-062 equityRowValue
70. MK-CF-F-070 benefitAnnual
71. MK-CF-F-176 sumMonthsOverEarners
72. MK-CF-F-090 effectiveRate
73. MK-CF-F-180 enteredLandsAnnual
74. MK-CF-F-085 filingStatusOf
75. MK-CF-F-089 over65CountOf
76. MK-CF-F-082 salaryAnnual
77. MK-CF-F-086 stateRateOf
78. MK-CF-F-101 taxOwedFor
79. MK-CF-F-084 taxableAnnual
80. MK-CF-F-067 rentalList
81. MK-CF-F-063 rowVestYear
82. MK-CF-F-130 enteredMonthlyRaw
83. MK-CF-F-166 hasMonthlySalaryTable
84. MK-ST-F-036 reconcile
85. MK-CF-F-167 salaryCalendarYear
86. MK-CF-F-120 pctBaseMonthly
87. MK-CF-F-004 spendBuckets
88. MK-NW-F-008 incomeBearingClassOf
89. MK-CF-F-100 taxableIncomeFor
90. MK-CF-F-074 tipsAnnual
91. MK-CF-F-165 salaryMonths
92. MK-CF-F-003 categoryMonthly
93. MK-ST-F-010 nameEvidence
94. MK-CF-F-099 deductionFor
95. MK-CF-F-081 salaryActiveMonths
96. MK-XS-F-147 call
97. MK-CF-F-187 seniorDeductionFor
98. MK-XS-F-064 currentIdToken
99. MK-XS-F-112 relayUrl</t>
        </is>
      </c>
      <c r="R151" s="3" t="inlineStr">
        <is>
          <t>1. MONTH (already above — a loop) → MK-CF-O-010 theMonth → MK-CF-F-203 MONTH → MK-CF-F-157 debtPaymentsByDebt
2. MK-XS-F-122 n → MK-CF-F-155 cash → MK-CF-O-010 theMonth → MK-CF-F-203 MONTH → MK-CF-F-157 debtPaymentsByDebt
3. MK-CF-F-148 inMonth → MK-CF-F-151 actualSpending → MK-CF-O-002 expenses → MK-CF-O-010 theMonth → MK-CF-F-203 MONTH → MK-CF-F-157 debtPaymentsByDebt
4. MK-ST-F-052 toNum → MK-CF-F-151 actualSpending → MK-CF-O-002 expenses → MK-CF-O-010 theMonth → MK-CF-F-203 MONTH → MK-CF-F-157 debtPaymentsByDebt
5. MK-CF-F-191 ym → MK-CF-F-151 actualSpending → MK-CF-O-002 expenses → MK-CF-O-010 theMonth → MK-CF-F-203 MONTH → MK-CF-F-157 debtPaymentsByDebt
6. MK-ST-F-056 has → MK-CF-F-150 debtPaymentsCountedAsExpenses → MK-CF-O-002 expenses → MK-CF-O-010 theMonth → MK-CF-F-203 MONTH → MK-CF-F-157 debtPaymentsByDebt
7. MK-CF-F-148 inMonth → MK-CF-F-150 debtPaymentsCountedAsExpenses → MK-CF-O-002 expenses → MK-CF-O-010 theMonth → MK-CF-F-203 MONTH → MK-CF-F-157 debtPaymentsByDebt
8. MK-CF-F-022 paymentShape → MK-CF-F-150 debtPaymentsCountedAsExpenses → MK-CF-O-002 expenses → MK-CF-O-010 theMonth → MK-CF-F-203 MONTH → MK-CF-F-157 debtPaymentsByDebt
9. … and 5 more paths</t>
        </is>
      </c>
      <c r="S151" s="3" t="inlineStr">
        <is>
          <t>—</t>
        </is>
      </c>
      <c r="T151" s="3" t="inlineStr">
        <is>
          <t>—</t>
        </is>
      </c>
      <c r="U151" s="3" t="inlineStr">
        <is>
          <t>ACTIVE</t>
        </is>
      </c>
      <c r="V151" s="3" t="inlineStr">
        <is>
          <t>2026-08-27</t>
        </is>
      </c>
      <c r="W151" s="3" t="n"/>
      <c r="X151" s="3" t="n"/>
      <c r="Y151" s="3" t="inlineStr">
        <is>
          <t>NOTHING OPEN</t>
        </is>
      </c>
    </row>
    <row r="152" ht="45" customHeight="1">
      <c r="A152" s="3" t="inlineStr">
        <is>
          <t>MK-CF-F-159</t>
        </is>
      </c>
      <c r="B152" s="3" t="inlineStr">
        <is>
          <t>isRecurringDebt</t>
        </is>
      </c>
      <c r="C152" s="3" t="inlineStr">
        <is>
          <t>MoneyKeel/functions/cashflow/this-month.ts</t>
        </is>
      </c>
      <c r="D152" s="3" t="n">
        <v>683</v>
      </c>
      <c r="E152" s="3" t="inlineStr">
        <is>
          <t>1 · ACTION</t>
        </is>
      </c>
      <c r="F152" s="3" t="inlineStr">
        <is>
          <t>Is this debt one that repeats unchanged every month?</t>
        </is>
      </c>
      <c r="G152" s="11" t="inlineStr">
        <is>
          <t>payment shape(d) = 'installment'</t>
        </is>
      </c>
      <c r="H152" s="3" t="inlineStr">
        <is>
          <t>payment shape(d) = 'installment'</t>
        </is>
      </c>
      <c r="I152" s="3" t="inlineStr">
        <is>
          <t>READ FROM THE CODE — rendered from the expressions the function runs</t>
        </is>
      </c>
      <c r="J152" s="3" t="inlineStr">
        <is>
          <t>d: Debt</t>
        </is>
      </c>
      <c r="K152" s="3" t="inlineStr">
        <is>
          <t>boolean</t>
        </is>
      </c>
      <c r="L152" s="3" t="inlineStr">
        <is>
          <t>—</t>
        </is>
      </c>
      <c r="M152" s="3" t="inlineStr">
        <is>
          <t>None found in this function — anything it assumes comes from the functions it depends on.</t>
        </is>
      </c>
      <c r="N152" s="3" t="inlineStr">
        <is>
          <t>No</t>
        </is>
      </c>
      <c r="O152" s="3" t="inlineStr">
        <is>
          <t>MK-CF-F-022 paymentShape</t>
        </is>
      </c>
      <c r="P152" s="3" t="n">
        <v>2</v>
      </c>
      <c r="Q152" s="3" t="inlineStr">
        <is>
          <t>1. MK-CF-F-022 paymentShape
2. MK-CF-F-021 defaultPaymentType</t>
        </is>
      </c>
      <c r="R152" s="3" t="inlineStr">
        <is>
          <t>MK-CF-F-021 defaultPaymentType → MK-CF-F-022 paymentShape → MK-CF-F-159 isRecurringDebt</t>
        </is>
      </c>
      <c r="S152" s="3" t="inlineStr">
        <is>
          <t>—</t>
        </is>
      </c>
      <c r="T152" s="3" t="inlineStr">
        <is>
          <t>—</t>
        </is>
      </c>
      <c r="U152" s="3" t="inlineStr">
        <is>
          <t>ACTIVE</t>
        </is>
      </c>
      <c r="V152" s="3" t="inlineStr">
        <is>
          <t>2026-08-27</t>
        </is>
      </c>
      <c r="W152" s="3" t="n"/>
      <c r="X152" s="3" t="n"/>
      <c r="Y152" s="3" t="inlineStr">
        <is>
          <t>NOTHING OPEN</t>
        </is>
      </c>
    </row>
    <row r="153" ht="30" customHeight="1">
      <c r="A153" s="3" t="inlineStr">
        <is>
          <t>MK-CF-F-160</t>
        </is>
      </c>
      <c r="B153" s="3" t="inlineStr">
        <is>
          <t>daysBetweenDates</t>
        </is>
      </c>
      <c r="C153" s="3" t="inlineStr">
        <is>
          <t>src/domain/cashflow/index.ts</t>
        </is>
      </c>
      <c r="D153" s="3" t="n">
        <v>118</v>
      </c>
      <c r="E153" s="3" t="inlineStr">
        <is>
          <t>3 · DEPENDENT</t>
        </is>
      </c>
      <c r="F153" s="3" t="inlineStr">
        <is>
          <t>The number of whole days from one date to another.</t>
        </is>
      </c>
      <c r="G153" s="11" t="inlineStr">
        <is>
          <t>the answer = round((b − a) in milliseconds ÷ 86,400,000)</t>
        </is>
      </c>
      <c r="H153" s="3" t="inlineStr">
        <is>
          <t>Whole days between two dates, rounded to the nearest day.</t>
        </is>
      </c>
      <c r="I153" s="3" t="inlineStr">
        <is>
          <t>READ BY HAND 2026-08-26 — checked line by line against the code</t>
        </is>
      </c>
      <c r="J153" s="3" t="inlineStr">
        <is>
          <t>1. a: Date
2. b: Date</t>
        </is>
      </c>
      <c r="K153" s="3" t="inlineStr">
        <is>
          <t>number</t>
        </is>
      </c>
      <c r="L153" s="3" t="inlineStr">
        <is>
          <t>—</t>
        </is>
      </c>
      <c r="M153" s="3" t="inlineStr">
        <is>
          <t>· Rounds the answer to a whole number.</t>
        </is>
      </c>
      <c r="N153" s="3" t="inlineStr">
        <is>
          <t>Yes</t>
        </is>
      </c>
      <c r="O153" s="3" t="inlineStr">
        <is>
          <t>—</t>
        </is>
      </c>
      <c r="P153" s="3" t="n">
        <v>0</v>
      </c>
      <c r="Q153" s="3" t="inlineStr">
        <is>
          <t>None — no dependent function stands behind it</t>
        </is>
      </c>
      <c r="R153" s="3" t="inlineStr">
        <is>
          <t>No dependent function — it reads its inputs and answers</t>
        </is>
      </c>
      <c r="S153" s="3" t="inlineStr">
        <is>
          <t>—</t>
        </is>
      </c>
      <c r="T153" s="3" t="inlineStr">
        <is>
          <t>—</t>
        </is>
      </c>
      <c r="U153" s="3" t="inlineStr">
        <is>
          <t>ACTIVE</t>
        </is>
      </c>
      <c r="V153" s="3" t="inlineStr">
        <is>
          <t>2026-09-12</t>
        </is>
      </c>
      <c r="W153" s="3" t="n"/>
      <c r="X153" s="3" t="n"/>
      <c r="Y153" s="3" t="inlineStr">
        <is>
          <t>NOTHING OPEN</t>
        </is>
      </c>
    </row>
    <row r="154" ht="60" customHeight="1">
      <c r="A154" s="3" t="inlineStr">
        <is>
          <t>MK-CF-F-161</t>
        </is>
      </c>
      <c r="B154" s="3" t="inlineStr">
        <is>
          <t>monthlyGrossOfSource</t>
        </is>
      </c>
      <c r="C154" s="3" t="inlineStr">
        <is>
          <t>src/domain/income/calc.ts</t>
        </is>
      </c>
      <c r="D154" s="3" t="n">
        <v>191</v>
      </c>
      <c r="E154" s="3" t="inlineStr">
        <is>
          <t>3 · DEPENDENT</t>
        </is>
      </c>
      <c r="F154" s="3" t="inlineStr">
        <is>
          <t>The gross amount one income source brings in each of the twelve months, with rent taken after its running costs and lump payments placed in the months they arrive.</t>
        </is>
      </c>
      <c r="G154" s="11" t="inlineStr">
        <is>
          <t>m = 12 slots, each 0
amt = gross amount − (operating expenses or 0)   if is rental(income type)
gross amount   otherwise
the answer = m</t>
        </is>
      </c>
      <c r="H154" s="3" t="inlineStr">
        <is>
          <t>M is 12 slots, each 0. Amt is gross amount minus (operating expenses or 0) — when is rental(income type); gross amount — otherwise. The answer is m.</t>
        </is>
      </c>
      <c r="I154" s="3" t="inlineStr">
        <is>
          <t>READ FROM THE CODE — rendered from the expressions the function runs</t>
        </is>
      </c>
      <c r="J154" s="3" t="inlineStr">
        <is>
          <t>s: IncomeSource</t>
        </is>
      </c>
      <c r="K154" s="3" t="inlineStr">
        <is>
          <t>number[]</t>
        </is>
      </c>
      <c r="L154" s="3" t="inlineStr">
        <is>
          <t>—</t>
        </is>
      </c>
      <c r="M154" s="3" t="inlineStr">
        <is>
          <t>1. If landing month is missing it uses 12.
2. If landing month is missing it uses 1.
3. If operating expenses is missing it counts as zero, so nothing recorded and a real zero look the same.
4. Never lets month fall below 1.</t>
        </is>
      </c>
      <c r="N154" s="3" t="inlineStr">
        <is>
          <t>Yes</t>
        </is>
      </c>
      <c r="O154" s="3" t="inlineStr">
        <is>
          <t>MK-CF-F-127 isRental</t>
        </is>
      </c>
      <c r="P154" s="3" t="n">
        <v>1</v>
      </c>
      <c r="Q154" s="3" t="inlineStr">
        <is>
          <t>MK-CF-F-127 isRental</t>
        </is>
      </c>
      <c r="R154" s="3" t="inlineStr">
        <is>
          <t>MK-CF-F-127 isRental → MK-CF-F-161 monthlyGrossOfSource</t>
        </is>
      </c>
      <c r="S154" s="3" t="inlineStr">
        <is>
          <t>—</t>
        </is>
      </c>
      <c r="T154" s="3" t="inlineStr">
        <is>
          <t>—</t>
        </is>
      </c>
      <c r="U154" s="3" t="inlineStr">
        <is>
          <t>ACTIVE</t>
        </is>
      </c>
      <c r="V154" s="3" t="inlineStr">
        <is>
          <t>2026-08-27</t>
        </is>
      </c>
      <c r="W154" s="3" t="n"/>
      <c r="X154" s="3" t="n"/>
      <c r="Y154" s="3" t="inlineStr">
        <is>
          <t>NOTHING OPEN</t>
        </is>
      </c>
    </row>
    <row r="155" ht="60" customHeight="1">
      <c r="A155" s="3" t="inlineStr">
        <is>
          <t>MK-CF-F-162</t>
        </is>
      </c>
      <c r="B155" s="3" t="inlineStr">
        <is>
          <t>daysApart</t>
        </is>
      </c>
      <c r="C155" s="3" t="inlineStr">
        <is>
          <t>src/domain/transactions/flags.ts</t>
        </is>
      </c>
      <c r="D155" s="3" t="n">
        <v>133</v>
      </c>
      <c r="E155" s="3" t="inlineStr">
        <is>
          <t>1 · ACTION</t>
        </is>
      </c>
      <c r="F155" s="3" t="inlineStr">
        <is>
          <t>How many days lie between two dates, whichever comes first.</t>
        </is>
      </c>
      <c r="G155" s="11" t="inlineStr">
        <is>
          <t>size of(the date a).get time() − new date(b) ÷ 86400000</t>
        </is>
      </c>
      <c r="H155" s="3" t="inlineStr">
        <is>
          <t>size of(the date a).get time() minus new date(b) divided by 86400000</t>
        </is>
      </c>
      <c r="I155" s="3" t="inlineStr">
        <is>
          <t>PARTLY READ — some of the code is still showing through; needs a hand pass</t>
        </is>
      </c>
      <c r="J155" s="3" t="inlineStr">
        <is>
          <t>1. a: string
2. b: string</t>
        </is>
      </c>
      <c r="K155" s="3" t="inlineStr">
        <is>
          <t>NOT DECLARED — the code does not say what it gives back</t>
        </is>
      </c>
      <c r="L155" s="3" t="inlineStr">
        <is>
          <t>—</t>
        </is>
      </c>
      <c r="M155" s="3" t="inlineStr">
        <is>
          <t>1. Uses a built-in l a r g e m u l t i p l e of 3.
2. Uses a built-in l a r g e f l o o r of 500.
3. Uses a built-in l a r g e c o l d s t a r t of 1000.
4. Uses a built-in m i n h i s t o r y of 5.
5. Uses a built-in p a y e e f l o o r of 250.
6. Uses a built-in p a t t e r n c o u n t of 3.
7. Uses a built-in p a t t e r n t o t a l of 1000.
8. Uses a built-in h i s t o r y d a y s of 90.</t>
        </is>
      </c>
      <c r="N155" s="3" t="inlineStr">
        <is>
          <t>Yes</t>
        </is>
      </c>
      <c r="O155" s="3" t="inlineStr">
        <is>
          <t>—</t>
        </is>
      </c>
      <c r="P155" s="3" t="n">
        <v>0</v>
      </c>
      <c r="Q155" s="3" t="inlineStr">
        <is>
          <t>None — no dependent function stands behind it</t>
        </is>
      </c>
      <c r="R155" s="3" t="inlineStr">
        <is>
          <t>No dependent function — it reads its inputs and answers</t>
        </is>
      </c>
      <c r="S155" s="3" t="inlineStr">
        <is>
          <t>—</t>
        </is>
      </c>
      <c r="T155" s="3" t="inlineStr">
        <is>
          <t>—</t>
        </is>
      </c>
      <c r="U155" s="3" t="inlineStr">
        <is>
          <t>ACTIVE</t>
        </is>
      </c>
      <c r="V155" s="3" t="inlineStr">
        <is>
          <t>2026-08-27</t>
        </is>
      </c>
      <c r="W155" s="3" t="n"/>
      <c r="X155" s="3" t="n"/>
      <c r="Y155" s="3" t="inlineStr">
        <is>
          <t>NOTHING OPEN</t>
        </is>
      </c>
    </row>
    <row r="156" ht="45" customHeight="1">
      <c r="A156" s="3" t="inlineStr">
        <is>
          <t>MK-CF-F-163</t>
        </is>
      </c>
      <c r="B156" s="3" t="inlineStr">
        <is>
          <t>monthKey</t>
        </is>
      </c>
      <c r="C156" s="3" t="inlineStr">
        <is>
          <t>src/domain/income/salary-months.ts</t>
        </is>
      </c>
      <c r="D156" s="3" t="n">
        <v>38</v>
      </c>
      <c r="E156" s="3" t="inlineStr">
        <is>
          <t>2 · DISPLAYED</t>
        </is>
      </c>
      <c r="F156" s="3" t="inlineStr">
        <is>
          <t>'YYYY-MM' for a date, read from the local clock — never toISOString, which is UTC.</t>
        </is>
      </c>
      <c r="G156" s="11" t="inlineStr">
        <is>
          <t>`${get full year()}-${string(get month() + 1).pad start(2, '0')}`</t>
        </is>
      </c>
      <c r="H156" s="3" t="inlineStr">
        <is>
          <t>`${get full year()}-${string(get month() plus 1).pad start(2, '0')}`.</t>
        </is>
      </c>
      <c r="I156" s="3" t="inlineStr">
        <is>
          <t>PARTLY READ — some of the code is still showing through; needs a hand pass</t>
        </is>
      </c>
      <c r="J156" s="3" t="inlineStr">
        <is>
          <t>d: Date</t>
        </is>
      </c>
      <c r="K156" s="3" t="inlineStr">
        <is>
          <t>string</t>
        </is>
      </c>
      <c r="L156" s="3" t="inlineStr">
        <is>
          <t>NOT FOUND — a screen calls it, but the words printed beside its answer could not be traced automatically. Needs reading.</t>
        </is>
      </c>
      <c r="M156" s="3" t="inlineStr">
        <is>
          <t>None found in this function — anything it assumes comes from the functions it depends on.</t>
        </is>
      </c>
      <c r="N156" s="3" t="inlineStr">
        <is>
          <t>Yes</t>
        </is>
      </c>
      <c r="O156" s="3" t="inlineStr">
        <is>
          <t>MK-CF-F-164 monthWindow</t>
        </is>
      </c>
      <c r="P156" s="3" t="n">
        <v>1</v>
      </c>
      <c r="Q156" s="3" t="inlineStr">
        <is>
          <t>MK-CF-F-164 monthWindow</t>
        </is>
      </c>
      <c r="R156" s="3" t="inlineStr">
        <is>
          <t>monthKey (already above — a loop) → MK-CF-F-164 monthWindow → MK-CF-F-163 monthKey</t>
        </is>
      </c>
      <c r="S156" s="3" t="inlineStr">
        <is>
          <t>—</t>
        </is>
      </c>
      <c r="T156" s="3" t="inlineStr">
        <is>
          <t>—</t>
        </is>
      </c>
      <c r="U156" s="3" t="inlineStr">
        <is>
          <t>ACTIVE</t>
        </is>
      </c>
      <c r="V156" s="3" t="inlineStr">
        <is>
          <t>2026-08-27</t>
        </is>
      </c>
      <c r="W156" s="3" t="n"/>
      <c r="X156" s="3" t="n"/>
      <c r="Y156" s="3" t="inlineStr">
        <is>
          <t>NOTHING OPEN</t>
        </is>
      </c>
    </row>
    <row r="157" ht="60" customHeight="1">
      <c r="A157" s="3" t="inlineStr">
        <is>
          <t>MK-CF-F-164</t>
        </is>
      </c>
      <c r="B157" s="3" t="inlineStr">
        <is>
          <t>monthWindow</t>
        </is>
      </c>
      <c r="C157" s="3" t="inlineStr">
        <is>
          <t>src/domain/income/salary-months.ts</t>
        </is>
      </c>
      <c r="D157" s="3" t="n">
        <v>64</v>
      </c>
      <c r="E157" s="3" t="inlineStr">
        <is>
          <t>2 · DISPLAYED</t>
        </is>
      </c>
      <c r="F157" s="3" t="inlineStr">
        <is>
          <t>`count` month keys starting `back` months before `from` — the shape the base-pay table needs.</t>
        </is>
      </c>
      <c r="G157" s="11" t="inlineStr">
        <is>
          <t>out = []
d = the date from.get full year(), from.get month() − back + i, 1
the answer = out</t>
        </is>
      </c>
      <c r="H157" s="3" t="inlineStr">
        <is>
          <t>Out is []. D: the date from.get full year(), from.get month() minus back plus i, 1. The answer is out.</t>
        </is>
      </c>
      <c r="I157" s="3" t="inlineStr">
        <is>
          <t>PARTLY READ — some of the code is still showing through; needs a hand pass</t>
        </is>
      </c>
      <c r="J157" s="3" t="inlineStr">
        <is>
          <t>1. from: Date
2. back: number
3. count: number</t>
        </is>
      </c>
      <c r="K157" s="3" t="inlineStr">
        <is>
          <t>string[]</t>
        </is>
      </c>
      <c r="L157" s="3" t="inlineStr">
        <is>
          <t>NOT FOUND — a screen calls it, but the words printed beside its answer could not be traced automatically. Needs reading.</t>
        </is>
      </c>
      <c r="M157" s="3" t="inlineStr">
        <is>
          <t>None found in this function — anything it assumes comes from the functions it depends on.</t>
        </is>
      </c>
      <c r="N157" s="3" t="inlineStr">
        <is>
          <t>Yes</t>
        </is>
      </c>
      <c r="O157" s="3" t="inlineStr">
        <is>
          <t>MK-CF-F-163 monthKey</t>
        </is>
      </c>
      <c r="P157" s="3" t="n">
        <v>1</v>
      </c>
      <c r="Q157" s="3" t="inlineStr">
        <is>
          <t>MK-CF-F-163 monthKey</t>
        </is>
      </c>
      <c r="R157" s="3" t="inlineStr">
        <is>
          <t>monthWindow (already above — a loop) → MK-CF-F-163 monthKey → MK-CF-F-164 monthWindow</t>
        </is>
      </c>
      <c r="S157" s="3" t="inlineStr">
        <is>
          <t>—</t>
        </is>
      </c>
      <c r="T157" s="3" t="inlineStr">
        <is>
          <t>—</t>
        </is>
      </c>
      <c r="U157" s="3" t="inlineStr">
        <is>
          <t>ACTIVE</t>
        </is>
      </c>
      <c r="V157" s="3" t="inlineStr">
        <is>
          <t>2026-08-27</t>
        </is>
      </c>
      <c r="W157" s="3" t="n"/>
      <c r="X157" s="3" t="n"/>
      <c r="Y157" s="3" t="inlineStr">
        <is>
          <t>NOTHING OPEN</t>
        </is>
      </c>
    </row>
    <row r="158" ht="60" customHeight="1">
      <c r="A158" s="3" t="inlineStr">
        <is>
          <t>MK-CF-F-165</t>
        </is>
      </c>
      <c r="B158" s="3" t="inlineStr">
        <is>
          <t>salaryMonths</t>
        </is>
      </c>
      <c r="C158" s="3" t="inlineStr">
        <is>
          <t>src/domain/income/salary-months.ts</t>
        </is>
      </c>
      <c r="D158" s="3" t="n">
        <v>114</v>
      </c>
      <c r="E158" s="3" t="inlineStr">
        <is>
          <t>2 · DISPLAYED</t>
        </is>
      </c>
      <c r="F158" s="3" t="inlineStr">
        <is>
          <t>THE canonical table: month key → amount, whatever shape it was stored in.</t>
        </is>
      </c>
      <c r="G158" s="11" t="inlineStr">
        <is>
          <t>raw = (op ?? ({} as any)).salary by month
out = {}
y = now.get full year()
out = {}
[LOOP — the answer is found inside a loop the extractor cannot render; the steps above are the ones before it. Read by hand.]</t>
        </is>
      </c>
      <c r="H158" s="3" t="inlineStr">
        <is>
          <t>Raw is (op ?? ({} as any)).salary by month. Out is {}. The answer is out. Y is now.get full year(). Out is {}. The answer is found inside a loop that cannot be rendered here; read the code by hand.</t>
        </is>
      </c>
      <c r="I158" s="3" t="inlineStr">
        <is>
          <t>PARTLY READ — the body has a loop the extractor cannot render; the steps shown are the ones before it. Needs a hand pass (G23).</t>
        </is>
      </c>
      <c r="J158" s="3" t="inlineStr">
        <is>
          <t>1. op: OnboardingProfile | null
2. now: Date = new Date()</t>
        </is>
      </c>
      <c r="K158" s="3" t="inlineStr">
        <is>
          <t>Record&lt;string, number&gt;</t>
        </is>
      </c>
      <c r="L158" s="3" t="inlineStr">
        <is>
          <t>NOT FOUND — a screen calls it, but the words printed beside its answer could not be traced automatically. Needs reading.</t>
        </is>
      </c>
      <c r="M158" s="3" t="inlineStr">
        <is>
          <t>· Uses today's date from the device clock, so the answer changes by itself overnight.</t>
        </is>
      </c>
      <c r="N158" s="3" t="inlineStr">
        <is>
          <t>Yes</t>
        </is>
      </c>
      <c r="O158" s="3" t="inlineStr">
        <is>
          <t>MK-ST-F-052 toNum</t>
        </is>
      </c>
      <c r="P158" s="3" t="n">
        <v>2</v>
      </c>
      <c r="Q158" s="3" t="inlineStr">
        <is>
          <t>1. MK-ST-F-052 toNum
2. MK-XS-F-122 n</t>
        </is>
      </c>
      <c r="R158" s="3" t="inlineStr">
        <is>
          <t>MK-XS-F-122 n → MK-ST-F-052 toNum → MK-CF-F-165 salaryMonths</t>
        </is>
      </c>
      <c r="S158" s="3" t="inlineStr">
        <is>
          <t>—</t>
        </is>
      </c>
      <c r="T158" s="3" t="inlineStr">
        <is>
          <t>—</t>
        </is>
      </c>
      <c r="U158" s="3" t="inlineStr">
        <is>
          <t>ACTIVE</t>
        </is>
      </c>
      <c r="V158" s="3" t="inlineStr">
        <is>
          <t>2026-09-08</t>
        </is>
      </c>
      <c r="W158" s="3" t="n"/>
      <c r="X158" s="3" t="n"/>
      <c r="Y158" s="3" t="inlineStr">
        <is>
          <t>NOTHING OPEN</t>
        </is>
      </c>
    </row>
    <row r="159" ht="45" customHeight="1">
      <c r="A159" s="3" t="inlineStr">
        <is>
          <t>MK-CF-F-166</t>
        </is>
      </c>
      <c r="B159" s="3" t="inlineStr">
        <is>
          <t>hasMonthlySalaryTable</t>
        </is>
      </c>
      <c r="C159" s="3" t="inlineStr">
        <is>
          <t>src/domain/income/salary-months.ts</t>
        </is>
      </c>
      <c r="D159" s="3" t="n">
        <v>159</v>
      </c>
      <c r="E159" s="3" t="inlineStr">
        <is>
          <t>2 · DISPLAYED</t>
        </is>
      </c>
      <c r="F159" s="3" t="inlineStr">
        <is>
          <t>Did they tell us their pay varies month to month?</t>
        </is>
      </c>
      <c r="G159" s="11" t="inlineStr">
        <is>
          <t>object.keys(salary months(op)).length &gt; 0</t>
        </is>
      </c>
      <c r="H159" s="3" t="inlineStr">
        <is>
          <t>object.keys(salary months(op)).length &gt; 0.</t>
        </is>
      </c>
      <c r="I159" s="3" t="inlineStr">
        <is>
          <t>PARTLY READ — some of the code is still showing through; needs a hand pass</t>
        </is>
      </c>
      <c r="J159" s="3" t="inlineStr">
        <is>
          <t>op: OnboardingProfile | null</t>
        </is>
      </c>
      <c r="K159" s="3" t="inlineStr">
        <is>
          <t>boolean</t>
        </is>
      </c>
      <c r="L159" s="3" t="inlineStr">
        <is>
          <t>NOT FOUND — a screen calls it, but the words printed beside its answer could not be traced automatically. Needs reading.</t>
        </is>
      </c>
      <c r="M159" s="3" t="inlineStr">
        <is>
          <t>None found in this function — anything it assumes comes from the functions it depends on.</t>
        </is>
      </c>
      <c r="N159" s="3" t="inlineStr">
        <is>
          <t>Yes</t>
        </is>
      </c>
      <c r="O159" s="3" t="inlineStr">
        <is>
          <t>MK-CF-F-165 salaryMonths</t>
        </is>
      </c>
      <c r="P159" s="3" t="n">
        <v>3</v>
      </c>
      <c r="Q159" s="3" t="inlineStr">
        <is>
          <t>1. MK-CF-F-165 salaryMonths
2. MK-ST-F-052 toNum
3. MK-XS-F-122 n</t>
        </is>
      </c>
      <c r="R159" s="3" t="inlineStr">
        <is>
          <t>MK-XS-F-122 n → MK-ST-F-052 toNum → MK-CF-F-165 salaryMonths → MK-CF-F-166 hasMonthlySalaryTable</t>
        </is>
      </c>
      <c r="S159" s="3" t="inlineStr">
        <is>
          <t>—</t>
        </is>
      </c>
      <c r="T159" s="3" t="inlineStr">
        <is>
          <t>—</t>
        </is>
      </c>
      <c r="U159" s="3" t="inlineStr">
        <is>
          <t>ACTIVE</t>
        </is>
      </c>
      <c r="V159" s="3" t="inlineStr">
        <is>
          <t>2026-08-27</t>
        </is>
      </c>
      <c r="W159" s="3" t="n"/>
      <c r="X159" s="3" t="n"/>
      <c r="Y159" s="3" t="inlineStr">
        <is>
          <t>NOTHING OPEN</t>
        </is>
      </c>
    </row>
    <row r="160" ht="60" customHeight="1">
      <c r="A160" s="3" t="inlineStr">
        <is>
          <t>MK-CF-F-167</t>
        </is>
      </c>
      <c r="B160" s="3" t="inlineStr">
        <is>
          <t>salaryCalendarYear</t>
        </is>
      </c>
      <c r="C160" s="3" t="inlineStr">
        <is>
          <t>src/domain/income/salary-months.ts</t>
        </is>
      </c>
      <c r="D160" s="3" t="n">
        <v>199</v>
      </c>
      <c r="E160" s="3" t="inlineStr">
        <is>
          <t>3 · DEPENDENT</t>
        </is>
      </c>
      <c r="F160" s="3" t="inlineStr">
        <is>
          <t>One calendar year as twelve numbers, January first — the shape every existing caller expects.</t>
        </is>
      </c>
      <c r="G160" s="11" t="inlineStr">
        <is>
          <t>t = salary months(op, now)
k = `${year}-${string(i + 1).pad start(2, '0')}`
the answer:
t[k]   if k in t
fallback   otherwise</t>
        </is>
      </c>
      <c r="H160" s="3" t="inlineStr">
        <is>
          <t>T is salary months(op, now). K is `${year}-${string(i plus 1).pad start(2, '0')}`. The answer is t[k] — when k in t; fallback — otherwise.</t>
        </is>
      </c>
      <c r="I160" s="3" t="inlineStr">
        <is>
          <t>PARTLY READ — some of the code is still showing through; needs a hand pass</t>
        </is>
      </c>
      <c r="J160" s="3" t="inlineStr">
        <is>
          <t>Nothing is handed to it</t>
        </is>
      </c>
      <c r="K160" s="3" t="inlineStr">
        <is>
          <t>NOT DECLARED — the code does not say what it gives back</t>
        </is>
      </c>
      <c r="L160" s="3" t="inlineStr">
        <is>
          <t>—</t>
        </is>
      </c>
      <c r="M160" s="3" t="inlineStr">
        <is>
          <t>· Uses today's date from the device clock, so the answer changes by itself overnight.</t>
        </is>
      </c>
      <c r="N160" s="3" t="inlineStr">
        <is>
          <t>Yes</t>
        </is>
      </c>
      <c r="O160" s="3" t="inlineStr">
        <is>
          <t>MK-CF-F-165 salaryMonths</t>
        </is>
      </c>
      <c r="P160" s="3" t="n">
        <v>3</v>
      </c>
      <c r="Q160" s="3" t="inlineStr">
        <is>
          <t>1. MK-CF-F-165 salaryMonths
2. MK-ST-F-052 toNum
3. MK-XS-F-122 n</t>
        </is>
      </c>
      <c r="R160" s="3" t="inlineStr">
        <is>
          <t>MK-XS-F-122 n → MK-ST-F-052 toNum → MK-CF-F-165 salaryMonths → MK-CF-F-167 salaryCalendarYear</t>
        </is>
      </c>
      <c r="S160" s="3" t="inlineStr">
        <is>
          <t>—</t>
        </is>
      </c>
      <c r="T160" s="3" t="inlineStr">
        <is>
          <t>—</t>
        </is>
      </c>
      <c r="U160" s="3" t="inlineStr">
        <is>
          <t>ACTIVE</t>
        </is>
      </c>
      <c r="V160" s="3" t="inlineStr">
        <is>
          <t>2026-08-28</t>
        </is>
      </c>
      <c r="W160" s="3" t="n"/>
      <c r="X160" s="3" t="n"/>
      <c r="Y160" s="3" t="inlineStr">
        <is>
          <t>NOTHING OPEN</t>
        </is>
      </c>
    </row>
    <row r="161" ht="60" customHeight="1">
      <c r="A161" s="3" t="inlineStr">
        <is>
          <t>MK-CF-F-168</t>
        </is>
      </c>
      <c r="B161" s="3" t="inlineStr">
        <is>
          <t>salaryWindow</t>
        </is>
      </c>
      <c r="C161" s="3" t="inlineStr">
        <is>
          <t>src/domain/income/salary-months.ts</t>
        </is>
      </c>
      <c r="D161" s="3" t="n">
        <v>229</v>
      </c>
      <c r="E161" s="3" t="inlineStr">
        <is>
          <t>3 · DEPENDENT (feeds an action only)</t>
        </is>
      </c>
      <c r="F161" s="3" t="inlineStr">
        <is>
          <t>The table as the base-pay screen shows it: [month key, amount] for a window of months.</t>
        </is>
      </c>
      <c r="G161" s="11" t="inlineStr">
        <is>
          <t>t = salary months(op, now)
the answer = for each of keys: [each, each in t ? t[each] : fallback]</t>
        </is>
      </c>
      <c r="H161" s="3" t="inlineStr">
        <is>
          <t>T is salary months(op, now). The answer is for each of keys: [each, each in t ? t[each] : fallback].</t>
        </is>
      </c>
      <c r="I161" s="3" t="inlineStr">
        <is>
          <t>PARTLY READ — some of the code is still showing through; needs a hand pass</t>
        </is>
      </c>
      <c r="J161" s="3" t="inlineStr">
        <is>
          <t>Nothing is handed to it</t>
        </is>
      </c>
      <c r="K161" s="3" t="inlineStr">
        <is>
          <t>NOT DECLARED — the code does not say what it gives back</t>
        </is>
      </c>
      <c r="L161" s="3" t="inlineStr">
        <is>
          <t>—</t>
        </is>
      </c>
      <c r="M161" s="3" t="inlineStr">
        <is>
          <t>· Uses today's date from the device clock, so the answer changes by itself overnight.</t>
        </is>
      </c>
      <c r="N161" s="3" t="inlineStr">
        <is>
          <t>No</t>
        </is>
      </c>
      <c r="O161" s="3" t="inlineStr">
        <is>
          <t>1. MK-CF-F-132 map
2. MK-CF-F-165 salaryMonths</t>
        </is>
      </c>
      <c r="P161" s="3" t="n">
        <v>4</v>
      </c>
      <c r="Q161" s="3" t="inlineStr">
        <is>
          <t>1. MK-CF-F-132 map
2. MK-CF-F-165 salaryMonths
3. MK-ST-F-052 toNum
4. MK-XS-F-122 n</t>
        </is>
      </c>
      <c r="R161" s="3" t="inlineStr">
        <is>
          <t>1. MK-CF-F-132 map → MK-CF-F-168 salaryWindow
2. MK-XS-F-122 n → MK-ST-F-052 toNum → MK-CF-F-165 salaryMonths → MK-CF-F-168 salaryWindow</t>
        </is>
      </c>
      <c r="S161" s="3" t="inlineStr">
        <is>
          <t>—</t>
        </is>
      </c>
      <c r="T161" s="3" t="inlineStr">
        <is>
          <t>—</t>
        </is>
      </c>
      <c r="U161" s="3" t="inlineStr">
        <is>
          <t>ACTIVE</t>
        </is>
      </c>
      <c r="V161" s="3" t="inlineStr">
        <is>
          <t>2026-08-27</t>
        </is>
      </c>
      <c r="W161" s="3" t="n"/>
      <c r="X161" s="3" t="n"/>
      <c r="Y161" s="3" t="inlineStr">
        <is>
          <t>NOTHING OPEN</t>
        </is>
      </c>
    </row>
    <row r="162" ht="60" customHeight="1">
      <c r="A162" s="3" t="inlineStr">
        <is>
          <t>MK-CF-F-169</t>
        </is>
      </c>
      <c r="B162" s="3" t="inlineStr">
        <is>
          <t>withSalaryMonth</t>
        </is>
      </c>
      <c r="C162" s="3" t="inlineStr">
        <is>
          <t>src/domain/income/salary-months.ts</t>
        </is>
      </c>
      <c r="D162" s="3" t="n">
        <v>256</v>
      </c>
      <c r="E162" s="3" t="inlineStr">
        <is>
          <t>3 · DEPENDENT (feeds an action only)</t>
        </is>
      </c>
      <c r="F162" s="3" t="inlineStr">
        <is>
          <t>Write one month without disturbing the others.</t>
        </is>
      </c>
      <c r="G162" s="11" t="inlineStr">
        <is>
          <t>...salary months(op, now) = ...salary months(op, now)
[key]: to num(amount) = [key]: to num(amount)</t>
        </is>
      </c>
      <c r="H162" s="3" t="inlineStr">
        <is>
          <t>...salary months(op, now) = ...salary months(op, now); [key]: to num(amount) = [key]: to num(amount).</t>
        </is>
      </c>
      <c r="I162" s="3" t="inlineStr">
        <is>
          <t>PARTLY READ — some of the code is still showing through; needs a hand pass</t>
        </is>
      </c>
      <c r="J162" s="3" t="inlineStr">
        <is>
          <t>Nothing is handed to it</t>
        </is>
      </c>
      <c r="K162" s="3" t="inlineStr">
        <is>
          <t>NOT DECLARED — the code does not say what it gives back</t>
        </is>
      </c>
      <c r="L162" s="3" t="inlineStr">
        <is>
          <t>—</t>
        </is>
      </c>
      <c r="M162" s="3" t="inlineStr">
        <is>
          <t>· Uses today's date from the device clock, so the answer changes by itself overnight.</t>
        </is>
      </c>
      <c r="N162" s="3" t="inlineStr">
        <is>
          <t>No</t>
        </is>
      </c>
      <c r="O162" s="3" t="inlineStr">
        <is>
          <t>1. MK-CF-F-165 salaryMonths
2. MK-ST-F-052 toNum</t>
        </is>
      </c>
      <c r="P162" s="3" t="n">
        <v>3</v>
      </c>
      <c r="Q162" s="3" t="inlineStr">
        <is>
          <t>1. MK-CF-F-165 salaryMonths
2. MK-ST-F-052 toNum
3. MK-XS-F-122 n</t>
        </is>
      </c>
      <c r="R162" s="3" t="inlineStr">
        <is>
          <t>1. MK-XS-F-122 n → MK-ST-F-052 toNum → MK-CF-F-165 salaryMonths → MK-CF-F-169 withSalaryMonth
2. MK-XS-F-122 n → MK-ST-F-052 toNum → MK-CF-F-169 withSalaryMonth</t>
        </is>
      </c>
      <c r="S162" s="3" t="inlineStr">
        <is>
          <t>—</t>
        </is>
      </c>
      <c r="T162" s="3" t="inlineStr">
        <is>
          <t>—</t>
        </is>
      </c>
      <c r="U162" s="3" t="inlineStr">
        <is>
          <t>ACTIVE</t>
        </is>
      </c>
      <c r="V162" s="3" t="inlineStr">
        <is>
          <t>2026-08-27</t>
        </is>
      </c>
      <c r="W162" s="3" t="n"/>
      <c r="X162" s="3" t="n"/>
      <c r="Y162" s="3" t="inlineStr">
        <is>
          <t>NOTHING OPEN</t>
        </is>
      </c>
    </row>
    <row r="163" ht="45" customHeight="1">
      <c r="A163" s="3" t="inlineStr">
        <is>
          <t>MK-CF-F-170</t>
        </is>
      </c>
      <c r="B163" s="3" t="inlineStr">
        <is>
          <t>salaryYearFromCells</t>
        </is>
      </c>
      <c r="C163" s="3" t="inlineStr">
        <is>
          <t>src/domain/income/salary-months.ts</t>
        </is>
      </c>
      <c r="D163" s="3" t="n">
        <v>279</v>
      </c>
      <c r="E163" s="3" t="inlineStr">
        <is>
          <t>3 · DEPENDENT (feeds an action only)</t>
        </is>
      </c>
      <c r="F163" s="3" t="inlineStr">
        <is>
          <t>A whole calendar year written at once — what today's twelve-cell grids save.</t>
        </is>
      </c>
      <c r="G163" s="11" t="inlineStr">
        <is>
          <t>out = {}
the answer = out</t>
        </is>
      </c>
      <c r="H163" s="3" t="inlineStr">
        <is>
          <t>Out is {}. The answer is out.</t>
        </is>
      </c>
      <c r="I163" s="3" t="inlineStr">
        <is>
          <t>READ FROM THE CODE — rendered from the expressions the function runs</t>
        </is>
      </c>
      <c r="J163" s="3" t="inlineStr">
        <is>
          <t>1. cells: any[]
2. year: number</t>
        </is>
      </c>
      <c r="K163" s="3" t="inlineStr">
        <is>
          <t>Record&lt;string, number&gt;</t>
        </is>
      </c>
      <c r="L163" s="3" t="inlineStr">
        <is>
          <t>—</t>
        </is>
      </c>
      <c r="M163" s="3" t="inlineStr">
        <is>
          <t>None found in this function — anything it assumes comes from the functions it depends on.</t>
        </is>
      </c>
      <c r="N163" s="3" t="inlineStr">
        <is>
          <t>No</t>
        </is>
      </c>
      <c r="O163" s="3" t="inlineStr">
        <is>
          <t>MK-ST-F-052 toNum</t>
        </is>
      </c>
      <c r="P163" s="3" t="n">
        <v>2</v>
      </c>
      <c r="Q163" s="3" t="inlineStr">
        <is>
          <t>1. MK-ST-F-052 toNum
2. MK-XS-F-122 n</t>
        </is>
      </c>
      <c r="R163" s="3" t="inlineStr">
        <is>
          <t>MK-XS-F-122 n → MK-ST-F-052 toNum → MK-CF-F-170 salaryYearFromCells</t>
        </is>
      </c>
      <c r="S163" s="3" t="inlineStr">
        <is>
          <t>—</t>
        </is>
      </c>
      <c r="T163" s="3" t="inlineStr">
        <is>
          <t>—</t>
        </is>
      </c>
      <c r="U163" s="3" t="inlineStr">
        <is>
          <t>ACTIVE</t>
        </is>
      </c>
      <c r="V163" s="3" t="inlineStr">
        <is>
          <t>2026-08-28</t>
        </is>
      </c>
      <c r="W163" s="3" t="n"/>
      <c r="X163" s="3" t="n"/>
      <c r="Y163" s="3" t="inlineStr">
        <is>
          <t>NOTHING OPEN</t>
        </is>
      </c>
    </row>
    <row r="164" ht="60" customHeight="1">
      <c r="A164" s="3" t="inlineStr">
        <is>
          <t>MK-CF-F-171</t>
        </is>
      </c>
      <c r="B164" s="3" t="inlineStr">
        <is>
          <t>earnerPay</t>
        </is>
      </c>
      <c r="C164" s="3" t="inlineStr">
        <is>
          <t>MoneyKeel/functions/cashflow/base-pay.ts</t>
        </is>
      </c>
      <c r="D164" s="3" t="n">
        <v>535</v>
      </c>
      <c r="E164" s="3" t="inlineStr">
        <is>
          <t>3 · DEPENDENT</t>
        </is>
      </c>
      <c r="F164" s="3" t="inlineStr">
        <is>
          <t>One earner's pay: gross for a month and for a year, their 401(k), their take-home and whether it was entered or calculated, and everything else taken out.</t>
        </is>
      </c>
      <c r="G164" s="11" t="inlineStr">
        <is>
          <t>t = take home as entered(e)
annual = annualised gross(e)</t>
        </is>
      </c>
      <c r="H164" s="3" t="inlineStr">
        <is>
          <t>T is take home as entered(e). Annual is annualised gross(e).</t>
        </is>
      </c>
      <c r="I164" s="3" t="inlineStr">
        <is>
          <t>READ FROM THE CODE — rendered from the expressions the function runs</t>
        </is>
      </c>
      <c r="J164" s="3" t="inlineStr">
        <is>
          <t>e: BasePayEntry</t>
        </is>
      </c>
      <c r="K164" s="3" t="inlineStr">
        <is>
          <t>EarnerPay</t>
        </is>
      </c>
      <c r="L164" s="3" t="inlineStr">
        <is>
          <t>—</t>
        </is>
      </c>
      <c r="M164" s="3" t="inlineStr">
        <is>
          <t>· Treats a year as twelve equal months.</t>
        </is>
      </c>
      <c r="N164" s="3" t="inlineStr">
        <is>
          <t>Yes</t>
        </is>
      </c>
      <c r="O164" s="3" t="inlineStr">
        <is>
          <t>1. MK-CF-F-143 annualisedGross
2. MK-CF-F-145 deductionsFromPay
3. MK-CF-F-128 grossByMonth
4. MK-ST-F-053 money
5. MK-CF-F-146 payFiguresAgree
6. MK-CF-F-144 takeHomeAsEntered
7. MK-ST-F-052 toNum</t>
        </is>
      </c>
      <c r="P164" s="3" t="n">
        <v>23</v>
      </c>
      <c r="Q164" s="3" t="inlineStr">
        <is>
          <t>1. MK-CF-F-143 annualisedGross
2. MK-CF-F-145 deductionsFromPay
3. MK-CF-F-128 grossByMonth
4. MK-ST-F-053 money
5. MK-CF-F-146 payFiguresAgree
6. MK-CF-F-144 takeHomeAsEntered
7. MK-ST-F-052 toNum
8. MK-CF-F-142 monthsOf
9. MK-CF-F-141 perMonth
10. MK-ST-F-049 formatMoney
11. MK-XS-F-122 n
12. MK-ST-F-056 has
13. MK-CF-F-132 map
14. MK-ST-F-039 on
15. MK-CF-F-101 taxOwedFor
16. MK-ST-F-035 covers
17. MK-CF-F-140 periodsAYear
18. MK-ST-F-048 currencySymbol
19. MK-CF-F-100 taxableIncomeFor
20. MK-ST-F-034 firstDate
21. MK-ST-F-047 activeCurrency
22. MK-CF-F-099 deductionFor
23. MK-CF-F-187 seniorDeductionFor</t>
        </is>
      </c>
      <c r="R164" s="3" t="inlineStr">
        <is>
          <t>1. MK-ST-F-034 firstDate → MK-ST-F-035 covers → MK-CF-F-142 monthsOf → MK-CF-F-128 grossByMonth → MK-CF-F-143 annualisedGross → MK-CF-F-171 earnerPay
2. MK-CF-F-132 map → MK-CF-F-142 monthsOf → MK-CF-F-128 grossByMonth → MK-CF-F-143 annualisedGross → MK-CF-F-171 earnerPay
3. MK-XS-F-122 n → MK-ST-F-052 toNum → MK-CF-F-142 monthsOf → MK-CF-F-128 grossByMonth → MK-CF-F-143 annualisedGross → MK-CF-F-171 earnerPay
4. MK-CF-F-140 periodsAYear → MK-CF-F-141 perMonth → MK-CF-F-128 grossByMonth → MK-CF-F-143 annualisedGross → MK-CF-F-171 earnerPay
5. MK-XS-F-122 n → MK-ST-F-052 toNum → MK-CF-F-141 perMonth → MK-CF-F-128 grossByMonth → MK-CF-F-143 annualisedGross → MK-CF-F-171 earnerPay
6. MK-ST-F-035 covers → MK-CF-F-142 monthsOf → MK-CF-F-128 grossByMonth → MK-CF-F-143 annualisedGross → MK-CF-F-145 deductionsFromPay → MK-CF-F-171 earnerPay
7. MK-CF-F-132 map → MK-CF-F-142 monthsOf → MK-CF-F-128 grossByMonth → MK-CF-F-143 annualisedGross → MK-CF-F-145 deductionsFromPay → MK-CF-F-171 earnerPay
8. MK-ST-F-052 toNum → MK-CF-F-142 monthsOf → MK-CF-F-128 grossByMonth → MK-CF-F-143 annualisedGross → MK-CF-F-145 deductionsFromPay → MK-CF-F-171 earnerPay
9. … and 5 more paths</t>
        </is>
      </c>
      <c r="S164" s="3" t="inlineStr">
        <is>
          <t>—</t>
        </is>
      </c>
      <c r="T164" s="3" t="inlineStr">
        <is>
          <t>—</t>
        </is>
      </c>
      <c r="U164" s="3" t="inlineStr">
        <is>
          <t>ACTIVE</t>
        </is>
      </c>
      <c r="V164" s="3" t="inlineStr">
        <is>
          <t>2026-08-28</t>
        </is>
      </c>
      <c r="W164" s="3" t="n"/>
      <c r="X164" s="3" t="n"/>
      <c r="Y164" s="3" t="inlineStr">
        <is>
          <t>NOTHING OPEN</t>
        </is>
      </c>
    </row>
    <row r="165" ht="45" customHeight="1">
      <c r="A165" s="3" t="inlineStr">
        <is>
          <t>MK-CF-F-172</t>
        </is>
      </c>
      <c r="B165" s="3" t="inlineStr">
        <is>
          <t>hasWage</t>
        </is>
      </c>
      <c r="C165" s="3" t="inlineStr">
        <is>
          <t>src/domain/income/earners.ts</t>
        </is>
      </c>
      <c r="D165" s="3" t="n">
        <v>63</v>
      </c>
      <c r="E165" s="3" t="inlineStr">
        <is>
          <t>1 · ACTION</t>
        </is>
      </c>
      <c r="F165" s="3" t="inlineStr">
        <is>
          <t>Whether a person has a wage on record: a base salary above zero, or a month-by-month pay table.</t>
        </is>
      </c>
      <c r="G165" s="11" t="inlineStr">
        <is>
          <t>the answer = w exists and (base salary &gt; 0 or the salary-by-month table has entries)</t>
        </is>
      </c>
      <c r="H165" s="3" t="inlineStr">
        <is>
          <t>Whether an earner record carries a wage at all — a base salary above zero, or a month-by-month salary table with at least one entry. No arithmetic.</t>
        </is>
      </c>
      <c r="I165" s="3" t="inlineStr">
        <is>
          <t>READ BY HAND 2026-08-26 — checked line by line against the code</t>
        </is>
      </c>
      <c r="J165" s="3" t="inlineStr">
        <is>
          <t>w: any</t>
        </is>
      </c>
      <c r="K165" s="3" t="inlineStr">
        <is>
          <t>boolean</t>
        </is>
      </c>
      <c r="L165" s="3" t="inlineStr">
        <is>
          <t>—</t>
        </is>
      </c>
      <c r="M165" s="3" t="inlineStr">
        <is>
          <t>None found in this function — anything it assumes comes from the functions it depends on.</t>
        </is>
      </c>
      <c r="N165" s="3" t="inlineStr">
        <is>
          <t>Yes</t>
        </is>
      </c>
      <c r="O165" s="3" t="inlineStr">
        <is>
          <t>MK-ST-F-056 has</t>
        </is>
      </c>
      <c r="P165" s="3" t="n">
        <v>1</v>
      </c>
      <c r="Q165" s="3" t="inlineStr">
        <is>
          <t>MK-ST-F-056 has</t>
        </is>
      </c>
      <c r="R165" s="3" t="inlineStr">
        <is>
          <t>MK-ST-F-056 has → MK-CF-F-172 hasWage</t>
        </is>
      </c>
      <c r="S165" s="3" t="inlineStr">
        <is>
          <t>—</t>
        </is>
      </c>
      <c r="T165" s="3" t="inlineStr">
        <is>
          <t>—</t>
        </is>
      </c>
      <c r="U165" s="3" t="inlineStr">
        <is>
          <t>ACTIVE</t>
        </is>
      </c>
      <c r="V165" s="3" t="inlineStr">
        <is>
          <t>2026-09-12</t>
        </is>
      </c>
      <c r="W165" s="3" t="n"/>
      <c r="X165" s="3" t="n"/>
      <c r="Y165" s="3" t="inlineStr">
        <is>
          <t>NOTHING OPEN</t>
        </is>
      </c>
    </row>
    <row r="166" ht="60" customHeight="1">
      <c r="A166" s="3" t="inlineStr">
        <is>
          <t>MK-CF-F-173</t>
        </is>
      </c>
      <c r="B166" s="3" t="inlineStr">
        <is>
          <t>earnerWages</t>
        </is>
      </c>
      <c r="C166" s="3" t="inlineStr">
        <is>
          <t>src/domain/income/earners.ts</t>
        </is>
      </c>
      <c r="D166" s="3" t="n">
        <v>106</v>
      </c>
      <c r="E166" s="3" t="inlineStr">
        <is>
          <t>2 · DISPLAYED</t>
        </is>
      </c>
      <c r="F166" s="3" t="inlineStr">
        <is>
          <t>The wages this household actually has, in the order the screen shows them.</t>
        </is>
      </c>
      <c r="G166" s="11" t="inlineStr">
        <is>
          <t>a = op (or none when missing)
own = a
spouse = spouse wage (or nothing when missing)
who = who earns (or 'you' when missing)
out = [own]
the answer = out
[spouse as earner wage]   when who = 'partner' and has wage(spouse)</t>
        </is>
      </c>
      <c r="H166" s="3" t="inlineStr">
        <is>
          <t>A is op (or none — when missing). Own is a. Spouse is spouse wage (or no answer — when missing). Who is who earns (or 'you' — when missing). Out is [own]. The answer is out. When who = 'partner' and has wage(spouse), it answers [spouse as earner wage].</t>
        </is>
      </c>
      <c r="I166" s="3" t="inlineStr">
        <is>
          <t>READ FROM THE CODE — rendered from the expressions the function runs</t>
        </is>
      </c>
      <c r="J166" s="3" t="inlineStr">
        <is>
          <t>op: OnboardingProfile | null</t>
        </is>
      </c>
      <c r="K166" s="3" t="inlineStr">
        <is>
          <t>EarnerWage[]</t>
        </is>
      </c>
      <c r="L166" s="3" t="inlineStr">
        <is>
          <t>NOT FOUND — a screen calls it, but the words printed beside its answer could not be traced automatically. Needs reading.</t>
        </is>
      </c>
      <c r="M166" s="3" t="inlineStr">
        <is>
          <t>None found in this function — anything it assumes comes from the functions it depends on.</t>
        </is>
      </c>
      <c r="N166" s="3" t="inlineStr">
        <is>
          <t>Yes</t>
        </is>
      </c>
      <c r="O166" s="3" t="inlineStr">
        <is>
          <t>MK-CF-F-172 hasWage</t>
        </is>
      </c>
      <c r="P166" s="3" t="n">
        <v>2</v>
      </c>
      <c r="Q166" s="3" t="inlineStr">
        <is>
          <t>1. MK-CF-F-172 hasWage
2. MK-ST-F-056 has</t>
        </is>
      </c>
      <c r="R166" s="3" t="inlineStr">
        <is>
          <t>MK-ST-F-056 has → MK-CF-F-172 hasWage → MK-CF-F-173 earnerWages</t>
        </is>
      </c>
      <c r="S166" s="3" t="inlineStr">
        <is>
          <t>—</t>
        </is>
      </c>
      <c r="T166" s="3" t="inlineStr">
        <is>
          <t>—</t>
        </is>
      </c>
      <c r="U166" s="3" t="inlineStr">
        <is>
          <t>ACTIVE</t>
        </is>
      </c>
      <c r="V166" s="3" t="inlineStr">
        <is>
          <t>2026-09-11</t>
        </is>
      </c>
      <c r="W166" s="3" t="n"/>
      <c r="X166" s="3" t="n"/>
      <c r="Y166" s="3" t="inlineStr">
        <is>
          <t>NOTHING OPEN</t>
        </is>
      </c>
    </row>
    <row r="167" ht="45" customHeight="1">
      <c r="A167" s="3" t="inlineStr">
        <is>
          <t>MK-CF-F-174</t>
        </is>
      </c>
      <c r="B167" s="3" t="inlineStr">
        <is>
          <t>hasTwoEarners</t>
        </is>
      </c>
      <c r="C167" s="3" t="inlineStr">
        <is>
          <t>src/domain/income/earners.ts</t>
        </is>
      </c>
      <c r="D167" s="3" t="n">
        <v>138</v>
      </c>
      <c r="E167" s="3" t="inlineStr">
        <is>
          <t>3 · DEPENDENT (feeds an action only)</t>
        </is>
      </c>
      <c r="F167" s="3" t="inlineStr">
        <is>
          <t>Does this household have a second wage on record?</t>
        </is>
      </c>
      <c r="G167" s="11" t="inlineStr">
        <is>
          <t>earner wages(op).length &gt; 1</t>
        </is>
      </c>
      <c r="H167" s="3" t="inlineStr">
        <is>
          <t>earner wages(op).length &gt; 1.</t>
        </is>
      </c>
      <c r="I167" s="3" t="inlineStr">
        <is>
          <t>PARTLY READ — some of the code is still showing through; needs a hand pass</t>
        </is>
      </c>
      <c r="J167" s="3" t="inlineStr">
        <is>
          <t>op: OnboardingProfile | null</t>
        </is>
      </c>
      <c r="K167" s="3" t="inlineStr">
        <is>
          <t>boolean</t>
        </is>
      </c>
      <c r="L167" s="3" t="inlineStr">
        <is>
          <t>—</t>
        </is>
      </c>
      <c r="M167" s="3" t="inlineStr">
        <is>
          <t>None found in this function — anything it assumes comes from the functions it depends on.</t>
        </is>
      </c>
      <c r="N167" s="3" t="inlineStr">
        <is>
          <t>No</t>
        </is>
      </c>
      <c r="O167" s="3" t="inlineStr">
        <is>
          <t>MK-CF-F-173 earnerWages</t>
        </is>
      </c>
      <c r="P167" s="3" t="n">
        <v>3</v>
      </c>
      <c r="Q167" s="3" t="inlineStr">
        <is>
          <t>1. MK-CF-F-173 earnerWages
2. MK-CF-F-172 hasWage
3. MK-ST-F-056 has</t>
        </is>
      </c>
      <c r="R167" s="3" t="inlineStr">
        <is>
          <t>MK-ST-F-056 has → MK-CF-F-172 hasWage → MK-CF-F-173 earnerWages → MK-CF-F-174 hasTwoEarners</t>
        </is>
      </c>
      <c r="S167" s="3" t="inlineStr">
        <is>
          <t>—</t>
        </is>
      </c>
      <c r="T167" s="3" t="inlineStr">
        <is>
          <t>—</t>
        </is>
      </c>
      <c r="U167" s="3" t="inlineStr">
        <is>
          <t>ACTIVE</t>
        </is>
      </c>
      <c r="V167" s="3" t="inlineStr">
        <is>
          <t>2026-08-27</t>
        </is>
      </c>
      <c r="W167" s="3" t="n"/>
      <c r="X167" s="3" t="n"/>
      <c r="Y167" s="3" t="inlineStr">
        <is>
          <t>NOTHING OPEN</t>
        </is>
      </c>
    </row>
    <row r="168" ht="45" customHeight="1">
      <c r="A168" s="3" t="inlineStr">
        <is>
          <t>MK-CF-F-175</t>
        </is>
      </c>
      <c r="B168" s="3" t="inlineStr">
        <is>
          <t>sumOverEarners</t>
        </is>
      </c>
      <c r="C168" s="3" t="inlineStr">
        <is>
          <t>src/domain/income/earners.ts</t>
        </is>
      </c>
      <c r="D168" s="3" t="n">
        <v>169</v>
      </c>
      <c r="E168" s="3" t="inlineStr">
        <is>
          <t>3 · DEPENDENT</t>
        </is>
      </c>
      <c r="F168" s="3" t="inlineStr">
        <is>
          <t>Adds up one figure across every earner in the household.</t>
        </is>
      </c>
      <c r="G168" s="11" t="inlineStr">
        <is>
          <t>Σ over earner wages(op) of (of(each) (or 0 when missing or zero))</t>
        </is>
      </c>
      <c r="H168" s="3" t="inlineStr">
        <is>
          <t>the of(each) (or 0 — when missing or zero) added up across earner wages(op).</t>
        </is>
      </c>
      <c r="I168" s="3" t="inlineStr">
        <is>
          <t>READ FROM THE CODE — rendered from the expressions the function runs</t>
        </is>
      </c>
      <c r="J168" s="3" t="inlineStr">
        <is>
          <t>1. op: OnboardingProfile | null
2. of: (w: EarnerWage) =&gt; number</t>
        </is>
      </c>
      <c r="K168" s="3" t="inlineStr">
        <is>
          <t>number</t>
        </is>
      </c>
      <c r="L168" s="3" t="inlineStr">
        <is>
          <t>—</t>
        </is>
      </c>
      <c r="M168" s="3" t="inlineStr">
        <is>
          <t>None found in this function — anything it assumes comes from the functions it depends on.</t>
        </is>
      </c>
      <c r="N168" s="3" t="inlineStr">
        <is>
          <t>Yes</t>
        </is>
      </c>
      <c r="O168" s="3" t="inlineStr">
        <is>
          <t>MK-CF-F-173 earnerWages</t>
        </is>
      </c>
      <c r="P168" s="3" t="n">
        <v>3</v>
      </c>
      <c r="Q168" s="3" t="inlineStr">
        <is>
          <t>1. MK-CF-F-173 earnerWages
2. MK-CF-F-172 hasWage
3. MK-ST-F-056 has</t>
        </is>
      </c>
      <c r="R168" s="3" t="inlineStr">
        <is>
          <t>MK-ST-F-056 has → MK-CF-F-172 hasWage → MK-CF-F-173 earnerWages → MK-CF-F-175 sumOverEarners</t>
        </is>
      </c>
      <c r="S168" s="3" t="inlineStr">
        <is>
          <t>—</t>
        </is>
      </c>
      <c r="T168" s="3" t="inlineStr">
        <is>
          <t>—</t>
        </is>
      </c>
      <c r="U168" s="3" t="inlineStr">
        <is>
          <t>ACTIVE</t>
        </is>
      </c>
      <c r="V168" s="3" t="inlineStr">
        <is>
          <t>2026-08-27</t>
        </is>
      </c>
      <c r="W168" s="3" t="n"/>
      <c r="X168" s="3" t="n"/>
      <c r="Y168" s="3" t="inlineStr">
        <is>
          <t>NOTHING OPEN</t>
        </is>
      </c>
    </row>
    <row r="169" ht="60" customHeight="1">
      <c r="A169" s="3" t="inlineStr">
        <is>
          <t>MK-CF-F-176</t>
        </is>
      </c>
      <c r="B169" s="3" t="inlineStr">
        <is>
          <t>sumMonthsOverEarners</t>
        </is>
      </c>
      <c r="C169" s="3" t="inlineStr">
        <is>
          <t>src/domain/income/earners.ts</t>
        </is>
      </c>
      <c r="D169" s="3" t="n">
        <v>205</v>
      </c>
      <c r="E169" s="3" t="inlineStr">
        <is>
          <t>3 · DEPENDENT</t>
        </is>
      </c>
      <c r="F169" s="3" t="inlineStr">
        <is>
          <t>Add up twelve numbers per earner, month by month.</t>
        </is>
      </c>
      <c r="G169" s="11" t="inlineStr">
        <is>
          <t>rows = for each of earner wages(op): of
the answer = array.from({ length: 12 }, (_, i) =&gt; rows.reduce((t, r) =&gt; t + (r[i] or 0), 0))</t>
        </is>
      </c>
      <c r="H169" s="3" t="inlineStr">
        <is>
          <t>Rows is for each of earner wages(op): of. The answer is array.from({ length: 12 }, (_, i) =&gt; rows.reduce((t, r) =&gt; t plus (r[i] or 0), 0)).</t>
        </is>
      </c>
      <c r="I169" s="3" t="inlineStr">
        <is>
          <t>PARTLY READ — some of the code is still showing through; needs a hand pass</t>
        </is>
      </c>
      <c r="J169" s="3" t="inlineStr">
        <is>
          <t>Nothing is handed to it</t>
        </is>
      </c>
      <c r="K169" s="3" t="inlineStr">
        <is>
          <t>NOT DECLARED — the code does not say what it gives back</t>
        </is>
      </c>
      <c r="L169" s="3" t="inlineStr">
        <is>
          <t>—</t>
        </is>
      </c>
      <c r="M169" s="3" t="inlineStr">
        <is>
          <t>· If r[i] is missing it counts as zero, so nothing recorded and a real zero look the same.</t>
        </is>
      </c>
      <c r="N169" s="3" t="inlineStr">
        <is>
          <t>Yes</t>
        </is>
      </c>
      <c r="O169" s="3" t="inlineStr">
        <is>
          <t>1. MK-CF-F-173 earnerWages
2. MK-CF-F-132 map</t>
        </is>
      </c>
      <c r="P169" s="3" t="n">
        <v>4</v>
      </c>
      <c r="Q169" s="3" t="inlineStr">
        <is>
          <t>1. MK-CF-F-173 earnerWages
2. MK-CF-F-132 map
3. MK-CF-F-172 hasWage
4. MK-ST-F-056 has</t>
        </is>
      </c>
      <c r="R169" s="3" t="inlineStr">
        <is>
          <t>1. MK-ST-F-056 has → MK-CF-F-172 hasWage → MK-CF-F-173 earnerWages → MK-CF-F-176 sumMonthsOverEarners
2. MK-CF-F-132 map → MK-CF-F-176 sumMonthsOverEarners</t>
        </is>
      </c>
      <c r="S169" s="3" t="inlineStr">
        <is>
          <t>—</t>
        </is>
      </c>
      <c r="T169" s="3" t="inlineStr">
        <is>
          <t>—</t>
        </is>
      </c>
      <c r="U169" s="3" t="inlineStr">
        <is>
          <t>ACTIVE</t>
        </is>
      </c>
      <c r="V169" s="3" t="inlineStr">
        <is>
          <t>2026-08-27</t>
        </is>
      </c>
      <c r="W169" s="3" t="n"/>
      <c r="X169" s="3" t="n"/>
      <c r="Y169" s="3" t="inlineStr">
        <is>
          <t>NOTHING OPEN</t>
        </is>
      </c>
    </row>
    <row r="170" ht="60" customHeight="1">
      <c r="A170" s="3" t="inlineStr">
        <is>
          <t>MK-CF-F-177</t>
        </is>
      </c>
      <c r="B170" s="3" t="inlineStr">
        <is>
          <t>wageGrossByMonth</t>
        </is>
      </c>
      <c r="C170" s="3" t="inlineStr">
        <is>
          <t>src/domain/income/onboarding.ts</t>
        </is>
      </c>
      <c r="D170" s="3" t="n">
        <v>173</v>
      </c>
      <c r="E170" s="3" t="inlineStr">
        <is>
          <t>2 · DISPLAYED</t>
        </is>
      </c>
      <c r="F170" s="3" t="inlineStr">
        <is>
          <t>ONE person's wage, month by month, January first.</t>
        </is>
      </c>
      <c r="G170" s="11" t="inlineStr">
        <is>
          <t>a = w (or none when missing)
has = has monthly salary table(a as any)
typical = entered monthly raw(a)
the answer = for each of raw: each</t>
        </is>
      </c>
      <c r="H170" s="3" t="inlineStr">
        <is>
          <t>A is w (or none — when missing). Has is has monthly salary table(a as any). Typical is entered monthly raw(a). The answer is for each of raw: each.</t>
        </is>
      </c>
      <c r="I170" s="3" t="inlineStr">
        <is>
          <t>READ FROM THE CODE — rendered from the expressions the function runs</t>
        </is>
      </c>
      <c r="J170" s="3" t="inlineStr">
        <is>
          <t>w: Record&lt;string, any&gt; | null</t>
        </is>
      </c>
      <c r="K170" s="3" t="inlineStr">
        <is>
          <t>number[]</t>
        </is>
      </c>
      <c r="L170" s="3" t="inlineStr">
        <is>
          <t>NOT FOUND — a screen calls it, but the words printed beside its answer could not be traced automatically. Needs reading.</t>
        </is>
      </c>
      <c r="M170" s="3" t="inlineStr">
        <is>
          <t>· Uses today's date from the device clock, so the answer changes by itself overnight.</t>
        </is>
      </c>
      <c r="N170" s="3" t="inlineStr">
        <is>
          <t>Yes</t>
        </is>
      </c>
      <c r="O170" s="3" t="inlineStr">
        <is>
          <t>1. MK-CF-F-130 enteredMonthlyRaw
2. MK-CF-F-166 hasMonthlySalaryTable
3. MK-CF-F-132 map
4. MK-ST-F-036 reconcile
5. MK-CF-F-167 salaryCalendarYear</t>
        </is>
      </c>
      <c r="P170" s="3" t="n">
        <v>8</v>
      </c>
      <c r="Q170" s="3" t="inlineStr">
        <is>
          <t>1. MK-CF-F-130 enteredMonthlyRaw
2. MK-CF-F-166 hasMonthlySalaryTable
3. MK-CF-F-132 map
4. MK-ST-F-036 reconcile
5. MK-CF-F-167 salaryCalendarYear
6. MK-ST-F-052 toNum
7. MK-CF-F-165 salaryMonths
8. MK-XS-F-122 n</t>
        </is>
      </c>
      <c r="R170" s="3" t="inlineStr">
        <is>
          <t>1. MK-XS-F-122 n → MK-ST-F-052 toNum → MK-CF-F-130 enteredMonthlyRaw → MK-CF-F-177 wageGrossByMonth
2. MK-XS-F-122 n → MK-ST-F-052 toNum → MK-CF-F-165 salaryMonths → MK-CF-F-166 hasMonthlySalaryTable → MK-CF-F-177 wageGrossByMonth
3. MK-CF-F-132 map → MK-CF-F-177 wageGrossByMonth
4. MK-ST-F-036 reconcile → MK-CF-F-177 wageGrossByMonth
5. MK-XS-F-122 n → MK-ST-F-052 toNum → MK-CF-F-165 salaryMonths → MK-CF-F-167 salaryCalendarYear → MK-CF-F-177 wageGrossByMonth</t>
        </is>
      </c>
      <c r="S170" s="3" t="inlineStr">
        <is>
          <t>—</t>
        </is>
      </c>
      <c r="T170" s="3" t="inlineStr">
        <is>
          <t>—</t>
        </is>
      </c>
      <c r="U170" s="3" t="inlineStr">
        <is>
          <t>ACTIVE</t>
        </is>
      </c>
      <c r="V170" s="3" t="inlineStr">
        <is>
          <t>2026-09-09</t>
        </is>
      </c>
      <c r="W170" s="3" t="n"/>
      <c r="X170" s="3" t="n"/>
      <c r="Y170" s="3" t="inlineStr">
        <is>
          <t>NOTHING OPEN</t>
        </is>
      </c>
    </row>
    <row r="171" ht="60" customHeight="1">
      <c r="A171" s="3" t="inlineStr">
        <is>
          <t>MK-CF-F-178</t>
        </is>
      </c>
      <c r="B171" s="3" t="inlineStr">
        <is>
          <t>wageMatchMonthly</t>
        </is>
      </c>
      <c r="C171" s="3" t="inlineStr">
        <is>
          <t>src/domain/income/onboarding.ts</t>
        </is>
      </c>
      <c r="D171" s="3" t="n">
        <v>1025</v>
      </c>
      <c r="E171" s="3" t="inlineStr">
        <is>
          <t>3 · DEPENDENT (feeds an action only)</t>
        </is>
      </c>
      <c r="F171" s="3" t="inlineStr">
        <is>
          <t>ONE person's employer match: a share of their own contribution, or a flat amount.</t>
        </is>
      </c>
      <c r="G171" s="11" t="inlineStr">
        <is>
          <t>a = w (or none when missing)
val = employer match value read as a number (0 when it is not one)
the answer:
(to num(c 401k) × val) ÷ 100   if employer match mode = 'pct'
val   otherwise</t>
        </is>
      </c>
      <c r="H171" s="3" t="inlineStr">
        <is>
          <t>A is w (or none — when missing). Val is employer match value read as a number (0 — when it is one is missing). The answer is (to num(c 401k) times val) divided by 100 — when employer match mode = 'pct'; val — otherwise.</t>
        </is>
      </c>
      <c r="I171" s="3" t="inlineStr">
        <is>
          <t>PARTLY READ — some of the code is still showing through; needs a hand pass</t>
        </is>
      </c>
      <c r="J171" s="3" t="inlineStr">
        <is>
          <t>w: Record&lt;string, any&gt; | null</t>
        </is>
      </c>
      <c r="K171" s="3" t="inlineStr">
        <is>
          <t>number</t>
        </is>
      </c>
      <c r="L171" s="3" t="inlineStr">
        <is>
          <t>—</t>
        </is>
      </c>
      <c r="M171" s="3" t="inlineStr">
        <is>
          <t>None found in this function — anything it assumes comes from the functions it depends on.</t>
        </is>
      </c>
      <c r="N171" s="3" t="inlineStr">
        <is>
          <t>No</t>
        </is>
      </c>
      <c r="O171" s="3" t="inlineStr">
        <is>
          <t>MK-ST-F-052 toNum</t>
        </is>
      </c>
      <c r="P171" s="3" t="n">
        <v>2</v>
      </c>
      <c r="Q171" s="3" t="inlineStr">
        <is>
          <t>1. MK-ST-F-052 toNum
2. MK-XS-F-122 n</t>
        </is>
      </c>
      <c r="R171" s="3" t="inlineStr">
        <is>
          <t>MK-XS-F-122 n → MK-ST-F-052 toNum → MK-CF-F-178 wageMatchMonthly</t>
        </is>
      </c>
      <c r="S171" s="3" t="inlineStr">
        <is>
          <t>—</t>
        </is>
      </c>
      <c r="T171" s="3" t="inlineStr">
        <is>
          <t>—</t>
        </is>
      </c>
      <c r="U171" s="3" t="inlineStr">
        <is>
          <t>ACTIVE</t>
        </is>
      </c>
      <c r="V171" s="3" t="inlineStr">
        <is>
          <t>2026-08-27</t>
        </is>
      </c>
      <c r="W171" s="3" t="n"/>
      <c r="X171" s="3" t="n"/>
      <c r="Y171" s="3" t="inlineStr">
        <is>
          <t>NOTHING OPEN</t>
        </is>
      </c>
    </row>
    <row r="172" ht="60" customHeight="1">
      <c r="A172" s="3" t="inlineStr">
        <is>
          <t>MK-CF-F-179</t>
        </is>
      </c>
      <c r="B172" s="3" t="inlineStr">
        <is>
          <t>entryFromWage</t>
        </is>
      </c>
      <c r="C172" s="3" t="inlineStr">
        <is>
          <t>MoneyKeel/functions/cashflow/base-pay.ts</t>
        </is>
      </c>
      <c r="D172" s="3" t="n">
        <v>1100</v>
      </c>
      <c r="E172" s="3" t="inlineStr">
        <is>
          <t>2 · DISPLAYED</t>
        </is>
      </c>
      <c r="F172" s="3" t="inlineStr">
        <is>
          <t>Turns a wage as the profile stores it into the form the pay calculations read: how often it is paid, whether it varies, the gross, the 401(k) and the take-home entered.</t>
        </is>
      </c>
      <c r="G172" s="11" t="inlineStr">
        <is>
          <t>a = w (or none when missing)
table = salary months(a as any)
varies = salary month mode = 'months' (or object.keys(table).length &gt; 0 when missing or zero)</t>
        </is>
      </c>
      <c r="H172" s="3" t="inlineStr">
        <is>
          <t>A is w (or none — when missing). Table is salary months(a as any). Varies is salary month mode = 'months' (or object.keys(table).length &gt; 0 — when missing or zero).</t>
        </is>
      </c>
      <c r="I172" s="3" t="inlineStr">
        <is>
          <t>PARTLY READ — some of the code is still showing through; needs a hand pass</t>
        </is>
      </c>
      <c r="J172" s="3" t="inlineStr">
        <is>
          <t>w: Record&lt;string, any&gt; | null | undefined</t>
        </is>
      </c>
      <c r="K172" s="3" t="inlineStr">
        <is>
          <t>BasePayEntry</t>
        </is>
      </c>
      <c r="L172" s="3" t="inlineStr">
        <is>
          <t>NOT FOUND — a screen calls it, but the words printed beside its answer could not be traced automatically. Needs reading.</t>
        </is>
      </c>
      <c r="M172" s="3" t="inlineStr">
        <is>
          <t>None found in this function — anything it assumes comes from the functions it depends on.</t>
        </is>
      </c>
      <c r="N172" s="3" t="inlineStr">
        <is>
          <t>Yes</t>
        </is>
      </c>
      <c r="O172" s="3" t="inlineStr">
        <is>
          <t>MK-CF-F-165 salaryMonths</t>
        </is>
      </c>
      <c r="P172" s="3" t="n">
        <v>3</v>
      </c>
      <c r="Q172" s="3" t="inlineStr">
        <is>
          <t>1. MK-CF-F-165 salaryMonths
2. MK-ST-F-052 toNum
3. MK-XS-F-122 n</t>
        </is>
      </c>
      <c r="R172" s="3" t="inlineStr">
        <is>
          <t>MK-XS-F-122 n → MK-ST-F-052 toNum → MK-CF-F-165 salaryMonths → MK-CF-F-179 entryFromWage</t>
        </is>
      </c>
      <c r="S172" s="3" t="inlineStr">
        <is>
          <t>—</t>
        </is>
      </c>
      <c r="T172" s="3" t="inlineStr">
        <is>
          <t>—</t>
        </is>
      </c>
      <c r="U172" s="3" t="inlineStr">
        <is>
          <t>ACTIVE</t>
        </is>
      </c>
      <c r="V172" s="3" t="inlineStr">
        <is>
          <t>2026-08-28</t>
        </is>
      </c>
      <c r="W172" s="3" t="n"/>
      <c r="X172" s="3" t="n"/>
      <c r="Y172" s="3" t="inlineStr">
        <is>
          <t>NOTHING OPEN</t>
        </is>
      </c>
    </row>
    <row r="173" ht="60" customHeight="1">
      <c r="A173" s="3" t="inlineStr">
        <is>
          <t>MK-CF-F-180</t>
        </is>
      </c>
      <c r="B173" s="3" t="inlineStr">
        <is>
          <t>enteredLandsAnnual</t>
        </is>
      </c>
      <c r="C173" s="3" t="inlineStr">
        <is>
          <t>src/domain/income/tax-rate.ts</t>
        </is>
      </c>
      <c r="D173" s="3" t="n">
        <v>77</v>
      </c>
      <c r="E173" s="3" t="inlineStr">
        <is>
          <t>3 · DEPENDENT</t>
        </is>
      </c>
      <c r="F173" s="3" t="inlineStr">
        <is>
          <t>Every earner’s entered take-home, a year — or null when any of them did not say.</t>
        </is>
      </c>
      <c r="G173" s="11" t="inlineStr">
        <is>
          <t>wages = earner wages(op)
nothing   when count of wages is missing
total = 0
v = (w as any).lands typical read as a number (0 when it is not one)
nothing   when not (v &gt; 0)
[LOOP — the answer is found inside a loop the extractor cannot render; the steps above are the ones before it. Read by hand.]</t>
        </is>
      </c>
      <c r="H173" s="3" t="inlineStr">
        <is>
          <t>Wages is earner wages(op). When how many wages is missing there are, it answers no answer. Total is 0. V is (w as any).lands typical read as a number (0 — when it is one is missing). When not (v &gt; 0), it answers no answer. The answer is total. The answer is found inside a loop that cannot be rendered here; read the code by hand.</t>
        </is>
      </c>
      <c r="I173" s="3" t="inlineStr">
        <is>
          <t>PARTLY READ — the body has a loop the extractor cannot render; the steps shown are the ones before it. Needs a hand pass (G23).</t>
        </is>
      </c>
      <c r="J173" s="3" t="inlineStr">
        <is>
          <t>op: OnboardingProfile | null</t>
        </is>
      </c>
      <c r="K173" s="3" t="inlineStr">
        <is>
          <t>number | null</t>
        </is>
      </c>
      <c r="L173" s="3" t="inlineStr">
        <is>
          <t>—</t>
        </is>
      </c>
      <c r="M173" s="3" t="inlineStr">
        <is>
          <t>1. Uses a built-in total of 0.
2. Turns a monthly figure into a year by multiplying by twelve.</t>
        </is>
      </c>
      <c r="N173" s="3" t="inlineStr">
        <is>
          <t>Yes</t>
        </is>
      </c>
      <c r="O173" s="3" t="inlineStr">
        <is>
          <t>1. MK-CF-F-173 earnerWages
2. MK-ST-F-052 toNum</t>
        </is>
      </c>
      <c r="P173" s="3" t="n">
        <v>5</v>
      </c>
      <c r="Q173" s="3" t="inlineStr">
        <is>
          <t>1. MK-CF-F-173 earnerWages
2. MK-ST-F-052 toNum
3. MK-CF-F-172 hasWage
4. MK-XS-F-122 n
5. MK-ST-F-056 has</t>
        </is>
      </c>
      <c r="R173" s="3" t="inlineStr">
        <is>
          <t>1. MK-ST-F-056 has → MK-CF-F-172 hasWage → MK-CF-F-173 earnerWages → MK-CF-F-180 enteredLandsAnnual
2. MK-XS-F-122 n → MK-ST-F-052 toNum → MK-CF-F-180 enteredLandsAnnual</t>
        </is>
      </c>
      <c r="S173" s="3" t="inlineStr">
        <is>
          <t>—</t>
        </is>
      </c>
      <c r="T173" s="3" t="inlineStr">
        <is>
          <t>—</t>
        </is>
      </c>
      <c r="U173" s="3" t="inlineStr">
        <is>
          <t>ACTIVE</t>
        </is>
      </c>
      <c r="V173" s="3" t="inlineStr">
        <is>
          <t>2026-09-08</t>
        </is>
      </c>
      <c r="W173" s="3" t="n"/>
      <c r="X173" s="3" t="n"/>
      <c r="Y173" s="3" t="inlineStr">
        <is>
          <t>NOTHING OPEN</t>
        </is>
      </c>
    </row>
    <row r="174" ht="60" customHeight="1">
      <c r="A174" s="3" t="inlineStr">
        <is>
          <t>MK-CF-F-181</t>
        </is>
      </c>
      <c r="B174" s="3" t="inlineStr">
        <is>
          <t>rateInForce</t>
        </is>
      </c>
      <c r="C174" s="3" t="inlineStr">
        <is>
          <t>src/domain/income/tax-rate.ts</t>
        </is>
      </c>
      <c r="D174" s="3" t="n">
        <v>132</v>
      </c>
      <c r="E174" s="3" t="inlineStr">
        <is>
          <t>3 · DEPENDENT</t>
        </is>
      </c>
      <c r="F174" s="3" t="inlineStr">
        <is>
          <t>THE ONE ANSWER every screen reads.</t>
        </is>
      </c>
      <c r="G174" s="11" t="inlineStr">
        <is>
          <t>a = op (or none when missing)
rate = min(max(to num(manual tax rate) ÷ 100, 0), 1)
gross = salary annual(op)
lands = entered lands annual(op)
k401 = Σ over earner wages(op) of (to num((each as any).c 401k) × 12)
out = max(0, gross − k401 − lands)
rate = min(max(out ÷ gross, 0), 1)
taxed = taxable annual(op)
k401 = Σ over household k401 by month(op) of (each)</t>
        </is>
      </c>
      <c r="H174" s="3" t="inlineStr">
        <is>
          <t>A is op (or none — when missing). Rate: the smaller of the larger of to num(manual tax rate) divided by 100 and 0 and 1. Gross is salary annual(op). Lands is entered lands annual(op). K401: the to num((each as any).c 401k) times 12 added up across earner wages(op). Out is gross minus k401 minus lands, never below zero. Rate: the smaller of the larger of out divided by gross and 0 and 1. Taxed is taxable annual(op). K401: the each added up across household k401 by month(op).</t>
        </is>
      </c>
      <c r="I174" s="3" t="inlineStr">
        <is>
          <t>PARTLY READ — some of the code is still showing through; needs a hand pass</t>
        </is>
      </c>
      <c r="J174" s="3" t="inlineStr">
        <is>
          <t>op: OnboardingProfile | null</t>
        </is>
      </c>
      <c r="K174" s="3" t="inlineStr">
        <is>
          <t>RateInForce</t>
        </is>
      </c>
      <c r="L174" s="3" t="inlineStr">
        <is>
          <t>—</t>
        </is>
      </c>
      <c r="M174" s="3" t="inlineStr">
        <is>
          <t>1. Turns a monthly figure into a year by multiplying by twelve.
2. Rounds the answer to a whole number.</t>
        </is>
      </c>
      <c r="N174" s="3" t="inlineStr">
        <is>
          <t>Yes</t>
        </is>
      </c>
      <c r="O174" s="3" t="inlineStr">
        <is>
          <t>1. MK-CF-F-173 earnerWages
2. MK-CF-F-180 enteredLandsAnnual
3. MK-CF-F-085 filingStatusOf
4. MK-CF-F-206 householdK401ByMonth
5. MK-CF-F-089 over65CountOf
6. MK-CF-F-082 salaryAnnual
7. MK-CF-F-086 stateRateOf
8. MK-CF-F-101 taxOwedFor
9. MK-CF-F-084 taxableAnnual
10. MK-ST-F-052 toNum</t>
        </is>
      </c>
      <c r="P174" s="3" t="n">
        <v>49</v>
      </c>
      <c r="Q174" s="3" t="inlineStr">
        <is>
          <t>1. MK-CF-F-173 earnerWages
2. MK-CF-F-180 enteredLandsAnnual
3. MK-CF-F-085 filingStatusOf
4. MK-CF-F-206 householdK401ByMonth
5. MK-CF-F-089 over65CountOf
6. MK-CF-F-082 salaryAnnual
7. MK-CF-F-086 stateRateOf
8. MK-CF-F-101 taxOwedFor
9. MK-CF-F-084 taxableAnnual
10. MK-ST-F-052 toNum
11. MK-CF-F-172 hasWage
12. MK-CF-F-132 map
13. MK-CF-F-176 sumMonthsOverEarners
14. MK-CF-F-177 wageGrossByMonth
15. MK-CF-F-060 salaryGrossByMonth
16. MK-CF-F-100 taxableIncomeFor
17. MK-CF-F-072 currentRetirementIncomeMonthly
18. MK-CF-F-071 extraIncome
19. MK-CF-F-068 rentalNetAnnual
20. MK-CF-F-066 rsuAnnual
21. MK-CF-F-074 tipsAnnual
22. MK-XS-F-122 n
23. MK-ST-F-056 has
24. MK-CF-F-130 enteredMonthlyRaw
25. MK-CF-F-166 hasMonthlySalaryTable
26. MK-ST-F-036 reconcile
27. MK-CF-F-167 salaryCalendarYear
28. MK-CF-F-099 deductionFor
29. MK-CF-F-075 retirementIncomeMonthly
30. MK-CF-F-070 benefitAnnual
31. MK-ST-F-039 on
32. MK-CF-O-002 expenses
33. MK-CF-F-067 rentalList
34. MK-CF-F-062 equityRowValue
35. MK-CF-F-063 rowVestYear
36. MK-CF-F-081 salaryActiveMonths
37. MK-CF-F-165 salaryMonths
38. MK-CF-F-187 seniorDeductionFor
39. MK-CF-F-069 benefitActiveMonths
40. MK-CF-F-151 actualSpending
41. MK-CF-F-150 debtPaymentsCountedAsExpenses
42. MK-CF-F-153 radar
43. MK-CF-F-149 recurringDebtPayments
44. MK-CF-F-148 inMonth
45. MK-CF-F-191 ym
46. MK-CF-F-022 paymentShape
47. MK-CF-F-152 isRadarItem
48. MK-CF-F-023 requiredPayment
49. MK-CF-F-021 defaultPaymentType</t>
        </is>
      </c>
      <c r="R174" s="3" t="inlineStr">
        <is>
          <t>1. MK-ST-F-056 has → MK-CF-F-172 hasWage → MK-CF-F-173 earnerWages → MK-CF-F-181 rateInForce
2. MK-ST-F-056 has → MK-CF-F-172 hasWage → MK-CF-F-173 earnerWages → MK-CF-F-180 enteredLandsAnnual → MK-CF-F-181 rateInForce
3. MK-XS-F-122 n → MK-ST-F-052 toNum → MK-CF-F-180 enteredLandsAnnual → MK-CF-F-181 rateInForce
4. MK-CF-F-085 filingStatusOf → MK-CF-F-181 rateInForce
5. MK-CF-F-132 map → MK-CF-F-206 householdK401ByMonth → MK-CF-F-181 rateInForce
6. MK-ST-F-056 has → MK-CF-F-172 hasWage → MK-CF-F-173 earnerWages → MK-CF-F-176 sumMonthsOverEarners → MK-CF-F-206 householdK401ByMonth → MK-CF-F-181 rateInForce
7. MK-CF-F-132 map → MK-CF-F-176 sumMonthsOverEarners → MK-CF-F-206 householdK401ByMonth → MK-CF-F-181 rateInForce
8. MK-XS-F-122 n → MK-ST-F-052 toNum → MK-CF-F-206 householdK401ByMonth → MK-CF-F-181 rateInForce
9. … and 5 more paths</t>
        </is>
      </c>
      <c r="S174" s="3" t="inlineStr">
        <is>
          <t>—</t>
        </is>
      </c>
      <c r="T174" s="3" t="inlineStr">
        <is>
          <t>—</t>
        </is>
      </c>
      <c r="U174" s="3" t="inlineStr">
        <is>
          <t>ACTIVE</t>
        </is>
      </c>
      <c r="V174" s="3" t="inlineStr">
        <is>
          <t>2026-10-04</t>
        </is>
      </c>
      <c r="W174" s="3" t="n"/>
      <c r="X174" s="3" t="n"/>
      <c r="Y174" s="6" t="inlineStr">
        <is>
          <t>TESTED, NOT VERIFIED (G46)</t>
        </is>
      </c>
    </row>
    <row r="175" ht="45" customHeight="1">
      <c r="A175" s="3" t="inlineStr">
        <is>
          <t>MK-CF-F-182</t>
        </is>
      </c>
      <c r="B175" s="3" t="inlineStr">
        <is>
          <t>asPercent</t>
        </is>
      </c>
      <c r="C175" s="3" t="inlineStr">
        <is>
          <t>src/domain/income/from-accounts.ts</t>
        </is>
      </c>
      <c r="D175" s="3" t="n">
        <v>56</v>
      </c>
      <c r="E175" s="3" t="inlineStr">
        <is>
          <t>1 · ACTION</t>
        </is>
      </c>
      <c r="F175" s="3" t="inlineStr">
        <is>
          <t>A rate as the person would say it: 3.8%, not 0.038.</t>
        </is>
      </c>
      <c r="G175" s="11" t="inlineStr">
        <is>
          <t>the answer = (r × 100) followed by '%'</t>
        </is>
      </c>
      <c r="H175" s="3" t="inlineStr">
        <is>
          <t>A rate written the way a person says it: 0.038 becomes 3.8%. The hundred is the percent scale, not an option contract.</t>
        </is>
      </c>
      <c r="I175" s="3" t="inlineStr">
        <is>
          <t>READ BY HAND 2026-08-26 — checked line by line against the code</t>
        </is>
      </c>
      <c r="J175" s="3" t="inlineStr">
        <is>
          <t>r: number</t>
        </is>
      </c>
      <c r="K175" s="3" t="inlineStr">
        <is>
          <t>NOT DECLARED — the code does not say what it gives back</t>
        </is>
      </c>
      <c r="L175" s="3" t="inlineStr">
        <is>
          <t>—</t>
        </is>
      </c>
      <c r="M175" s="3" t="inlineStr">
        <is>
          <t>None found in this function — anything it assumes comes from the functions it depends on.</t>
        </is>
      </c>
      <c r="N175" s="3" t="inlineStr">
        <is>
          <t>Yes</t>
        </is>
      </c>
      <c r="O175" s="3" t="inlineStr">
        <is>
          <t>—</t>
        </is>
      </c>
      <c r="P175" s="3" t="n">
        <v>0</v>
      </c>
      <c r="Q175" s="3" t="inlineStr">
        <is>
          <t>None — no dependent function stands behind it</t>
        </is>
      </c>
      <c r="R175" s="3" t="inlineStr">
        <is>
          <t>No dependent function — it reads its inputs and answers</t>
        </is>
      </c>
      <c r="S175" s="3" t="inlineStr">
        <is>
          <t>—</t>
        </is>
      </c>
      <c r="T175" s="3" t="inlineStr">
        <is>
          <t>—</t>
        </is>
      </c>
      <c r="U175" s="3" t="inlineStr">
        <is>
          <t>ACTIVE</t>
        </is>
      </c>
      <c r="V175" s="3" t="inlineStr">
        <is>
          <t>2026-09-12</t>
        </is>
      </c>
      <c r="W175" s="3" t="n"/>
      <c r="X175" s="3" t="n"/>
      <c r="Y175" s="3" t="inlineStr">
        <is>
          <t>NOTHING OPEN</t>
        </is>
      </c>
    </row>
    <row r="176" ht="60" customHeight="1">
      <c r="A176" s="3" t="inlineStr">
        <is>
          <t>MK-CF-F-183</t>
        </is>
      </c>
      <c r="B176" s="3" t="inlineStr">
        <is>
          <t>paidOutByAccount</t>
        </is>
      </c>
      <c r="C176" s="3" t="inlineStr">
        <is>
          <t>src/domain/income/from-accounts.ts</t>
        </is>
      </c>
      <c r="D176" s="3" t="n">
        <v>87</v>
      </c>
      <c r="E176" s="3" t="inlineStr">
        <is>
          <t>3 · DEPENDENT</t>
        </is>
      </c>
      <c r="F176" s="3" t="inlineStr">
        <is>
          <t>What each account actually PAID OUT in the last year, by account.</t>
        </is>
      </c>
      <c r="G176" s="11" t="inlineStr">
        <is>
          <t>cutoff = iso local date(new date(now.get full year() − 1, now.get month(), now.get date()))
out = new map&lt;string, number&gt;()
id = string(account id ?? '')
the answer = out</t>
        </is>
      </c>
      <c r="H176" s="3" t="inlineStr">
        <is>
          <t>Cutoff is iso local date(new date(now.get full year() minus 1, now.get month(), now.get date())). Out is new map&lt;string, number&gt;(). Id is string(account id ?? ''). The answer is out.</t>
        </is>
      </c>
      <c r="I176" s="3" t="inlineStr">
        <is>
          <t>PARTLY READ — some of the code is still showing through; needs a hand pass</t>
        </is>
      </c>
      <c r="J176" s="3" t="inlineStr">
        <is>
          <t>1. txns: any[] | null | undefined
2. now: Date</t>
        </is>
      </c>
      <c r="K176" s="3" t="inlineStr">
        <is>
          <t>Map&lt;string, number&gt;</t>
        </is>
      </c>
      <c r="L176" s="3" t="inlineStr">
        <is>
          <t>—</t>
        </is>
      </c>
      <c r="M176" s="3" t="inlineStr">
        <is>
          <t>· If amount is missing it counts as zero, so nothing recorded and a real zero look the same.</t>
        </is>
      </c>
      <c r="N176" s="3" t="inlineStr">
        <is>
          <t>Yes</t>
        </is>
      </c>
      <c r="O176" s="3" t="inlineStr">
        <is>
          <t>MK-ST-F-065 isoLocalDate</t>
        </is>
      </c>
      <c r="P176" s="3" t="n">
        <v>1</v>
      </c>
      <c r="Q176" s="3" t="inlineStr">
        <is>
          <t>MK-ST-F-065 isoLocalDate</t>
        </is>
      </c>
      <c r="R176" s="3" t="inlineStr">
        <is>
          <t>MK-ST-F-065 isoLocalDate → MK-CF-F-183 paidOutByAccount</t>
        </is>
      </c>
      <c r="S176" s="3" t="inlineStr">
        <is>
          <t>—</t>
        </is>
      </c>
      <c r="T176" s="3" t="inlineStr">
        <is>
          <t>—</t>
        </is>
      </c>
      <c r="U176" s="3" t="inlineStr">
        <is>
          <t>ACTIVE</t>
        </is>
      </c>
      <c r="V176" s="3" t="inlineStr">
        <is>
          <t>2026-08-28</t>
        </is>
      </c>
      <c r="W176" s="3" t="n"/>
      <c r="X176" s="3" t="n"/>
      <c r="Y176" s="3" t="inlineStr">
        <is>
          <t>NOTHING OPEN</t>
        </is>
      </c>
    </row>
    <row r="177" ht="60" customHeight="1">
      <c r="A177" s="3" t="inlineStr">
        <is>
          <t>MK-CF-F-184</t>
        </is>
      </c>
      <c r="B177" s="3" t="inlineStr">
        <is>
          <t>incomeFromAccounts</t>
        </is>
      </c>
      <c r="C177" s="3" t="inlineStr">
        <is>
          <t>src/domain/income/from-accounts.ts</t>
        </is>
      </c>
      <c r="D177" s="3" t="n">
        <v>147</v>
      </c>
      <c r="E177" s="3" t="inlineStr">
        <is>
          <t>2 · DISPLAYED</t>
        </is>
      </c>
      <c r="F177" s="3" t="inlineStr">
        <is>
          <t>One line per account that pays something, and the total.</t>
        </is>
      </c>
      <c r="G177" s="11" t="inlineStr">
        <is>
          <t>paid = paid out by account(transactions, now)
lines = []
unseen = []
cls = asset class of(a)
label = string((a as any).label or (a as any).institution or 'Account')
balance = (a as any).balance (or 0 when missing or zero)
rate = (a as any).coupon rate (or 0 when missing or zero)
actual = paid.get(string((a as any).asset id ?? ''))
face = (a as any).face value (or 0 when missing or zero)</t>
        </is>
      </c>
      <c r="H177" s="3" t="inlineStr">
        <is>
          <t>Paid is paid out by account(transactions, now). Lines is []. Unseen is []. Cls is asset class of(a). Label is string((a as any).label or (a as any).institution or 'Account'). Balance is (a as any).balance (or 0 — when missing or zero). Rate is (a as any).coupon rate (or 0 — when missing or zero). Actual is paid.get(string((a as any).asset id ?? '')). Face is (a as any).face value (or 0 — when missing or zero).</t>
        </is>
      </c>
      <c r="I177" s="3" t="inlineStr">
        <is>
          <t>PARTLY READ — some of the code is still showing through; needs a hand pass</t>
        </is>
      </c>
      <c r="J177" s="3" t="inlineStr">
        <is>
          <t>Nothing is handed to it</t>
        </is>
      </c>
      <c r="K177" s="3" t="inlineStr">
        <is>
          <t>NOT DECLARED — the code does not say what it gives back</t>
        </is>
      </c>
      <c r="L177" s="3" t="inlineStr">
        <is>
          <t>"Dividends, interest &amp; coupons" — on the Income manager screen, under "INVESTMENT INCOME"</t>
        </is>
      </c>
      <c r="M177" s="3" t="inlineStr">
        <is>
          <t>1. If balance is missing it counts as zero, so nothing recorded and a real zero look the same.
2. If coupon rate is missing it counts as zero, so nothing recorded and a real zero look the same.
3. If face value is missing it counts as zero, so nothing recorded and a real zero look the same.
4. Uses today's date from the device clock, so the answer changes by itself overnight.</t>
        </is>
      </c>
      <c r="N177" s="3" t="inlineStr">
        <is>
          <t>Yes</t>
        </is>
      </c>
      <c r="O177" s="3" t="inlineStr">
        <is>
          <t>1. MK-CF-F-182 asPercent
2. MK-NW-F-011 assetClassOf
3. MK-ST-F-053 money
4. MK-CF-F-183 paidOutByAccount</t>
        </is>
      </c>
      <c r="P177" s="3" t="n">
        <v>19</v>
      </c>
      <c r="Q177" s="3" t="inlineStr">
        <is>
          <t>1. MK-CF-F-182 asPercent
2. MK-NW-F-011 assetClassOf
3. MK-ST-F-053 money
4. MK-CF-F-183 paidOutByAccount
5. MK-NW-F-008 incomeBearingClassOf
6. MK-ST-F-049 formatMoney
7. MK-XS-F-122 n
8. MK-ST-F-065 isoLocalDate
9. MK-CF-F-155 cash
10. MK-ST-F-010 nameEvidence
11. MK-ST-F-048 currencySymbol
12. MK-ST-F-039 on
13. MK-XS-F-147 call
14. MK-ST-F-056 has
15. MK-CF-F-132 map
16. MK-ST-F-047 activeCurrency
17. MK-ST-F-027 accountId
18. MK-XS-F-064 currentIdToken
19. MK-XS-F-112 relayUrl</t>
        </is>
      </c>
      <c r="R177" s="3" t="inlineStr">
        <is>
          <t>1. MK-CF-F-182 asPercent → MK-CF-F-184 incomeFromAccounts
2. MK-XS-F-122 n → MK-CF-F-155 cash → MK-NW-F-008 incomeBearingClassOf → MK-NW-F-011 assetClassOf → MK-CF-F-184 incomeFromAccounts
3. MK-ST-F-027 accountId → MK-XS-F-147 call → MK-ST-F-010 nameEvidence → MK-NW-F-008 incomeBearingClassOf → MK-NW-F-011 assetClassOf → MK-CF-F-184 incomeFromAccounts
4. MK-XS-F-064 currentIdToken → MK-XS-F-147 call → MK-ST-F-010 nameEvidence → MK-NW-F-008 incomeBearingClassOf → MK-NW-F-011 assetClassOf → MK-CF-F-184 incomeFromAccounts
5. MK-XS-F-112 relayUrl → MK-XS-F-147 call → MK-ST-F-010 nameEvidence → MK-NW-F-008 incomeBearingClassOf → MK-NW-F-011 assetClassOf → MK-CF-F-184 incomeFromAccounts
6. MK-ST-F-056 has → MK-ST-F-010 nameEvidence → MK-NW-F-008 incomeBearingClassOf → MK-NW-F-011 assetClassOf → MK-CF-F-184 incomeFromAccounts
7. MK-CF-F-132 map → MK-ST-F-010 nameEvidence → MK-NW-F-008 incomeBearingClassOf → MK-NW-F-011 assetClassOf → MK-CF-F-184 incomeFromAccounts
8. MK-ST-F-047 activeCurrency → MK-ST-F-048 currencySymbol → MK-ST-F-049 formatMoney → MK-ST-F-053 money → MK-CF-F-184 incomeFromAccounts
9. … and 4 more paths</t>
        </is>
      </c>
      <c r="S177" s="3" t="inlineStr">
        <is>
          <t>—</t>
        </is>
      </c>
      <c r="T177" s="3" t="inlineStr">
        <is>
          <t>—</t>
        </is>
      </c>
      <c r="U177" s="3" t="inlineStr">
        <is>
          <t>ACTIVE</t>
        </is>
      </c>
      <c r="V177" s="3" t="inlineStr">
        <is>
          <t>2026-08-28</t>
        </is>
      </c>
      <c r="W177" s="3" t="n"/>
      <c r="X177" s="3" t="n"/>
      <c r="Y177" s="6" t="inlineStr">
        <is>
          <t>TESTED, NOT VERIFIED (A46)</t>
        </is>
      </c>
    </row>
    <row r="178" ht="45" customHeight="1">
      <c r="A178" s="3" t="inlineStr">
        <is>
          <t>MK-CF-F-185</t>
        </is>
      </c>
      <c r="B178" s="3" t="inlineStr">
        <is>
          <t>needsTakeHomeConversion</t>
        </is>
      </c>
      <c r="C178" s="3" t="inlineStr">
        <is>
          <t>src/domain/income/take-home-mode-migration.ts</t>
        </is>
      </c>
      <c r="D178" s="3" t="n">
        <v>53</v>
      </c>
      <c r="E178" s="3" t="inlineStr">
        <is>
          <t>3 · DEPENDENT</t>
        </is>
      </c>
      <c r="F178" s="3" t="inlineStr">
        <is>
          <t>True when this profile still holds a pre-2026-08-28 take-home entry.</t>
        </is>
      </c>
      <c r="G178" s="11" t="inlineStr">
        <is>
          <t>(op as any).salary mode = 'takehome' and to num((op as any).base salary) &gt; 0</t>
        </is>
      </c>
      <c r="H178" s="3" t="inlineStr">
        <is>
          <t>(op as any).salary mode = 'takehome' and to num((op as any).base salary) &gt; 0.</t>
        </is>
      </c>
      <c r="I178" s="3" t="inlineStr">
        <is>
          <t>PARTLY READ — some of the code is still showing through; needs a hand pass</t>
        </is>
      </c>
      <c r="J178" s="3" t="inlineStr">
        <is>
          <t>op: OnboardingProfile | null</t>
        </is>
      </c>
      <c r="K178" s="3" t="inlineStr">
        <is>
          <t>boolean</t>
        </is>
      </c>
      <c r="L178" s="3" t="inlineStr">
        <is>
          <t>—</t>
        </is>
      </c>
      <c r="M178" s="3" t="inlineStr">
        <is>
          <t>None found in this function — anything it assumes comes from the functions it depends on.</t>
        </is>
      </c>
      <c r="N178" s="3" t="inlineStr">
        <is>
          <t>Yes</t>
        </is>
      </c>
      <c r="O178" s="3" t="inlineStr">
        <is>
          <t>MK-ST-F-052 toNum</t>
        </is>
      </c>
      <c r="P178" s="3" t="n">
        <v>2</v>
      </c>
      <c r="Q178" s="3" t="inlineStr">
        <is>
          <t>1. MK-ST-F-052 toNum
2. MK-XS-F-122 n</t>
        </is>
      </c>
      <c r="R178" s="3" t="inlineStr">
        <is>
          <t>MK-XS-F-122 n → MK-ST-F-052 toNum → MK-CF-F-185 needsTakeHomeConversion</t>
        </is>
      </c>
      <c r="S178" s="3" t="inlineStr">
        <is>
          <t>—</t>
        </is>
      </c>
      <c r="T178" s="3" t="inlineStr">
        <is>
          <t>—</t>
        </is>
      </c>
      <c r="U178" s="3" t="inlineStr">
        <is>
          <t>ACTIVE</t>
        </is>
      </c>
      <c r="V178" s="3" t="inlineStr">
        <is>
          <t>2026-09-12</t>
        </is>
      </c>
      <c r="W178" s="3" t="n"/>
      <c r="X178" s="3" t="n"/>
      <c r="Y178" s="3" t="inlineStr">
        <is>
          <t>NOTHING OPEN</t>
        </is>
      </c>
    </row>
    <row r="179" ht="60" customHeight="1">
      <c r="A179" s="3" t="inlineStr">
        <is>
          <t>MK-CF-F-186</t>
        </is>
      </c>
      <c r="B179" s="3" t="inlineStr">
        <is>
          <t>convertTakeHomeMode</t>
        </is>
      </c>
      <c r="C179" s="3" t="inlineStr">
        <is>
          <t>src/domain/income/take-home-mode-migration.ts</t>
        </is>
      </c>
      <c r="D179" s="3" t="n">
        <v>94</v>
      </c>
      <c r="E179" s="3" t="inlineStr">
        <is>
          <t>3 · DEPENDENT</t>
        </is>
      </c>
      <c r="F179" s="3" t="inlineStr">
        <is>
          <t>Convert it. What they typed becomes what LANDS; the gross is worked back once and stored.</t>
        </is>
      </c>
      <c r="G179" s="11" t="inlineStr">
        <is>
          <t>op   when !needs take home conversion(op as any)
periods = PERIODS[string(op.salary freq ?? 'monthly')] (or 12 when missing)
net per period = op.base salary read as a number (0 when it is not one)
net annual = net per period × periods
gross annual = gross from net(net annual, filing status of(op as any), over65 count of(op as any))</t>
        </is>
      </c>
      <c r="H179" s="3" t="inlineStr">
        <is>
          <t>When !needs take home conversion(op as any), it answers op. Periods is PERIODS[string(op.salary freq ?? 'monthly')] (or 12 — when missing). Net per period is op.base salary read as a number (0 — when it is one is missing). Net annual is net per period times periods. Gross annual is gross from net(net annual, filing status of(op as any), over65 count of(op as any)).</t>
        </is>
      </c>
      <c r="I179" s="3" t="inlineStr">
        <is>
          <t>PARTLY READ — some of the code is still showing through; needs a hand pass</t>
        </is>
      </c>
      <c r="J179" s="3" t="inlineStr">
        <is>
          <t>op: T</t>
        </is>
      </c>
      <c r="K179" s="3" t="inlineStr">
        <is>
          <t>T</t>
        </is>
      </c>
      <c r="L179" s="3" t="inlineStr">
        <is>
          <t>—</t>
        </is>
      </c>
      <c r="M179" s="3" t="inlineStr">
        <is>
          <t>· Treats a year as twelve equal months.</t>
        </is>
      </c>
      <c r="N179" s="3" t="inlineStr">
        <is>
          <t>Yes</t>
        </is>
      </c>
      <c r="O179" s="3" t="inlineStr">
        <is>
          <t>1. MK-CF-F-085 filingStatusOf
2. MK-CF-F-097 grossFromNet
3. MK-CF-F-185 needsTakeHomeConversion
4. MK-CF-F-089 over65CountOf
5. MK-ST-F-052 toNum</t>
        </is>
      </c>
      <c r="P179" s="3" t="n">
        <v>10</v>
      </c>
      <c r="Q179" s="3" t="inlineStr">
        <is>
          <t>1. MK-CF-F-085 filingStatusOf
2. MK-CF-F-097 grossFromNet
3. MK-CF-F-185 needsTakeHomeConversion
4. MK-CF-F-089 over65CountOf
5. MK-ST-F-052 toNum
6. MK-CF-F-101 taxOwedFor
7. MK-XS-F-122 n
8. MK-CF-F-100 taxableIncomeFor
9. MK-CF-F-099 deductionFor
10. MK-CF-F-187 seniorDeductionFor</t>
        </is>
      </c>
      <c r="R179" s="3" t="inlineStr">
        <is>
          <t>1. MK-CF-F-085 filingStatusOf → MK-CF-F-186 convertTakeHomeMode
2. MK-CF-F-187 seniorDeductionFor → MK-CF-F-099 deductionFor → MK-CF-F-100 taxableIncomeFor → MK-CF-F-101 taxOwedFor → MK-CF-F-097 grossFromNet → MK-CF-F-186 convertTakeHomeMode
3. MK-XS-F-122 n → MK-ST-F-052 toNum → MK-CF-F-185 needsTakeHomeConversion → MK-CF-F-186 convertTakeHomeMode
4. MK-XS-F-122 n → MK-ST-F-052 toNum → MK-CF-F-089 over65CountOf → MK-CF-F-186 convertTakeHomeMode
5. MK-XS-F-122 n → MK-ST-F-052 toNum → MK-CF-F-186 convertTakeHomeMode</t>
        </is>
      </c>
      <c r="S179" s="3" t="inlineStr">
        <is>
          <t>—</t>
        </is>
      </c>
      <c r="T179" s="3" t="inlineStr">
        <is>
          <t>—</t>
        </is>
      </c>
      <c r="U179" s="3" t="inlineStr">
        <is>
          <t>ACTIVE</t>
        </is>
      </c>
      <c r="V179" s="3" t="inlineStr">
        <is>
          <t>2026-09-12</t>
        </is>
      </c>
      <c r="W179" s="3" t="n"/>
      <c r="X179" s="3" t="n"/>
      <c r="Y179" s="3" t="inlineStr">
        <is>
          <t>NOTHING OPEN</t>
        </is>
      </c>
    </row>
    <row r="180" ht="60" customHeight="1">
      <c r="A180" s="3" t="inlineStr">
        <is>
          <t>MK-CF-F-187</t>
        </is>
      </c>
      <c r="B180" s="3" t="inlineStr">
        <is>
          <t>seniorDeductionFor</t>
        </is>
      </c>
      <c r="C180" s="3" t="inlineStr">
        <is>
          <t>src/domain/income/tax.ts</t>
        </is>
      </c>
      <c r="D180" s="3" t="n">
        <v>209</v>
      </c>
      <c r="E180" s="3" t="inlineStr">
        <is>
          <t>3 · DEPENDENT</t>
        </is>
      </c>
      <c r="F180" s="3" t="inlineStr">
        <is>
          <t>How much of the $6,000-per-person senior deduction does this return get?</t>
        </is>
      </c>
      <c r="G180" s="11" t="inlineStr">
        <is>
          <t>0   when the tax year is outside 2025–2028, or filing separately, or nobody on the return is 65+, or the income is not known
people = min(2, over65)
full = people × $6,000
the answer = max(0, full − 6% × max(0, magi − start))   start = $75,000 single / head of household · $150,000 married</t>
        </is>
      </c>
      <c r="H180" s="3" t="inlineStr">
        <is>
          <t>Nothing when the year is outside 2025 to 2028, when the person files separately, when nobody on the return is 65 or older, or when the income is not known. Otherwise $6,000 for each person 65 or older (at most two), reduced by six cents for every dollar of income above $75,000 ($150,000 on a joint return), and never below zero.</t>
        </is>
      </c>
      <c r="I180" s="3" t="inlineStr">
        <is>
          <t>READ BY HAND 2026-08-26 — checked line by line against the code</t>
        </is>
      </c>
      <c r="J180" s="3" t="inlineStr">
        <is>
          <t>1. status: FilingStatus = 'single'
2. over65 = 0
3. magi: number | null = null</t>
        </is>
      </c>
      <c r="K180" s="3" t="inlineStr">
        <is>
          <t>number</t>
        </is>
      </c>
      <c r="L180" s="3" t="inlineStr">
        <is>
          <t>—</t>
        </is>
      </c>
      <c r="M180" s="3" t="inlineStr">
        <is>
          <t>1. Never lets over65 fall below 0.
2. Uses the published figures: $6,000 per person 65+, phased out at 6% above $75,000 ($150,000 joint), 2025–2028 (P.L. 119-21 §70103; checked 2026-09-08; lapses after 2028 — the statutory test fails when the tax year rolls past it).
3. Takes the income handed to it as modified adjusted gross income — the untaxed part of Social Security and other adjustments are not modelled.
4. Income not known → 0, never a guessed deduction.</t>
        </is>
      </c>
      <c r="N180" s="3" t="inlineStr">
        <is>
          <t>Yes</t>
        </is>
      </c>
      <c r="O180" s="3" t="inlineStr">
        <is>
          <t>—</t>
        </is>
      </c>
      <c r="P180" s="3" t="n">
        <v>0</v>
      </c>
      <c r="Q180" s="3" t="inlineStr">
        <is>
          <t>None — no dependent function stands behind it</t>
        </is>
      </c>
      <c r="R180" s="3" t="inlineStr">
        <is>
          <t>No dependent function — it reads its inputs and answers</t>
        </is>
      </c>
      <c r="S180" s="3" t="inlineStr">
        <is>
          <t>—</t>
        </is>
      </c>
      <c r="T180" s="3" t="inlineStr">
        <is>
          <t>—</t>
        </is>
      </c>
      <c r="U180" s="3" t="inlineStr">
        <is>
          <t>ACTIVE</t>
        </is>
      </c>
      <c r="V180" s="3" t="inlineStr">
        <is>
          <t>2026-09-08</t>
        </is>
      </c>
      <c r="W180" s="3" t="n"/>
      <c r="X180" s="3" t="n"/>
      <c r="Y180" s="6" t="inlineStr">
        <is>
          <t>TESTED, NOT VERIFIED (Brief E8, G3)</t>
        </is>
      </c>
    </row>
    <row r="181" ht="60" customHeight="1">
      <c r="A181" s="3" t="inlineStr">
        <is>
          <t>MK-CF-F-188</t>
        </is>
      </c>
      <c r="B181" s="3" t="inlineStr">
        <is>
          <t>householdPreTaxContributionsAnnual</t>
        </is>
      </c>
      <c r="C181" s="3" t="inlineStr">
        <is>
          <t>src/domain/income/earners.ts</t>
        </is>
      </c>
      <c r="D181" s="3" t="n">
        <v>237</v>
      </c>
      <c r="E181" s="3" t="inlineStr">
        <is>
          <t>3 · DEPENDENT</t>
        </is>
      </c>
      <c r="F181" s="3" t="inlineStr">
        <is>
          <t>The household's pre-tax 401(k) contributions for the year — every earner's, added up.</t>
        </is>
      </c>
      <c r="G181" s="11" t="inlineStr">
        <is>
          <t>Σ over every earner of (monthly 401(k) contribution) × 12</t>
        </is>
      </c>
      <c r="H181" s="3" t="inlineStr">
        <is>
          <t>Every earner's monthly 401(k) contribution, added up and taken as running all twelve months.</t>
        </is>
      </c>
      <c r="I181" s="3" t="inlineStr">
        <is>
          <t>READ BY HAND 2026-08-26 — checked line by line against the code</t>
        </is>
      </c>
      <c r="J181" s="3" t="inlineStr">
        <is>
          <t>op: OnboardingProfile | null</t>
        </is>
      </c>
      <c r="K181" s="3" t="inlineStr">
        <is>
          <t>number</t>
        </is>
      </c>
      <c r="L181" s="3" t="inlineStr">
        <is>
          <t>—</t>
        </is>
      </c>
      <c r="M181" s="3" t="inlineStr">
        <is>
          <t>1. Turns a monthly figure into a year by multiplying by twelve.
2. Twelve equal months — a contribution entered monthly is taken as running all year.</t>
        </is>
      </c>
      <c r="N181" s="3" t="inlineStr">
        <is>
          <t>Yes</t>
        </is>
      </c>
      <c r="O181" s="3" t="inlineStr">
        <is>
          <t>1. MK-CF-F-175 sumOverEarners
2. MK-ST-F-052 toNum</t>
        </is>
      </c>
      <c r="P181" s="3" t="n">
        <v>6</v>
      </c>
      <c r="Q181" s="3" t="inlineStr">
        <is>
          <t>1. MK-CF-F-175 sumOverEarners
2. MK-ST-F-052 toNum
3. MK-CF-F-173 earnerWages
4. MK-XS-F-122 n
5. MK-CF-F-172 hasWage
6. MK-ST-F-056 has</t>
        </is>
      </c>
      <c r="R181" s="3" t="inlineStr">
        <is>
          <t>1. MK-ST-F-056 has → MK-CF-F-172 hasWage → MK-CF-F-173 earnerWages → MK-CF-F-175 sumOverEarners → MK-CF-F-188 householdPreTaxContributionsAnnual
2. MK-XS-F-122 n → MK-ST-F-052 toNum → MK-CF-F-188 householdPreTaxContributionsAnnual</t>
        </is>
      </c>
      <c r="S181" s="3" t="inlineStr">
        <is>
          <t>—</t>
        </is>
      </c>
      <c r="T181" s="3" t="inlineStr">
        <is>
          <t>—</t>
        </is>
      </c>
      <c r="U181" s="3" t="inlineStr">
        <is>
          <t>ACTIVE</t>
        </is>
      </c>
      <c r="V181" s="3" t="inlineStr">
        <is>
          <t>2026-09-08</t>
        </is>
      </c>
      <c r="W181" s="3" t="n"/>
      <c r="X181" s="3" t="n"/>
      <c r="Y181" s="6" t="inlineStr">
        <is>
          <t>TESTED, NOT VERIFIED (G22 / Q46)</t>
        </is>
      </c>
    </row>
    <row r="182" ht="60" customHeight="1">
      <c r="A182" s="3" t="inlineStr">
        <is>
          <t>MK-CF-F-189</t>
        </is>
      </c>
      <c r="B182" s="3" t="inlineStr">
        <is>
          <t>essentialsFromLoggedSpending</t>
        </is>
      </c>
      <c r="C182" s="3" t="inlineStr">
        <is>
          <t>MoneyKeel/functions/cashflow/essentials.ts</t>
        </is>
      </c>
      <c r="D182" s="3" t="n">
        <v>89</v>
      </c>
      <c r="E182" s="3" t="inlineStr">
        <is>
          <t>3 · DEPENDENT</t>
        </is>
      </c>
      <c r="F182" s="3" t="inlineStr">
        <is>
          <t>What does a month actually cost, from what has been logged?</t>
        </is>
      </c>
      <c r="G182" s="11" t="inlineStr">
        <is>
          <t>window = the 12 complete calendar months before the current month
counted = the months in that window with at least one logged entry (every category — debt payments and big items included)
monthly = Σ amounts in the counted months ÷ number of counted months
if no complete month has an entry but the current month does: monthly = the current month's total, counted = 1
nothing when no month has an entry
label = "&lt;counted&gt; month average"</t>
        </is>
      </c>
      <c r="H182" s="3" t="inlineStr">
        <is>
          <t>Look at the twelve finished months before this one. Add up everything logged in the months that have anything logged — mortgage, debt payments and big one-offs included — and divide by how many of those months there are. Say how many: '7 month average'. If only the current month has entries, use it alone and say so. With nothing logged there is no answer.</t>
        </is>
      </c>
      <c r="I182" s="3" t="inlineStr">
        <is>
          <t>READ BY HAND 2026-08-26 — checked line by line against the code</t>
        </is>
      </c>
      <c r="J182" s="3" t="inlineStr">
        <is>
          <t>1. expenses: LoggedSpend[]
2. now: Date = new Date()</t>
        </is>
      </c>
      <c r="K182" s="3" t="inlineStr">
        <is>
          <t>EssentialsAverage | null</t>
        </is>
      </c>
      <c r="L182" s="3" t="inlineStr">
        <is>
          <t>—</t>
        </is>
      </c>
      <c r="M182" s="3" t="inlineStr">
        <is>
          <t>1. Uses a built-in k of 12.
2. Uses today's date from the device clock, so the answer changes by itself overnight.
3. Founder ruling brief Q-21 (2026-08-20): the average of ACTUAL logged expenses, mortgage and big items included — never the typed plan when logs exist.
4. Founder ruling Q47 (2026-09-08): fewer than 12 months logged → the average over the months logged, and the label says how many.
5. ASSUMPTION (mine, 2026-09-08, stated for the founder's ruling): the current, unfinished month is left out — a month three days old would drag the average down — unless it is the only month with entries.</t>
        </is>
      </c>
      <c r="N182" s="3" t="inlineStr">
        <is>
          <t>Yes</t>
        </is>
      </c>
      <c r="O182" s="3" t="inlineStr">
        <is>
          <t>1. MK-ST-F-056 has
2. MK-XS-F-122 n
3. MK-ST-F-052 toNum
4. MK-CF-F-191 ym</t>
        </is>
      </c>
      <c r="P182" s="3" t="n">
        <v>4</v>
      </c>
      <c r="Q182" s="3" t="inlineStr">
        <is>
          <t>1. MK-ST-F-056 has
2. MK-XS-F-122 n
3. MK-ST-F-052 toNum
4. MK-CF-F-191 ym</t>
        </is>
      </c>
      <c r="R182" s="3" t="inlineStr">
        <is>
          <t>1. MK-ST-F-056 has → MK-CF-F-189 essentialsFromLoggedSpending
2. MK-XS-F-122 n → MK-CF-F-189 essentialsFromLoggedSpending
3. MK-XS-F-122 n → MK-ST-F-052 toNum → MK-CF-F-189 essentialsFromLoggedSpending
4. MK-CF-F-191 ym → MK-CF-F-189 essentialsFromLoggedSpending</t>
        </is>
      </c>
      <c r="S182" s="3" t="inlineStr">
        <is>
          <t>MK-MN-M-020 · MK-MN-M-021</t>
        </is>
      </c>
      <c r="T182" s="3" t="inlineStr">
        <is>
          <t>—</t>
        </is>
      </c>
      <c r="U182" s="3" t="inlineStr">
        <is>
          <t>ACTIVE</t>
        </is>
      </c>
      <c r="V182" s="3" t="inlineStr">
        <is>
          <t>2026-09-28</t>
        </is>
      </c>
      <c r="W182" s="3" t="n"/>
      <c r="X182" s="3" t="n"/>
      <c r="Y182" s="6" t="inlineStr">
        <is>
          <t>TESTED, NOT VERIFIED (G21 / Q47)</t>
        </is>
      </c>
    </row>
    <row r="183" ht="60" customHeight="1">
      <c r="A183" s="3" t="inlineStr">
        <is>
          <t>MK-CF-F-190</t>
        </is>
      </c>
      <c r="B183" s="3" t="inlineStr">
        <is>
          <t>essentialsMonthly</t>
        </is>
      </c>
      <c r="C183" s="3" t="inlineStr">
        <is>
          <t>MoneyKeel/functions/cashflow/essentials.ts</t>
        </is>
      </c>
      <c r="D183" s="3" t="n">
        <v>140</v>
      </c>
      <c r="E183" s="3" t="inlineStr">
        <is>
          <t>3 · DEPENDENT</t>
        </is>
      </c>
      <c r="F183" s="3" t="inlineStr">
        <is>
          <t>The one essentials-a-month figure a screen divides by, and where it came from.</t>
        </is>
      </c>
      <c r="G183" s="11" t="inlineStr">
        <is>
          <t>logged = essentials from logged expenses(expenses, now)
logged exists → monthly = logged.monthly, basis 'logged', label = logged.label
otherwise, typed &gt; 0 → monthly = typed, basis 'entered', label 'you entered'
otherwise nothing — the screen shows its door, never a made-up number</t>
        </is>
      </c>
      <c r="H183" s="3" t="inlineStr">
        <is>
          <t>The logged average when any month is logged; otherwise the figure the person typed, labelled 'you entered'; otherwise nothing.</t>
        </is>
      </c>
      <c r="I183" s="3" t="inlineStr">
        <is>
          <t>READ BY HAND 2026-08-26 — checked line by line against the code</t>
        </is>
      </c>
      <c r="J183" s="3" t="inlineStr">
        <is>
          <t>1. expenses: LoggedSpend[]
2. typed: number
3. now: Date = new Date()</t>
        </is>
      </c>
      <c r="K183" s="3" t="inlineStr">
        <is>
          <t>EssentialsMonthly | null</t>
        </is>
      </c>
      <c r="L183" s="3" t="inlineStr">
        <is>
          <t>—</t>
        </is>
      </c>
      <c r="M183" s="3" t="inlineStr">
        <is>
          <t>1. Uses today's date from the device clock, so the answer changes by itself overnight.
2. Logged expenses outranks the typed figure whenever a month is logged (brief Q-21 (2026-08-20)); the typed figure is used only when nothing is logged, and it is labelled 'you entered'.</t>
        </is>
      </c>
      <c r="N183" s="3" t="inlineStr">
        <is>
          <t>Yes</t>
        </is>
      </c>
      <c r="O183" s="3" t="inlineStr">
        <is>
          <t>1. MK-CF-F-189 essentialsFromLoggedSpending
2. MK-CF-O-002 expenses</t>
        </is>
      </c>
      <c r="P183" s="3" t="n">
        <v>16</v>
      </c>
      <c r="Q183" s="3" t="inlineStr">
        <is>
          <t>1. MK-CF-F-189 essentialsFromLoggedSpending
2. MK-CF-O-002 expenses
3. MK-ST-F-056 has
4. MK-XS-F-122 n
5. MK-ST-F-052 toNum
6. MK-CF-F-191 ym
7. MK-CF-F-151 actualSpending
8. MK-CF-F-150 debtPaymentsCountedAsExpenses
9. MK-CF-F-153 radar
10. MK-CF-F-149 recurringDebtPayments
11. MK-CF-F-148 inMonth
12. MK-CF-F-022 paymentShape
13. MK-CF-F-152 isRadarItem
14. MK-CF-F-023 requiredPayment
15. MK-CF-F-132 map
16. MK-CF-F-021 defaultPaymentType</t>
        </is>
      </c>
      <c r="R183" s="3" t="inlineStr">
        <is>
          <t>1. MK-ST-F-056 has → MK-CF-F-189 essentialsFromLoggedSpending → MK-CF-F-190 essentialsMonthly
2. MK-XS-F-122 n → MK-CF-F-189 essentialsFromLoggedSpending → MK-CF-F-190 essentialsMonthly
3. MK-XS-F-122 n → MK-ST-F-052 toNum → MK-CF-F-189 essentialsFromLoggedSpending → MK-CF-F-190 essentialsMonthly
4. MK-CF-F-191 ym → MK-CF-F-189 essentialsFromLoggedSpending → MK-CF-F-190 essentialsMonthly
5. MK-CF-F-191 ym → MK-CF-F-148 inMonth → MK-CF-F-151 actualSpending → MK-CF-O-002 expenses → MK-CF-F-190 essentialsMonthly
6. MK-XS-F-122 n → MK-ST-F-052 toNum → MK-CF-F-151 actualSpending → MK-CF-O-002 expenses → MK-CF-F-190 essentialsMonthly
7. MK-CF-F-191 ym → MK-CF-F-151 actualSpending → MK-CF-O-002 expenses → MK-CF-F-190 essentialsMonthly
8. MK-ST-F-056 has → MK-CF-F-150 debtPaymentsCountedAsExpenses → MK-CF-O-002 expenses → MK-CF-F-190 essentialsMonthly
9. … and 4 more paths</t>
        </is>
      </c>
      <c r="S183" s="3" t="inlineStr">
        <is>
          <t>MK-MN-M-024 · MK-MN-M-025 · MK-MN-M-026 · MK-NW-M-013 · MK-NW-M-014</t>
        </is>
      </c>
      <c r="T183" s="3" t="inlineStr">
        <is>
          <t>—</t>
        </is>
      </c>
      <c r="U183" s="3" t="inlineStr">
        <is>
          <t>ACTIVE</t>
        </is>
      </c>
      <c r="V183" s="3" t="inlineStr">
        <is>
          <t>2026-09-30</t>
        </is>
      </c>
      <c r="W183" s="3" t="n"/>
      <c r="X183" s="3" t="n"/>
      <c r="Y183" s="6" t="inlineStr">
        <is>
          <t>TESTED, NOT VERIFIED (G21 / Q47)</t>
        </is>
      </c>
    </row>
    <row r="184" ht="30" customHeight="1">
      <c r="A184" s="3" t="inlineStr">
        <is>
          <t>MK-CF-F-191</t>
        </is>
      </c>
      <c r="B184" s="3" t="inlineStr">
        <is>
          <t>ym</t>
        </is>
      </c>
      <c r="C184" s="3" t="inlineStr">
        <is>
          <t>MoneyKeel/functions/cashflow/essentials.ts</t>
        </is>
      </c>
      <c r="D184" s="3" t="n">
        <v>54</v>
      </c>
      <c r="E184" s="3" t="inlineStr">
        <is>
          <t>1 · ACTION</t>
        </is>
      </c>
      <c r="F184" s="3" t="inlineStr">
        <is>
          <t>Writes a date as its year and month: 2026-08.</t>
        </is>
      </c>
      <c r="G184" s="11" t="inlineStr">
        <is>
          <t>the answer = 'YYYY-MM' from the date's year and month</t>
        </is>
      </c>
      <c r="H184" s="3" t="inlineStr">
        <is>
          <t>The month text 'YYYY-MM' for a date. No arithmetic.</t>
        </is>
      </c>
      <c r="I184" s="3" t="inlineStr">
        <is>
          <t>READ BY HAND 2026-08-26 — checked line by line against the code</t>
        </is>
      </c>
      <c r="J184" s="3" t="inlineStr">
        <is>
          <t>d: Date</t>
        </is>
      </c>
      <c r="K184" s="3" t="inlineStr">
        <is>
          <t>NOT DECLARED — the code does not say what it gives back</t>
        </is>
      </c>
      <c r="L184" s="3" t="inlineStr">
        <is>
          <t>—</t>
        </is>
      </c>
      <c r="M184" s="3" t="inlineStr">
        <is>
          <t>None found in this function — anything it assumes comes from the functions it depends on.</t>
        </is>
      </c>
      <c r="N184" s="3" t="inlineStr">
        <is>
          <t>Yes</t>
        </is>
      </c>
      <c r="O184" s="3" t="inlineStr">
        <is>
          <t>—</t>
        </is>
      </c>
      <c r="P184" s="3" t="n">
        <v>0</v>
      </c>
      <c r="Q184" s="3" t="inlineStr">
        <is>
          <t>None — no dependent function stands behind it</t>
        </is>
      </c>
      <c r="R184" s="3" t="inlineStr">
        <is>
          <t>No dependent function — it reads its inputs and answers</t>
        </is>
      </c>
      <c r="S184" s="3" t="inlineStr">
        <is>
          <t>—</t>
        </is>
      </c>
      <c r="T184" s="3" t="inlineStr">
        <is>
          <t>—</t>
        </is>
      </c>
      <c r="U184" s="3" t="inlineStr">
        <is>
          <t>ACTIVE</t>
        </is>
      </c>
      <c r="V184" s="3" t="inlineStr">
        <is>
          <t>2026-09-12</t>
        </is>
      </c>
      <c r="W184" s="3" t="n"/>
      <c r="X184" s="3" t="n"/>
      <c r="Y184" s="3" t="inlineStr">
        <is>
          <t>NOTHING OPEN</t>
        </is>
      </c>
    </row>
    <row r="185" ht="60" customHeight="1">
      <c r="A185" s="3" t="inlineStr">
        <is>
          <t>MK-CF-F-192</t>
        </is>
      </c>
      <c r="B185" s="3" t="inlineStr">
        <is>
          <t>inflowLabel</t>
        </is>
      </c>
      <c r="C185" s="3" t="inlineStr">
        <is>
          <t>MoneyKeel/functions/cashflow/this-month.ts</t>
        </is>
      </c>
      <c r="D185" s="3" t="n">
        <v>106</v>
      </c>
      <c r="E185" s="3" t="inlineStr">
        <is>
          <t>3 · DEPENDENT</t>
        </is>
      </c>
      <c r="F185" s="3" t="inlineStr">
        <is>
          <t>The inflow line names what is inside it — founder's cluster #5 ruling (2026-09-10): the words in the brackets are the sources, "Inflow (income (take-home) + rent)".</t>
        </is>
      </c>
      <c r="G185" s="11" t="inlineStr">
        <is>
          <t>words = []
w = inflow source word(s)
the answer = `${prefix} (${words.join(' + ')})`</t>
        </is>
      </c>
      <c r="H185" s="3" t="inlineStr">
        <is>
          <t>Words is []. W is inflow source word(s). The answer is `${prefix} (${words.join(' plus ')})`.</t>
        </is>
      </c>
      <c r="I185" s="3" t="inlineStr">
        <is>
          <t>PARTLY READ — some of the code is still showing through; needs a hand pass</t>
        </is>
      </c>
      <c r="J185" s="3" t="inlineStr">
        <is>
          <t>1. prefix: 'Inflow' | 'Actual inflow' | 'Planned inflow'
2. sources?: string[]</t>
        </is>
      </c>
      <c r="K185" s="3" t="inlineStr">
        <is>
          <t>string</t>
        </is>
      </c>
      <c r="L185" s="3" t="inlineStr">
        <is>
          <t>—</t>
        </is>
      </c>
      <c r="M185" s="3" t="inlineStr">
        <is>
          <t>None found in this function — anything it assumes comes from the functions it depends on.</t>
        </is>
      </c>
      <c r="N185" s="3" t="inlineStr">
        <is>
          <t>Yes</t>
        </is>
      </c>
      <c r="O185" s="3" t="inlineStr">
        <is>
          <t>MK-CF-F-193 inflowSourceWord</t>
        </is>
      </c>
      <c r="P185" s="3" t="n">
        <v>1</v>
      </c>
      <c r="Q185" s="3" t="inlineStr">
        <is>
          <t>MK-CF-F-193 inflowSourceWord</t>
        </is>
      </c>
      <c r="R185" s="3" t="inlineStr">
        <is>
          <t>MK-CF-F-193 inflowSourceWord → MK-CF-F-192 inflowLabel</t>
        </is>
      </c>
      <c r="S185" s="3" t="inlineStr">
        <is>
          <t>—</t>
        </is>
      </c>
      <c r="T185" s="3" t="inlineStr">
        <is>
          <t>—</t>
        </is>
      </c>
      <c r="U185" s="3" t="inlineStr">
        <is>
          <t>ACTIVE</t>
        </is>
      </c>
      <c r="V185" s="3" t="inlineStr">
        <is>
          <t>2026-10-02</t>
        </is>
      </c>
      <c r="W185" s="3" t="n"/>
      <c r="X185" s="3" t="n"/>
      <c r="Y185" s="6" t="inlineStr">
        <is>
          <t>TESTED, NOT VERIFIED (Synonym cluster #5)</t>
        </is>
      </c>
    </row>
    <row r="186" ht="60" customHeight="1">
      <c r="A186" s="3" t="inlineStr">
        <is>
          <t>MK-CF-F-193</t>
        </is>
      </c>
      <c r="B186" s="3" t="inlineStr">
        <is>
          <t>inflowSourceWord</t>
        </is>
      </c>
      <c r="C186" s="3" t="inlineStr">
        <is>
          <t>MoneyKeel/functions/cashflow/this-month.ts</t>
        </is>
      </c>
      <c r="D186" s="3" t="n">
        <v>149</v>
      </c>
      <c r="E186" s="3" t="inlineStr">
        <is>
          <t>3 · DEPENDENT</t>
        </is>
      </c>
      <c r="F186" s="3" t="inlineStr">
        <is>
          <t>One source of money arriving, as the bracket says it: pay is "income (take-home)", a rental is "rent", Social Security keeps its name, anything else is its own name in lower case.</t>
        </is>
      </c>
      <c r="G186" s="11" t="inlineStr">
        <is>
          <t>s = source.trim().to lower case()
'income (take − home)'   when starts with('salary') (or starts with('base salary') (or starts with('paycheck') (or s = 'income (take − home)' when missing or zero) when missing or zero) when missing or zero)
'rent'   when starts with('rental') (or s = 'rent' when missing or zero)
'social Security'   when starts with('social security')
the answer = replace( ÷ \(. × \)$ ÷ , '')</t>
        </is>
      </c>
      <c r="H186" s="3" t="inlineStr">
        <is>
          <t>S is source.trim().to lower case(). When starts with('salary') (or starts with('base salary') (or starts with('paycheck') (or s = 'income (take minus home)' — when missing or zero) — when missing or zero) — when missing or zero), it answers 'income (take minus home)'. When starts with('rental') (or s = 'rent' — when missing or zero), it answers 'rent'. When starts with('social security'), it answers 'social Security'. The answer is replace( divided by \(. times \)$ divided by , '').</t>
        </is>
      </c>
      <c r="I186" s="3" t="inlineStr">
        <is>
          <t>PARTLY READ — some of the code is still showing through; needs a hand pass</t>
        </is>
      </c>
      <c r="J186" s="3" t="inlineStr">
        <is>
          <t>source: string</t>
        </is>
      </c>
      <c r="K186" s="3" t="inlineStr">
        <is>
          <t>string</t>
        </is>
      </c>
      <c r="L186" s="3" t="inlineStr">
        <is>
          <t>—</t>
        </is>
      </c>
      <c r="M186" s="3" t="inlineStr">
        <is>
          <t>None found in this function — anything it assumes comes from the functions it depends on.</t>
        </is>
      </c>
      <c r="N186" s="3" t="inlineStr">
        <is>
          <t>Yes</t>
        </is>
      </c>
      <c r="O186" s="3" t="inlineStr">
        <is>
          <t>—</t>
        </is>
      </c>
      <c r="P186" s="3" t="n">
        <v>0</v>
      </c>
      <c r="Q186" s="3" t="inlineStr">
        <is>
          <t>None — no dependent function stands behind it</t>
        </is>
      </c>
      <c r="R186" s="3" t="inlineStr">
        <is>
          <t>No dependent function — it reads its inputs and answers</t>
        </is>
      </c>
      <c r="S186" s="3" t="inlineStr">
        <is>
          <t>—</t>
        </is>
      </c>
      <c r="T186" s="3" t="inlineStr">
        <is>
          <t>—</t>
        </is>
      </c>
      <c r="U186" s="3" t="inlineStr">
        <is>
          <t>ACTIVE</t>
        </is>
      </c>
      <c r="V186" s="3" t="inlineStr">
        <is>
          <t>2026-09-11</t>
        </is>
      </c>
      <c r="W186" s="3" t="n"/>
      <c r="X186" s="3" t="n"/>
      <c r="Y186" s="6" t="inlineStr">
        <is>
          <t>TESTED, NOT VERIFIED (Synonym cluster #5)</t>
        </is>
      </c>
    </row>
    <row r="187" ht="60" customHeight="1">
      <c r="A187" s="3" t="inlineStr">
        <is>
          <t>MK-CF-F-194</t>
        </is>
      </c>
      <c r="B187" s="3" t="inlineStr">
        <is>
          <t>monthOutflow</t>
        </is>
      </c>
      <c r="C187" s="3" t="inlineStr">
        <is>
          <t>MoneyKeel/functions/cashflow/this-month.ts</t>
        </is>
      </c>
      <c r="D187" s="3" t="n">
        <v>65</v>
      </c>
      <c r="E187" s="3" t="inlineStr">
        <is>
          <t>2 · DISPLAYED</t>
        </is>
      </c>
      <c r="F187" s="3" t="inlineStr">
        <is>
          <t>THE MONTH'S OUTFLOW — expenses plus the debt actually paid — from one place.</t>
        </is>
      </c>
      <c r="G187" s="11" t="inlineStr">
        <is>
          <t>(snap.expenses ?? 0) + (snap.debt paid ?? 0)   if snap
logged so far   otherwise</t>
        </is>
      </c>
      <c r="H187" s="3" t="inlineStr">
        <is>
          <t>(snap.expenses ?? 0) plus (snap.debt paid ?? 0) — when snap; logged so far — otherwise.</t>
        </is>
      </c>
      <c r="I187" s="3" t="inlineStr">
        <is>
          <t>PARTLY READ — some of the code is still showing through; needs a hand pass</t>
        </is>
      </c>
      <c r="J187" s="3" t="inlineStr">
        <is>
          <t>1. snap: { expenses?: number | null; debt_paid?: number | null } | null | undefined
2. loggedSoFar: number</t>
        </is>
      </c>
      <c r="K187" s="3" t="inlineStr">
        <is>
          <t>number</t>
        </is>
      </c>
      <c r="L187" s="3" t="inlineStr">
        <is>
          <t>"Outflow (expenses + debt)" — on the Cash flow screen</t>
        </is>
      </c>
      <c r="M187" s="3" t="inlineStr">
        <is>
          <t>1. If expenses is missing it uses 0.
2. If debt paid is missing it uses 0.</t>
        </is>
      </c>
      <c r="N187" s="3" t="inlineStr">
        <is>
          <t>Yes</t>
        </is>
      </c>
      <c r="O187" s="3" t="inlineStr">
        <is>
          <t>—</t>
        </is>
      </c>
      <c r="P187" s="3" t="n">
        <v>0</v>
      </c>
      <c r="Q187" s="3" t="inlineStr">
        <is>
          <t>None — no dependent function stands behind it</t>
        </is>
      </c>
      <c r="R187" s="3" t="inlineStr">
        <is>
          <t>No dependent function — it reads its inputs and answers</t>
        </is>
      </c>
      <c r="S187" s="3" t="inlineStr">
        <is>
          <t>MK-CF-M-004</t>
        </is>
      </c>
      <c r="T187" s="3" t="inlineStr">
        <is>
          <t>—</t>
        </is>
      </c>
      <c r="U187" s="3" t="inlineStr">
        <is>
          <t>ACTIVE</t>
        </is>
      </c>
      <c r="V187" s="3" t="inlineStr">
        <is>
          <t>2026-09-12</t>
        </is>
      </c>
      <c r="W187" s="3" t="n"/>
      <c r="X187" s="3" t="n"/>
      <c r="Y187" s="6" t="inlineStr">
        <is>
          <t>TESTED, NOT VERIFIED (G12)</t>
        </is>
      </c>
    </row>
    <row r="188" ht="60" customHeight="1">
      <c r="A188" s="3" t="inlineStr">
        <is>
          <t>MK-CF-F-195</t>
        </is>
      </c>
      <c r="B188" s="3" t="inlineStr">
        <is>
          <t>monthsLeftInYear</t>
        </is>
      </c>
      <c r="C188" s="3" t="inlineStr">
        <is>
          <t>src/domain/income/limits.ts</t>
        </is>
      </c>
      <c r="D188" s="3" t="n">
        <v>82</v>
      </c>
      <c r="E188" s="3" t="inlineStr">
        <is>
          <t>3 · DEPENDENT</t>
        </is>
      </c>
      <c r="F188" s="3" t="inlineStr">
        <is>
          <t>Months left in the year INCLUDING the current one — December counts as 1, never 0.</t>
        </is>
      </c>
      <c r="G188" s="11" t="inlineStr">
        <is>
          <t>max(1, 12 − now.get month())</t>
        </is>
      </c>
      <c r="H188" s="3" t="inlineStr">
        <is>
          <t>the larger of 1 and 12 minus now.get month().</t>
        </is>
      </c>
      <c r="I188" s="3" t="inlineStr">
        <is>
          <t>PARTLY READ — some of the code is still showing through; needs a hand pass</t>
        </is>
      </c>
      <c r="J188" s="3" t="inlineStr">
        <is>
          <t>now: Date = new Date()</t>
        </is>
      </c>
      <c r="K188" s="3" t="inlineStr">
        <is>
          <t>number</t>
        </is>
      </c>
      <c r="L188" s="3" t="inlineStr">
        <is>
          <t>—</t>
        </is>
      </c>
      <c r="M188" s="3" t="inlineStr">
        <is>
          <t>1. Uses today's date from the device clock, so the answer changes by itself overnight.
2. The current month counts as remaining, so December divides by 1 (G36, founder 2026-09-12).</t>
        </is>
      </c>
      <c r="N188" s="3" t="inlineStr">
        <is>
          <t>Yes</t>
        </is>
      </c>
      <c r="O188" s="3" t="inlineStr">
        <is>
          <t>—</t>
        </is>
      </c>
      <c r="P188" s="3" t="n">
        <v>0</v>
      </c>
      <c r="Q188" s="3" t="inlineStr">
        <is>
          <t>None — no dependent function stands behind it</t>
        </is>
      </c>
      <c r="R188" s="3" t="inlineStr">
        <is>
          <t>No dependent function — it reads its inputs and answers</t>
        </is>
      </c>
      <c r="S188" s="3" t="inlineStr">
        <is>
          <t>MK-MN-M-003 · MK-MN-M-004 · MK-MN-M-005 · MK-MN-M-029</t>
        </is>
      </c>
      <c r="T188" s="3" t="inlineStr">
        <is>
          <t>—</t>
        </is>
      </c>
      <c r="U188" s="3" t="inlineStr">
        <is>
          <t>ACTIVE</t>
        </is>
      </c>
      <c r="V188" s="3" t="inlineStr">
        <is>
          <t>2026-09-28</t>
        </is>
      </c>
      <c r="W188" s="3" t="n"/>
      <c r="X188" s="3" t="n"/>
      <c r="Y188" s="6" t="inlineStr">
        <is>
          <t>TESTED, NOT VERIFIED (G36)</t>
        </is>
      </c>
    </row>
    <row r="189" ht="45" customHeight="1">
      <c r="A189" s="3" t="inlineStr">
        <is>
          <t>MK-CF-F-196</t>
        </is>
      </c>
      <c r="B189" s="3" t="inlineStr">
        <is>
          <t>perMonthToFill</t>
        </is>
      </c>
      <c r="C189" s="3" t="inlineStr">
        <is>
          <t>src/domain/income/limits.ts</t>
        </is>
      </c>
      <c r="D189" s="3" t="n">
        <v>109</v>
      </c>
      <c r="E189" s="3" t="inlineStr">
        <is>
          <t>3 · DEPENDENT</t>
        </is>
      </c>
      <c r="F189" s="3" t="inlineStr">
        <is>
          <t>What to put in each remaining month to use the room left this year, rounded to $100 for display.</t>
        </is>
      </c>
      <c r="G189" s="11" t="inlineStr">
        <is>
          <t>round(room left ÷ months left in year(now) ÷ 100) × 100</t>
        </is>
      </c>
      <c r="H189" s="3" t="inlineStr">
        <is>
          <t>room left divided by months left in year(now, to a whole number divided by 100) times 100.</t>
        </is>
      </c>
      <c r="I189" s="3" t="inlineStr">
        <is>
          <t>READ FROM THE CODE — rendered from the expressions the function runs</t>
        </is>
      </c>
      <c r="J189" s="3" t="inlineStr">
        <is>
          <t>1. roomLeft: number
2. now: Date = new Date()</t>
        </is>
      </c>
      <c r="K189" s="3" t="inlineStr">
        <is>
          <t>number</t>
        </is>
      </c>
      <c r="L189" s="3" t="inlineStr">
        <is>
          <t>—</t>
        </is>
      </c>
      <c r="M189" s="3" t="inlineStr">
        <is>
          <t>1. Uses today's date from the device clock, so the answer changes by itself overnight.
2. Rounds the answer to a whole number.</t>
        </is>
      </c>
      <c r="N189" s="3" t="inlineStr">
        <is>
          <t>Yes</t>
        </is>
      </c>
      <c r="O189" s="3" t="inlineStr">
        <is>
          <t>MK-CF-F-195 monthsLeftInYear</t>
        </is>
      </c>
      <c r="P189" s="3" t="n">
        <v>1</v>
      </c>
      <c r="Q189" s="3" t="inlineStr">
        <is>
          <t>MK-CF-F-195 monthsLeftInYear</t>
        </is>
      </c>
      <c r="R189" s="3" t="inlineStr">
        <is>
          <t>MK-CF-F-195 monthsLeftInYear → MK-CF-F-196 perMonthToFill</t>
        </is>
      </c>
      <c r="S189" s="3" t="inlineStr">
        <is>
          <t>MK-MN-M-003 · MK-MN-M-004 · MK-MN-M-005 · MK-MN-M-029</t>
        </is>
      </c>
      <c r="T189" s="3" t="inlineStr">
        <is>
          <t>—</t>
        </is>
      </c>
      <c r="U189" s="3" t="inlineStr">
        <is>
          <t>ACTIVE</t>
        </is>
      </c>
      <c r="V189" s="3" t="inlineStr">
        <is>
          <t>2026-09-28</t>
        </is>
      </c>
      <c r="W189" s="3" t="n"/>
      <c r="X189" s="3" t="n"/>
      <c r="Y189" s="6" t="inlineStr">
        <is>
          <t>TESTED, NOT VERIFIED (G36)</t>
        </is>
      </c>
    </row>
    <row r="190" ht="60" customHeight="1">
      <c r="A190" s="3" t="inlineStr">
        <is>
          <t>MK-CF-F-197</t>
        </is>
      </c>
      <c r="B190" s="3" t="inlineStr">
        <is>
          <t>ageAttainedInYear</t>
        </is>
      </c>
      <c r="C190" s="3" t="inlineStr">
        <is>
          <t>src/domain/income/limits.ts</t>
        </is>
      </c>
      <c r="D190" s="3" t="n">
        <v>50</v>
      </c>
      <c r="E190" s="3" t="inlineStr">
        <is>
          <t>2 · DISPLAYED</t>
        </is>
      </c>
      <c r="F190" s="3" t="inlineStr">
        <is>
          <t>THE AGE THE LIMITS USE — the age a person attains at any time in the calendar year, which is this year minus the birth year.</t>
        </is>
      </c>
      <c r="G190" s="11" t="inlineStr">
        <is>
          <t>y = birth year read as a number
nothing   when y is missing (or !number.is finite(y) (or y &lt; 1900 when missing or zero) when missing or zero)
the answer = now.get full year() − y</t>
        </is>
      </c>
      <c r="H190" s="3" t="inlineStr">
        <is>
          <t>Y is birth year read as a number. When y is missing (or !number.is finite(y) (or y &lt; 1900 — when missing or zero) — when missing or zero), it answers no answer. The answer is now.get full year() minus y.</t>
        </is>
      </c>
      <c r="I190" s="3" t="inlineStr">
        <is>
          <t>PARTLY READ — some of the code is still showing through; needs a hand pass</t>
        </is>
      </c>
      <c r="J190" s="3" t="inlineStr">
        <is>
          <t>1. birthYear: number | null | undefined
2. now: Date = new Date()</t>
        </is>
      </c>
      <c r="K190" s="3" t="inlineStr">
        <is>
          <t>number | null</t>
        </is>
      </c>
      <c r="L190" s="3" t="inlineStr">
        <is>
          <t>1. "Claim at age" — on the Retirement cockpit screen
2. "Estimated benefit" — on the Retirement cockpit screen
3. "Healthcare:" — on the Retirement cockpit screen
4. "Plan to age" — on the Retirement cockpit screen, under "scRetired ?"
5. "Required Minimum Distributions" — on the Retirement cockpit screen
6. "Retire at age" — on the Retirement cockpit screen, under "scRetired ?"</t>
        </is>
      </c>
      <c r="M190" s="3" t="inlineStr">
        <is>
          <t>1. Uses today's date from the device clock, so the answer changes by itself overnight.
2. The IRS convention for limits: a person attains an age at any point in the calendar year, so this year − birth year — not the birthday-aware age used for display (G1 / G9).</t>
        </is>
      </c>
      <c r="N190" s="3" t="inlineStr">
        <is>
          <t>Yes</t>
        </is>
      </c>
      <c r="O190" s="3" t="inlineStr">
        <is>
          <t>—</t>
        </is>
      </c>
      <c r="P190" s="3" t="n">
        <v>0</v>
      </c>
      <c r="Q190" s="3" t="inlineStr">
        <is>
          <t>None — no dependent function stands behind it</t>
        </is>
      </c>
      <c r="R190" s="3" t="inlineStr">
        <is>
          <t>No dependent function — it reads its inputs and answers</t>
        </is>
      </c>
      <c r="S190" s="3" t="inlineStr">
        <is>
          <t>—</t>
        </is>
      </c>
      <c r="T190" s="3" t="inlineStr">
        <is>
          <t>—</t>
        </is>
      </c>
      <c r="U190" s="3" t="inlineStr">
        <is>
          <t>ACTIVE</t>
        </is>
      </c>
      <c r="V190" s="3" t="inlineStr">
        <is>
          <t>2026-09-12</t>
        </is>
      </c>
      <c r="W190" s="3" t="n"/>
      <c r="X190" s="3" t="n"/>
      <c r="Y190" s="3" t="inlineStr">
        <is>
          <t>NOTHING OPEN</t>
        </is>
      </c>
    </row>
    <row r="191" ht="60" customHeight="1">
      <c r="A191" s="3" t="inlineStr">
        <is>
          <t>MK-CF-F-198</t>
        </is>
      </c>
      <c r="B191" s="3" t="inlineStr">
        <is>
          <t>payrollTaxWithheld</t>
        </is>
      </c>
      <c r="C191" s="3" t="inlineStr">
        <is>
          <t>MoneyKeel/functions/cashflow/base-pay.ts</t>
        </is>
      </c>
      <c r="D191" s="3" t="n">
        <v>1055</v>
      </c>
      <c r="E191" s="3" t="inlineStr">
        <is>
          <t>3 · DEPENDENT</t>
        </is>
      </c>
      <c r="F191" s="3" t="inlineStr">
        <is>
          <t>Social Security and Medicare tax on a year's wages: 6.2% up to the wage cap, 1.45% of all of it, and 0.9% more above the higher-earner threshold.</t>
        </is>
      </c>
      <c r="G191" s="11" t="inlineStr">
        <is>
          <t>w = max(0, wage annual)
the answer = min(w, SS_WAGE_BASE) × 0.062 + w × 0.0145 + max(0, w − MEDICARE_ADDITIONAL_THRESHOLD) × 0.009</t>
        </is>
      </c>
      <c r="H191" s="3" t="inlineStr">
        <is>
          <t>W is wage annual, never below zero. The answer: the smaller of w and SS_WAGE_BASE times 0.062 plus w times 0.0145 plus w minus MEDICARE_ADDITIONAL_THRESHOLD, never below zero times 0.009.</t>
        </is>
      </c>
      <c r="I191" s="3" t="inlineStr">
        <is>
          <t>READ FROM THE CODE — rendered from the expressions the function runs</t>
        </is>
      </c>
      <c r="J191" s="3" t="inlineStr">
        <is>
          <t>wageAnnual: number</t>
        </is>
      </c>
      <c r="K191" s="3" t="inlineStr">
        <is>
          <t>number</t>
        </is>
      </c>
      <c r="L191" s="3" t="inlineStr">
        <is>
          <t>—</t>
        </is>
      </c>
      <c r="M191" s="3" t="inlineStr">
        <is>
          <t>1. Applies a built-in rate of 1.45% to w.
2. Never lets wage annual fall below 0.
3. G4 (founder agreed 2026-09-12): per earner, 6.2% of the wage up to the Social Security wage base ($184,500 in 2026), 1.45% of the whole wage, and 0.9% more above $200,000 — what a paycheck withholds. It is NEVER deducted from the take-home estimate; it sizes the sentence "the take-home above is higher than it will really be, by roughly $X a month".</t>
        </is>
      </c>
      <c r="N191" s="3" t="inlineStr">
        <is>
          <t>Yes</t>
        </is>
      </c>
      <c r="O191" s="3" t="inlineStr">
        <is>
          <t>—</t>
        </is>
      </c>
      <c r="P191" s="3" t="n">
        <v>0</v>
      </c>
      <c r="Q191" s="3" t="inlineStr">
        <is>
          <t>None — no dependent function stands behind it</t>
        </is>
      </c>
      <c r="R191" s="3" t="inlineStr">
        <is>
          <t>No dependent function — it reads its inputs and answers</t>
        </is>
      </c>
      <c r="S191" s="3" t="inlineStr">
        <is>
          <t>—</t>
        </is>
      </c>
      <c r="T191" s="3" t="inlineStr">
        <is>
          <t>—</t>
        </is>
      </c>
      <c r="U191" s="3" t="inlineStr">
        <is>
          <t>ACTIVE</t>
        </is>
      </c>
      <c r="V191" s="3" t="inlineStr">
        <is>
          <t>2026-09-12</t>
        </is>
      </c>
      <c r="W191" s="3" t="n"/>
      <c r="X191" s="3" t="n"/>
      <c r="Y191" s="3" t="inlineStr">
        <is>
          <t>NOTHING OPEN</t>
        </is>
      </c>
    </row>
    <row r="192" ht="60" customHeight="1">
      <c r="A192" s="3" t="inlineStr">
        <is>
          <t>MK-CF-F-199</t>
        </is>
      </c>
      <c r="B192" s="3" t="inlineStr">
        <is>
          <t>ROOM</t>
        </is>
      </c>
      <c r="C192" s="3" t="inlineStr">
        <is>
          <t>MoneyKeel/functions/cashflow/contribution-room.ts</t>
        </is>
      </c>
      <c r="D192" s="3" t="n">
        <v>145</v>
      </c>
      <c r="E192" s="3" t="inlineStr">
        <is>
          <t>1 · ACTION</t>
        </is>
      </c>
      <c r="F192" s="3" t="inlineStr">
        <is>
          <t>Example only: runs theContributionRoom on the worked example and calculates nothing of its own.</t>
        </is>
      </c>
      <c r="G192" s="11" t="inlineStr">
        <is>
          <t>the contribution room(EXAMPLE)</t>
        </is>
      </c>
      <c r="H192" s="3" t="inlineStr">
        <is>
          <t>the contribution room(EXAMPLE)</t>
        </is>
      </c>
      <c r="I192" s="3" t="inlineStr">
        <is>
          <t>READ FROM THE CODE — rendered from the expressions the function runs</t>
        </is>
      </c>
      <c r="J192" s="3" t="inlineStr">
        <is>
          <t>Nothing is handed to it</t>
        </is>
      </c>
      <c r="K192" s="3" t="inlineStr">
        <is>
          <t>NOT DECLARED — the code does not say what it gives back</t>
        </is>
      </c>
      <c r="L192" s="3" t="inlineStr">
        <is>
          <t>—</t>
        </is>
      </c>
      <c r="M192" s="3" t="inlineStr">
        <is>
          <t>None found in this function — anything it assumes comes from the functions it depends on.</t>
        </is>
      </c>
      <c r="N192" s="3" t="inlineStr">
        <is>
          <t>No</t>
        </is>
      </c>
      <c r="O192" s="3" t="inlineStr">
        <is>
          <t>1. MK-XS-F-180 declareFigures
2. MK-CF-O-005 theContributionRoom</t>
        </is>
      </c>
      <c r="P192" s="3" t="n">
        <v>9</v>
      </c>
      <c r="Q192" s="3" t="inlineStr">
        <is>
          <t>1. MK-XS-F-180 declareFigures
2. MK-CF-O-005 theContributionRoom
3. MK-CF-F-197 ageAttainedInYear
4. MK-CF-F-055 annualHsaLimit
5. MK-CF-F-054 annualIraLimit
6. MK-CF-F-056 k401Headroom
7. MK-CF-F-195 monthsLeftInYear
8. MK-CF-F-196 perMonthToFill
9. MK-CF-F-053 annual401kLimit</t>
        </is>
      </c>
      <c r="R192" s="3" t="inlineStr">
        <is>
          <t>1. MK-XS-F-180 declareFigures → MK-CF-F-199 ROOM
2. MK-CF-F-197 ageAttainedInYear → MK-CF-O-005 theContributionRoom → MK-CF-F-199 ROOM
3. MK-CF-F-055 annualHsaLimit → MK-CF-O-005 theContributionRoom → MK-CF-F-199 ROOM
4. MK-CF-F-054 annualIraLimit → MK-CF-O-005 theContributionRoom → MK-CF-F-199 ROOM
5. MK-CF-F-053 annual401kLimit → MK-CF-F-056 k401Headroom → MK-CF-O-005 theContributionRoom → MK-CF-F-199 ROOM
6. MK-CF-F-195 monthsLeftInYear → MK-CF-O-005 theContributionRoom → MK-CF-F-199 ROOM
7. MK-CF-F-195 monthsLeftInYear → MK-CF-F-196 perMonthToFill → MK-CF-O-005 theContributionRoom → MK-CF-F-199 ROOM</t>
        </is>
      </c>
      <c r="S192" s="3" t="inlineStr">
        <is>
          <t>—</t>
        </is>
      </c>
      <c r="T192" s="3" t="inlineStr">
        <is>
          <t>—</t>
        </is>
      </c>
      <c r="U192" s="3" t="inlineStr">
        <is>
          <t>ACTIVE</t>
        </is>
      </c>
      <c r="V192" s="3" t="inlineStr">
        <is>
          <t>2026-09-28</t>
        </is>
      </c>
      <c r="W192" s="3" t="n"/>
      <c r="X192" s="3" t="n"/>
      <c r="Y192" s="3" t="inlineStr">
        <is>
          <t>NOTHING OPEN</t>
        </is>
      </c>
    </row>
    <row r="193" ht="60" customHeight="1">
      <c r="A193" s="3" t="inlineStr">
        <is>
          <t>MK-CF-F-200</t>
        </is>
      </c>
      <c r="B193" s="3" t="inlineStr">
        <is>
          <t>LINE</t>
        </is>
      </c>
      <c r="C193" s="3" t="inlineStr">
        <is>
          <t>MoneyKeel/functions/cashflow/credit-line.ts</t>
        </is>
      </c>
      <c r="D193" s="3" t="n">
        <v>95</v>
      </c>
      <c r="E193" s="3" t="inlineStr">
        <is>
          <t>1 · ACTION</t>
        </is>
      </c>
      <c r="F193" s="3" t="inlineStr">
        <is>
          <t>Example only: runs theCreditLine on the worked example and calculates nothing of its own.</t>
        </is>
      </c>
      <c r="G193" s="11" t="inlineStr">
        <is>
          <t>NOT READ YET — the body is not a shape this can render faithfully, so nothing is claimed rather than something being guessed. It needs reading by hand.</t>
        </is>
      </c>
      <c r="H193" s="3" t="inlineStr">
        <is>
          <t>NOT READ YET — the body is not a shape this can render faithfully, so nothing is claimed rather than something being guessed. It needs reading by hand.</t>
        </is>
      </c>
      <c r="I193" s="3" t="inlineStr">
        <is>
          <t>NOT READ — nothing is claimed rather than something guessed</t>
        </is>
      </c>
      <c r="J193" s="3" t="inlineStr">
        <is>
          <t>Nothing is handed to it</t>
        </is>
      </c>
      <c r="K193" s="3" t="inlineStr">
        <is>
          <t>3100, limit: 12000 });</t>
        </is>
      </c>
      <c r="L193" s="3" t="inlineStr">
        <is>
          <t>—</t>
        </is>
      </c>
      <c r="M193" s="3" t="inlineStr">
        <is>
          <t>None found in this function — anything it assumes comes from the functions it depends on.</t>
        </is>
      </c>
      <c r="N193" s="3" t="inlineStr">
        <is>
          <t>Yes</t>
        </is>
      </c>
      <c r="O193" s="3" t="inlineStr">
        <is>
          <t>1. MK-XS-F-180 declareFigures
2. MK-CF-O-006 theCreditLine</t>
        </is>
      </c>
      <c r="P193" s="3" t="n">
        <v>103</v>
      </c>
      <c r="Q193" s="3" t="inlineStr">
        <is>
          <t>1. MK-XS-F-180 declareFigures
2. MK-CF-O-006 theCreditLine
3. MK-CF-F-031 creditUtilization
4. MK-CF-F-204 line
5. MK-CF-F-203 MONTH
6. MK-CF-O-010 theMonth
7. MK-CF-F-155 cash
8. MK-CF-O-002 expenses
9. MK-CF-O-003 thisMonth
10. MK-XS-F-122 n
11. MK-CF-F-151 actualSpending
12. MK-CF-F-150 debtPaymentsCountedAsExpenses
13. MK-CF-F-153 radar
14. MK-CF-F-149 recurringDebtPayments
15. MK-CF-F-005 actualMonthFlow
16. MK-CF-F-156 plannedMonthFlow
17. MK-CF-F-148 inMonth
18. MK-ST-F-052 toNum
19. MK-CF-F-191 ym
20. MK-ST-F-056 has
21. MK-CF-F-022 paymentShape
22. MK-CF-F-152 isRadarItem
23. MK-CF-F-023 requiredPayment
24. MK-CF-F-132 map
25. MK-NW-F-078 ONE
26. MK-CF-F-157 debtPaymentsByDebt
27. MK-CF-F-192 inflowLabel
28. MK-XS-F-027 takeHomeMonthly
29. MK-CF-F-021 defaultPaymentType
30. MK-NW-F-077 ALL
31. MK-NW-F-059 currentYield
32. MK-ST-F-049 formatMoney
33. MK-ST-F-053 money
34. MK-NW-O-001 theBonds
35. MK-CF-F-193 inflowSourceWord
36. MK-CF-F-092 incomeMonthlyGrid
37. MK-CF-F-011 savingsByMonth
38. MK-NW-F-057 annualCoupon
39. MK-ST-F-048 currencySymbol
40. MK-ST-F-039 on
41. MK-ST-F-027 accountId
42. MK-NW-F-056 bondInfo
43. MK-NW-F-064 bondRateSensitivity
44. MK-NW-F-061 bondSummary
45. MK-NW-F-055 isBond
46. MK-NW-F-072 rowOf
47. MK-CF-F-069 benefitActiveMonths
48. MK-CF-F-072 currentRetirementIncomeMonthly
49. MK-CF-F-173 earnerWages
50. MK-CF-F-065 equityVestWeights
51. MK-CF-F-071 extraIncome
52. MK-CF-F-206 householdK401ByMonth
53. MK-CF-F-087 monthlyTaxRates
54. MK-CF-F-073 otherIncomeMonth
55. MK-CF-F-181 rateInForce
56. MK-CF-F-068 rentalNetAnnual
57. MK-CF-F-066 rsuAnnual
58. MK-CF-F-060 salaryGrossByMonth
59. MK-CF-F-077 scholarshipByCalendarMonth
60. MK-CF-F-088 taxableByCalendarMonth
61. MK-CF-F-177 wageGrossByMonth
62. MK-PL-F-012 waterfall
63. MK-CF-F-008 spendByMonth
64. MK-ST-F-047 activeCurrency
65. MK-NW-F-060 approxYTM
66. MK-NW-F-069 priceAtYield
67. MK-NW-F-011 assetClassOf
68. MK-NW-F-070 accruedInterestCaveat
69. MK-NW-F-071 isCertificateOfDeposit
70. MK-NW-F-058 yearsToMaturity
71. MK-CF-F-075 retirementIncomeMonthly
72. MK-CF-F-172 hasWage
73. MK-CF-F-062 equityRowValue
74. MK-CF-F-070 benefitAnnual
75. MK-CF-F-176 sumMonthsOverEarners
76. MK-CF-F-090 effectiveRate
77. MK-CF-F-180 enteredLandsAnnual
78. MK-CF-F-085 filingStatusOf
79. MK-CF-F-089 over65CountOf
80. MK-CF-F-082 salaryAnnual
81. MK-CF-F-086 stateRateOf
82. MK-CF-F-101 taxOwedFor
83. MK-CF-F-084 taxableAnnual
84. MK-CF-F-067 rentalList
85. MK-CF-F-063 rowVestYear
86. MK-CF-F-130 enteredMonthlyRaw
87. MK-CF-F-166 hasMonthlySalaryTable
88. MK-ST-F-036 reconcile
89. MK-CF-F-167 salaryCalendarYear
90. MK-CF-F-120 pctBaseMonthly
91. MK-CF-F-004 spendBuckets
92. MK-NW-F-008 incomeBearingClassOf
93. MK-CF-F-100 taxableIncomeFor
94. MK-CF-F-074 tipsAnnual
95. MK-CF-F-165 salaryMonths
96. MK-CF-F-003 categoryMonthly
97. MK-ST-F-010 nameEvidence
98. MK-CF-F-099 deductionFor
99. MK-CF-F-081 salaryActiveMonths
100. MK-XS-F-147 call
101. MK-CF-F-187 seniorDeductionFor
102. MK-XS-F-064 currentIdToken
103. MK-XS-F-112 relayUrl</t>
        </is>
      </c>
      <c r="R193" s="3" t="inlineStr">
        <is>
          <t>1. MK-XS-F-180 declareFigures → MK-CF-F-200 LINE
2. MK-CF-F-031 creditUtilization → MK-CF-O-006 theCreditLine → MK-CF-F-200 LINE
3. MONTH (already above — a loop) → MK-CF-O-010 theMonth → MK-CF-F-203 MONTH → MK-CF-F-204 line → MK-CF-O-006 theCreditLine → MK-CF-F-200 LINE
4. MK-CF-F-155 cash → MK-CF-O-010 theMonth → MK-CF-F-203 MONTH → MK-CF-F-204 line → MK-CF-O-006 theCreditLine → MK-CF-F-200 LINE
5. MK-CF-O-002 expenses → MK-CF-O-010 theMonth → MK-CF-F-203 MONTH → MK-CF-F-204 line → MK-CF-O-006 theCreditLine → MK-CF-F-200 LINE
6. MK-CF-O-003 thisMonth → MK-CF-O-010 theMonth → MK-CF-F-203 MONTH → MK-CF-F-204 line → MK-CF-O-006 theCreditLine → MK-CF-F-200 LINE
7. MK-XS-F-180 declareFigures → MK-CF-F-204 line → MK-CF-O-006 theCreditLine → MK-CF-F-200 LINE</t>
        </is>
      </c>
      <c r="S193" s="3" t="inlineStr">
        <is>
          <t>—</t>
        </is>
      </c>
      <c r="T193" s="3" t="inlineStr">
        <is>
          <t>—</t>
        </is>
      </c>
      <c r="U193" s="3" t="inlineStr">
        <is>
          <t>ACTIVE</t>
        </is>
      </c>
      <c r="V193" s="3" t="inlineStr">
        <is>
          <t>2026-09-28</t>
        </is>
      </c>
      <c r="W193" s="3" t="n"/>
      <c r="X193" s="3" t="n"/>
      <c r="Y193" s="3" t="inlineStr">
        <is>
          <t>NOTHING OPEN</t>
        </is>
      </c>
    </row>
    <row r="194" ht="60" customHeight="1">
      <c r="A194" s="3" t="inlineStr">
        <is>
          <t>MK-CF-F-201</t>
        </is>
      </c>
      <c r="B194" s="3" t="inlineStr">
        <is>
          <t>INCOME</t>
        </is>
      </c>
      <c r="C194" s="3" t="inlineStr">
        <is>
          <t>MoneyKeel/functions/cashflow/income-summary.ts</t>
        </is>
      </c>
      <c r="D194" s="3" t="n">
        <v>114</v>
      </c>
      <c r="E194" s="3" t="inlineStr">
        <is>
          <t>1 · ACTION</t>
        </is>
      </c>
      <c r="F194" s="3" t="inlineStr">
        <is>
          <t>Example only: runs incomeSummary on the worked example and calculates nothing of its own.</t>
        </is>
      </c>
      <c r="G194" s="11" t="inlineStr">
        <is>
          <t>income summary(EXAMPLE)</t>
        </is>
      </c>
      <c r="H194" s="3" t="inlineStr">
        <is>
          <t>income summary(EXAMPLE)</t>
        </is>
      </c>
      <c r="I194" s="3" t="inlineStr">
        <is>
          <t>READ FROM THE CODE — rendered from the expressions the function runs</t>
        </is>
      </c>
      <c r="J194" s="3" t="inlineStr">
        <is>
          <t>Nothing is handed to it</t>
        </is>
      </c>
      <c r="K194" s="3" t="inlineStr">
        <is>
          <t>NOT DECLARED — the code does not say what it gives back</t>
        </is>
      </c>
      <c r="L194" s="3" t="inlineStr">
        <is>
          <t>—</t>
        </is>
      </c>
      <c r="M194" s="3" t="inlineStr">
        <is>
          <t>None found in this function — anything it assumes comes from the functions it depends on.</t>
        </is>
      </c>
      <c r="N194" s="3" t="inlineStr">
        <is>
          <t>Yes</t>
        </is>
      </c>
      <c r="O194" s="3" t="inlineStr">
        <is>
          <t>1. MK-CF-F-207 SOURCE
2. MK-CF-O-004 incomeSummary</t>
        </is>
      </c>
      <c r="P194" s="3" t="n">
        <v>121</v>
      </c>
      <c r="Q194" s="3" t="inlineStr">
        <is>
          <t>1. MK-CF-F-207 SOURCE
2. MK-CF-O-004 incomeSummary
3. MK-CF-O-016 incomeSources
4. MK-CF-F-203 MONTH
5. MK-CF-O-001 basePay
6. MK-CF-F-069 benefitActiveMonths
7. MK-CF-F-072 currentRetirementIncomeMonthly
8. MK-CF-F-173 earnerWages
9. MK-CF-F-179 entryFromWage
10. MK-CF-F-071 extraIncome
11. MK-CF-F-085 filingStatusOf
12. MK-CF-F-092 incomeMonthlyGrid
13. MK-CF-F-192 inflowLabel
14. MK-CF-F-132 map
15. MK-CF-F-103 marginalBracketFor
16. MK-CF-F-089 over65CountOf
17. MK-CF-F-181 rateInForce
18. MK-CF-F-068 rentalNetAnnual
19. MK-CF-F-082 salaryAnnual
20. MK-CF-F-060 salaryGrossByMonth
21. MK-CF-F-084 taxableAnnual
22. MK-ST-F-052 toNum
23. MK-CF-F-075 retirementIncomeMonthly
24. MK-CF-F-066 rsuAnnual
25. MK-CF-O-010 theMonth
26. MK-ST-F-035 covers
27. MK-CF-F-171 earnerPay
28. MK-CF-F-204 line
29. MK-ST-F-053 money
30. MK-HM-F-006 money0
31. MK-XS-F-122 n
32. MK-CF-F-198 payrollTaxWithheld
33. MK-CF-F-172 hasWage
34. MK-CF-F-165 salaryMonths
35. MK-CF-F-070 benefitAnnual
36. MK-ST-F-039 on
37. MK-CF-F-065 equityVestWeights
38. MK-ST-F-056 has
39. MK-CF-F-206 householdK401ByMonth
40. MK-CF-F-087 monthlyTaxRates
41. MK-CF-F-073 otherIncomeMonth
42. MK-CF-F-077 scholarshipByCalendarMonth
43. MK-CF-F-088 taxableByCalendarMonth
44. MK-CF-F-177 wageGrossByMonth
45. MK-PL-F-012 waterfall
46. MK-CF-F-193 inflowSourceWord
47. MK-CF-F-100 taxableIncomeFor
48. MK-CF-F-180 enteredLandsAnnual
49. MK-CF-F-086 stateRateOf
50. MK-CF-F-101 taxOwedFor
51. MK-CF-O-002 expenses
52. MK-CF-F-067 rentalList
53. MK-CF-F-176 sumMonthsOverEarners
54. MK-CF-F-074 tipsAnnual
55. MK-CF-F-062 equityRowValue
56. MK-CF-F-063 rowVestYear
57. MK-CF-F-155 cash
58. MK-CF-O-003 thisMonth
59. MK-ST-F-034 firstDate
60. MK-CF-F-143 annualisedGross
61. MK-CF-F-145 deductionsFromPay
62. MK-CF-F-128 grossByMonth
63. MK-CF-F-146 payFiguresAgree
64. MK-CF-F-144 takeHomeAsEntered
65. MK-XS-F-180 declareFigures
66. MK-ST-F-049 formatMoney
67. MK-HM-F-005 pctTxt
68. MK-CF-F-090 effectiveRate
69. MK-CF-F-130 enteredMonthlyRaw
70. MK-CF-F-166 hasMonthlySalaryTable
71. MK-ST-F-036 reconcile
72. MK-CF-F-167 salaryCalendarYear
73. MK-CF-F-099 deductionFor
74. MK-CF-F-151 actualSpending
75. MK-CF-F-150 debtPaymentsCountedAsExpenses
76. MK-CF-F-153 radar
77. MK-CF-F-149 recurringDebtPayments
78. MK-CF-F-081 salaryActiveMonths
79. MK-CF-F-005 actualMonthFlow
80. MK-CF-F-156 plannedMonthFlow
81. MK-CF-F-142 monthsOf
82. MK-CF-F-141 perMonth
83. MK-ST-F-048 currencySymbol
84. MK-CF-F-187 seniorDeductionFor
85. MK-CF-F-148 inMonth
86. MK-CF-F-191 ym
87. MK-CF-F-022 paymentShape
88. MK-CF-F-152 isRadarItem
89. MK-CF-F-023 requiredPayment
90. MK-NW-F-078 ONE
91. MK-CF-F-157 debtPaymentsByDebt
92. MK-XS-F-027 takeHomeMonthly
93. MK-CF-F-140 periodsAYear
94. MK-ST-F-047 activeCurrency
95. MK-CF-F-021 defaultPaymentType
96. MK-NW-F-077 ALL
97. MK-NW-F-059 currentYield
98. MK-NW-O-001 theBonds
99. MK-CF-F-011 savingsByMonth
100. MK-NW-F-057 annualCoupon
101. MK-ST-F-027 accountId
102. MK-NW-F-056 bondInfo
103. MK-NW-F-064 bondRateSensitivity
104. MK-NW-F-061 bondSummary
105. MK-NW-F-055 isBond
106. MK-NW-F-072 rowOf
107. MK-CF-F-008 spendByMonth
108. MK-NW-F-060 approxYTM
109. MK-NW-F-069 priceAtYield
110. MK-NW-F-011 assetClassOf
111. MK-NW-F-070 accruedInterestCaveat
112. MK-NW-F-071 isCertificateOfDeposit
113. MK-NW-F-058 yearsToMaturity
114. MK-CF-F-120 pctBaseMonthly
115. MK-CF-F-004 spendBuckets
116. MK-NW-F-008 incomeBearingClassOf
117. MK-CF-F-003 categoryMonthly
118. MK-ST-F-010 nameEvidence
119. MK-XS-F-147 call
120. MK-XS-F-064 currentIdToken
121. MK-XS-F-112 relayUrl</t>
        </is>
      </c>
      <c r="R194" s="3" t="inlineStr">
        <is>
          <t>1. SOURCE (already above — a loop) → MK-CF-O-016 incomeSources → MK-CF-F-207 SOURCE → MK-CF-F-201 INCOME
2. MK-ST-F-052 toNum → MK-CF-F-075 retirementIncomeMonthly → MK-CF-F-072 currentRetirementIncomeMonthly → MK-CF-O-016 incomeSources → MK-CF-F-207 SOURCE → MK-CF-F-201 INCOME
3. MK-ST-F-056 has → MK-CF-F-172 hasWage → MK-CF-F-173 earnerWages → MK-CF-O-016 incomeSources → MK-CF-F-207 SOURCE → MK-CF-F-201 INCOME
4. MK-CF-F-151 actualSpending → MK-CF-O-002 expenses → MK-CF-F-068 rentalNetAnnual → MK-CF-O-016 incomeSources → MK-CF-F-207 SOURCE → MK-CF-F-201 INCOME
5. MK-CF-F-150 debtPaymentsCountedAsExpenses → MK-CF-O-002 expenses → MK-CF-F-068 rentalNetAnnual → MK-CF-O-016 incomeSources → MK-CF-F-207 SOURCE → MK-CF-F-201 INCOME
6. MK-CF-F-153 radar → MK-CF-O-002 expenses → MK-CF-F-068 rentalNetAnnual → MK-CF-O-016 incomeSources → MK-CF-F-207 SOURCE → MK-CF-F-201 INCOME
7. MK-CF-F-149 recurringDebtPayments → MK-CF-O-002 expenses → MK-CF-F-068 rentalNetAnnual → MK-CF-O-016 incomeSources → MK-CF-F-207 SOURCE → MK-CF-F-201 INCOME
8. MK-CF-O-002 expenses → MK-CF-F-067 rentalList → MK-CF-F-068 rentalNetAnnual → MK-CF-O-016 incomeSources → MK-CF-F-207 SOURCE → MK-CF-F-201 INCOME
9. … and 5 more paths</t>
        </is>
      </c>
      <c r="S194" s="3" t="inlineStr">
        <is>
          <t>—</t>
        </is>
      </c>
      <c r="T194" s="3" t="inlineStr">
        <is>
          <t>—</t>
        </is>
      </c>
      <c r="U194" s="3" t="inlineStr">
        <is>
          <t>ACTIVE</t>
        </is>
      </c>
      <c r="V194" s="3" t="inlineStr">
        <is>
          <t>2026-09-28</t>
        </is>
      </c>
      <c r="W194" s="3" t="n"/>
      <c r="X194" s="3" t="n"/>
      <c r="Y194" s="3" t="inlineStr">
        <is>
          <t>NOTHING OPEN</t>
        </is>
      </c>
    </row>
    <row r="195" ht="60" customHeight="1">
      <c r="A195" s="3" t="inlineStr">
        <is>
          <t>MK-CF-F-202</t>
        </is>
      </c>
      <c r="B195" s="3" t="inlineStr">
        <is>
          <t>TAX</t>
        </is>
      </c>
      <c r="C195" s="3" t="inlineStr">
        <is>
          <t>MoneyKeel/functions/cashflow/tax-organizer.ts</t>
        </is>
      </c>
      <c r="D195" s="3" t="n">
        <v>105</v>
      </c>
      <c r="E195" s="3" t="inlineStr">
        <is>
          <t>1 · ACTION</t>
        </is>
      </c>
      <c r="F195" s="3" t="inlineStr">
        <is>
          <t>Example only: runs theTaxOrganizer on the worked example and calculates nothing of its own.</t>
        </is>
      </c>
      <c r="G195" s="11" t="inlineStr">
        <is>
          <t>the tax organizer(EXAMPLE)</t>
        </is>
      </c>
      <c r="H195" s="3" t="inlineStr">
        <is>
          <t>the tax organizer(EXAMPLE)</t>
        </is>
      </c>
      <c r="I195" s="3" t="inlineStr">
        <is>
          <t>READ FROM THE CODE — rendered from the expressions the function runs</t>
        </is>
      </c>
      <c r="J195" s="3" t="inlineStr">
        <is>
          <t>Nothing is handed to it</t>
        </is>
      </c>
      <c r="K195" s="3" t="inlineStr">
        <is>
          <t>NOT DECLARED — the code does not say what it gives back</t>
        </is>
      </c>
      <c r="L195" s="3" t="inlineStr">
        <is>
          <t>—</t>
        </is>
      </c>
      <c r="M195" s="3" t="inlineStr">
        <is>
          <t>None found in this function — anything it assumes comes from the functions it depends on.</t>
        </is>
      </c>
      <c r="N195" s="3" t="inlineStr">
        <is>
          <t>No</t>
        </is>
      </c>
      <c r="O195" s="3" t="inlineStr">
        <is>
          <t>1. MK-XS-F-180 declareFigures
2. MK-ST-F-039 on
3. MK-CF-O-007 theTaxOrganizer</t>
        </is>
      </c>
      <c r="P195" s="3" t="n">
        <v>73</v>
      </c>
      <c r="Q195" s="3" t="inlineStr">
        <is>
          <t>1. MK-XS-F-180 declareFigures
2. MK-ST-F-039 on
3. MK-CF-O-007 theTaxOrganizer
4. MK-CF-F-184 incomeFromAccounts
5. MK-PL-F-031 taxOrganizer
6. MK-CF-F-182 asPercent
7. MK-NW-F-011 assetClassOf
8. MK-ST-F-053 money
9. MK-CF-F-183 paidOutByAccount
10. MK-CF-F-070 benefitAnnual
11. MK-CF-F-072 currentRetirementIncomeMonthly
12. MK-CF-F-090 effectiveRate
13. MK-ST-F-056 has
14. MK-CF-F-132 map
15. MK-CF-F-068 rentalNetAnnual
16. MK-CF-F-066 rsuAnnual
17. MK-CF-F-082 salaryAnnual
18. MK-PL-F-082 taxableIncomeSteps
19. MK-CF-F-074 tipsAnnual
20. MK-ST-F-052 toNum
21. MK-NW-F-008 incomeBearingClassOf
22. MK-ST-F-049 formatMoney
23. MK-XS-F-122 n
24. MK-ST-F-065 isoLocalDate
25. MK-CF-F-069 benefitActiveMonths
26. MK-CF-F-075 retirementIncomeMonthly
27. MK-CF-F-181 rateInForce
28. MK-CF-O-002 expenses
29. MK-CF-F-067 rentalList
30. MK-CF-F-062 equityRowValue
31. MK-CF-F-063 rowVestYear
32. MK-CF-F-060 salaryGrossByMonth
33. MK-CF-F-099 deductionFor
34. MK-CF-F-085 filingStatusOf
35. MK-CF-F-188 householdPreTaxContributionsAnnual
36. MK-CF-F-089 over65CountOf
37. MK-CF-F-187 seniorDeductionFor
38. MK-CF-F-081 salaryActiveMonths
39. MK-CF-F-155 cash
40. MK-ST-F-010 nameEvidence
41. MK-ST-F-048 currencySymbol
42. MK-CF-F-173 earnerWages
43. MK-CF-F-180 enteredLandsAnnual
44. MK-CF-F-206 householdK401ByMonth
45. MK-CF-F-086 stateRateOf
46. MK-CF-F-101 taxOwedFor
47. MK-CF-F-084 taxableAnnual
48. MK-CF-F-151 actualSpending
49. MK-CF-F-150 debtPaymentsCountedAsExpenses
50. MK-CF-F-153 radar
51. MK-CF-F-149 recurringDebtPayments
52. MK-CF-F-176 sumMonthsOverEarners
53. MK-CF-F-177 wageGrossByMonth
54. MK-CF-F-175 sumOverEarners
55. MK-XS-F-147 call
56. MK-ST-F-047 activeCurrency
57. MK-CF-F-172 hasWage
58. MK-CF-F-100 taxableIncomeFor
59. MK-CF-F-071 extraIncome
60. MK-CF-F-148 inMonth
61. MK-CF-F-191 ym
62. MK-CF-F-022 paymentShape
63. MK-CF-F-152 isRadarItem
64. MK-CF-F-023 requiredPayment
65. MK-CF-F-130 enteredMonthlyRaw
66. MK-CF-F-166 hasMonthlySalaryTable
67. MK-ST-F-036 reconcile
68. MK-CF-F-167 salaryCalendarYear
69. MK-ST-F-027 accountId
70. MK-XS-F-064 currentIdToken
71. MK-XS-F-112 relayUrl
72. MK-CF-F-021 defaultPaymentType
73. MK-CF-F-165 salaryMonths</t>
        </is>
      </c>
      <c r="R195" s="3" t="inlineStr">
        <is>
          <t>1. MK-XS-F-180 declareFigures → MK-CF-F-202 TAX
2. MK-ST-F-039 on → MK-CF-F-202 TAX
3. MK-CF-F-182 asPercent → MK-CF-F-184 incomeFromAccounts → MK-CF-O-007 theTaxOrganizer → MK-CF-F-202 TAX
4. MK-CF-F-155 cash → MK-NW-F-008 incomeBearingClassOf → MK-NW-F-011 assetClassOf → MK-CF-F-184 incomeFromAccounts → MK-CF-O-007 theTaxOrganizer → MK-CF-F-202 TAX
5. MK-ST-F-010 nameEvidence → MK-NW-F-008 incomeBearingClassOf → MK-NW-F-011 assetClassOf → MK-CF-F-184 incomeFromAccounts → MK-CF-O-007 theTaxOrganizer → MK-CF-F-202 TAX
6. MK-ST-F-048 currencySymbol → MK-ST-F-049 formatMoney → MK-ST-F-053 money → MK-CF-F-184 incomeFromAccounts → MK-CF-O-007 theTaxOrganizer → MK-CF-F-202 TAX
7. MK-XS-F-122 n → MK-ST-F-049 formatMoney → MK-ST-F-053 money → MK-CF-F-184 incomeFromAccounts → MK-CF-O-007 theTaxOrganizer → MK-CF-F-202 TAX
8. MK-ST-F-039 on → MK-ST-F-049 formatMoney → MK-ST-F-053 money → MK-CF-F-184 incomeFromAccounts → MK-CF-O-007 theTaxOrganizer → MK-CF-F-202 TAX
9. … and 4 more paths</t>
        </is>
      </c>
      <c r="S195" s="3" t="inlineStr">
        <is>
          <t>—</t>
        </is>
      </c>
      <c r="T195" s="3" t="inlineStr">
        <is>
          <t>—</t>
        </is>
      </c>
      <c r="U195" s="3" t="inlineStr">
        <is>
          <t>ACTIVE</t>
        </is>
      </c>
      <c r="V195" s="3" t="inlineStr">
        <is>
          <t>2026-09-28</t>
        </is>
      </c>
      <c r="W195" s="3" t="n"/>
      <c r="X195" s="3" t="n"/>
      <c r="Y195" s="3" t="inlineStr">
        <is>
          <t>NOTHING OPEN</t>
        </is>
      </c>
    </row>
    <row r="196" ht="60" customHeight="1">
      <c r="A196" s="3" t="inlineStr">
        <is>
          <t>MK-CF-F-203</t>
        </is>
      </c>
      <c r="B196" s="3" t="inlineStr">
        <is>
          <t>MONTH</t>
        </is>
      </c>
      <c r="C196" s="3" t="inlineStr">
        <is>
          <t>MoneyKeel/functions/cashflow/the-month.ts</t>
        </is>
      </c>
      <c r="D196" s="3" t="n">
        <v>173</v>
      </c>
      <c r="E196" s="3" t="inlineStr">
        <is>
          <t>1 · ACTION</t>
        </is>
      </c>
      <c r="F196" s="3" t="inlineStr">
        <is>
          <t>Example only: runs theMonth on the worked example and calculates nothing of its own.</t>
        </is>
      </c>
      <c r="G196" s="11" t="inlineStr">
        <is>
          <t>the month(EXAMPLE)</t>
        </is>
      </c>
      <c r="H196" s="3" t="inlineStr">
        <is>
          <t>the month(EXAMPLE)</t>
        </is>
      </c>
      <c r="I196" s="3" t="inlineStr">
        <is>
          <t>READ FROM THE CODE — rendered from the expressions the function runs</t>
        </is>
      </c>
      <c r="J196" s="3" t="inlineStr">
        <is>
          <t>Nothing is handed to it</t>
        </is>
      </c>
      <c r="K196" s="3" t="inlineStr">
        <is>
          <t>NOT DECLARED — the code does not say what it gives back</t>
        </is>
      </c>
      <c r="L196" s="3" t="inlineStr">
        <is>
          <t>—</t>
        </is>
      </c>
      <c r="M196" s="3" t="inlineStr">
        <is>
          <t>None found in this function — anything it assumes comes from the functions it depends on.</t>
        </is>
      </c>
      <c r="N196" s="3" t="inlineStr">
        <is>
          <t>Yes</t>
        </is>
      </c>
      <c r="O196" s="3" t="inlineStr">
        <is>
          <t>MK-CF-O-010 theMonth</t>
        </is>
      </c>
      <c r="P196" s="3" t="n">
        <v>99</v>
      </c>
      <c r="Q196" s="3" t="inlineStr">
        <is>
          <t>1. MK-CF-O-010 theMonth
2. MK-CF-F-155 cash
3. MK-CF-O-002 expenses
4. MK-CF-O-003 thisMonth
5. MK-XS-F-122 n
6. MK-CF-F-151 actualSpending
7. MK-CF-F-150 debtPaymentsCountedAsExpenses
8. MK-CF-F-153 radar
9. MK-CF-F-149 recurringDebtPayments
10. MK-CF-F-005 actualMonthFlow
11. MK-CF-F-156 plannedMonthFlow
12. MK-CF-F-148 inMonth
13. MK-ST-F-052 toNum
14. MK-CF-F-191 ym
15. MK-ST-F-056 has
16. MK-CF-F-022 paymentShape
17. MK-CF-F-152 isRadarItem
18. MK-CF-F-023 requiredPayment
19. MK-CF-F-132 map
20. MK-NW-F-078 ONE
21. MK-CF-F-157 debtPaymentsByDebt
22. MK-CF-F-192 inflowLabel
23. MK-XS-F-027 takeHomeMonthly
24. MK-CF-F-021 defaultPaymentType
25. MK-NW-F-077 ALL
26. MK-NW-F-059 currentYield
27. MK-XS-F-180 declareFigures
28. MK-ST-F-049 formatMoney
29. MK-ST-F-053 money
30. MK-NW-O-001 theBonds
31. MK-CF-F-193 inflowSourceWord
32. MK-CF-F-092 incomeMonthlyGrid
33. MK-CF-F-011 savingsByMonth
34. MK-NW-F-057 annualCoupon
35. MK-ST-F-048 currencySymbol
36. MK-ST-F-039 on
37. MK-ST-F-027 accountId
38. MK-NW-F-056 bondInfo
39. MK-NW-F-064 bondRateSensitivity
40. MK-NW-F-061 bondSummary
41. MK-NW-F-055 isBond
42. MK-NW-F-072 rowOf
43. MK-CF-F-069 benefitActiveMonths
44. MK-CF-F-072 currentRetirementIncomeMonthly
45. MK-CF-F-173 earnerWages
46. MK-CF-F-065 equityVestWeights
47. MK-CF-F-071 extraIncome
48. MK-CF-F-206 householdK401ByMonth
49. MK-CF-F-087 monthlyTaxRates
50. MK-CF-F-073 otherIncomeMonth
51. MK-CF-F-181 rateInForce
52. MK-CF-F-068 rentalNetAnnual
53. MK-CF-F-066 rsuAnnual
54. MK-CF-F-060 salaryGrossByMonth
55. MK-CF-F-077 scholarshipByCalendarMonth
56. MK-CF-F-088 taxableByCalendarMonth
57. MK-CF-F-177 wageGrossByMonth
58. MK-PL-F-012 waterfall
59. MK-CF-F-008 spendByMonth
60. MK-ST-F-047 activeCurrency
61. MK-NW-F-060 approxYTM
62. MK-NW-F-069 priceAtYield
63. MK-NW-F-011 assetClassOf
64. MK-NW-F-070 accruedInterestCaveat
65. MK-NW-F-071 isCertificateOfDeposit
66. MK-NW-F-058 yearsToMaturity
67. MK-CF-F-075 retirementIncomeMonthly
68. MK-CF-F-172 hasWage
69. MK-CF-F-062 equityRowValue
70. MK-CF-F-070 benefitAnnual
71. MK-CF-F-176 sumMonthsOverEarners
72. MK-CF-F-090 effectiveRate
73. MK-CF-F-180 enteredLandsAnnual
74. MK-CF-F-085 filingStatusOf
75. MK-CF-F-089 over65CountOf
76. MK-CF-F-082 salaryAnnual
77. MK-CF-F-086 stateRateOf
78. MK-CF-F-101 taxOwedFor
79. MK-CF-F-084 taxableAnnual
80. MK-CF-F-067 rentalList
81. MK-CF-F-063 rowVestYear
82. MK-CF-F-130 enteredMonthlyRaw
83. MK-CF-F-166 hasMonthlySalaryTable
84. MK-ST-F-036 reconcile
85. MK-CF-F-167 salaryCalendarYear
86. MK-CF-F-120 pctBaseMonthly
87. MK-CF-F-004 spendBuckets
88. MK-NW-F-008 incomeBearingClassOf
89. MK-CF-F-100 taxableIncomeFor
90. MK-CF-F-074 tipsAnnual
91. MK-CF-F-165 salaryMonths
92. MK-CF-F-003 categoryMonthly
93. MK-ST-F-010 nameEvidence
94. MK-CF-F-099 deductionFor
95. MK-CF-F-081 salaryActiveMonths
96. MK-XS-F-147 call
97. MK-CF-F-187 seniorDeductionFor
98. MK-XS-F-064 currentIdToken
99. MK-XS-F-112 relayUrl</t>
        </is>
      </c>
      <c r="R196" s="3" t="inlineStr">
        <is>
          <t>1. MONTH (already above — a loop) → MK-CF-O-010 theMonth → MK-CF-F-203 MONTH
2. MK-XS-F-122 n → MK-CF-F-155 cash → MK-CF-O-010 theMonth → MK-CF-F-203 MONTH
3. MK-CF-F-191 ym → MK-CF-F-148 inMonth → MK-CF-F-151 actualSpending → MK-CF-O-002 expenses → MK-CF-O-010 theMonth → MK-CF-F-203 MONTH
4. MK-XS-F-122 n → MK-ST-F-052 toNum → MK-CF-F-151 actualSpending → MK-CF-O-002 expenses → MK-CF-O-010 theMonth → MK-CF-F-203 MONTH
5. MK-CF-F-191 ym → MK-CF-F-151 actualSpending → MK-CF-O-002 expenses → MK-CF-O-010 theMonth → MK-CF-F-203 MONTH
6. MK-ST-F-056 has → MK-CF-F-150 debtPaymentsCountedAsExpenses → MK-CF-O-002 expenses → MK-CF-O-010 theMonth → MK-CF-F-203 MONTH
7. MK-CF-F-191 ym → MK-CF-F-148 inMonth → MK-CF-F-150 debtPaymentsCountedAsExpenses → MK-CF-O-002 expenses → MK-CF-O-010 theMonth → MK-CF-F-203 MONTH
8. MK-CF-F-021 defaultPaymentType → MK-CF-F-022 paymentShape → MK-CF-F-150 debtPaymentsCountedAsExpenses → MK-CF-O-002 expenses → MK-CF-O-010 theMonth → MK-CF-F-203 MONTH
9. … and 4 more paths</t>
        </is>
      </c>
      <c r="S196" s="3" t="inlineStr">
        <is>
          <t>—</t>
        </is>
      </c>
      <c r="T196" s="3" t="inlineStr">
        <is>
          <t>—</t>
        </is>
      </c>
      <c r="U196" s="3" t="inlineStr">
        <is>
          <t>ACTIVE</t>
        </is>
      </c>
      <c r="V196" s="3" t="inlineStr">
        <is>
          <t>2026-09-28</t>
        </is>
      </c>
      <c r="W196" s="3" t="n"/>
      <c r="X196" s="3" t="n"/>
      <c r="Y196" s="3" t="inlineStr">
        <is>
          <t>NOTHING OPEN</t>
        </is>
      </c>
    </row>
    <row r="197" ht="60" customHeight="1">
      <c r="A197" s="3" t="inlineStr">
        <is>
          <t>MK-CF-F-204</t>
        </is>
      </c>
      <c r="B197" s="3" t="inlineStr">
        <is>
          <t>line</t>
        </is>
      </c>
      <c r="C197" s="3" t="inlineStr">
        <is>
          <t>MoneyKeel/functions/cashflow/the-month.ts</t>
        </is>
      </c>
      <c r="D197" s="3" t="n">
        <v>211</v>
      </c>
      <c r="E197" s="3" t="inlineStr">
        <is>
          <t>1 · ACTION</t>
        </is>
      </c>
      <c r="F197" s="3" t="inlineStr">
        <is>
          <t>Example only: reads one row's amount from the worked example of the month.</t>
        </is>
      </c>
      <c r="G197" s="11" t="inlineStr">
        <is>
          <t>NOT READ YET — the body is not a shape this can render faithfully, so nothing is claimed rather than something being guessed. It needs reading by hand.</t>
        </is>
      </c>
      <c r="H197" s="3" t="inlineStr">
        <is>
          <t>NOT READ YET — the body is not a shape this can render faithfully, so nothing is claimed rather than something being guessed. It needs reading by hand.</t>
        </is>
      </c>
      <c r="I197" s="3" t="inlineStr">
        <is>
          <t>NOT READ — nothing is claimed rather than something guessed</t>
        </is>
      </c>
      <c r="J197" s="3" t="inlineStr">
        <is>
          <t>1. block: 'planned' | 'actual'
2. startsWith: string</t>
        </is>
      </c>
      <c r="K197" s="3" t="inlineStr">
        <is>
          <t>NOT DECLARED — the code does not say what it gives back</t>
        </is>
      </c>
      <c r="L197" s="3" t="inlineStr">
        <is>
          <t>—</t>
        </is>
      </c>
      <c r="M197" s="3" t="inlineStr">
        <is>
          <t>None found in this function — anything it assumes comes from the functions it depends on.</t>
        </is>
      </c>
      <c r="N197" s="3" t="inlineStr">
        <is>
          <t>Yes</t>
        </is>
      </c>
      <c r="O197" s="3" t="inlineStr">
        <is>
          <t>1. MK-CF-F-203 MONTH
2. MK-XS-F-180 declareFigures</t>
        </is>
      </c>
      <c r="P197" s="3" t="n">
        <v>100</v>
      </c>
      <c r="Q197" s="3" t="inlineStr">
        <is>
          <t>1. MK-CF-F-203 MONTH
2. MK-XS-F-180 declareFigures
3. MK-CF-O-010 theMonth
4. MK-CF-F-155 cash
5. MK-CF-O-002 expenses
6. MK-CF-O-003 thisMonth
7. MK-XS-F-122 n
8. MK-CF-F-151 actualSpending
9. MK-CF-F-150 debtPaymentsCountedAsExpenses
10. MK-CF-F-153 radar
11. MK-CF-F-149 recurringDebtPayments
12. MK-CF-F-005 actualMonthFlow
13. MK-CF-F-156 plannedMonthFlow
14. MK-CF-F-148 inMonth
15. MK-ST-F-052 toNum
16. MK-CF-F-191 ym
17. MK-ST-F-056 has
18. MK-CF-F-022 paymentShape
19. MK-CF-F-152 isRadarItem
20. MK-CF-F-023 requiredPayment
21. MK-CF-F-132 map
22. MK-NW-F-078 ONE
23. MK-CF-F-157 debtPaymentsByDebt
24. MK-CF-F-192 inflowLabel
25. MK-XS-F-027 takeHomeMonthly
26. MK-CF-F-021 defaultPaymentType
27. MK-NW-F-077 ALL
28. MK-NW-F-059 currentYield
29. MK-ST-F-049 formatMoney
30. MK-ST-F-053 money
31. MK-NW-O-001 theBonds
32. MK-CF-F-193 inflowSourceWord
33. MK-CF-F-092 incomeMonthlyGrid
34. MK-CF-F-011 savingsByMonth
35. MK-NW-F-057 annualCoupon
36. MK-ST-F-048 currencySymbol
37. MK-ST-F-039 on
38. MK-ST-F-027 accountId
39. MK-NW-F-056 bondInfo
40. MK-NW-F-064 bondRateSensitivity
41. MK-NW-F-061 bondSummary
42. MK-NW-F-055 isBond
43. MK-NW-F-072 rowOf
44. MK-CF-F-069 benefitActiveMonths
45. MK-CF-F-072 currentRetirementIncomeMonthly
46. MK-CF-F-173 earnerWages
47. MK-CF-F-065 equityVestWeights
48. MK-CF-F-071 extraIncome
49. MK-CF-F-206 householdK401ByMonth
50. MK-CF-F-087 monthlyTaxRates
51. MK-CF-F-073 otherIncomeMonth
52. MK-CF-F-181 rateInForce
53. MK-CF-F-068 rentalNetAnnual
54. MK-CF-F-066 rsuAnnual
55. MK-CF-F-060 salaryGrossByMonth
56. MK-CF-F-077 scholarshipByCalendarMonth
57. MK-CF-F-088 taxableByCalendarMonth
58. MK-CF-F-177 wageGrossByMonth
59. MK-PL-F-012 waterfall
60. MK-CF-F-008 spendByMonth
61. MK-ST-F-047 activeCurrency
62. MK-NW-F-060 approxYTM
63. MK-NW-F-069 priceAtYield
64. MK-NW-F-011 assetClassOf
65. MK-NW-F-070 accruedInterestCaveat
66. MK-NW-F-071 isCertificateOfDeposit
67. MK-NW-F-058 yearsToMaturity
68. MK-CF-F-075 retirementIncomeMonthly
69. MK-CF-F-172 hasWage
70. MK-CF-F-062 equityRowValue
71. MK-CF-F-070 benefitAnnual
72. MK-CF-F-176 sumMonthsOverEarners
73. MK-CF-F-090 effectiveRate
74. MK-CF-F-180 enteredLandsAnnual
75. MK-CF-F-085 filingStatusOf
76. MK-CF-F-089 over65CountOf
77. MK-CF-F-082 salaryAnnual
78. MK-CF-F-086 stateRateOf
79. MK-CF-F-101 taxOwedFor
80. MK-CF-F-084 taxableAnnual
81. MK-CF-F-067 rentalList
82. MK-CF-F-063 rowVestYear
83. MK-CF-F-130 enteredMonthlyRaw
84. MK-CF-F-166 hasMonthlySalaryTable
85. MK-ST-F-036 reconcile
86. MK-CF-F-167 salaryCalendarYear
87. MK-CF-F-120 pctBaseMonthly
88. MK-CF-F-004 spendBuckets
89. MK-NW-F-008 incomeBearingClassOf
90. MK-CF-F-100 taxableIncomeFor
91. MK-CF-F-074 tipsAnnual
92. MK-CF-F-165 salaryMonths
93. MK-CF-F-003 categoryMonthly
94. MK-ST-F-010 nameEvidence
95. MK-CF-F-099 deductionFor
96. MK-CF-F-081 salaryActiveMonths
97. MK-XS-F-147 call
98. MK-CF-F-187 seniorDeductionFor
99. MK-XS-F-064 currentIdToken
100. MK-XS-F-112 relayUrl</t>
        </is>
      </c>
      <c r="R197" s="3" t="inlineStr">
        <is>
          <t>1. MONTH (already above — a loop) → MK-CF-O-010 theMonth → MK-CF-F-203 MONTH → MK-CF-F-204 line
2. MK-XS-F-122 n → MK-CF-F-155 cash → MK-CF-O-010 theMonth → MK-CF-F-203 MONTH → MK-CF-F-204 line
3. MK-CF-F-148 inMonth → MK-CF-F-151 actualSpending → MK-CF-O-002 expenses → MK-CF-O-010 theMonth → MK-CF-F-203 MONTH → MK-CF-F-204 line
4. MK-ST-F-052 toNum → MK-CF-F-151 actualSpending → MK-CF-O-002 expenses → MK-CF-O-010 theMonth → MK-CF-F-203 MONTH → MK-CF-F-204 line
5. MK-CF-F-191 ym → MK-CF-F-151 actualSpending → MK-CF-O-002 expenses → MK-CF-O-010 theMonth → MK-CF-F-203 MONTH → MK-CF-F-204 line
6. MK-ST-F-056 has → MK-CF-F-150 debtPaymentsCountedAsExpenses → MK-CF-O-002 expenses → MK-CF-O-010 theMonth → MK-CF-F-203 MONTH → MK-CF-F-204 line
7. MK-CF-F-148 inMonth → MK-CF-F-150 debtPaymentsCountedAsExpenses → MK-CF-O-002 expenses → MK-CF-O-010 theMonth → MK-CF-F-203 MONTH → MK-CF-F-204 line
8. MK-CF-F-022 paymentShape → MK-CF-F-150 debtPaymentsCountedAsExpenses → MK-CF-O-002 expenses → MK-CF-O-010 theMonth → MK-CF-F-203 MONTH → MK-CF-F-204 line
9. … and 5 more paths</t>
        </is>
      </c>
      <c r="S197" s="3" t="inlineStr">
        <is>
          <t>—</t>
        </is>
      </c>
      <c r="T197" s="3" t="inlineStr">
        <is>
          <t>—</t>
        </is>
      </c>
      <c r="U197" s="3" t="inlineStr">
        <is>
          <t>ACTIVE</t>
        </is>
      </c>
      <c r="V197" s="3" t="inlineStr">
        <is>
          <t>2026-09-28</t>
        </is>
      </c>
      <c r="W197" s="3" t="n"/>
      <c r="X197" s="3" t="n"/>
      <c r="Y197" s="3" t="inlineStr">
        <is>
          <t>NOTHING OPEN</t>
        </is>
      </c>
    </row>
    <row r="198" ht="60" customHeight="1">
      <c r="A198" s="3" t="inlineStr">
        <is>
          <t>MK-CF-F-205</t>
        </is>
      </c>
      <c r="B198" s="3" t="inlineStr">
        <is>
          <t>COMING</t>
        </is>
      </c>
      <c r="C198" s="3" t="inlineStr">
        <is>
          <t>MoneyKeel/functions/cashflow/whats-coming.ts</t>
        </is>
      </c>
      <c r="D198" s="3" t="n">
        <v>118</v>
      </c>
      <c r="E198" s="3" t="inlineStr">
        <is>
          <t>1 · ACTION</t>
        </is>
      </c>
      <c r="F198" s="3" t="inlineStr">
        <is>
          <t>Example only: runs whatsComing on the worked example and calculates nothing of its own.</t>
        </is>
      </c>
      <c r="G198" s="11" t="inlineStr">
        <is>
          <t>whats coming(EXAMPLE)</t>
        </is>
      </c>
      <c r="H198" s="3" t="inlineStr">
        <is>
          <t>whats coming(EXAMPLE)</t>
        </is>
      </c>
      <c r="I198" s="3" t="inlineStr">
        <is>
          <t>READ FROM THE CODE — rendered from the expressions the function runs</t>
        </is>
      </c>
      <c r="J198" s="3" t="inlineStr">
        <is>
          <t>Nothing is handed to it</t>
        </is>
      </c>
      <c r="K198" s="3" t="inlineStr">
        <is>
          <t>NOT DECLARED — the code does not say what it gives back</t>
        </is>
      </c>
      <c r="L198" s="3" t="inlineStr">
        <is>
          <t>—</t>
        </is>
      </c>
      <c r="M198" s="3" t="inlineStr">
        <is>
          <t>None found in this function — anything it assumes comes from the functions it depends on.</t>
        </is>
      </c>
      <c r="N198" s="3" t="inlineStr">
        <is>
          <t>Yes</t>
        </is>
      </c>
      <c r="O198" s="3" t="inlineStr">
        <is>
          <t>1. MK-CF-F-203 MONTH
2. MK-CF-O-008 whatsComing</t>
        </is>
      </c>
      <c r="P198" s="3" t="n">
        <v>108</v>
      </c>
      <c r="Q198" s="3" t="inlineStr">
        <is>
          <t>1. MK-CF-F-203 MONTH
2. MK-CF-O-008 whatsComing
3. MK-CF-O-010 theMonth
4. MK-CF-F-019 upcomingBills
5. MK-CF-F-155 cash
6. MK-CF-O-002 expenses
7. MK-CF-O-003 thisMonth
8. MK-CF-F-122 addDays
9. MK-CF-F-070 benefitAnnual
10. MK-CF-F-072 currentRetirementIncomeMonthly
11. MK-CF-F-160 daysBetweenDates
12. MK-CF-F-090 effectiveRate
13. MK-CF-F-061 grossSalaryMonthly
14. MK-ST-F-065 isoLocalDate
15. MK-CF-F-132 map
16. MK-CF-F-124 nextOccurrence
17. MK-CF-F-068 rentalNetAnnual
18. MK-CF-F-004 spendBuckets
19. MK-CF-F-084 taxableAnnual
20. MK-ST-F-052 toNum
21. MK-CF-F-083 totalGrossAnnual
22. MK-XS-F-122 n
23. MK-CF-F-151 actualSpending
24. MK-CF-F-150 debtPaymentsCountedAsExpenses
25. MK-CF-F-153 radar
26. MK-CF-F-149 recurringDebtPayments
27. MK-CF-F-005 actualMonthFlow
28. MK-CF-F-156 plannedMonthFlow
29. MK-CF-F-069 benefitActiveMonths
30. MK-CF-F-075 retirementIncomeMonthly
31. MK-CF-F-181 rateInForce
32. MK-CF-F-060 salaryGrossByMonth
33. MK-CF-F-067 rentalList
34. MK-CF-F-003 categoryMonthly
35. MK-CF-F-071 extraIncome
36. MK-CF-F-066 rsuAnnual
37. MK-CF-F-082 salaryAnnual
38. MK-CF-F-074 tipsAnnual
39. MK-CF-F-148 inMonth
40. MK-CF-F-191 ym
41. MK-ST-F-056 has
42. MK-CF-F-022 paymentShape
43. MK-CF-F-152 isRadarItem
44. MK-CF-F-023 requiredPayment
45. MK-NW-F-078 ONE
46. MK-CF-F-157 debtPaymentsByDebt
47. MK-CF-F-192 inflowLabel
48. MK-XS-F-027 takeHomeMonthly
49. MK-CF-F-173 earnerWages
50. MK-CF-F-180 enteredLandsAnnual
51. MK-CF-F-085 filingStatusOf
52. MK-CF-F-206 householdK401ByMonth
53. MK-CF-F-089 over65CountOf
54. MK-CF-F-086 stateRateOf
55. MK-CF-F-101 taxOwedFor
56. MK-CF-F-176 sumMonthsOverEarners
57. MK-CF-F-177 wageGrossByMonth
58. MK-CF-F-120 pctBaseMonthly
59. MK-ST-F-039 on
60. MK-CF-F-062 equityRowValue
61. MK-CF-F-063 rowVestYear
62. MK-CF-F-081 salaryActiveMonths
63. MK-CF-F-021 defaultPaymentType
64. MK-NW-F-077 ALL
65. MK-NW-F-059 currentYield
66. MK-XS-F-180 declareFigures
67. MK-ST-F-049 formatMoney
68. MK-ST-F-053 money
69. MK-NW-O-001 theBonds
70. MK-CF-F-193 inflowSourceWord
71. MK-CF-F-092 incomeMonthlyGrid
72. MK-CF-F-011 savingsByMonth
73. MK-CF-F-172 hasWage
74. MK-CF-F-100 taxableIncomeFor
75. MK-CF-F-130 enteredMonthlyRaw
76. MK-CF-F-166 hasMonthlySalaryTable
77. MK-ST-F-036 reconcile
78. MK-CF-F-167 salaryCalendarYear
79. MK-NW-F-057 annualCoupon
80. MK-ST-F-048 currencySymbol
81. MK-ST-F-027 accountId
82. MK-NW-F-056 bondInfo
83. MK-NW-F-064 bondRateSensitivity
84. MK-NW-F-061 bondSummary
85. MK-NW-F-055 isBond
86. MK-NW-F-072 rowOf
87. MK-CF-F-065 equityVestWeights
88. MK-CF-F-087 monthlyTaxRates
89. MK-CF-F-073 otherIncomeMonth
90. MK-CF-F-077 scholarshipByCalendarMonth
91. MK-CF-F-088 taxableByCalendarMonth
92. MK-PL-F-012 waterfall
93. MK-CF-F-008 spendByMonth
94. MK-CF-F-099 deductionFor
95. MK-CF-F-165 salaryMonths
96. MK-ST-F-047 activeCurrency
97. MK-NW-F-060 approxYTM
98. MK-NW-F-069 priceAtYield
99. MK-NW-F-011 assetClassOf
100. MK-NW-F-070 accruedInterestCaveat
101. MK-NW-F-071 isCertificateOfDeposit
102. MK-NW-F-058 yearsToMaturity
103. MK-CF-F-187 seniorDeductionFor
104. MK-NW-F-008 incomeBearingClassOf
105. MK-ST-F-010 nameEvidence
106. MK-XS-F-147 call
107. MK-XS-F-064 currentIdToken
108. MK-XS-F-112 relayUrl</t>
        </is>
      </c>
      <c r="R198" s="3" t="inlineStr">
        <is>
          <t>1. MONTH (already above — a loop) → MK-CF-O-010 theMonth → MK-CF-F-203 MONTH → MK-CF-F-205 COMING
2. MK-XS-F-122 n → MK-CF-F-155 cash → MK-CF-O-010 theMonth → MK-CF-F-203 MONTH → MK-CF-F-205 COMING
3. MK-CF-F-148 inMonth → MK-CF-F-151 actualSpending → MK-CF-O-002 expenses → MK-CF-O-010 theMonth → MK-CF-F-203 MONTH → MK-CF-F-205 COMING
4. MK-ST-F-052 toNum → MK-CF-F-151 actualSpending → MK-CF-O-002 expenses → MK-CF-O-010 theMonth → MK-CF-F-203 MONTH → MK-CF-F-205 COMING
5. MK-CF-F-191 ym → MK-CF-F-151 actualSpending → MK-CF-O-002 expenses → MK-CF-O-010 theMonth → MK-CF-F-203 MONTH → MK-CF-F-205 COMING
6. MK-ST-F-056 has → MK-CF-F-150 debtPaymentsCountedAsExpenses → MK-CF-O-002 expenses → MK-CF-O-010 theMonth → MK-CF-F-203 MONTH → MK-CF-F-205 COMING
7. MK-CF-F-148 inMonth → MK-CF-F-150 debtPaymentsCountedAsExpenses → MK-CF-O-002 expenses → MK-CF-O-010 theMonth → MK-CF-F-203 MONTH → MK-CF-F-205 COMING
8. MK-CF-F-022 paymentShape → MK-CF-F-150 debtPaymentsCountedAsExpenses → MK-CF-O-002 expenses → MK-CF-O-010 theMonth → MK-CF-F-203 MONTH → MK-CF-F-205 COMING
9. … and 5 more paths</t>
        </is>
      </c>
      <c r="S198" s="3" t="inlineStr">
        <is>
          <t>—</t>
        </is>
      </c>
      <c r="T198" s="3" t="inlineStr">
        <is>
          <t>—</t>
        </is>
      </c>
      <c r="U198" s="3" t="inlineStr">
        <is>
          <t>ACTIVE</t>
        </is>
      </c>
      <c r="V198" s="3" t="inlineStr">
        <is>
          <t>2026-09-28</t>
        </is>
      </c>
      <c r="W198" s="3" t="n"/>
      <c r="X198" s="3" t="n"/>
      <c r="Y198" s="3" t="inlineStr">
        <is>
          <t>NOTHING OPEN</t>
        </is>
      </c>
    </row>
    <row r="199" ht="60" customHeight="1">
      <c r="A199" s="3" t="inlineStr">
        <is>
          <t>MK-CF-F-206</t>
        </is>
      </c>
      <c r="B199" s="3" t="inlineStr">
        <is>
          <t>householdK401ByMonth</t>
        </is>
      </c>
      <c r="C199" s="3" t="inlineStr">
        <is>
          <t>src/domain/income/onboarding.ts</t>
        </is>
      </c>
      <c r="D199" s="3" t="n">
        <v>1489</v>
      </c>
      <c r="E199" s="3" t="inlineStr">
        <is>
          <t>3 · DEPENDENT</t>
        </is>
      </c>
      <c r="F199" s="3" t="inlineStr">
        <is>
          <t>THE HOUSEHOLD'S 401(k) CONTRIBUTIONS, MONTH BY MONTH — every earner's, in the months that earner is actually paid.</t>
        </is>
      </c>
      <c r="G199" s="11" t="inlineStr">
        <is>
          <t>own = wage gross by month(w)
c = (w as any).c 401k read as a number (0 when it is not one)
the answer:
for each of own: c   if each &gt; 0
0   otherwise</t>
        </is>
      </c>
      <c r="H199" s="3" t="inlineStr">
        <is>
          <t>Own is wage gross by month(w). C is (w as any).c 401k read as a number (0 — when it is one is missing). The answer is for each of own: c — when each &gt; 0; 0 — otherwise.</t>
        </is>
      </c>
      <c r="I199" s="3" t="inlineStr">
        <is>
          <t>PARTLY READ — some of the code is still showing through; needs a hand pass</t>
        </is>
      </c>
      <c r="J199" s="3" t="inlineStr">
        <is>
          <t>op: OnboardingProfile | null</t>
        </is>
      </c>
      <c r="K199" s="3" t="inlineStr">
        <is>
          <t>number[]</t>
        </is>
      </c>
      <c r="L199" s="3" t="inlineStr">
        <is>
          <t>—</t>
        </is>
      </c>
      <c r="M199" s="3" t="inlineStr">
        <is>
          <t>None found in this function — anything it assumes comes from the functions it depends on.</t>
        </is>
      </c>
      <c r="N199" s="3" t="inlineStr">
        <is>
          <t>Yes</t>
        </is>
      </c>
      <c r="O199" s="3" t="inlineStr">
        <is>
          <t>1. MK-CF-F-132 map
2. MK-CF-F-176 sumMonthsOverEarners
3. MK-ST-F-052 toNum
4. MK-CF-F-177 wageGrossByMonth</t>
        </is>
      </c>
      <c r="P199" s="3" t="n">
        <v>13</v>
      </c>
      <c r="Q199" s="3" t="inlineStr">
        <is>
          <t>1. MK-CF-F-132 map
2. MK-CF-F-176 sumMonthsOverEarners
3. MK-ST-F-052 toNum
4. MK-CF-F-177 wageGrossByMonth
5. MK-CF-F-173 earnerWages
6. MK-XS-F-122 n
7. MK-CF-F-130 enteredMonthlyRaw
8. MK-CF-F-166 hasMonthlySalaryTable
9. MK-ST-F-036 reconcile
10. MK-CF-F-167 salaryCalendarYear
11. MK-CF-F-172 hasWage
12. MK-CF-F-165 salaryMonths
13. MK-ST-F-056 has</t>
        </is>
      </c>
      <c r="R199" s="3" t="inlineStr">
        <is>
          <t>1. MK-CF-F-132 map → MK-CF-F-206 householdK401ByMonth
2. MK-ST-F-056 has → MK-CF-F-172 hasWage → MK-CF-F-173 earnerWages → MK-CF-F-176 sumMonthsOverEarners → MK-CF-F-206 householdK401ByMonth
3. MK-CF-F-132 map → MK-CF-F-176 sumMonthsOverEarners → MK-CF-F-206 householdK401ByMonth
4. MK-XS-F-122 n → MK-ST-F-052 toNum → MK-CF-F-206 householdK401ByMonth
5. MK-XS-F-122 n → MK-ST-F-052 toNum → MK-CF-F-130 enteredMonthlyRaw → MK-CF-F-177 wageGrossByMonth → MK-CF-F-206 householdK401ByMonth
6. MK-XS-F-122 n → MK-ST-F-052 toNum → MK-CF-F-165 salaryMonths → MK-CF-F-166 hasMonthlySalaryTable → MK-CF-F-177 wageGrossByMonth → MK-CF-F-206 householdK401ByMonth
7. MK-CF-F-132 map → MK-CF-F-177 wageGrossByMonth → MK-CF-F-206 householdK401ByMonth
8. MK-ST-F-036 reconcile → MK-CF-F-177 wageGrossByMonth → MK-CF-F-206 householdK401ByMonth
9. … and 1 more paths</t>
        </is>
      </c>
      <c r="S199" s="3" t="inlineStr">
        <is>
          <t>—</t>
        </is>
      </c>
      <c r="T199" s="3" t="inlineStr">
        <is>
          <t>—</t>
        </is>
      </c>
      <c r="U199" s="3" t="inlineStr">
        <is>
          <t>ACTIVE</t>
        </is>
      </c>
      <c r="V199" s="3" t="inlineStr">
        <is>
          <t>2026-09-28</t>
        </is>
      </c>
      <c r="W199" s="3" t="n"/>
      <c r="X199" s="3" t="n"/>
      <c r="Y199" s="6" t="inlineStr">
        <is>
          <t>TESTED, NOT VERIFIED (G37)</t>
        </is>
      </c>
    </row>
    <row r="200" ht="60" customHeight="1">
      <c r="A200" s="3" t="inlineStr">
        <is>
          <t>MK-CF-F-207</t>
        </is>
      </c>
      <c r="B200" s="3" t="inlineStr">
        <is>
          <t>SOURCE</t>
        </is>
      </c>
      <c r="C200" s="3" t="inlineStr">
        <is>
          <t>MoneyKeel/functions/cashflow/income-summary.ts</t>
        </is>
      </c>
      <c r="D200" s="3" t="n">
        <v>160</v>
      </c>
      <c r="E200" s="3" t="inlineStr">
        <is>
          <t>1 · ACTION</t>
        </is>
      </c>
      <c r="F200" s="3" t="inlineStr">
        <is>
          <t>Example only: picks one kind of income source out of the worked example household.</t>
        </is>
      </c>
      <c r="G200" s="11" t="inlineStr">
        <is>
          <t>income sources(SOURCES_EXAMPLE).find((x) =&gt; kind = kind)!</t>
        </is>
      </c>
      <c r="H200" s="3" t="inlineStr">
        <is>
          <t>income sources(SOURCES_EXAMPLE).find((x) =&gt; kind = kind)!</t>
        </is>
      </c>
      <c r="I200" s="3" t="inlineStr">
        <is>
          <t>PARTLY READ — some of the code is still showing through; needs a hand pass</t>
        </is>
      </c>
      <c r="J200" s="3" t="inlineStr">
        <is>
          <t>kind: IncomeSource['kind']</t>
        </is>
      </c>
      <c r="K200" s="3" t="inlineStr">
        <is>
          <t>NOT DECLARED — the code does not say what it gives back</t>
        </is>
      </c>
      <c r="L200" s="3" t="inlineStr">
        <is>
          <t>—</t>
        </is>
      </c>
      <c r="M200" s="3" t="inlineStr">
        <is>
          <t>None found in this function — anything it assumes comes from the functions it depends on.</t>
        </is>
      </c>
      <c r="N200" s="3" t="inlineStr">
        <is>
          <t>Yes</t>
        </is>
      </c>
      <c r="O200" s="3" t="inlineStr">
        <is>
          <t>MK-CF-O-016 incomeSources</t>
        </is>
      </c>
      <c r="P200" s="3" t="n">
        <v>25</v>
      </c>
      <c r="Q200" s="3" t="inlineStr">
        <is>
          <t>1. MK-CF-O-016 incomeSources
2. MK-CF-F-072 currentRetirementIncomeMonthly
3. MK-CF-F-173 earnerWages
4. MK-CF-F-068 rentalNetAnnual
5. MK-CF-F-075 retirementIncomeMonthly
6. MK-CF-F-066 rsuAnnual
7. MK-ST-F-052 toNum
8. MK-CF-F-172 hasWage
9. MK-CF-O-002 expenses
10. MK-CF-F-067 rentalList
11. MK-CF-F-062 equityRowValue
12. MK-CF-F-132 map
13. MK-CF-F-063 rowVestYear
14. MK-XS-F-122 n
15. MK-ST-F-056 has
16. MK-CF-F-151 actualSpending
17. MK-CF-F-150 debtPaymentsCountedAsExpenses
18. MK-CF-F-153 radar
19. MK-CF-F-149 recurringDebtPayments
20. MK-CF-F-148 inMonth
21. MK-CF-F-191 ym
22. MK-CF-F-022 paymentShape
23. MK-CF-F-152 isRadarItem
24. MK-CF-F-023 requiredPayment
25. MK-CF-F-021 defaultPaymentType</t>
        </is>
      </c>
      <c r="R200" s="3" t="inlineStr">
        <is>
          <t>1. SOURCE (already above — a loop) → MK-CF-O-016 incomeSources → MK-CF-F-207 SOURCE
2. MK-XS-F-122 n → MK-ST-F-052 toNum → MK-CF-F-075 retirementIncomeMonthly → MK-CF-F-072 currentRetirementIncomeMonthly → MK-CF-O-016 incomeSources → MK-CF-F-207 SOURCE
3. MK-ST-F-056 has → MK-CF-F-172 hasWage → MK-CF-F-173 earnerWages → MK-CF-O-016 incomeSources → MK-CF-F-207 SOURCE
4. MK-CF-F-148 inMonth → MK-CF-F-151 actualSpending → MK-CF-O-002 expenses → MK-CF-F-068 rentalNetAnnual → MK-CF-O-016 incomeSources → MK-CF-F-207 SOURCE
5. MK-ST-F-052 toNum → MK-CF-F-151 actualSpending → MK-CF-O-002 expenses → MK-CF-F-068 rentalNetAnnual → MK-CF-O-016 incomeSources → MK-CF-F-207 SOURCE
6. MK-CF-F-191 ym → MK-CF-F-151 actualSpending → MK-CF-O-002 expenses → MK-CF-F-068 rentalNetAnnual → MK-CF-O-016 incomeSources → MK-CF-F-207 SOURCE
7. MK-ST-F-056 has → MK-CF-F-150 debtPaymentsCountedAsExpenses → MK-CF-O-002 expenses → MK-CF-F-068 rentalNetAnnual → MK-CF-O-016 incomeSources → MK-CF-F-207 SOURCE
8. MK-CF-F-148 inMonth → MK-CF-F-150 debtPaymentsCountedAsExpenses → MK-CF-O-002 expenses → MK-CF-F-068 rentalNetAnnual → MK-CF-O-016 incomeSources → MK-CF-F-207 SOURCE
9. … and 4 more paths</t>
        </is>
      </c>
      <c r="S200" s="3" t="inlineStr">
        <is>
          <t>—</t>
        </is>
      </c>
      <c r="T200" s="3" t="inlineStr">
        <is>
          <t>—</t>
        </is>
      </c>
      <c r="U200" s="3" t="inlineStr">
        <is>
          <t>ACTIVE</t>
        </is>
      </c>
      <c r="V200" s="3" t="inlineStr">
        <is>
          <t>2026-10-02</t>
        </is>
      </c>
      <c r="W200" s="3" t="n"/>
      <c r="X200" s="3" t="n"/>
      <c r="Y200" s="3" t="inlineStr">
        <is>
          <t>NOTHING OPEN</t>
        </is>
      </c>
    </row>
    <row r="201" ht="60" customHeight="1">
      <c r="A201" s="3" t="inlineStr">
        <is>
          <t>MK-CF-F-210</t>
        </is>
      </c>
      <c r="B201" s="3" t="inlineStr">
        <is>
          <t>annualOfSource</t>
        </is>
      </c>
      <c r="C201" s="3" t="inlineStr">
        <is>
          <t>MoneyKeel/functions/cashflow/income-summary.ts</t>
        </is>
      </c>
      <c r="D201" s="3" t="n">
        <v>190</v>
      </c>
      <c r="E201" s="3" t="inlineStr">
        <is>
          <t>3 · DEPENDENT (feeds an action only)</t>
        </is>
      </c>
      <c r="F201" s="3" t="inlineStr">
        <is>
          <t>A source's yearly amount: a monthly one × 12, a yearly one as it is, a salary from its pay period.</t>
        </is>
      </c>
      <c r="G201" s="11" t="inlineStr">
        <is>
          <t>amount × 12   when per = 'month'
amount   when per = 'year'
salary annual((op ?? {}) as any) (or amount when missing or zero)</t>
        </is>
      </c>
      <c r="H201" s="3" t="inlineStr">
        <is>
          <t>When per = 'month', it answers amount times 12. When per = 'year', it answers amount. salary annual((op ?? {}) as any) (or amount — when missing or zero).</t>
        </is>
      </c>
      <c r="I201" s="3" t="inlineStr">
        <is>
          <t>PARTLY READ — some of the code is still showing through; needs a hand pass</t>
        </is>
      </c>
      <c r="J201" s="3" t="inlineStr">
        <is>
          <t>1. x: IncomeSource
2. op?: Record&lt;string, any&gt; | null</t>
        </is>
      </c>
      <c r="K201" s="3" t="inlineStr">
        <is>
          <t>number</t>
        </is>
      </c>
      <c r="L201" s="3" t="inlineStr">
        <is>
          <t>—</t>
        </is>
      </c>
      <c r="M201" s="3" t="inlineStr">
        <is>
          <t>· Turns a monthly figure into a year by multiplying by twelve.</t>
        </is>
      </c>
      <c r="N201" s="3" t="inlineStr">
        <is>
          <t>No</t>
        </is>
      </c>
      <c r="O201" s="3" t="inlineStr">
        <is>
          <t>1. MK-CF-F-201 INCOME
2. MK-CF-F-207 SOURCE
3. MK-XS-F-180 declareFigures
4. MK-CF-F-076 guaranteedOutsideStreams
5. MK-CF-F-184 incomeFromAccounts
6. MK-CF-O-004 incomeSummary
7. MK-CF-F-075 retirementIncomeMonthly
8. MK-CF-F-082 salaryAnnual
9. MK-CF-F-083 totalGrossAnnual</t>
        </is>
      </c>
      <c r="P201" s="3" t="n">
        <v>128</v>
      </c>
      <c r="Q201" s="3" t="inlineStr">
        <is>
          <t>1. MK-CF-F-201 INCOME
2. MK-CF-F-207 SOURCE
3. MK-XS-F-180 declareFigures
4. MK-CF-F-076 guaranteedOutsideStreams
5. MK-CF-F-184 incomeFromAccounts
6. MK-CF-O-004 incomeSummary
7. MK-CF-F-075 retirementIncomeMonthly
8. MK-CF-F-082 salaryAnnual
9. MK-CF-F-083 totalGrossAnnual
10. MK-CF-O-016 incomeSources
11. MK-ST-F-052 toNum
12. MK-CF-F-182 asPercent
13. MK-NW-F-011 assetClassOf
14. MK-ST-F-053 money
15. MK-CF-F-183 paidOutByAccount
16. MK-CF-F-203 MONTH
17. MK-CF-O-001 basePay
18. MK-CF-F-069 benefitActiveMonths
19. MK-CF-F-072 currentRetirementIncomeMonthly
20. MK-CF-F-173 earnerWages
21. MK-CF-F-179 entryFromWage
22. MK-CF-F-071 extraIncome
23. MK-CF-F-085 filingStatusOf
24. MK-CF-F-092 incomeMonthlyGrid
25. MK-CF-F-192 inflowLabel
26. MK-CF-F-132 map
27. MK-CF-F-103 marginalBracketFor
28. MK-CF-F-089 over65CountOf
29. MK-CF-F-181 rateInForce
30. MK-CF-F-068 rentalNetAnnual
31. MK-CF-F-060 salaryGrossByMonth
32. MK-CF-F-084 taxableAnnual
33. MK-CF-F-066 rsuAnnual
34. MK-CF-F-074 tipsAnnual
35. MK-XS-F-122 n
36. MK-NW-F-008 incomeBearingClassOf
37. MK-ST-F-049 formatMoney
38. MK-ST-F-065 isoLocalDate
39. MK-CF-O-010 theMonth
40. MK-ST-F-035 covers
41. MK-CF-F-171 earnerPay
42. MK-CF-F-204 line
43. MK-HM-F-006 money0
44. MK-CF-F-198 payrollTaxWithheld
45. MK-CF-F-172 hasWage
46. MK-CF-F-165 salaryMonths
47. MK-CF-F-070 benefitAnnual
48. MK-ST-F-039 on
49. MK-CF-F-065 equityVestWeights
50. MK-ST-F-056 has
51. MK-CF-F-206 householdK401ByMonth
52. MK-CF-F-087 monthlyTaxRates
53. MK-CF-F-073 otherIncomeMonth
54. MK-CF-F-077 scholarshipByCalendarMonth
55. MK-CF-F-088 taxableByCalendarMonth
56. MK-CF-F-177 wageGrossByMonth
57. MK-PL-F-012 waterfall
58. MK-CF-F-193 inflowSourceWord
59. MK-CF-F-100 taxableIncomeFor
60. MK-CF-F-180 enteredLandsAnnual
61. MK-CF-F-086 stateRateOf
62. MK-CF-F-101 taxOwedFor
63. MK-CF-O-002 expenses
64. MK-CF-F-067 rentalList
65. MK-CF-F-176 sumMonthsOverEarners
66. MK-CF-F-062 equityRowValue
67. MK-CF-F-063 rowVestYear
68. MK-CF-F-081 salaryActiveMonths
69. MK-CF-F-155 cash
70. MK-ST-F-010 nameEvidence
71. MK-ST-F-048 currencySymbol
72. MK-CF-O-003 thisMonth
73. MK-ST-F-034 firstDate
74. MK-CF-F-143 annualisedGross
75. MK-CF-F-145 deductionsFromPay
76. MK-CF-F-128 grossByMonth
77. MK-CF-F-146 payFiguresAgree
78. MK-CF-F-144 takeHomeAsEntered
79. MK-HM-F-005 pctTxt
80. MK-CF-F-090 effectiveRate
81. MK-CF-F-130 enteredMonthlyRaw
82. MK-CF-F-166 hasMonthlySalaryTable
83. MK-ST-F-036 reconcile
84. MK-CF-F-167 salaryCalendarYear
85. MK-CF-F-099 deductionFor
86. MK-CF-F-151 actualSpending
87. MK-CF-F-150 debtPaymentsCountedAsExpenses
88. MK-CF-F-153 radar
89. MK-CF-F-149 recurringDebtPayments
90. MK-XS-F-147 call
91. MK-ST-F-047 activeCurrency
92. MK-CF-F-005 actualMonthFlow
93. MK-CF-F-156 plannedMonthFlow
94. MK-CF-F-142 monthsOf
95. MK-CF-F-141 perMonth
96. MK-CF-F-187 seniorDeductionFor
97. MK-CF-F-148 inMonth
98. MK-CF-F-191 ym
99. MK-CF-F-022 paymentShape
100. MK-CF-F-152 isRadarItem
101. MK-CF-F-023 requiredPayment
102. MK-ST-F-027 accountId
103. MK-XS-F-064 currentIdToken
104. MK-XS-F-112 relayUrl
105. MK-NW-F-078 ONE
106. MK-CF-F-157 debtPaymentsByDebt
107. MK-XS-F-027 takeHomeMonthly
108. MK-CF-F-140 periodsAYear
109. MK-CF-F-021 defaultPaymentType
110. MK-NW-F-077 ALL
111. MK-NW-F-059 currentYield
112. MK-NW-O-001 theBonds
113. MK-CF-F-011 savingsByMonth
114. MK-NW-F-057 annualCoupon
115. MK-NW-F-056 bondInfo
116. MK-NW-F-064 bondRateSensitivity
117. MK-NW-F-061 bondSummary
118. MK-NW-F-055 isBond
119. MK-NW-F-072 rowOf
120. MK-CF-F-008 spendByMonth
121. MK-NW-F-060 approxYTM
122. MK-NW-F-069 priceAtYield
123. MK-NW-F-070 accruedInterestCaveat
124. MK-NW-F-071 isCertificateOfDeposit
125. MK-NW-F-058 yearsToMaturity
126. MK-CF-F-120 pctBaseMonthly
127. MK-CF-F-004 spendBuckets
128. MK-CF-F-003 categoryMonthly</t>
        </is>
      </c>
      <c r="R201" s="3" t="inlineStr">
        <is>
          <t>1. SOURCE (already above — a loop) → MK-CF-O-016 incomeSources → MK-CF-F-207 SOURCE → MK-CF-F-201 INCOME → MK-CF-F-210 annualOfSource
2. MK-CF-F-075 retirementIncomeMonthly → MK-CF-F-072 currentRetirementIncomeMonthly → MK-CF-O-016 incomeSources → MK-CF-F-207 SOURCE → MK-CF-F-201 INCOME → MK-CF-F-210 annualOfSource
3. MK-CF-F-172 hasWage → MK-CF-F-173 earnerWages → MK-CF-O-016 incomeSources → MK-CF-F-207 SOURCE → MK-CF-F-201 INCOME → MK-CF-F-210 annualOfSource
4. MK-CF-O-002 expenses → MK-CF-F-068 rentalNetAnnual → MK-CF-O-016 incomeSources → MK-CF-F-207 SOURCE → MK-CF-F-201 INCOME → MK-CF-F-210 annualOfSource
5. MK-CF-F-067 rentalList → MK-CF-F-068 rentalNetAnnual → MK-CF-O-016 incomeSources → MK-CF-F-207 SOURCE → MK-CF-F-201 INCOME → MK-CF-F-210 annualOfSource
6. MK-ST-F-052 toNum → MK-CF-F-075 retirementIncomeMonthly → MK-CF-O-016 incomeSources → MK-CF-F-207 SOURCE → MK-CF-F-201 INCOME → MK-CF-F-210 annualOfSource
7. MK-CF-F-062 equityRowValue → MK-CF-F-066 rsuAnnual → MK-CF-O-016 incomeSources → MK-CF-F-207 SOURCE → MK-CF-F-201 INCOME → MK-CF-F-210 annualOfSource
8. MK-CF-F-132 map → MK-CF-F-066 rsuAnnual → MK-CF-O-016 incomeSources → MK-CF-F-207 SOURCE → MK-CF-F-201 INCOME → MK-CF-F-210 annualOfSource
9. … and 5 more paths</t>
        </is>
      </c>
      <c r="S201" s="3" t="inlineStr">
        <is>
          <t>—</t>
        </is>
      </c>
      <c r="T201" s="3" t="inlineStr">
        <is>
          <t>—</t>
        </is>
      </c>
      <c r="U201" s="3" t="inlineStr">
        <is>
          <t>ACTIVE</t>
        </is>
      </c>
      <c r="V201" s="3" t="inlineStr">
        <is>
          <t>2026-10-02</t>
        </is>
      </c>
      <c r="W201" s="3" t="n"/>
      <c r="X201" s="3" t="n"/>
      <c r="Y201" s="3" t="inlineStr">
        <is>
          <t>NOTHING OPEN</t>
        </is>
      </c>
    </row>
    <row r="202" ht="60" customHeight="1">
      <c r="A202" s="3" t="inlineStr">
        <is>
          <t>MK-CF-F-211</t>
        </is>
      </c>
      <c r="B202" s="3" t="inlineStr">
        <is>
          <t>DEBTS</t>
        </is>
      </c>
      <c r="C202" s="3" t="inlineStr">
        <is>
          <t>MoneyKeel/functions/cashflow/the-debts.ts</t>
        </is>
      </c>
      <c r="D202" s="3" t="n">
        <v>110</v>
      </c>
      <c r="E202" s="3" t="inlineStr">
        <is>
          <t>1 · ACTION</t>
        </is>
      </c>
      <c r="F202" s="3" t="inlineStr">
        <is>
          <t>Example only: runs theDebts on the worked example and calculates nothing of its own.</t>
        </is>
      </c>
      <c r="G202" s="11" t="inlineStr">
        <is>
          <t>the debts(EXAMPLE)</t>
        </is>
      </c>
      <c r="H202" s="3" t="inlineStr">
        <is>
          <t>the debts(EXAMPLE)</t>
        </is>
      </c>
      <c r="I202" s="3" t="inlineStr">
        <is>
          <t>READ FROM THE CODE — rendered from the expressions the function runs</t>
        </is>
      </c>
      <c r="J202" s="3" t="inlineStr">
        <is>
          <t>Nothing is handed to it</t>
        </is>
      </c>
      <c r="K202" s="3" t="inlineStr">
        <is>
          <t>NOT DECLARED — the code does not say what it gives back</t>
        </is>
      </c>
      <c r="L202" s="3" t="inlineStr">
        <is>
          <t>—</t>
        </is>
      </c>
      <c r="M202" s="3" t="inlineStr">
        <is>
          <t>None found in this function — anything it assumes comes from the functions it depends on.</t>
        </is>
      </c>
      <c r="N202" s="3" t="inlineStr">
        <is>
          <t>No</t>
        </is>
      </c>
      <c r="O202" s="3" t="inlineStr">
        <is>
          <t>1. MK-XS-F-180 declareFigures
2. MK-ST-F-030 record
3. MK-CF-F-023 requiredPayment
4. MK-CF-O-018 theDebts</t>
        </is>
      </c>
      <c r="P202" s="3" t="n">
        <v>127</v>
      </c>
      <c r="Q202" s="3" t="inlineStr">
        <is>
          <t>1. MK-XS-F-180 declareFigures
2. MK-ST-F-030 record
3. MK-CF-F-023 requiredPayment
4. MK-CF-O-018 theDebts
5. MK-CF-F-022 paymentShape
6. MK-CF-F-025 minimumDebtService
7. MK-CF-F-034 payoffPlan
8. MK-CF-F-024 totalDebtMonthly
9. MK-CF-F-021 defaultPaymentType
10. MK-CF-F-132 map
11. MK-CF-F-201 INCOME
12. MK-CF-F-207 SOURCE
13. MK-CF-O-004 incomeSummary
14. MK-CF-O-016 incomeSources
15. MK-CF-F-203 MONTH
16. MK-CF-O-001 basePay
17. MK-CF-F-069 benefitActiveMonths
18. MK-CF-F-072 currentRetirementIncomeMonthly
19. MK-CF-F-173 earnerWages
20. MK-CF-F-179 entryFromWage
21. MK-CF-F-071 extraIncome
22. MK-CF-F-085 filingStatusOf
23. MK-CF-F-092 incomeMonthlyGrid
24. MK-CF-F-192 inflowLabel
25. MK-CF-F-103 marginalBracketFor
26. MK-CF-F-089 over65CountOf
27. MK-CF-F-181 rateInForce
28. MK-CF-F-068 rentalNetAnnual
29. MK-CF-F-082 salaryAnnual
30. MK-CF-F-060 salaryGrossByMonth
31. MK-CF-F-084 taxableAnnual
32. MK-ST-F-052 toNum
33. MK-CF-F-075 retirementIncomeMonthly
34. MK-CF-F-066 rsuAnnual
35. MK-CF-O-010 theMonth
36. MK-ST-F-035 covers
37. MK-CF-F-171 earnerPay
38. MK-CF-F-204 line
39. MK-ST-F-053 money
40. MK-HM-F-006 money0
41. MK-XS-F-122 n
42. MK-CF-F-198 payrollTaxWithheld
43. MK-CF-F-172 hasWage
44. MK-CF-F-165 salaryMonths
45. MK-CF-F-070 benefitAnnual
46. MK-ST-F-039 on
47. MK-CF-F-065 equityVestWeights
48. MK-ST-F-056 has
49. MK-CF-F-206 householdK401ByMonth
50. MK-CF-F-087 monthlyTaxRates
51. MK-CF-F-073 otherIncomeMonth
52. MK-CF-F-077 scholarshipByCalendarMonth
53. MK-CF-F-088 taxableByCalendarMonth
54. MK-CF-F-177 wageGrossByMonth
55. MK-PL-F-012 waterfall
56. MK-CF-F-193 inflowSourceWord
57. MK-CF-F-100 taxableIncomeFor
58. MK-CF-F-180 enteredLandsAnnual
59. MK-CF-F-086 stateRateOf
60. MK-CF-F-101 taxOwedFor
61. MK-CF-O-002 expenses
62. MK-CF-F-067 rentalList
63. MK-CF-F-176 sumMonthsOverEarners
64. MK-CF-F-074 tipsAnnual
65. MK-CF-F-062 equityRowValue
66. MK-CF-F-063 rowVestYear
67. MK-CF-F-155 cash
68. MK-CF-O-003 thisMonth
69. MK-ST-F-034 firstDate
70. MK-CF-F-143 annualisedGross
71. MK-CF-F-145 deductionsFromPay
72. MK-CF-F-128 grossByMonth
73. MK-CF-F-146 payFiguresAgree
74. MK-CF-F-144 takeHomeAsEntered
75. MK-ST-F-049 formatMoney
76. MK-HM-F-005 pctTxt
77. MK-CF-F-090 effectiveRate
78. MK-CF-F-130 enteredMonthlyRaw
79. MK-CF-F-166 hasMonthlySalaryTable
80. MK-ST-F-036 reconcile
81. MK-CF-F-167 salaryCalendarYear
82. MK-CF-F-099 deductionFor
83. MK-CF-F-151 actualSpending
84. MK-CF-F-150 debtPaymentsCountedAsExpenses
85. MK-CF-F-153 radar
86. MK-CF-F-149 recurringDebtPayments
87. MK-CF-F-081 salaryActiveMonths
88. MK-CF-F-005 actualMonthFlow
89. MK-CF-F-156 plannedMonthFlow
90. MK-CF-F-142 monthsOf
91. MK-CF-F-141 perMonth
92. MK-ST-F-048 currencySymbol
93. MK-CF-F-187 seniorDeductionFor
94. MK-CF-F-148 inMonth
95. MK-CF-F-191 ym
96. MK-CF-F-152 isRadarItem
97. MK-NW-F-078 ONE
98. MK-CF-F-157 debtPaymentsByDebt
99. MK-XS-F-027 takeHomeMonthly
100. MK-CF-F-140 periodsAYear
101. MK-ST-F-047 activeCurrency
102. MK-NW-F-077 ALL
103. MK-NW-F-059 currentYield
104. MK-NW-O-001 theBonds
105. MK-CF-F-011 savingsByMonth
106. MK-NW-F-057 annualCoupon
107. MK-ST-F-027 accountId
108. MK-NW-F-056 bondInfo
109. MK-NW-F-064 bondRateSensitivity
110. MK-NW-F-061 bondSummary
111. MK-NW-F-055 isBond
112. MK-NW-F-072 rowOf
113. MK-CF-F-008 spendByMonth
114. MK-NW-F-060 approxYTM
115. MK-NW-F-069 priceAtYield
116. MK-NW-F-011 assetClassOf
117. MK-NW-F-070 accruedInterestCaveat
118. MK-NW-F-071 isCertificateOfDeposit
119. MK-NW-F-058 yearsToMaturity
120. MK-CF-F-120 pctBaseMonthly
121. MK-CF-F-004 spendBuckets
122. MK-NW-F-008 incomeBearingClassOf
123. MK-CF-F-003 categoryMonthly
124. MK-ST-F-010 nameEvidence
125. MK-XS-F-147 call
126. MK-XS-F-064 currentIdToken
127. MK-XS-F-112 relayUrl</t>
        </is>
      </c>
      <c r="R202" s="3" t="inlineStr">
        <is>
          <t>1. MK-XS-F-180 declareFigures → MK-CF-F-211 DEBTS
2. MK-ST-F-030 record → MK-CF-F-211 DEBTS
3. MK-CF-F-021 defaultPaymentType → MK-CF-F-022 paymentShape → MK-CF-F-023 requiredPayment → MK-CF-F-211 DEBTS
4. MK-CF-F-021 defaultPaymentType → MK-CF-F-022 paymentShape → MK-CF-F-025 minimumDebtService → MK-CF-O-018 theDebts → MK-CF-F-211 DEBTS
5. MK-CF-F-132 map → MK-CF-F-034 payoffPlan → MK-CF-O-018 theDebts → MK-CF-F-211 DEBTS
6. MK-CF-F-021 defaultPaymentType → MK-CF-F-022 paymentShape → MK-CF-F-034 payoffPlan → MK-CF-O-018 theDebts → MK-CF-F-211 DEBTS
7. MK-CF-O-016 incomeSources → MK-CF-F-207 SOURCE → MK-CF-F-201 INCOME → MK-CF-F-024 totalDebtMonthly → MK-CF-O-018 theDebts → MK-CF-F-211 DEBTS
8. MK-CF-F-203 MONTH → MK-CF-O-004 incomeSummary → MK-CF-F-201 INCOME → MK-CF-F-024 totalDebtMonthly → MK-CF-O-018 theDebts → MK-CF-F-211 DEBTS
9. … and 4 more paths</t>
        </is>
      </c>
      <c r="S202" s="3" t="inlineStr">
        <is>
          <t>—</t>
        </is>
      </c>
      <c r="T202" s="3" t="inlineStr">
        <is>
          <t>—</t>
        </is>
      </c>
      <c r="U202" s="3" t="inlineStr">
        <is>
          <t>ACTIVE</t>
        </is>
      </c>
      <c r="V202" s="3" t="inlineStr">
        <is>
          <t>2026-10-02</t>
        </is>
      </c>
      <c r="W202" s="3" t="n"/>
      <c r="X202" s="3" t="n"/>
      <c r="Y202" s="3" t="inlineStr">
        <is>
          <t>NOTHING OPEN</t>
        </is>
      </c>
    </row>
    <row r="203" ht="60" customHeight="1">
      <c r="A203" s="3" t="inlineStr">
        <is>
          <t>MK-CF-F-212</t>
        </is>
      </c>
      <c r="B203" s="3" t="inlineStr">
        <is>
          <t>receivedInMonth</t>
        </is>
      </c>
      <c r="C203" s="3" t="inlineStr">
        <is>
          <t>MoneyKeel/functions/cashflow/whats-coming.ts</t>
        </is>
      </c>
      <c r="D203" s="3" t="n">
        <v>141</v>
      </c>
      <c r="E203" s="3" t="inlineStr">
        <is>
          <t>2 · DISPLAYED</t>
        </is>
      </c>
      <c r="F203" s="3" t="inlineStr">
        <is>
          <t>RECEIVED THIS MONTH (MK-CF-M-012) — the income records dated inside the month, newest first.</t>
        </is>
      </c>
      <c r="G203" s="11" t="inlineStr">
        <is>
          <t>NOT READ YET — the body is not a shape this can render faithfully, so nothing is claimed rather than something being guessed. It needs reading by hand.</t>
        </is>
      </c>
      <c r="H203" s="3" t="inlineStr">
        <is>
          <t>NOT READ YET — the body is not a shape this can render faithfully, so nothing is claimed rather than something being guessed. It needs reading by hand.</t>
        </is>
      </c>
      <c r="I203" s="3" t="inlineStr">
        <is>
          <t>NOT READ — nothing is claimed rather than something guessed</t>
        </is>
      </c>
      <c r="J203" s="3" t="inlineStr">
        <is>
          <t>1. incomes: { date?: string; amount?: any }[] | null | undefined
2. ym: string</t>
        </is>
      </c>
      <c r="K203" s="3" t="inlineStr">
        <is>
          <t>NOT DECLARED — the code does not say what it gives back</t>
        </is>
      </c>
      <c r="L203" s="3" t="inlineStr">
        <is>
          <t>"Nothing received yet this month." — on the Cash flow screen, under "current ?"</t>
        </is>
      </c>
      <c r="M203" s="3" t="inlineStr">
        <is>
          <t>None found in this function — anything it assumes comes from the functions it depends on.</t>
        </is>
      </c>
      <c r="N203" s="3" t="inlineStr">
        <is>
          <t>Yes</t>
        </is>
      </c>
      <c r="O203" s="3" t="inlineStr">
        <is>
          <t>1. MK-CF-F-205 COMING
2. MK-XS-F-004 buildDatedGrid
3. MK-XS-F-180 declareFigures
4. MK-CF-F-191 ym</t>
        </is>
      </c>
      <c r="P203" s="3" t="n">
        <v>113</v>
      </c>
      <c r="Q203" s="3" t="inlineStr">
        <is>
          <t>1. MK-CF-F-205 COMING
2. MK-XS-F-004 buildDatedGrid
3. MK-XS-F-180 declareFigures
4. MK-CF-F-191 ym
5. MK-CF-F-203 MONTH
6. MK-CF-O-008 whatsComing
7. MK-CF-F-069 benefitActiveMonths
8. MK-CF-F-072 currentRetirementIncomeMonthly
9. MK-CF-F-018 equityByMonth
10. MK-CF-O-002 expenses
11. MK-ST-F-056 has
12. MK-CF-F-204 line
13. MK-CF-F-132 map
14. MK-ST-F-053 money
15. MK-CF-F-087 monthlyTaxRates
16. MK-CF-F-073 otherIncomeMonth
17. MK-CF-F-022 paymentShape
18. MK-CF-F-068 rentalNetAnnual
19. MK-CF-F-023 requiredPayment
20. MK-CF-F-060 salaryGrossByMonth
21. MK-CF-F-008 spendByMonth
22. MK-ST-F-052 toNum
23. MK-CF-O-010 theMonth
24. MK-CF-F-019 upcomingBills
25. MK-CF-F-075 retirementIncomeMonthly
26. MK-CF-F-062 equityRowValue
27. MK-CF-F-066 rsuAnnual
28. MK-CF-F-121 zero12
29. MK-CF-F-151 actualSpending
30. MK-CF-F-150 debtPaymentsCountedAsExpenses
31. MK-CF-F-153 radar
32. MK-CF-F-149 recurringDebtPayments
33. MK-ST-F-049 formatMoney
34. MK-XS-F-122 n
35. MK-CF-F-090 effectiveRate
36. MK-ST-F-039 on
37. MK-CF-F-021 defaultPaymentType
38. MK-CF-F-067 rentalList
39. MK-CF-F-176 sumMonthsOverEarners
40. MK-CF-F-177 wageGrossByMonth
41. MK-CF-F-120 pctBaseMonthly
42. MK-CF-F-004 spendBuckets
43. MK-CF-F-155 cash
44. MK-CF-O-003 thisMonth
45. MK-CF-F-122 addDays
46. MK-CF-F-070 benefitAnnual
47. MK-CF-F-160 daysBetweenDates
48. MK-CF-F-061 grossSalaryMonthly
49. MK-ST-F-065 isoLocalDate
50. MK-CF-F-124 nextOccurrence
51. MK-CF-F-084 taxableAnnual
52. MK-CF-F-083 totalGrossAnnual
53. MK-CF-F-063 rowVestYear
54. MK-CF-F-148 inMonth
55. MK-CF-F-152 isRadarItem
56. MK-ST-F-048 currencySymbol
57. MK-CF-F-181 rateInForce
58. MK-CF-F-173 earnerWages
59. MK-CF-F-130 enteredMonthlyRaw
60. MK-CF-F-166 hasMonthlySalaryTable
61. MK-ST-F-036 reconcile
62. MK-CF-F-167 salaryCalendarYear
63. MK-CF-F-092 incomeMonthlyGrid
64. MK-CF-F-003 categoryMonthly
65. MK-CF-F-005 actualMonthFlow
66. MK-CF-F-156 plannedMonthFlow
67. MK-CF-F-071 extraIncome
68. MK-CF-F-082 salaryAnnual
69. MK-CF-F-074 tipsAnnual
70. MK-ST-F-047 activeCurrency
71. MK-CF-F-180 enteredLandsAnnual
72. MK-CF-F-085 filingStatusOf
73. MK-CF-F-206 householdK401ByMonth
74. MK-CF-F-089 over65CountOf
75. MK-CF-F-086 stateRateOf
76. MK-CF-F-101 taxOwedFor
77. MK-CF-F-172 hasWage
78. MK-CF-F-165 salaryMonths
79. MK-CF-F-065 equityVestWeights
80. MK-CF-F-077 scholarshipByCalendarMonth
81. MK-CF-F-088 taxableByCalendarMonth
82. MK-PL-F-012 waterfall
83. MK-XS-F-027 takeHomeMonthly
84. MK-NW-F-078 ONE
85. MK-CF-F-157 debtPaymentsByDebt
86. MK-CF-F-192 inflowLabel
87. MK-CF-F-081 salaryActiveMonths
88. MK-CF-F-100 taxableIncomeFor
89. MK-CF-F-011 savingsByMonth
90. MK-NW-F-077 ALL
91. MK-NW-F-059 currentYield
92. MK-NW-O-001 theBonds
93. MK-CF-F-193 inflowSourceWord
94. MK-CF-F-099 deductionFor
95. MK-NW-F-057 annualCoupon
96. MK-ST-F-027 accountId
97. MK-NW-F-056 bondInfo
98. MK-NW-F-064 bondRateSensitivity
99. MK-NW-F-061 bondSummary
100. MK-NW-F-055 isBond
101. MK-NW-F-072 rowOf
102. MK-CF-F-187 seniorDeductionFor
103. MK-NW-F-060 approxYTM
104. MK-NW-F-069 priceAtYield
105. MK-NW-F-011 assetClassOf
106. MK-NW-F-070 accruedInterestCaveat
107. MK-NW-F-071 isCertificateOfDeposit
108. MK-NW-F-058 yearsToMaturity
109. MK-NW-F-008 incomeBearingClassOf
110. MK-ST-F-010 nameEvidence
111. MK-XS-F-147 call
112. MK-XS-F-064 currentIdToken
113. MK-XS-F-112 relayUrl</t>
        </is>
      </c>
      <c r="R203" s="3" t="inlineStr">
        <is>
          <t>1. MONTH (already above — a loop) → MK-CF-O-010 theMonth → MK-CF-F-203 MONTH → MK-CF-F-205 COMING → MK-CF-F-212 receivedInMonth
2. MK-XS-F-122 n → MK-CF-F-155 cash → MK-CF-O-010 theMonth → MK-CF-F-203 MONTH → MK-CF-F-205 COMING → MK-CF-F-212 receivedInMonth
3. MK-CF-F-151 actualSpending → MK-CF-O-002 expenses → MK-CF-O-010 theMonth → MK-CF-F-203 MONTH → MK-CF-F-205 COMING → MK-CF-F-212 receivedInMonth
4. MK-CF-F-150 debtPaymentsCountedAsExpenses → MK-CF-O-002 expenses → MK-CF-O-010 theMonth → MK-CF-F-203 MONTH → MK-CF-F-205 COMING → MK-CF-F-212 receivedInMonth
5. MK-CF-F-153 radar → MK-CF-O-002 expenses → MK-CF-O-010 theMonth → MK-CF-F-203 MONTH → MK-CF-F-205 COMING → MK-CF-F-212 receivedInMonth
6. MK-CF-F-149 recurringDebtPayments → MK-CF-O-002 expenses → MK-CF-O-010 theMonth → MK-CF-F-203 MONTH → MK-CF-F-205 COMING → MK-CF-F-212 receivedInMonth
7. MK-CF-F-005 actualMonthFlow → MK-CF-O-003 thisMonth → MK-CF-O-010 theMonth → MK-CF-F-203 MONTH → MK-CF-F-205 COMING → MK-CF-F-212 receivedInMonth
8. MK-CF-F-156 plannedMonthFlow → MK-CF-O-003 thisMonth → MK-CF-O-010 theMonth → MK-CF-F-203 MONTH → MK-CF-F-205 COMING → MK-CF-F-212 receivedInMonth
9. … and 5 more paths</t>
        </is>
      </c>
      <c r="S203" s="3" t="inlineStr">
        <is>
          <t>—</t>
        </is>
      </c>
      <c r="T203" s="3" t="inlineStr">
        <is>
          <t>—</t>
        </is>
      </c>
      <c r="U203" s="3" t="inlineStr">
        <is>
          <t>ACTIVE</t>
        </is>
      </c>
      <c r="V203" s="3" t="inlineStr">
        <is>
          <t>2026-10-02</t>
        </is>
      </c>
      <c r="W203" s="3" t="n"/>
      <c r="X203" s="3" t="n"/>
      <c r="Y203" s="3" t="inlineStr">
        <is>
          <t>NOTHING OPEN</t>
        </is>
      </c>
    </row>
    <row r="204" ht="60" customHeight="1">
      <c r="A204" s="3" t="inlineStr">
        <is>
          <t>MK-CF-O-001</t>
        </is>
      </c>
      <c r="B204" s="3" t="inlineStr">
        <is>
          <t>basePay</t>
        </is>
      </c>
      <c r="C204" s="3" t="inlineStr">
        <is>
          <t>MoneyKeel/functions/cashflow/base-pay.ts</t>
        </is>
      </c>
      <c r="D204" s="3" t="n">
        <v>903</v>
      </c>
      <c r="E204" s="3" t="inlineStr">
        <is>
          <t>2 · DISPLAYED</t>
        </is>
      </c>
      <c r="F204" s="3" t="inlineStr">
        <is>
          <t>What does this household's base pay come to: each earner's pay, and the household's gross, tax bracket, tax, 401(k)s and take-home for a month?</t>
        </is>
      </c>
      <c r="G204" s="11" t="inlineStr">
        <is>
          <t>profile = profile
status = filing status (or 'single' when missing)
over65 = over65 (or 0 when missing)
pre rate = rate in force(profile ?? nothing)
gross annual = Σ over earners of (pay.gross annualised)
lands in bank = Σ over earners of (pay.lands in bank)
first wage = earners[0].pay.gross annualised (or 0 when missing)
band on one wage = marginal bracket for(first wage, status, over65)
band on every wage = marginal bracket for(gross annual, status, over65)
band note = nothing
wrong = (gross annual × band on one wage) ÷ 12
… the first steps only — the rest of the body needs reading by hand.</t>
        </is>
      </c>
      <c r="H204" s="3" t="inlineStr">
        <is>
          <t>Profile is profile. Status is filing status (or 'single' — when missing). Over65 is over65 (or 0 — when missing). Pre rate is rate in force(profile ?? no answer). Gross annual: the pay.gross annualised added up across earners. Lands in bank: the pay.lands in bank added up across earners. First wage is earners[0].pay.gross annualised (or 0 — when missing). Band on one wage is marginal bracket for(first wage, status, over65). Band on every wage is marginal bracket for(gross annual, status, over65). Band note is no answer. Wrong is (gross annual times band on one wage) divided by 12. Only the first steps are shown; the rest of the body needs reading by hand.</t>
        </is>
      </c>
      <c r="I204" s="3" t="inlineStr">
        <is>
          <t>PARTLY READ — some of the code is still showing through; needs a hand pass</t>
        </is>
      </c>
      <c r="J204" s="3" t="inlineStr">
        <is>
          <t>h: HouseholdPayInput</t>
        </is>
      </c>
      <c r="K204" s="3" t="inlineStr">
        <is>
          <t>BasePay</t>
        </is>
      </c>
      <c r="L204" s="3" t="inlineStr">
        <is>
          <t>1. "Calculated federal tax" — on the base pay screen
2. "Everything else taken out" — on the base pay screen
3. "Federal tax bracket" — on the base pay screen
4. "Gross /year" — on the base pay screen
5. "Nothing is taken out for a 401(k)" — on the base pay screen
6. "Your 401(k)s" — on the base pay screen</t>
        </is>
      </c>
      <c r="M204" s="3" t="inlineStr">
        <is>
          <t>1. If over65 is missing it uses 0.
2. If gross annualised is missing it uses 0.
3. Uses a built-in f i c a s h a r e of 7.65%.
4. Treats a year as twelve equal months.
5. Rounds the answer to a whole number.</t>
        </is>
      </c>
      <c r="N204" s="3" t="inlineStr">
        <is>
          <t>Yes</t>
        </is>
      </c>
      <c r="O204" s="3" t="inlineStr">
        <is>
          <t>1. MK-ST-F-035 covers
2. MK-CF-F-171 earnerPay
3. MK-CF-F-204 line
4. MK-CF-F-132 map
5. MK-CF-F-103 marginalBracketFor
6. MK-ST-F-053 money
7. MK-HM-F-006 money0
8. MK-XS-F-122 n
9. MK-CF-F-198 payrollTaxWithheld
10. MK-CF-F-181 rateInForce</t>
        </is>
      </c>
      <c r="P204" s="3" t="n">
        <v>116</v>
      </c>
      <c r="Q204" s="3" t="inlineStr">
        <is>
          <t>1. MK-ST-F-035 covers
2. MK-CF-F-171 earnerPay
3. MK-CF-F-204 line
4. MK-CF-F-132 map
5. MK-CF-F-103 marginalBracketFor
6. MK-ST-F-053 money
7. MK-HM-F-006 money0
8. MK-XS-F-122 n
9. MK-CF-F-198 payrollTaxWithheld
10. MK-CF-F-181 rateInForce
11. MK-ST-F-034 firstDate
12. MK-CF-F-143 annualisedGross
13. MK-CF-F-145 deductionsFromPay
14. MK-CF-F-128 grossByMonth
15. MK-CF-F-146 payFiguresAgree
16. MK-CF-F-144 takeHomeAsEntered
17. MK-ST-F-052 toNum
18. MK-CF-F-203 MONTH
19. MK-XS-F-180 declareFigures
20. MK-CF-F-100 taxableIncomeFor
21. MK-ST-F-049 formatMoney
22. MK-CF-F-155 cash
23. MK-HM-F-005 pctTxt
24. MK-CF-F-173 earnerWages
25. MK-CF-F-180 enteredLandsAnnual
26. MK-CF-F-085 filingStatusOf
27. MK-CF-F-206 householdK401ByMonth
28. MK-CF-F-089 over65CountOf
29. MK-CF-F-082 salaryAnnual
30. MK-CF-F-086 stateRateOf
31. MK-CF-F-101 taxOwedFor
32. MK-CF-F-084 taxableAnnual
33. MK-CF-F-142 monthsOf
34. MK-CF-F-141 perMonth
35. MK-ST-F-056 has
36. MK-ST-F-039 on
37. MK-CF-O-010 theMonth
38. MK-CF-F-099 deductionFor
39. MK-ST-F-048 currencySymbol
40. MK-CF-F-172 hasWage
41. MK-CF-F-176 sumMonthsOverEarners
42. MK-CF-F-177 wageGrossByMonth
43. MK-CF-F-060 salaryGrossByMonth
44. MK-CF-F-072 currentRetirementIncomeMonthly
45. MK-CF-F-071 extraIncome
46. MK-CF-F-068 rentalNetAnnual
47. MK-CF-F-066 rsuAnnual
48. MK-CF-F-074 tipsAnnual
49. MK-CF-F-140 periodsAYear
50. MK-CF-O-002 expenses
51. MK-CF-O-003 thisMonth
52. MK-CF-F-187 seniorDeductionFor
53. MK-ST-F-047 activeCurrency
54. MK-CF-F-130 enteredMonthlyRaw
55. MK-CF-F-166 hasMonthlySalaryTable
56. MK-ST-F-036 reconcile
57. MK-CF-F-167 salaryCalendarYear
58. MK-CF-F-075 retirementIncomeMonthly
59. MK-CF-F-070 benefitAnnual
60. MK-CF-F-067 rentalList
61. MK-CF-F-062 equityRowValue
62. MK-CF-F-063 rowVestYear
63. MK-CF-F-081 salaryActiveMonths
64. MK-CF-F-151 actualSpending
65. MK-CF-F-150 debtPaymentsCountedAsExpenses
66. MK-CF-F-153 radar
67. MK-CF-F-149 recurringDebtPayments
68. MK-CF-F-005 actualMonthFlow
69. MK-CF-F-156 plannedMonthFlow
70. MK-CF-F-165 salaryMonths
71. MK-CF-F-069 benefitActiveMonths
72. MK-CF-F-148 inMonth
73. MK-CF-F-191 ym
74. MK-CF-F-022 paymentShape
75. MK-CF-F-152 isRadarItem
76. MK-CF-F-023 requiredPayment
77. MK-NW-F-078 ONE
78. MK-CF-F-157 debtPaymentsByDebt
79. MK-CF-F-192 inflowLabel
80. MK-XS-F-027 takeHomeMonthly
81. MK-CF-F-021 defaultPaymentType
82. MK-NW-F-077 ALL
83. MK-NW-F-059 currentYield
84. MK-NW-O-001 theBonds
85. MK-CF-F-193 inflowSourceWord
86. MK-CF-F-092 incomeMonthlyGrid
87. MK-CF-F-011 savingsByMonth
88. MK-NW-F-057 annualCoupon
89. MK-ST-F-027 accountId
90. MK-NW-F-056 bondInfo
91. MK-NW-F-064 bondRateSensitivity
92. MK-NW-F-061 bondSummary
93. MK-NW-F-055 isBond
94. MK-NW-F-072 rowOf
95. MK-CF-F-065 equityVestWeights
96. MK-CF-F-087 monthlyTaxRates
97. MK-CF-F-073 otherIncomeMonth
98. MK-CF-F-077 scholarshipByCalendarMonth
99. MK-CF-F-088 taxableByCalendarMonth
100. MK-PL-F-012 waterfall
101. MK-CF-F-008 spendByMonth
102. MK-NW-F-060 approxYTM
103. MK-NW-F-069 priceAtYield
104. MK-NW-F-011 assetClassOf
105. MK-NW-F-070 accruedInterestCaveat
106. MK-NW-F-071 isCertificateOfDeposit
107. MK-NW-F-058 yearsToMaturity
108. MK-CF-F-090 effectiveRate
109. MK-CF-F-120 pctBaseMonthly
110. MK-CF-F-004 spendBuckets
111. MK-NW-F-008 incomeBearingClassOf
112. MK-CF-F-003 categoryMonthly
113. MK-ST-F-010 nameEvidence
114. MK-XS-F-147 call
115. MK-XS-F-064 currentIdToken
116. MK-XS-F-112 relayUrl</t>
        </is>
      </c>
      <c r="R204" s="3" t="inlineStr">
        <is>
          <t>1. MK-ST-F-034 firstDate → MK-ST-F-035 covers → MK-CF-O-001 basePay
2. MK-ST-F-035 covers → MK-CF-F-142 monthsOf → MK-CF-F-128 grossByMonth → MK-CF-F-143 annualisedGross → MK-CF-F-171 earnerPay → MK-CF-O-001 basePay
3. MK-CF-F-132 map → MK-CF-F-142 monthsOf → MK-CF-F-128 grossByMonth → MK-CF-F-143 annualisedGross → MK-CF-F-171 earnerPay → MK-CF-O-001 basePay
4. MK-ST-F-052 toNum → MK-CF-F-142 monthsOf → MK-CF-F-128 grossByMonth → MK-CF-F-143 annualisedGross → MK-CF-F-171 earnerPay → MK-CF-O-001 basePay
5. MK-CF-F-140 periodsAYear → MK-CF-F-141 perMonth → MK-CF-F-128 grossByMonth → MK-CF-F-143 annualisedGross → MK-CF-F-171 earnerPay → MK-CF-O-001 basePay
6. MK-ST-F-052 toNum → MK-CF-F-141 perMonth → MK-CF-F-128 grossByMonth → MK-CF-F-143 annualisedGross → MK-CF-F-171 earnerPay → MK-CF-O-001 basePay
7. MK-CF-F-142 monthsOf → MK-CF-F-128 grossByMonth → MK-CF-F-143 annualisedGross → MK-CF-F-145 deductionsFromPay → MK-CF-F-171 earnerPay → MK-CF-O-001 basePay
8. MK-CF-F-141 perMonth → MK-CF-F-128 grossByMonth → MK-CF-F-143 annualisedGross → MK-CF-F-145 deductionsFromPay → MK-CF-F-171 earnerPay → MK-CF-O-001 basePay
9. … and 5 more paths</t>
        </is>
      </c>
      <c r="S204" s="3" t="inlineStr">
        <is>
          <t>MK-CF-M-030 · MK-CF-M-031 · MK-CF-M-032 · MK-CF-M-033 · MK-CF-M-034 · MK-CF-M-035 · MK-CF-M-036 · MK-CF-M-045 · MK-CF-M-046</t>
        </is>
      </c>
      <c r="T204" s="3" t="inlineStr">
        <is>
          <t>—</t>
        </is>
      </c>
      <c r="U204" s="3" t="inlineStr">
        <is>
          <t>ACTIVE</t>
        </is>
      </c>
      <c r="V204" s="3" t="inlineStr">
        <is>
          <t>2026-09-09</t>
        </is>
      </c>
      <c r="W204" s="3" t="n"/>
      <c r="X204" s="3" t="n"/>
      <c r="Y204" s="6" t="inlineStr">
        <is>
          <t>TESTED, NOT VERIFIED (G37, G38, G4, G41, G42, G45)</t>
        </is>
      </c>
    </row>
    <row r="205" ht="60" customHeight="1">
      <c r="A205" s="3" t="inlineStr">
        <is>
          <t>MK-CF-O-002</t>
        </is>
      </c>
      <c r="B205" s="3" t="inlineStr">
        <is>
          <t>expenses</t>
        </is>
      </c>
      <c r="C205" s="3" t="inlineStr">
        <is>
          <t>MoneyKeel/functions/cashflow/expenses.ts</t>
        </is>
      </c>
      <c r="D205" s="3" t="n">
        <v>344</v>
      </c>
      <c r="E205" s="3" t="inlineStr">
        <is>
          <t>2 · DISPLAYED</t>
        </is>
      </c>
      <c r="F205" s="3" t="inlineStr">
        <is>
          <t>What is being spent this month: the debts that repeat every month, the planned expenses by category, what was actually spent by where it came from, and the big-ticket radar?</t>
        </is>
      </c>
      <c r="G205" s="11" t="inlineStr">
        <is>
          <t>rec = recurring debt payments(s)
act = actual expenses(s)
debt exp = debt payments counted as expenses(s, purchases captured)</t>
        </is>
      </c>
      <c r="H205" s="3" t="inlineStr">
        <is>
          <t>Rec is recurring debt payments(s). Act is actual expenses(s). Debt exp is debt payments counted as expenses(s, purchases captured).</t>
        </is>
      </c>
      <c r="I205" s="3" t="inlineStr">
        <is>
          <t>READ FROM THE CODE — rendered from the expressions the function runs</t>
        </is>
      </c>
      <c r="J205" s="3" t="inlineStr">
        <is>
          <t>1. s: ExpensesInput
2. purchasesCaptured: Set&lt;string&gt; = new Set()</t>
        </is>
      </c>
      <c r="K205" s="3" t="inlineStr">
        <is>
          <t>Expenses</t>
        </is>
      </c>
      <c r="L205" s="3" t="inlineStr">
        <is>
          <t>NOT FOUND — a screen calls it, but the words printed beside its answer could not be traced automatically. Needs reading.</t>
        </is>
      </c>
      <c r="M205" s="3" t="inlineStr">
        <is>
          <t>None found in this function — anything it assumes comes from the functions it depends on.</t>
        </is>
      </c>
      <c r="N205" s="3" t="inlineStr">
        <is>
          <t>Yes</t>
        </is>
      </c>
      <c r="O205" s="3" t="inlineStr">
        <is>
          <t>1. MK-CF-F-151 actualSpending
2. MK-CF-F-150 debtPaymentsCountedAsExpenses
3. MK-CF-F-153 radar
4. MK-CF-F-149 recurringDebtPayments</t>
        </is>
      </c>
      <c r="P205" s="3" t="n">
        <v>14</v>
      </c>
      <c r="Q205" s="3" t="inlineStr">
        <is>
          <t>1. MK-CF-F-151 actualSpending
2. MK-CF-F-150 debtPaymentsCountedAsExpenses
3. MK-CF-F-153 radar
4. MK-CF-F-149 recurringDebtPayments
5. MK-CF-F-148 inMonth
6. MK-ST-F-052 toNum
7. MK-CF-F-191 ym
8. MK-ST-F-056 has
9. MK-CF-F-022 paymentShape
10. MK-CF-F-152 isRadarItem
11. MK-CF-F-023 requiredPayment
12. MK-CF-F-132 map
13. MK-XS-F-122 n
14. MK-CF-F-021 defaultPaymentType</t>
        </is>
      </c>
      <c r="R205" s="3" t="inlineStr">
        <is>
          <t>1. MK-CF-F-191 ym → MK-CF-F-148 inMonth → MK-CF-F-151 actualSpending → MK-CF-O-002 expenses
2. MK-XS-F-122 n → MK-ST-F-052 toNum → MK-CF-F-151 actualSpending → MK-CF-O-002 expenses
3. MK-CF-F-191 ym → MK-CF-F-151 actualSpending → MK-CF-O-002 expenses
4. MK-ST-F-056 has → MK-CF-F-150 debtPaymentsCountedAsExpenses → MK-CF-O-002 expenses
5. MK-CF-F-191 ym → MK-CF-F-148 inMonth → MK-CF-F-150 debtPaymentsCountedAsExpenses → MK-CF-O-002 expenses
6. MK-CF-F-021 defaultPaymentType → MK-CF-F-022 paymentShape → MK-CF-F-150 debtPaymentsCountedAsExpenses → MK-CF-O-002 expenses
7. MK-XS-F-122 n → MK-ST-F-052 toNum → MK-CF-F-150 debtPaymentsCountedAsExpenses → MK-CF-O-002 expenses
8. MK-CF-F-191 ym → MK-CF-F-150 debtPaymentsCountedAsExpenses → MK-CF-O-002 expenses
9. … and 5 more paths</t>
        </is>
      </c>
      <c r="S205" s="3" t="inlineStr">
        <is>
          <t>—</t>
        </is>
      </c>
      <c r="T205" s="3" t="inlineStr">
        <is>
          <t>—</t>
        </is>
      </c>
      <c r="U205" s="3" t="inlineStr">
        <is>
          <t>DECOMMISSIONED 2026-09-28 — it was here and is not any more. Kept so the number is never reused and earlier work can still be traced.</t>
        </is>
      </c>
      <c r="V205" s="3" t="inlineStr">
        <is>
          <t>2026-09-28</t>
        </is>
      </c>
      <c r="W205" s="3" t="n"/>
      <c r="X205" s="3" t="n"/>
      <c r="Y205" s="9" t="inlineStr">
        <is>
          <t>CODED, NOT TESTED (Cash-flow worked example)</t>
        </is>
      </c>
    </row>
    <row r="206" ht="60" customHeight="1">
      <c r="A206" s="3" t="inlineStr">
        <is>
          <t>MK-CF-O-003</t>
        </is>
      </c>
      <c r="B206" s="3" t="inlineStr">
        <is>
          <t>thisMonth</t>
        </is>
      </c>
      <c r="C206" s="3" t="inlineStr">
        <is>
          <t>MoneyKeel/functions/cashflow/this-month.ts</t>
        </is>
      </c>
      <c r="D206" s="3" t="n">
        <v>661</v>
      </c>
      <c r="E206" s="3" t="inlineStr">
        <is>
          <t>3 · DEPENDENT</t>
        </is>
      </c>
      <c r="F206" s="3" t="inlineStr">
        <is>
          <t>How is the month going: what the plan says it holds and what has actually happened so far, each row by row and each ending in its surplus?</t>
        </is>
      </c>
      <c r="G206" s="11" t="inlineStr">
        <is>
          <t>planned = planned month flow(m)
actual = actual month flow(m)</t>
        </is>
      </c>
      <c r="H206" s="3" t="inlineStr">
        <is>
          <t>planned = planned month flow(m); actual = actual month flow(m).</t>
        </is>
      </c>
      <c r="I206" s="3" t="inlineStr">
        <is>
          <t>READ FROM THE CODE — rendered from the expressions the function runs</t>
        </is>
      </c>
      <c r="J206" s="3" t="inlineStr">
        <is>
          <t>m: MonthInput</t>
        </is>
      </c>
      <c r="K206" s="3" t="inlineStr">
        <is>
          <t>ThisMonth</t>
        </is>
      </c>
      <c r="L206" s="3" t="inlineStr">
        <is>
          <t>—</t>
        </is>
      </c>
      <c r="M206" s="3" t="inlineStr">
        <is>
          <t>None found in this function — anything it assumes comes from the functions it depends on.</t>
        </is>
      </c>
      <c r="N206" s="3" t="inlineStr">
        <is>
          <t>Yes</t>
        </is>
      </c>
      <c r="O206" s="3" t="inlineStr">
        <is>
          <t>1. MK-CF-F-005 actualMonthFlow
2. MK-CF-F-156 plannedMonthFlow</t>
        </is>
      </c>
      <c r="P206" s="3" t="n">
        <v>99</v>
      </c>
      <c r="Q206" s="3" t="inlineStr">
        <is>
          <t>1. MK-CF-F-005 actualMonthFlow
2. MK-CF-F-156 plannedMonthFlow
3. MK-NW-F-078 ONE
4. MK-CF-F-155 cash
5. MK-CF-F-157 debtPaymentsByDebt
6. MK-CF-F-148 inMonth
7. MK-CF-F-192 inflowLabel
8. MK-CF-F-152 isRadarItem
9. MK-CF-F-023 requiredPayment
10. MK-XS-F-027 takeHomeMonthly
11. MK-ST-F-052 toNum
12. MK-CF-F-191 ym
13. MK-NW-F-077 ALL
14. MK-NW-F-059 currentYield
15. MK-XS-F-180 declareFigures
16. MK-ST-F-049 formatMoney
17. MK-ST-F-053 money
18. MK-NW-O-001 theBonds
19. MK-XS-F-122 n
20. MK-CF-F-203 MONTH
21. MK-CF-F-132 map
22. MK-CF-F-193 inflowSourceWord
23. MK-CF-F-022 paymentShape
24. MK-CF-F-092 incomeMonthlyGrid
25. MK-CF-F-011 savingsByMonth
26. MK-NW-F-057 annualCoupon
27. MK-ST-F-048 currencySymbol
28. MK-ST-F-039 on
29. MK-ST-F-027 accountId
30. MK-NW-F-056 bondInfo
31. MK-NW-F-064 bondRateSensitivity
32. MK-NW-F-061 bondSummary
33. MK-NW-F-055 isBond
34. MK-NW-F-072 rowOf
35. MK-CF-O-010 theMonth
36. MK-CF-F-021 defaultPaymentType
37. MK-CF-F-069 benefitActiveMonths
38. MK-CF-F-072 currentRetirementIncomeMonthly
39. MK-CF-F-173 earnerWages
40. MK-CF-F-065 equityVestWeights
41. MK-CF-F-071 extraIncome
42. MK-ST-F-056 has
43. MK-CF-F-206 householdK401ByMonth
44. MK-CF-F-087 monthlyTaxRates
45. MK-CF-F-073 otherIncomeMonth
46. MK-CF-F-181 rateInForce
47. MK-CF-F-068 rentalNetAnnual
48. MK-CF-F-066 rsuAnnual
49. MK-CF-F-060 salaryGrossByMonth
50. MK-CF-F-077 scholarshipByCalendarMonth
51. MK-CF-F-088 taxableByCalendarMonth
52. MK-CF-F-177 wageGrossByMonth
53. MK-PL-F-012 waterfall
54. MK-CF-F-008 spendByMonth
55. MK-ST-F-047 activeCurrency
56. MK-NW-F-060 approxYTM
57. MK-NW-F-069 priceAtYield
58. MK-NW-F-011 assetClassOf
59. MK-NW-F-070 accruedInterestCaveat
60. MK-NW-F-071 isCertificateOfDeposit
61. MK-NW-F-058 yearsToMaturity
62. MK-CF-O-002 expenses
63. MK-CF-F-075 retirementIncomeMonthly
64. MK-CF-F-172 hasWage
65. MK-CF-F-062 equityRowValue
66. MK-CF-F-070 benefitAnnual
67. MK-CF-F-176 sumMonthsOverEarners
68. MK-CF-F-090 effectiveRate
69. MK-CF-F-180 enteredLandsAnnual
70. MK-CF-F-085 filingStatusOf
71. MK-CF-F-089 over65CountOf
72. MK-CF-F-082 salaryAnnual
73. MK-CF-F-086 stateRateOf
74. MK-CF-F-101 taxOwedFor
75. MK-CF-F-084 taxableAnnual
76. MK-CF-F-067 rentalList
77. MK-CF-F-063 rowVestYear
78. MK-CF-F-130 enteredMonthlyRaw
79. MK-CF-F-166 hasMonthlySalaryTable
80. MK-ST-F-036 reconcile
81. MK-CF-F-167 salaryCalendarYear
82. MK-CF-F-120 pctBaseMonthly
83. MK-CF-F-004 spendBuckets
84. MK-NW-F-008 incomeBearingClassOf
85. MK-CF-F-151 actualSpending
86. MK-CF-F-150 debtPaymentsCountedAsExpenses
87. MK-CF-F-153 radar
88. MK-CF-F-149 recurringDebtPayments
89. MK-CF-F-100 taxableIncomeFor
90. MK-CF-F-074 tipsAnnual
91. MK-CF-F-165 salaryMonths
92. MK-CF-F-003 categoryMonthly
93. MK-ST-F-010 nameEvidence
94. MK-CF-F-099 deductionFor
95. MK-CF-F-081 salaryActiveMonths
96. MK-XS-F-147 call
97. MK-CF-F-187 seniorDeductionFor
98. MK-XS-F-064 currentIdToken
99. MK-XS-F-112 relayUrl</t>
        </is>
      </c>
      <c r="R206" s="3" t="inlineStr">
        <is>
          <t>1. MK-ST-F-027 accountId → MK-NW-O-001 theBonds → MK-NW-F-077 ALL → MK-NW-F-078 ONE → MK-CF-F-005 actualMonthFlow → MK-CF-O-003 thisMonth
2. MK-NW-F-057 annualCoupon → MK-NW-O-001 theBonds → MK-NW-F-077 ALL → MK-NW-F-078 ONE → MK-CF-F-005 actualMonthFlow → MK-CF-O-003 thisMonth
3. MK-NW-F-056 bondInfo → MK-NW-O-001 theBonds → MK-NW-F-077 ALL → MK-NW-F-078 ONE → MK-CF-F-005 actualMonthFlow → MK-CF-O-003 thisMonth
4. MK-NW-F-064 bondRateSensitivity → MK-NW-O-001 theBonds → MK-NW-F-077 ALL → MK-NW-F-078 ONE → MK-CF-F-005 actualMonthFlow → MK-CF-O-003 thisMonth
5. MK-NW-F-061 bondSummary → MK-NW-O-001 theBonds → MK-NW-F-077 ALL → MK-NW-F-078 ONE → MK-CF-F-005 actualMonthFlow → MK-CF-O-003 thisMonth
6. MK-NW-F-055 isBond → MK-NW-O-001 theBonds → MK-NW-F-077 ALL → MK-NW-F-078 ONE → MK-CF-F-005 actualMonthFlow → MK-CF-O-003 thisMonth
7. MK-CF-F-132 map → MK-NW-O-001 theBonds → MK-NW-F-077 ALL → MK-NW-F-078 ONE → MK-CF-F-005 actualMonthFlow → MK-CF-O-003 thisMonth
8. MK-NW-F-072 rowOf → MK-NW-O-001 theBonds → MK-NW-F-077 ALL → MK-NW-F-078 ONE → MK-CF-F-005 actualMonthFlow → MK-CF-O-003 thisMonth
9. … and 5 more paths</t>
        </is>
      </c>
      <c r="S206" s="3" t="inlineStr">
        <is>
          <t>MK-CF-M-047 · MK-CF-M-048 · MK-CF-M-049 · MK-CF-M-050 · MK-CF-M-051 · MK-CF-M-052 · MK-CF-M-053 · MK-CF-M-054</t>
        </is>
      </c>
      <c r="T206" s="3" t="inlineStr">
        <is>
          <t>—</t>
        </is>
      </c>
      <c r="U206" s="3" t="inlineStr">
        <is>
          <t>ACTIVE</t>
        </is>
      </c>
      <c r="V206" s="3" t="inlineStr">
        <is>
          <t>2026-09-28</t>
        </is>
      </c>
      <c r="W206" s="3" t="n"/>
      <c r="X206" s="3" t="n"/>
      <c r="Y206" s="9" t="inlineStr">
        <is>
          <t>CODED, NOT TESTED (Cash-flow worked example)</t>
        </is>
      </c>
    </row>
    <row r="207" ht="60" customHeight="1">
      <c r="A207" s="3" t="inlineStr">
        <is>
          <t>MK-CF-O-004</t>
        </is>
      </c>
      <c r="B207" s="3" t="inlineStr">
        <is>
          <t>incomeSummary</t>
        </is>
      </c>
      <c r="C207" s="3" t="inlineStr">
        <is>
          <t>MoneyKeel/functions/cashflow/income-summary.ts</t>
        </is>
      </c>
      <c r="D207" s="3" t="n">
        <v>594</v>
      </c>
      <c r="E207" s="3" t="inlineStr">
        <is>
          <t>2 · DISPLAYED</t>
        </is>
      </c>
      <c r="F207" s="3" t="inlineStr">
        <is>
          <t>What is this household's income: what reaches the bank each month, and what the year is taxed on?</t>
        </is>
      </c>
      <c r="G207" s="11" t="inlineStr">
        <is>
          <t>a = op (or none when missing)
wages = earner wages(op as any)
inf = rate in force(op as any)
r = inf.rate, theirs = inf.mine
after tax = (x: number) =&gt; x × (1 − r)
steady pay = salary gross by month(op as any).every((m) =&gt; m &gt; 0)
tips = tips monthly read as a number (0 when it is not one)   if steady pay
0   otherwise
self employed = to num(se amount) ÷ 12   if se freq = 'annual'
se amount read as a number (0 when it is not one)   otherwise
rent = rental net annual(op as any) ÷ 12
inv monthly = to num(inv annual) ÷ 12
guaranteed = current retirement income monthly(op as any)
… the first steps only — the rest of the body needs reading by hand.</t>
        </is>
      </c>
      <c r="H207" s="3" t="inlineStr">
        <is>
          <t>A is op (or none — when missing). Wages is earner wages(op as any). Inf is rate in force(op as any). R is inf.rate, theirs = inf.mine. After tax is (x: number) =&gt; x times (1 minus r). Steady pay is salary gross by month(op as any).every((m) =&gt; m &gt; 0). Tips is tips monthly read as a number (0 when it is one is missing) — when steady pay; 0 — otherwise. Self employed is to num(se amount) divided by 12 — when se freq = 'annual'; se amount read as a number (0 — when it is one is missing) — otherwise. Rent is rental net annual(op as any) divided by 12. Inv monthly is to num(inv annual) divided by 12. Guaranteed is current retirement income monthly(op as any). Only the first steps are shown; the rest of the body needs reading by hand.</t>
        </is>
      </c>
      <c r="I207" s="3" t="inlineStr">
        <is>
          <t>PARTLY READ — some of the code is still showing through; needs a hand pass</t>
        </is>
      </c>
      <c r="J207" s="3" t="inlineStr">
        <is>
          <t>op: Record&lt;string, any&gt; | null</t>
        </is>
      </c>
      <c r="K207" s="3" t="inlineStr">
        <is>
          <t>IncomeSummary</t>
        </is>
      </c>
      <c r="L207" s="3" t="inlineStr">
        <is>
          <t>1. "Add your income ›" — on the income summary screen
2. "Federal tax bracket" — on the income summary screen
3. "Take-home each month" — on the income summary screen
4. "What it is taxed on" — on the income summary screen</t>
        </is>
      </c>
      <c r="M207" s="3" t="inlineStr">
        <is>
          <t>· Rounds the answer to a whole number.</t>
        </is>
      </c>
      <c r="N207" s="3" t="inlineStr">
        <is>
          <t>Yes</t>
        </is>
      </c>
      <c r="O207" s="3" t="inlineStr">
        <is>
          <t>1. MK-CF-F-203 MONTH
2. MK-CF-O-001 basePay
3. MK-CF-F-069 benefitActiveMonths
4. MK-CF-F-072 currentRetirementIncomeMonthly
5. MK-CF-F-173 earnerWages
6. MK-CF-F-179 entryFromWage
7. MK-CF-F-071 extraIncome
8. MK-CF-F-085 filingStatusOf
9. MK-CF-F-092 incomeMonthlyGrid
10. MK-CF-F-192 inflowLabel
11. MK-CF-F-132 map
12. MK-CF-F-103 marginalBracketFor
13. MK-CF-F-089 over65CountOf
14. MK-CF-F-181 rateInForce
15. MK-CF-F-068 rentalNetAnnual
16. MK-CF-F-082 salaryAnnual
17. MK-CF-F-060 salaryGrossByMonth
18. MK-CF-F-084 taxableAnnual
19. MK-ST-F-052 toNum</t>
        </is>
      </c>
      <c r="P207" s="3" t="n">
        <v>118</v>
      </c>
      <c r="Q207" s="3" t="inlineStr">
        <is>
          <t>1. MK-CF-F-203 MONTH
2. MK-CF-O-001 basePay
3. MK-CF-F-069 benefitActiveMonths
4. MK-CF-F-072 currentRetirementIncomeMonthly
5. MK-CF-F-173 earnerWages
6. MK-CF-F-179 entryFromWage
7. MK-CF-F-071 extraIncome
8. MK-CF-F-085 filingStatusOf
9. MK-CF-F-092 incomeMonthlyGrid
10. MK-CF-F-192 inflowLabel
11. MK-CF-F-132 map
12. MK-CF-F-103 marginalBracketFor
13. MK-CF-F-089 over65CountOf
14. MK-CF-F-181 rateInForce
15. MK-CF-F-068 rentalNetAnnual
16. MK-CF-F-082 salaryAnnual
17. MK-CF-F-060 salaryGrossByMonth
18. MK-CF-F-084 taxableAnnual
19. MK-ST-F-052 toNum
20. MK-CF-O-010 theMonth
21. MK-ST-F-035 covers
22. MK-CF-F-171 earnerPay
23. MK-CF-F-204 line
24. MK-ST-F-053 money
25. MK-HM-F-006 money0
26. MK-XS-F-122 n
27. MK-CF-F-198 payrollTaxWithheld
28. MK-CF-F-075 retirementIncomeMonthly
29. MK-CF-F-172 hasWage
30. MK-CF-F-165 salaryMonths
31. MK-CF-F-070 benefitAnnual
32. MK-ST-F-039 on
33. MK-CF-F-065 equityVestWeights
34. MK-ST-F-056 has
35. MK-CF-F-206 householdK401ByMonth
36. MK-CF-F-087 monthlyTaxRates
37. MK-CF-F-073 otherIncomeMonth
38. MK-CF-F-066 rsuAnnual
39. MK-CF-F-077 scholarshipByCalendarMonth
40. MK-CF-F-088 taxableByCalendarMonth
41. MK-CF-F-177 wageGrossByMonth
42. MK-PL-F-012 waterfall
43. MK-CF-F-193 inflowSourceWord
44. MK-CF-F-100 taxableIncomeFor
45. MK-CF-F-180 enteredLandsAnnual
46. MK-CF-F-086 stateRateOf
47. MK-CF-F-101 taxOwedFor
48. MK-CF-O-002 expenses
49. MK-CF-F-067 rentalList
50. MK-CF-F-176 sumMonthsOverEarners
51. MK-CF-F-074 tipsAnnual
52. MK-CF-F-155 cash
53. MK-CF-O-003 thisMonth
54. MK-ST-F-034 firstDate
55. MK-CF-F-143 annualisedGross
56. MK-CF-F-145 deductionsFromPay
57. MK-CF-F-128 grossByMonth
58. MK-CF-F-146 payFiguresAgree
59. MK-CF-F-144 takeHomeAsEntered
60. MK-XS-F-180 declareFigures
61. MK-ST-F-049 formatMoney
62. MK-HM-F-005 pctTxt
63. MK-CF-F-062 equityRowValue
64. MK-CF-F-090 effectiveRate
65. MK-CF-F-063 rowVestYear
66. MK-CF-F-130 enteredMonthlyRaw
67. MK-CF-F-166 hasMonthlySalaryTable
68. MK-ST-F-036 reconcile
69. MK-CF-F-167 salaryCalendarYear
70. MK-CF-F-099 deductionFor
71. MK-CF-F-151 actualSpending
72. MK-CF-F-150 debtPaymentsCountedAsExpenses
73. MK-CF-F-153 radar
74. MK-CF-F-149 recurringDebtPayments
75. MK-CF-F-081 salaryActiveMonths
76. MK-CF-F-005 actualMonthFlow
77. MK-CF-F-156 plannedMonthFlow
78. MK-CF-F-142 monthsOf
79. MK-CF-F-141 perMonth
80. MK-ST-F-048 currencySymbol
81. MK-CF-F-187 seniorDeductionFor
82. MK-CF-F-148 inMonth
83. MK-CF-F-191 ym
84. MK-CF-F-022 paymentShape
85. MK-CF-F-152 isRadarItem
86. MK-CF-F-023 requiredPayment
87. MK-NW-F-078 ONE
88. MK-CF-F-157 debtPaymentsByDebt
89. MK-XS-F-027 takeHomeMonthly
90. MK-CF-F-140 periodsAYear
91. MK-ST-F-047 activeCurrency
92. MK-CF-F-021 defaultPaymentType
93. MK-NW-F-077 ALL
94. MK-NW-F-059 currentYield
95. MK-NW-O-001 theBonds
96. MK-CF-F-011 savingsByMonth
97. MK-NW-F-057 annualCoupon
98. MK-ST-F-027 accountId
99. MK-NW-F-056 bondInfo
100. MK-NW-F-064 bondRateSensitivity
101. MK-NW-F-061 bondSummary
102. MK-NW-F-055 isBond
103. MK-NW-F-072 rowOf
104. MK-CF-F-008 spendByMonth
105. MK-NW-F-060 approxYTM
106. MK-NW-F-069 priceAtYield
107. MK-NW-F-011 assetClassOf
108. MK-NW-F-070 accruedInterestCaveat
109. MK-NW-F-071 isCertificateOfDeposit
110. MK-NW-F-058 yearsToMaturity
111. MK-CF-F-120 pctBaseMonthly
112. MK-CF-F-004 spendBuckets
113. MK-NW-F-008 incomeBearingClassOf
114. MK-CF-F-003 categoryMonthly
115. MK-ST-F-010 nameEvidence
116. MK-XS-F-147 call
117. MK-XS-F-064 currentIdToken
118. MK-XS-F-112 relayUrl</t>
        </is>
      </c>
      <c r="R207" s="3" t="inlineStr">
        <is>
          <t>1. MONTH (already above — a loop) → MK-CF-O-010 theMonth → MK-CF-F-203 MONTH → MK-CF-O-004 incomeSummary
2. MK-XS-F-122 n → MK-CF-F-155 cash → MK-CF-O-010 theMonth → MK-CF-F-203 MONTH → MK-CF-O-004 incomeSummary
3. MK-CF-F-148 inMonth → MK-CF-F-151 actualSpending → MK-CF-O-002 expenses → MK-CF-O-010 theMonth → MK-CF-F-203 MONTH → MK-CF-O-004 incomeSummary
4. MK-ST-F-052 toNum → MK-CF-F-151 actualSpending → MK-CF-O-002 expenses → MK-CF-O-010 theMonth → MK-CF-F-203 MONTH → MK-CF-O-004 incomeSummary
5. MK-CF-F-191 ym → MK-CF-F-151 actualSpending → MK-CF-O-002 expenses → MK-CF-O-010 theMonth → MK-CF-F-203 MONTH → MK-CF-O-004 incomeSummary
6. MK-ST-F-056 has → MK-CF-F-150 debtPaymentsCountedAsExpenses → MK-CF-O-002 expenses → MK-CF-O-010 theMonth → MK-CF-F-203 MONTH → MK-CF-O-004 incomeSummary
7. MK-CF-F-148 inMonth → MK-CF-F-150 debtPaymentsCountedAsExpenses → MK-CF-O-002 expenses → MK-CF-O-010 theMonth → MK-CF-F-203 MONTH → MK-CF-O-004 incomeSummary
8. MK-CF-F-022 paymentShape → MK-CF-F-150 debtPaymentsCountedAsExpenses → MK-CF-O-002 expenses → MK-CF-O-010 theMonth → MK-CF-F-203 MONTH → MK-CF-O-004 incomeSummary
9. … and 5 more paths</t>
        </is>
      </c>
      <c r="S207" s="3" t="inlineStr">
        <is>
          <t>MK-CF-M-006 · MK-CF-M-007 · MK-CF-M-008 · MK-CF-M-009 · MK-CF-M-010 · MK-CF-M-011 · MK-CF-M-024 · MK-CF-M-027 · MK-CF-M-037 · MK-CF-M-038 · MK-CF-M-039 · MK-CF-M-040 · MK-CF-M-041 · MK-CF-M-042 · MK-CF-M-043 · MK-CF-M-044 · MK-CF-M-065 · MK-CF-M-066 · MK-CF-M-069 · MK-MN-M-011 · MK-MN-M-012 · MK-MN-M-013</t>
        </is>
      </c>
      <c r="T207" s="3" t="inlineStr">
        <is>
          <t>—</t>
        </is>
      </c>
      <c r="U207" s="3" t="inlineStr">
        <is>
          <t>ACTIVE</t>
        </is>
      </c>
      <c r="V207" s="3" t="inlineStr">
        <is>
          <t>2026-10-04</t>
        </is>
      </c>
      <c r="W207" s="3" t="n"/>
      <c r="X207" s="3" t="n"/>
      <c r="Y207" s="6" t="inlineStr">
        <is>
          <t>TESTED, NOT VERIFIED (G37, G47, G48)</t>
        </is>
      </c>
    </row>
    <row r="208" ht="60" customHeight="1">
      <c r="A208" s="3" t="inlineStr">
        <is>
          <t>MK-CF-O-005</t>
        </is>
      </c>
      <c r="B208" s="3" t="inlineStr">
        <is>
          <t>theContributionRoom</t>
        </is>
      </c>
      <c r="C208" s="3" t="inlineStr">
        <is>
          <t>MoneyKeel/functions/cashflow/contribution-room.ts</t>
        </is>
      </c>
      <c r="D208" s="3" t="n">
        <v>75</v>
      </c>
      <c r="E208" s="3" t="inlineStr">
        <is>
          <t>2 · DISPLAYED</t>
        </is>
      </c>
      <c r="F208" s="3" t="inlineStr">
        <is>
          <t>How much room is left in my 401(k), IRA and HSA this year, and what would fill it?</t>
        </is>
      </c>
      <c r="G208" s="11" t="inlineStr">
        <is>
          <t>op = input.profile (or none when missing)
num = (v: any) =&gt; (number.is finite(number(v)) ? number(v) : 0)
age = age attained in year(num(op.birth year) or nothing)
k401 = k401 headroom(age, num(op.c 401k) × 12)
ira limit = annual ira limit(age)
ira used = min(num(op.c roth) × 12, ira limit)
medicare = true   if op.medicare enrolled = 'yes'
false   if op.medicare enrolled = 'no'
nothing   otherwise   otherwise
hsa limit = annual hsa limit(age, false, medicare)
hsa used = min(num(op.c hsa) × 12, hsa limit)</t>
        </is>
      </c>
      <c r="H208" s="3" t="inlineStr">
        <is>
          <t>Op is input.profile (or none — when missing). Num is (v: any) =&gt; (number.is finite(number(v)) ? number(v) : 0). Age is age attained in year(num(op.birth year) or no answer). K401 is k401 headroom(age, num(op.c 401k) times 12). Ira limit is annual ira limit(age). Ira used: the smaller of num(op.c roth) times 12 and ira limit. Medicare is true — when op.medicare enrolled = 'yes'; false — when op.medicare enrolled = 'no'; no answer — otherwise — otherwise. Hsa limit is annual hsa limit(age, false, medicare). Hsa used: the smaller of num(op.c hsa) times 12 and hsa limit.</t>
        </is>
      </c>
      <c r="I208" s="3" t="inlineStr">
        <is>
          <t>PARTLY READ — some of the code is still showing through; needs a hand pass</t>
        </is>
      </c>
      <c r="J208" s="3" t="inlineStr">
        <is>
          <t>Nothing is handed to it</t>
        </is>
      </c>
      <c r="K208" s="3" t="inlineStr">
        <is>
          <t>NOT DECLARED — the code does not say what it gives back</t>
        </is>
      </c>
      <c r="L208" s="3" t="inlineStr">
        <is>
          <t>NOT FOUND — a screen calls it, but the words printed beside its answer could not be traced automatically. Needs reading.</t>
        </is>
      </c>
      <c r="M208" s="3" t="inlineStr">
        <is>
          <t>· Turns a monthly figure into a year by multiplying by twelve.</t>
        </is>
      </c>
      <c r="N208" s="3" t="inlineStr">
        <is>
          <t>Yes</t>
        </is>
      </c>
      <c r="O208" s="3" t="inlineStr">
        <is>
          <t>1. MK-CF-F-197 ageAttainedInYear
2. MK-CF-F-055 annualHsaLimit
3. MK-CF-F-054 annualIraLimit
4. MK-CF-F-056 k401Headroom
5. MK-CF-F-195 monthsLeftInYear
6. MK-CF-F-196 perMonthToFill</t>
        </is>
      </c>
      <c r="P208" s="3" t="n">
        <v>7</v>
      </c>
      <c r="Q208" s="3" t="inlineStr">
        <is>
          <t>1. MK-CF-F-197 ageAttainedInYear
2. MK-CF-F-055 annualHsaLimit
3. MK-CF-F-054 annualIraLimit
4. MK-CF-F-056 k401Headroom
5. MK-CF-F-195 monthsLeftInYear
6. MK-CF-F-196 perMonthToFill
7. MK-CF-F-053 annual401kLimit</t>
        </is>
      </c>
      <c r="R208" s="3" t="inlineStr">
        <is>
          <t>1. MK-CF-F-197 ageAttainedInYear → MK-CF-O-005 theContributionRoom
2. MK-CF-F-055 annualHsaLimit → MK-CF-O-005 theContributionRoom
3. MK-CF-F-054 annualIraLimit → MK-CF-O-005 theContributionRoom
4. MK-CF-F-053 annual401kLimit → MK-CF-F-056 k401Headroom → MK-CF-O-005 theContributionRoom
5. MK-CF-F-195 monthsLeftInYear → MK-CF-O-005 theContributionRoom
6. MK-CF-F-195 monthsLeftInYear → MK-CF-F-196 perMonthToFill → MK-CF-O-005 theContributionRoom</t>
        </is>
      </c>
      <c r="S208" s="3" t="inlineStr">
        <is>
          <t>—</t>
        </is>
      </c>
      <c r="T208" s="3" t="inlineStr">
        <is>
          <t>—</t>
        </is>
      </c>
      <c r="U208" s="3" t="inlineStr">
        <is>
          <t>ACTIVE</t>
        </is>
      </c>
      <c r="V208" s="3" t="inlineStr">
        <is>
          <t>2026-09-28</t>
        </is>
      </c>
      <c r="W208" s="3" t="n"/>
      <c r="X208" s="3" t="n"/>
      <c r="Y208" s="3" t="inlineStr">
        <is>
          <t>NOTHING OPEN</t>
        </is>
      </c>
    </row>
    <row r="209" ht="60" customHeight="1">
      <c r="A209" s="3" t="inlineStr">
        <is>
          <t>MK-CF-O-006</t>
        </is>
      </c>
      <c r="B209" s="3" t="inlineStr">
        <is>
          <t>theCreditLine</t>
        </is>
      </c>
      <c r="C209" s="3" t="inlineStr">
        <is>
          <t>MoneyKeel/functions/cashflow/credit-line.ts</t>
        </is>
      </c>
      <c r="D209" s="3" t="n">
        <v>59</v>
      </c>
      <c r="E209" s="3" t="inlineStr">
        <is>
          <t>2 · DISPLAYED</t>
        </is>
      </c>
      <c r="F209" s="3" t="inlineStr">
        <is>
          <t>How much of my credit limit am I using?</t>
        </is>
      </c>
      <c r="G209" s="11" t="inlineStr">
        <is>
          <t>balance = input.balance (or 0 when missing or zero)
limit = input.limit (or 0 when missing or zero)
balance = balance
limit = limit
used = nothing
status = nothing   when not (limit &gt; 0)
u = credit utilization(balance, limit)
the answer:
balance = balance
limit = limit
used = ratio
status = status</t>
        </is>
      </c>
      <c r="H209" s="3" t="inlineStr">
        <is>
          <t>Balance is input.balance (or 0 — when missing or zero). Limit is input.limit (or 0 — when missing or zero). When not (limit &gt; 0), it answers balance = balance; limit = limit; used is missing; status is missing. U is credit utilization(balance, limit). The answer is balance = balance; limit = limit; used = ratio; status = status.</t>
        </is>
      </c>
      <c r="I209" s="3" t="inlineStr">
        <is>
          <t>PARTLY READ — some of the code is still showing through; needs a hand pass</t>
        </is>
      </c>
      <c r="J209" s="3" t="inlineStr">
        <is>
          <t>input: { balance: number; limit: number }</t>
        </is>
      </c>
      <c r="K209" s="3" t="inlineStr">
        <is>
          <t>CreditLine</t>
        </is>
      </c>
      <c r="L209" s="3" t="inlineStr">
        <is>
          <t>NOT FOUND — a screen calls it, but the words printed beside its answer could not be traced automatically. Needs reading.</t>
        </is>
      </c>
      <c r="M209" s="3" t="inlineStr">
        <is>
          <t>1. If balance is missing it counts as zero, so nothing recorded and a real zero look the same.
2. If limit is missing it counts as zero, so nothing recorded and a real zero look the same.</t>
        </is>
      </c>
      <c r="N209" s="3" t="inlineStr">
        <is>
          <t>Yes</t>
        </is>
      </c>
      <c r="O209" s="3" t="inlineStr">
        <is>
          <t>1. MK-CF-F-031 creditUtilization
2. MK-CF-F-204 line</t>
        </is>
      </c>
      <c r="P209" s="3" t="n">
        <v>102</v>
      </c>
      <c r="Q209" s="3" t="inlineStr">
        <is>
          <t>1. MK-CF-F-031 creditUtilization
2. MK-CF-F-204 line
3. MK-CF-F-203 MONTH
4. MK-XS-F-180 declareFigures
5. MK-CF-O-010 theMonth
6. MK-CF-F-155 cash
7. MK-CF-O-002 expenses
8. MK-CF-O-003 thisMonth
9. MK-XS-F-122 n
10. MK-CF-F-151 actualSpending
11. MK-CF-F-150 debtPaymentsCountedAsExpenses
12. MK-CF-F-153 radar
13. MK-CF-F-149 recurringDebtPayments
14. MK-CF-F-005 actualMonthFlow
15. MK-CF-F-156 plannedMonthFlow
16. MK-CF-F-148 inMonth
17. MK-ST-F-052 toNum
18. MK-CF-F-191 ym
19. MK-ST-F-056 has
20. MK-CF-F-022 paymentShape
21. MK-CF-F-152 isRadarItem
22. MK-CF-F-023 requiredPayment
23. MK-CF-F-132 map
24. MK-NW-F-078 ONE
25. MK-CF-F-157 debtPaymentsByDebt
26. MK-CF-F-192 inflowLabel
27. MK-XS-F-027 takeHomeMonthly
28. MK-CF-F-021 defaultPaymentType
29. MK-NW-F-077 ALL
30. MK-NW-F-059 currentYield
31. MK-ST-F-049 formatMoney
32. MK-ST-F-053 money
33. MK-NW-O-001 theBonds
34. MK-CF-F-193 inflowSourceWord
35. MK-CF-F-092 incomeMonthlyGrid
36. MK-CF-F-011 savingsByMonth
37. MK-NW-F-057 annualCoupon
38. MK-ST-F-048 currencySymbol
39. MK-ST-F-039 on
40. MK-ST-F-027 accountId
41. MK-NW-F-056 bondInfo
42. MK-NW-F-064 bondRateSensitivity
43. MK-NW-F-061 bondSummary
44. MK-NW-F-055 isBond
45. MK-NW-F-072 rowOf
46. MK-CF-F-069 benefitActiveMonths
47. MK-CF-F-072 currentRetirementIncomeMonthly
48. MK-CF-F-173 earnerWages
49. MK-CF-F-065 equityVestWeights
50. MK-CF-F-071 extraIncome
51. MK-CF-F-206 householdK401ByMonth
52. MK-CF-F-087 monthlyTaxRates
53. MK-CF-F-073 otherIncomeMonth
54. MK-CF-F-181 rateInForce
55. MK-CF-F-068 rentalNetAnnual
56. MK-CF-F-066 rsuAnnual
57. MK-CF-F-060 salaryGrossByMonth
58. MK-CF-F-077 scholarshipByCalendarMonth
59. MK-CF-F-088 taxableByCalendarMonth
60. MK-CF-F-177 wageGrossByMonth
61. MK-PL-F-012 waterfall
62. MK-CF-F-008 spendByMonth
63. MK-ST-F-047 activeCurrency
64. MK-NW-F-060 approxYTM
65. MK-NW-F-069 priceAtYield
66. MK-NW-F-011 assetClassOf
67. MK-NW-F-070 accruedInterestCaveat
68. MK-NW-F-071 isCertificateOfDeposit
69. MK-NW-F-058 yearsToMaturity
70. MK-CF-F-075 retirementIncomeMonthly
71. MK-CF-F-172 hasWage
72. MK-CF-F-062 equityRowValue
73. MK-CF-F-070 benefitAnnual
74. MK-CF-F-176 sumMonthsOverEarners
75. MK-CF-F-090 effectiveRate
76. MK-CF-F-180 enteredLandsAnnual
77. MK-CF-F-085 filingStatusOf
78. MK-CF-F-089 over65CountOf
79. MK-CF-F-082 salaryAnnual
80. MK-CF-F-086 stateRateOf
81. MK-CF-F-101 taxOwedFor
82. MK-CF-F-084 taxableAnnual
83. MK-CF-F-067 rentalList
84. MK-CF-F-063 rowVestYear
85. MK-CF-F-130 enteredMonthlyRaw
86. MK-CF-F-166 hasMonthlySalaryTable
87. MK-ST-F-036 reconcile
88. MK-CF-F-167 salaryCalendarYear
89. MK-CF-F-120 pctBaseMonthly
90. MK-CF-F-004 spendBuckets
91. MK-NW-F-008 incomeBearingClassOf
92. MK-CF-F-100 taxableIncomeFor
93. MK-CF-F-074 tipsAnnual
94. MK-CF-F-165 salaryMonths
95. MK-CF-F-003 categoryMonthly
96. MK-ST-F-010 nameEvidence
97. MK-CF-F-099 deductionFor
98. MK-CF-F-081 salaryActiveMonths
99. MK-XS-F-147 call
100. MK-CF-F-187 seniorDeductionFor
101. MK-XS-F-064 currentIdToken
102. MK-XS-F-112 relayUrl</t>
        </is>
      </c>
      <c r="R209" s="3" t="inlineStr">
        <is>
          <t>1. MK-CF-F-031 creditUtilization → MK-CF-O-006 theCreditLine
2. MONTH (already above — a loop) → MK-CF-O-010 theMonth → MK-CF-F-203 MONTH → MK-CF-F-204 line → MK-CF-O-006 theCreditLine
3. MK-XS-F-122 n → MK-CF-F-155 cash → MK-CF-O-010 theMonth → MK-CF-F-203 MONTH → MK-CF-F-204 line → MK-CF-O-006 theCreditLine
4. MK-CF-F-151 actualSpending → MK-CF-O-002 expenses → MK-CF-O-010 theMonth → MK-CF-F-203 MONTH → MK-CF-F-204 line → MK-CF-O-006 theCreditLine
5. MK-CF-F-150 debtPaymentsCountedAsExpenses → MK-CF-O-002 expenses → MK-CF-O-010 theMonth → MK-CF-F-203 MONTH → MK-CF-F-204 line → MK-CF-O-006 theCreditLine
6. MK-CF-F-153 radar → MK-CF-O-002 expenses → MK-CF-O-010 theMonth → MK-CF-F-203 MONTH → MK-CF-F-204 line → MK-CF-O-006 theCreditLine
7. MK-CF-F-149 recurringDebtPayments → MK-CF-O-002 expenses → MK-CF-O-010 theMonth → MK-CF-F-203 MONTH → MK-CF-F-204 line → MK-CF-O-006 theCreditLine
8. MK-CF-F-005 actualMonthFlow → MK-CF-O-003 thisMonth → MK-CF-O-010 theMonth → MK-CF-F-203 MONTH → MK-CF-F-204 line → MK-CF-O-006 theCreditLine
9. … and 2 more paths</t>
        </is>
      </c>
      <c r="S209" s="3" t="inlineStr">
        <is>
          <t>MK-MN-M-006</t>
        </is>
      </c>
      <c r="T209" s="3" t="inlineStr">
        <is>
          <t>—</t>
        </is>
      </c>
      <c r="U209" s="3" t="inlineStr">
        <is>
          <t>ACTIVE</t>
        </is>
      </c>
      <c r="V209" s="3" t="inlineStr">
        <is>
          <t>2026-09-28</t>
        </is>
      </c>
      <c r="W209" s="3" t="n"/>
      <c r="X209" s="3" t="n"/>
      <c r="Y209" s="3" t="inlineStr">
        <is>
          <t>NOTHING OPEN</t>
        </is>
      </c>
    </row>
    <row r="210" ht="60" customHeight="1">
      <c r="A210" s="3" t="inlineStr">
        <is>
          <t>MK-CF-O-007</t>
        </is>
      </c>
      <c r="B210" s="3" t="inlineStr">
        <is>
          <t>theTaxOrganizer</t>
        </is>
      </c>
      <c r="C210" s="3" t="inlineStr">
        <is>
          <t>MoneyKeel/functions/cashflow/tax-organizer.ts</t>
        </is>
      </c>
      <c r="D210" s="3" t="n">
        <v>46</v>
      </c>
      <c r="E210" s="3" t="inlineStr">
        <is>
          <t>2 · DISPLAYED</t>
        </is>
      </c>
      <c r="F210" s="3" t="inlineStr">
        <is>
          <t>What will my taxes look like: each taxable line, the deduction and the tax?</t>
        </is>
      </c>
      <c r="G210" s="11" t="inlineStr">
        <is>
          <t>year = input.year (or the date ).get full year( when missing)
actual passive = round(income from accounts(input.accounts ?? [], input.transactions ?? []).annual)</t>
        </is>
      </c>
      <c r="H210" s="3" t="inlineStr">
        <is>
          <t>Year is input.year (or the date ).get full year( — when missing). Actual passive is income from accounts(input.accounts ?? [], input.transactions ?? [], to a whole number.annual).</t>
        </is>
      </c>
      <c r="I210" s="3" t="inlineStr">
        <is>
          <t>PARTLY READ — some of the code is still showing through; needs a hand pass</t>
        </is>
      </c>
      <c r="J210" s="3" t="inlineStr">
        <is>
          <t>Nothing is handed to it</t>
        </is>
      </c>
      <c r="K210" s="3" t="inlineStr">
        <is>
          <t>NOT DECLARED — the code does not say what it gives back</t>
        </is>
      </c>
      <c r="L210" s="3" t="inlineStr">
        <is>
          <t>NOT FOUND — a screen calls it, but the words printed beside its answer could not be traced automatically. Needs reading.</t>
        </is>
      </c>
      <c r="M210" s="3" t="inlineStr">
        <is>
          <t>1. Uses today's date from the device clock, so the answer changes by itself overnight.
2. Rounds the answer to a whole number.</t>
        </is>
      </c>
      <c r="N210" s="3" t="inlineStr">
        <is>
          <t>Yes</t>
        </is>
      </c>
      <c r="O210" s="3" t="inlineStr">
        <is>
          <t>1. MK-CF-F-184 incomeFromAccounts
2. MK-PL-F-031 taxOrganizer</t>
        </is>
      </c>
      <c r="P210" s="3" t="n">
        <v>71</v>
      </c>
      <c r="Q210" s="3" t="inlineStr">
        <is>
          <t>1. MK-CF-F-184 incomeFromAccounts
2. MK-PL-F-031 taxOrganizer
3. MK-CF-F-182 asPercent
4. MK-NW-F-011 assetClassOf
5. MK-ST-F-053 money
6. MK-CF-F-183 paidOutByAccount
7. MK-CF-F-070 benefitAnnual
8. MK-CF-F-072 currentRetirementIncomeMonthly
9. MK-CF-F-090 effectiveRate
10. MK-ST-F-056 has
11. MK-CF-F-132 map
12. MK-CF-F-068 rentalNetAnnual
13. MK-CF-F-066 rsuAnnual
14. MK-CF-F-082 salaryAnnual
15. MK-PL-F-082 taxableIncomeSteps
16. MK-CF-F-074 tipsAnnual
17. MK-ST-F-052 toNum
18. MK-NW-F-008 incomeBearingClassOf
19. MK-ST-F-049 formatMoney
20. MK-XS-F-122 n
21. MK-ST-F-065 isoLocalDate
22. MK-CF-F-069 benefitActiveMonths
23. MK-CF-F-075 retirementIncomeMonthly
24. MK-CF-F-181 rateInForce
25. MK-CF-O-002 expenses
26. MK-CF-F-067 rentalList
27. MK-CF-F-062 equityRowValue
28. MK-CF-F-063 rowVestYear
29. MK-CF-F-060 salaryGrossByMonth
30. MK-CF-F-099 deductionFor
31. MK-CF-F-085 filingStatusOf
32. MK-CF-F-188 householdPreTaxContributionsAnnual
33. MK-ST-F-039 on
34. MK-CF-F-089 over65CountOf
35. MK-CF-F-187 seniorDeductionFor
36. MK-CF-F-081 salaryActiveMonths
37. MK-CF-F-155 cash
38. MK-ST-F-010 nameEvidence
39. MK-ST-F-048 currencySymbol
40. MK-CF-F-173 earnerWages
41. MK-CF-F-180 enteredLandsAnnual
42. MK-CF-F-206 householdK401ByMonth
43. MK-CF-F-086 stateRateOf
44. MK-CF-F-101 taxOwedFor
45. MK-CF-F-084 taxableAnnual
46. MK-CF-F-151 actualSpending
47. MK-CF-F-150 debtPaymentsCountedAsExpenses
48. MK-CF-F-153 radar
49. MK-CF-F-149 recurringDebtPayments
50. MK-CF-F-176 sumMonthsOverEarners
51. MK-CF-F-177 wageGrossByMonth
52. MK-CF-F-175 sumOverEarners
53. MK-XS-F-147 call
54. MK-ST-F-047 activeCurrency
55. MK-CF-F-172 hasWage
56. MK-CF-F-100 taxableIncomeFor
57. MK-CF-F-071 extraIncome
58. MK-CF-F-148 inMonth
59. MK-CF-F-191 ym
60. MK-CF-F-022 paymentShape
61. MK-CF-F-152 isRadarItem
62. MK-CF-F-023 requiredPayment
63. MK-CF-F-130 enteredMonthlyRaw
64. MK-CF-F-166 hasMonthlySalaryTable
65. MK-ST-F-036 reconcile
66. MK-CF-F-167 salaryCalendarYear
67. MK-ST-F-027 accountId
68. MK-XS-F-064 currentIdToken
69. MK-XS-F-112 relayUrl
70. MK-CF-F-021 defaultPaymentType
71. MK-CF-F-165 salaryMonths</t>
        </is>
      </c>
      <c r="R210" s="3" t="inlineStr">
        <is>
          <t>1. MK-CF-F-182 asPercent → MK-CF-F-184 incomeFromAccounts → MK-CF-O-007 theTaxOrganizer
2. MK-XS-F-122 n → MK-CF-F-155 cash → MK-NW-F-008 incomeBearingClassOf → MK-NW-F-011 assetClassOf → MK-CF-F-184 incomeFromAccounts → MK-CF-O-007 theTaxOrganizer
3. MK-XS-F-147 call → MK-ST-F-010 nameEvidence → MK-NW-F-008 incomeBearingClassOf → MK-NW-F-011 assetClassOf → MK-CF-F-184 incomeFromAccounts → MK-CF-O-007 theTaxOrganizer
4. MK-ST-F-056 has → MK-ST-F-010 nameEvidence → MK-NW-F-008 incomeBearingClassOf → MK-NW-F-011 assetClassOf → MK-CF-F-184 incomeFromAccounts → MK-CF-O-007 theTaxOrganizer
5. MK-CF-F-132 map → MK-ST-F-010 nameEvidence → MK-NW-F-008 incomeBearingClassOf → MK-NW-F-011 assetClassOf → MK-CF-F-184 incomeFromAccounts → MK-CF-O-007 theTaxOrganizer
6. MK-ST-F-047 activeCurrency → MK-ST-F-048 currencySymbol → MK-ST-F-049 formatMoney → MK-ST-F-053 money → MK-CF-F-184 incomeFromAccounts → MK-CF-O-007 theTaxOrganizer
7. MK-XS-F-122 n → MK-ST-F-049 formatMoney → MK-ST-F-053 money → MK-CF-F-184 incomeFromAccounts → MK-CF-O-007 theTaxOrganizer
8. MK-ST-F-039 on → MK-ST-F-049 formatMoney → MK-ST-F-053 money → MK-CF-F-184 incomeFromAccounts → MK-CF-O-007 theTaxOrganizer
9. … and 4 more paths</t>
        </is>
      </c>
      <c r="S210" s="3" t="inlineStr">
        <is>
          <t>—</t>
        </is>
      </c>
      <c r="T210" s="3" t="inlineStr">
        <is>
          <t>—</t>
        </is>
      </c>
      <c r="U210" s="3" t="inlineStr">
        <is>
          <t>ACTIVE</t>
        </is>
      </c>
      <c r="V210" s="3" t="inlineStr">
        <is>
          <t>2026-09-28</t>
        </is>
      </c>
      <c r="W210" s="3" t="n"/>
      <c r="X210" s="3" t="n"/>
      <c r="Y210" s="3" t="inlineStr">
        <is>
          <t>NOTHING OPEN</t>
        </is>
      </c>
    </row>
    <row r="211" ht="60" customHeight="1">
      <c r="A211" s="3" t="inlineStr">
        <is>
          <t>MK-CF-O-008</t>
        </is>
      </c>
      <c r="B211" s="3" t="inlineStr">
        <is>
          <t>whatsComing</t>
        </is>
      </c>
      <c r="C211" s="3" t="inlineStr">
        <is>
          <t>MoneyKeel/functions/cashflow/whats-coming.ts</t>
        </is>
      </c>
      <c r="D211" s="3" t="n">
        <v>58</v>
      </c>
      <c r="E211" s="3" t="inlineStr">
        <is>
          <t>2 · DISPLAYED</t>
        </is>
      </c>
      <c r="F211" s="3" t="inlineStr">
        <is>
          <t>Which bills and paychecks are coming over the next twelve months, and which look out of the ordinary?</t>
        </is>
      </c>
      <c r="G211" s="11" t="inlineStr">
        <is>
          <t>bills = bills
next = the first of bills   if count of bills
nothing   otherwise</t>
        </is>
      </c>
      <c r="H211" s="3" t="inlineStr">
        <is>
          <t>bills = bills; next = the first of bills — when how many bills there are; no answer — otherwise.</t>
        </is>
      </c>
      <c r="I211" s="3" t="inlineStr">
        <is>
          <t>READ FROM THE CODE — rendered from the expressions the function runs</t>
        </is>
      </c>
      <c r="J211" s="3" t="inlineStr">
        <is>
          <t>Nothing is handed to it</t>
        </is>
      </c>
      <c r="K211" s="3" t="inlineStr">
        <is>
          <t>NOT DECLARED — the code does not say what it gives back</t>
        </is>
      </c>
      <c r="L211" s="3" t="inlineStr">
        <is>
          <t>1. "Bill calendar" — on the Bill calendar screen
2. "IF YOU CAN" — on the Bill calendar screen, under "IF YOU CAN"</t>
        </is>
      </c>
      <c r="M211" s="3" t="inlineStr">
        <is>
          <t>1. If start balance is missing it uses 0.
2. Uses today's date from the device clock, so the answer changes by itself overnight.</t>
        </is>
      </c>
      <c r="N211" s="3" t="inlineStr">
        <is>
          <t>Yes</t>
        </is>
      </c>
      <c r="O211" s="3" t="inlineStr">
        <is>
          <t>MK-CF-F-019 upcomingBills</t>
        </is>
      </c>
      <c r="P211" s="3" t="n">
        <v>107</v>
      </c>
      <c r="Q211" s="3" t="inlineStr">
        <is>
          <t>1. MK-CF-F-019 upcomingBills
2. MK-CF-F-122 addDays
3. MK-CF-F-070 benefitAnnual
4. MK-CF-F-072 currentRetirementIncomeMonthly
5. MK-CF-F-160 daysBetweenDates
6. MK-CF-F-090 effectiveRate
7. MK-CF-F-061 grossSalaryMonthly
8. MK-ST-F-065 isoLocalDate
9. MK-CF-F-132 map
10. MK-CF-F-124 nextOccurrence
11. MK-CF-F-068 rentalNetAnnual
12. MK-CF-F-004 spendBuckets
13. MK-CF-F-084 taxableAnnual
14. MK-ST-F-052 toNum
15. MK-CF-F-083 totalGrossAnnual
16. MK-CF-F-069 benefitActiveMonths
17. MK-CF-F-075 retirementIncomeMonthly
18. MK-CF-F-181 rateInForce
19. MK-CF-F-060 salaryGrossByMonth
20. MK-CF-O-002 expenses
21. MK-CF-F-067 rentalList
22. MK-CF-F-003 categoryMonthly
23. MK-CF-F-071 extraIncome
24. MK-CF-F-066 rsuAnnual
25. MK-CF-F-082 salaryAnnual
26. MK-CF-F-074 tipsAnnual
27. MK-XS-F-122 n
28. MK-CF-F-173 earnerWages
29. MK-CF-F-180 enteredLandsAnnual
30. MK-CF-F-085 filingStatusOf
31. MK-CF-F-206 householdK401ByMonth
32. MK-CF-F-089 over65CountOf
33. MK-CF-F-086 stateRateOf
34. MK-CF-F-101 taxOwedFor
35. MK-CF-F-176 sumMonthsOverEarners
36. MK-CF-F-177 wageGrossByMonth
37. MK-CF-F-151 actualSpending
38. MK-CF-F-150 debtPaymentsCountedAsExpenses
39. MK-CF-F-153 radar
40. MK-CF-F-149 recurringDebtPayments
41. MK-CF-F-120 pctBaseMonthly
42. MK-XS-F-027 takeHomeMonthly
43. MK-ST-F-039 on
44. MK-CF-F-062 equityRowValue
45. MK-CF-F-063 rowVestYear
46. MK-CF-F-081 salaryActiveMonths
47. MK-CF-F-172 hasWage
48. MK-CF-F-100 taxableIncomeFor
49. MK-CF-F-130 enteredMonthlyRaw
50. MK-CF-F-166 hasMonthlySalaryTable
51. MK-ST-F-036 reconcile
52. MK-CF-F-167 salaryCalendarYear
53. MK-CF-F-148 inMonth
54. MK-CF-F-191 ym
55. MK-ST-F-056 has
56. MK-CF-F-022 paymentShape
57. MK-CF-F-152 isRadarItem
58. MK-CF-F-023 requiredPayment
59. MK-CF-F-092 incomeMonthlyGrid
60. MK-CF-F-011 savingsByMonth
61. MK-CF-F-099 deductionFor
62. MK-CF-F-165 salaryMonths
63. MK-CF-F-021 defaultPaymentType
64. MK-CF-F-065 equityVestWeights
65. MK-CF-F-087 monthlyTaxRates
66. MK-CF-F-073 otherIncomeMonth
67. MK-CF-F-077 scholarshipByCalendarMonth
68. MK-CF-F-088 taxableByCalendarMonth
69. MK-PL-F-012 waterfall
70. MK-CF-F-008 spendByMonth
71. MK-CF-F-187 seniorDeductionFor
72. MK-CF-F-203 MONTH
73. MK-CF-O-010 theMonth
74. MK-CF-F-155 cash
75. MK-CF-O-003 thisMonth
76. MK-CF-F-005 actualMonthFlow
77. MK-CF-F-156 plannedMonthFlow
78. MK-NW-F-078 ONE
79. MK-CF-F-157 debtPaymentsByDebt
80. MK-CF-F-192 inflowLabel
81. MK-NW-F-077 ALL
82. MK-NW-F-059 currentYield
83. MK-XS-F-180 declareFigures
84. MK-ST-F-049 formatMoney
85. MK-ST-F-053 money
86. MK-NW-O-001 theBonds
87. MK-CF-F-193 inflowSourceWord
88. MK-NW-F-057 annualCoupon
89. MK-ST-F-048 currencySymbol
90. MK-ST-F-027 accountId
91. MK-NW-F-056 bondInfo
92. MK-NW-F-064 bondRateSensitivity
93. MK-NW-F-061 bondSummary
94. MK-NW-F-055 isBond
95. MK-NW-F-072 rowOf
96. MK-ST-F-047 activeCurrency
97. MK-NW-F-060 approxYTM
98. MK-NW-F-069 priceAtYield
99. MK-NW-F-011 assetClassOf
100. MK-NW-F-070 accruedInterestCaveat
101. MK-NW-F-071 isCertificateOfDeposit
102. MK-NW-F-058 yearsToMaturity
103. MK-NW-F-008 incomeBearingClassOf
104. MK-ST-F-010 nameEvidence
105. MK-XS-F-147 call
106. MK-XS-F-064 currentIdToken
107. MK-XS-F-112 relayUrl</t>
        </is>
      </c>
      <c r="R211" s="3" t="inlineStr">
        <is>
          <t>1. MK-CF-F-122 addDays → MK-CF-F-019 upcomingBills → MK-CF-O-008 whatsComing
2. MK-CF-F-069 benefitActiveMonths → MK-CF-F-070 benefitAnnual → MK-CF-F-019 upcomingBills → MK-CF-O-008 whatsComing
3. MK-XS-F-122 n → MK-ST-F-052 toNum → MK-CF-F-070 benefitAnnual → MK-CF-F-019 upcomingBills → MK-CF-O-008 whatsComing
4. MK-XS-F-122 n → MK-ST-F-052 toNum → MK-CF-F-075 retirementIncomeMonthly → MK-CF-F-072 currentRetirementIncomeMonthly → MK-CF-F-019 upcomingBills → MK-CF-O-008 whatsComing
5. MK-CF-F-160 daysBetweenDates → MK-CF-F-019 upcomingBills → MK-CF-O-008 whatsComing
6. MK-CF-F-172 hasWage → MK-CF-F-173 earnerWages → MK-CF-F-181 rateInForce → MK-CF-F-090 effectiveRate → MK-CF-F-019 upcomingBills → MK-CF-O-008 whatsComing
7. MK-CF-F-173 earnerWages → MK-CF-F-180 enteredLandsAnnual → MK-CF-F-181 rateInForce → MK-CF-F-090 effectiveRate → MK-CF-F-019 upcomingBills → MK-CF-O-008 whatsComing
8. MK-ST-F-052 toNum → MK-CF-F-180 enteredLandsAnnual → MK-CF-F-181 rateInForce → MK-CF-F-090 effectiveRate → MK-CF-F-019 upcomingBills → MK-CF-O-008 whatsComing
9. … and 4 more paths</t>
        </is>
      </c>
      <c r="S211" s="3" t="inlineStr">
        <is>
          <t>MK-CF-M-012 · MK-CF-M-016 · MK-CF-M-028 · MK-CF-M-060 · MK-CF-M-061 · MK-CF-M-062 · MK-CF-M-063 · MK-MN-M-030</t>
        </is>
      </c>
      <c r="T211" s="3" t="inlineStr">
        <is>
          <t>—</t>
        </is>
      </c>
      <c r="U211" s="3" t="inlineStr">
        <is>
          <t>ACTIVE</t>
        </is>
      </c>
      <c r="V211" s="3" t="inlineStr">
        <is>
          <t>2026-09-28</t>
        </is>
      </c>
      <c r="W211" s="3" t="n"/>
      <c r="X211" s="3" t="n"/>
      <c r="Y211" s="3" t="inlineStr">
        <is>
          <t>NOTHING OPEN</t>
        </is>
      </c>
    </row>
    <row r="212" ht="60" customHeight="1">
      <c r="A212" s="3" t="inlineStr">
        <is>
          <t>MK-CF-O-010</t>
        </is>
      </c>
      <c r="B212" s="3" t="inlineStr">
        <is>
          <t>theMonth</t>
        </is>
      </c>
      <c r="C212" s="3" t="inlineStr">
        <is>
          <t>MoneyKeel/functions/cashflow/the-month.ts</t>
        </is>
      </c>
      <c r="D212" s="3" t="n">
        <v>86</v>
      </c>
      <c r="E212" s="3" t="inlineStr">
        <is>
          <t>2 · DISPLAYED</t>
        </is>
      </c>
      <c r="F212" s="3" t="inlineStr">
        <is>
          <t>How is this month going: the plan, what has actually happened, the detail behind the expenses, and what is free after anything already promised to a goal?</t>
        </is>
      </c>
      <c r="G212" s="11" t="inlineStr">
        <is>
          <t>flow = this month(input)
committed = cash((input.commitments ?? []).reduce((t, c) =&gt; t + (monthly amount or 0), 0))</t>
        </is>
      </c>
      <c r="H212" s="3" t="inlineStr">
        <is>
          <t>Flow is this month(input). Committed is cash((input.commitments ?? []).reduce((t, c) =&gt; t plus (monthly amount or 0), 0)).</t>
        </is>
      </c>
      <c r="I212" s="3" t="inlineStr">
        <is>
          <t>PARTLY READ — some of the code is still showing through; needs a hand pass</t>
        </is>
      </c>
      <c r="J212" s="3" t="inlineStr">
        <is>
          <t>input: MonthInput &amp; ExpensesInput</t>
        </is>
      </c>
      <c r="K212" s="3" t="inlineStr">
        <is>
          <t>TheMonth</t>
        </is>
      </c>
      <c r="L212" s="3" t="inlineStr">
        <is>
          <t>1. "ACTUAL EXPENSES" — on the Cash flow screen, under "ACTUAL EXPENSES"
2. "Cash flow" — on the Cash flow screen
3. "DEBT PAYMENTS COUNTED AS EXPENSES" — on the Cash flow screen, under "DEBT PAYMENTS COUNTED AS EXPENSES"
4. "ENTERED BY HAND" — on the Cash flow screen, under "ENTERED BY HAND"
5. "IMPORTED FROM YOUR CARD" — on the Cash flow screen, under "IMPORTED FROM YOUR CARD"
6. "MONTHLY RECURRING EXPENSES" — on the Cash flow screen, under "MONTHLY RECURRING EXPENSES"</t>
        </is>
      </c>
      <c r="M212" s="3" t="inlineStr">
        <is>
          <t>· If monthly amount is missing it counts as zero, so nothing recorded and a real zero look the same.</t>
        </is>
      </c>
      <c r="N212" s="3" t="inlineStr">
        <is>
          <t>Yes</t>
        </is>
      </c>
      <c r="O212" s="3" t="inlineStr">
        <is>
          <t>1. MK-CF-F-203 MONTH
2. MK-CF-F-155 cash
3. MK-CF-O-002 expenses
4. MK-CF-O-003 thisMonth</t>
        </is>
      </c>
      <c r="P212" s="3" t="n">
        <v>99</v>
      </c>
      <c r="Q212" s="3" t="inlineStr">
        <is>
          <t>1. MK-CF-F-203 MONTH
2. MK-CF-F-155 cash
3. MK-CF-O-002 expenses
4. MK-CF-O-003 thisMonth
5. MK-XS-F-122 n
6. MK-CF-F-151 actualSpending
7. MK-CF-F-150 debtPaymentsCountedAsExpenses
8. MK-CF-F-153 radar
9. MK-CF-F-149 recurringDebtPayments
10. MK-CF-F-005 actualMonthFlow
11. MK-CF-F-156 plannedMonthFlow
12. MK-CF-F-148 inMonth
13. MK-ST-F-052 toNum
14. MK-CF-F-191 ym
15. MK-ST-F-056 has
16. MK-CF-F-022 paymentShape
17. MK-CF-F-152 isRadarItem
18. MK-CF-F-023 requiredPayment
19. MK-CF-F-132 map
20. MK-NW-F-078 ONE
21. MK-CF-F-157 debtPaymentsByDebt
22. MK-CF-F-192 inflowLabel
23. MK-XS-F-027 takeHomeMonthly
24. MK-CF-F-021 defaultPaymentType
25. MK-NW-F-077 ALL
26. MK-NW-F-059 currentYield
27. MK-XS-F-180 declareFigures
28. MK-ST-F-049 formatMoney
29. MK-ST-F-053 money
30. MK-NW-O-001 theBonds
31. MK-CF-F-193 inflowSourceWord
32. MK-CF-F-092 incomeMonthlyGrid
33. MK-CF-F-011 savingsByMonth
34. MK-NW-F-057 annualCoupon
35. MK-ST-F-048 currencySymbol
36. MK-ST-F-039 on
37. MK-ST-F-027 accountId
38. MK-NW-F-056 bondInfo
39. MK-NW-F-064 bondRateSensitivity
40. MK-NW-F-061 bondSummary
41. MK-NW-F-055 isBond
42. MK-NW-F-072 rowOf
43. MK-CF-F-069 benefitActiveMonths
44. MK-CF-F-072 currentRetirementIncomeMonthly
45. MK-CF-F-173 earnerWages
46. MK-CF-F-065 equityVestWeights
47. MK-CF-F-071 extraIncome
48. MK-CF-F-206 householdK401ByMonth
49. MK-CF-F-087 monthlyTaxRates
50. MK-CF-F-073 otherIncomeMonth
51. MK-CF-F-181 rateInForce
52. MK-CF-F-068 rentalNetAnnual
53. MK-CF-F-066 rsuAnnual
54. MK-CF-F-060 salaryGrossByMonth
55. MK-CF-F-077 scholarshipByCalendarMonth
56. MK-CF-F-088 taxableByCalendarMonth
57. MK-CF-F-177 wageGrossByMonth
58. MK-PL-F-012 waterfall
59. MK-CF-F-008 spendByMonth
60. MK-ST-F-047 activeCurrency
61. MK-NW-F-060 approxYTM
62. MK-NW-F-069 priceAtYield
63. MK-NW-F-011 assetClassOf
64. MK-NW-F-070 accruedInterestCaveat
65. MK-NW-F-071 isCertificateOfDeposit
66. MK-NW-F-058 yearsToMaturity
67. MK-CF-F-075 retirementIncomeMonthly
68. MK-CF-F-172 hasWage
69. MK-CF-F-062 equityRowValue
70. MK-CF-F-070 benefitAnnual
71. MK-CF-F-176 sumMonthsOverEarners
72. MK-CF-F-090 effectiveRate
73. MK-CF-F-180 enteredLandsAnnual
74. MK-CF-F-085 filingStatusOf
75. MK-CF-F-089 over65CountOf
76. MK-CF-F-082 salaryAnnual
77. MK-CF-F-086 stateRateOf
78. MK-CF-F-101 taxOwedFor
79. MK-CF-F-084 taxableAnnual
80. MK-CF-F-067 rentalList
81. MK-CF-F-063 rowVestYear
82. MK-CF-F-130 enteredMonthlyRaw
83. MK-CF-F-166 hasMonthlySalaryTable
84. MK-ST-F-036 reconcile
85. MK-CF-F-167 salaryCalendarYear
86. MK-CF-F-120 pctBaseMonthly
87. MK-CF-F-004 spendBuckets
88. MK-NW-F-008 incomeBearingClassOf
89. MK-CF-F-100 taxableIncomeFor
90. MK-CF-F-074 tipsAnnual
91. MK-CF-F-165 salaryMonths
92. MK-CF-F-003 categoryMonthly
93. MK-ST-F-010 nameEvidence
94. MK-CF-F-099 deductionFor
95. MK-CF-F-081 salaryActiveMonths
96. MK-XS-F-147 call
97. MK-CF-F-187 seniorDeductionFor
98. MK-XS-F-064 currentIdToken
99. MK-XS-F-112 relayUrl</t>
        </is>
      </c>
      <c r="R212" s="3" t="inlineStr">
        <is>
          <t>1. theMonth (already above — a loop) → MK-CF-F-203 MONTH → MK-CF-O-010 theMonth
2. MK-XS-F-122 n → MK-CF-F-155 cash → MK-CF-O-010 theMonth
3. MK-CF-F-191 ym → MK-CF-F-148 inMonth → MK-CF-F-151 actualSpending → MK-CF-O-002 expenses → MK-CF-O-010 theMonth
4. MK-XS-F-122 n → MK-ST-F-052 toNum → MK-CF-F-151 actualSpending → MK-CF-O-002 expenses → MK-CF-O-010 theMonth
5. MK-CF-F-191 ym → MK-CF-F-151 actualSpending → MK-CF-O-002 expenses → MK-CF-O-010 theMonth
6. MK-ST-F-056 has → MK-CF-F-150 debtPaymentsCountedAsExpenses → MK-CF-O-002 expenses → MK-CF-O-010 theMonth
7. MK-CF-F-191 ym → MK-CF-F-148 inMonth → MK-CF-F-150 debtPaymentsCountedAsExpenses → MK-CF-O-002 expenses → MK-CF-O-010 theMonth
8. MK-CF-F-021 defaultPaymentType → MK-CF-F-022 paymentShape → MK-CF-F-150 debtPaymentsCountedAsExpenses → MK-CF-O-002 expenses → MK-CF-O-010 theMonth
9. … and 5 more paths</t>
        </is>
      </c>
      <c r="S212" s="3" t="inlineStr">
        <is>
          <t>MK-CF-M-001 · MK-CF-M-002 · MK-CF-M-003 · MK-CF-M-013 · MK-CF-M-014 · MK-CF-M-015 · MK-CF-M-020 · MK-CF-M-021 · MK-CF-M-056</t>
        </is>
      </c>
      <c r="T212" s="3" t="inlineStr">
        <is>
          <t>—</t>
        </is>
      </c>
      <c r="U212" s="3" t="inlineStr">
        <is>
          <t>ACTIVE</t>
        </is>
      </c>
      <c r="V212" s="3" t="inlineStr">
        <is>
          <t>2026-10-01</t>
        </is>
      </c>
      <c r="W212" s="3" t="n"/>
      <c r="X212" s="3" t="n"/>
      <c r="Y212" s="3" t="inlineStr">
        <is>
          <t>NOTHING OPEN</t>
        </is>
      </c>
    </row>
    <row r="213" ht="60" customHeight="1">
      <c r="A213" s="3" t="inlineStr">
        <is>
          <t>MK-CF-O-011</t>
        </is>
      </c>
      <c r="B213" s="3" t="inlineStr">
        <is>
          <t>PAY</t>
        </is>
      </c>
      <c r="C213" s="3" t="inlineStr">
        <is>
          <t>MoneyKeel/functions/cashflow/base-pay.ts</t>
        </is>
      </c>
      <c r="D213" s="3" t="n">
        <v>672</v>
      </c>
      <c r="E213" s="3" t="inlineStr">
        <is>
          <t>1 · ACTION</t>
        </is>
      </c>
      <c r="F213" s="3" t="inlineStr">
        <is>
          <t>Example only: runs basePay on the worked example household with a tax rate of their own.</t>
        </is>
      </c>
      <c r="G213" s="11" t="inlineStr">
        <is>
          <t>NOT READ YET — the body is not a shape this can render faithfully, so nothing is claimed rather than something being guessed. It needs reading by hand.</t>
        </is>
      </c>
      <c r="H213" s="3" t="inlineStr">
        <is>
          <t>NOT READ YET — the body is not a shape this can render faithfully, so nothing is claimed rather than something being guessed. It needs reading by hand.</t>
        </is>
      </c>
      <c r="I213" s="3" t="inlineStr">
        <is>
          <t>NOT READ — nothing is claimed rather than something guessed</t>
        </is>
      </c>
      <c r="J213" s="3" t="inlineStr">
        <is>
          <t>Nothing is handed to it</t>
        </is>
      </c>
      <c r="K213" s="3" t="inlineStr">
        <is>
          <t>EXAMPLE_EARNERS as any, filingStatus: 'married', over65: 0,</t>
        </is>
      </c>
      <c r="L213" s="3" t="inlineStr">
        <is>
          <t>—</t>
        </is>
      </c>
      <c r="M213" s="3" t="inlineStr">
        <is>
          <t>None found in this function — anything it assumes comes from the functions it depends on.</t>
        </is>
      </c>
      <c r="N213" s="3" t="inlineStr">
        <is>
          <t>No</t>
        </is>
      </c>
      <c r="O213" s="3" t="inlineStr">
        <is>
          <t>MK-CF-O-001 basePay</t>
        </is>
      </c>
      <c r="P213" s="3" t="n">
        <v>117</v>
      </c>
      <c r="Q213" s="3" t="inlineStr">
        <is>
          <t>1. MK-CF-O-001 basePay
2. MK-ST-F-035 covers
3. MK-CF-F-171 earnerPay
4. MK-CF-F-204 line
5. MK-CF-F-132 map
6. MK-CF-F-103 marginalBracketFor
7. MK-ST-F-053 money
8. MK-HM-F-006 money0
9. MK-XS-F-122 n
10. MK-CF-F-198 payrollTaxWithheld
11. MK-CF-F-181 rateInForce
12. MK-ST-F-034 firstDate
13. MK-CF-F-143 annualisedGross
14. MK-CF-F-145 deductionsFromPay
15. MK-CF-F-128 grossByMonth
16. MK-CF-F-146 payFiguresAgree
17. MK-CF-F-144 takeHomeAsEntered
18. MK-ST-F-052 toNum
19. MK-CF-F-203 MONTH
20. MK-XS-F-180 declareFigures
21. MK-CF-F-100 taxableIncomeFor
22. MK-ST-F-049 formatMoney
23. MK-CF-F-155 cash
24. MK-HM-F-005 pctTxt
25. MK-CF-F-173 earnerWages
26. MK-CF-F-180 enteredLandsAnnual
27. MK-CF-F-085 filingStatusOf
28. MK-CF-F-206 householdK401ByMonth
29. MK-CF-F-089 over65CountOf
30. MK-CF-F-082 salaryAnnual
31. MK-CF-F-086 stateRateOf
32. MK-CF-F-101 taxOwedFor
33. MK-CF-F-084 taxableAnnual
34. MK-CF-F-142 monthsOf
35. MK-CF-F-141 perMonth
36. MK-ST-F-056 has
37. MK-ST-F-039 on
38. MK-CF-O-010 theMonth
39. MK-CF-F-099 deductionFor
40. MK-ST-F-048 currencySymbol
41. MK-CF-F-172 hasWage
42. MK-CF-F-176 sumMonthsOverEarners
43. MK-CF-F-177 wageGrossByMonth
44. MK-CF-F-060 salaryGrossByMonth
45. MK-CF-F-072 currentRetirementIncomeMonthly
46. MK-CF-F-071 extraIncome
47. MK-CF-F-068 rentalNetAnnual
48. MK-CF-F-066 rsuAnnual
49. MK-CF-F-074 tipsAnnual
50. MK-CF-F-140 periodsAYear
51. MK-CF-O-002 expenses
52. MK-CF-O-003 thisMonth
53. MK-CF-F-187 seniorDeductionFor
54. MK-ST-F-047 activeCurrency
55. MK-CF-F-130 enteredMonthlyRaw
56. MK-CF-F-166 hasMonthlySalaryTable
57. MK-ST-F-036 reconcile
58. MK-CF-F-167 salaryCalendarYear
59. MK-CF-F-075 retirementIncomeMonthly
60. MK-CF-F-070 benefitAnnual
61. MK-CF-F-067 rentalList
62. MK-CF-F-062 equityRowValue
63. MK-CF-F-063 rowVestYear
64. MK-CF-F-081 salaryActiveMonths
65. MK-CF-F-151 actualSpending
66. MK-CF-F-150 debtPaymentsCountedAsExpenses
67. MK-CF-F-153 radar
68. MK-CF-F-149 recurringDebtPayments
69. MK-CF-F-005 actualMonthFlow
70. MK-CF-F-156 plannedMonthFlow
71. MK-CF-F-165 salaryMonths
72. MK-CF-F-069 benefitActiveMonths
73. MK-CF-F-148 inMonth
74. MK-CF-F-191 ym
75. MK-CF-F-022 paymentShape
76. MK-CF-F-152 isRadarItem
77. MK-CF-F-023 requiredPayment
78. MK-NW-F-078 ONE
79. MK-CF-F-157 debtPaymentsByDebt
80. MK-CF-F-192 inflowLabel
81. MK-XS-F-027 takeHomeMonthly
82. MK-CF-F-021 defaultPaymentType
83. MK-NW-F-077 ALL
84. MK-NW-F-059 currentYield
85. MK-NW-O-001 theBonds
86. MK-CF-F-193 inflowSourceWord
87. MK-CF-F-092 incomeMonthlyGrid
88. MK-CF-F-011 savingsByMonth
89. MK-NW-F-057 annualCoupon
90. MK-ST-F-027 accountId
91. MK-NW-F-056 bondInfo
92. MK-NW-F-064 bondRateSensitivity
93. MK-NW-F-061 bondSummary
94. MK-NW-F-055 isBond
95. MK-NW-F-072 rowOf
96. MK-CF-F-065 equityVestWeights
97. MK-CF-F-087 monthlyTaxRates
98. MK-CF-F-073 otherIncomeMonth
99. MK-CF-F-077 scholarshipByCalendarMonth
100. MK-CF-F-088 taxableByCalendarMonth
101. MK-PL-F-012 waterfall
102. MK-CF-F-008 spendByMonth
103. MK-NW-F-060 approxYTM
104. MK-NW-F-069 priceAtYield
105. MK-NW-F-011 assetClassOf
106. MK-NW-F-070 accruedInterestCaveat
107. MK-NW-F-071 isCertificateOfDeposit
108. MK-NW-F-058 yearsToMaturity
109. MK-CF-F-090 effectiveRate
110. MK-CF-F-120 pctBaseMonthly
111. MK-CF-F-004 spendBuckets
112. MK-NW-F-008 incomeBearingClassOf
113. MK-CF-F-003 categoryMonthly
114. MK-ST-F-010 nameEvidence
115. MK-XS-F-147 call
116. MK-XS-F-064 currentIdToken
117. MK-XS-F-112 relayUrl</t>
        </is>
      </c>
      <c r="R213" s="3" t="inlineStr">
        <is>
          <t>1. MK-ST-F-034 firstDate → MK-ST-F-035 covers → MK-CF-O-001 basePay → MK-CF-O-011 PAY
2. MK-CF-F-142 monthsOf → MK-CF-F-128 grossByMonth → MK-CF-F-143 annualisedGross → MK-CF-F-171 earnerPay → MK-CF-O-001 basePay → MK-CF-O-011 PAY
3. MK-CF-F-141 perMonth → MK-CF-F-128 grossByMonth → MK-CF-F-143 annualisedGross → MK-CF-F-171 earnerPay → MK-CF-O-001 basePay → MK-CF-O-011 PAY
4. MK-CF-F-128 grossByMonth → MK-CF-F-143 annualisedGross → MK-CF-F-145 deductionsFromPay → MK-CF-F-171 earnerPay → MK-CF-O-001 basePay → MK-CF-O-011 PAY
5. MK-CF-F-143 annualisedGross → MK-CF-F-144 takeHomeAsEntered → MK-CF-F-145 deductionsFromPay → MK-CF-F-171 earnerPay → MK-CF-O-001 basePay → MK-CF-O-011 PAY
6. MK-CF-F-142 monthsOf → MK-CF-F-144 takeHomeAsEntered → MK-CF-F-145 deductionsFromPay → MK-CF-F-171 earnerPay → MK-CF-O-001 basePay → MK-CF-O-011 PAY
7. MK-ST-F-039 on → MK-CF-F-144 takeHomeAsEntered → MK-CF-F-145 deductionsFromPay → MK-CF-F-171 earnerPay → MK-CF-O-001 basePay → MK-CF-O-011 PAY
8. MK-CF-F-101 taxOwedFor → MK-CF-F-144 takeHomeAsEntered → MK-CF-F-145 deductionsFromPay → MK-CF-F-171 earnerPay → MK-CF-O-001 basePay → MK-CF-O-011 PAY
9. … and 4 more paths</t>
        </is>
      </c>
      <c r="S213" s="3" t="inlineStr">
        <is>
          <t>—</t>
        </is>
      </c>
      <c r="T213" s="3" t="inlineStr">
        <is>
          <t>—</t>
        </is>
      </c>
      <c r="U213" s="3" t="inlineStr">
        <is>
          <t>ACTIVE</t>
        </is>
      </c>
      <c r="V213" s="3" t="inlineStr">
        <is>
          <t>2026-09-28</t>
        </is>
      </c>
      <c r="W213" s="3" t="n"/>
      <c r="X213" s="3" t="n"/>
      <c r="Y213" s="3" t="inlineStr">
        <is>
          <t>NOTHING OPEN</t>
        </is>
      </c>
    </row>
    <row r="214" ht="60" customHeight="1">
      <c r="A214" s="3" t="inlineStr">
        <is>
          <t>MK-CF-O-012</t>
        </is>
      </c>
      <c r="B214" s="3" t="inlineStr">
        <is>
          <t>PAY_ESTIMATED</t>
        </is>
      </c>
      <c r="C214" s="3" t="inlineStr">
        <is>
          <t>MoneyKeel/functions/cashflow/base-pay.ts</t>
        </is>
      </c>
      <c r="D214" s="3" t="n">
        <v>695</v>
      </c>
      <c r="E214" s="3" t="inlineStr">
        <is>
          <t>1 · ACTION</t>
        </is>
      </c>
      <c r="F214" s="3" t="inlineStr">
        <is>
          <t>Example only: runs basePay on the worked example household with the tax rate calculated.</t>
        </is>
      </c>
      <c r="G214" s="11" t="inlineStr">
        <is>
          <t>NOT READ YET — the body is not a shape this can render faithfully, so nothing is claimed rather than something being guessed. It needs reading by hand.</t>
        </is>
      </c>
      <c r="H214" s="3" t="inlineStr">
        <is>
          <t>NOT READ YET — the body is not a shape this can render faithfully, so nothing is claimed rather than something being guessed. It needs reading by hand.</t>
        </is>
      </c>
      <c r="I214" s="3" t="inlineStr">
        <is>
          <t>NOT READ — nothing is claimed rather than something guessed</t>
        </is>
      </c>
      <c r="J214" s="3" t="inlineStr">
        <is>
          <t>Nothing is handed to it</t>
        </is>
      </c>
      <c r="K214" s="3" t="inlineStr">
        <is>
          <t>EXAMPLE_EARNERS as any, filingStatus: 'married', over65: 0, profile:</t>
        </is>
      </c>
      <c r="L214" s="3" t="inlineStr">
        <is>
          <t>—</t>
        </is>
      </c>
      <c r="M214" s="3" t="inlineStr">
        <is>
          <t>None found in this function — anything it assumes comes from the functions it depends on.</t>
        </is>
      </c>
      <c r="N214" s="3" t="inlineStr">
        <is>
          <t>No</t>
        </is>
      </c>
      <c r="O214" s="3" t="inlineStr">
        <is>
          <t>MK-CF-O-001 basePay</t>
        </is>
      </c>
      <c r="P214" s="3" t="n">
        <v>117</v>
      </c>
      <c r="Q214" s="3" t="inlineStr">
        <is>
          <t>1. MK-CF-O-001 basePay
2. MK-ST-F-035 covers
3. MK-CF-F-171 earnerPay
4. MK-CF-F-204 line
5. MK-CF-F-132 map
6. MK-CF-F-103 marginalBracketFor
7. MK-ST-F-053 money
8. MK-HM-F-006 money0
9. MK-XS-F-122 n
10. MK-CF-F-198 payrollTaxWithheld
11. MK-CF-F-181 rateInForce
12. MK-ST-F-034 firstDate
13. MK-CF-F-143 annualisedGross
14. MK-CF-F-145 deductionsFromPay
15. MK-CF-F-128 grossByMonth
16. MK-CF-F-146 payFiguresAgree
17. MK-CF-F-144 takeHomeAsEntered
18. MK-ST-F-052 toNum
19. MK-CF-F-203 MONTH
20. MK-XS-F-180 declareFigures
21. MK-CF-F-100 taxableIncomeFor
22. MK-ST-F-049 formatMoney
23. MK-CF-F-155 cash
24. MK-HM-F-005 pctTxt
25. MK-CF-F-173 earnerWages
26. MK-CF-F-180 enteredLandsAnnual
27. MK-CF-F-085 filingStatusOf
28. MK-CF-F-206 householdK401ByMonth
29. MK-CF-F-089 over65CountOf
30. MK-CF-F-082 salaryAnnual
31. MK-CF-F-086 stateRateOf
32. MK-CF-F-101 taxOwedFor
33. MK-CF-F-084 taxableAnnual
34. MK-CF-F-142 monthsOf
35. MK-CF-F-141 perMonth
36. MK-ST-F-056 has
37. MK-ST-F-039 on
38. MK-CF-O-010 theMonth
39. MK-CF-F-099 deductionFor
40. MK-ST-F-048 currencySymbol
41. MK-CF-F-172 hasWage
42. MK-CF-F-176 sumMonthsOverEarners
43. MK-CF-F-177 wageGrossByMonth
44. MK-CF-F-060 salaryGrossByMonth
45. MK-CF-F-072 currentRetirementIncomeMonthly
46. MK-CF-F-071 extraIncome
47. MK-CF-F-068 rentalNetAnnual
48. MK-CF-F-066 rsuAnnual
49. MK-CF-F-074 tipsAnnual
50. MK-CF-F-140 periodsAYear
51. MK-CF-O-002 expenses
52. MK-CF-O-003 thisMonth
53. MK-CF-F-187 seniorDeductionFor
54. MK-ST-F-047 activeCurrency
55. MK-CF-F-130 enteredMonthlyRaw
56. MK-CF-F-166 hasMonthlySalaryTable
57. MK-ST-F-036 reconcile
58. MK-CF-F-167 salaryCalendarYear
59. MK-CF-F-075 retirementIncomeMonthly
60. MK-CF-F-070 benefitAnnual
61. MK-CF-F-067 rentalList
62. MK-CF-F-062 equityRowValue
63. MK-CF-F-063 rowVestYear
64. MK-CF-F-081 salaryActiveMonths
65. MK-CF-F-151 actualSpending
66. MK-CF-F-150 debtPaymentsCountedAsExpenses
67. MK-CF-F-153 radar
68. MK-CF-F-149 recurringDebtPayments
69. MK-CF-F-005 actualMonthFlow
70. MK-CF-F-156 plannedMonthFlow
71. MK-CF-F-165 salaryMonths
72. MK-CF-F-069 benefitActiveMonths
73. MK-CF-F-148 inMonth
74. MK-CF-F-191 ym
75. MK-CF-F-022 paymentShape
76. MK-CF-F-152 isRadarItem
77. MK-CF-F-023 requiredPayment
78. MK-NW-F-078 ONE
79. MK-CF-F-157 debtPaymentsByDebt
80. MK-CF-F-192 inflowLabel
81. MK-XS-F-027 takeHomeMonthly
82. MK-CF-F-021 defaultPaymentType
83. MK-NW-F-077 ALL
84. MK-NW-F-059 currentYield
85. MK-NW-O-001 theBonds
86. MK-CF-F-193 inflowSourceWord
87. MK-CF-F-092 incomeMonthlyGrid
88. MK-CF-F-011 savingsByMonth
89. MK-NW-F-057 annualCoupon
90. MK-ST-F-027 accountId
91. MK-NW-F-056 bondInfo
92. MK-NW-F-064 bondRateSensitivity
93. MK-NW-F-061 bondSummary
94. MK-NW-F-055 isBond
95. MK-NW-F-072 rowOf
96. MK-CF-F-065 equityVestWeights
97. MK-CF-F-087 monthlyTaxRates
98. MK-CF-F-073 otherIncomeMonth
99. MK-CF-F-077 scholarshipByCalendarMonth
100. MK-CF-F-088 taxableByCalendarMonth
101. MK-PL-F-012 waterfall
102. MK-CF-F-008 spendByMonth
103. MK-NW-F-060 approxYTM
104. MK-NW-F-069 priceAtYield
105. MK-NW-F-011 assetClassOf
106. MK-NW-F-070 accruedInterestCaveat
107. MK-NW-F-071 isCertificateOfDeposit
108. MK-NW-F-058 yearsToMaturity
109. MK-CF-F-090 effectiveRate
110. MK-CF-F-120 pctBaseMonthly
111. MK-CF-F-004 spendBuckets
112. MK-NW-F-008 incomeBearingClassOf
113. MK-CF-F-003 categoryMonthly
114. MK-ST-F-010 nameEvidence
115. MK-XS-F-147 call
116. MK-XS-F-064 currentIdToken
117. MK-XS-F-112 relayUrl</t>
        </is>
      </c>
      <c r="R214" s="3" t="inlineStr">
        <is>
          <t>1. MK-ST-F-034 firstDate → MK-ST-F-035 covers → MK-CF-O-001 basePay → MK-CF-O-012 PAY_ESTIMATED
2. MK-CF-F-142 monthsOf → MK-CF-F-128 grossByMonth → MK-CF-F-143 annualisedGross → MK-CF-F-171 earnerPay → MK-CF-O-001 basePay → MK-CF-O-012 PAY_ESTIMATED
3. MK-CF-F-141 perMonth → MK-CF-F-128 grossByMonth → MK-CF-F-143 annualisedGross → MK-CF-F-171 earnerPay → MK-CF-O-001 basePay → MK-CF-O-012 PAY_ESTIMATED
4. MK-CF-F-128 grossByMonth → MK-CF-F-143 annualisedGross → MK-CF-F-145 deductionsFromPay → MK-CF-F-171 earnerPay → MK-CF-O-001 basePay → MK-CF-O-012 PAY_ESTIMATED
5. MK-CF-F-143 annualisedGross → MK-CF-F-144 takeHomeAsEntered → MK-CF-F-145 deductionsFromPay → MK-CF-F-171 earnerPay → MK-CF-O-001 basePay → MK-CF-O-012 PAY_ESTIMATED
6. MK-CF-F-142 monthsOf → MK-CF-F-144 takeHomeAsEntered → MK-CF-F-145 deductionsFromPay → MK-CF-F-171 earnerPay → MK-CF-O-001 basePay → MK-CF-O-012 PAY_ESTIMATED
7. MK-ST-F-039 on → MK-CF-F-144 takeHomeAsEntered → MK-CF-F-145 deductionsFromPay → MK-CF-F-171 earnerPay → MK-CF-O-001 basePay → MK-CF-O-012 PAY_ESTIMATED
8. MK-CF-F-101 taxOwedFor → MK-CF-F-144 takeHomeAsEntered → MK-CF-F-145 deductionsFromPay → MK-CF-F-171 earnerPay → MK-CF-O-001 basePay → MK-CF-O-012 PAY_ESTIMATED
9. … and 4 more paths</t>
        </is>
      </c>
      <c r="S214" s="3" t="inlineStr">
        <is>
          <t>—</t>
        </is>
      </c>
      <c r="T214" s="3" t="inlineStr">
        <is>
          <t>—</t>
        </is>
      </c>
      <c r="U214" s="3" t="inlineStr">
        <is>
          <t>ACTIVE</t>
        </is>
      </c>
      <c r="V214" s="3" t="inlineStr">
        <is>
          <t>2026-09-28</t>
        </is>
      </c>
      <c r="W214" s="3" t="n"/>
      <c r="X214" s="3" t="n"/>
      <c r="Y214" s="3" t="inlineStr">
        <is>
          <t>NOTHING OPEN</t>
        </is>
      </c>
    </row>
    <row r="215" ht="60" customHeight="1">
      <c r="A215" s="3" t="inlineStr">
        <is>
          <t>MK-CF-O-013</t>
        </is>
      </c>
      <c r="B215" s="3" t="inlineStr">
        <is>
          <t>PAY_LANDS_TYPED</t>
        </is>
      </c>
      <c r="C215" s="3" t="inlineStr">
        <is>
          <t>MoneyKeel/functions/cashflow/base-pay.ts</t>
        </is>
      </c>
      <c r="D215" s="3" t="n">
        <v>715</v>
      </c>
      <c r="E215" s="3" t="inlineStr">
        <is>
          <t>1 · ACTION</t>
        </is>
      </c>
      <c r="F215" s="3" t="inlineStr">
        <is>
          <t>Example only: runs basePay on the worked example household with the take-home entered.</t>
        </is>
      </c>
      <c r="G215" s="11" t="inlineStr">
        <is>
          <t>NOT READ YET — the body is not a shape this can render faithfully, so nothing is claimed rather than something being guessed. It needs reading by hand.</t>
        </is>
      </c>
      <c r="H215" s="3" t="inlineStr">
        <is>
          <t>NOT READ YET — the body is not a shape this can render faithfully, so nothing is claimed rather than something being guessed. It needs reading by hand.</t>
        </is>
      </c>
      <c r="I215" s="3" t="inlineStr">
        <is>
          <t>NOT READ — nothing is claimed rather than something guessed</t>
        </is>
      </c>
      <c r="J215" s="3" t="inlineStr">
        <is>
          <t>Nothing is handed to it</t>
        </is>
      </c>
      <c r="K215" s="3" t="inlineStr">
        <is>
          <t>EXAMPLE_EARNERS_WITH_LANDS as any, filingStatus: 'married', over65: 0, profile:</t>
        </is>
      </c>
      <c r="L215" s="3" t="inlineStr">
        <is>
          <t>—</t>
        </is>
      </c>
      <c r="M215" s="3" t="inlineStr">
        <is>
          <t>None found in this function — anything it assumes comes from the functions it depends on.</t>
        </is>
      </c>
      <c r="N215" s="3" t="inlineStr">
        <is>
          <t>No</t>
        </is>
      </c>
      <c r="O215" s="3" t="inlineStr">
        <is>
          <t>1. MK-CF-O-011 PAY
2. MK-CF-O-012 PAY_ESTIMATED
3. MK-CF-O-001 basePay
4. MK-XS-F-180 declareFigures
5. MK-ST-F-039 on</t>
        </is>
      </c>
      <c r="P215" s="3" t="n">
        <v>119</v>
      </c>
      <c r="Q215" s="3" t="inlineStr">
        <is>
          <t>1. MK-CF-O-011 PAY
2. MK-CF-O-012 PAY_ESTIMATED
3. MK-CF-O-001 basePay
4. MK-XS-F-180 declareFigures
5. MK-ST-F-039 on
6. MK-ST-F-035 covers
7. MK-CF-F-171 earnerPay
8. MK-CF-F-204 line
9. MK-CF-F-132 map
10. MK-CF-F-103 marginalBracketFor
11. MK-ST-F-053 money
12. MK-HM-F-006 money0
13. MK-XS-F-122 n
14. MK-CF-F-198 payrollTaxWithheld
15. MK-CF-F-181 rateInForce
16. MK-ST-F-034 firstDate
17. MK-CF-F-143 annualisedGross
18. MK-CF-F-145 deductionsFromPay
19. MK-CF-F-128 grossByMonth
20. MK-CF-F-146 payFiguresAgree
21. MK-CF-F-144 takeHomeAsEntered
22. MK-ST-F-052 toNum
23. MK-CF-F-203 MONTH
24. MK-CF-F-100 taxableIncomeFor
25. MK-ST-F-049 formatMoney
26. MK-CF-F-155 cash
27. MK-HM-F-005 pctTxt
28. MK-CF-F-173 earnerWages
29. MK-CF-F-180 enteredLandsAnnual
30. MK-CF-F-085 filingStatusOf
31. MK-CF-F-206 householdK401ByMonth
32. MK-CF-F-089 over65CountOf
33. MK-CF-F-082 salaryAnnual
34. MK-CF-F-086 stateRateOf
35. MK-CF-F-101 taxOwedFor
36. MK-CF-F-084 taxableAnnual
37. MK-CF-F-142 monthsOf
38. MK-CF-F-141 perMonth
39. MK-ST-F-056 has
40. MK-CF-O-010 theMonth
41. MK-CF-F-099 deductionFor
42. MK-ST-F-048 currencySymbol
43. MK-CF-F-172 hasWage
44. MK-CF-F-176 sumMonthsOverEarners
45. MK-CF-F-177 wageGrossByMonth
46. MK-CF-F-060 salaryGrossByMonth
47. MK-CF-F-072 currentRetirementIncomeMonthly
48. MK-CF-F-071 extraIncome
49. MK-CF-F-068 rentalNetAnnual
50. MK-CF-F-066 rsuAnnual
51. MK-CF-F-074 tipsAnnual
52. MK-CF-F-140 periodsAYear
53. MK-CF-O-002 expenses
54. MK-CF-O-003 thisMonth
55. MK-CF-F-187 seniorDeductionFor
56. MK-ST-F-047 activeCurrency
57. MK-CF-F-130 enteredMonthlyRaw
58. MK-CF-F-166 hasMonthlySalaryTable
59. MK-ST-F-036 reconcile
60. MK-CF-F-167 salaryCalendarYear
61. MK-CF-F-075 retirementIncomeMonthly
62. MK-CF-F-070 benefitAnnual
63. MK-CF-F-067 rentalList
64. MK-CF-F-062 equityRowValue
65. MK-CF-F-063 rowVestYear
66. MK-CF-F-081 salaryActiveMonths
67. MK-CF-F-151 actualSpending
68. MK-CF-F-150 debtPaymentsCountedAsExpenses
69. MK-CF-F-153 radar
70. MK-CF-F-149 recurringDebtPayments
71. MK-CF-F-005 actualMonthFlow
72. MK-CF-F-156 plannedMonthFlow
73. MK-CF-F-165 salaryMonths
74. MK-CF-F-069 benefitActiveMonths
75. MK-CF-F-148 inMonth
76. MK-CF-F-191 ym
77. MK-CF-F-022 paymentShape
78. MK-CF-F-152 isRadarItem
79. MK-CF-F-023 requiredPayment
80. MK-NW-F-078 ONE
81. MK-CF-F-157 debtPaymentsByDebt
82. MK-CF-F-192 inflowLabel
83. MK-XS-F-027 takeHomeMonthly
84. MK-CF-F-021 defaultPaymentType
85. MK-NW-F-077 ALL
86. MK-NW-F-059 currentYield
87. MK-NW-O-001 theBonds
88. MK-CF-F-193 inflowSourceWord
89. MK-CF-F-092 incomeMonthlyGrid
90. MK-CF-F-011 savingsByMonth
91. MK-NW-F-057 annualCoupon
92. MK-ST-F-027 accountId
93. MK-NW-F-056 bondInfo
94. MK-NW-F-064 bondRateSensitivity
95. MK-NW-F-061 bondSummary
96. MK-NW-F-055 isBond
97. MK-NW-F-072 rowOf
98. MK-CF-F-065 equityVestWeights
99. MK-CF-F-087 monthlyTaxRates
100. MK-CF-F-073 otherIncomeMonth
101. MK-CF-F-077 scholarshipByCalendarMonth
102. MK-CF-F-088 taxableByCalendarMonth
103. MK-PL-F-012 waterfall
104. MK-CF-F-008 spendByMonth
105. MK-NW-F-060 approxYTM
106. MK-NW-F-069 priceAtYield
107. MK-NW-F-011 assetClassOf
108. MK-NW-F-070 accruedInterestCaveat
109. MK-NW-F-071 isCertificateOfDeposit
110. MK-NW-F-058 yearsToMaturity
111. MK-CF-F-090 effectiveRate
112. MK-CF-F-120 pctBaseMonthly
113. MK-CF-F-004 spendBuckets
114. MK-NW-F-008 incomeBearingClassOf
115. MK-CF-F-003 categoryMonthly
116. MK-ST-F-010 nameEvidence
117. MK-XS-F-147 call
118. MK-XS-F-064 currentIdToken
119. MK-XS-F-112 relayUrl</t>
        </is>
      </c>
      <c r="R215" s="3" t="inlineStr">
        <is>
          <t>1. MK-ST-F-034 firstDate → MK-ST-F-035 covers → MK-CF-O-001 basePay → MK-CF-O-011 PAY → MK-CF-O-013 PAY_LANDS_TYPED
2. MK-CF-F-128 grossByMonth → MK-CF-F-143 annualisedGross → MK-CF-F-171 earnerPay → MK-CF-O-001 basePay → MK-CF-O-011 PAY → MK-CF-O-013 PAY_LANDS_TYPED
3. MK-CF-F-143 annualisedGross → MK-CF-F-145 deductionsFromPay → MK-CF-F-171 earnerPay → MK-CF-O-001 basePay → MK-CF-O-011 PAY → MK-CF-O-013 PAY_LANDS_TYPED
4. MK-CF-F-144 takeHomeAsEntered → MK-CF-F-145 deductionsFromPay → MK-CF-F-171 earnerPay → MK-CF-O-001 basePay → MK-CF-O-011 PAY → MK-CF-O-013 PAY_LANDS_TYPED
5. MK-ST-F-052 toNum → MK-CF-F-145 deductionsFromPay → MK-CF-F-171 earnerPay → MK-CF-O-001 basePay → MK-CF-O-011 PAY → MK-CF-O-013 PAY_LANDS_TYPED
6. MK-CF-F-142 monthsOf → MK-CF-F-128 grossByMonth → MK-CF-F-171 earnerPay → MK-CF-O-001 basePay → MK-CF-O-011 PAY → MK-CF-O-013 PAY_LANDS_TYPED
7. MK-CF-F-141 perMonth → MK-CF-F-128 grossByMonth → MK-CF-F-171 earnerPay → MK-CF-O-001 basePay → MK-CF-O-011 PAY → MK-CF-O-013 PAY_LANDS_TYPED
8. MK-ST-F-049 formatMoney → MK-ST-F-053 money → MK-CF-F-171 earnerPay → MK-CF-O-001 basePay → MK-CF-O-011 PAY → MK-CF-O-013 PAY_LANDS_TYPED
9. … and 5 more paths</t>
        </is>
      </c>
      <c r="S215" s="3" t="inlineStr">
        <is>
          <t>—</t>
        </is>
      </c>
      <c r="T215" s="3" t="inlineStr">
        <is>
          <t>—</t>
        </is>
      </c>
      <c r="U215" s="3" t="inlineStr">
        <is>
          <t>ACTIVE</t>
        </is>
      </c>
      <c r="V215" s="3" t="inlineStr">
        <is>
          <t>2026-09-28</t>
        </is>
      </c>
      <c r="W215" s="3" t="n"/>
      <c r="X215" s="3" t="n"/>
      <c r="Y215" s="3" t="inlineStr">
        <is>
          <t>NOTHING OPEN</t>
        </is>
      </c>
    </row>
    <row r="216" ht="60" customHeight="1">
      <c r="A216" s="3" t="inlineStr">
        <is>
          <t>MK-CF-O-014</t>
        </is>
      </c>
      <c r="B216" s="3" t="inlineStr">
        <is>
          <t>M</t>
        </is>
      </c>
      <c r="C216" s="3" t="inlineStr">
        <is>
          <t>MoneyKeel/functions/cashflow/this-month.ts</t>
        </is>
      </c>
      <c r="D216" s="3" t="n">
        <v>483</v>
      </c>
      <c r="E216" s="3" t="inlineStr">
        <is>
          <t>1 · ACTION</t>
        </is>
      </c>
      <c r="F216" s="3" t="inlineStr">
        <is>
          <t>Example only: runs thisMonth on the worked example and calculates nothing of its own.</t>
        </is>
      </c>
      <c r="G216" s="11" t="inlineStr">
        <is>
          <t>this month(EXAMPLE)</t>
        </is>
      </c>
      <c r="H216" s="3" t="inlineStr">
        <is>
          <t>this month(EXAMPLE)</t>
        </is>
      </c>
      <c r="I216" s="3" t="inlineStr">
        <is>
          <t>READ FROM THE CODE — rendered from the expressions the function runs</t>
        </is>
      </c>
      <c r="J216" s="3" t="inlineStr">
        <is>
          <t>Nothing is handed to it</t>
        </is>
      </c>
      <c r="K216" s="3" t="inlineStr">
        <is>
          <t>NOT DECLARED — the code does not say what it gives back</t>
        </is>
      </c>
      <c r="L216" s="3" t="inlineStr">
        <is>
          <t>—</t>
        </is>
      </c>
      <c r="M216" s="3" t="inlineStr">
        <is>
          <t>None found in this function — anything it assumes comes from the functions it depends on.</t>
        </is>
      </c>
      <c r="N216" s="3" t="inlineStr">
        <is>
          <t>No</t>
        </is>
      </c>
      <c r="O216" s="3" t="inlineStr">
        <is>
          <t>MK-CF-O-003 thisMonth</t>
        </is>
      </c>
      <c r="P216" s="3" t="n">
        <v>100</v>
      </c>
      <c r="Q216" s="3" t="inlineStr">
        <is>
          <t>1. MK-CF-O-003 thisMonth
2. MK-CF-F-005 actualMonthFlow
3. MK-CF-F-156 plannedMonthFlow
4. MK-NW-F-078 ONE
5. MK-CF-F-155 cash
6. MK-CF-F-157 debtPaymentsByDebt
7. MK-CF-F-148 inMonth
8. MK-CF-F-192 inflowLabel
9. MK-CF-F-152 isRadarItem
10. MK-CF-F-023 requiredPayment
11. MK-XS-F-027 takeHomeMonthly
12. MK-ST-F-052 toNum
13. MK-CF-F-191 ym
14. MK-NW-F-077 ALL
15. MK-NW-F-059 currentYield
16. MK-XS-F-180 declareFigures
17. MK-ST-F-049 formatMoney
18. MK-ST-F-053 money
19. MK-NW-O-001 theBonds
20. MK-XS-F-122 n
21. MK-CF-F-203 MONTH
22. MK-CF-F-132 map
23. MK-CF-F-193 inflowSourceWord
24. MK-CF-F-022 paymentShape
25. MK-CF-F-092 incomeMonthlyGrid
26. MK-CF-F-011 savingsByMonth
27. MK-NW-F-057 annualCoupon
28. MK-ST-F-048 currencySymbol
29. MK-ST-F-039 on
30. MK-ST-F-027 accountId
31. MK-NW-F-056 bondInfo
32. MK-NW-F-064 bondRateSensitivity
33. MK-NW-F-061 bondSummary
34. MK-NW-F-055 isBond
35. MK-NW-F-072 rowOf
36. MK-CF-O-010 theMonth
37. MK-CF-F-021 defaultPaymentType
38. MK-CF-F-069 benefitActiveMonths
39. MK-CF-F-072 currentRetirementIncomeMonthly
40. MK-CF-F-173 earnerWages
41. MK-CF-F-065 equityVestWeights
42. MK-CF-F-071 extraIncome
43. MK-ST-F-056 has
44. MK-CF-F-206 householdK401ByMonth
45. MK-CF-F-087 monthlyTaxRates
46. MK-CF-F-073 otherIncomeMonth
47. MK-CF-F-181 rateInForce
48. MK-CF-F-068 rentalNetAnnual
49. MK-CF-F-066 rsuAnnual
50. MK-CF-F-060 salaryGrossByMonth
51. MK-CF-F-077 scholarshipByCalendarMonth
52. MK-CF-F-088 taxableByCalendarMonth
53. MK-CF-F-177 wageGrossByMonth
54. MK-PL-F-012 waterfall
55. MK-CF-F-008 spendByMonth
56. MK-ST-F-047 activeCurrency
57. MK-NW-F-060 approxYTM
58. MK-NW-F-069 priceAtYield
59. MK-NW-F-011 assetClassOf
60. MK-NW-F-070 accruedInterestCaveat
61. MK-NW-F-071 isCertificateOfDeposit
62. MK-NW-F-058 yearsToMaturity
63. MK-CF-O-002 expenses
64. MK-CF-F-075 retirementIncomeMonthly
65. MK-CF-F-172 hasWage
66. MK-CF-F-062 equityRowValue
67. MK-CF-F-070 benefitAnnual
68. MK-CF-F-176 sumMonthsOverEarners
69. MK-CF-F-090 effectiveRate
70. MK-CF-F-180 enteredLandsAnnual
71. MK-CF-F-085 filingStatusOf
72. MK-CF-F-089 over65CountOf
73. MK-CF-F-082 salaryAnnual
74. MK-CF-F-086 stateRateOf
75. MK-CF-F-101 taxOwedFor
76. MK-CF-F-084 taxableAnnual
77. MK-CF-F-067 rentalList
78. MK-CF-F-063 rowVestYear
79. MK-CF-F-130 enteredMonthlyRaw
80. MK-CF-F-166 hasMonthlySalaryTable
81. MK-ST-F-036 reconcile
82. MK-CF-F-167 salaryCalendarYear
83. MK-CF-F-120 pctBaseMonthly
84. MK-CF-F-004 spendBuckets
85. MK-NW-F-008 incomeBearingClassOf
86. MK-CF-F-151 actualSpending
87. MK-CF-F-150 debtPaymentsCountedAsExpenses
88. MK-CF-F-153 radar
89. MK-CF-F-149 recurringDebtPayments
90. MK-CF-F-100 taxableIncomeFor
91. MK-CF-F-074 tipsAnnual
92. MK-CF-F-165 salaryMonths
93. MK-CF-F-003 categoryMonthly
94. MK-ST-F-010 nameEvidence
95. MK-CF-F-099 deductionFor
96. MK-CF-F-081 salaryActiveMonths
97. MK-XS-F-147 call
98. MK-CF-F-187 seniorDeductionFor
99. MK-XS-F-064 currentIdToken
100. MK-XS-F-112 relayUrl</t>
        </is>
      </c>
      <c r="R216" s="3" t="inlineStr">
        <is>
          <t>1. MK-NW-O-001 theBonds → MK-NW-F-077 ALL → MK-NW-F-078 ONE → MK-CF-F-005 actualMonthFlow → MK-CF-O-003 thisMonth → MK-CF-O-014 M
2. MK-NW-F-057 annualCoupon → MK-NW-F-059 currentYield → MK-NW-F-078 ONE → MK-CF-F-005 actualMonthFlow → MK-CF-O-003 thisMonth → MK-CF-O-014 M
3. MK-XS-F-180 declareFigures → MK-NW-F-078 ONE → MK-CF-F-005 actualMonthFlow → MK-CF-O-003 thisMonth → MK-CF-O-014 M
4. MK-ST-F-048 currencySymbol → MK-ST-F-049 formatMoney → MK-NW-F-078 ONE → MK-CF-F-005 actualMonthFlow → MK-CF-O-003 thisMonth → MK-CF-O-014 M
5. MK-XS-F-122 n → MK-ST-F-049 formatMoney → MK-NW-F-078 ONE → MK-CF-F-005 actualMonthFlow → MK-CF-O-003 thisMonth → MK-CF-O-014 M
6. MK-ST-F-039 on → MK-ST-F-049 formatMoney → MK-NW-F-078 ONE → MK-CF-F-005 actualMonthFlow → MK-CF-O-003 thisMonth → MK-CF-O-014 M
7. MK-ST-F-049 formatMoney → MK-ST-F-053 money → MK-NW-F-078 ONE → MK-CF-F-005 actualMonthFlow → MK-CF-O-003 thisMonth → MK-CF-O-014 M
8. MK-XS-F-122 n → MK-ST-F-053 money → MK-NW-F-078 ONE → MK-CF-F-005 actualMonthFlow → MK-CF-O-003 thisMonth → MK-CF-O-014 M
9. … and 4 more paths</t>
        </is>
      </c>
      <c r="S216" s="3" t="inlineStr">
        <is>
          <t>—</t>
        </is>
      </c>
      <c r="T216" s="3" t="inlineStr">
        <is>
          <t>—</t>
        </is>
      </c>
      <c r="U216" s="3" t="inlineStr">
        <is>
          <t>ACTIVE</t>
        </is>
      </c>
      <c r="V216" s="3" t="inlineStr">
        <is>
          <t>2026-09-28</t>
        </is>
      </c>
      <c r="W216" s="3" t="n"/>
      <c r="X216" s="3" t="n"/>
      <c r="Y216" s="3" t="inlineStr">
        <is>
          <t>NOTHING OPEN</t>
        </is>
      </c>
    </row>
    <row r="217" ht="60" customHeight="1">
      <c r="A217" s="3" t="inlineStr">
        <is>
          <t>MK-CF-O-015</t>
        </is>
      </c>
      <c r="B217" s="3" t="inlineStr">
        <is>
          <t>workedLineAmount</t>
        </is>
      </c>
      <c r="C217" s="3" t="inlineStr">
        <is>
          <t>MoneyKeel/functions/cashflow/this-month.ts</t>
        </is>
      </c>
      <c r="D217" s="3" t="n">
        <v>503</v>
      </c>
      <c r="E217" s="3" t="inlineStr">
        <is>
          <t>1 · ACTION</t>
        </is>
      </c>
      <c r="F217" s="3" t="inlineStr">
        <is>
          <t>Example only: reads one row's amount from the worked example of the month.</t>
        </is>
      </c>
      <c r="G217" s="11" t="inlineStr">
        <is>
          <t>NOT READ YET — the body is not a shape this can render faithfully, so nothing is claimed rather than something being guessed. It needs reading by hand.</t>
        </is>
      </c>
      <c r="H217" s="3" t="inlineStr">
        <is>
          <t>NOT READ YET — the body is not a shape this can render faithfully, so nothing is claimed rather than something being guessed. It needs reading by hand.</t>
        </is>
      </c>
      <c r="I217" s="3" t="inlineStr">
        <is>
          <t>NOT READ — nothing is claimed rather than something guessed</t>
        </is>
      </c>
      <c r="J217" s="3" t="inlineStr">
        <is>
          <t>1. block: 'planned' | 'actual'
2. startsWith: string</t>
        </is>
      </c>
      <c r="K217" s="3" t="inlineStr">
        <is>
          <t>NOT DECLARED — the code does not say what it gives back</t>
        </is>
      </c>
      <c r="L217" s="3" t="inlineStr">
        <is>
          <t>—</t>
        </is>
      </c>
      <c r="M217" s="3" t="inlineStr">
        <is>
          <t>None found in this function — anything it assumes comes from the functions it depends on.</t>
        </is>
      </c>
      <c r="N217" s="3" t="inlineStr">
        <is>
          <t>No</t>
        </is>
      </c>
      <c r="O217" s="3" t="inlineStr">
        <is>
          <t>1. MK-CF-O-014 M
2. MK-XS-F-180 declareFigures</t>
        </is>
      </c>
      <c r="P217" s="3" t="n">
        <v>101</v>
      </c>
      <c r="Q217" s="3" t="inlineStr">
        <is>
          <t>1. MK-CF-O-014 M
2. MK-XS-F-180 declareFigures
3. MK-CF-O-003 thisMonth
4. MK-CF-F-005 actualMonthFlow
5. MK-CF-F-156 plannedMonthFlow
6. MK-NW-F-078 ONE
7. MK-CF-F-155 cash
8. MK-CF-F-157 debtPaymentsByDebt
9. MK-CF-F-148 inMonth
10. MK-CF-F-192 inflowLabel
11. MK-CF-F-152 isRadarItem
12. MK-CF-F-023 requiredPayment
13. MK-XS-F-027 takeHomeMonthly
14. MK-ST-F-052 toNum
15. MK-CF-F-191 ym
16. MK-NW-F-077 ALL
17. MK-NW-F-059 currentYield
18. MK-ST-F-049 formatMoney
19. MK-ST-F-053 money
20. MK-NW-O-001 theBonds
21. MK-XS-F-122 n
22. MK-CF-F-203 MONTH
23. MK-CF-F-132 map
24. MK-CF-F-193 inflowSourceWord
25. MK-CF-F-022 paymentShape
26. MK-CF-F-092 incomeMonthlyGrid
27. MK-CF-F-011 savingsByMonth
28. MK-NW-F-057 annualCoupon
29. MK-ST-F-048 currencySymbol
30. MK-ST-F-039 on
31. MK-ST-F-027 accountId
32. MK-NW-F-056 bondInfo
33. MK-NW-F-064 bondRateSensitivity
34. MK-NW-F-061 bondSummary
35. MK-NW-F-055 isBond
36. MK-NW-F-072 rowOf
37. MK-CF-O-010 theMonth
38. MK-CF-F-021 defaultPaymentType
39. MK-CF-F-069 benefitActiveMonths
40. MK-CF-F-072 currentRetirementIncomeMonthly
41. MK-CF-F-173 earnerWages
42. MK-CF-F-065 equityVestWeights
43. MK-CF-F-071 extraIncome
44. MK-ST-F-056 has
45. MK-CF-F-206 householdK401ByMonth
46. MK-CF-F-087 monthlyTaxRates
47. MK-CF-F-073 otherIncomeMonth
48. MK-CF-F-181 rateInForce
49. MK-CF-F-068 rentalNetAnnual
50. MK-CF-F-066 rsuAnnual
51. MK-CF-F-060 salaryGrossByMonth
52. MK-CF-F-077 scholarshipByCalendarMonth
53. MK-CF-F-088 taxableByCalendarMonth
54. MK-CF-F-177 wageGrossByMonth
55. MK-PL-F-012 waterfall
56. MK-CF-F-008 spendByMonth
57. MK-ST-F-047 activeCurrency
58. MK-NW-F-060 approxYTM
59. MK-NW-F-069 priceAtYield
60. MK-NW-F-011 assetClassOf
61. MK-NW-F-070 accruedInterestCaveat
62. MK-NW-F-071 isCertificateOfDeposit
63. MK-NW-F-058 yearsToMaturity
64. MK-CF-O-002 expenses
65. MK-CF-F-075 retirementIncomeMonthly
66. MK-CF-F-172 hasWage
67. MK-CF-F-062 equityRowValue
68. MK-CF-F-070 benefitAnnual
69. MK-CF-F-176 sumMonthsOverEarners
70. MK-CF-F-090 effectiveRate
71. MK-CF-F-180 enteredLandsAnnual
72. MK-CF-F-085 filingStatusOf
73. MK-CF-F-089 over65CountOf
74. MK-CF-F-082 salaryAnnual
75. MK-CF-F-086 stateRateOf
76. MK-CF-F-101 taxOwedFor
77. MK-CF-F-084 taxableAnnual
78. MK-CF-F-067 rentalList
79. MK-CF-F-063 rowVestYear
80. MK-CF-F-130 enteredMonthlyRaw
81. MK-CF-F-166 hasMonthlySalaryTable
82. MK-ST-F-036 reconcile
83. MK-CF-F-167 salaryCalendarYear
84. MK-CF-F-120 pctBaseMonthly
85. MK-CF-F-004 spendBuckets
86. MK-NW-F-008 incomeBearingClassOf
87. MK-CF-F-151 actualSpending
88. MK-CF-F-150 debtPaymentsCountedAsExpenses
89. MK-CF-F-153 radar
90. MK-CF-F-149 recurringDebtPayments
91. MK-CF-F-100 taxableIncomeFor
92. MK-CF-F-074 tipsAnnual
93. MK-CF-F-165 salaryMonths
94. MK-CF-F-003 categoryMonthly
95. MK-ST-F-010 nameEvidence
96. MK-CF-F-099 deductionFor
97. MK-CF-F-081 salaryActiveMonths
98. MK-XS-F-147 call
99. MK-CF-F-187 seniorDeductionFor
100. MK-XS-F-064 currentIdToken
101. MK-XS-F-112 relayUrl</t>
        </is>
      </c>
      <c r="R217" s="3" t="inlineStr">
        <is>
          <t>1. MK-NW-F-077 ALL → MK-NW-F-078 ONE → MK-CF-F-005 actualMonthFlow → MK-CF-O-003 thisMonth → MK-CF-O-014 M → MK-CF-O-015 workedLineAmount
2. MK-NW-F-059 currentYield → MK-NW-F-078 ONE → MK-CF-F-005 actualMonthFlow → MK-CF-O-003 thisMonth → MK-CF-O-014 M → MK-CF-O-015 workedLineAmount
3. MK-XS-F-180 declareFigures → MK-NW-F-078 ONE → MK-CF-F-005 actualMonthFlow → MK-CF-O-003 thisMonth → MK-CF-O-014 M → MK-CF-O-015 workedLineAmount
4. MK-ST-F-049 formatMoney → MK-NW-F-078 ONE → MK-CF-F-005 actualMonthFlow → MK-CF-O-003 thisMonth → MK-CF-O-014 M → MK-CF-O-015 workedLineAmount
5. MK-ST-F-053 money → MK-NW-F-078 ONE → MK-CF-F-005 actualMonthFlow → MK-CF-O-003 thisMonth → MK-CF-O-014 M → MK-CF-O-015 workedLineAmount
6. MK-NW-O-001 theBonds → MK-NW-F-078 ONE → MK-CF-F-005 actualMonthFlow → MK-CF-O-003 thisMonth → MK-CF-O-014 M → MK-CF-O-015 workedLineAmount
7. MK-XS-F-122 n → MK-CF-F-155 cash → MK-CF-F-005 actualMonthFlow → MK-CF-O-003 thisMonth → MK-CF-O-014 M → MK-CF-O-015 workedLineAmount
8. MK-CF-F-203 MONTH → MK-CF-F-157 debtPaymentsByDebt → MK-CF-F-005 actualMonthFlow → MK-CF-O-003 thisMonth → MK-CF-O-014 M → MK-CF-O-015 workedLineAmount
9. … and 5 more paths</t>
        </is>
      </c>
      <c r="S217" s="3" t="inlineStr">
        <is>
          <t>—</t>
        </is>
      </c>
      <c r="T217" s="3" t="inlineStr">
        <is>
          <t>—</t>
        </is>
      </c>
      <c r="U217" s="3" t="inlineStr">
        <is>
          <t>ACTIVE</t>
        </is>
      </c>
      <c r="V217" s="3" t="inlineStr">
        <is>
          <t>2026-09-28</t>
        </is>
      </c>
      <c r="W217" s="3" t="n"/>
      <c r="X217" s="3" t="n"/>
      <c r="Y217" s="3" t="inlineStr">
        <is>
          <t>NOTHING OPEN</t>
        </is>
      </c>
    </row>
    <row r="218" ht="60" customHeight="1">
      <c r="A218" s="3" t="inlineStr">
        <is>
          <t>MK-CF-O-016</t>
        </is>
      </c>
      <c r="B218" s="3" t="inlineStr">
        <is>
          <t>incomeSources</t>
        </is>
      </c>
      <c r="C218" s="3" t="inlineStr">
        <is>
          <t>MoneyKeel/functions/cashflow/income-summary.ts</t>
        </is>
      </c>
      <c r="D218" s="3" t="n">
        <v>482</v>
      </c>
      <c r="E218" s="3" t="inlineStr">
        <is>
          <t>3 · DEPENDENT</t>
        </is>
      </c>
      <c r="F218" s="3" t="inlineStr">
        <is>
          <t>Which sources of income has this household entered, and what does each one bring in?</t>
        </is>
      </c>
      <c r="G218" s="11" t="inlineStr">
        <is>
          <t>o = (op ?? {}) as any
out = []
wages = earner wages(o)
varies = string((w as any).salary mode) = 'varies' (or !!(w as any).salary by month when missing or zero)
whose = 'You'   if w = o
spouse name (or 'Spouse' when missing or zero)   otherwise   if wages.length &gt; 1
nothing   otherwise
m = bonus month read as a number
vesting = rsu annual(o)
rent = rental net annual(o)
guaranteed = retirement income monthly(o)
the answer = out</t>
        </is>
      </c>
      <c r="H218" s="3" t="inlineStr">
        <is>
          <t>O is (op ?? {}) as any. Out is []. Wages is earner wages(o). Varies is string((w as any).salary mode) = 'varies' (or !!(w as any).salary by month — when missing or zero). Whose is 'You' — when w = o; spouse name (or 'Spouse' when missing or zero) — otherwise — when wages.length &gt; 1; no answer — otherwise. M is bonus month read as a number. Vesting is rsu annual(o). Rent is rental net annual(o). Guaranteed is retirement income monthly(o). The answer is out.</t>
        </is>
      </c>
      <c r="I218" s="3" t="inlineStr">
        <is>
          <t>PARTLY READ — some of the code is still showing through; needs a hand pass</t>
        </is>
      </c>
      <c r="J218" s="3" t="inlineStr">
        <is>
          <t>op: Record&lt;string, any&gt; | null</t>
        </is>
      </c>
      <c r="K218" s="3" t="inlineStr">
        <is>
          <t>IncomeSource[]</t>
        </is>
      </c>
      <c r="L218" s="3" t="inlineStr">
        <is>
          <t>—</t>
        </is>
      </c>
      <c r="M218" s="3" t="inlineStr">
        <is>
          <t>None found in this function — anything it assumes comes from the functions it depends on.</t>
        </is>
      </c>
      <c r="N218" s="3" t="inlineStr">
        <is>
          <t>Yes</t>
        </is>
      </c>
      <c r="O218" s="3" t="inlineStr">
        <is>
          <t>1. MK-CF-F-207 SOURCE
2. MK-CF-F-072 currentRetirementIncomeMonthly
3. MK-CF-F-173 earnerWages
4. MK-CF-F-068 rentalNetAnnual
5. MK-CF-F-075 retirementIncomeMonthly
6. MK-CF-F-066 rsuAnnual
7. MK-ST-F-052 toNum</t>
        </is>
      </c>
      <c r="P218" s="3" t="n">
        <v>25</v>
      </c>
      <c r="Q218" s="3" t="inlineStr">
        <is>
          <t>1. MK-CF-F-207 SOURCE
2. MK-CF-F-072 currentRetirementIncomeMonthly
3. MK-CF-F-173 earnerWages
4. MK-CF-F-068 rentalNetAnnual
5. MK-CF-F-075 retirementIncomeMonthly
6. MK-CF-F-066 rsuAnnual
7. MK-ST-F-052 toNum
8. MK-CF-F-172 hasWage
9. MK-CF-O-002 expenses
10. MK-CF-F-067 rentalList
11. MK-CF-F-062 equityRowValue
12. MK-CF-F-132 map
13. MK-CF-F-063 rowVestYear
14. MK-XS-F-122 n
15. MK-ST-F-056 has
16. MK-CF-F-151 actualSpending
17. MK-CF-F-150 debtPaymentsCountedAsExpenses
18. MK-CF-F-153 radar
19. MK-CF-F-149 recurringDebtPayments
20. MK-CF-F-148 inMonth
21. MK-CF-F-191 ym
22. MK-CF-F-022 paymentShape
23. MK-CF-F-152 isRadarItem
24. MK-CF-F-023 requiredPayment
25. MK-CF-F-021 defaultPaymentType</t>
        </is>
      </c>
      <c r="R218" s="3" t="inlineStr">
        <is>
          <t>1. incomeSources (already above — a loop) → MK-CF-F-207 SOURCE → MK-CF-O-016 incomeSources
2. MK-XS-F-122 n → MK-ST-F-052 toNum → MK-CF-F-075 retirementIncomeMonthly → MK-CF-F-072 currentRetirementIncomeMonthly → MK-CF-O-016 incomeSources
3. MK-ST-F-056 has → MK-CF-F-172 hasWage → MK-CF-F-173 earnerWages → MK-CF-O-016 incomeSources
4. MK-CF-F-191 ym → MK-CF-F-148 inMonth → MK-CF-F-151 actualSpending → MK-CF-O-002 expenses → MK-CF-F-068 rentalNetAnnual → MK-CF-O-016 incomeSources
5. MK-XS-F-122 n → MK-ST-F-052 toNum → MK-CF-F-151 actualSpending → MK-CF-O-002 expenses → MK-CF-F-068 rentalNetAnnual → MK-CF-O-016 incomeSources
6. MK-CF-F-191 ym → MK-CF-F-151 actualSpending → MK-CF-O-002 expenses → MK-CF-F-068 rentalNetAnnual → MK-CF-O-016 incomeSources
7. MK-ST-F-056 has → MK-CF-F-150 debtPaymentsCountedAsExpenses → MK-CF-O-002 expenses → MK-CF-F-068 rentalNetAnnual → MK-CF-O-016 incomeSources
8. MK-CF-F-191 ym → MK-CF-F-148 inMonth → MK-CF-F-150 debtPaymentsCountedAsExpenses → MK-CF-O-002 expenses → MK-CF-F-068 rentalNetAnnual → MK-CF-O-016 incomeSources
9. … and 5 more paths</t>
        </is>
      </c>
      <c r="S218" s="3" t="inlineStr">
        <is>
          <t>—</t>
        </is>
      </c>
      <c r="T218" s="3" t="inlineStr">
        <is>
          <t>—</t>
        </is>
      </c>
      <c r="U218" s="3" t="inlineStr">
        <is>
          <t>ACTIVE</t>
        </is>
      </c>
      <c r="V218" s="3" t="inlineStr">
        <is>
          <t>2026-10-02</t>
        </is>
      </c>
      <c r="W218" s="3" t="n"/>
      <c r="X218" s="3" t="n"/>
      <c r="Y218" s="3" t="inlineStr">
        <is>
          <t>NOTHING OPEN</t>
        </is>
      </c>
    </row>
    <row r="219" ht="60" customHeight="1">
      <c r="A219" s="3" t="inlineStr">
        <is>
          <t>MK-CF-O-017</t>
        </is>
      </c>
      <c r="B219" s="3" t="inlineStr">
        <is>
          <t>futurePaycheck</t>
        </is>
      </c>
      <c r="C219" s="3" t="inlineStr">
        <is>
          <t>MoneyKeel/functions/cashflow/future-paycheck.ts</t>
        </is>
      </c>
      <c r="D219" s="3" t="n">
        <v>67</v>
      </c>
      <c r="E219" s="3" t="inlineStr">
        <is>
          <t>2 · DISPLAYED</t>
        </is>
      </c>
      <c r="F219" s="3" t="inlineStr">
        <is>
          <t>About what would a month bring in at retirement: the guaranteed income plus a level draw from savings?</t>
        </is>
      </c>
      <c r="G219" s="11" t="inlineStr">
        <is>
          <t>age = age from profile(op)
retire age = A.retire age (or op.target retirement age read as a number (or 67 when missing or zero) when missing)
guaranteed = Σ over guaranteed outside streams(op) of (monthly)
nothing   when age = nothing (or age ≥ retire age when missing or zero)
inputs = will it last inputs({ op, accounts: input.accounts ?? [], assumptions: A, big costs: input.big costs, inflation rate: input.inflation rate, employment status: input.employment status } as any)
nothing   when inputs is missing (or inputs.start balance ≤ 0 when missing or zero)
projected egg = simulate(inputs).projected at retirement
nothing   when projected egg is missing (or projected egg ≤ 0 when missing or zero)
the answer:
retire age = retire age
monthly = round(guaranteed + proj year.draw from savings monthly)
guaranteed = round(guaranteed)
draw = round(proj year.draw from savings monthly)</t>
        </is>
      </c>
      <c r="H219" s="3" t="inlineStr">
        <is>
          <t>Age is age from profile(op). Retire age is A.retire age (or op.target retirement age read as a number (or 67 — when missing or zero) — when missing). Guaranteed: the monthly added up across guaranteed outside streams(op). When age is missing (or age is at least retire age — when missing or zero), it answers no answer. Inputs is will it last inputs({ op, accounts: input.accounts ?? [], assumptions: A, big costs: input.big costs, inflation rate: input.inflation rate, employment status: input.employment status } as any). When inputs is missing (or inputs.start balance is at most 0 — when missing or zero), it answers no answer. Projected egg is simulate(inputs).projected at retirement. When projected egg is missing (or projected egg is at most 0 — when missing or zero), it answers no answer. The answer is retire age = retire age; monthly = guaranteed plus proj year.draw from savings monthly, to a whole number; guaranteed = guaranteed, to a whole number; draw = proj year.draw from savings monthly, to a whole number.</t>
        </is>
      </c>
      <c r="I219" s="3" t="inlineStr">
        <is>
          <t>PARTLY READ — some of the code is still showing through; needs a hand pass</t>
        </is>
      </c>
      <c r="J219" s="3" t="inlineStr">
        <is>
          <t>Nothing is handed to it</t>
        </is>
      </c>
      <c r="K219" s="3" t="inlineStr">
        <is>
          <t>NOT DECLARED — the code does not say what it gives back</t>
        </is>
      </c>
      <c r="L219" s="3" t="inlineStr">
        <is>
          <t>1. "Draw from savings" — on the Cash flow screen, under "YOUR FUTURE PAYCHECK"
2. "PROJECTION — an estimate, not a promise" — on the Cash flow screen, under "YOUR FUTURE PAYCHECK"
3. "Social Security
4. pension" — on the Cash flow screen, under "YOUR FUTURE PAYCHECK"</t>
        </is>
      </c>
      <c r="M219" s="3" t="inlineStr">
        <is>
          <t>· Rounds the answer to a whole number.</t>
        </is>
      </c>
      <c r="N219" s="3" t="inlineStr">
        <is>
          <t>Yes</t>
        </is>
      </c>
      <c r="O219" s="3" t="inlineStr">
        <is>
          <t>1. MK-CF-F-107 buildPaycheckYear
2. MK-XS-F-180 declareFigures
3. MK-CF-F-076 guaranteedOutsideStreams
4. MK-ST-F-039 on
5. MK-PL-F-050 simulate
6. MK-PL-F-001 taxBucketSplit
7. MK-PL-F-067 willItLastInputs
8. MK-PL-F-004 withdrawalOrder</t>
        </is>
      </c>
      <c r="P219" s="3" t="n">
        <v>149</v>
      </c>
      <c r="Q219" s="3" t="inlineStr">
        <is>
          <t>1. MK-CF-F-107 buildPaycheckYear
2. MK-XS-F-180 declareFigures
3. MK-CF-F-076 guaranteedOutsideStreams
4. MK-ST-F-039 on
5. MK-PL-F-050 simulate
6. MK-PL-F-001 taxBucketSplit
7. MK-PL-F-067 willItLastInputs
8. MK-PL-F-004 withdrawalOrder
9. MK-XS-F-004 buildDatedGrid
10. MK-CF-F-105 guaranteedRows
11. MK-CF-F-132 map
12. MK-NW-F-033 retirementEarmarkedValue
13. MK-CF-F-106 solveSafeDraw
14. MK-ST-F-052 toNum
15. MK-CF-O-002 expenses
16. MK-PL-F-074 median
17. MK-PL-F-072 mulberry32
18. MK-XS-F-122 n
19. MK-PL-F-073 normal
20. MK-PL-F-075 pctOfSorted
21. MK-ST-F-025 rmdStartAgeFromAge
22. MK-NW-F-032 earmarkedAmount
23. MK-CF-F-197 ageAttainedInYear
24. MK-XS-F-179 ageToday
25. MK-NW-F-037 blendedReturn
26. MK-NW-F-035 blendedVolatility
27. MK-CF-F-102 effectiveRateOnGrossFor
28. MK-CF-F-085 filingStatusOf
29. MK-PL-F-083 inflationRateInForce
30. MK-NW-F-041 monthlyContributionsFromOnboarding
31. MK-PL-F-079 numOrZero
32. MK-CF-F-089 over65CountOf
33. MK-NW-F-004 portfolioActualReturn
34. MK-PL-F-049 retirementSpendMonthly
35. MK-PL-F-060 ssBenefitAt
36. MK-CF-F-086 stateRateOf
37. MK-CF-F-083 totalGrossAnnual
38. MK-PL-F-065 volOf
39. MK-PL-F-007 rmdAtAge
40. MK-PL-F-005 rmdStartAgeFor
41. MK-CF-F-069 benefitActiveMonths
42. MK-CF-F-072 currentRetirementIncomeMonthly
43. MK-CF-F-018 equityByMonth
44. MK-ST-F-056 has
45. MK-CF-F-204 line
46. MK-ST-F-053 money
47. MK-CF-F-087 monthlyTaxRates
48. MK-CF-F-073 otherIncomeMonth
49. MK-CF-F-022 paymentShape
50. MK-CF-F-068 rentalNetAnnual
51. MK-CF-F-023 requiredPayment
52. MK-CF-F-060 salaryGrossByMonth
53. MK-CF-F-008 spendByMonth
54. MK-NW-F-031 primaryCarIdOf
55. MK-CF-F-151 actualSpending
56. MK-CF-F-150 debtPaymentsCountedAsExpenses
57. MK-CF-F-153 radar
58. MK-CF-F-149 recurringDebtPayments
59. MK-ST-F-024 rmdStartAge
60. MK-NW-F-030 earmarkDefault
61. MK-XS-F-017 currentAge
62. MK-NW-F-034 benchmarkReturn
63. MK-CF-F-155 cash
64. MK-CF-F-101 taxOwedFor
65. MK-CF-F-078 employerMatchMonthly
66. MK-PL-F-047 colFactor
67. MK-PL-F-058 ssClaimFactorFor
68. MK-CF-F-071 extraIncome
69. MK-CF-F-066 rsuAnnual
70. MK-CF-F-082 salaryAnnual
71. MK-CF-F-074 tipsAnnual
72. MK-PL-F-077 clamp
73. MK-PL-F-078 rmdDivisorAtAge
74. MK-CF-F-075 retirementIncomeMonthly
75. MK-CF-F-062 equityRowValue
76. MK-CF-F-121 zero12
77. MK-CF-F-203 MONTH
78. MK-ST-F-049 formatMoney
79. MK-CF-F-090 effectiveRate
80. MK-CF-F-021 defaultPaymentType
81. MK-CF-F-067 rentalList
82. MK-CF-F-176 sumMonthsOverEarners
83. MK-CF-F-177 wageGrossByMonth
84. MK-CF-F-120 pctBaseMonthly
85. MK-CF-F-004 spendBuckets
86. MK-NW-F-011 assetClassOf
87. MK-CF-F-148 inMonth
88. MK-CF-F-191 ym
89. MK-CF-F-152 isRadarItem
90. MK-NW-F-013 realEstateUseOf
91. MK-NW-F-007 assetKind
92. MK-CF-F-100 taxableIncomeFor
93. MK-CF-F-175 sumOverEarners
94. MK-CF-F-178 wageMatchMonthly
95. MK-PL-F-057 fullRetirementAge
96. MK-CF-F-070 benefitAnnual
97. MK-CF-F-063 rowVestYear
98. MK-CF-F-081 salaryActiveMonths
99. MK-CF-O-010 theMonth
100. MK-ST-F-048 currencySymbol
101. MK-CF-F-181 rateInForce
102. MK-CF-F-173 earnerWages
103. MK-CF-F-130 enteredMonthlyRaw
104. MK-CF-F-166 hasMonthlySalaryTable
105. MK-ST-F-036 reconcile
106. MK-CF-F-167 salaryCalendarYear
107. MK-CF-F-092 incomeMonthlyGrid
108. MK-CF-F-003 categoryMonthly
109. MK-NW-F-008 incomeBearingClassOf
110. MK-CF-F-099 deductionFor
111. MK-CF-O-003 thisMonth
112. MK-ST-F-047 activeCurrency
113. MK-CF-F-180 enteredLandsAnnual
114. MK-CF-F-206 householdK401ByMonth
115. MK-CF-F-084 taxableAnnual
116. MK-CF-F-172 hasWage
117. MK-CF-F-165 salaryMonths
118. MK-CF-F-065 equityVestWeights
119. MK-CF-F-077 scholarshipByCalendarMonth
120. MK-CF-F-088 taxableByCalendarMonth
121. MK-PL-F-012 waterfall
122. MK-XS-F-027 takeHomeMonthly
123. MK-ST-F-010 nameEvidence
124. MK-CF-F-187 seniorDeductionFor
125. MK-CF-F-005 actualMonthFlow
126. MK-CF-F-156 plannedMonthFlow
127. MK-CF-F-011 savingsByMonth
128. MK-XS-F-147 call
129. MK-NW-F-078 ONE
130. MK-CF-F-157 debtPaymentsByDebt
131. MK-CF-F-192 inflowLabel
132. MK-ST-F-027 accountId
133. MK-XS-F-064 currentIdToken
134. MK-XS-F-112 relayUrl
135. MK-NW-F-077 ALL
136. MK-NW-F-059 currentYield
137. MK-NW-O-001 theBonds
138. MK-CF-F-193 inflowSourceWord
139. MK-NW-F-057 annualCoupon
140. MK-NW-F-056 bondInfo
141. MK-NW-F-064 bondRateSensitivity
142. MK-NW-F-061 bondSummary
143. MK-NW-F-055 isBond
144. MK-NW-F-072 rowOf
145. MK-NW-F-060 approxYTM
146. MK-NW-F-069 priceAtYield
147. MK-NW-F-070 accruedInterestCaveat
148. MK-NW-F-071 isCertificateOfDeposit
149. MK-NW-F-058 yearsToMaturity</t>
        </is>
      </c>
      <c r="R219" s="3" t="inlineStr">
        <is>
          <t>1. MK-CF-F-069 benefitActiveMonths → MK-XS-F-004 buildDatedGrid → MK-CF-F-107 buildPaycheckYear → MK-CF-O-017 futurePaycheck
2. MK-ST-F-052 toNum → MK-CF-F-075 retirementIncomeMonthly → MK-CF-F-072 currentRetirementIncomeMonthly → MK-XS-F-004 buildDatedGrid → MK-CF-F-107 buildPaycheckYear → MK-CF-O-017 futurePaycheck
3. MK-ST-F-052 toNum → MK-CF-F-062 equityRowValue → MK-CF-F-018 equityByMonth → MK-XS-F-004 buildDatedGrid → MK-CF-F-107 buildPaycheckYear → MK-CF-O-017 futurePaycheck
4. MK-CF-F-062 equityRowValue → MK-CF-F-066 rsuAnnual → MK-CF-F-018 equityByMonth → MK-XS-F-004 buildDatedGrid → MK-CF-F-107 buildPaycheckYear → MK-CF-O-017 futurePaycheck
5. MK-CF-F-132 map → MK-CF-F-066 rsuAnnual → MK-CF-F-018 equityByMonth → MK-XS-F-004 buildDatedGrid → MK-CF-F-107 buildPaycheckYear → MK-CF-O-017 futurePaycheck
6. MK-CF-F-063 rowVestYear → MK-CF-F-066 rsuAnnual → MK-CF-F-018 equityByMonth → MK-XS-F-004 buildDatedGrid → MK-CF-F-107 buildPaycheckYear → MK-CF-O-017 futurePaycheck
7. MK-ST-F-052 toNum → MK-CF-F-066 rsuAnnual → MK-CF-F-018 equityByMonth → MK-XS-F-004 buildDatedGrid → MK-CF-F-107 buildPaycheckYear → MK-CF-O-017 futurePaycheck
8. MK-CF-F-121 zero12 → MK-CF-F-018 equityByMonth → MK-XS-F-004 buildDatedGrid → MK-CF-F-107 buildPaycheckYear → MK-CF-O-017 futurePaycheck
9. … and 5 more paths</t>
        </is>
      </c>
      <c r="S219" s="3" t="inlineStr">
        <is>
          <t>MK-CF-M-055 · MK-CF-M-070</t>
        </is>
      </c>
      <c r="T219" s="3" t="inlineStr">
        <is>
          <t>—</t>
        </is>
      </c>
      <c r="U219" s="3" t="inlineStr">
        <is>
          <t>DECOMMISSIONED 2026-10-03 — it was here and is not any more. Kept so the number is never reused and earlier work can still be traced.</t>
        </is>
      </c>
      <c r="V219" s="3" t="inlineStr">
        <is>
          <t>2026-10-03</t>
        </is>
      </c>
      <c r="W219" s="3" t="n"/>
      <c r="X219" s="3" t="n"/>
      <c r="Y219" s="3" t="inlineStr">
        <is>
          <t>NOTHING OPEN</t>
        </is>
      </c>
    </row>
    <row r="220" ht="60" customHeight="1">
      <c r="A220" s="3" t="inlineStr">
        <is>
          <t>MK-CF-O-018</t>
        </is>
      </c>
      <c r="B220" s="3" t="inlineStr">
        <is>
          <t>theDebts</t>
        </is>
      </c>
      <c r="C220" s="3" t="inlineStr">
        <is>
          <t>MoneyKeel/functions/cashflow/the-debts.ts</t>
        </is>
      </c>
      <c r="D220" s="3" t="n">
        <v>65</v>
      </c>
      <c r="E220" s="3" t="inlineStr">
        <is>
          <t>2 · DISPLAYED</t>
        </is>
      </c>
      <c r="F220" s="3" t="inlineStr">
        <is>
          <t>What do I owe, what does it ask of me each month, when would I be clear of it, and how much have I paid down this year?</t>
        </is>
      </c>
      <c r="G220" s="11" t="inlineStr">
        <is>
          <t>active = input.debts (or none when missing) where (remaining balance or 0) &gt; 0
total now = Σ over active of (remaining balance (or 0 when missing or zero))
began = input.start of year debt (or 0 when missing)
paid down = began − total now</t>
        </is>
      </c>
      <c r="H220" s="3" t="inlineStr">
        <is>
          <t>Active is input.debts (or none — when missing) where (remaining balance or 0) &gt; 0. Total now: the remaining balance (or 0 — when missing or zero) added up across active. Began is input.start of year debt (or 0 — when missing). Paid down is began minus total now.</t>
        </is>
      </c>
      <c r="I220" s="3" t="inlineStr">
        <is>
          <t>PARTLY READ — some of the code is still showing through; needs a hand pass</t>
        </is>
      </c>
      <c r="J220" s="3" t="inlineStr">
        <is>
          <t>Nothing is handed to it</t>
        </is>
      </c>
      <c r="K220" s="3" t="inlineStr">
        <is>
          <t>NOT DECLARED — the code does not say what it gives back</t>
        </is>
      </c>
      <c r="L220" s="3" t="inlineStr">
        <is>
          <t>"PROGRESS" — on the budget screen, under "PROGRESS"</t>
        </is>
      </c>
      <c r="M220" s="3" t="inlineStr">
        <is>
          <t>1. If start of year debt is missing it uses 0.
2. If extra monthly is missing it uses 0.
3. If remaining balance is missing it counts as zero, so nothing recorded and a real zero look the same.
4. If interest rate apr is missing it counts as zero, so nothing recorded and a real zero look the same.
5. Uses today's date from the device clock, so the answer changes by itself overnight.</t>
        </is>
      </c>
      <c r="N220" s="3" t="inlineStr">
        <is>
          <t>Yes</t>
        </is>
      </c>
      <c r="O220" s="3" t="inlineStr">
        <is>
          <t>1. MK-CF-F-025 minimumDebtService
2. MK-CF-F-034 payoffPlan
3. MK-CF-F-024 totalDebtMonthly</t>
        </is>
      </c>
      <c r="P220" s="3" t="n">
        <v>125</v>
      </c>
      <c r="Q220" s="3" t="inlineStr">
        <is>
          <t>1. MK-CF-F-025 minimumDebtService
2. MK-CF-F-034 payoffPlan
3. MK-CF-F-024 totalDebtMonthly
4. MK-CF-F-022 paymentShape
5. MK-CF-F-132 map
6. MK-CF-F-201 INCOME
7. MK-CF-F-023 requiredPayment
8. MK-CF-F-021 defaultPaymentType
9. MK-CF-F-207 SOURCE
10. MK-CF-O-004 incomeSummary
11. MK-CF-O-016 incomeSources
12. MK-CF-F-203 MONTH
13. MK-CF-O-001 basePay
14. MK-CF-F-069 benefitActiveMonths
15. MK-CF-F-072 currentRetirementIncomeMonthly
16. MK-CF-F-173 earnerWages
17. MK-CF-F-179 entryFromWage
18. MK-CF-F-071 extraIncome
19. MK-CF-F-085 filingStatusOf
20. MK-CF-F-092 incomeMonthlyGrid
21. MK-CF-F-192 inflowLabel
22. MK-CF-F-103 marginalBracketFor
23. MK-CF-F-089 over65CountOf
24. MK-CF-F-181 rateInForce
25. MK-CF-F-068 rentalNetAnnual
26. MK-CF-F-082 salaryAnnual
27. MK-CF-F-060 salaryGrossByMonth
28. MK-CF-F-084 taxableAnnual
29. MK-ST-F-052 toNum
30. MK-CF-F-075 retirementIncomeMonthly
31. MK-CF-F-066 rsuAnnual
32. MK-CF-O-010 theMonth
33. MK-ST-F-035 covers
34. MK-CF-F-171 earnerPay
35. MK-CF-F-204 line
36. MK-ST-F-053 money
37. MK-HM-F-006 money0
38. MK-XS-F-122 n
39. MK-CF-F-198 payrollTaxWithheld
40. MK-CF-F-172 hasWage
41. MK-CF-F-165 salaryMonths
42. MK-CF-F-070 benefitAnnual
43. MK-ST-F-039 on
44. MK-CF-F-065 equityVestWeights
45. MK-ST-F-056 has
46. MK-CF-F-206 householdK401ByMonth
47. MK-CF-F-087 monthlyTaxRates
48. MK-CF-F-073 otherIncomeMonth
49. MK-CF-F-077 scholarshipByCalendarMonth
50. MK-CF-F-088 taxableByCalendarMonth
51. MK-CF-F-177 wageGrossByMonth
52. MK-PL-F-012 waterfall
53. MK-CF-F-193 inflowSourceWord
54. MK-CF-F-100 taxableIncomeFor
55. MK-CF-F-180 enteredLandsAnnual
56. MK-CF-F-086 stateRateOf
57. MK-CF-F-101 taxOwedFor
58. MK-CF-O-002 expenses
59. MK-CF-F-067 rentalList
60. MK-CF-F-176 sumMonthsOverEarners
61. MK-CF-F-074 tipsAnnual
62. MK-CF-F-062 equityRowValue
63. MK-CF-F-063 rowVestYear
64. MK-CF-F-155 cash
65. MK-CF-O-003 thisMonth
66. MK-ST-F-034 firstDate
67. MK-CF-F-143 annualisedGross
68. MK-CF-F-145 deductionsFromPay
69. MK-CF-F-128 grossByMonth
70. MK-CF-F-146 payFiguresAgree
71. MK-CF-F-144 takeHomeAsEntered
72. MK-XS-F-180 declareFigures
73. MK-ST-F-049 formatMoney
74. MK-HM-F-005 pctTxt
75. MK-CF-F-090 effectiveRate
76. MK-CF-F-130 enteredMonthlyRaw
77. MK-CF-F-166 hasMonthlySalaryTable
78. MK-ST-F-036 reconcile
79. MK-CF-F-167 salaryCalendarYear
80. MK-CF-F-099 deductionFor
81. MK-CF-F-151 actualSpending
82. MK-CF-F-150 debtPaymentsCountedAsExpenses
83. MK-CF-F-153 radar
84. MK-CF-F-149 recurringDebtPayments
85. MK-CF-F-081 salaryActiveMonths
86. MK-CF-F-005 actualMonthFlow
87. MK-CF-F-156 plannedMonthFlow
88. MK-CF-F-142 monthsOf
89. MK-CF-F-141 perMonth
90. MK-ST-F-048 currencySymbol
91. MK-CF-F-187 seniorDeductionFor
92. MK-CF-F-148 inMonth
93. MK-CF-F-191 ym
94. MK-CF-F-152 isRadarItem
95. MK-NW-F-078 ONE
96. MK-CF-F-157 debtPaymentsByDebt
97. MK-XS-F-027 takeHomeMonthly
98. MK-CF-F-140 periodsAYear
99. MK-ST-F-047 activeCurrency
100. MK-NW-F-077 ALL
101. MK-NW-F-059 currentYield
102. MK-NW-O-001 theBonds
103. MK-CF-F-011 savingsByMonth
104. MK-NW-F-057 annualCoupon
105. MK-ST-F-027 accountId
106. MK-NW-F-056 bondInfo
107. MK-NW-F-064 bondRateSensitivity
108. MK-NW-F-061 bondSummary
109. MK-NW-F-055 isBond
110. MK-NW-F-072 rowOf
111. MK-CF-F-008 spendByMonth
112. MK-NW-F-060 approxYTM
113. MK-NW-F-069 priceAtYield
114. MK-NW-F-011 assetClassOf
115. MK-NW-F-070 accruedInterestCaveat
116. MK-NW-F-071 isCertificateOfDeposit
117. MK-NW-F-058 yearsToMaturity
118. MK-CF-F-120 pctBaseMonthly
119. MK-CF-F-004 spendBuckets
120. MK-NW-F-008 incomeBearingClassOf
121. MK-CF-F-003 categoryMonthly
122. MK-ST-F-010 nameEvidence
123. MK-XS-F-147 call
124. MK-XS-F-064 currentIdToken
125. MK-XS-F-112 relayUrl</t>
        </is>
      </c>
      <c r="R220" s="3" t="inlineStr">
        <is>
          <t>1. MK-CF-F-021 defaultPaymentType → MK-CF-F-022 paymentShape → MK-CF-F-025 minimumDebtService → MK-CF-O-018 theDebts
2. MK-CF-F-132 map → MK-CF-F-034 payoffPlan → MK-CF-O-018 theDebts
3. MK-CF-F-021 defaultPaymentType → MK-CF-F-022 paymentShape → MK-CF-F-034 payoffPlan → MK-CF-O-018 theDebts
4. SOURCE (already above — a loop) → MK-CF-O-016 incomeSources → MK-CF-F-207 SOURCE → MK-CF-F-201 INCOME → MK-CF-F-024 totalDebtMonthly → MK-CF-O-018 theDebts
5. MK-CF-F-072 currentRetirementIncomeMonthly → MK-CF-O-016 incomeSources → MK-CF-F-207 SOURCE → MK-CF-F-201 INCOME → MK-CF-F-024 totalDebtMonthly → MK-CF-O-018 theDebts
6. MK-CF-F-173 earnerWages → MK-CF-O-016 incomeSources → MK-CF-F-207 SOURCE → MK-CF-F-201 INCOME → MK-CF-F-024 totalDebtMonthly → MK-CF-O-018 theDebts
7. MK-CF-F-068 rentalNetAnnual → MK-CF-O-016 incomeSources → MK-CF-F-207 SOURCE → MK-CF-F-201 INCOME → MK-CF-F-024 totalDebtMonthly → MK-CF-O-018 theDebts
8. MK-CF-F-075 retirementIncomeMonthly → MK-CF-O-016 incomeSources → MK-CF-F-207 SOURCE → MK-CF-F-201 INCOME → MK-CF-F-024 totalDebtMonthly → MK-CF-O-018 theDebts
9. … and 4 more paths</t>
        </is>
      </c>
      <c r="S220" s="3" t="inlineStr">
        <is>
          <t>MK-CF-M-057 · MK-CF-M-058 · MK-CF-M-059 · MK-CF-M-071 · MK-CF-M-072 · MK-CF-M-073 · MK-CF-M-074 · MK-CF-M-075</t>
        </is>
      </c>
      <c r="T220" s="3" t="inlineStr">
        <is>
          <t>—</t>
        </is>
      </c>
      <c r="U220" s="3" t="inlineStr">
        <is>
          <t>ACTIVE</t>
        </is>
      </c>
      <c r="V220" s="3" t="inlineStr">
        <is>
          <t>2026-10-03</t>
        </is>
      </c>
      <c r="W220" s="3" t="n"/>
      <c r="X220" s="3" t="n"/>
      <c r="Y220" s="3" t="inlineStr">
        <is>
          <t>NOTHING OPEN</t>
        </is>
      </c>
    </row>
    <row r="221" ht="45" customHeight="1">
      <c r="A221" s="3" t="inlineStr">
        <is>
          <t>MK-HM-F-001</t>
        </is>
      </c>
      <c r="B221" s="3" t="inlineStr">
        <is>
          <t>buildInsights</t>
        </is>
      </c>
      <c r="C221" s="3" t="inlineStr">
        <is>
          <t>src/domain/insights/index.ts</t>
        </is>
      </c>
      <c r="D221" s="3" t="n">
        <v>173</v>
      </c>
      <c r="E221" s="3" t="inlineStr">
        <is>
          <t>2 · DISPLAYED</t>
        </is>
      </c>
      <c r="F221" s="3" t="inlineStr">
        <is>
          <t>Ranked insights (highest priority first).</t>
        </is>
      </c>
      <c r="G221" s="11" t="inlineStr">
        <is>
          <t>the first limit of out   if limit ≠ nothing
out   otherwise</t>
        </is>
      </c>
      <c r="H221" s="3" t="inlineStr">
        <is>
          <t>the first limit of out — when limit is not no answer; out — otherwise.</t>
        </is>
      </c>
      <c r="I221" s="3" t="inlineStr">
        <is>
          <t>READ FROM THE CODE — rendered from the expressions the function runs</t>
        </is>
      </c>
      <c r="J221" s="3" t="inlineStr">
        <is>
          <t>1. input: InsightInput
2. limit?: number</t>
        </is>
      </c>
      <c r="K221" s="3" t="inlineStr">
        <is>
          <t>Insight[]</t>
        </is>
      </c>
      <c r="L221" s="3" t="inlineStr">
        <is>
          <t>NOT FOUND — a screen calls it, but the words printed beside its answer could not be traced automatically. Needs reading.</t>
        </is>
      </c>
      <c r="M221" s="3" t="inlineStr">
        <is>
          <t>None found in this function — anything it assumes comes from the functions it depends on.</t>
        </is>
      </c>
      <c r="N221" s="3" t="inlineStr">
        <is>
          <t>Yes</t>
        </is>
      </c>
      <c r="O221" s="3" t="inlineStr">
        <is>
          <t>MK-CF-F-132 map</t>
        </is>
      </c>
      <c r="P221" s="3" t="n">
        <v>1</v>
      </c>
      <c r="Q221" s="3" t="inlineStr">
        <is>
          <t>MK-CF-F-132 map</t>
        </is>
      </c>
      <c r="R221" s="3" t="inlineStr">
        <is>
          <t>MK-CF-F-132 map → MK-HM-F-001 buildInsights</t>
        </is>
      </c>
      <c r="S221" s="3" t="inlineStr">
        <is>
          <t>—</t>
        </is>
      </c>
      <c r="T221" s="3" t="inlineStr">
        <is>
          <t>—</t>
        </is>
      </c>
      <c r="U221" s="3" t="inlineStr">
        <is>
          <t>ACTIVE</t>
        </is>
      </c>
      <c r="V221" s="3" t="inlineStr">
        <is>
          <t>2026-08-27</t>
        </is>
      </c>
      <c r="W221" s="3" t="n"/>
      <c r="X221" s="3" t="n"/>
      <c r="Y221" s="3" t="inlineStr">
        <is>
          <t>NOTHING OPEN</t>
        </is>
      </c>
    </row>
    <row r="222" ht="45" customHeight="1">
      <c r="A222" s="3" t="inlineStr">
        <is>
          <t>MK-HM-F-002</t>
        </is>
      </c>
      <c r="B222" s="3" t="inlineStr">
        <is>
          <t>milestoneLabel</t>
        </is>
      </c>
      <c r="C222" s="3" t="inlineStr">
        <is>
          <t>src/domain/milestones.ts</t>
        </is>
      </c>
      <c r="D222" s="3" t="n">
        <v>34</v>
      </c>
      <c r="E222" s="3" t="inlineStr">
        <is>
          <t>2 · DISPLAYED</t>
        </is>
      </c>
      <c r="F222" s="3" t="inlineStr">
        <is>
          <t>'$500k' / '$1M' — the label the celebration line uses.</t>
        </is>
      </c>
      <c r="G222" s="11" t="inlineStr">
        <is>
          <t>m = threshold ÷ 1000000
the answer = `$${number.is integer(m) ? m : to fixed(1)}M`</t>
        </is>
      </c>
      <c r="H222" s="3" t="inlineStr">
        <is>
          <t>M is threshold divided by 1000000. The answer is `$${number.is integer(m) ? m : to fixed(1)}M`.</t>
        </is>
      </c>
      <c r="I222" s="3" t="inlineStr">
        <is>
          <t>PARTLY READ — some of the code is still showing through; needs a hand pass</t>
        </is>
      </c>
      <c r="J222" s="3" t="inlineStr">
        <is>
          <t>threshold: number</t>
        </is>
      </c>
      <c r="K222" s="3" t="inlineStr">
        <is>
          <t>string</t>
        </is>
      </c>
      <c r="L222" s="3" t="inlineStr">
        <is>
          <t>NOT FOUND — a screen calls it, but the words printed beside its answer could not be traced automatically. Needs reading.</t>
        </is>
      </c>
      <c r="M222" s="3" t="inlineStr">
        <is>
          <t>1. Rounds the answer to a whole number.
2. Shows 1 decimal place.</t>
        </is>
      </c>
      <c r="N222" s="3" t="inlineStr">
        <is>
          <t>Yes</t>
        </is>
      </c>
      <c r="O222" s="3" t="inlineStr">
        <is>
          <t>—</t>
        </is>
      </c>
      <c r="P222" s="3" t="n">
        <v>0</v>
      </c>
      <c r="Q222" s="3" t="inlineStr">
        <is>
          <t>None — no dependent function stands behind it</t>
        </is>
      </c>
      <c r="R222" s="3" t="inlineStr">
        <is>
          <t>No dependent function — it reads its inputs and answers</t>
        </is>
      </c>
      <c r="S222" s="3" t="inlineStr">
        <is>
          <t>—</t>
        </is>
      </c>
      <c r="T222" s="3" t="inlineStr">
        <is>
          <t>—</t>
        </is>
      </c>
      <c r="U222" s="3" t="inlineStr">
        <is>
          <t>ACTIVE</t>
        </is>
      </c>
      <c r="V222" s="3" t="inlineStr">
        <is>
          <t>2026-08-27</t>
        </is>
      </c>
      <c r="W222" s="3" t="n"/>
      <c r="X222" s="3" t="n"/>
      <c r="Y222" s="3" t="inlineStr">
        <is>
          <t>NOTHING OPEN</t>
        </is>
      </c>
    </row>
    <row r="223" ht="45" customHeight="1">
      <c r="A223" s="3" t="inlineStr">
        <is>
          <t>MK-HM-F-003</t>
        </is>
      </c>
      <c r="B223" s="3" t="inlineStr">
        <is>
          <t>milestoneFloor</t>
        </is>
      </c>
      <c r="C223" s="3" t="inlineStr">
        <is>
          <t>src/domain/milestones.ts</t>
        </is>
      </c>
      <c r="D223" s="3" t="n">
        <v>65</v>
      </c>
      <c r="E223" s="3" t="inlineStr">
        <is>
          <t>2 · DISPLAYED</t>
        </is>
      </c>
      <c r="F223" s="3" t="inlineStr">
        <is>
          <t>The highest ladder rung at or below `netWorth` (0 when below the first rung).</t>
        </is>
      </c>
      <c r="G223" s="11" t="inlineStr">
        <is>
          <t>floor = 0
the answer = floor</t>
        </is>
      </c>
      <c r="H223" s="3" t="inlineStr">
        <is>
          <t>Floor is 0. The answer is floor.</t>
        </is>
      </c>
      <c r="I223" s="3" t="inlineStr">
        <is>
          <t>READ FROM THE CODE — rendered from the expressions the function runs</t>
        </is>
      </c>
      <c r="J223" s="3" t="inlineStr">
        <is>
          <t>netWorth: number</t>
        </is>
      </c>
      <c r="K223" s="3" t="inlineStr">
        <is>
          <t>number</t>
        </is>
      </c>
      <c r="L223" s="3" t="inlineStr">
        <is>
          <t>NOT FOUND — a screen calls it, but the words printed beside its answer could not be traced automatically. Needs reading.</t>
        </is>
      </c>
      <c r="M223" s="3" t="inlineStr">
        <is>
          <t>· Uses a built-in floor of 0.</t>
        </is>
      </c>
      <c r="N223" s="3" t="inlineStr">
        <is>
          <t>Yes</t>
        </is>
      </c>
      <c r="O223" s="3" t="inlineStr">
        <is>
          <t>—</t>
        </is>
      </c>
      <c r="P223" s="3" t="n">
        <v>0</v>
      </c>
      <c r="Q223" s="3" t="inlineStr">
        <is>
          <t>None — no dependent function stands behind it</t>
        </is>
      </c>
      <c r="R223" s="3" t="inlineStr">
        <is>
          <t>No dependent function — it reads its inputs and answers</t>
        </is>
      </c>
      <c r="S223" s="3" t="inlineStr">
        <is>
          <t>—</t>
        </is>
      </c>
      <c r="T223" s="3" t="inlineStr">
        <is>
          <t>—</t>
        </is>
      </c>
      <c r="U223" s="3" t="inlineStr">
        <is>
          <t>ACTIVE</t>
        </is>
      </c>
      <c r="V223" s="3" t="inlineStr">
        <is>
          <t>2026-08-27</t>
        </is>
      </c>
      <c r="W223" s="3" t="n"/>
      <c r="X223" s="3" t="n"/>
      <c r="Y223" s="3" t="inlineStr">
        <is>
          <t>NOTHING OPEN</t>
        </is>
      </c>
    </row>
    <row r="224" ht="60" customHeight="1">
      <c r="A224" s="3" t="inlineStr">
        <is>
          <t>MK-HM-F-004</t>
        </is>
      </c>
      <c r="B224" s="3" t="inlineStr">
        <is>
          <t>milestoneCrossed</t>
        </is>
      </c>
      <c r="C224" s="3" t="inlineStr">
        <is>
          <t>src/domain/milestones.ts</t>
        </is>
      </c>
      <c r="D224" s="3" t="n">
        <v>95</v>
      </c>
      <c r="E224" s="3" t="inlineStr">
        <is>
          <t>2 · DISPLAYED</t>
        </is>
      </c>
      <c r="F224" s="3" t="inlineStr">
        <is>
          <t>The one decision rule.</t>
        </is>
      </c>
      <c r="G224" s="11" t="inlineStr">
        <is>
          <t>nothing   when high seen = nothing
floor = milestone floor(net worth)
the answer:
floor   if floor &gt; high seen
nothing   otherwise</t>
        </is>
      </c>
      <c r="H224" s="3" t="inlineStr">
        <is>
          <t>When high seen is missing, it answers no answer. Floor is milestone floor(net worth). The answer is floor — when floor &gt; high seen; no answer — otherwise.</t>
        </is>
      </c>
      <c r="I224" s="3" t="inlineStr">
        <is>
          <t>READ FROM THE CODE — rendered from the expressions the function runs</t>
        </is>
      </c>
      <c r="J224" s="3" t="inlineStr">
        <is>
          <t>1. netWorth: number
2. highSeen: number | null</t>
        </is>
      </c>
      <c r="K224" s="3" t="inlineStr">
        <is>
          <t>number | null</t>
        </is>
      </c>
      <c r="L224" s="3" t="inlineStr">
        <is>
          <t>NOT FOUND — a screen calls it, but the words printed beside its answer could not be traced automatically. Needs reading.</t>
        </is>
      </c>
      <c r="M224" s="3" t="inlineStr">
        <is>
          <t>None found in this function — anything it assumes comes from the functions it depends on.</t>
        </is>
      </c>
      <c r="N224" s="3" t="inlineStr">
        <is>
          <t>Yes</t>
        </is>
      </c>
      <c r="O224" s="3" t="inlineStr">
        <is>
          <t>MK-HM-F-003 milestoneFloor</t>
        </is>
      </c>
      <c r="P224" s="3" t="n">
        <v>1</v>
      </c>
      <c r="Q224" s="3" t="inlineStr">
        <is>
          <t>MK-HM-F-003 milestoneFloor</t>
        </is>
      </c>
      <c r="R224" s="3" t="inlineStr">
        <is>
          <t>MK-HM-F-003 milestoneFloor → MK-HM-F-004 milestoneCrossed</t>
        </is>
      </c>
      <c r="S224" s="3" t="inlineStr">
        <is>
          <t>MK-HM-M-002</t>
        </is>
      </c>
      <c r="T224" s="3" t="inlineStr">
        <is>
          <t>—</t>
        </is>
      </c>
      <c r="U224" s="3" t="inlineStr">
        <is>
          <t>ACTIVE</t>
        </is>
      </c>
      <c r="V224" s="3" t="inlineStr">
        <is>
          <t>2026-08-27</t>
        </is>
      </c>
      <c r="W224" s="3" t="n"/>
      <c r="X224" s="3" t="n"/>
      <c r="Y224" s="3" t="inlineStr">
        <is>
          <t>NOTHING OPEN</t>
        </is>
      </c>
    </row>
    <row r="225" ht="60" customHeight="1">
      <c r="A225" s="3" t="inlineStr">
        <is>
          <t>MK-HM-F-005</t>
        </is>
      </c>
      <c r="B225" s="3" t="inlineStr">
        <is>
          <t>pctTxt</t>
        </is>
      </c>
      <c r="C225" s="3" t="inlineStr">
        <is>
          <t>src/domain/insights/index.ts</t>
        </is>
      </c>
      <c r="D225" s="3" t="n">
        <v>69</v>
      </c>
      <c r="E225" s="3" t="inlineStr">
        <is>
          <t>1 · ACTION</t>
        </is>
      </c>
      <c r="F225" s="3" t="inlineStr">
        <is>
          <t>NOT DETERMINED — the code carries no note saying what this is for, and it has no row in the old inventory. Needs reading.</t>
        </is>
      </c>
      <c r="G225" s="11" t="inlineStr">
        <is>
          <t>the answer = round(d × 100) followed by '%'</t>
        </is>
      </c>
      <c r="H225" s="3" t="inlineStr">
        <is>
          <t>A share written as a whole percent — 0.234 becomes 23%. Display only.</t>
        </is>
      </c>
      <c r="I225" s="3" t="inlineStr">
        <is>
          <t>READ BY HAND 2026-08-26 — checked line by line against the code</t>
        </is>
      </c>
      <c r="J225" s="3" t="inlineStr">
        <is>
          <t>d: number</t>
        </is>
      </c>
      <c r="K225" s="3" t="inlineStr">
        <is>
          <t>NOT DECLARED — the code does not say what it gives back</t>
        </is>
      </c>
      <c r="L225" s="3" t="inlineStr">
        <is>
          <t>—</t>
        </is>
      </c>
      <c r="M225" s="3" t="inlineStr">
        <is>
          <t>· Rounds the answer to a whole number.</t>
        </is>
      </c>
      <c r="N225" s="3" t="inlineStr">
        <is>
          <t>Yes</t>
        </is>
      </c>
      <c r="O225" s="3" t="inlineStr">
        <is>
          <t>—</t>
        </is>
      </c>
      <c r="P225" s="3" t="n">
        <v>0</v>
      </c>
      <c r="Q225" s="3" t="inlineStr">
        <is>
          <t>None — no dependent function stands behind it</t>
        </is>
      </c>
      <c r="R225" s="3" t="inlineStr">
        <is>
          <t>No dependent function — it reads its inputs and answers</t>
        </is>
      </c>
      <c r="S225" s="3" t="inlineStr">
        <is>
          <t>—</t>
        </is>
      </c>
      <c r="T225" s="3" t="inlineStr">
        <is>
          <t>—</t>
        </is>
      </c>
      <c r="U225" s="3" t="inlineStr">
        <is>
          <t>ACTIVE</t>
        </is>
      </c>
      <c r="V225" s="3" t="inlineStr">
        <is>
          <t>2026-09-12</t>
        </is>
      </c>
      <c r="W225" s="3" t="n"/>
      <c r="X225" s="3" t="n"/>
      <c r="Y225" s="3" t="inlineStr">
        <is>
          <t>NOTHING OPEN</t>
        </is>
      </c>
    </row>
    <row r="226" ht="60" customHeight="1">
      <c r="A226" s="3" t="inlineStr">
        <is>
          <t>MK-HM-F-006</t>
        </is>
      </c>
      <c r="B226" s="3" t="inlineStr">
        <is>
          <t>money0</t>
        </is>
      </c>
      <c r="C226" s="3" t="inlineStr">
        <is>
          <t>src/domain/insights/index.ts</t>
        </is>
      </c>
      <c r="D226" s="3" t="n">
        <v>103</v>
      </c>
      <c r="E226" s="3" t="inlineStr">
        <is>
          <t>3 · DEPENDENT</t>
        </is>
      </c>
      <c r="F226" s="3" t="inlineStr">
        <is>
          <t>NOT DETERMINED — the code carries no note saying what this is for, and it has no row in the old inventory. Needs reading.</t>
        </is>
      </c>
      <c r="G226" s="11" t="inlineStr">
        <is>
          <t>the answer = '$' + round(n) with thousands separators</t>
        </is>
      </c>
      <c r="H226" s="3" t="inlineStr">
        <is>
          <t>A dollar amount to the whole dollar with thousands separators, for the insight sentences. Display only.</t>
        </is>
      </c>
      <c r="I226" s="3" t="inlineStr">
        <is>
          <t>READ BY HAND 2026-08-26 — checked line by line against the code</t>
        </is>
      </c>
      <c r="J226" s="3" t="inlineStr">
        <is>
          <t>n: number</t>
        </is>
      </c>
      <c r="K226" s="3" t="inlineStr">
        <is>
          <t>NOT DECLARED — the code does not say what it gives back</t>
        </is>
      </c>
      <c r="L226" s="3" t="inlineStr">
        <is>
          <t>—</t>
        </is>
      </c>
      <c r="M226" s="3" t="inlineStr">
        <is>
          <t>1. Rounds the answer to a whole number.
2. Shows 1 decimal place.</t>
        </is>
      </c>
      <c r="N226" s="3" t="inlineStr">
        <is>
          <t>Yes</t>
        </is>
      </c>
      <c r="O226" s="3" t="inlineStr">
        <is>
          <t>1. MK-CF-F-155 cash
2. MK-XS-F-122 n
3. MK-HM-F-005 pctTxt</t>
        </is>
      </c>
      <c r="P226" s="3" t="n">
        <v>3</v>
      </c>
      <c r="Q226" s="3" t="inlineStr">
        <is>
          <t>1. MK-CF-F-155 cash
2. MK-XS-F-122 n
3. MK-HM-F-005 pctTxt</t>
        </is>
      </c>
      <c r="R226" s="3" t="inlineStr">
        <is>
          <t>1. MK-XS-F-122 n → MK-CF-F-155 cash → MK-HM-F-006 money0
2. MK-XS-F-122 n → MK-HM-F-006 money0
3. MK-HM-F-005 pctTxt → MK-HM-F-006 money0</t>
        </is>
      </c>
      <c r="S226" s="3" t="inlineStr">
        <is>
          <t>—</t>
        </is>
      </c>
      <c r="T226" s="3" t="inlineStr">
        <is>
          <t>—</t>
        </is>
      </c>
      <c r="U226" s="3" t="inlineStr">
        <is>
          <t>ACTIVE</t>
        </is>
      </c>
      <c r="V226" s="3" t="inlineStr">
        <is>
          <t>2026-09-12</t>
        </is>
      </c>
      <c r="W226" s="3" t="n"/>
      <c r="X226" s="3" t="n"/>
      <c r="Y226" s="3" t="inlineStr">
        <is>
          <t>NOTHING OPEN</t>
        </is>
      </c>
    </row>
    <row r="227" ht="45" customHeight="1">
      <c r="A227" s="3" t="inlineStr">
        <is>
          <t>MK-NW-F-001</t>
        </is>
      </c>
      <c r="B227" s="3" t="inlineStr">
        <is>
          <t>isAlternative</t>
        </is>
      </c>
      <c r="C227" s="3" t="inlineStr">
        <is>
          <t>src/domain/alternatives/index.ts</t>
        </is>
      </c>
      <c r="D227" s="3" t="n">
        <v>36</v>
      </c>
      <c r="E227" s="3" t="inlineStr">
        <is>
          <t>2 · DISPLAYED</t>
        </is>
      </c>
      <c r="F227" s="3" t="inlineStr">
        <is>
          <t>Is this account an "other investment" — an alternative held at a manual value (not a bond, not cash/property)?</t>
        </is>
      </c>
      <c r="G227" s="11" t="inlineStr">
        <is>
          <t>ALT_KINDS.includes((kind ?? '') as alt kind) and !maturity date and tax bucket ! = 'PROPERTY'</t>
        </is>
      </c>
      <c r="H227" s="3" t="inlineStr">
        <is>
          <t>ALT_KINDS.includes((kind ?? '') as alt kind) and !maturity date and tax bucket ! = 'PROPERTY'.</t>
        </is>
      </c>
      <c r="I227" s="3" t="inlineStr">
        <is>
          <t>PARTLY READ — some of the code is still showing through; needs a hand pass</t>
        </is>
      </c>
      <c r="J227" s="3" t="inlineStr">
        <is>
          <t>a: AssetAccount</t>
        </is>
      </c>
      <c r="K227" s="3" t="inlineStr">
        <is>
          <t>boolean</t>
        </is>
      </c>
      <c r="L227" s="3" t="inlineStr">
        <is>
          <t>NOT FOUND — a screen calls it, but the words printed beside its answer could not be traced automatically. Needs reading.</t>
        </is>
      </c>
      <c r="M227" s="3" t="inlineStr">
        <is>
          <t>None found in this function — anything it assumes comes from the functions it depends on.</t>
        </is>
      </c>
      <c r="N227" s="3" t="inlineStr">
        <is>
          <t>Yes</t>
        </is>
      </c>
      <c r="O227" s="3" t="inlineStr">
        <is>
          <t>—</t>
        </is>
      </c>
      <c r="P227" s="3" t="n">
        <v>0</v>
      </c>
      <c r="Q227" s="3" t="inlineStr">
        <is>
          <t>None — no dependent function stands behind it</t>
        </is>
      </c>
      <c r="R227" s="3" t="inlineStr">
        <is>
          <t>No dependent function — it reads its inputs and answers</t>
        </is>
      </c>
      <c r="S227" s="3" t="inlineStr">
        <is>
          <t>—</t>
        </is>
      </c>
      <c r="T227" s="3" t="inlineStr">
        <is>
          <t>IS_ALTERNATIVE</t>
        </is>
      </c>
      <c r="U227" s="3" t="inlineStr">
        <is>
          <t>ACTIVE</t>
        </is>
      </c>
      <c r="V227" s="3" t="inlineStr">
        <is>
          <t>2026-08-27</t>
        </is>
      </c>
      <c r="W227" s="3" t="n"/>
      <c r="X227" s="3" t="n"/>
      <c r="Y227" s="3" t="inlineStr">
        <is>
          <t>NOTHING OPEN</t>
        </is>
      </c>
    </row>
    <row r="228" ht="60" customHeight="1">
      <c r="A228" s="3" t="inlineStr">
        <is>
          <t>MK-NW-F-002</t>
        </is>
      </c>
      <c r="B228" s="3" t="inlineStr">
        <is>
          <t>alternativesSummary</t>
        </is>
      </c>
      <c r="C228" s="3" t="inlineStr">
        <is>
          <t>src/domain/alternatives/index.ts</t>
        </is>
      </c>
      <c r="D228" s="3" t="n">
        <v>68</v>
      </c>
      <c r="E228" s="3" t="inlineStr">
        <is>
          <t>3 · DEPENDENT</t>
        </is>
      </c>
      <c r="F228" s="3" t="inlineStr">
        <is>
          <t>Adds up the alternative investments: how many there are, what they are worth together, their blended yearly growth rate and the growth in dollars that rate gives over a year.</t>
        </is>
      </c>
      <c r="G228" s="11" t="inlineStr">
        <is>
          <t>alts = accounts (or none when missing) where is alternative
total = Σ over alts of (balance (or 0 when missing or zero))
weighted = Σ over total &gt; 0 ? alts of ((balance or 0) × benchmark return(kind))÷ total : 0</t>
        </is>
      </c>
      <c r="H228" s="3" t="inlineStr">
        <is>
          <t>Alts is accounts (or none — when missing) where is alternative. Total: the balance (or 0 — when missing or zero) added up across alts. Weighted: the (balance or 0 added up across total &gt; 0 ? alts times benchmark return(kind))÷ total : 0.</t>
        </is>
      </c>
      <c r="I228" s="3" t="inlineStr">
        <is>
          <t>READ FROM THE CODE — rendered from the expressions the function runs</t>
        </is>
      </c>
      <c r="J228" s="3" t="inlineStr">
        <is>
          <t>accounts: AssetAccount[]</t>
        </is>
      </c>
      <c r="K228" s="3" t="inlineStr">
        <is>
          <t>AltSummary</t>
        </is>
      </c>
      <c r="L228" s="3" t="inlineStr">
        <is>
          <t>—</t>
        </is>
      </c>
      <c r="M228" s="3" t="inlineStr">
        <is>
          <t>· If balance is missing it counts as zero, so nothing recorded and a real zero look the same.</t>
        </is>
      </c>
      <c r="N228" s="3" t="inlineStr">
        <is>
          <t>Yes</t>
        </is>
      </c>
      <c r="O228" s="3" t="inlineStr">
        <is>
          <t>1. MK-NW-F-034 benchmarkReturn
2. MK-NW-F-001 isAlternative</t>
        </is>
      </c>
      <c r="P228" s="3" t="n">
        <v>14</v>
      </c>
      <c r="Q228" s="3" t="inlineStr">
        <is>
          <t>1. MK-NW-F-034 benchmarkReturn
2. MK-NW-F-001 isAlternative
3. MK-NW-F-007 assetKind
4. MK-NW-F-011 assetClassOf
5. MK-CF-F-155 cash
6. MK-NW-F-008 incomeBearingClassOf
7. MK-XS-F-122 n
8. MK-ST-F-010 nameEvidence
9. MK-XS-F-147 call
10. MK-ST-F-056 has
11. MK-CF-F-132 map
12. MK-ST-F-027 accountId
13. MK-XS-F-064 currentIdToken
14. MK-XS-F-112 relayUrl</t>
        </is>
      </c>
      <c r="R228" s="3" t="inlineStr">
        <is>
          <t>1. MK-CF-F-155 cash → MK-NW-F-008 incomeBearingClassOf → MK-NW-F-011 assetClassOf → MK-NW-F-007 assetKind → MK-NW-F-034 benchmarkReturn → MK-NW-F-002 alternativesSummary
2. MK-ST-F-010 nameEvidence → MK-NW-F-008 incomeBearingClassOf → MK-NW-F-011 assetClassOf → MK-NW-F-007 assetKind → MK-NW-F-034 benchmarkReturn → MK-NW-F-002 alternativesSummary
3. MK-XS-F-122 n → MK-CF-F-155 cash → MK-NW-F-007 assetKind → MK-NW-F-034 benchmarkReturn → MK-NW-F-002 alternativesSummary
4. MK-NW-F-001 isAlternative → MK-NW-F-002 alternativesSummary</t>
        </is>
      </c>
      <c r="S228" s="3" t="inlineStr">
        <is>
          <t>—</t>
        </is>
      </c>
      <c r="T228" s="3" t="inlineStr">
        <is>
          <t>—</t>
        </is>
      </c>
      <c r="U228" s="3" t="inlineStr">
        <is>
          <t>ACTIVE</t>
        </is>
      </c>
      <c r="V228" s="3" t="inlineStr">
        <is>
          <t>2026-10-01</t>
        </is>
      </c>
      <c r="W228" s="3" t="n"/>
      <c r="X228" s="3" t="n"/>
      <c r="Y228" s="3" t="inlineStr">
        <is>
          <t>NOTHING OPEN</t>
        </is>
      </c>
    </row>
    <row r="229" ht="60" customHeight="1">
      <c r="A229" s="3" t="inlineStr">
        <is>
          <t>MK-NW-F-003</t>
        </is>
      </c>
      <c r="B229" s="3" t="inlineStr">
        <is>
          <t>valueFreshness</t>
        </is>
      </c>
      <c r="C229" s="3" t="inlineStr">
        <is>
          <t>src/domain/assets/index.ts</t>
        </is>
      </c>
      <c r="D229" s="3" t="n">
        <v>127</v>
      </c>
      <c r="E229" s="3" t="inlineStr">
        <is>
          <t>2 · DISPLAYED</t>
        </is>
      </c>
      <c r="F229" s="3" t="inlineStr">
        <is>
          <t>Manual-value freshness (FCC): how old a hand-entered value is, and whether it needs a nudge.</t>
        </is>
      </c>
      <c r="G229" s="11" t="inlineStr">
        <is>
          <t>nothing   when derive balance
nothing   when value as of is missing
m = value as of.match( ÷ ^(\d{4}) − (\d{2}) ÷ )
nothing   when m is missing
months old = max(0, (now.get full year() - +m[1]) × 12 + (now.get month() + 1 - +m[2]))
the answer:
as of = value as of
months old = months old
stale = months old ≥ 6</t>
        </is>
      </c>
      <c r="H229" s="3" t="inlineStr">
        <is>
          <t>When derive balance, it answers no answer. When value as of is missing, it answers no answer. M is value as of.match( divided by ^(\d{4}) minus (\d{2}) divided by ). When m is missing, it answers no answer. Months old is (now.get full year(, never below zero - +m[1]) times 12 plus (now.get month() plus 1 - +m[2])). The answer is as of = value as of; months old = months old; stale = months old is at least 6.</t>
        </is>
      </c>
      <c r="I229" s="3" t="inlineStr">
        <is>
          <t>PARTLY READ — some of the code is still showing through; needs a hand pass</t>
        </is>
      </c>
      <c r="J229" s="3" t="inlineStr">
        <is>
          <t>1. a: AssetAccount
2. now: Date = new Date()</t>
        </is>
      </c>
      <c r="K229" s="3" t="inlineStr">
        <is>
          <t>NOT DECLARED — the code does not say what it gives back</t>
        </is>
      </c>
      <c r="L229" s="3" t="inlineStr">
        <is>
          <t>NOT FOUND — a screen calls it, but the words printed beside its answer could not be traced automatically. Needs reading.</t>
        </is>
      </c>
      <c r="M229" s="3" t="inlineStr">
        <is>
          <t>1. Turns a monthly figure into a year by multiplying by twelve.
2. Uses today's date from the device clock, so the answer changes by itself overnight.</t>
        </is>
      </c>
      <c r="N229" s="3" t="inlineStr">
        <is>
          <t>Yes</t>
        </is>
      </c>
      <c r="O229" s="3" t="inlineStr">
        <is>
          <t>—</t>
        </is>
      </c>
      <c r="P229" s="3" t="n">
        <v>0</v>
      </c>
      <c r="Q229" s="3" t="inlineStr">
        <is>
          <t>None — no dependent function stands behind it</t>
        </is>
      </c>
      <c r="R229" s="3" t="inlineStr">
        <is>
          <t>No dependent function — it reads its inputs and answers</t>
        </is>
      </c>
      <c r="S229" s="3" t="inlineStr">
        <is>
          <t>—</t>
        </is>
      </c>
      <c r="T229" s="3" t="inlineStr">
        <is>
          <t>HAND_VALUE_AGE</t>
        </is>
      </c>
      <c r="U229" s="3" t="inlineStr">
        <is>
          <t>ACTIVE</t>
        </is>
      </c>
      <c r="V229" s="3" t="inlineStr">
        <is>
          <t>2026-08-27</t>
        </is>
      </c>
      <c r="W229" s="3" t="n"/>
      <c r="X229" s="3" t="n"/>
      <c r="Y229" s="3" t="inlineStr">
        <is>
          <t>NOTHING OPEN</t>
        </is>
      </c>
    </row>
    <row r="230" ht="60" customHeight="1">
      <c r="A230" s="3" t="inlineStr">
        <is>
          <t>MK-NW-F-004</t>
        </is>
      </c>
      <c r="B230" s="3" t="inlineStr">
        <is>
          <t>portfolioActualReturn</t>
        </is>
      </c>
      <c r="C230" s="3" t="inlineStr">
        <is>
          <t>src/domain/assets/index.ts</t>
        </is>
      </c>
      <c r="D230" s="3" t="n">
        <v>163</v>
      </c>
      <c r="E230" s="3" t="inlineStr">
        <is>
          <t>2 · DISPLAYED</t>
        </is>
      </c>
      <c r="F230" s="3" t="inlineStr">
        <is>
          <t>Value-weighted ACTUAL trailing-12mo return across holdings that have one reported.</t>
        </is>
      </c>
      <c r="G230" s="11" t="inlineStr">
        <is>
          <t>items = accounts (or none when missing) where tax bucket ! = 'PROPERTY' and actual ttm ≠ nothing and earmarked amount(each) &gt; 0
total = Σ over items of (earmarked amount(each))
nothing   when total ≤ 0
weighted = Σ over items of ((actual ttm as number) × earmarked amount(each))
the answer = weighted ÷ total</t>
        </is>
      </c>
      <c r="H230" s="3" t="inlineStr">
        <is>
          <t>Items is accounts (or none — when missing) where tax bucket ! = 'PROPERTY' and actual ttm is not no answer and earmarked amount(each) &gt; 0. Total: the earmarked amount(each) added up across items. When total is at most 0, it answers no answer. Weighted: the (actual ttm as number) times earmarked amount(each) added up across items. The answer is weighted divided by total.</t>
        </is>
      </c>
      <c r="I230" s="3" t="inlineStr">
        <is>
          <t>READ FROM THE CODE — rendered from the expressions the function runs</t>
        </is>
      </c>
      <c r="J230" s="3" t="inlineStr">
        <is>
          <t>accounts: AssetAccount[]</t>
        </is>
      </c>
      <c r="K230" s="3" t="inlineStr">
        <is>
          <t>number | null</t>
        </is>
      </c>
      <c r="L230" s="3" t="inlineStr">
        <is>
          <t>"Expected return" — on the Retirement cockpit screen, under "scRetired ?"</t>
        </is>
      </c>
      <c r="M230" s="3" t="inlineStr">
        <is>
          <t>None found in this function — anything it assumes comes from the functions it depends on.</t>
        </is>
      </c>
      <c r="N230" s="3" t="inlineStr">
        <is>
          <t>Yes</t>
        </is>
      </c>
      <c r="O230" s="3" t="inlineStr">
        <is>
          <t>1. MK-CF-F-155 cash
2. MK-NW-F-032 earmarkedAmount</t>
        </is>
      </c>
      <c r="P230" s="3" t="n">
        <v>14</v>
      </c>
      <c r="Q230" s="3" t="inlineStr">
        <is>
          <t>1. MK-CF-F-155 cash
2. MK-NW-F-032 earmarkedAmount
3. MK-XS-F-122 n
4. MK-NW-F-030 earmarkDefault
5. MK-NW-F-011 assetClassOf
6. MK-NW-F-013 realEstateUseOf
7. MK-NW-F-008 incomeBearingClassOf
8. MK-ST-F-010 nameEvidence
9. MK-XS-F-147 call
10. MK-ST-F-056 has
11. MK-CF-F-132 map
12. MK-ST-F-027 accountId
13. MK-XS-F-064 currentIdToken
14. MK-XS-F-112 relayUrl</t>
        </is>
      </c>
      <c r="R230" s="3" t="inlineStr">
        <is>
          <t>1. MK-XS-F-122 n → MK-CF-F-155 cash → MK-NW-F-004 portfolioActualReturn
2. MK-CF-F-155 cash → MK-NW-F-008 incomeBearingClassOf → MK-NW-F-011 assetClassOf → MK-NW-F-030 earmarkDefault → MK-NW-F-032 earmarkedAmount → MK-NW-F-004 portfolioActualReturn
3. MK-ST-F-010 nameEvidence → MK-NW-F-008 incomeBearingClassOf → MK-NW-F-011 assetClassOf → MK-NW-F-030 earmarkDefault → MK-NW-F-032 earmarkedAmount → MK-NW-F-004 portfolioActualReturn
4. MK-NW-F-013 realEstateUseOf → MK-NW-F-030 earmarkDefault → MK-NW-F-032 earmarkedAmount → MK-NW-F-004 portfolioActualReturn</t>
        </is>
      </c>
      <c r="S230" s="3" t="inlineStr">
        <is>
          <t>—</t>
        </is>
      </c>
      <c r="T230" s="3" t="inlineStr">
        <is>
          <t>REPORTED_RETURN</t>
        </is>
      </c>
      <c r="U230" s="3" t="inlineStr">
        <is>
          <t>ACTIVE</t>
        </is>
      </c>
      <c r="V230" s="3" t="inlineStr">
        <is>
          <t>2026-09-09</t>
        </is>
      </c>
      <c r="W230" s="3" t="n"/>
      <c r="X230" s="3" t="n"/>
      <c r="Y230" s="3" t="inlineStr">
        <is>
          <t>NOTHING OPEN</t>
        </is>
      </c>
    </row>
    <row r="231" ht="60" customHeight="1">
      <c r="A231" s="3" t="inlineStr">
        <is>
          <t>MK-NW-F-005</t>
        </is>
      </c>
      <c r="B231" s="3" t="inlineStr">
        <is>
          <t>accountAllowsTicker</t>
        </is>
      </c>
      <c r="C231" s="3" t="inlineStr">
        <is>
          <t>src/domain/assets/index.ts</t>
        </is>
      </c>
      <c r="D231" s="3" t="n">
        <v>195</v>
      </c>
      <c r="E231" s="3" t="inlineStr">
        <is>
          <t>2 · DISPLAYED</t>
        </is>
      </c>
      <c r="F231" s="3" t="inlineStr">
        <is>
          <t>Can this account hold individual ticker securities?</t>
        </is>
      </c>
      <c r="G231" s="11" t="inlineStr">
        <is>
          <t>false   when tax bucket = 'PROPERTY' (or tax bucket = 'CASH' when missing or zero)
false   when kind = 'college_529'
false   when kind = 'checking' (or kind = 'savings' when missing or zero)
cls = asset class of(a)
false   when cls = 'bonds' (or cls = 'alternatives' when missing or zero)
the answer = true</t>
        </is>
      </c>
      <c r="H231" s="3" t="inlineStr">
        <is>
          <t>When tax bucket = 'PROPERTY' (or tax bucket = 'CASH' — when missing or zero), it answers false. When kind = 'college_529', it answers false. When kind = 'checking' (or kind = 'savings' — when missing or zero), it answers false. Cls is asset class of(a). When cls = 'bonds' (or cls = 'alternatives' — when missing or zero), it answers false. The answer is true.</t>
        </is>
      </c>
      <c r="I231" s="3" t="inlineStr">
        <is>
          <t>READ FROM THE CODE — rendered from the expressions the function runs</t>
        </is>
      </c>
      <c r="J231" s="3" t="inlineStr">
        <is>
          <t>a: AssetAccount</t>
        </is>
      </c>
      <c r="K231" s="3" t="inlineStr">
        <is>
          <t>boolean</t>
        </is>
      </c>
      <c r="L231" s="3" t="inlineStr">
        <is>
          <t>NOT FOUND — a screen calls it, but the words printed beside its answer could not be traced automatically. Needs reading.</t>
        </is>
      </c>
      <c r="M231" s="3" t="inlineStr">
        <is>
          <t>None found in this function — anything it assumes comes from the functions it depends on.</t>
        </is>
      </c>
      <c r="N231" s="3" t="inlineStr">
        <is>
          <t>Yes</t>
        </is>
      </c>
      <c r="O231" s="3" t="inlineStr">
        <is>
          <t>1. MK-NW-F-011 assetClassOf
2. MK-CF-F-155 cash</t>
        </is>
      </c>
      <c r="P231" s="3" t="n">
        <v>11</v>
      </c>
      <c r="Q231" s="3" t="inlineStr">
        <is>
          <t>1. MK-NW-F-011 assetClassOf
2. MK-CF-F-155 cash
3. MK-NW-F-008 incomeBearingClassOf
4. MK-XS-F-122 n
5. MK-ST-F-010 nameEvidence
6. MK-XS-F-147 call
7. MK-ST-F-056 has
8. MK-CF-F-132 map
9. MK-ST-F-027 accountId
10. MK-XS-F-064 currentIdToken
11. MK-XS-F-112 relayUrl</t>
        </is>
      </c>
      <c r="R231" s="3" t="inlineStr">
        <is>
          <t>1. MK-XS-F-122 n → MK-CF-F-155 cash → MK-NW-F-008 incomeBearingClassOf → MK-NW-F-011 assetClassOf → MK-NW-F-005 accountAllowsTicker
2. MK-ST-F-027 accountId → MK-XS-F-147 call → MK-ST-F-010 nameEvidence → MK-NW-F-008 incomeBearingClassOf → MK-NW-F-011 assetClassOf → MK-NW-F-005 accountAllowsTicker
3. MK-XS-F-064 currentIdToken → MK-XS-F-147 call → MK-ST-F-010 nameEvidence → MK-NW-F-008 incomeBearingClassOf → MK-NW-F-011 assetClassOf → MK-NW-F-005 accountAllowsTicker
4. MK-XS-F-112 relayUrl → MK-XS-F-147 call → MK-ST-F-010 nameEvidence → MK-NW-F-008 incomeBearingClassOf → MK-NW-F-011 assetClassOf → MK-NW-F-005 accountAllowsTicker
5. MK-ST-F-056 has → MK-ST-F-010 nameEvidence → MK-NW-F-008 incomeBearingClassOf → MK-NW-F-011 assetClassOf → MK-NW-F-005 accountAllowsTicker
6. MK-CF-F-132 map → MK-ST-F-010 nameEvidence → MK-NW-F-008 incomeBearingClassOf → MK-NW-F-011 assetClassOf → MK-NW-F-005 accountAllowsTicker
7. MK-XS-F-122 n → MK-CF-F-155 cash → MK-NW-F-005 accountAllowsTicker</t>
        </is>
      </c>
      <c r="S231" s="3" t="inlineStr">
        <is>
          <t>—</t>
        </is>
      </c>
      <c r="T231" s="3" t="inlineStr">
        <is>
          <t>CAN_HOLD_TICKERS</t>
        </is>
      </c>
      <c r="U231" s="3" t="inlineStr">
        <is>
          <t>ACTIVE</t>
        </is>
      </c>
      <c r="V231" s="3" t="inlineStr">
        <is>
          <t>2026-08-27</t>
        </is>
      </c>
      <c r="W231" s="3" t="n"/>
      <c r="X231" s="3" t="n"/>
      <c r="Y231" s="3" t="inlineStr">
        <is>
          <t>NOTHING OPEN</t>
        </is>
      </c>
    </row>
    <row r="232" ht="60" customHeight="1">
      <c r="A232" s="3" t="inlineStr">
        <is>
          <t>MK-NW-F-006</t>
        </is>
      </c>
      <c r="B232" s="3" t="inlineStr">
        <is>
          <t>isCashKind</t>
        </is>
      </c>
      <c r="C232" s="3" t="inlineStr">
        <is>
          <t>src/domain/assets/index.ts</t>
        </is>
      </c>
      <c r="D232" s="3" t="n">
        <v>262</v>
      </c>
      <c r="E232" s="3" t="inlineStr">
        <is>
          <t>1 · ACTION</t>
        </is>
      </c>
      <c r="F232" s="3" t="inlineStr">
        <is>
          <t>Does this account type sit under the Cash heading on screen?</t>
        </is>
      </c>
      <c r="G232" s="11" t="inlineStr">
        <is>
          <t>asset kind(kind).bucket = 'CASH'</t>
        </is>
      </c>
      <c r="H232" s="3" t="inlineStr">
        <is>
          <t>asset kind(kind).bucket = 'CASH'</t>
        </is>
      </c>
      <c r="I232" s="3" t="inlineStr">
        <is>
          <t>PARTLY READ — some of the code is still showing through; needs a hand pass</t>
        </is>
      </c>
      <c r="J232" s="3" t="inlineStr">
        <is>
          <t>kind?: string</t>
        </is>
      </c>
      <c r="K232" s="3" t="inlineStr">
        <is>
          <t>NOT DECLARED — the code does not say what it gives back</t>
        </is>
      </c>
      <c r="L232" s="3" t="inlineStr">
        <is>
          <t>—</t>
        </is>
      </c>
      <c r="M232" s="3" t="inlineStr">
        <is>
          <t>None found in this function — anything it assumes comes from the functions it depends on.</t>
        </is>
      </c>
      <c r="N232" s="3" t="inlineStr">
        <is>
          <t>No</t>
        </is>
      </c>
      <c r="O232" s="3" t="inlineStr">
        <is>
          <t>MK-NW-F-007 assetKind</t>
        </is>
      </c>
      <c r="P232" s="3" t="n">
        <v>12</v>
      </c>
      <c r="Q232" s="3" t="inlineStr">
        <is>
          <t>1. MK-NW-F-007 assetKind
2. MK-NW-F-011 assetClassOf
3. MK-CF-F-155 cash
4. MK-NW-F-008 incomeBearingClassOf
5. MK-XS-F-122 n
6. MK-ST-F-010 nameEvidence
7. MK-XS-F-147 call
8. MK-ST-F-056 has
9. MK-CF-F-132 map
10. MK-ST-F-027 accountId
11. MK-XS-F-064 currentIdToken
12. MK-XS-F-112 relayUrl</t>
        </is>
      </c>
      <c r="R232" s="3" t="inlineStr">
        <is>
          <t>1. MK-XS-F-122 n → MK-CF-F-155 cash → MK-NW-F-008 incomeBearingClassOf → MK-NW-F-011 assetClassOf → MK-NW-F-007 assetKind → MK-NW-F-006 isCashKind
2. MK-XS-F-147 call → MK-ST-F-010 nameEvidence → MK-NW-F-008 incomeBearingClassOf → MK-NW-F-011 assetClassOf → MK-NW-F-007 assetKind → MK-NW-F-006 isCashKind
3. MK-ST-F-056 has → MK-ST-F-010 nameEvidence → MK-NW-F-008 incomeBearingClassOf → MK-NW-F-011 assetClassOf → MK-NW-F-007 assetKind → MK-NW-F-006 isCashKind
4. MK-CF-F-132 map → MK-ST-F-010 nameEvidence → MK-NW-F-008 incomeBearingClassOf → MK-NW-F-011 assetClassOf → MK-NW-F-007 assetKind → MK-NW-F-006 isCashKind
5. MK-XS-F-122 n → MK-CF-F-155 cash → MK-NW-F-007 assetKind → MK-NW-F-006 isCashKind</t>
        </is>
      </c>
      <c r="S232" s="3" t="inlineStr">
        <is>
          <t>—</t>
        </is>
      </c>
      <c r="T232" s="3" t="inlineStr">
        <is>
          <t>KIND_IS_CASH</t>
        </is>
      </c>
      <c r="U232" s="3" t="inlineStr">
        <is>
          <t>ACTIVE</t>
        </is>
      </c>
      <c r="V232" s="3" t="inlineStr">
        <is>
          <t>2026-08-27</t>
        </is>
      </c>
      <c r="W232" s="3" t="n"/>
      <c r="X232" s="3" t="n"/>
      <c r="Y232" s="3" t="inlineStr">
        <is>
          <t>NOTHING OPEN</t>
        </is>
      </c>
    </row>
    <row r="233" ht="60" customHeight="1">
      <c r="A233" s="3" t="inlineStr">
        <is>
          <t>MK-NW-F-007</t>
        </is>
      </c>
      <c r="B233" s="3" t="inlineStr">
        <is>
          <t>assetKind</t>
        </is>
      </c>
      <c r="C233" s="3" t="inlineStr">
        <is>
          <t>src/domain/assets/index.ts</t>
        </is>
      </c>
      <c r="D233" s="3" t="n">
        <v>286</v>
      </c>
      <c r="E233" s="3" t="inlineStr">
        <is>
          <t>2 · DISPLAYED</t>
        </is>
      </c>
      <c r="F233" s="3" t="inlineStr">
        <is>
          <t>What do we know about this kind of account?</t>
        </is>
      </c>
      <c r="G233" s="11" t="inlineStr">
        <is>
          <t>id = id); }</t>
        </is>
      </c>
      <c r="H233" s="3" t="inlineStr">
        <is>
          <t>id = id); }</t>
        </is>
      </c>
      <c r="I233" s="3" t="inlineStr">
        <is>
          <t>READ FROM THE CODE — rendered from the expressions the function runs</t>
        </is>
      </c>
      <c r="J233" s="3" t="inlineStr">
        <is>
          <t>id?: string</t>
        </is>
      </c>
      <c r="K233" s="3" t="inlineStr">
        <is>
          <t>NOT DECLARED — the code does not say what it gives back</t>
        </is>
      </c>
      <c r="L233" s="3" t="inlineStr">
        <is>
          <t>1. "ACCOUNTS / INVESTING" — on a card used on more than one screen (MoneySheets)
2. "Type" — on the Other investments screen
3. "Type" — on the account portfolio screen, under "IF INTEREST RATES MOVE"</t>
        </is>
      </c>
      <c r="M233" s="3" t="inlineStr">
        <is>
          <t>None found in this function — anything it assumes comes from the functions it depends on.</t>
        </is>
      </c>
      <c r="N233" s="3" t="inlineStr">
        <is>
          <t>Yes</t>
        </is>
      </c>
      <c r="O233" s="3" t="inlineStr">
        <is>
          <t>1. MK-NW-F-011 assetClassOf
2. MK-CF-F-155 cash</t>
        </is>
      </c>
      <c r="P233" s="3" t="n">
        <v>11</v>
      </c>
      <c r="Q233" s="3" t="inlineStr">
        <is>
          <t>1. MK-NW-F-011 assetClassOf
2. MK-CF-F-155 cash
3. MK-NW-F-008 incomeBearingClassOf
4. MK-XS-F-122 n
5. MK-ST-F-010 nameEvidence
6. MK-XS-F-147 call
7. MK-ST-F-056 has
8. MK-CF-F-132 map
9. MK-ST-F-027 accountId
10. MK-XS-F-064 currentIdToken
11. MK-XS-F-112 relayUrl</t>
        </is>
      </c>
      <c r="R233" s="3" t="inlineStr">
        <is>
          <t>1. MK-XS-F-122 n → MK-CF-F-155 cash → MK-NW-F-008 incomeBearingClassOf → MK-NW-F-011 assetClassOf → MK-NW-F-007 assetKind
2. MK-ST-F-027 accountId → MK-XS-F-147 call → MK-ST-F-010 nameEvidence → MK-NW-F-008 incomeBearingClassOf → MK-NW-F-011 assetClassOf → MK-NW-F-007 assetKind
3. MK-XS-F-064 currentIdToken → MK-XS-F-147 call → MK-ST-F-010 nameEvidence → MK-NW-F-008 incomeBearingClassOf → MK-NW-F-011 assetClassOf → MK-NW-F-007 assetKind
4. MK-XS-F-112 relayUrl → MK-XS-F-147 call → MK-ST-F-010 nameEvidence → MK-NW-F-008 incomeBearingClassOf → MK-NW-F-011 assetClassOf → MK-NW-F-007 assetKind
5. MK-ST-F-056 has → MK-ST-F-010 nameEvidence → MK-NW-F-008 incomeBearingClassOf → MK-NW-F-011 assetClassOf → MK-NW-F-007 assetKind
6. MK-CF-F-132 map → MK-ST-F-010 nameEvidence → MK-NW-F-008 incomeBearingClassOf → MK-NW-F-011 assetClassOf → MK-NW-F-007 assetKind
7. MK-XS-F-122 n → MK-CF-F-155 cash → MK-NW-F-007 assetKind</t>
        </is>
      </c>
      <c r="S233" s="3" t="inlineStr">
        <is>
          <t>—</t>
        </is>
      </c>
      <c r="T233" s="3" t="inlineStr">
        <is>
          <t>ACCOUNT_TYPE_FACTS</t>
        </is>
      </c>
      <c r="U233" s="3" t="inlineStr">
        <is>
          <t>ACTIVE</t>
        </is>
      </c>
      <c r="V233" s="3" t="inlineStr">
        <is>
          <t>2026-08-27</t>
        </is>
      </c>
      <c r="W233" s="3" t="n"/>
      <c r="X233" s="3" t="n"/>
      <c r="Y233" s="3" t="inlineStr">
        <is>
          <t>NOTHING OPEN</t>
        </is>
      </c>
    </row>
    <row r="234" ht="60" customHeight="1">
      <c r="A234" s="3" t="inlineStr">
        <is>
          <t>MK-NW-F-008</t>
        </is>
      </c>
      <c r="B234" s="3" t="inlineStr">
        <is>
          <t>incomeBearingClassOf</t>
        </is>
      </c>
      <c r="C234" s="3" t="inlineStr">
        <is>
          <t>src/domain/assets/index.ts</t>
        </is>
      </c>
      <c r="D234" s="3" t="n">
        <v>341</v>
      </c>
      <c r="E234" s="3" t="inlineStr">
        <is>
          <t>3 · DEPENDENT</t>
        </is>
      </c>
      <c r="F234" s="3" t="inlineStr">
        <is>
          <t>FOUNDER RULE 2026-08-04 (supersedes the money-market=cash rule and the 12-month CD split): CASH means cash only — a sweep/settlement balance.</t>
        </is>
      </c>
      <c r="G234" s="11" t="inlineStr">
        <is>
          <t>name evidence(label)</t>
        </is>
      </c>
      <c r="H234" s="3" t="inlineStr">
        <is>
          <t>name evidence(label).</t>
        </is>
      </c>
      <c r="I234" s="3" t="inlineStr">
        <is>
          <t>READ FROM THE CODE — rendered from the expressions the function runs</t>
        </is>
      </c>
      <c r="J234" s="3" t="inlineStr">
        <is>
          <t>label?: string</t>
        </is>
      </c>
      <c r="K234" s="3" t="inlineStr">
        <is>
          <t>AssetClass | null</t>
        </is>
      </c>
      <c r="L234" s="3" t="inlineStr">
        <is>
          <t>—</t>
        </is>
      </c>
      <c r="M234" s="3" t="inlineStr">
        <is>
          <t>None found in this function — anything it assumes comes from the functions it depends on.</t>
        </is>
      </c>
      <c r="N234" s="3" t="inlineStr">
        <is>
          <t>Yes</t>
        </is>
      </c>
      <c r="O234" s="3" t="inlineStr">
        <is>
          <t>1. MK-CF-F-155 cash
2. MK-ST-F-010 nameEvidence</t>
        </is>
      </c>
      <c r="P234" s="3" t="n">
        <v>9</v>
      </c>
      <c r="Q234" s="3" t="inlineStr">
        <is>
          <t>1. MK-CF-F-155 cash
2. MK-ST-F-010 nameEvidence
3. MK-XS-F-122 n
4. MK-XS-F-147 call
5. MK-ST-F-056 has
6. MK-CF-F-132 map
7. MK-ST-F-027 accountId
8. MK-XS-F-064 currentIdToken
9. MK-XS-F-112 relayUrl</t>
        </is>
      </c>
      <c r="R234" s="3" t="inlineStr">
        <is>
          <t>1. MK-XS-F-122 n → MK-CF-F-155 cash → MK-NW-F-008 incomeBearingClassOf
2. MK-ST-F-027 accountId → MK-XS-F-147 call → MK-ST-F-010 nameEvidence → MK-NW-F-008 incomeBearingClassOf
3. MK-XS-F-064 currentIdToken → MK-XS-F-147 call → MK-ST-F-010 nameEvidence → MK-NW-F-008 incomeBearingClassOf
4. MK-XS-F-112 relayUrl → MK-XS-F-147 call → MK-ST-F-010 nameEvidence → MK-NW-F-008 incomeBearingClassOf
5. MK-ST-F-056 has → MK-ST-F-010 nameEvidence → MK-NW-F-008 incomeBearingClassOf
6. MK-CF-F-132 map → MK-ST-F-010 nameEvidence → MK-NW-F-008 incomeBearingClassOf</t>
        </is>
      </c>
      <c r="S234" s="3" t="inlineStr">
        <is>
          <t>—</t>
        </is>
      </c>
      <c r="T234" s="3" t="inlineStr">
        <is>
          <t>CLASS_FROM_NAME_TEXT</t>
        </is>
      </c>
      <c r="U234" s="3" t="inlineStr">
        <is>
          <t>ACTIVE</t>
        </is>
      </c>
      <c r="V234" s="3" t="inlineStr">
        <is>
          <t>2026-08-27</t>
        </is>
      </c>
      <c r="W234" s="3" t="n"/>
      <c r="X234" s="3" t="n"/>
      <c r="Y234" s="3" t="inlineStr">
        <is>
          <t>NOTHING OPEN</t>
        </is>
      </c>
    </row>
    <row r="235" ht="60" customHeight="1">
      <c r="A235" s="3" t="inlineStr">
        <is>
          <t>MK-NW-F-009</t>
        </is>
      </c>
      <c r="B235" s="3" t="inlineStr">
        <is>
          <t>maturityClass</t>
        </is>
      </c>
      <c r="C235" s="3" t="inlineStr">
        <is>
          <t>src/domain/assets/index.ts</t>
        </is>
      </c>
      <c r="D235" s="3" t="n">
        <v>376</v>
      </c>
      <c r="E235" s="3" t="inlineStr">
        <is>
          <t>2 · DISPLAYED</t>
        </is>
      </c>
      <c r="F235" s="3" t="inlineStr">
        <is>
          <t>FOUNDER RULE 2026-08-04 (supersedes build-34 #8's 12-month split): ANY maturity-dated instrument is a BOND — it pays interest, so it must sit in the measured bucket regardless of how soon it matures.</t>
        </is>
      </c>
      <c r="G235" s="11" t="inlineStr">
        <is>
          <t>'bonds'   if maturity date and string(maturity date).trim()
'cash'   otherwise</t>
        </is>
      </c>
      <c r="H235" s="3" t="inlineStr">
        <is>
          <t>'bonds' — when maturity date and string(maturity date).trim(); 'cash' — otherwise.</t>
        </is>
      </c>
      <c r="I235" s="3" t="inlineStr">
        <is>
          <t>PARTLY READ — some of the code is still showing through; needs a hand pass</t>
        </is>
      </c>
      <c r="J235" s="3" t="inlineStr">
        <is>
          <t>maturityDate?: string | null</t>
        </is>
      </c>
      <c r="K235" s="3" t="inlineStr">
        <is>
          <t>'cash' | 'bonds'</t>
        </is>
      </c>
      <c r="L235" s="3" t="inlineStr">
        <is>
          <t>NOT FOUND — a screen calls it, but the words printed beside its answer could not be traced automatically. Needs reading.</t>
        </is>
      </c>
      <c r="M235" s="3" t="inlineStr">
        <is>
          <t>None found in this function — anything it assumes comes from the functions it depends on.</t>
        </is>
      </c>
      <c r="N235" s="3" t="inlineStr">
        <is>
          <t>Yes</t>
        </is>
      </c>
      <c r="O235" s="3" t="inlineStr">
        <is>
          <t>—</t>
        </is>
      </c>
      <c r="P235" s="3" t="n">
        <v>0</v>
      </c>
      <c r="Q235" s="3" t="inlineStr">
        <is>
          <t>None — no dependent function stands behind it</t>
        </is>
      </c>
      <c r="R235" s="3" t="inlineStr">
        <is>
          <t>No dependent function — it reads its inputs and answers</t>
        </is>
      </c>
      <c r="S235" s="3" t="inlineStr">
        <is>
          <t>—</t>
        </is>
      </c>
      <c r="T235" s="3" t="inlineStr">
        <is>
          <t>MATURITY_MEANS_BOND</t>
        </is>
      </c>
      <c r="U235" s="3" t="inlineStr">
        <is>
          <t>ACTIVE</t>
        </is>
      </c>
      <c r="V235" s="3" t="inlineStr">
        <is>
          <t>2026-08-27</t>
        </is>
      </c>
      <c r="W235" s="3" t="n"/>
      <c r="X235" s="3" t="n"/>
      <c r="Y235" s="3" t="inlineStr">
        <is>
          <t>NOTHING OPEN</t>
        </is>
      </c>
    </row>
    <row r="236" ht="60" customHeight="1">
      <c r="A236" s="3" t="inlineStr">
        <is>
          <t>MK-NW-F-010</t>
        </is>
      </c>
      <c r="B236" s="3" t="inlineStr">
        <is>
          <t>wrapperAccount</t>
        </is>
      </c>
      <c r="C236" s="3" t="inlineStr">
        <is>
          <t>src/domain/assets/index.ts</t>
        </is>
      </c>
      <c r="D236" s="3" t="n">
        <v>405</v>
      </c>
      <c r="E236" s="3" t="inlineStr">
        <is>
          <t>2 · DISPLAYED</t>
        </is>
      </c>
      <c r="F236" s="3" t="inlineStr">
        <is>
          <t>The person picked how this account is taxed — what does that make it?</t>
        </is>
      </c>
      <c r="G236" s="11" t="inlineStr">
        <is>
          <t>401k → kind '401k', bucket PRE_TAX
trad_ira → 'trad_ira', PRE_TAX
roth → 'roth_ira', ROTH
hsa → 'hsa', PRE_TAX
anything else → 'brokerage', TAXABLE</t>
        </is>
      </c>
      <c r="H236" s="3" t="inlineStr">
        <is>
          <t>The account kind and tax bucket for the wrapper a person picked when adding an account — a 401(k), traditional IRA and HSA are pre-tax, a Roth is tax-free, anything else (or nothing) is a taxable brokerage. No arithmetic.</t>
        </is>
      </c>
      <c r="I236" s="3" t="inlineStr">
        <is>
          <t>READ BY HAND 2026-08-26 — checked line by line against the code</t>
        </is>
      </c>
      <c r="J236" s="3" t="inlineStr">
        <is>
          <t>w?: AddWrapper | null</t>
        </is>
      </c>
      <c r="K236" s="3" t="inlineStr">
        <is>
          <t>NOT DECLARED — the code does not say what it gives back</t>
        </is>
      </c>
      <c r="L236" s="3" t="inlineStr">
        <is>
          <t>NOT FOUND — a screen calls it, but the words printed beside its answer could not be traced automatically. Needs reading.</t>
        </is>
      </c>
      <c r="M236" s="3" t="inlineStr">
        <is>
          <t>None found in this function — anything it assumes comes from the functions it depends on.</t>
        </is>
      </c>
      <c r="N236" s="3" t="inlineStr">
        <is>
          <t>Yes</t>
        </is>
      </c>
      <c r="O236" s="3" t="inlineStr">
        <is>
          <t>MK-CF-F-155 cash</t>
        </is>
      </c>
      <c r="P236" s="3" t="n">
        <v>2</v>
      </c>
      <c r="Q236" s="3" t="inlineStr">
        <is>
          <t>1. MK-CF-F-155 cash
2. MK-XS-F-122 n</t>
        </is>
      </c>
      <c r="R236" s="3" t="inlineStr">
        <is>
          <t>MK-XS-F-122 n → MK-CF-F-155 cash → MK-NW-F-010 wrapperAccount</t>
        </is>
      </c>
      <c r="S236" s="3" t="inlineStr">
        <is>
          <t>—</t>
        </is>
      </c>
      <c r="T236" s="3" t="inlineStr">
        <is>
          <t>TAX_TYPE_TO_ACCOUNT</t>
        </is>
      </c>
      <c r="U236" s="3" t="inlineStr">
        <is>
          <t>ACTIVE</t>
        </is>
      </c>
      <c r="V236" s="3" t="inlineStr">
        <is>
          <t>2026-09-12</t>
        </is>
      </c>
      <c r="W236" s="3" t="n"/>
      <c r="X236" s="3" t="n"/>
      <c r="Y236" s="3" t="inlineStr">
        <is>
          <t>NOTHING OPEN</t>
        </is>
      </c>
    </row>
    <row r="237" ht="60" customHeight="1">
      <c r="A237" s="3" t="inlineStr">
        <is>
          <t>MK-NW-F-011</t>
        </is>
      </c>
      <c r="B237" s="3" t="inlineStr">
        <is>
          <t>assetClassOf</t>
        </is>
      </c>
      <c r="C237" s="3" t="inlineStr">
        <is>
          <t>src/domain/assets/index.ts</t>
        </is>
      </c>
      <c r="D237" s="3" t="n">
        <v>467</v>
      </c>
      <c r="E237" s="3" t="inlineStr">
        <is>
          <t>2 · DISPLAYED</t>
        </is>
      </c>
      <c r="F237" s="3" t="inlineStr">
        <is>
          <t>WHAT the account is (asset class).</t>
        </is>
      </c>
      <c r="G237" s="11" t="inlineStr">
        <is>
          <t>asset class   when asset class
by label = income bearing class of(label)
by label   when by label
'bonds'   when maturity date
by kind = KIND_TO_CLASS[kind]   if kind
undefined   otherwise
by kind   when by kind
'stocks_etf'   when count of positions and positions
'cash'   when tax bucket = 'CASH'
'real_estate'   when tax bucket = 'PROPERTY'
the answer = 'mixed'</t>
        </is>
      </c>
      <c r="H237" s="3" t="inlineStr">
        <is>
          <t>When asset class, it answers asset class. By label is income bearing class of(label). When by label, it answers by label. When maturity date, it answers 'bonds'. By kind is KIND_TO_CLASS[kind] — when kind; undefined — otherwise. When by kind, it answers by kind. When how many positions and positions there are, it answers 'stocks_etf'. When tax bucket = 'CASH', it answers 'cash'. When tax bucket = 'PROPERTY', it answers 'real_estate'. The answer is 'mixed'.</t>
        </is>
      </c>
      <c r="I237" s="3" t="inlineStr">
        <is>
          <t>PARTLY READ — some of the code is still showing through; needs a hand pass</t>
        </is>
      </c>
      <c r="J237" s="3" t="inlineStr">
        <is>
          <t>a: AssetAccount</t>
        </is>
      </c>
      <c r="K237" s="3" t="inlineStr">
        <is>
          <t>AssetClass</t>
        </is>
      </c>
      <c r="L237" s="3" t="inlineStr">
        <is>
          <t>1. "Bonds &amp; alternatives — recorded on their own pages" — on the Performance screen
2. "Nothing entered yet." — on the Net worth screen, under "DEBTS"</t>
        </is>
      </c>
      <c r="M237" s="3" t="inlineStr">
        <is>
          <t>None found in this function — anything it assumes comes from the functions it depends on.</t>
        </is>
      </c>
      <c r="N237" s="3" t="inlineStr">
        <is>
          <t>Yes</t>
        </is>
      </c>
      <c r="O237" s="3" t="inlineStr">
        <is>
          <t>MK-NW-F-008 incomeBearingClassOf</t>
        </is>
      </c>
      <c r="P237" s="3" t="n">
        <v>10</v>
      </c>
      <c r="Q237" s="3" t="inlineStr">
        <is>
          <t>1. MK-NW-F-008 incomeBearingClassOf
2. MK-CF-F-155 cash
3. MK-ST-F-010 nameEvidence
4. MK-XS-F-122 n
5. MK-XS-F-147 call
6. MK-ST-F-056 has
7. MK-CF-F-132 map
8. MK-ST-F-027 accountId
9. MK-XS-F-064 currentIdToken
10. MK-XS-F-112 relayUrl</t>
        </is>
      </c>
      <c r="R237" s="3" t="inlineStr">
        <is>
          <t>1. MK-XS-F-122 n → MK-CF-F-155 cash → MK-NW-F-008 incomeBearingClassOf → MK-NW-F-011 assetClassOf
2. MK-ST-F-027 accountId → MK-XS-F-147 call → MK-ST-F-010 nameEvidence → MK-NW-F-008 incomeBearingClassOf → MK-NW-F-011 assetClassOf
3. MK-XS-F-064 currentIdToken → MK-XS-F-147 call → MK-ST-F-010 nameEvidence → MK-NW-F-008 incomeBearingClassOf → MK-NW-F-011 assetClassOf
4. MK-XS-F-112 relayUrl → MK-XS-F-147 call → MK-ST-F-010 nameEvidence → MK-NW-F-008 incomeBearingClassOf → MK-NW-F-011 assetClassOf
5. MK-ST-F-056 has → MK-ST-F-010 nameEvidence → MK-NW-F-008 incomeBearingClassOf → MK-NW-F-011 assetClassOf
6. MK-CF-F-132 map → MK-ST-F-010 nameEvidence → MK-NW-F-008 incomeBearingClassOf → MK-NW-F-011 assetClassOf</t>
        </is>
      </c>
      <c r="S237" s="3" t="inlineStr">
        <is>
          <t>—</t>
        </is>
      </c>
      <c r="T237" s="3" t="inlineStr">
        <is>
          <t>ASSET_CLASS_OF_ACCOUNT</t>
        </is>
      </c>
      <c r="U237" s="3" t="inlineStr">
        <is>
          <t>ACTIVE</t>
        </is>
      </c>
      <c r="V237" s="3" t="inlineStr">
        <is>
          <t>2026-08-27</t>
        </is>
      </c>
      <c r="W237" s="3" t="n"/>
      <c r="X237" s="3" t="n"/>
      <c r="Y237" s="3" t="inlineStr">
        <is>
          <t>NOTHING OPEN</t>
        </is>
      </c>
    </row>
    <row r="238" ht="60" customHeight="1">
      <c r="A238" s="3" t="inlineStr">
        <is>
          <t>MK-NW-F-012</t>
        </is>
      </c>
      <c r="B238" s="3" t="inlineStr">
        <is>
          <t>taxTreatmentOf</t>
        </is>
      </c>
      <c r="C238" s="3" t="inlineStr">
        <is>
          <t>src/domain/assets/index.ts</t>
        </is>
      </c>
      <c r="D238" s="3" t="n">
        <v>508</v>
      </c>
      <c r="E238" s="3" t="inlineStr">
        <is>
          <t>2 · DISPLAYED</t>
        </is>
      </c>
      <c r="F238" s="3" t="inlineStr">
        <is>
          <t>HOW the account is taxed (wrapper).</t>
        </is>
      </c>
      <c r="G238" s="11" t="inlineStr">
        <is>
          <t>tax treatment   when tax treatment
'tax_deferred'   when tax bucket = 'PRE_TAX'
'tax_free'   when tax bucket = 'ROTH'
'taxable'</t>
        </is>
      </c>
      <c r="H238" s="3" t="inlineStr">
        <is>
          <t>When tax treatment, it answers tax treatment. When tax bucket = 'PRE_TAX', it answers 'tax_deferred'. When tax bucket = 'ROTH', it answers 'tax_free'. 'taxable'.</t>
        </is>
      </c>
      <c r="I238" s="3" t="inlineStr">
        <is>
          <t>READ FROM THE CODE — rendered from the expressions the function runs</t>
        </is>
      </c>
      <c r="J238" s="3" t="inlineStr">
        <is>
          <t>a: AssetAccount</t>
        </is>
      </c>
      <c r="K238" s="3" t="inlineStr">
        <is>
          <t>TaxTreatment</t>
        </is>
      </c>
      <c r="L238" s="3" t="inlineStr">
        <is>
          <t>NOT FOUND — a screen calls it, but the words printed beside its answer could not be traced automatically. Needs reading.</t>
        </is>
      </c>
      <c r="M238" s="3" t="inlineStr">
        <is>
          <t>None found in this function — anything it assumes comes from the functions it depends on.</t>
        </is>
      </c>
      <c r="N238" s="3" t="inlineStr">
        <is>
          <t>Yes</t>
        </is>
      </c>
      <c r="O238" s="3" t="inlineStr">
        <is>
          <t>—</t>
        </is>
      </c>
      <c r="P238" s="3" t="n">
        <v>0</v>
      </c>
      <c r="Q238" s="3" t="inlineStr">
        <is>
          <t>None — no dependent function stands behind it</t>
        </is>
      </c>
      <c r="R238" s="3" t="inlineStr">
        <is>
          <t>No dependent function — it reads its inputs and answers</t>
        </is>
      </c>
      <c r="S238" s="3" t="inlineStr">
        <is>
          <t>—</t>
        </is>
      </c>
      <c r="T238" s="3" t="inlineStr">
        <is>
          <t>TAX_TREATMENT</t>
        </is>
      </c>
      <c r="U238" s="3" t="inlineStr">
        <is>
          <t>ACTIVE</t>
        </is>
      </c>
      <c r="V238" s="3" t="inlineStr">
        <is>
          <t>2026-08-27</t>
        </is>
      </c>
      <c r="W238" s="3" t="n"/>
      <c r="X238" s="3" t="n"/>
      <c r="Y238" s="3" t="inlineStr">
        <is>
          <t>NOTHING OPEN</t>
        </is>
      </c>
    </row>
    <row r="239" ht="45" customHeight="1">
      <c r="A239" s="3" t="inlineStr">
        <is>
          <t>MK-NW-F-013</t>
        </is>
      </c>
      <c r="B239" s="3" t="inlineStr">
        <is>
          <t>realEstateUseOf</t>
        </is>
      </c>
      <c r="C239" s="3" t="inlineStr">
        <is>
          <t>src/domain/assets/index.ts</t>
        </is>
      </c>
      <c r="D239" s="3" t="n">
        <v>544</v>
      </c>
      <c r="E239" s="3" t="inlineStr">
        <is>
          <t>3 · DEPENDENT</t>
        </is>
      </c>
      <c r="F239" s="3" t="inlineStr">
        <is>
          <t>Real-estate use (primary/rental/secondary/land); only meaningful when assetClassOf === 'real_estate'.</t>
        </is>
      </c>
      <c r="G239" s="11" t="inlineStr">
        <is>
          <t>re use (or 'primary' when missing)</t>
        </is>
      </c>
      <c r="H239" s="3" t="inlineStr">
        <is>
          <t>re use (or 'primary' — when missing).</t>
        </is>
      </c>
      <c r="I239" s="3" t="inlineStr">
        <is>
          <t>READ FROM THE CODE — rendered from the expressions the function runs</t>
        </is>
      </c>
      <c r="J239" s="3" t="inlineStr">
        <is>
          <t>a: AssetAccount</t>
        </is>
      </c>
      <c r="K239" s="3" t="inlineStr">
        <is>
          <t>RealEstateUse</t>
        </is>
      </c>
      <c r="L239" s="3" t="inlineStr">
        <is>
          <t>—</t>
        </is>
      </c>
      <c r="M239" s="3" t="inlineStr">
        <is>
          <t>None found in this function — anything it assumes comes from the functions it depends on.</t>
        </is>
      </c>
      <c r="N239" s="3" t="inlineStr">
        <is>
          <t>Yes</t>
        </is>
      </c>
      <c r="O239" s="3" t="inlineStr">
        <is>
          <t>—</t>
        </is>
      </c>
      <c r="P239" s="3" t="n">
        <v>0</v>
      </c>
      <c r="Q239" s="3" t="inlineStr">
        <is>
          <t>None — no dependent function stands behind it</t>
        </is>
      </c>
      <c r="R239" s="3" t="inlineStr">
        <is>
          <t>No dependent function — it reads its inputs and answers</t>
        </is>
      </c>
      <c r="S239" s="3" t="inlineStr">
        <is>
          <t>—</t>
        </is>
      </c>
      <c r="T239" s="3" t="inlineStr">
        <is>
          <t>HOW_A_HOME_IS_USED</t>
        </is>
      </c>
      <c r="U239" s="3" t="inlineStr">
        <is>
          <t>ACTIVE</t>
        </is>
      </c>
      <c r="V239" s="3" t="inlineStr">
        <is>
          <t>2026-08-27</t>
        </is>
      </c>
      <c r="W239" s="3" t="n"/>
      <c r="X239" s="3" t="n"/>
      <c r="Y239" s="3" t="inlineStr">
        <is>
          <t>NOTHING OPEN</t>
        </is>
      </c>
    </row>
    <row r="240" ht="60" customHeight="1">
      <c r="A240" s="3" t="inlineStr">
        <is>
          <t>MK-NW-F-014</t>
        </is>
      </c>
      <c r="B240" s="3" t="inlineStr">
        <is>
          <t>isRealAsset</t>
        </is>
      </c>
      <c r="C240" s="3" t="inlineStr">
        <is>
          <t>src/domain/assets/index.ts</t>
        </is>
      </c>
      <c r="D240" s="3" t="n">
        <v>573</v>
      </c>
      <c r="E240" s="3" t="inlineStr">
        <is>
          <t>3 · DEPENDENT</t>
        </is>
      </c>
      <c r="F240" s="3" t="inlineStr">
        <is>
          <t>Whether an account is a physical asset, meaning real estate or personal property.</t>
        </is>
      </c>
      <c r="G240" s="11" t="inlineStr">
        <is>
          <t>c = asset class of(a)
the answer = c = 'real_estate' (or c = 'personal_property' when missing or zero)</t>
        </is>
      </c>
      <c r="H240" s="3" t="inlineStr">
        <is>
          <t>C is asset class of(a). The answer is c = 'real_estate' (or c = 'personal_property' — when missing or zero).</t>
        </is>
      </c>
      <c r="I240" s="3" t="inlineStr">
        <is>
          <t>READ FROM THE CODE — rendered from the expressions the function runs</t>
        </is>
      </c>
      <c r="J240" s="3" t="inlineStr">
        <is>
          <t>a: AssetAccount</t>
        </is>
      </c>
      <c r="K240" s="3" t="inlineStr">
        <is>
          <t>boolean</t>
        </is>
      </c>
      <c r="L240" s="3" t="inlineStr">
        <is>
          <t>—</t>
        </is>
      </c>
      <c r="M240" s="3" t="inlineStr">
        <is>
          <t>None found in this function — anything it assumes comes from the functions it depends on.</t>
        </is>
      </c>
      <c r="N240" s="3" t="inlineStr">
        <is>
          <t>Yes</t>
        </is>
      </c>
      <c r="O240" s="3" t="inlineStr">
        <is>
          <t>MK-NW-F-011 assetClassOf</t>
        </is>
      </c>
      <c r="P240" s="3" t="n">
        <v>11</v>
      </c>
      <c r="Q240" s="3" t="inlineStr">
        <is>
          <t>1. MK-NW-F-011 assetClassOf
2. MK-NW-F-008 incomeBearingClassOf
3. MK-CF-F-155 cash
4. MK-ST-F-010 nameEvidence
5. MK-XS-F-122 n
6. MK-XS-F-147 call
7. MK-ST-F-056 has
8. MK-CF-F-132 map
9. MK-ST-F-027 accountId
10. MK-XS-F-064 currentIdToken
11. MK-XS-F-112 relayUrl</t>
        </is>
      </c>
      <c r="R240" s="3" t="inlineStr">
        <is>
          <t>1. MK-XS-F-122 n → MK-CF-F-155 cash → MK-NW-F-008 incomeBearingClassOf → MK-NW-F-011 assetClassOf → MK-NW-F-014 isRealAsset
2. MK-ST-F-027 accountId → MK-XS-F-147 call → MK-ST-F-010 nameEvidence → MK-NW-F-008 incomeBearingClassOf → MK-NW-F-011 assetClassOf → MK-NW-F-014 isRealAsset
3. MK-XS-F-064 currentIdToken → MK-XS-F-147 call → MK-ST-F-010 nameEvidence → MK-NW-F-008 incomeBearingClassOf → MK-NW-F-011 assetClassOf → MK-NW-F-014 isRealAsset
4. MK-XS-F-112 relayUrl → MK-XS-F-147 call → MK-ST-F-010 nameEvidence → MK-NW-F-008 incomeBearingClassOf → MK-NW-F-011 assetClassOf → MK-NW-F-014 isRealAsset
5. MK-ST-F-056 has → MK-ST-F-010 nameEvidence → MK-NW-F-008 incomeBearingClassOf → MK-NW-F-011 assetClassOf → MK-NW-F-014 isRealAsset
6. MK-CF-F-132 map → MK-ST-F-010 nameEvidence → MK-NW-F-008 incomeBearingClassOf → MK-NW-F-011 assetClassOf → MK-NW-F-014 isRealAsset</t>
        </is>
      </c>
      <c r="S240" s="3" t="inlineStr">
        <is>
          <t>—</t>
        </is>
      </c>
      <c r="T240" s="3" t="inlineStr">
        <is>
          <t>IS_PHYSICAL_ASSET</t>
        </is>
      </c>
      <c r="U240" s="3" t="inlineStr">
        <is>
          <t>ACTIVE</t>
        </is>
      </c>
      <c r="V240" s="3" t="inlineStr">
        <is>
          <t>2026-08-27</t>
        </is>
      </c>
      <c r="W240" s="3" t="n"/>
      <c r="X240" s="3" t="n"/>
      <c r="Y240" s="3" t="inlineStr">
        <is>
          <t>NOTHING OPEN</t>
        </is>
      </c>
    </row>
    <row r="241" ht="45" customHeight="1">
      <c r="A241" s="3" t="inlineStr">
        <is>
          <t>MK-NW-F-015</t>
        </is>
      </c>
      <c r="B241" s="3" t="inlineStr">
        <is>
          <t>totalAssets</t>
        </is>
      </c>
      <c r="C241" s="3" t="inlineStr">
        <is>
          <t>src/domain/assets/index.ts</t>
        </is>
      </c>
      <c r="D241" s="3" t="n">
        <v>640</v>
      </c>
      <c r="E241" s="3" t="inlineStr">
        <is>
          <t>3 · DEPENDENT</t>
        </is>
      </c>
      <c r="F241" s="3" t="inlineStr">
        <is>
          <t>Everything owned, added up: the balance of every account.</t>
        </is>
      </c>
      <c r="G241" s="11" t="inlineStr">
        <is>
          <t>Σ over accounts (or none when missing) of (balance (or 0 when missing or zero))</t>
        </is>
      </c>
      <c r="H241" s="3" t="inlineStr">
        <is>
          <t>the balance (or 0 — when missing or zero) added up across accounts (or none — when missing).</t>
        </is>
      </c>
      <c r="I241" s="3" t="inlineStr">
        <is>
          <t>READ FROM THE CODE — rendered from the expressions the function runs</t>
        </is>
      </c>
      <c r="J241" s="3" t="inlineStr">
        <is>
          <t>accounts: AssetAccount[]</t>
        </is>
      </c>
      <c r="K241" s="3" t="inlineStr">
        <is>
          <t>number</t>
        </is>
      </c>
      <c r="L241" s="3" t="inlineStr">
        <is>
          <t>—</t>
        </is>
      </c>
      <c r="M241" s="3" t="inlineStr">
        <is>
          <t>· If balance is missing it counts as zero, so nothing recorded and a real zero look the same.</t>
        </is>
      </c>
      <c r="N241" s="3" t="inlineStr">
        <is>
          <t>Yes</t>
        </is>
      </c>
      <c r="O241" s="3" t="inlineStr">
        <is>
          <t>—</t>
        </is>
      </c>
      <c r="P241" s="3" t="n">
        <v>0</v>
      </c>
      <c r="Q241" s="3" t="inlineStr">
        <is>
          <t>None — no dependent function stands behind it</t>
        </is>
      </c>
      <c r="R241" s="3" t="inlineStr">
        <is>
          <t>No dependent function — it reads its inputs and answers</t>
        </is>
      </c>
      <c r="S241" s="3" t="inlineStr">
        <is>
          <t>—</t>
        </is>
      </c>
      <c r="T241" s="3" t="inlineStr">
        <is>
          <t>—</t>
        </is>
      </c>
      <c r="U241" s="3" t="inlineStr">
        <is>
          <t>ACTIVE</t>
        </is>
      </c>
      <c r="V241" s="3" t="inlineStr">
        <is>
          <t>2026-09-09</t>
        </is>
      </c>
      <c r="W241" s="3" t="n"/>
      <c r="X241" s="3" t="n"/>
      <c r="Y241" s="3" t="inlineStr">
        <is>
          <t>NOTHING OPEN</t>
        </is>
      </c>
    </row>
    <row r="242" ht="60" customHeight="1">
      <c r="A242" s="3" t="inlineStr">
        <is>
          <t>MK-NW-F-016</t>
        </is>
      </c>
      <c r="B242" s="3" t="inlineStr">
        <is>
          <t>cashTotal</t>
        </is>
      </c>
      <c r="C242" s="3" t="inlineStr">
        <is>
          <t>src/domain/assets/index.ts</t>
        </is>
      </c>
      <c r="D242" s="3" t="n">
        <v>674</v>
      </c>
      <c r="E242" s="3" t="inlineStr">
        <is>
          <t>2 · DISPLAYED</t>
        </is>
      </c>
      <c r="F242" s="3" t="inlineStr">
        <is>
          <t>All the cash a person has: every bank account, plus the uninvested cash sitting inside investment accounts.</t>
        </is>
      </c>
      <c r="G242" s="11" t="inlineStr">
        <is>
          <t>b = account class breakdown(a)
the answer = t + (b ? cash : asset class of(a) = 'cash' ? (balance or 0) : 0)</t>
        </is>
      </c>
      <c r="H242" s="3" t="inlineStr">
        <is>
          <t>B is account class breakdown(a). The answer is t plus (b ? cash : asset class of(a) = 'cash' ? (balance or 0) : 0).</t>
        </is>
      </c>
      <c r="I242" s="3" t="inlineStr">
        <is>
          <t>READ FROM THE CODE — rendered from the expressions the function runs</t>
        </is>
      </c>
      <c r="J242" s="3" t="inlineStr">
        <is>
          <t>accounts: AssetAccount[]</t>
        </is>
      </c>
      <c r="K242" s="3" t="inlineStr">
        <is>
          <t>number</t>
        </is>
      </c>
      <c r="L242" s="3" t="inlineStr">
        <is>
          <t>"Cash on hand now" — on the Bill calendar screen</t>
        </is>
      </c>
      <c r="M242" s="3" t="inlineStr">
        <is>
          <t>· If balance is missing it counts as zero, so nothing recorded and a real zero look the same.</t>
        </is>
      </c>
      <c r="N242" s="3" t="inlineStr">
        <is>
          <t>Yes</t>
        </is>
      </c>
      <c r="O242" s="3" t="inlineStr">
        <is>
          <t>1. MK-NW-F-027 accountClassBreakdown
2. MK-NW-F-011 assetClassOf</t>
        </is>
      </c>
      <c r="P242" s="3" t="n">
        <v>12</v>
      </c>
      <c r="Q242" s="3" t="inlineStr">
        <is>
          <t>1. MK-NW-F-027 accountClassBreakdown
2. MK-NW-F-011 assetClassOf
3. MK-CF-F-155 cash
4. MK-NW-F-008 incomeBearingClassOf
5. MK-XS-F-122 n
6. MK-ST-F-010 nameEvidence
7. MK-XS-F-147 call
8. MK-ST-F-056 has
9. MK-CF-F-132 map
10. MK-ST-F-027 accountId
11. MK-XS-F-064 currentIdToken
12. MK-XS-F-112 relayUrl</t>
        </is>
      </c>
      <c r="R242" s="3" t="inlineStr">
        <is>
          <t>1. MK-XS-F-122 n → MK-CF-F-155 cash → MK-NW-F-008 incomeBearingClassOf → MK-NW-F-011 assetClassOf → MK-NW-F-027 accountClassBreakdown → MK-NW-F-016 cashTotal
2. MK-XS-F-147 call → MK-ST-F-010 nameEvidence → MK-NW-F-008 incomeBearingClassOf → MK-NW-F-011 assetClassOf → MK-NW-F-027 accountClassBreakdown → MK-NW-F-016 cashTotal
3. MK-ST-F-056 has → MK-ST-F-010 nameEvidence → MK-NW-F-008 incomeBearingClassOf → MK-NW-F-011 assetClassOf → MK-NW-F-027 accountClassBreakdown → MK-NW-F-016 cashTotal
4. MK-CF-F-132 map → MK-ST-F-010 nameEvidence → MK-NW-F-008 incomeBearingClassOf → MK-NW-F-011 assetClassOf → MK-NW-F-027 accountClassBreakdown → MK-NW-F-016 cashTotal
5. MK-XS-F-122 n → MK-CF-F-155 cash → MK-NW-F-027 accountClassBreakdown → MK-NW-F-016 cashTotal
6. MK-XS-F-122 n → MK-CF-F-155 cash → MK-NW-F-008 incomeBearingClassOf → MK-NW-F-027 accountClassBreakdown → MK-NW-F-016 cashTotal
7. MK-ST-F-027 accountId → MK-XS-F-147 call → MK-ST-F-010 nameEvidence → MK-NW-F-008 incomeBearingClassOf → MK-NW-F-027 accountClassBreakdown → MK-NW-F-016 cashTotal
8. MK-XS-F-064 currentIdToken → MK-XS-F-147 call → MK-ST-F-010 nameEvidence → MK-NW-F-008 incomeBearingClassOf → MK-NW-F-027 accountClassBreakdown → MK-NW-F-016 cashTotal
9. … and 4 more paths</t>
        </is>
      </c>
      <c r="S242" s="3" t="inlineStr">
        <is>
          <t>MK-NW-M-014</t>
        </is>
      </c>
      <c r="T242" s="3" t="inlineStr">
        <is>
          <t>TOTAL_CASH</t>
        </is>
      </c>
      <c r="U242" s="3" t="inlineStr">
        <is>
          <t>ACTIVE</t>
        </is>
      </c>
      <c r="V242" s="3" t="inlineStr">
        <is>
          <t>2026-08-27</t>
        </is>
      </c>
      <c r="W242" s="3" t="n"/>
      <c r="X242" s="3" t="n"/>
      <c r="Y242" s="3" t="inlineStr">
        <is>
          <t>NOTHING OPEN</t>
        </is>
      </c>
    </row>
    <row r="243" ht="60" customHeight="1">
      <c r="A243" s="3" t="inlineStr">
        <is>
          <t>MK-NW-F-017</t>
        </is>
      </c>
      <c r="B243" s="3" t="inlineStr">
        <is>
          <t>equitiesTotal</t>
        </is>
      </c>
      <c r="C243" s="3" t="inlineStr">
        <is>
          <t>src/domain/assets/index.ts</t>
        </is>
      </c>
      <c r="D243" s="3" t="n">
        <v>697</v>
      </c>
      <c r="E243" s="3" t="inlineStr">
        <is>
          <t>3 · DEPENDENT (feeds an action only)</t>
        </is>
      </c>
      <c r="F243" s="3" t="inlineStr">
        <is>
          <t>The total value of every account classed as Stocks / Funds.</t>
        </is>
      </c>
      <c r="G243" s="11" t="inlineStr">
        <is>
          <t>sum where(accounts, (a) =&gt; asset class of(a) = 'stocks_etf')</t>
        </is>
      </c>
      <c r="H243" s="3" t="inlineStr">
        <is>
          <t>sum where(accounts, (a) =&gt; asset class of(a) = 'stocks_etf').</t>
        </is>
      </c>
      <c r="I243" s="3" t="inlineStr">
        <is>
          <t>PARTLY READ — some of the code is still showing through; needs a hand pass</t>
        </is>
      </c>
      <c r="J243" s="3" t="inlineStr">
        <is>
          <t>accounts: AssetAccount[]</t>
        </is>
      </c>
      <c r="K243" s="3" t="inlineStr">
        <is>
          <t>number</t>
        </is>
      </c>
      <c r="L243" s="3" t="inlineStr">
        <is>
          <t>—</t>
        </is>
      </c>
      <c r="M243" s="3" t="inlineStr">
        <is>
          <t>None found in this function — anything it assumes comes from the functions it depends on.</t>
        </is>
      </c>
      <c r="N243" s="3" t="inlineStr">
        <is>
          <t>No</t>
        </is>
      </c>
      <c r="O243" s="3" t="inlineStr">
        <is>
          <t>1. MK-NW-F-011 assetClassOf
2. MK-NW-F-066 sumWhere</t>
        </is>
      </c>
      <c r="P243" s="3" t="n">
        <v>12</v>
      </c>
      <c r="Q243" s="3" t="inlineStr">
        <is>
          <t>1. MK-NW-F-011 assetClassOf
2. MK-NW-F-066 sumWhere
3. MK-NW-F-008 incomeBearingClassOf
4. MK-CF-F-155 cash
5. MK-ST-F-010 nameEvidence
6. MK-XS-F-122 n
7. MK-XS-F-147 call
8. MK-ST-F-056 has
9. MK-CF-F-132 map
10. MK-ST-F-027 accountId
11. MK-XS-F-064 currentIdToken
12. MK-XS-F-112 relayUrl</t>
        </is>
      </c>
      <c r="R243" s="3" t="inlineStr">
        <is>
          <t>1. MK-XS-F-122 n → MK-CF-F-155 cash → MK-NW-F-008 incomeBearingClassOf → MK-NW-F-011 assetClassOf → MK-NW-F-017 equitiesTotal
2. MK-ST-F-027 accountId → MK-XS-F-147 call → MK-ST-F-010 nameEvidence → MK-NW-F-008 incomeBearingClassOf → MK-NW-F-011 assetClassOf → MK-NW-F-017 equitiesTotal
3. MK-XS-F-064 currentIdToken → MK-XS-F-147 call → MK-ST-F-010 nameEvidence → MK-NW-F-008 incomeBearingClassOf → MK-NW-F-011 assetClassOf → MK-NW-F-017 equitiesTotal
4. MK-XS-F-112 relayUrl → MK-XS-F-147 call → MK-ST-F-010 nameEvidence → MK-NW-F-008 incomeBearingClassOf → MK-NW-F-011 assetClassOf → MK-NW-F-017 equitiesTotal
5. MK-ST-F-056 has → MK-ST-F-010 nameEvidence → MK-NW-F-008 incomeBearingClassOf → MK-NW-F-011 assetClassOf → MK-NW-F-017 equitiesTotal
6. MK-CF-F-132 map → MK-ST-F-010 nameEvidence → MK-NW-F-008 incomeBearingClassOf → MK-NW-F-011 assetClassOf → MK-NW-F-017 equitiesTotal
7. MK-NW-F-066 sumWhere → MK-NW-F-017 equitiesTotal</t>
        </is>
      </c>
      <c r="S243" s="3" t="inlineStr">
        <is>
          <t>—</t>
        </is>
      </c>
      <c r="T243" s="3" t="inlineStr">
        <is>
          <t>—</t>
        </is>
      </c>
      <c r="U243" s="3" t="inlineStr">
        <is>
          <t>ACTIVE</t>
        </is>
      </c>
      <c r="V243" s="3" t="inlineStr">
        <is>
          <t>2026-08-27</t>
        </is>
      </c>
      <c r="W243" s="3" t="n"/>
      <c r="X243" s="3" t="n"/>
      <c r="Y243" s="3" t="inlineStr">
        <is>
          <t>NOTHING OPEN</t>
        </is>
      </c>
    </row>
    <row r="244" ht="60" customHeight="1">
      <c r="A244" s="3" t="inlineStr">
        <is>
          <t>MK-NW-F-018</t>
        </is>
      </c>
      <c r="B244" s="3" t="inlineStr">
        <is>
          <t>fixedIncomeTotal</t>
        </is>
      </c>
      <c r="C244" s="3" t="inlineStr">
        <is>
          <t>src/domain/assets/index.ts</t>
        </is>
      </c>
      <c r="D244" s="3" t="n">
        <v>717</v>
      </c>
      <c r="E244" s="3" t="inlineStr">
        <is>
          <t>3 · DEPENDENT (feeds an action only)</t>
        </is>
      </c>
      <c r="F244" s="3" t="inlineStr">
        <is>
          <t>The total value of every account classed as Bonds &amp; CDs.</t>
        </is>
      </c>
      <c r="G244" s="11" t="inlineStr">
        <is>
          <t>sum where(accounts, (a) =&gt; asset class of(a) = 'bonds')</t>
        </is>
      </c>
      <c r="H244" s="3" t="inlineStr">
        <is>
          <t>sum where(accounts, (a) =&gt; asset class of(a) = 'bonds').</t>
        </is>
      </c>
      <c r="I244" s="3" t="inlineStr">
        <is>
          <t>PARTLY READ — some of the code is still showing through; needs a hand pass</t>
        </is>
      </c>
      <c r="J244" s="3" t="inlineStr">
        <is>
          <t>accounts: AssetAccount[]</t>
        </is>
      </c>
      <c r="K244" s="3" t="inlineStr">
        <is>
          <t>number</t>
        </is>
      </c>
      <c r="L244" s="3" t="inlineStr">
        <is>
          <t>—</t>
        </is>
      </c>
      <c r="M244" s="3" t="inlineStr">
        <is>
          <t>None found in this function — anything it assumes comes from the functions it depends on.</t>
        </is>
      </c>
      <c r="N244" s="3" t="inlineStr">
        <is>
          <t>No</t>
        </is>
      </c>
      <c r="O244" s="3" t="inlineStr">
        <is>
          <t>1. MK-NW-F-011 assetClassOf
2. MK-NW-F-066 sumWhere</t>
        </is>
      </c>
      <c r="P244" s="3" t="n">
        <v>12</v>
      </c>
      <c r="Q244" s="3" t="inlineStr">
        <is>
          <t>1. MK-NW-F-011 assetClassOf
2. MK-NW-F-066 sumWhere
3. MK-NW-F-008 incomeBearingClassOf
4. MK-CF-F-155 cash
5. MK-ST-F-010 nameEvidence
6. MK-XS-F-122 n
7. MK-XS-F-147 call
8. MK-ST-F-056 has
9. MK-CF-F-132 map
10. MK-ST-F-027 accountId
11. MK-XS-F-064 currentIdToken
12. MK-XS-F-112 relayUrl</t>
        </is>
      </c>
      <c r="R244" s="3" t="inlineStr">
        <is>
          <t>1. MK-XS-F-122 n → MK-CF-F-155 cash → MK-NW-F-008 incomeBearingClassOf → MK-NW-F-011 assetClassOf → MK-NW-F-018 fixedIncomeTotal
2. MK-ST-F-027 accountId → MK-XS-F-147 call → MK-ST-F-010 nameEvidence → MK-NW-F-008 incomeBearingClassOf → MK-NW-F-011 assetClassOf → MK-NW-F-018 fixedIncomeTotal
3. MK-XS-F-064 currentIdToken → MK-XS-F-147 call → MK-ST-F-010 nameEvidence → MK-NW-F-008 incomeBearingClassOf → MK-NW-F-011 assetClassOf → MK-NW-F-018 fixedIncomeTotal
4. MK-XS-F-112 relayUrl → MK-XS-F-147 call → MK-ST-F-010 nameEvidence → MK-NW-F-008 incomeBearingClassOf → MK-NW-F-011 assetClassOf → MK-NW-F-018 fixedIncomeTotal
5. MK-ST-F-056 has → MK-ST-F-010 nameEvidence → MK-NW-F-008 incomeBearingClassOf → MK-NW-F-011 assetClassOf → MK-NW-F-018 fixedIncomeTotal
6. MK-CF-F-132 map → MK-ST-F-010 nameEvidence → MK-NW-F-008 incomeBearingClassOf → MK-NW-F-011 assetClassOf → MK-NW-F-018 fixedIncomeTotal
7. MK-NW-F-066 sumWhere → MK-NW-F-018 fixedIncomeTotal</t>
        </is>
      </c>
      <c r="S244" s="3" t="inlineStr">
        <is>
          <t>—</t>
        </is>
      </c>
      <c r="T244" s="3" t="inlineStr">
        <is>
          <t>—</t>
        </is>
      </c>
      <c r="U244" s="3" t="inlineStr">
        <is>
          <t>ACTIVE</t>
        </is>
      </c>
      <c r="V244" s="3" t="inlineStr">
        <is>
          <t>2026-08-27</t>
        </is>
      </c>
      <c r="W244" s="3" t="n"/>
      <c r="X244" s="3" t="n"/>
      <c r="Y244" s="3" t="inlineStr">
        <is>
          <t>NOTHING OPEN</t>
        </is>
      </c>
    </row>
    <row r="245" ht="60" customHeight="1">
      <c r="A245" s="3" t="inlineStr">
        <is>
          <t>MK-NW-F-019</t>
        </is>
      </c>
      <c r="B245" s="3" t="inlineStr">
        <is>
          <t>alternativesTotal</t>
        </is>
      </c>
      <c r="C245" s="3" t="inlineStr">
        <is>
          <t>src/domain/assets/index.ts</t>
        </is>
      </c>
      <c r="D245" s="3" t="n">
        <v>737</v>
      </c>
      <c r="E245" s="3" t="inlineStr">
        <is>
          <t>3 · DEPENDENT (feeds an action only)</t>
        </is>
      </c>
      <c r="F245" s="3" t="inlineStr">
        <is>
          <t>The total value of every account classed as Alternatives.</t>
        </is>
      </c>
      <c r="G245" s="11" t="inlineStr">
        <is>
          <t>sum where(accounts, (a) =&gt; asset class of(a) = 'alternatives')</t>
        </is>
      </c>
      <c r="H245" s="3" t="inlineStr">
        <is>
          <t>sum where(accounts, (a) =&gt; asset class of(a) = 'alternatives').</t>
        </is>
      </c>
      <c r="I245" s="3" t="inlineStr">
        <is>
          <t>PARTLY READ — some of the code is still showing through; needs a hand pass</t>
        </is>
      </c>
      <c r="J245" s="3" t="inlineStr">
        <is>
          <t>accounts: AssetAccount[]</t>
        </is>
      </c>
      <c r="K245" s="3" t="inlineStr">
        <is>
          <t>number</t>
        </is>
      </c>
      <c r="L245" s="3" t="inlineStr">
        <is>
          <t>—</t>
        </is>
      </c>
      <c r="M245" s="3" t="inlineStr">
        <is>
          <t>None found in this function — anything it assumes comes from the functions it depends on.</t>
        </is>
      </c>
      <c r="N245" s="3" t="inlineStr">
        <is>
          <t>No</t>
        </is>
      </c>
      <c r="O245" s="3" t="inlineStr">
        <is>
          <t>1. MK-NW-F-011 assetClassOf
2. MK-NW-F-066 sumWhere</t>
        </is>
      </c>
      <c r="P245" s="3" t="n">
        <v>12</v>
      </c>
      <c r="Q245" s="3" t="inlineStr">
        <is>
          <t>1. MK-NW-F-011 assetClassOf
2. MK-NW-F-066 sumWhere
3. MK-NW-F-008 incomeBearingClassOf
4. MK-CF-F-155 cash
5. MK-ST-F-010 nameEvidence
6. MK-XS-F-122 n
7. MK-XS-F-147 call
8. MK-ST-F-056 has
9. MK-CF-F-132 map
10. MK-ST-F-027 accountId
11. MK-XS-F-064 currentIdToken
12. MK-XS-F-112 relayUrl</t>
        </is>
      </c>
      <c r="R245" s="3" t="inlineStr">
        <is>
          <t>1. MK-XS-F-122 n → MK-CF-F-155 cash → MK-NW-F-008 incomeBearingClassOf → MK-NW-F-011 assetClassOf → MK-NW-F-019 alternativesTotal
2. MK-ST-F-027 accountId → MK-XS-F-147 call → MK-ST-F-010 nameEvidence → MK-NW-F-008 incomeBearingClassOf → MK-NW-F-011 assetClassOf → MK-NW-F-019 alternativesTotal
3. MK-XS-F-064 currentIdToken → MK-XS-F-147 call → MK-ST-F-010 nameEvidence → MK-NW-F-008 incomeBearingClassOf → MK-NW-F-011 assetClassOf → MK-NW-F-019 alternativesTotal
4. MK-XS-F-112 relayUrl → MK-XS-F-147 call → MK-ST-F-010 nameEvidence → MK-NW-F-008 incomeBearingClassOf → MK-NW-F-011 assetClassOf → MK-NW-F-019 alternativesTotal
5. MK-ST-F-056 has → MK-ST-F-010 nameEvidence → MK-NW-F-008 incomeBearingClassOf → MK-NW-F-011 assetClassOf → MK-NW-F-019 alternativesTotal
6. MK-CF-F-132 map → MK-ST-F-010 nameEvidence → MK-NW-F-008 incomeBearingClassOf → MK-NW-F-011 assetClassOf → MK-NW-F-019 alternativesTotal
7. MK-NW-F-066 sumWhere → MK-NW-F-019 alternativesTotal</t>
        </is>
      </c>
      <c r="S245" s="3" t="inlineStr">
        <is>
          <t>—</t>
        </is>
      </c>
      <c r="T245" s="3" t="inlineStr">
        <is>
          <t>—</t>
        </is>
      </c>
      <c r="U245" s="3" t="inlineStr">
        <is>
          <t>ACTIVE</t>
        </is>
      </c>
      <c r="V245" s="3" t="inlineStr">
        <is>
          <t>2026-08-27</t>
        </is>
      </c>
      <c r="W245" s="3" t="n"/>
      <c r="X245" s="3" t="n"/>
      <c r="Y245" s="3" t="inlineStr">
        <is>
          <t>NOTHING OPEN</t>
        </is>
      </c>
    </row>
    <row r="246" ht="60" customHeight="1">
      <c r="A246" s="3" t="inlineStr">
        <is>
          <t>MK-NW-F-020</t>
        </is>
      </c>
      <c r="B246" s="3" t="inlineStr">
        <is>
          <t>realEstateTotal</t>
        </is>
      </c>
      <c r="C246" s="3" t="inlineStr">
        <is>
          <t>src/domain/assets/index.ts</t>
        </is>
      </c>
      <c r="D246" s="3" t="n">
        <v>757</v>
      </c>
      <c r="E246" s="3" t="inlineStr">
        <is>
          <t>3 · DEPENDENT (feeds an action only)</t>
        </is>
      </c>
      <c r="F246" s="3" t="inlineStr">
        <is>
          <t>The total value of every account classed as Real estate.</t>
        </is>
      </c>
      <c r="G246" s="11" t="inlineStr">
        <is>
          <t>sum where(accounts, (a) =&gt; asset class of(a) = 'real_estate')</t>
        </is>
      </c>
      <c r="H246" s="3" t="inlineStr">
        <is>
          <t>sum where(accounts, (a) =&gt; asset class of(a) = 'real_estate').</t>
        </is>
      </c>
      <c r="I246" s="3" t="inlineStr">
        <is>
          <t>PARTLY READ — some of the code is still showing through; needs a hand pass</t>
        </is>
      </c>
      <c r="J246" s="3" t="inlineStr">
        <is>
          <t>accounts: AssetAccount[]</t>
        </is>
      </c>
      <c r="K246" s="3" t="inlineStr">
        <is>
          <t>number</t>
        </is>
      </c>
      <c r="L246" s="3" t="inlineStr">
        <is>
          <t>—</t>
        </is>
      </c>
      <c r="M246" s="3" t="inlineStr">
        <is>
          <t>None found in this function — anything it assumes comes from the functions it depends on.</t>
        </is>
      </c>
      <c r="N246" s="3" t="inlineStr">
        <is>
          <t>No</t>
        </is>
      </c>
      <c r="O246" s="3" t="inlineStr">
        <is>
          <t>1. MK-NW-F-011 assetClassOf
2. MK-NW-F-066 sumWhere</t>
        </is>
      </c>
      <c r="P246" s="3" t="n">
        <v>12</v>
      </c>
      <c r="Q246" s="3" t="inlineStr">
        <is>
          <t>1. MK-NW-F-011 assetClassOf
2. MK-NW-F-066 sumWhere
3. MK-NW-F-008 incomeBearingClassOf
4. MK-CF-F-155 cash
5. MK-ST-F-010 nameEvidence
6. MK-XS-F-122 n
7. MK-XS-F-147 call
8. MK-ST-F-056 has
9. MK-CF-F-132 map
10. MK-ST-F-027 accountId
11. MK-XS-F-064 currentIdToken
12. MK-XS-F-112 relayUrl</t>
        </is>
      </c>
      <c r="R246" s="3" t="inlineStr">
        <is>
          <t>1. MK-XS-F-122 n → MK-CF-F-155 cash → MK-NW-F-008 incomeBearingClassOf → MK-NW-F-011 assetClassOf → MK-NW-F-020 realEstateTotal
2. MK-ST-F-027 accountId → MK-XS-F-147 call → MK-ST-F-010 nameEvidence → MK-NW-F-008 incomeBearingClassOf → MK-NW-F-011 assetClassOf → MK-NW-F-020 realEstateTotal
3. MK-XS-F-064 currentIdToken → MK-XS-F-147 call → MK-ST-F-010 nameEvidence → MK-NW-F-008 incomeBearingClassOf → MK-NW-F-011 assetClassOf → MK-NW-F-020 realEstateTotal
4. MK-XS-F-112 relayUrl → MK-XS-F-147 call → MK-ST-F-010 nameEvidence → MK-NW-F-008 incomeBearingClassOf → MK-NW-F-011 assetClassOf → MK-NW-F-020 realEstateTotal
5. MK-ST-F-056 has → MK-ST-F-010 nameEvidence → MK-NW-F-008 incomeBearingClassOf → MK-NW-F-011 assetClassOf → MK-NW-F-020 realEstateTotal
6. MK-CF-F-132 map → MK-ST-F-010 nameEvidence → MK-NW-F-008 incomeBearingClassOf → MK-NW-F-011 assetClassOf → MK-NW-F-020 realEstateTotal
7. MK-NW-F-066 sumWhere → MK-NW-F-020 realEstateTotal</t>
        </is>
      </c>
      <c r="S246" s="3" t="inlineStr">
        <is>
          <t>—</t>
        </is>
      </c>
      <c r="T246" s="3" t="inlineStr">
        <is>
          <t>—</t>
        </is>
      </c>
      <c r="U246" s="3" t="inlineStr">
        <is>
          <t>ACTIVE</t>
        </is>
      </c>
      <c r="V246" s="3" t="inlineStr">
        <is>
          <t>2026-08-27</t>
        </is>
      </c>
      <c r="W246" s="3" t="n"/>
      <c r="X246" s="3" t="n"/>
      <c r="Y246" s="3" t="inlineStr">
        <is>
          <t>NOTHING OPEN</t>
        </is>
      </c>
    </row>
    <row r="247" ht="60" customHeight="1">
      <c r="A247" s="3" t="inlineStr">
        <is>
          <t>MK-NW-F-021</t>
        </is>
      </c>
      <c r="B247" s="3" t="inlineStr">
        <is>
          <t>investmentsTotal</t>
        </is>
      </c>
      <c r="C247" s="3" t="inlineStr">
        <is>
          <t>src/domain/assets/index.ts</t>
        </is>
      </c>
      <c r="D247" s="3" t="n">
        <v>783</v>
      </c>
      <c r="E247" s="3" t="inlineStr">
        <is>
          <t>2 · DISPLAYED</t>
        </is>
      </c>
      <c r="F247" s="3" t="inlineStr">
        <is>
          <t>The total value of everything invested: stocks and funds, bonds and CDs, alternatives and accounts holding a mix, in whatever kind of account they sit, with cash and property left out.</t>
        </is>
      </c>
      <c r="G247" s="11" t="inlineStr">
        <is>
          <t>sum where(accounts, (a) =&gt; { const c = asset class of(a); return c = 'stocks_etf' or c = 'bonds' or c = 'alternatives' or c = 'mixed'; })</t>
        </is>
      </c>
      <c r="H247" s="3" t="inlineStr">
        <is>
          <t>sum where(accounts, (a) =&gt; { const c = asset class of(a); return c = 'stocks_etf' or c = 'bonds' or c = 'alternatives' or c = 'mixed'; }).</t>
        </is>
      </c>
      <c r="I247" s="3" t="inlineStr">
        <is>
          <t>PARTLY READ — some of the code is still showing through; needs a hand pass</t>
        </is>
      </c>
      <c r="J247" s="3" t="inlineStr">
        <is>
          <t>accounts: AssetAccount[]</t>
        </is>
      </c>
      <c r="K247" s="3" t="inlineStr">
        <is>
          <t>number</t>
        </is>
      </c>
      <c r="L247" s="3" t="inlineStr">
        <is>
          <t>NOT FOUND — a screen calls it, but the words printed beside its answer could not be traced automatically. Needs reading.</t>
        </is>
      </c>
      <c r="M247" s="3" t="inlineStr">
        <is>
          <t>None found in this function — anything it assumes comes from the functions it depends on.</t>
        </is>
      </c>
      <c r="N247" s="3" t="inlineStr">
        <is>
          <t>Yes</t>
        </is>
      </c>
      <c r="O247" s="3" t="inlineStr">
        <is>
          <t>1. MK-NW-F-011 assetClassOf
2. MK-CF-F-155 cash
3. MK-NW-F-066 sumWhere</t>
        </is>
      </c>
      <c r="P247" s="3" t="n">
        <v>12</v>
      </c>
      <c r="Q247" s="3" t="inlineStr">
        <is>
          <t>1. MK-NW-F-011 assetClassOf
2. MK-CF-F-155 cash
3. MK-NW-F-066 sumWhere
4. MK-NW-F-008 incomeBearingClassOf
5. MK-XS-F-122 n
6. MK-ST-F-010 nameEvidence
7. MK-XS-F-147 call
8. MK-ST-F-056 has
9. MK-CF-F-132 map
10. MK-ST-F-027 accountId
11. MK-XS-F-064 currentIdToken
12. MK-XS-F-112 relayUrl</t>
        </is>
      </c>
      <c r="R247" s="3" t="inlineStr">
        <is>
          <t>1. MK-XS-F-122 n → MK-CF-F-155 cash → MK-NW-F-008 incomeBearingClassOf → MK-NW-F-011 assetClassOf → MK-NW-F-021 investmentsTotal
2. MK-ST-F-027 accountId → MK-XS-F-147 call → MK-ST-F-010 nameEvidence → MK-NW-F-008 incomeBearingClassOf → MK-NW-F-011 assetClassOf → MK-NW-F-021 investmentsTotal
3. MK-XS-F-064 currentIdToken → MK-XS-F-147 call → MK-ST-F-010 nameEvidence → MK-NW-F-008 incomeBearingClassOf → MK-NW-F-011 assetClassOf → MK-NW-F-021 investmentsTotal
4. MK-XS-F-112 relayUrl → MK-XS-F-147 call → MK-ST-F-010 nameEvidence → MK-NW-F-008 incomeBearingClassOf → MK-NW-F-011 assetClassOf → MK-NW-F-021 investmentsTotal
5. MK-ST-F-056 has → MK-ST-F-010 nameEvidence → MK-NW-F-008 incomeBearingClassOf → MK-NW-F-011 assetClassOf → MK-NW-F-021 investmentsTotal
6. MK-CF-F-132 map → MK-ST-F-010 nameEvidence → MK-NW-F-008 incomeBearingClassOf → MK-NW-F-011 assetClassOf → MK-NW-F-021 investmentsTotal
7. MK-XS-F-122 n → MK-CF-F-155 cash → MK-NW-F-021 investmentsTotal
8. MK-NW-F-066 sumWhere → MK-NW-F-021 investmentsTotal</t>
        </is>
      </c>
      <c r="S247" s="3" t="inlineStr">
        <is>
          <t>—</t>
        </is>
      </c>
      <c r="T247" s="3" t="inlineStr">
        <is>
          <t>TOTAL_INVESTMENTS</t>
        </is>
      </c>
      <c r="U247" s="3" t="inlineStr">
        <is>
          <t>ACTIVE</t>
        </is>
      </c>
      <c r="V247" s="3" t="inlineStr">
        <is>
          <t>2026-08-27</t>
        </is>
      </c>
      <c r="W247" s="3" t="n"/>
      <c r="X247" s="3" t="n"/>
      <c r="Y247" s="6" t="inlineStr">
        <is>
          <t>TESTED, NOT VERIFIED (C3)</t>
        </is>
      </c>
    </row>
    <row r="248" ht="60" customHeight="1">
      <c r="A248" s="3" t="inlineStr">
        <is>
          <t>MK-NW-F-022</t>
        </is>
      </c>
      <c r="B248" s="3" t="inlineStr">
        <is>
          <t>investableAssets</t>
        </is>
      </c>
      <c r="C248" s="3" t="inlineStr">
        <is>
          <t>src/domain/assets/index.ts</t>
        </is>
      </c>
      <c r="D248" s="3" t="n">
        <v>809</v>
      </c>
      <c r="E248" s="3" t="inlineStr">
        <is>
          <t>2 · DISPLAYED</t>
        </is>
      </c>
      <c r="F248" s="3" t="inlineStr">
        <is>
          <t>Everything owned except real estate and personal property: cash, investments and retirement balances.</t>
        </is>
      </c>
      <c r="G248" s="11" t="inlineStr">
        <is>
          <t>sum where(accounts, (a) =&gt; !is real asset(a))</t>
        </is>
      </c>
      <c r="H248" s="3" t="inlineStr">
        <is>
          <t>sum where(accounts, (a) =&gt; !is real asset(a)).</t>
        </is>
      </c>
      <c r="I248" s="3" t="inlineStr">
        <is>
          <t>PARTLY READ — some of the code is still showing through; needs a hand pass</t>
        </is>
      </c>
      <c r="J248" s="3" t="inlineStr">
        <is>
          <t>accounts: AssetAccount[]</t>
        </is>
      </c>
      <c r="K248" s="3" t="inlineStr">
        <is>
          <t>number</t>
        </is>
      </c>
      <c r="L248" s="3" t="inlineStr">
        <is>
          <t>NOT FOUND — a screen calls it, but the words printed beside its answer could not be traced automatically. Needs reading.</t>
        </is>
      </c>
      <c r="M248" s="3" t="inlineStr">
        <is>
          <t>None found in this function — anything it assumes comes from the functions it depends on.</t>
        </is>
      </c>
      <c r="N248" s="3" t="inlineStr">
        <is>
          <t>Yes</t>
        </is>
      </c>
      <c r="O248" s="3" t="inlineStr">
        <is>
          <t>1. MK-NW-F-014 isRealAsset
2. MK-NW-F-066 sumWhere
3. MK-NW-F-015 totalAssets</t>
        </is>
      </c>
      <c r="P248" s="3" t="n">
        <v>14</v>
      </c>
      <c r="Q248" s="3" t="inlineStr">
        <is>
          <t>1. MK-NW-F-014 isRealAsset
2. MK-NW-F-066 sumWhere
3. MK-NW-F-015 totalAssets
4. MK-NW-F-011 assetClassOf
5. MK-NW-F-008 incomeBearingClassOf
6. MK-CF-F-155 cash
7. MK-ST-F-010 nameEvidence
8. MK-XS-F-122 n
9. MK-XS-F-147 call
10. MK-ST-F-056 has
11. MK-CF-F-132 map
12. MK-ST-F-027 accountId
13. MK-XS-F-064 currentIdToken
14. MK-XS-F-112 relayUrl</t>
        </is>
      </c>
      <c r="R248" s="3" t="inlineStr">
        <is>
          <t>1. MK-XS-F-122 n → MK-CF-F-155 cash → MK-NW-F-008 incomeBearingClassOf → MK-NW-F-011 assetClassOf → MK-NW-F-014 isRealAsset → MK-NW-F-022 investableAssets
2. MK-XS-F-147 call → MK-ST-F-010 nameEvidence → MK-NW-F-008 incomeBearingClassOf → MK-NW-F-011 assetClassOf → MK-NW-F-014 isRealAsset → MK-NW-F-022 investableAssets
3. MK-ST-F-056 has → MK-ST-F-010 nameEvidence → MK-NW-F-008 incomeBearingClassOf → MK-NW-F-011 assetClassOf → MK-NW-F-014 isRealAsset → MK-NW-F-022 investableAssets
4. MK-CF-F-132 map → MK-ST-F-010 nameEvidence → MK-NW-F-008 incomeBearingClassOf → MK-NW-F-011 assetClassOf → MK-NW-F-014 isRealAsset → MK-NW-F-022 investableAssets
5. MK-NW-F-066 sumWhere → MK-NW-F-022 investableAssets
6. MK-NW-F-015 totalAssets → MK-NW-F-022 investableAssets</t>
        </is>
      </c>
      <c r="S248" s="3" t="inlineStr">
        <is>
          <t>—</t>
        </is>
      </c>
      <c r="T248" s="3" t="inlineStr">
        <is>
          <t>TOTAL_INVESTABLE</t>
        </is>
      </c>
      <c r="U248" s="3" t="inlineStr">
        <is>
          <t>ACTIVE</t>
        </is>
      </c>
      <c r="V248" s="3" t="inlineStr">
        <is>
          <t>2026-08-27</t>
        </is>
      </c>
      <c r="W248" s="3" t="n"/>
      <c r="X248" s="3" t="n"/>
      <c r="Y248" s="3" t="inlineStr">
        <is>
          <t>NOTHING OPEN</t>
        </is>
      </c>
    </row>
    <row r="249" ht="60" customHeight="1">
      <c r="A249" s="3" t="inlineStr">
        <is>
          <t>MK-NW-F-023</t>
        </is>
      </c>
      <c r="B249" s="3" t="inlineStr">
        <is>
          <t>wrapperWord</t>
        </is>
      </c>
      <c r="C249" s="3" t="inlineStr">
        <is>
          <t>src/domain/assets/index.ts</t>
        </is>
      </c>
      <c r="D249" s="3" t="n">
        <v>852</v>
      </c>
      <c r="E249" s="3" t="inlineStr">
        <is>
          <t>1 · ACTION</t>
        </is>
      </c>
      <c r="F249" s="3" t="inlineStr">
        <is>
          <t>The plain word for the kind of account something sits in, such as 401(k) or IRA, or nothing when that kind has no such word.</t>
        </is>
      </c>
      <c r="G249" s="11" t="inlineStr">
        <is>
          <t>KIND_TO_WRAPPER[kind] (or '' when missing)   if kind
''   otherwise</t>
        </is>
      </c>
      <c r="H249" s="3" t="inlineStr">
        <is>
          <t>KIND_TO_WRAPPER[kind] (or '' when missing) — when kind; '' — otherwise</t>
        </is>
      </c>
      <c r="I249" s="3" t="inlineStr">
        <is>
          <t>READ FROM THE CODE — rendered from the expressions the function runs</t>
        </is>
      </c>
      <c r="J249" s="3" t="inlineStr">
        <is>
          <t>kind?: string</t>
        </is>
      </c>
      <c r="K249" s="3" t="inlineStr">
        <is>
          <t>string</t>
        </is>
      </c>
      <c r="L249" s="3" t="inlineStr">
        <is>
          <t>—</t>
        </is>
      </c>
      <c r="M249" s="3" t="inlineStr">
        <is>
          <t>None found in this function — anything it assumes comes from the functions it depends on.</t>
        </is>
      </c>
      <c r="N249" s="3" t="inlineStr">
        <is>
          <t>Yes</t>
        </is>
      </c>
      <c r="O249" s="3" t="inlineStr">
        <is>
          <t>—</t>
        </is>
      </c>
      <c r="P249" s="3" t="n">
        <v>0</v>
      </c>
      <c r="Q249" s="3" t="inlineStr">
        <is>
          <t>None — no dependent function stands behind it</t>
        </is>
      </c>
      <c r="R249" s="3" t="inlineStr">
        <is>
          <t>No dependent function — it reads its inputs and answers</t>
        </is>
      </c>
      <c r="S249" s="3" t="inlineStr">
        <is>
          <t>—</t>
        </is>
      </c>
      <c r="T249" s="3" t="inlineStr">
        <is>
          <t>—</t>
        </is>
      </c>
      <c r="U249" s="3" t="inlineStr">
        <is>
          <t>ACTIVE</t>
        </is>
      </c>
      <c r="V249" s="3" t="inlineStr">
        <is>
          <t>2026-08-27</t>
        </is>
      </c>
      <c r="W249" s="3" t="n"/>
      <c r="X249" s="3" t="n"/>
      <c r="Y249" s="3" t="inlineStr">
        <is>
          <t>NOTHING OPEN</t>
        </is>
      </c>
    </row>
    <row r="250" ht="60" customHeight="1">
      <c r="A250" s="3" t="inlineStr">
        <is>
          <t>MK-NW-F-024</t>
        </is>
      </c>
      <c r="B250" s="3" t="inlineStr">
        <is>
          <t>accountLastFour</t>
        </is>
      </c>
      <c r="C250" s="3" t="inlineStr">
        <is>
          <t>src/domain/assets/index.ts</t>
        </is>
      </c>
      <c r="D250" s="3" t="n">
        <v>880</v>
      </c>
      <c r="E250" s="3" t="inlineStr">
        <is>
          <t>3 · DEPENDENT</t>
        </is>
      </c>
      <c r="F250" s="3" t="inlineStr">
        <is>
          <t>The last four digits of an account, or null when we genuinely don't have them.</t>
        </is>
      </c>
      <c r="G250" s="11" t="inlineStr">
        <is>
          <t>digits = string(raw ?? '').replace( ÷ \D ÷ g, '')
digits.slice(-4)   when digits.length ≥ 4
[LOOP — the answer is found inside a loop the extractor cannot render; the steps above are the ones before it. Read by hand.]</t>
        </is>
      </c>
      <c r="H250" s="3" t="inlineStr">
        <is>
          <t>Digits is string(raw ?? '').replace( divided by \D divided by g, ''). When digits.length is at least 4, it answers digits.slice(-4). The answer is no answer. The answer is found inside a loop that cannot be rendered here; read the code by hand.</t>
        </is>
      </c>
      <c r="I250" s="3" t="inlineStr">
        <is>
          <t>PARTLY READ — the body has a loop the extractor cannot render; the steps shown are the ones before it. Needs a hand pass (G23).</t>
        </is>
      </c>
      <c r="J250" s="3" t="inlineStr">
        <is>
          <t>a: { mask?: string; account_number?: string }</t>
        </is>
      </c>
      <c r="K250" s="3" t="inlineStr">
        <is>
          <t>string | null</t>
        </is>
      </c>
      <c r="L250" s="3" t="inlineStr">
        <is>
          <t>—</t>
        </is>
      </c>
      <c r="M250" s="3" t="inlineStr">
        <is>
          <t>None found in this function — anything it assumes comes from the functions it depends on.</t>
        </is>
      </c>
      <c r="N250" s="3" t="inlineStr">
        <is>
          <t>Yes</t>
        </is>
      </c>
      <c r="O250" s="3" t="inlineStr">
        <is>
          <t>—</t>
        </is>
      </c>
      <c r="P250" s="3" t="n">
        <v>0</v>
      </c>
      <c r="Q250" s="3" t="inlineStr">
        <is>
          <t>None — no dependent function stands behind it</t>
        </is>
      </c>
      <c r="R250" s="3" t="inlineStr">
        <is>
          <t>No dependent function — it reads its inputs and answers</t>
        </is>
      </c>
      <c r="S250" s="3" t="inlineStr">
        <is>
          <t>—</t>
        </is>
      </c>
      <c r="T250" s="3" t="inlineStr">
        <is>
          <t>—</t>
        </is>
      </c>
      <c r="U250" s="3" t="inlineStr">
        <is>
          <t>ACTIVE</t>
        </is>
      </c>
      <c r="V250" s="3" t="inlineStr">
        <is>
          <t>2026-09-08</t>
        </is>
      </c>
      <c r="W250" s="3" t="n"/>
      <c r="X250" s="3" t="n"/>
      <c r="Y250" s="3" t="inlineStr">
        <is>
          <t>NOTHING OPEN</t>
        </is>
      </c>
    </row>
    <row r="251" ht="60" customHeight="1">
      <c r="A251" s="3" t="inlineStr">
        <is>
          <t>MK-NW-F-025</t>
        </is>
      </c>
      <c r="B251" s="3" t="inlineStr">
        <is>
          <t>accountDisplayName</t>
        </is>
      </c>
      <c r="C251" s="3" t="inlineStr">
        <is>
          <t>src/domain/assets/index.ts</t>
        </is>
      </c>
      <c r="D251" s="3" t="n">
        <v>929</v>
      </c>
      <c r="E251" s="3" t="inlineStr">
        <is>
          <t>3 · DEPENDENT</t>
        </is>
      </c>
      <c r="F251" s="3" t="inlineStr">
        <is>
          <t>The one name an account is shown by, built from its institution, the kind of account and its last four digits where they are known.</t>
        </is>
      </c>
      <c r="G251" s="11" t="inlineStr">
        <is>
          <t>inst raw = (institution ?? '').trim()
last4 = account last four(a)
wrapper = wrapper word((a as any).kind)
tax advantaged = tax treatment of(a as asset account) ! = 'taxable'
`${inst raw} ${wrapper} -${last4}`   if last4
`${inst raw} ${wrapper}`   otherwise   when tax advantaged and wrapper
`${inst raw} -${last4}`   when last4
`${inst raw} ${wrapper}`   when wrapper
label = (label ?? '').trim()
pos = ((a as any).positions ?? []) as any[]
inst = (institution ?? '').trim()
norm = (s: string) =&gt; to lower case().replace( ÷ [^a − z0 − 9] ÷ g, '')
… the first steps only — the rest of the body needs reading by hand.</t>
        </is>
      </c>
      <c r="H251" s="3" t="inlineStr">
        <is>
          <t>Inst raw is (institution ?? '').trim(). Last4 is account last four(a). Wrapper is wrapper word((a as any).kind). Tax advantaged is tax treatment of(a as asset account) ! = 'taxable'. When tax advantaged and wrapper, it answers `${inst raw} ${wrapper} -${last4}` — when last4; `${inst raw} ${wrapper}` — otherwise. When last4, it answers `${inst raw} -${last4}`. When wrapper, it answers `${inst raw} ${wrapper}`. Label is (label ?? '').trim(). Pos is ((a as any).positions ?? []) as any[]. Inst is (institution ?? '').trim(). Norm is (s: string) =&gt; to lower case().replace( divided by [^a minus z0 minus 9] divided by g, ''). Only the first steps are shown; the rest of the body needs reading by hand.</t>
        </is>
      </c>
      <c r="I251" s="3" t="inlineStr">
        <is>
          <t>PARTLY READ — some of the code is still showing through; needs a hand pass</t>
        </is>
      </c>
      <c r="J251" s="3" t="inlineStr">
        <is>
          <t>a: Pick&lt;AssetAccount, 'label' | 'institution' | 'mask'&gt; &amp; { positions?: unknown[]; kind?: string; tax_bucket?: TaxBucket; tax_treatment?: TaxTreatment }</t>
        </is>
      </c>
      <c r="K251" s="3" t="inlineStr">
        <is>
          <t>string</t>
        </is>
      </c>
      <c r="L251" s="3" t="inlineStr">
        <is>
          <t>—</t>
        </is>
      </c>
      <c r="M251" s="3" t="inlineStr">
        <is>
          <t>None found in this function — anything it assumes comes from the functions it depends on.</t>
        </is>
      </c>
      <c r="N251" s="3" t="inlineStr">
        <is>
          <t>Yes</t>
        </is>
      </c>
      <c r="O251" s="3" t="inlineStr">
        <is>
          <t>1. MK-NW-F-026 accountDisplayNames
2. MK-NW-F-024 accountLastFour
3. MK-NW-F-012 taxTreatmentOf
4. MK-NW-F-023 wrapperWord</t>
        </is>
      </c>
      <c r="P251" s="3" t="n">
        <v>7</v>
      </c>
      <c r="Q251" s="3" t="inlineStr">
        <is>
          <t>1. MK-NW-F-026 accountDisplayNames
2. MK-NW-F-024 accountLastFour
3. MK-NW-F-012 taxTreatmentOf
4. MK-NW-F-023 wrapperWord
5. MK-CF-F-155 cash
6. MK-CF-F-132 map
7. MK-XS-F-122 n</t>
        </is>
      </c>
      <c r="R251" s="3" t="inlineStr">
        <is>
          <t>1. accountDisplayName (already above — a loop) → MK-NW-F-026 accountDisplayNames → MK-NW-F-025 accountDisplayName
2. MK-XS-F-122 n → MK-CF-F-155 cash → MK-NW-F-026 accountDisplayNames → MK-NW-F-025 accountDisplayName
3. MK-CF-F-132 map → MK-NW-F-026 accountDisplayNames → MK-NW-F-025 accountDisplayName
4. MK-XS-F-122 n → MK-NW-F-026 accountDisplayNames → MK-NW-F-025 accountDisplayName
5. MK-NW-F-024 accountLastFour → MK-NW-F-025 accountDisplayName
6. MK-NW-F-012 taxTreatmentOf → MK-NW-F-025 accountDisplayName
7. MK-NW-F-023 wrapperWord → MK-NW-F-025 accountDisplayName</t>
        </is>
      </c>
      <c r="S251" s="3" t="inlineStr">
        <is>
          <t>—</t>
        </is>
      </c>
      <c r="T251" s="3" t="inlineStr">
        <is>
          <t>—</t>
        </is>
      </c>
      <c r="U251" s="3" t="inlineStr">
        <is>
          <t>ACTIVE</t>
        </is>
      </c>
      <c r="V251" s="3" t="inlineStr">
        <is>
          <t>2026-08-27</t>
        </is>
      </c>
      <c r="W251" s="3" t="n"/>
      <c r="X251" s="3" t="n"/>
      <c r="Y251" s="3" t="inlineStr">
        <is>
          <t>NOTHING OPEN</t>
        </is>
      </c>
    </row>
    <row r="252" ht="60" customHeight="1">
      <c r="A252" s="3" t="inlineStr">
        <is>
          <t>MK-NW-F-026</t>
        </is>
      </c>
      <c r="B252" s="3" t="inlineStr">
        <is>
          <t>accountDisplayNames</t>
        </is>
      </c>
      <c r="C252" s="3" t="inlineStr">
        <is>
          <t>src/domain/assets/index.ts</t>
        </is>
      </c>
      <c r="D252" s="3" t="n">
        <v>1003</v>
      </c>
      <c r="E252" s="3" t="inlineStr">
        <is>
          <t>2 · DISPLAYED</t>
        </is>
      </c>
      <c r="F252" s="3" t="inlineStr">
        <is>
          <t>Display names for a whole LIST of accounts.</t>
        </is>
      </c>
      <c r="G252" s="11" t="inlineStr">
        <is>
          <t>base = a lookup of for each of accounts: [asset id, account display name(each)]
counts = new map&lt;string, number&gt;()
seen = new map&lt;string, number&gt;()
out = new map&lt;string, string&gt;()
n = base.get(asset id)!
i = (seen.get(n) ?? 0) + 1
the answer = out</t>
        </is>
      </c>
      <c r="H252" s="3" t="inlineStr">
        <is>
          <t>Base is a lookup of for each of accounts: [asset id, account display name(each)]. Counts is new map&lt;string, number&gt;(). Seen is new map&lt;string, number&gt;(). Out is new map&lt;string, string&gt;(). N is base.get(asset id)!. I is (seen.get(n) ?? 0) plus 1. The answer is out.</t>
        </is>
      </c>
      <c r="I252" s="3" t="inlineStr">
        <is>
          <t>PARTLY READ — some of the code is still showing through; needs a hand pass</t>
        </is>
      </c>
      <c r="J252" s="3" t="inlineStr">
        <is>
          <t>accounts: (Pick&lt;AssetAccount, 'asset_id' | 'label' | 'institution' | 'mask'&gt; &amp; { positions?: unknown[] })[]</t>
        </is>
      </c>
      <c r="K252" s="3" t="inlineStr">
        <is>
          <t>Map&lt;string, string&gt;</t>
        </is>
      </c>
      <c r="L252" s="3" t="inlineStr">
        <is>
          <t>"Bonds &amp; alternatives — recorded on their own pages" — on the Performance screen</t>
        </is>
      </c>
      <c r="M252" s="3" t="inlineStr">
        <is>
          <t>None found in this function — anything it assumes comes from the functions it depends on.</t>
        </is>
      </c>
      <c r="N252" s="3" t="inlineStr">
        <is>
          <t>Yes</t>
        </is>
      </c>
      <c r="O252" s="3" t="inlineStr">
        <is>
          <t>1. MK-NW-F-025 accountDisplayName
2. MK-CF-F-155 cash
3. MK-CF-F-132 map
4. MK-XS-F-122 n</t>
        </is>
      </c>
      <c r="P252" s="3" t="n">
        <v>7</v>
      </c>
      <c r="Q252" s="3" t="inlineStr">
        <is>
          <t>1. MK-NW-F-025 accountDisplayName
2. MK-CF-F-155 cash
3. MK-CF-F-132 map
4. MK-XS-F-122 n
5. MK-NW-F-024 accountLastFour
6. MK-NW-F-012 taxTreatmentOf
7. MK-NW-F-023 wrapperWord</t>
        </is>
      </c>
      <c r="R252" s="3" t="inlineStr">
        <is>
          <t>1. accountDisplayNames (already above — a loop) → MK-NW-F-025 accountDisplayName → MK-NW-F-026 accountDisplayNames
2. MK-NW-F-024 accountLastFour → MK-NW-F-025 accountDisplayName → MK-NW-F-026 accountDisplayNames
3. MK-NW-F-012 taxTreatmentOf → MK-NW-F-025 accountDisplayName → MK-NW-F-026 accountDisplayNames
4. MK-NW-F-023 wrapperWord → MK-NW-F-025 accountDisplayName → MK-NW-F-026 accountDisplayNames
5. MK-XS-F-122 n → MK-CF-F-155 cash → MK-NW-F-026 accountDisplayNames
6. MK-CF-F-132 map → MK-NW-F-026 accountDisplayNames
7. MK-XS-F-122 n → MK-NW-F-026 accountDisplayNames</t>
        </is>
      </c>
      <c r="S252" s="3" t="inlineStr">
        <is>
          <t>—</t>
        </is>
      </c>
      <c r="T252" s="3" t="inlineStr">
        <is>
          <t>ACCOUNT_NAMES</t>
        </is>
      </c>
      <c r="U252" s="3" t="inlineStr">
        <is>
          <t>ACTIVE</t>
        </is>
      </c>
      <c r="V252" s="3" t="inlineStr">
        <is>
          <t>2026-08-27</t>
        </is>
      </c>
      <c r="W252" s="3" t="n"/>
      <c r="X252" s="3" t="n"/>
      <c r="Y252" s="3" t="inlineStr">
        <is>
          <t>NOTHING OPEN</t>
        </is>
      </c>
    </row>
    <row r="253" ht="60" customHeight="1">
      <c r="A253" s="3" t="inlineStr">
        <is>
          <t>MK-NW-F-027</t>
        </is>
      </c>
      <c r="B253" s="3" t="inlineStr">
        <is>
          <t>accountClassBreakdown</t>
        </is>
      </c>
      <c r="C253" s="3" t="inlineStr">
        <is>
          <t>src/domain/assets/index.ts</t>
        </is>
      </c>
      <c r="D253" s="3" t="n">
        <v>1077</v>
      </c>
      <c r="E253" s="3" t="inlineStr">
        <is>
          <t>2 · DISPLAYED</t>
        </is>
      </c>
      <c r="F253" s="3" t="inlineStr">
        <is>
          <t>APPROVED v6 (2026-07-19): a CONNECTED account splits across the asset classes it actually holds — CDs under bonds, money market + sleeve under cash, options under alternatives, stocks under stocks — with the slices summing EXACTLY to the broker's authoritative balance.</t>
        </is>
      </c>
      <c r="G253" s="11" t="inlineStr">
        <is>
          <t>nothing   when source ! = 'connected'
out = cash = 0
bonds = 0
stocks etf = 0
alternatives = 0
real estate = 0
personal property = 0
mixed = 0
sh = (lots ?? []).reduce((t: number, l: any) =&gt; t + (shares or 0), 0)
v = sh × last price   if last price ≠ nothing
0   otherwise
by name = income bearing class of(`${ticker ?? ''} ${name ?? description ?? ''}`)
sum = Σ over object.values(out) as number[] of (each)
r = (balance or 0) − sum
own = asset class of(a)
bucket = 'mixed'   if own = 'mixed'
own   otherwise
the answer = out</t>
        </is>
      </c>
      <c r="H253" s="3" t="inlineStr">
        <is>
          <t>When source ! = 'connected', it answers no answer. Out is cash = 0; bonds = 0; stocks etf = 0; alternatives = 0; real estate = 0; personal property = 0; mixed = 0. Sh is (lots ?? []).reduce((t: number, l: any) =&gt; t plus (shares or 0), 0). V is sh times last price — when last price is not no answer; 0 — otherwise. By name is income bearing class of(`${ticker ?? ''} ${name ?? description ?? ''}`). Sum: the each added up across object.values(out) as number[]. R is (balance or 0) minus sum. Own is asset class of(a). Bucket is 'mixed' — when own = 'mixed'; own — otherwise. The answer is out.</t>
        </is>
      </c>
      <c r="I253" s="3" t="inlineStr">
        <is>
          <t>PARTLY READ — some of the code is still showing through; needs a hand pass</t>
        </is>
      </c>
      <c r="J253" s="3" t="inlineStr">
        <is>
          <t>a: AssetAccount</t>
        </is>
      </c>
      <c r="K253" s="3" t="inlineStr">
        <is>
          <t>Record&lt;AssetClass, number&gt; | null</t>
        </is>
      </c>
      <c r="L253" s="3" t="inlineStr">
        <is>
          <t>NOT FOUND — a screen calls it, but the words printed beside its answer could not be traced automatically. Needs reading.</t>
        </is>
      </c>
      <c r="M253" s="3" t="inlineStr">
        <is>
          <t>1. If cash balance is missing it uses 0.
2. If shares is missing it counts as zero, so nothing recorded and a real zero look the same.
3. If value is missing it counts as zero, so nothing recorded and a real zero look the same.
4. If balance is missing it counts as zero, so nothing recorded and a real zero look the same.</t>
        </is>
      </c>
      <c r="N253" s="3" t="inlineStr">
        <is>
          <t>Yes</t>
        </is>
      </c>
      <c r="O253" s="3" t="inlineStr">
        <is>
          <t>1. MK-NW-F-011 assetClassOf
2. MK-CF-F-155 cash
3. MK-NW-F-008 incomeBearingClassOf</t>
        </is>
      </c>
      <c r="P253" s="3" t="n">
        <v>11</v>
      </c>
      <c r="Q253" s="3" t="inlineStr">
        <is>
          <t>1. MK-NW-F-011 assetClassOf
2. MK-CF-F-155 cash
3. MK-NW-F-008 incomeBearingClassOf
4. MK-XS-F-122 n
5. MK-ST-F-010 nameEvidence
6. MK-XS-F-147 call
7. MK-ST-F-056 has
8. MK-CF-F-132 map
9. MK-ST-F-027 accountId
10. MK-XS-F-064 currentIdToken
11. MK-XS-F-112 relayUrl</t>
        </is>
      </c>
      <c r="R253" s="3" t="inlineStr">
        <is>
          <t>1. MK-XS-F-122 n → MK-CF-F-155 cash → MK-NW-F-008 incomeBearingClassOf → MK-NW-F-011 assetClassOf → MK-NW-F-027 accountClassBreakdown
2. MK-ST-F-027 accountId → MK-XS-F-147 call → MK-ST-F-010 nameEvidence → MK-NW-F-008 incomeBearingClassOf → MK-NW-F-011 assetClassOf → MK-NW-F-027 accountClassBreakdown
3. MK-XS-F-064 currentIdToken → MK-XS-F-147 call → MK-ST-F-010 nameEvidence → MK-NW-F-008 incomeBearingClassOf → MK-NW-F-011 assetClassOf → MK-NW-F-027 accountClassBreakdown
4. MK-XS-F-112 relayUrl → MK-XS-F-147 call → MK-ST-F-010 nameEvidence → MK-NW-F-008 incomeBearingClassOf → MK-NW-F-011 assetClassOf → MK-NW-F-027 accountClassBreakdown
5. MK-ST-F-056 has → MK-ST-F-010 nameEvidence → MK-NW-F-008 incomeBearingClassOf → MK-NW-F-011 assetClassOf → MK-NW-F-027 accountClassBreakdown
6. MK-CF-F-132 map → MK-ST-F-010 nameEvidence → MK-NW-F-008 incomeBearingClassOf → MK-NW-F-011 assetClassOf → MK-NW-F-027 accountClassBreakdown
7. MK-XS-F-122 n → MK-CF-F-155 cash → MK-NW-F-027 accountClassBreakdown
8. MK-XS-F-122 n → MK-CF-F-155 cash → MK-NW-F-008 incomeBearingClassOf → MK-NW-F-027 accountClassBreakdown
9. … and 4 more paths</t>
        </is>
      </c>
      <c r="S253" s="3" t="inlineStr">
        <is>
          <t>—</t>
        </is>
      </c>
      <c r="T253" s="3" t="inlineStr">
        <is>
          <t>ACCOUNT_SPLIT</t>
        </is>
      </c>
      <c r="U253" s="3" t="inlineStr">
        <is>
          <t>ACTIVE</t>
        </is>
      </c>
      <c r="V253" s="3" t="inlineStr">
        <is>
          <t>2026-09-09</t>
        </is>
      </c>
      <c r="W253" s="3" t="n"/>
      <c r="X253" s="3" t="n"/>
      <c r="Y253" s="3" t="inlineStr">
        <is>
          <t>NOTHING OPEN</t>
        </is>
      </c>
    </row>
    <row r="254" ht="60" customHeight="1">
      <c r="A254" s="3" t="inlineStr">
        <is>
          <t>MK-NW-F-028</t>
        </is>
      </c>
      <c r="B254" s="3" t="inlineStr">
        <is>
          <t>classPortionLabel</t>
        </is>
      </c>
      <c r="C254" s="3" t="inlineStr">
        <is>
          <t>src/domain/assets/index.ts</t>
        </is>
      </c>
      <c r="D254" s="3" t="n">
        <v>1189</v>
      </c>
      <c r="E254" s="3" t="inlineStr">
        <is>
          <t>2 · DISPLAYED</t>
        </is>
      </c>
      <c r="F254" s="3" t="inlineStr">
        <is>
          <t>Plain words for an account's slice inside a class row.</t>
        </is>
      </c>
      <c r="G254" s="11" t="inlineStr">
        <is>
          <t>pos = (positions ?? []) as any[]
c = 'bonds'   if asset class = 'bond'
'alternatives'   if asset class = 'other'
'cash'   if asset class = 'cash'
'stocks_etf'   otherwise   otherwise   otherwise
the answer = c = cls
name of = (p: any) =&gt; `${ticker ?? ''} ${name ?? label ?? ''}`
opts = count of ((a as any).option holdings ?? []) as any[]
cds = in class where CD_RE.test(name of(each))count of 
treas = in class where !CD_RE.test(name of(each)) and TREASURY_RE.test(name of(each))count of 
rest = in class.length − cds − treas
parts = [opts ? plural(opts, 'option') : '', in class.length ? plural(in class.length, 'holding') : ''] where boolean</t>
        </is>
      </c>
      <c r="H254" s="3" t="inlineStr">
        <is>
          <t>Pos is (positions ?? []) as any[]. C is 'bonds' — when asset class = 'bond'; 'alternatives' — when asset class = 'other'; 'cash' — when asset class = 'cash'; 'stocks_etf' — otherwise — otherwise — otherwise. The answer is c = cls. Name of is (p: any) =&gt; `${ticker ?? ''} ${name ?? label ?? ''}`. Opts: how many ((a as any).option holdings ?? []) as any[] there are. Cds is in class where CD_RE.test(name of(each))count of. Treas is in class where !CD_RE.test(name of(each)) and TREASURY_RE.test(name of(each))count of. Rest is in class.length minus cds minus treas. Parts is [opts ? plural(opts, 'option') : '', in class.length ? plural(in class.length, 'holding') : ''] where boolean.</t>
        </is>
      </c>
      <c r="I254" s="3" t="inlineStr">
        <is>
          <t>PARTLY READ — some of the code is still showing through; needs a hand pass</t>
        </is>
      </c>
      <c r="J254" s="3" t="inlineStr">
        <is>
          <t>1. a: AssetAccount
2. cls: AssetClass</t>
        </is>
      </c>
      <c r="K254" s="3" t="inlineStr">
        <is>
          <t>string</t>
        </is>
      </c>
      <c r="L254" s="3" t="inlineStr">
        <is>
          <t>NOT FOUND — a screen calls it, but the words printed beside its answer could not be traced automatically. Needs reading.</t>
        </is>
      </c>
      <c r="M254" s="3" t="inlineStr">
        <is>
          <t>None found in this function — anything it assumes comes from the functions it depends on.</t>
        </is>
      </c>
      <c r="N254" s="3" t="inlineStr">
        <is>
          <t>Yes</t>
        </is>
      </c>
      <c r="O254" s="3" t="inlineStr">
        <is>
          <t>1. MK-CF-F-204 line
2. MK-XS-F-120 nameOf
3. MK-NW-F-067 plural</t>
        </is>
      </c>
      <c r="P254" s="3" t="n">
        <v>103</v>
      </c>
      <c r="Q254" s="3" t="inlineStr">
        <is>
          <t>1. MK-CF-F-204 line
2. MK-XS-F-120 nameOf
3. MK-NW-F-067 plural
4. MK-CF-F-203 MONTH
5. MK-XS-F-180 declareFigures
6. MK-CF-O-010 theMonth
7. MK-CF-F-155 cash
8. MK-CF-O-002 expenses
9. MK-CF-O-003 thisMonth
10. MK-XS-F-122 n
11. MK-CF-F-151 actualSpending
12. MK-CF-F-150 debtPaymentsCountedAsExpenses
13. MK-CF-F-153 radar
14. MK-CF-F-149 recurringDebtPayments
15. MK-CF-F-005 actualMonthFlow
16. MK-CF-F-156 plannedMonthFlow
17. MK-CF-F-148 inMonth
18. MK-ST-F-052 toNum
19. MK-CF-F-191 ym
20. MK-ST-F-056 has
21. MK-CF-F-022 paymentShape
22. MK-CF-F-152 isRadarItem
23. MK-CF-F-023 requiredPayment
24. MK-CF-F-132 map
25. MK-NW-F-078 ONE
26. MK-CF-F-157 debtPaymentsByDebt
27. MK-CF-F-192 inflowLabel
28. MK-XS-F-027 takeHomeMonthly
29. MK-CF-F-021 defaultPaymentType
30. MK-NW-F-077 ALL
31. MK-NW-F-059 currentYield
32. MK-ST-F-049 formatMoney
33. MK-ST-F-053 money
34. MK-NW-O-001 theBonds
35. MK-CF-F-193 inflowSourceWord
36. MK-CF-F-092 incomeMonthlyGrid
37. MK-CF-F-011 savingsByMonth
38. MK-NW-F-057 annualCoupon
39. MK-ST-F-048 currencySymbol
40. MK-ST-F-039 on
41. MK-ST-F-027 accountId
42. MK-NW-F-056 bondInfo
43. MK-NW-F-064 bondRateSensitivity
44. MK-NW-F-061 bondSummary
45. MK-NW-F-055 isBond
46. MK-NW-F-072 rowOf
47. MK-CF-F-069 benefitActiveMonths
48. MK-CF-F-072 currentRetirementIncomeMonthly
49. MK-CF-F-173 earnerWages
50. MK-CF-F-065 equityVestWeights
51. MK-CF-F-071 extraIncome
52. MK-CF-F-206 householdK401ByMonth
53. MK-CF-F-087 monthlyTaxRates
54. MK-CF-F-073 otherIncomeMonth
55. MK-CF-F-181 rateInForce
56. MK-CF-F-068 rentalNetAnnual
57. MK-CF-F-066 rsuAnnual
58. MK-CF-F-060 salaryGrossByMonth
59. MK-CF-F-077 scholarshipByCalendarMonth
60. MK-CF-F-088 taxableByCalendarMonth
61. MK-CF-F-177 wageGrossByMonth
62. MK-PL-F-012 waterfall
63. MK-CF-F-008 spendByMonth
64. MK-ST-F-047 activeCurrency
65. MK-NW-F-060 approxYTM
66. MK-NW-F-069 priceAtYield
67. MK-NW-F-011 assetClassOf
68. MK-NW-F-070 accruedInterestCaveat
69. MK-NW-F-071 isCertificateOfDeposit
70. MK-NW-F-058 yearsToMaturity
71. MK-CF-F-075 retirementIncomeMonthly
72. MK-CF-F-172 hasWage
73. MK-CF-F-062 equityRowValue
74. MK-CF-F-070 benefitAnnual
75. MK-CF-F-176 sumMonthsOverEarners
76. MK-CF-F-090 effectiveRate
77. MK-CF-F-180 enteredLandsAnnual
78. MK-CF-F-085 filingStatusOf
79. MK-CF-F-089 over65CountOf
80. MK-CF-F-082 salaryAnnual
81. MK-CF-F-086 stateRateOf
82. MK-CF-F-101 taxOwedFor
83. MK-CF-F-084 taxableAnnual
84. MK-CF-F-067 rentalList
85. MK-CF-F-063 rowVestYear
86. MK-CF-F-130 enteredMonthlyRaw
87. MK-CF-F-166 hasMonthlySalaryTable
88. MK-ST-F-036 reconcile
89. MK-CF-F-167 salaryCalendarYear
90. MK-CF-F-120 pctBaseMonthly
91. MK-CF-F-004 spendBuckets
92. MK-NW-F-008 incomeBearingClassOf
93. MK-CF-F-100 taxableIncomeFor
94. MK-CF-F-074 tipsAnnual
95. MK-CF-F-165 salaryMonths
96. MK-CF-F-003 categoryMonthly
97. MK-ST-F-010 nameEvidence
98. MK-CF-F-099 deductionFor
99. MK-CF-F-081 salaryActiveMonths
100. MK-XS-F-147 call
101. MK-CF-F-187 seniorDeductionFor
102. MK-XS-F-064 currentIdToken
103. MK-XS-F-112 relayUrl</t>
        </is>
      </c>
      <c r="R254" s="3" t="inlineStr">
        <is>
          <t>1. MONTH (already above — a loop) → MK-CF-O-010 theMonth → MK-CF-F-203 MONTH → MK-CF-F-204 line → MK-NW-F-028 classPortionLabel
2. MK-XS-F-122 n → MK-CF-F-155 cash → MK-CF-O-010 theMonth → MK-CF-F-203 MONTH → MK-CF-F-204 line → MK-NW-F-028 classPortionLabel
3. MK-CF-F-151 actualSpending → MK-CF-O-002 expenses → MK-CF-O-010 theMonth → MK-CF-F-203 MONTH → MK-CF-F-204 line → MK-NW-F-028 classPortionLabel
4. MK-CF-F-150 debtPaymentsCountedAsExpenses → MK-CF-O-002 expenses → MK-CF-O-010 theMonth → MK-CF-F-203 MONTH → MK-CF-F-204 line → MK-NW-F-028 classPortionLabel
5. MK-CF-F-153 radar → MK-CF-O-002 expenses → MK-CF-O-010 theMonth → MK-CF-F-203 MONTH → MK-CF-F-204 line → MK-NW-F-028 classPortionLabel
6. MK-CF-F-149 recurringDebtPayments → MK-CF-O-002 expenses → MK-CF-O-010 theMonth → MK-CF-F-203 MONTH → MK-CF-F-204 line → MK-NW-F-028 classPortionLabel
7. MK-CF-F-005 actualMonthFlow → MK-CF-O-003 thisMonth → MK-CF-O-010 theMonth → MK-CF-F-203 MONTH → MK-CF-F-204 line → MK-NW-F-028 classPortionLabel
8. MK-CF-F-156 plannedMonthFlow → MK-CF-O-003 thisMonth → MK-CF-O-010 theMonth → MK-CF-F-203 MONTH → MK-CF-F-204 line → MK-NW-F-028 classPortionLabel
9. … and 3 more paths</t>
        </is>
      </c>
      <c r="S254" s="3" t="inlineStr">
        <is>
          <t>—</t>
        </is>
      </c>
      <c r="T254" s="3" t="inlineStr">
        <is>
          <t>SLICE_WORDING</t>
        </is>
      </c>
      <c r="U254" s="3" t="inlineStr">
        <is>
          <t>ACTIVE</t>
        </is>
      </c>
      <c r="V254" s="3" t="inlineStr">
        <is>
          <t>2026-08-27</t>
        </is>
      </c>
      <c r="W254" s="3" t="n"/>
      <c r="X254" s="3" t="n"/>
      <c r="Y254" s="3" t="inlineStr">
        <is>
          <t>NOTHING OPEN</t>
        </is>
      </c>
    </row>
    <row r="255" ht="60" customHeight="1">
      <c r="A255" s="3" t="inlineStr">
        <is>
          <t>MK-NW-F-029</t>
        </is>
      </c>
      <c r="B255" s="3" t="inlineStr">
        <is>
          <t>assetAllocation</t>
        </is>
      </c>
      <c r="C255" s="3" t="inlineStr">
        <is>
          <t>src/domain/assets/index.ts</t>
        </is>
      </c>
      <c r="D255" s="3" t="n">
        <v>1257</v>
      </c>
      <c r="E255" s="3" t="inlineStr">
        <is>
          <t>2 · DISPLAYED</t>
        </is>
      </c>
      <c r="F255" s="3" t="inlineStr">
        <is>
          <t>How much money sits in each of the seven classes?</t>
        </is>
      </c>
      <c r="G255" s="11" t="inlineStr">
        <is>
          <t>out = cash = 0
bonds = 0
stocks etf = 0
alternatives = 0
real estate = 0
personal property = 0
mixed = 0
b = account class breakdown(a)
the answer = out</t>
        </is>
      </c>
      <c r="H255" s="3" t="inlineStr">
        <is>
          <t>Out is cash = 0; bonds = 0; stocks etf = 0; alternatives = 0; real estate = 0; personal property = 0; mixed = 0. B is account class breakdown(a). The answer is out.</t>
        </is>
      </c>
      <c r="I255" s="3" t="inlineStr">
        <is>
          <t>READ FROM THE CODE — rendered from the expressions the function runs</t>
        </is>
      </c>
      <c r="J255" s="3" t="inlineStr">
        <is>
          <t>accounts: AssetAccount[]</t>
        </is>
      </c>
      <c r="K255" s="3" t="inlineStr">
        <is>
          <t>Record&lt;AssetClass, number&gt;</t>
        </is>
      </c>
      <c r="L255" s="3" t="inlineStr">
        <is>
          <t>NOT FOUND — a screen calls it, but the words printed beside its answer could not be traced automatically. Needs reading.</t>
        </is>
      </c>
      <c r="M255" s="3" t="inlineStr">
        <is>
          <t>· If balance is missing it counts as zero, so nothing recorded and a real zero look the same.</t>
        </is>
      </c>
      <c r="N255" s="3" t="inlineStr">
        <is>
          <t>Yes</t>
        </is>
      </c>
      <c r="O255" s="3" t="inlineStr">
        <is>
          <t>1. MK-NW-F-027 accountClassBreakdown
2. MK-NW-F-011 assetClassOf</t>
        </is>
      </c>
      <c r="P255" s="3" t="n">
        <v>12</v>
      </c>
      <c r="Q255" s="3" t="inlineStr">
        <is>
          <t>1. MK-NW-F-027 accountClassBreakdown
2. MK-NW-F-011 assetClassOf
3. MK-CF-F-155 cash
4. MK-NW-F-008 incomeBearingClassOf
5. MK-XS-F-122 n
6. MK-ST-F-010 nameEvidence
7. MK-XS-F-147 call
8. MK-ST-F-056 has
9. MK-CF-F-132 map
10. MK-ST-F-027 accountId
11. MK-XS-F-064 currentIdToken
12. MK-XS-F-112 relayUrl</t>
        </is>
      </c>
      <c r="R255" s="3" t="inlineStr">
        <is>
          <t>1. MK-XS-F-122 n → MK-CF-F-155 cash → MK-NW-F-008 incomeBearingClassOf → MK-NW-F-011 assetClassOf → MK-NW-F-027 accountClassBreakdown → MK-NW-F-029 assetAllocation
2. MK-XS-F-147 call → MK-ST-F-010 nameEvidence → MK-NW-F-008 incomeBearingClassOf → MK-NW-F-011 assetClassOf → MK-NW-F-027 accountClassBreakdown → MK-NW-F-029 assetAllocation
3. MK-ST-F-056 has → MK-ST-F-010 nameEvidence → MK-NW-F-008 incomeBearingClassOf → MK-NW-F-011 assetClassOf → MK-NW-F-027 accountClassBreakdown → MK-NW-F-029 assetAllocation
4. MK-CF-F-132 map → MK-ST-F-010 nameEvidence → MK-NW-F-008 incomeBearingClassOf → MK-NW-F-011 assetClassOf → MK-NW-F-027 accountClassBreakdown → MK-NW-F-029 assetAllocation
5. MK-XS-F-122 n → MK-CF-F-155 cash → MK-NW-F-027 accountClassBreakdown → MK-NW-F-029 assetAllocation
6. MK-XS-F-122 n → MK-CF-F-155 cash → MK-NW-F-008 incomeBearingClassOf → MK-NW-F-027 accountClassBreakdown → MK-NW-F-029 assetAllocation
7. MK-ST-F-027 accountId → MK-XS-F-147 call → MK-ST-F-010 nameEvidence → MK-NW-F-008 incomeBearingClassOf → MK-NW-F-027 accountClassBreakdown → MK-NW-F-029 assetAllocation
8. MK-XS-F-064 currentIdToken → MK-XS-F-147 call → MK-ST-F-010 nameEvidence → MK-NW-F-008 incomeBearingClassOf → MK-NW-F-027 accountClassBreakdown → MK-NW-F-029 assetAllocation
9. … and 4 more paths</t>
        </is>
      </c>
      <c r="S255" s="3" t="inlineStr">
        <is>
          <t>—</t>
        </is>
      </c>
      <c r="T255" s="3" t="inlineStr">
        <is>
          <t>ALLOCATION_BY_CLASS</t>
        </is>
      </c>
      <c r="U255" s="3" t="inlineStr">
        <is>
          <t>ACTIVE</t>
        </is>
      </c>
      <c r="V255" s="3" t="inlineStr">
        <is>
          <t>2026-08-27</t>
        </is>
      </c>
      <c r="W255" s="3" t="n"/>
      <c r="X255" s="3" t="n"/>
      <c r="Y255" s="3" t="inlineStr">
        <is>
          <t>NOTHING OPEN</t>
        </is>
      </c>
    </row>
    <row r="256" ht="60" customHeight="1">
      <c r="A256" s="3" t="inlineStr">
        <is>
          <t>MK-NW-F-030</t>
        </is>
      </c>
      <c r="B256" s="3" t="inlineStr">
        <is>
          <t>earmarkDefault</t>
        </is>
      </c>
      <c r="C256" s="3" t="inlineStr">
        <is>
          <t>src/domain/assets/index.ts</t>
        </is>
      </c>
      <c r="D256" s="3" t="n">
        <v>1314</v>
      </c>
      <c r="E256" s="3" t="inlineStr">
        <is>
          <t>2 · DISPLAYED</t>
        </is>
      </c>
      <c r="F256" s="3" t="inlineStr">
        <is>
          <t>Default % of an account that's earmarked for retirement (rest funds other goals).</t>
        </is>
      </c>
      <c r="G256" s="11" t="inlineStr">
        <is>
          <t>0   when kind = 'college_529'
0   when asset class of(a) = 'real_estate' and real estate use of(a) = 'primary'
0   when asset id = primary car id
100</t>
        </is>
      </c>
      <c r="H256" s="3" t="inlineStr">
        <is>
          <t>When kind = 'college_529', it answers 0. When asset class of(a) = 'real_estate' and real estate use of(a) = 'primary', it answers 0. When asset id = primary car id, it answers 0. 100.</t>
        </is>
      </c>
      <c r="I256" s="3" t="inlineStr">
        <is>
          <t>READ FROM THE CODE — rendered from the expressions the function runs</t>
        </is>
      </c>
      <c r="J256" s="3" t="inlineStr">
        <is>
          <t>1. a: AssetAccount
2. primaryCarId?: string</t>
        </is>
      </c>
      <c r="K256" s="3" t="inlineStr">
        <is>
          <t>number</t>
        </is>
      </c>
      <c r="L256" s="3" t="inlineStr">
        <is>
          <t>1. "Test retiring earlier, saving more, market ups &amp; downs." — on the Retirement cockpit screen
2. "WHAT COUNTS TOWARD RETIREMENT" — on a card used on more than one screen (PlanInputs), under "WHAT COUNTS TOWARD RETIREMENT"
3. "What counts toward retirement?" — on the Retirement cockpit screen</t>
        </is>
      </c>
      <c r="M256" s="3" t="inlineStr">
        <is>
          <t>None found in this function — anything it assumes comes from the functions it depends on.</t>
        </is>
      </c>
      <c r="N256" s="3" t="inlineStr">
        <is>
          <t>Yes</t>
        </is>
      </c>
      <c r="O256" s="3" t="inlineStr">
        <is>
          <t>1. MK-NW-F-011 assetClassOf
2. MK-NW-F-013 realEstateUseOf</t>
        </is>
      </c>
      <c r="P256" s="3" t="n">
        <v>12</v>
      </c>
      <c r="Q256" s="3" t="inlineStr">
        <is>
          <t>1. MK-NW-F-011 assetClassOf
2. MK-NW-F-013 realEstateUseOf
3. MK-NW-F-008 incomeBearingClassOf
4. MK-CF-F-155 cash
5. MK-ST-F-010 nameEvidence
6. MK-XS-F-122 n
7. MK-XS-F-147 call
8. MK-ST-F-056 has
9. MK-CF-F-132 map
10. MK-ST-F-027 accountId
11. MK-XS-F-064 currentIdToken
12. MK-XS-F-112 relayUrl</t>
        </is>
      </c>
      <c r="R256" s="3" t="inlineStr">
        <is>
          <t>1. MK-XS-F-122 n → MK-CF-F-155 cash → MK-NW-F-008 incomeBearingClassOf → MK-NW-F-011 assetClassOf → MK-NW-F-030 earmarkDefault
2. MK-ST-F-027 accountId → MK-XS-F-147 call → MK-ST-F-010 nameEvidence → MK-NW-F-008 incomeBearingClassOf → MK-NW-F-011 assetClassOf → MK-NW-F-030 earmarkDefault
3. MK-XS-F-064 currentIdToken → MK-XS-F-147 call → MK-ST-F-010 nameEvidence → MK-NW-F-008 incomeBearingClassOf → MK-NW-F-011 assetClassOf → MK-NW-F-030 earmarkDefault
4. MK-XS-F-112 relayUrl → MK-XS-F-147 call → MK-ST-F-010 nameEvidence → MK-NW-F-008 incomeBearingClassOf → MK-NW-F-011 assetClassOf → MK-NW-F-030 earmarkDefault
5. MK-ST-F-056 has → MK-ST-F-010 nameEvidence → MK-NW-F-008 incomeBearingClassOf → MK-NW-F-011 assetClassOf → MK-NW-F-030 earmarkDefault
6. MK-CF-F-132 map → MK-ST-F-010 nameEvidence → MK-NW-F-008 incomeBearingClassOf → MK-NW-F-011 assetClassOf → MK-NW-F-030 earmarkDefault
7. MK-NW-F-013 realEstateUseOf → MK-NW-F-030 earmarkDefault</t>
        </is>
      </c>
      <c r="S256" s="3" t="inlineStr">
        <is>
          <t>—</t>
        </is>
      </c>
      <c r="T256" s="3" t="inlineStr">
        <is>
          <t>RETIREMENT_SHARE_DEFAULT</t>
        </is>
      </c>
      <c r="U256" s="3" t="inlineStr">
        <is>
          <t>ACTIVE</t>
        </is>
      </c>
      <c r="V256" s="3" t="inlineStr">
        <is>
          <t>2026-08-27</t>
        </is>
      </c>
      <c r="W256" s="3" t="n"/>
      <c r="X256" s="3" t="n"/>
      <c r="Y256" s="3" t="inlineStr">
        <is>
          <t>NOTHING OPEN</t>
        </is>
      </c>
    </row>
    <row r="257" ht="60" customHeight="1">
      <c r="A257" s="3" t="inlineStr">
        <is>
          <t>MK-NW-F-031</t>
        </is>
      </c>
      <c r="B257" s="3" t="inlineStr">
        <is>
          <t>primaryCarIdOf</t>
        </is>
      </c>
      <c r="C257" s="3" t="inlineStr">
        <is>
          <t>src/domain/assets/index.ts</t>
        </is>
      </c>
      <c r="D257" s="3" t="n">
        <v>1356</v>
      </c>
      <c r="E257" s="3" t="inlineStr">
        <is>
          <t>2 · DISPLAYED</t>
        </is>
      </c>
      <c r="F257" s="3" t="inlineStr">
        <is>
          <t>The vehicle treated as "the car you drive" — the most valuable one, so a second car stays a real asset.</t>
        </is>
      </c>
      <c r="G257" s="11" t="inlineStr">
        <is>
          <t>cars = accounts (or none when missing) where kind = 'vehicle' (or asset class of(each) = 'personal_property' when missing or zero)
undefined   when count of cars is missing
the answer = [...cars].sort((x, y) =&gt; (balance or 0) − (balance or 0) or string(asset id).locale compare(string(asset id)))[0].asset id</t>
        </is>
      </c>
      <c r="H257" s="3" t="inlineStr">
        <is>
          <t>Cars is accounts (or none — when missing) where kind = 'vehicle' (or asset class of(each) = 'personal_property' — when missing or zero). When how many cars is missing there are, it answers undefined. The answer is [...cars].sort((x, y) =&gt; (balance or 0) minus (balance or 0) or string(asset id).locale compare(string(asset id)))[0].asset id.</t>
        </is>
      </c>
      <c r="I257" s="3" t="inlineStr">
        <is>
          <t>PARTLY READ — some of the code is still showing through; needs a hand pass</t>
        </is>
      </c>
      <c r="J257" s="3" t="inlineStr">
        <is>
          <t>accounts: AssetAccount[]</t>
        </is>
      </c>
      <c r="K257" s="3" t="inlineStr">
        <is>
          <t>string | undefined</t>
        </is>
      </c>
      <c r="L257" s="3" t="inlineStr">
        <is>
          <t>"WHAT COUNTS TOWARD RETIREMENT" — on a card used on more than one screen (PlanInputs), under "WHAT COUNTS TOWARD RETIREMENT"</t>
        </is>
      </c>
      <c r="M257" s="3" t="inlineStr">
        <is>
          <t>· If balance is missing it counts as zero, so nothing recorded and a real zero look the same.</t>
        </is>
      </c>
      <c r="N257" s="3" t="inlineStr">
        <is>
          <t>Yes</t>
        </is>
      </c>
      <c r="O257" s="3" t="inlineStr">
        <is>
          <t>MK-NW-F-011 assetClassOf</t>
        </is>
      </c>
      <c r="P257" s="3" t="n">
        <v>11</v>
      </c>
      <c r="Q257" s="3" t="inlineStr">
        <is>
          <t>1. MK-NW-F-011 assetClassOf
2. MK-NW-F-008 incomeBearingClassOf
3. MK-CF-F-155 cash
4. MK-ST-F-010 nameEvidence
5. MK-XS-F-122 n
6. MK-XS-F-147 call
7. MK-ST-F-056 has
8. MK-CF-F-132 map
9. MK-ST-F-027 accountId
10. MK-XS-F-064 currentIdToken
11. MK-XS-F-112 relayUrl</t>
        </is>
      </c>
      <c r="R257" s="3" t="inlineStr">
        <is>
          <t>1. MK-XS-F-122 n → MK-CF-F-155 cash → MK-NW-F-008 incomeBearingClassOf → MK-NW-F-011 assetClassOf → MK-NW-F-031 primaryCarIdOf
2. MK-ST-F-027 accountId → MK-XS-F-147 call → MK-ST-F-010 nameEvidence → MK-NW-F-008 incomeBearingClassOf → MK-NW-F-011 assetClassOf → MK-NW-F-031 primaryCarIdOf
3. MK-XS-F-064 currentIdToken → MK-XS-F-147 call → MK-ST-F-010 nameEvidence → MK-NW-F-008 incomeBearingClassOf → MK-NW-F-011 assetClassOf → MK-NW-F-031 primaryCarIdOf
4. MK-XS-F-112 relayUrl → MK-XS-F-147 call → MK-ST-F-010 nameEvidence → MK-NW-F-008 incomeBearingClassOf → MK-NW-F-011 assetClassOf → MK-NW-F-031 primaryCarIdOf
5. MK-ST-F-056 has → MK-ST-F-010 nameEvidence → MK-NW-F-008 incomeBearingClassOf → MK-NW-F-011 assetClassOf → MK-NW-F-031 primaryCarIdOf
6. MK-CF-F-132 map → MK-ST-F-010 nameEvidence → MK-NW-F-008 incomeBearingClassOf → MK-NW-F-011 assetClassOf → MK-NW-F-031 primaryCarIdOf</t>
        </is>
      </c>
      <c r="S257" s="3" t="inlineStr">
        <is>
          <t>—</t>
        </is>
      </c>
      <c r="T257" s="3" t="inlineStr">
        <is>
          <t>PRIMARY_CAR</t>
        </is>
      </c>
      <c r="U257" s="3" t="inlineStr">
        <is>
          <t>ACTIVE</t>
        </is>
      </c>
      <c r="V257" s="3" t="inlineStr">
        <is>
          <t>2026-08-27</t>
        </is>
      </c>
      <c r="W257" s="3" t="n"/>
      <c r="X257" s="3" t="n"/>
      <c r="Y257" s="3" t="inlineStr">
        <is>
          <t>NOTHING OPEN</t>
        </is>
      </c>
    </row>
    <row r="258" ht="60" customHeight="1">
      <c r="A258" s="3" t="inlineStr">
        <is>
          <t>MK-NW-F-032</t>
        </is>
      </c>
      <c r="B258" s="3" t="inlineStr">
        <is>
          <t>earmarkedAmount</t>
        </is>
      </c>
      <c r="C258" s="3" t="inlineStr">
        <is>
          <t>src/domain/assets/index.ts</t>
        </is>
      </c>
      <c r="D258" s="3" t="n">
        <v>1399</v>
      </c>
      <c r="E258" s="3" t="inlineStr">
        <is>
          <t>2 · DISPLAYED</t>
        </is>
      </c>
      <c r="F258" s="3" t="inlineStr">
        <is>
          <t>The retirement-earmarked $ for one account (uses the saved % or the smart default).</t>
        </is>
      </c>
      <c r="G258" s="11" t="inlineStr">
        <is>
          <t>pct = earmark default(a, primary car id)   if retirement pct = nothing
retirement pct   otherwise
the answer = (balance or 0) × max(0, min(100, pct)) ÷ 100</t>
        </is>
      </c>
      <c r="H258" s="3" t="inlineStr">
        <is>
          <t>Pct is earmark default(a, primary car id) — when retirement pct is missing; retirement pct — otherwise. The answer is (balance or 0) times the smaller of 100 and pct, never below zero divided by 100.</t>
        </is>
      </c>
      <c r="I258" s="3" t="inlineStr">
        <is>
          <t>READ FROM THE CODE — rendered from the expressions the function runs</t>
        </is>
      </c>
      <c r="J258" s="3" t="inlineStr">
        <is>
          <t>1. a: AssetAccount
2. primaryCarId?: string</t>
        </is>
      </c>
      <c r="K258" s="3" t="inlineStr">
        <is>
          <t>number</t>
        </is>
      </c>
      <c r="L258" s="3" t="inlineStr">
        <is>
          <t>"WHAT COUNTS TOWARD RETIREMENT" — on a card used on more than one screen (PlanInputs), under "WHAT COUNTS TOWARD RETIREMENT"</t>
        </is>
      </c>
      <c r="M258" s="3" t="inlineStr">
        <is>
          <t>1. If balance is missing it counts as zero, so nothing recorded and a real zero look the same.
2. Caps percent at 100.</t>
        </is>
      </c>
      <c r="N258" s="3" t="inlineStr">
        <is>
          <t>Yes</t>
        </is>
      </c>
      <c r="O258" s="3" t="inlineStr">
        <is>
          <t>MK-NW-F-030 earmarkDefault</t>
        </is>
      </c>
      <c r="P258" s="3" t="n">
        <v>13</v>
      </c>
      <c r="Q258" s="3" t="inlineStr">
        <is>
          <t>1. MK-NW-F-030 earmarkDefault
2. MK-NW-F-011 assetClassOf
3. MK-NW-F-013 realEstateUseOf
4. MK-NW-F-008 incomeBearingClassOf
5. MK-CF-F-155 cash
6. MK-ST-F-010 nameEvidence
7. MK-XS-F-122 n
8. MK-XS-F-147 call
9. MK-ST-F-056 has
10. MK-CF-F-132 map
11. MK-ST-F-027 accountId
12. MK-XS-F-064 currentIdToken
13. MK-XS-F-112 relayUrl</t>
        </is>
      </c>
      <c r="R258" s="3" t="inlineStr">
        <is>
          <t>1. MK-XS-F-122 n → MK-CF-F-155 cash → MK-NW-F-008 incomeBearingClassOf → MK-NW-F-011 assetClassOf → MK-NW-F-030 earmarkDefault → MK-NW-F-032 earmarkedAmount
2. MK-XS-F-147 call → MK-ST-F-010 nameEvidence → MK-NW-F-008 incomeBearingClassOf → MK-NW-F-011 assetClassOf → MK-NW-F-030 earmarkDefault → MK-NW-F-032 earmarkedAmount
3. MK-ST-F-056 has → MK-ST-F-010 nameEvidence → MK-NW-F-008 incomeBearingClassOf → MK-NW-F-011 assetClassOf → MK-NW-F-030 earmarkDefault → MK-NW-F-032 earmarkedAmount
4. MK-CF-F-132 map → MK-ST-F-010 nameEvidence → MK-NW-F-008 incomeBearingClassOf → MK-NW-F-011 assetClassOf → MK-NW-F-030 earmarkDefault → MK-NW-F-032 earmarkedAmount
5. MK-NW-F-013 realEstateUseOf → MK-NW-F-030 earmarkDefault → MK-NW-F-032 earmarkedAmount</t>
        </is>
      </c>
      <c r="S258" s="3" t="inlineStr">
        <is>
          <t>—</t>
        </is>
      </c>
      <c r="T258" s="3" t="inlineStr">
        <is>
          <t>RETIREMENT_SHARE_AMOUNT</t>
        </is>
      </c>
      <c r="U258" s="3" t="inlineStr">
        <is>
          <t>ACTIVE</t>
        </is>
      </c>
      <c r="V258" s="3" t="inlineStr">
        <is>
          <t>2026-09-09</t>
        </is>
      </c>
      <c r="W258" s="3" t="n"/>
      <c r="X258" s="3" t="n"/>
      <c r="Y258" s="3" t="inlineStr">
        <is>
          <t>NOTHING OPEN</t>
        </is>
      </c>
    </row>
    <row r="259" ht="60" customHeight="1">
      <c r="A259" s="3" t="inlineStr">
        <is>
          <t>MK-NW-F-033</t>
        </is>
      </c>
      <c r="B259" s="3" t="inlineStr">
        <is>
          <t>retirementEarmarkedValue</t>
        </is>
      </c>
      <c r="C259" s="3" t="inlineStr">
        <is>
          <t>src/domain/assets/index.ts</t>
        </is>
      </c>
      <c r="D259" s="3" t="n">
        <v>1428</v>
      </c>
      <c r="E259" s="3" t="inlineStr">
        <is>
          <t>2 · DISPLAYED</t>
        </is>
      </c>
      <c r="F259" s="3" t="inlineStr">
        <is>
          <t>Total nest egg = sum of each account's retirement-earmarked portion.</t>
        </is>
      </c>
      <c r="G259" s="11" t="inlineStr">
        <is>
          <t>car = primary car id of(accounts)
the answer = Σ over accounts (or none when missing) of (earmarked amount(each, car))</t>
        </is>
      </c>
      <c r="H259" s="3" t="inlineStr">
        <is>
          <t>Car is primary car id of(accounts). The answer: the earmarked amount(each, car) added up across accounts (or none — when missing).</t>
        </is>
      </c>
      <c r="I259" s="3" t="inlineStr">
        <is>
          <t>READ FROM THE CODE — rendered from the expressions the function runs</t>
        </is>
      </c>
      <c r="J259" s="3" t="inlineStr">
        <is>
          <t>accounts: AssetAccount[]</t>
        </is>
      </c>
      <c r="K259" s="3" t="inlineStr">
        <is>
          <t>number</t>
        </is>
      </c>
      <c r="L259" s="3" t="inlineStr">
        <is>
          <t>1. "Nest egg today" — on the Retirement cockpit screen, under "scRetired ?"
2. "Nest egg" — on the Retirement cockpit screen, under "RETIREMENT
3. WHERE YOU STAND"
4. "Projected nest egg" — on the Retirement cockpit screen
5. "WHAT COUNTS TOWARD RETIREMENT" — on a card used on more than one screen (PlanInputs), under "WHAT COUNTS TOWARD RETIREMENT"</t>
        </is>
      </c>
      <c r="M259" s="3" t="inlineStr">
        <is>
          <t>None found in this function — anything it assumes comes from the functions it depends on.</t>
        </is>
      </c>
      <c r="N259" s="3" t="inlineStr">
        <is>
          <t>Yes</t>
        </is>
      </c>
      <c r="O259" s="3" t="inlineStr">
        <is>
          <t>1. MK-NW-F-032 earmarkedAmount
2. MK-NW-F-031 primaryCarIdOf</t>
        </is>
      </c>
      <c r="P259" s="3" t="n">
        <v>15</v>
      </c>
      <c r="Q259" s="3" t="inlineStr">
        <is>
          <t>1. MK-NW-F-032 earmarkedAmount
2. MK-NW-F-031 primaryCarIdOf
3. MK-NW-F-030 earmarkDefault
4. MK-NW-F-011 assetClassOf
5. MK-NW-F-013 realEstateUseOf
6. MK-NW-F-008 incomeBearingClassOf
7. MK-CF-F-155 cash
8. MK-ST-F-010 nameEvidence
9. MK-XS-F-122 n
10. MK-XS-F-147 call
11. MK-ST-F-056 has
12. MK-CF-F-132 map
13. MK-ST-F-027 accountId
14. MK-XS-F-064 currentIdToken
15. MK-XS-F-112 relayUrl</t>
        </is>
      </c>
      <c r="R259" s="3" t="inlineStr">
        <is>
          <t>1. MK-CF-F-155 cash → MK-NW-F-008 incomeBearingClassOf → MK-NW-F-011 assetClassOf → MK-NW-F-030 earmarkDefault → MK-NW-F-032 earmarkedAmount → MK-NW-F-033 retirementEarmarkedValue
2. MK-ST-F-010 nameEvidence → MK-NW-F-008 incomeBearingClassOf → MK-NW-F-011 assetClassOf → MK-NW-F-030 earmarkDefault → MK-NW-F-032 earmarkedAmount → MK-NW-F-033 retirementEarmarkedValue
3. MK-NW-F-013 realEstateUseOf → MK-NW-F-030 earmarkDefault → MK-NW-F-032 earmarkedAmount → MK-NW-F-033 retirementEarmarkedValue
4. MK-XS-F-122 n → MK-CF-F-155 cash → MK-NW-F-008 incomeBearingClassOf → MK-NW-F-011 assetClassOf → MK-NW-F-031 primaryCarIdOf → MK-NW-F-033 retirementEarmarkedValue
5. MK-XS-F-147 call → MK-ST-F-010 nameEvidence → MK-NW-F-008 incomeBearingClassOf → MK-NW-F-011 assetClassOf → MK-NW-F-031 primaryCarIdOf → MK-NW-F-033 retirementEarmarkedValue
6. MK-ST-F-056 has → MK-ST-F-010 nameEvidence → MK-NW-F-008 incomeBearingClassOf → MK-NW-F-011 assetClassOf → MK-NW-F-031 primaryCarIdOf → MK-NW-F-033 retirementEarmarkedValue
7. MK-CF-F-132 map → MK-ST-F-010 nameEvidence → MK-NW-F-008 incomeBearingClassOf → MK-NW-F-011 assetClassOf → MK-NW-F-031 primaryCarIdOf → MK-NW-F-033 retirementEarmarkedValue</t>
        </is>
      </c>
      <c r="S259" s="3" t="inlineStr">
        <is>
          <t>—</t>
        </is>
      </c>
      <c r="T259" s="3" t="inlineStr">
        <is>
          <t>NEST_EGG</t>
        </is>
      </c>
      <c r="U259" s="3" t="inlineStr">
        <is>
          <t>ACTIVE</t>
        </is>
      </c>
      <c r="V259" s="3" t="inlineStr">
        <is>
          <t>2026-09-09</t>
        </is>
      </c>
      <c r="W259" s="3" t="n"/>
      <c r="X259" s="3" t="n"/>
      <c r="Y259" s="3" t="inlineStr">
        <is>
          <t>NOTHING OPEN</t>
        </is>
      </c>
    </row>
    <row r="260" ht="60" customHeight="1">
      <c r="A260" s="3" t="inlineStr">
        <is>
          <t>MK-NW-F-034</t>
        </is>
      </c>
      <c r="B260" s="3" t="inlineStr">
        <is>
          <t>benchmarkReturn</t>
        </is>
      </c>
      <c r="C260" s="3" t="inlineStr">
        <is>
          <t>src/domain/assets/index.ts</t>
        </is>
      </c>
      <c r="D260" s="3" t="n">
        <v>1462</v>
      </c>
      <c r="E260" s="3" t="inlineStr">
        <is>
          <t>2 · DISPLAYED</t>
        </is>
      </c>
      <c r="F260" s="3" t="inlineStr">
        <is>
          <t>Benchmark expected annual return for an asset kind — user override if set, else the ASSET_KINDS default.</t>
        </is>
      </c>
      <c r="G260" s="11" t="inlineStr">
        <is>
          <t>overrides[kind]   when kind and overrides and overrides[kind] ≠ nothing
asset kind(kind).ret (or 0.06 when missing)</t>
        </is>
      </c>
      <c r="H260" s="3" t="inlineStr">
        <is>
          <t>When kind and overrides and overrides[kind] is not no answer, it answers overrides[kind]. asset kind(kind).ret (or 0.06 — when missing).</t>
        </is>
      </c>
      <c r="I260" s="3" t="inlineStr">
        <is>
          <t>PARTLY READ — some of the code is still showing through; needs a hand pass</t>
        </is>
      </c>
      <c r="J260" s="3" t="inlineStr">
        <is>
          <t>1. kind: string | undefined
2. overrides?: Record&lt;string, number&gt;</t>
        </is>
      </c>
      <c r="K260" s="3" t="inlineStr">
        <is>
          <t>number</t>
        </is>
      </c>
      <c r="L260" s="3" t="inlineStr">
        <is>
          <t>1. "Type" — on the Other investments screen
2. "Typical yearly return for this type" — on the account portfolio screen, under "IF INTEREST RATES MOVE"</t>
        </is>
      </c>
      <c r="M260" s="3" t="inlineStr">
        <is>
          <t>· If return is missing it uses 6%.</t>
        </is>
      </c>
      <c r="N260" s="3" t="inlineStr">
        <is>
          <t>Yes</t>
        </is>
      </c>
      <c r="O260" s="3" t="inlineStr">
        <is>
          <t>MK-NW-F-007 assetKind</t>
        </is>
      </c>
      <c r="P260" s="3" t="n">
        <v>12</v>
      </c>
      <c r="Q260" s="3" t="inlineStr">
        <is>
          <t>1. MK-NW-F-007 assetKind
2. MK-NW-F-011 assetClassOf
3. MK-CF-F-155 cash
4. MK-NW-F-008 incomeBearingClassOf
5. MK-XS-F-122 n
6. MK-ST-F-010 nameEvidence
7. MK-XS-F-147 call
8. MK-ST-F-056 has
9. MK-CF-F-132 map
10. MK-ST-F-027 accountId
11. MK-XS-F-064 currentIdToken
12. MK-XS-F-112 relayUrl</t>
        </is>
      </c>
      <c r="R260" s="3" t="inlineStr">
        <is>
          <t>1. MK-XS-F-122 n → MK-CF-F-155 cash → MK-NW-F-008 incomeBearingClassOf → MK-NW-F-011 assetClassOf → MK-NW-F-007 assetKind → MK-NW-F-034 benchmarkReturn
2. MK-XS-F-147 call → MK-ST-F-010 nameEvidence → MK-NW-F-008 incomeBearingClassOf → MK-NW-F-011 assetClassOf → MK-NW-F-007 assetKind → MK-NW-F-034 benchmarkReturn
3. MK-ST-F-056 has → MK-ST-F-010 nameEvidence → MK-NW-F-008 incomeBearingClassOf → MK-NW-F-011 assetClassOf → MK-NW-F-007 assetKind → MK-NW-F-034 benchmarkReturn
4. MK-CF-F-132 map → MK-ST-F-010 nameEvidence → MK-NW-F-008 incomeBearingClassOf → MK-NW-F-011 assetClassOf → MK-NW-F-007 assetKind → MK-NW-F-034 benchmarkReturn
5. MK-XS-F-122 n → MK-CF-F-155 cash → MK-NW-F-007 assetKind → MK-NW-F-034 benchmarkReturn</t>
        </is>
      </c>
      <c r="S260" s="3" t="inlineStr">
        <is>
          <t>—</t>
        </is>
      </c>
      <c r="T260" s="3" t="inlineStr">
        <is>
          <t>EXPECTED_RETURN_BY_KIND</t>
        </is>
      </c>
      <c r="U260" s="3" t="inlineStr">
        <is>
          <t>ACTIVE</t>
        </is>
      </c>
      <c r="V260" s="3" t="inlineStr">
        <is>
          <t>2026-08-27</t>
        </is>
      </c>
      <c r="W260" s="3" t="n"/>
      <c r="X260" s="3" t="n"/>
      <c r="Y260" s="3" t="inlineStr">
        <is>
          <t>NOTHING OPEN</t>
        </is>
      </c>
    </row>
    <row r="261" ht="60" customHeight="1">
      <c r="A261" s="3" t="inlineStr">
        <is>
          <t>MK-NW-F-035</t>
        </is>
      </c>
      <c r="B261" s="3" t="inlineStr">
        <is>
          <t>blendedVolatility</t>
        </is>
      </c>
      <c r="C261" s="3" t="inlineStr">
        <is>
          <t>src/domain/assets/index.ts</t>
        </is>
      </c>
      <c r="D261" s="3" t="n">
        <v>1538</v>
      </c>
      <c r="E261" s="3" t="inlineStr">
        <is>
          <t>3 · DEPENDENT</t>
        </is>
      </c>
      <c r="F261" s="3" t="inlineStr">
        <is>
          <t>The volatility of THIS portfolio — each account's own class volatility, weighted the way the money actually is (the same weighting `blendedReturn` uses, so the pair always describes one portfolio).</t>
        </is>
      </c>
      <c r="G261" s="11" t="inlineStr">
        <is>
          <t>car = primary car id of(accounts)
items = accounts (or none when missing) where tax bucket ! = 'PROPERTY'
total = Σ over items of (earmarked amount(each, car))
0.12   when total ≤ 0
v = overrides[kind]   if kind and overrides.[kind] ≠ nothing
KIND_VOLATILITY[kind]   if kind
undefined   otherwise   otherwise
the answer = t + (v ?? 0.12) × earmarked amount(a, car)</t>
        </is>
      </c>
      <c r="H261" s="3" t="inlineStr">
        <is>
          <t>Car is primary car id of(accounts). Items is accounts (or none — when missing) where tax bucket ! = 'PROPERTY'. Total: the earmarked amount(each, car) added up across items. When total is at most 0, it answers 0.12. V is overrides[kind] — when kind and overrides.[kind] is not no answer; KIND_VOLATILITY[kind] — when kind; undefined — otherwise — otherwise. The answer is t plus (v ?? 0.12) times earmarked amount(a, car).</t>
        </is>
      </c>
      <c r="I261" s="3" t="inlineStr">
        <is>
          <t>PARTLY READ — some of the code is still showing through; needs a hand pass</t>
        </is>
      </c>
      <c r="J261" s="3" t="inlineStr">
        <is>
          <t>1. accounts: AssetAccount[]
2. overrides?: Record&lt;string, number&gt;</t>
        </is>
      </c>
      <c r="K261" s="3" t="inlineStr">
        <is>
          <t>number</t>
        </is>
      </c>
      <c r="L261" s="3" t="inlineStr">
        <is>
          <t>—</t>
        </is>
      </c>
      <c r="M261" s="3" t="inlineStr">
        <is>
          <t>· If v is missing it uses 12%.</t>
        </is>
      </c>
      <c r="N261" s="3" t="inlineStr">
        <is>
          <t>Yes</t>
        </is>
      </c>
      <c r="O261" s="3" t="inlineStr">
        <is>
          <t>1. MK-CF-F-155 cash
2. MK-NW-F-032 earmarkedAmount
3. MK-NW-F-031 primaryCarIdOf</t>
        </is>
      </c>
      <c r="P261" s="3" t="n">
        <v>15</v>
      </c>
      <c r="Q261" s="3" t="inlineStr">
        <is>
          <t>1. MK-CF-F-155 cash
2. MK-NW-F-032 earmarkedAmount
3. MK-NW-F-031 primaryCarIdOf
4. MK-XS-F-122 n
5. MK-NW-F-030 earmarkDefault
6. MK-NW-F-011 assetClassOf
7. MK-NW-F-013 realEstateUseOf
8. MK-NW-F-008 incomeBearingClassOf
9. MK-ST-F-010 nameEvidence
10. MK-XS-F-147 call
11. MK-ST-F-056 has
12. MK-CF-F-132 map
13. MK-ST-F-027 accountId
14. MK-XS-F-064 currentIdToken
15. MK-XS-F-112 relayUrl</t>
        </is>
      </c>
      <c r="R261" s="3" t="inlineStr">
        <is>
          <t>1. MK-XS-F-122 n → MK-CF-F-155 cash → MK-NW-F-035 blendedVolatility
2. MK-CF-F-155 cash → MK-NW-F-008 incomeBearingClassOf → MK-NW-F-011 assetClassOf → MK-NW-F-030 earmarkDefault → MK-NW-F-032 earmarkedAmount → MK-NW-F-035 blendedVolatility
3. MK-ST-F-010 nameEvidence → MK-NW-F-008 incomeBearingClassOf → MK-NW-F-011 assetClassOf → MK-NW-F-030 earmarkDefault → MK-NW-F-032 earmarkedAmount → MK-NW-F-035 blendedVolatility
4. MK-NW-F-013 realEstateUseOf → MK-NW-F-030 earmarkDefault → MK-NW-F-032 earmarkedAmount → MK-NW-F-035 blendedVolatility
5. MK-XS-F-122 n → MK-CF-F-155 cash → MK-NW-F-008 incomeBearingClassOf → MK-NW-F-011 assetClassOf → MK-NW-F-031 primaryCarIdOf → MK-NW-F-035 blendedVolatility
6. MK-XS-F-147 call → MK-ST-F-010 nameEvidence → MK-NW-F-008 incomeBearingClassOf → MK-NW-F-011 assetClassOf → MK-NW-F-031 primaryCarIdOf → MK-NW-F-035 blendedVolatility
7. MK-ST-F-056 has → MK-ST-F-010 nameEvidence → MK-NW-F-008 incomeBearingClassOf → MK-NW-F-011 assetClassOf → MK-NW-F-031 primaryCarIdOf → MK-NW-F-035 blendedVolatility
8. MK-CF-F-132 map → MK-ST-F-010 nameEvidence → MK-NW-F-008 incomeBearingClassOf → MK-NW-F-011 assetClassOf → MK-NW-F-031 primaryCarIdOf → MK-NW-F-035 blendedVolatility</t>
        </is>
      </c>
      <c r="S261" s="3" t="inlineStr">
        <is>
          <t>—</t>
        </is>
      </c>
      <c r="T261" s="3" t="inlineStr">
        <is>
          <t>EXPECTED_SWING_BLENDED</t>
        </is>
      </c>
      <c r="U261" s="3" t="inlineStr">
        <is>
          <t>ACTIVE</t>
        </is>
      </c>
      <c r="V261" s="3" t="inlineStr">
        <is>
          <t>2026-08-27</t>
        </is>
      </c>
      <c r="W261" s="3" t="n"/>
      <c r="X261" s="3" t="n"/>
      <c r="Y261" s="6" t="inlineStr">
        <is>
          <t>TESTED, NOT VERIFIED (G24)</t>
        </is>
      </c>
    </row>
    <row r="262" ht="60" customHeight="1">
      <c r="A262" s="3" t="inlineStr">
        <is>
          <t>MK-NW-F-036</t>
        </is>
      </c>
      <c r="B262" s="3" t="inlineStr">
        <is>
          <t>benchmarkInfo</t>
        </is>
      </c>
      <c r="C262" s="3" t="inlineStr">
        <is>
          <t>src/domain/assets/index.ts</t>
        </is>
      </c>
      <c r="D262" s="3" t="n">
        <v>1598</v>
      </c>
      <c r="E262" s="3" t="inlineStr">
        <is>
          <t>2 · DISPLAYED</t>
        </is>
      </c>
      <c r="F262" s="3" t="inlineStr">
        <is>
          <t>Benchmark return + its source/period for an asset kind.</t>
        </is>
      </c>
      <c r="G262" s="11" t="inlineStr">
        <is>
          <t>meta = BENCHMARK_META[kind ?? ''] (or source = 'generic blended estimate'
period = '—'
estimate = true when missing)
edited = !!(kind and overrides and overrides[kind] ≠ nothing)
the answer:
ret = benchmark return(kind, overrides)
source = 'your custom estimate'   if edited
meta.source   otherwise
period = '—'   if edited
meta.period   otherwise
edited = edited
estimate = !!meta.estimate</t>
        </is>
      </c>
      <c r="H262" s="3" t="inlineStr">
        <is>
          <t>Meta is BENCHMARK_META[kind ?? ''] (or source = 'generic blended estimate'; period = '—'; estimate = true — when missing). Edited is !!(kind and overrides and overrides[kind] is not no answer). The answer is ret = benchmark return(kind, overrides); source = 'your custom estimate' — when edited; meta.source — otherwise; period = '—' — when edited; meta.period — otherwise; edited = edited; estimate = !!meta.estimate.</t>
        </is>
      </c>
      <c r="I262" s="3" t="inlineStr">
        <is>
          <t>PARTLY READ — some of the code is still showing through; needs a hand pass</t>
        </is>
      </c>
      <c r="J262" s="3" t="inlineStr">
        <is>
          <t>1. kind: string | undefined
2. overrides?: Record&lt;string, number&gt;</t>
        </is>
      </c>
      <c r="K262" s="3" t="inlineStr">
        <is>
          <t>NOT DECLARED — the code does not say what it gives back</t>
        </is>
      </c>
      <c r="L262" s="3" t="inlineStr">
        <is>
          <t>NOT FOUND — a screen calls it, but the words printed beside its answer could not be traced automatically. Needs reading.</t>
        </is>
      </c>
      <c r="M262" s="3" t="inlineStr">
        <is>
          <t>None found in this function — anything it assumes comes from the functions it depends on.</t>
        </is>
      </c>
      <c r="N262" s="3" t="inlineStr">
        <is>
          <t>Yes</t>
        </is>
      </c>
      <c r="O262" s="3" t="inlineStr">
        <is>
          <t>MK-NW-F-034 benchmarkReturn</t>
        </is>
      </c>
      <c r="P262" s="3" t="n">
        <v>13</v>
      </c>
      <c r="Q262" s="3" t="inlineStr">
        <is>
          <t>1. MK-NW-F-034 benchmarkReturn
2. MK-NW-F-007 assetKind
3. MK-NW-F-011 assetClassOf
4. MK-CF-F-155 cash
5. MK-NW-F-008 incomeBearingClassOf
6. MK-XS-F-122 n
7. MK-ST-F-010 nameEvidence
8. MK-XS-F-147 call
9. MK-ST-F-056 has
10. MK-CF-F-132 map
11. MK-ST-F-027 accountId
12. MK-XS-F-064 currentIdToken
13. MK-XS-F-112 relayUrl</t>
        </is>
      </c>
      <c r="R262" s="3" t="inlineStr">
        <is>
          <t>1. MK-CF-F-155 cash → MK-NW-F-008 incomeBearingClassOf → MK-NW-F-011 assetClassOf → MK-NW-F-007 assetKind → MK-NW-F-034 benchmarkReturn → MK-NW-F-036 benchmarkInfo
2. MK-ST-F-010 nameEvidence → MK-NW-F-008 incomeBearingClassOf → MK-NW-F-011 assetClassOf → MK-NW-F-007 assetKind → MK-NW-F-034 benchmarkReturn → MK-NW-F-036 benchmarkInfo
3. MK-XS-F-122 n → MK-CF-F-155 cash → MK-NW-F-007 assetKind → MK-NW-F-034 benchmarkReturn → MK-NW-F-036 benchmarkInfo</t>
        </is>
      </c>
      <c r="S262" s="3" t="inlineStr">
        <is>
          <t>—</t>
        </is>
      </c>
      <c r="T262" s="3" t="inlineStr">
        <is>
          <t>—</t>
        </is>
      </c>
      <c r="U262" s="3" t="inlineStr">
        <is>
          <t>ACTIVE</t>
        </is>
      </c>
      <c r="V262" s="3" t="inlineStr">
        <is>
          <t>2026-08-27</t>
        </is>
      </c>
      <c r="W262" s="3" t="n"/>
      <c r="X262" s="3" t="n"/>
      <c r="Y262" s="3" t="inlineStr">
        <is>
          <t>NOTHING OPEN</t>
        </is>
      </c>
    </row>
    <row r="263" ht="60" customHeight="1">
      <c r="A263" s="3" t="inlineStr">
        <is>
          <t>MK-NW-F-037</t>
        </is>
      </c>
      <c r="B263" s="3" t="inlineStr">
        <is>
          <t>blendedReturn</t>
        </is>
      </c>
      <c r="C263" s="3" t="inlineStr">
        <is>
          <t>src/domain/assets/index.ts</t>
        </is>
      </c>
      <c r="D263" s="3" t="n">
        <v>1635</v>
      </c>
      <c r="E263" s="3" t="inlineStr">
        <is>
          <t>2 · DISPLAYED</t>
        </is>
      </c>
      <c r="F263" s="3" t="inlineStr">
        <is>
          <t>Blended expected return across the EARMARKED nest egg, weighted by each holding's share.</t>
        </is>
      </c>
      <c r="G263" s="11" t="inlineStr">
        <is>
          <t>car = primary car id of(accounts)
items = accounts (or none when missing) where tax bucket ! = 'PROPERTY'
total = Σ over items of (earmarked amount(each, car))
0.06   when total ≤ 0
weighted = Σ over items of (benchmark return(kind, overrides) × earmarked amount(each, car))
the answer = weighted ÷ total</t>
        </is>
      </c>
      <c r="H263" s="3" t="inlineStr">
        <is>
          <t>Car is primary car id of(accounts). Items is accounts (or none — when missing) where tax bucket ! = 'PROPERTY'. Total: the earmarked amount(each, car) added up across items. When total is at most 0, it answers 0.06. Weighted: the benchmark return(kind, overrides) times earmarked amount(each, car) added up across items. The answer is weighted divided by total.</t>
        </is>
      </c>
      <c r="I263" s="3" t="inlineStr">
        <is>
          <t>READ FROM THE CODE — rendered from the expressions the function runs</t>
        </is>
      </c>
      <c r="J263" s="3" t="inlineStr">
        <is>
          <t>1. accounts: AssetAccount[]
2. overrides?: Record&lt;string, number&gt;</t>
        </is>
      </c>
      <c r="K263" s="3" t="inlineStr">
        <is>
          <t>number</t>
        </is>
      </c>
      <c r="L263" s="3" t="inlineStr">
        <is>
          <t>1. "Expected return" — on the Retirement cockpit screen, under "scRetired ?"
2. "Weighted average" — on the Retirement cockpit screen</t>
        </is>
      </c>
      <c r="M263" s="3" t="inlineStr">
        <is>
          <t>None found in this function — anything it assumes comes from the functions it depends on.</t>
        </is>
      </c>
      <c r="N263" s="3" t="inlineStr">
        <is>
          <t>Yes</t>
        </is>
      </c>
      <c r="O263" s="3" t="inlineStr">
        <is>
          <t>1. MK-NW-F-034 benchmarkReturn
2. MK-NW-F-032 earmarkedAmount
3. MK-NW-F-031 primaryCarIdOf</t>
        </is>
      </c>
      <c r="P263" s="3" t="n">
        <v>17</v>
      </c>
      <c r="Q263" s="3" t="inlineStr">
        <is>
          <t>1. MK-NW-F-034 benchmarkReturn
2. MK-NW-F-032 earmarkedAmount
3. MK-NW-F-031 primaryCarIdOf
4. MK-NW-F-007 assetKind
5. MK-NW-F-030 earmarkDefault
6. MK-NW-F-011 assetClassOf
7. MK-CF-F-155 cash
8. MK-NW-F-013 realEstateUseOf
9. MK-NW-F-008 incomeBearingClassOf
10. MK-XS-F-122 n
11. MK-ST-F-010 nameEvidence
12. MK-XS-F-147 call
13. MK-ST-F-056 has
14. MK-CF-F-132 map
15. MK-ST-F-027 accountId
16. MK-XS-F-064 currentIdToken
17. MK-XS-F-112 relayUrl</t>
        </is>
      </c>
      <c r="R263" s="3" t="inlineStr">
        <is>
          <t>1. MK-CF-F-155 cash → MK-NW-F-008 incomeBearingClassOf → MK-NW-F-011 assetClassOf → MK-NW-F-007 assetKind → MK-NW-F-034 benchmarkReturn → MK-NW-F-037 blendedReturn
2. MK-ST-F-010 nameEvidence → MK-NW-F-008 incomeBearingClassOf → MK-NW-F-011 assetClassOf → MK-NW-F-007 assetKind → MK-NW-F-034 benchmarkReturn → MK-NW-F-037 blendedReturn
3. MK-XS-F-122 n → MK-CF-F-155 cash → MK-NW-F-007 assetKind → MK-NW-F-034 benchmarkReturn → MK-NW-F-037 blendedReturn
4. MK-CF-F-155 cash → MK-NW-F-008 incomeBearingClassOf → MK-NW-F-011 assetClassOf → MK-NW-F-030 earmarkDefault → MK-NW-F-032 earmarkedAmount → MK-NW-F-037 blendedReturn
5. MK-ST-F-010 nameEvidence → MK-NW-F-008 incomeBearingClassOf → MK-NW-F-011 assetClassOf → MK-NW-F-030 earmarkDefault → MK-NW-F-032 earmarkedAmount → MK-NW-F-037 blendedReturn
6. MK-NW-F-013 realEstateUseOf → MK-NW-F-030 earmarkDefault → MK-NW-F-032 earmarkedAmount → MK-NW-F-037 blendedReturn
7. MK-XS-F-122 n → MK-CF-F-155 cash → MK-NW-F-008 incomeBearingClassOf → MK-NW-F-011 assetClassOf → MK-NW-F-031 primaryCarIdOf → MK-NW-F-037 blendedReturn
8. MK-XS-F-147 call → MK-ST-F-010 nameEvidence → MK-NW-F-008 incomeBearingClassOf → MK-NW-F-011 assetClassOf → MK-NW-F-031 primaryCarIdOf → MK-NW-F-037 blendedReturn
9. … and 2 more paths</t>
        </is>
      </c>
      <c r="S263" s="3" t="inlineStr">
        <is>
          <t>—</t>
        </is>
      </c>
      <c r="T263" s="3" t="inlineStr">
        <is>
          <t>EXPECTED_RETURN_BLENDED</t>
        </is>
      </c>
      <c r="U263" s="3" t="inlineStr">
        <is>
          <t>ACTIVE</t>
        </is>
      </c>
      <c r="V263" s="3" t="inlineStr">
        <is>
          <t>2026-09-09</t>
        </is>
      </c>
      <c r="W263" s="3" t="n"/>
      <c r="X263" s="3" t="n"/>
      <c r="Y263" s="6" t="inlineStr">
        <is>
          <t>TESTED, NOT VERIFIED (G24)</t>
        </is>
      </c>
    </row>
    <row r="264" ht="60" customHeight="1">
      <c r="A264" s="3" t="inlineStr">
        <is>
          <t>MK-NW-F-038</t>
        </is>
      </c>
      <c r="B264" s="3" t="inlineStr">
        <is>
          <t>earmarkedKinds</t>
        </is>
      </c>
      <c r="C264" s="3" t="inlineStr">
        <is>
          <t>src/domain/assets/index.ts</t>
        </is>
      </c>
      <c r="D264" s="3" t="n">
        <v>1666</v>
      </c>
      <c r="E264" s="3" t="inlineStr">
        <is>
          <t>3 · DEPENDENT (feeds an action only)</t>
        </is>
      </c>
      <c r="F264" s="3" t="inlineStr">
        <is>
          <t>Distinct investment kinds present in the earmarked nest egg (for the benchmark editor).</t>
        </is>
      </c>
      <c r="G264" s="11" t="inlineStr">
        <is>
          <t>seen = new set&lt;string&gt;()
the answer = array.from(seen)</t>
        </is>
      </c>
      <c r="H264" s="3" t="inlineStr">
        <is>
          <t>Seen is new set&lt;string&gt;(). The answer is array.from(seen).</t>
        </is>
      </c>
      <c r="I264" s="3" t="inlineStr">
        <is>
          <t>PARTLY READ — some of the code is still showing through; needs a hand pass</t>
        </is>
      </c>
      <c r="J264" s="3" t="inlineStr">
        <is>
          <t>accounts: AssetAccount[]</t>
        </is>
      </c>
      <c r="K264" s="3" t="inlineStr">
        <is>
          <t>string[]</t>
        </is>
      </c>
      <c r="L264" s="3" t="inlineStr">
        <is>
          <t>—</t>
        </is>
      </c>
      <c r="M264" s="3" t="inlineStr">
        <is>
          <t>· Uses a built-in d e f a u l t r e t u r n of 7%.</t>
        </is>
      </c>
      <c r="N264" s="3" t="inlineStr">
        <is>
          <t>No</t>
        </is>
      </c>
      <c r="O264" s="3" t="inlineStr">
        <is>
          <t>MK-NW-F-032 earmarkedAmount</t>
        </is>
      </c>
      <c r="P264" s="3" t="n">
        <v>14</v>
      </c>
      <c r="Q264" s="3" t="inlineStr">
        <is>
          <t>1. MK-NW-F-032 earmarkedAmount
2. MK-NW-F-030 earmarkDefault
3. MK-NW-F-011 assetClassOf
4. MK-NW-F-013 realEstateUseOf
5. MK-NW-F-008 incomeBearingClassOf
6. MK-CF-F-155 cash
7. MK-ST-F-010 nameEvidence
8. MK-XS-F-122 n
9. MK-XS-F-147 call
10. MK-ST-F-056 has
11. MK-CF-F-132 map
12. MK-ST-F-027 accountId
13. MK-XS-F-064 currentIdToken
14. MK-XS-F-112 relayUrl</t>
        </is>
      </c>
      <c r="R264" s="3" t="inlineStr">
        <is>
          <t>1. MK-CF-F-155 cash → MK-NW-F-008 incomeBearingClassOf → MK-NW-F-011 assetClassOf → MK-NW-F-030 earmarkDefault → MK-NW-F-032 earmarkedAmount → MK-NW-F-038 earmarkedKinds
2. MK-ST-F-010 nameEvidence → MK-NW-F-008 incomeBearingClassOf → MK-NW-F-011 assetClassOf → MK-NW-F-030 earmarkDefault → MK-NW-F-032 earmarkedAmount → MK-NW-F-038 earmarkedKinds
3. MK-NW-F-013 realEstateUseOf → MK-NW-F-030 earmarkDefault → MK-NW-F-032 earmarkedAmount → MK-NW-F-038 earmarkedKinds</t>
        </is>
      </c>
      <c r="S264" s="3" t="inlineStr">
        <is>
          <t>—</t>
        </is>
      </c>
      <c r="T264" s="3" t="inlineStr">
        <is>
          <t>—</t>
        </is>
      </c>
      <c r="U264" s="3" t="inlineStr">
        <is>
          <t>ACTIVE</t>
        </is>
      </c>
      <c r="V264" s="3" t="inlineStr">
        <is>
          <t>2026-08-27</t>
        </is>
      </c>
      <c r="W264" s="3" t="n"/>
      <c r="X264" s="3" t="n"/>
      <c r="Y264" s="3" t="inlineStr">
        <is>
          <t>NOTHING OPEN</t>
        </is>
      </c>
    </row>
    <row r="265" ht="60" customHeight="1">
      <c r="A265" s="3" t="inlineStr">
        <is>
          <t>MK-NW-F-039</t>
        </is>
      </c>
      <c r="B265" s="3" t="inlineStr">
        <is>
          <t>buildAssetsState</t>
        </is>
      </c>
      <c r="C265" s="3" t="inlineStr">
        <is>
          <t>src/domain/assets/index.ts</t>
        </is>
      </c>
      <c r="D265" s="3" t="n">
        <v>1708</v>
      </c>
      <c r="E265" s="3" t="inlineStr">
        <is>
          <t>2 · DISPLAYED</t>
        </is>
      </c>
      <c r="F265" s="3" t="inlineStr">
        <is>
          <t>How much of everything sits in each account, and what return do they blend to?</t>
        </is>
      </c>
      <c r="G265" s="11" t="inlineStr">
        <is>
          <t>total asset value      = round(Σ over every account of (balance), 2 dp)
share of portfolio (a) = round(balance of a ÷ total × 100, 2 dp)
average target return  = round(Σ(target return × balance) ÷ total, 4 dp)</t>
        </is>
      </c>
      <c r="H265" s="3" t="inlineStr">
        <is>
          <t>Adds up the balance of every account at face value — the house, the car, the cash and the 401(k) all counted the same way, with no class and no tax treatment applied. Then gives each account its share of the whole, and blends the target returns weighted by size. With nothing held at all, the blended return falls back to the built-in default.</t>
        </is>
      </c>
      <c r="I265" s="3" t="inlineStr">
        <is>
          <t>READ BY HAND 2026-08-26 — checked line by line against the code</t>
        </is>
      </c>
      <c r="J265" s="3" t="inlineStr">
        <is>
          <t>1. uid: UserId
2. accounts: AssetAccount[]</t>
        </is>
      </c>
      <c r="K265" s="3" t="inlineStr">
        <is>
          <t>AssetsState</t>
        </is>
      </c>
      <c r="L265" s="3" t="inlineStr">
        <is>
          <t>NOT FOUND — a screen calls it, but the words printed beside its answer could not be traced automatically. Needs reading.</t>
        </is>
      </c>
      <c r="M265" s="3" t="inlineStr">
        <is>
          <t>None found in this function — anything it assumes comes from the functions it depends on.</t>
        </is>
      </c>
      <c r="N265" s="3" t="inlineStr">
        <is>
          <t>Yes</t>
        </is>
      </c>
      <c r="O265" s="3" t="inlineStr">
        <is>
          <t>1. MK-CF-F-132 map
2. MK-XS-F-175 uid</t>
        </is>
      </c>
      <c r="P265" s="3" t="n">
        <v>81</v>
      </c>
      <c r="Q265" s="3" t="inlineStr">
        <is>
          <t>1. MK-CF-F-132 map
2. MK-XS-F-175 uid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265" s="3" t="inlineStr">
        <is>
          <t>1. MK-CF-F-132 map → MK-NW-F-039 buildAssetsState
2. MK-ST-F-027 accountId → MK-XS-F-175 uid → MK-NW-F-039 buildAssetsState
3. MK-CF-F-137 findPos → MK-CF-F-138 addLot → MK-CF-F-111 applyTransaction → MK-XS-F-175 uid → MK-NW-F-039 buildAssetsState
4. MK-CF-F-132 map → MK-CF-F-138 addLot → MK-CF-F-111 applyTransaction → MK-XS-F-175 uid → MK-NW-F-039 buildAssetsState
5. MK-ST-F-043 newEntityId → MK-CF-F-138 addLot → MK-CF-F-111 applyTransaction → MK-XS-F-175 uid → MK-NW-F-039 buildAssetsState
6. MK-CF-F-134 usesSleeve → MK-CF-F-136 bumpCash → MK-CF-F-111 applyTransaction → MK-XS-F-175 uid → MK-NW-F-039 buildAssetsState
7. MK-CF-F-137 findPos → MK-CF-F-111 applyTransaction → MK-XS-F-175 uid → MK-NW-F-039 buildAssetsState
8. MK-CF-F-132 map → MK-CF-F-111 applyTransaction → MK-XS-F-175 uid → MK-NW-F-039 buildAssetsState
9. … and 4 more paths</t>
        </is>
      </c>
      <c r="S265" s="3" t="inlineStr">
        <is>
          <t>—</t>
        </is>
      </c>
      <c r="T265" s="3" t="inlineStr">
        <is>
          <t>ACCOUNT_SHARE_OF_TOTAL</t>
        </is>
      </c>
      <c r="U265" s="3" t="inlineStr">
        <is>
          <t>ACTIVE</t>
        </is>
      </c>
      <c r="V265" s="3" t="inlineStr">
        <is>
          <t>2026-08-27</t>
        </is>
      </c>
      <c r="W265" s="3" t="n"/>
      <c r="X265" s="3" t="n"/>
      <c r="Y265" s="3" t="inlineStr">
        <is>
          <t>NOTHING OPEN</t>
        </is>
      </c>
    </row>
    <row r="266" ht="60" customHeight="1">
      <c r="A266" s="3" t="inlineStr">
        <is>
          <t>MK-NW-F-040</t>
        </is>
      </c>
      <c r="B266" s="3" t="inlineStr">
        <is>
          <t>assetsFromOnboarding</t>
        </is>
      </c>
      <c r="C266" s="3" t="inlineStr">
        <is>
          <t>src/domain/assets/index.ts</t>
        </is>
      </c>
      <c r="D266" s="3" t="n">
        <v>1757</v>
      </c>
      <c r="E266" s="3" t="inlineStr">
        <is>
          <t>3 · DEPENDENT</t>
        </is>
      </c>
      <c r="F266" s="3" t="inlineStr">
        <is>
          <t>Build asset accounts from onboarding answers (accumulation: retirement savings + holdings).</t>
        </is>
      </c>
      <c r="G266" s="11" t="inlineStr">
        <is>
          <t>a = op (or none when missing)
accounts = []
bal = raw read as a number (0 when it is not one)
the answer:
user id = uid
accounts = accounts</t>
        </is>
      </c>
      <c r="H266" s="3" t="inlineStr">
        <is>
          <t>A is op (or none — when missing). Accounts is []. Bal is raw read as a number (0 — when it is one is missing). The answer is user id = uid; accounts = accounts.</t>
        </is>
      </c>
      <c r="I266" s="3" t="inlineStr">
        <is>
          <t>READ FROM THE CODE — rendered from the expressions the function runs</t>
        </is>
      </c>
      <c r="J266" s="3" t="inlineStr">
        <is>
          <t>1. uid: UserId
2. op: Record&lt;string, any&gt; | null</t>
        </is>
      </c>
      <c r="K266" s="3" t="inlineStr">
        <is>
          <t>AssetsDoc</t>
        </is>
      </c>
      <c r="L266" s="3" t="inlineStr">
        <is>
          <t>—</t>
        </is>
      </c>
      <c r="M266" s="3" t="inlineStr">
        <is>
          <t>None found in this function — anything it assumes comes from the functions it depends on.</t>
        </is>
      </c>
      <c r="N266" s="3" t="inlineStr">
        <is>
          <t>Yes</t>
        </is>
      </c>
      <c r="O266" s="3" t="inlineStr">
        <is>
          <t>1. MK-ST-F-043 newEntityId
2. MK-ST-F-052 toNum
3. MK-XS-F-175 uid</t>
        </is>
      </c>
      <c r="P266" s="3" t="n">
        <v>80</v>
      </c>
      <c r="Q266" s="3" t="inlineStr">
        <is>
          <t>1. MK-ST-F-043 newEntityId
2. MK-ST-F-052 toNum
3. MK-XS-F-175 uid
4. MK-XS-F-122 n
5. MK-ST-F-027 accountId
6. MK-CF-F-111 applyTransaction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MK-ST-F-053 money
35. MK-CF-F-085 filingStatusOf
36. MK-CF-F-097 grossFromNet
37. MK-CF-F-185 needsTakeHomeConversion
38. MK-CF-F-089 over65CountOf
39. MK-CF-F-037 inferDebtType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is>
      </c>
      <c r="R266" s="3" t="inlineStr">
        <is>
          <t>1. MK-ST-F-043 newEntityId → MK-NW-F-040 assetsFromOnboarding
2. MK-XS-F-122 n → MK-ST-F-052 toNum → MK-NW-F-040 assetsFromOnboarding
3. MK-ST-F-027 accountId → MK-XS-F-175 uid → MK-NW-F-040 assetsFromOnboarding
4. MK-CF-F-137 findPos → MK-CF-F-138 addLot → MK-CF-F-111 applyTransaction → MK-XS-F-175 uid → MK-NW-F-040 assetsFromOnboarding
5. MK-CF-F-132 map → MK-CF-F-138 addLot → MK-CF-F-111 applyTransaction → MK-XS-F-175 uid → MK-NW-F-040 assetsFromOnboarding
6. MK-ST-F-043 newEntityId → MK-CF-F-138 addLot → MK-CF-F-111 applyTransaction → MK-XS-F-175 uid → MK-NW-F-040 assetsFromOnboarding
7. MK-CF-F-134 usesSleeve → MK-CF-F-136 bumpCash → MK-CF-F-111 applyTransaction → MK-XS-F-175 uid → MK-NW-F-040 assetsFromOnboarding
8. MK-CF-F-137 findPos → MK-CF-F-111 applyTransaction → MK-XS-F-175 uid → MK-NW-F-040 assetsFromOnboarding
9. … and 4 more paths</t>
        </is>
      </c>
      <c r="S266" s="3" t="inlineStr">
        <is>
          <t>—</t>
        </is>
      </c>
      <c r="T266" s="3" t="inlineStr">
        <is>
          <t>ACCOUNTS_FROM_SETUP</t>
        </is>
      </c>
      <c r="U266" s="3" t="inlineStr">
        <is>
          <t>ACTIVE</t>
        </is>
      </c>
      <c r="V266" s="3" t="inlineStr">
        <is>
          <t>2026-08-27</t>
        </is>
      </c>
      <c r="W266" s="3" t="n"/>
      <c r="X266" s="3" t="n"/>
      <c r="Y266" s="3" t="inlineStr">
        <is>
          <t>NOTHING OPEN</t>
        </is>
      </c>
    </row>
    <row r="267" ht="60" customHeight="1">
      <c r="A267" s="3" t="inlineStr">
        <is>
          <t>MK-NW-F-041</t>
        </is>
      </c>
      <c r="B267" s="3" t="inlineStr">
        <is>
          <t>monthlyContributionsFromOnboarding</t>
        </is>
      </c>
      <c r="C267" s="3" t="inlineStr">
        <is>
          <t>src/domain/assets/index.ts</t>
        </is>
      </c>
      <c r="D267" s="3" t="n">
        <v>1799</v>
      </c>
      <c r="E267" s="3" t="inlineStr">
        <is>
          <t>2 · DISPLAYED</t>
        </is>
      </c>
      <c r="F267" s="3" t="inlineStr">
        <is>
          <t>Total monthly contributions across types + employer match (feeds the retirement projection).</t>
        </is>
      </c>
      <c r="G267" s="11" t="inlineStr">
        <is>
          <t>a = op (or none when missing)
the answer = Σ over ['c_401k', 'c_roth', 'c_invest', 'c_property'] of (a[each] read as a number (0 when it is not one))+ employer match monthly(op)</t>
        </is>
      </c>
      <c r="H267" s="3" t="inlineStr">
        <is>
          <t>A is op (or none — when missing). The answer: the a[each] read as a number (0 — when it is one is missing))+ employer match monthly(op added up across ['c_401k', 'c_roth', 'c_invest', 'c_property'].</t>
        </is>
      </c>
      <c r="I267" s="3" t="inlineStr">
        <is>
          <t>PARTLY READ — some of the code is still showing through; needs a hand pass</t>
        </is>
      </c>
      <c r="J267" s="3" t="inlineStr">
        <is>
          <t>op: Record&lt;string, any&gt; | null</t>
        </is>
      </c>
      <c r="K267" s="3" t="inlineStr">
        <is>
          <t>number</t>
        </is>
      </c>
      <c r="L267" s="3" t="inlineStr">
        <is>
          <t>NOT FOUND — a screen calls it, but the words printed beside its answer could not be traced automatically. Needs reading.</t>
        </is>
      </c>
      <c r="M267" s="3" t="inlineStr">
        <is>
          <t>None found in this function — anything it assumes comes from the functions it depends on.</t>
        </is>
      </c>
      <c r="N267" s="3" t="inlineStr">
        <is>
          <t>Yes</t>
        </is>
      </c>
      <c r="O267" s="3" t="inlineStr">
        <is>
          <t>1. MK-CF-F-078 employerMatchMonthly
2. MK-ST-F-052 toNum</t>
        </is>
      </c>
      <c r="P267" s="3" t="n">
        <v>8</v>
      </c>
      <c r="Q267" s="3" t="inlineStr">
        <is>
          <t>1. MK-CF-F-078 employerMatchMonthly
2. MK-ST-F-052 toNum
3. MK-CF-F-175 sumOverEarners
4. MK-CF-F-178 wageMatchMonthly
5. MK-XS-F-122 n
6. MK-CF-F-173 earnerWages
7. MK-CF-F-172 hasWage
8. MK-ST-F-056 has</t>
        </is>
      </c>
      <c r="R267" s="3" t="inlineStr">
        <is>
          <t>1. MK-ST-F-056 has → MK-CF-F-172 hasWage → MK-CF-F-173 earnerWages → MK-CF-F-175 sumOverEarners → MK-CF-F-078 employerMatchMonthly → MK-NW-F-041 monthlyContributionsFromOnboarding
2. MK-XS-F-122 n → MK-ST-F-052 toNum → MK-CF-F-178 wageMatchMonthly → MK-CF-F-078 employerMatchMonthly → MK-NW-F-041 monthlyContributionsFromOnboarding
3. MK-XS-F-122 n → MK-ST-F-052 toNum → MK-NW-F-041 monthlyContributionsFromOnboarding</t>
        </is>
      </c>
      <c r="S267" s="3" t="inlineStr">
        <is>
          <t>—</t>
        </is>
      </c>
      <c r="T267" s="3" t="inlineStr">
        <is>
          <t>MONTHLY_SAVING</t>
        </is>
      </c>
      <c r="U267" s="3" t="inlineStr">
        <is>
          <t>ACTIVE</t>
        </is>
      </c>
      <c r="V267" s="3" t="inlineStr">
        <is>
          <t>2026-08-27</t>
        </is>
      </c>
      <c r="W267" s="3" t="n"/>
      <c r="X267" s="3" t="n"/>
      <c r="Y267" s="3" t="inlineStr">
        <is>
          <t>NOTHING OPEN</t>
        </is>
      </c>
    </row>
    <row r="268" ht="60" customHeight="1">
      <c r="A268" s="3" t="inlineStr">
        <is>
          <t>MK-NW-F-042</t>
        </is>
      </c>
      <c r="B268" s="3" t="inlineStr">
        <is>
          <t>loadAssets</t>
        </is>
      </c>
      <c r="C268" s="3" t="inlineStr">
        <is>
          <t>src/domain/assets/index.ts</t>
        </is>
      </c>
      <c r="D268" s="3" t="n">
        <v>1826</v>
      </c>
      <c r="E268" s="3" t="inlineStr">
        <is>
          <t>3 · DEPENDENT (feeds an action only)</t>
        </is>
      </c>
      <c r="F268" s="3" t="inlineStr">
        <is>
          <t>Reads a person's saved accounts from storage and calculates nothing.</t>
        </is>
      </c>
      <c r="G268" s="11" t="inlineStr">
        <is>
          <t>It reaches outside the app for data and hands back what came back — no arithmetic of its own.</t>
        </is>
      </c>
      <c r="H268" s="3" t="inlineStr">
        <is>
          <t>It reaches outside the app for data and hands back what came back — no arithmetic of its own.</t>
        </is>
      </c>
      <c r="I268" s="3" t="inlineStr">
        <is>
          <t>NO ARITHMETIC — there is no formula to state</t>
        </is>
      </c>
      <c r="J268" s="3" t="inlineStr">
        <is>
          <t>uid: UserId</t>
        </is>
      </c>
      <c r="K268" s="3" t="inlineStr">
        <is>
          <t>NOT DECLARED — the code does not say what it gives back</t>
        </is>
      </c>
      <c r="L268" s="3" t="inlineStr">
        <is>
          <t>—</t>
        </is>
      </c>
      <c r="M268" s="3" t="inlineStr">
        <is>
          <t>None found in this function — anything it assumes comes from the functions it depends on.</t>
        </is>
      </c>
      <c r="N268" s="3" t="inlineStr">
        <is>
          <t>No</t>
        </is>
      </c>
      <c r="O268" s="3" t="inlineStr">
        <is>
          <t>MK-XS-F-175 uid</t>
        </is>
      </c>
      <c r="P268" s="3" t="n">
        <v>81</v>
      </c>
      <c r="Q268"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268" s="3" t="inlineStr">
        <is>
          <t>1. MK-ST-F-027 accountId → MK-XS-F-175 uid → MK-NW-F-042 loadAssets
2. MK-CF-F-137 findPos → MK-CF-F-138 addLot → MK-CF-F-111 applyTransaction → MK-XS-F-175 uid → MK-NW-F-042 loadAssets
3. MK-CF-F-132 map → MK-CF-F-138 addLot → MK-CF-F-111 applyTransaction → MK-XS-F-175 uid → MK-NW-F-042 loadAssets
4. MK-ST-F-043 newEntityId → MK-CF-F-138 addLot → MK-CF-F-111 applyTransaction → MK-XS-F-175 uid → MK-NW-F-042 loadAssets
5. MK-CF-F-134 usesSleeve → MK-CF-F-136 bumpCash → MK-CF-F-111 applyTransaction → MK-XS-F-175 uid → MK-NW-F-042 loadAssets
6. MK-CF-F-137 findPos → MK-CF-F-111 applyTransaction → MK-XS-F-175 uid → MK-NW-F-042 loadAssets
7. MK-CF-F-132 map → MK-CF-F-111 applyTransaction → MK-XS-F-175 uid → MK-NW-F-042 loadAssets
8. MK-CF-F-137 findPos → MK-CF-F-139 removeShares → MK-CF-F-111 applyTransaction → MK-XS-F-175 uid → MK-NW-F-042 loadAssets
9. … and 4 more paths</t>
        </is>
      </c>
      <c r="S268" s="3" t="inlineStr">
        <is>
          <t>—</t>
        </is>
      </c>
      <c r="T268" s="3" t="inlineStr">
        <is>
          <t>—</t>
        </is>
      </c>
      <c r="U268" s="3" t="inlineStr">
        <is>
          <t>ACTIVE</t>
        </is>
      </c>
      <c r="V268" s="3" t="inlineStr">
        <is>
          <t>2026-08-27</t>
        </is>
      </c>
      <c r="W268" s="3" t="n"/>
      <c r="X268" s="3" t="n"/>
      <c r="Y268" s="3" t="inlineStr">
        <is>
          <t>NOTHING OPEN</t>
        </is>
      </c>
    </row>
    <row r="269" ht="60" customHeight="1">
      <c r="A269" s="3" t="inlineStr">
        <is>
          <t>MK-NW-F-043</t>
        </is>
      </c>
      <c r="B269" s="3" t="inlineStr">
        <is>
          <t>saveAssets</t>
        </is>
      </c>
      <c r="C269" s="3" t="inlineStr">
        <is>
          <t>src/domain/assets/index.ts</t>
        </is>
      </c>
      <c r="D269" s="3" t="n">
        <v>1844</v>
      </c>
      <c r="E269" s="3" t="inlineStr">
        <is>
          <t>1 · ACTION</t>
        </is>
      </c>
      <c r="F269" s="3" t="inlineStr">
        <is>
          <t>Saves a person's accounts to storage, tells the rest of the app it changed, and calculates nothing.</t>
        </is>
      </c>
      <c r="G269" s="11" t="inlineStr">
        <is>
          <t>It records or announces something and returns no figure — no arithmetic of its own.</t>
        </is>
      </c>
      <c r="H269" s="3" t="inlineStr">
        <is>
          <t>It records or announces something and returns no figure — no arithmetic of its own.</t>
        </is>
      </c>
      <c r="I269" s="3" t="inlineStr">
        <is>
          <t>NO ARITHMETIC — there is no formula to state</t>
        </is>
      </c>
      <c r="J269" s="3" t="inlineStr">
        <is>
          <t>d: AssetsDoc</t>
        </is>
      </c>
      <c r="K269" s="3" t="inlineStr">
        <is>
          <t>d.user_id }); }</t>
        </is>
      </c>
      <c r="L269" s="3" t="inlineStr">
        <is>
          <t>—</t>
        </is>
      </c>
      <c r="M269" s="3" t="inlineStr">
        <is>
          <t>None found in this function — anything it assumes comes from the functions it depends on.</t>
        </is>
      </c>
      <c r="N269" s="3" t="inlineStr">
        <is>
          <t>No</t>
        </is>
      </c>
      <c r="O269" s="3" t="inlineStr">
        <is>
          <t>1. MK-ST-F-040 emit
2. MK-ST-F-042 setUserDoc</t>
        </is>
      </c>
      <c r="P269" s="3" t="n">
        <v>83</v>
      </c>
      <c r="Q269" s="3" t="inlineStr">
        <is>
          <t>1. MK-ST-F-040 emit
2. MK-ST-F-042 setUserDoc
3. MK-XS-F-175 uid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269" s="3" t="inlineStr">
        <is>
          <t>1. MK-ST-F-040 emit → MK-NW-F-043 saveAssets
2. MK-ST-F-027 accountId → MK-XS-F-175 uid → MK-ST-F-042 setUserDoc → MK-NW-F-043 saveAssets
3. MK-CF-F-137 findPos → MK-CF-F-138 addLot → MK-CF-F-111 applyTransaction → MK-XS-F-175 uid → MK-ST-F-042 setUserDoc → MK-NW-F-043 saveAssets
4. MK-CF-F-132 map → MK-CF-F-138 addLot → MK-CF-F-111 applyTransaction → MK-XS-F-175 uid → MK-ST-F-042 setUserDoc → MK-NW-F-043 saveAssets
5. MK-ST-F-043 newEntityId → MK-CF-F-138 addLot → MK-CF-F-111 applyTransaction → MK-XS-F-175 uid → MK-ST-F-042 setUserDoc → MK-NW-F-043 saveAssets
6. MK-CF-F-134 usesSleeve → MK-CF-F-136 bumpCash → MK-CF-F-111 applyTransaction → MK-XS-F-175 uid → MK-ST-F-042 setUserDoc → MK-NW-F-043 saveAssets
7. MK-CF-F-137 findPos → MK-CF-F-111 applyTransaction → MK-XS-F-175 uid → MK-ST-F-042 setUserDoc → MK-NW-F-043 saveAssets
8. MK-CF-F-132 map → MK-CF-F-111 applyTransaction → MK-XS-F-175 uid → MK-ST-F-042 setUserDoc → MK-NW-F-043 saveAssets
9. … and 4 more paths</t>
        </is>
      </c>
      <c r="S269" s="3" t="inlineStr">
        <is>
          <t>—</t>
        </is>
      </c>
      <c r="T269" s="3" t="inlineStr">
        <is>
          <t>—</t>
        </is>
      </c>
      <c r="U269" s="3" t="inlineStr">
        <is>
          <t>ACTIVE</t>
        </is>
      </c>
      <c r="V269" s="3" t="inlineStr">
        <is>
          <t>2026-08-27</t>
        </is>
      </c>
      <c r="W269" s="3" t="n"/>
      <c r="X269" s="3" t="n"/>
      <c r="Y269" s="3" t="inlineStr">
        <is>
          <t>NOTHING OPEN</t>
        </is>
      </c>
    </row>
    <row r="270" ht="60" customHeight="1">
      <c r="A270" s="3" t="inlineStr">
        <is>
          <t>MK-NW-F-044</t>
        </is>
      </c>
      <c r="B270" s="3" t="inlineStr">
        <is>
          <t>getAssetsState</t>
        </is>
      </c>
      <c r="C270" s="3" t="inlineStr">
        <is>
          <t>src/domain/assets/index.ts</t>
        </is>
      </c>
      <c r="D270" s="3" t="n">
        <v>1863</v>
      </c>
      <c r="E270" s="3" t="inlineStr">
        <is>
          <t>3 · DEPENDENT (feeds an action only)</t>
        </is>
      </c>
      <c r="F270" s="3" t="inlineStr">
        <is>
          <t>Reads a person's saved accounts and returns their totals, or nothing when none are saved.</t>
        </is>
      </c>
      <c r="G270" s="11" t="inlineStr">
        <is>
          <t>d = build assets state(uid, accounts ?? [])   if await load assets(uid); return d
nothing   otherwise</t>
        </is>
      </c>
      <c r="H270" s="3" t="inlineStr">
        <is>
          <t>D is build assets state(uid, accounts ?? []) — when await load assets(uid); return d; no answer — otherwise.</t>
        </is>
      </c>
      <c r="I270" s="3" t="inlineStr">
        <is>
          <t>PARTLY READ — some of the code is still showing through; needs a hand pass</t>
        </is>
      </c>
      <c r="J270" s="3" t="inlineStr">
        <is>
          <t>uid: UserId</t>
        </is>
      </c>
      <c r="K270" s="3" t="inlineStr">
        <is>
          <t>NOT DECLARED — the code does not say what it gives back</t>
        </is>
      </c>
      <c r="L270" s="3" t="inlineStr">
        <is>
          <t>—</t>
        </is>
      </c>
      <c r="M270" s="3" t="inlineStr">
        <is>
          <t>None found in this function — anything it assumes comes from the functions it depends on.</t>
        </is>
      </c>
      <c r="N270" s="3" t="inlineStr">
        <is>
          <t>No</t>
        </is>
      </c>
      <c r="O270" s="3" t="inlineStr">
        <is>
          <t>1. MK-NW-F-039 buildAssetsState
2. MK-NW-F-042 loadAssets
3. MK-XS-F-175 uid</t>
        </is>
      </c>
      <c r="P270" s="3" t="n">
        <v>83</v>
      </c>
      <c r="Q270" s="3" t="inlineStr">
        <is>
          <t>1. MK-NW-F-039 buildAssetsState
2. MK-NW-F-042 loadAssets
3. MK-XS-F-175 uid
4. MK-CF-F-132 map
5. MK-ST-F-027 accountId
6. MK-CF-F-111 applyTransaction
7. MK-NW-F-040 assetsFromOnboarding
8. MK-PF-F-013 benchmarkTicker
9. MK-ST-F-028 buildDayFromAccounts
10. MK-PF-F-034 closeOnOrBefore
11. MK-CF-F-186 convertTakeHomeMode
12. MK-ST-F-079 dailyWindowStart
13. MK-CF-F-038 debtsFromOnboarding
14. MK-XS-F-083 fetchPriceSeries
15. MK-PL-F-013 goalsFromOnboarding
16. MK-ST-F-056 has
17. MK-CF-F-116 inverseOf
18. MK-ST-F-065 isoLocalDate
19. MK-CF-F-112 makeTransaction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270" s="3" t="inlineStr">
        <is>
          <t>1. MK-CF-F-132 map → MK-NW-F-039 buildAssetsState → MK-NW-F-044 getAssetsState
2. MK-ST-F-027 accountId → MK-XS-F-175 uid → MK-NW-F-039 buildAssetsState → MK-NW-F-044 getAssetsState
3. MK-CF-F-137 findPos → MK-CF-F-138 addLot → MK-CF-F-111 applyTransaction → MK-XS-F-175 uid → MK-NW-F-039 buildAssetsState → MK-NW-F-044 getAssetsState
4. MK-CF-F-132 map → MK-CF-F-138 addLot → MK-CF-F-111 applyTransaction → MK-XS-F-175 uid → MK-NW-F-039 buildAssetsState → MK-NW-F-044 getAssetsState
5. MK-ST-F-043 newEntityId → MK-CF-F-138 addLot → MK-CF-F-111 applyTransaction → MK-XS-F-175 uid → MK-NW-F-039 buildAssetsState → MK-NW-F-044 getAssetsState
6. MK-CF-F-134 usesSleeve → MK-CF-F-136 bumpCash → MK-CF-F-111 applyTransaction → MK-XS-F-175 uid → MK-NW-F-039 buildAssetsState → MK-NW-F-044 getAssetsState
7. MK-CF-F-137 findPos → MK-CF-F-111 applyTransaction → MK-XS-F-175 uid → MK-NW-F-039 buildAssetsState → MK-NW-F-044 getAssetsState
8. MK-CF-F-132 map → MK-CF-F-111 applyTransaction → MK-XS-F-175 uid → MK-NW-F-039 buildAssetsState → MK-NW-F-044 getAssetsState
9. … and 5 more paths</t>
        </is>
      </c>
      <c r="S270" s="3" t="inlineStr">
        <is>
          <t>—</t>
        </is>
      </c>
      <c r="T270" s="3" t="inlineStr">
        <is>
          <t>—</t>
        </is>
      </c>
      <c r="U270" s="3" t="inlineStr">
        <is>
          <t>ACTIVE</t>
        </is>
      </c>
      <c r="V270" s="3" t="inlineStr">
        <is>
          <t>2026-08-27</t>
        </is>
      </c>
      <c r="W270" s="3" t="n"/>
      <c r="X270" s="3" t="n"/>
      <c r="Y270" s="3" t="inlineStr">
        <is>
          <t>NOTHING OPEN</t>
        </is>
      </c>
    </row>
    <row r="271" ht="60" customHeight="1">
      <c r="A271" s="3" t="inlineStr">
        <is>
          <t>MK-NW-F-045</t>
        </is>
      </c>
      <c r="B271" s="3" t="inlineStr">
        <is>
          <t>sourceWording</t>
        </is>
      </c>
      <c r="C271" s="3" t="inlineStr">
        <is>
          <t>src/domain/assets/index.ts</t>
        </is>
      </c>
      <c r="D271" s="3" t="n">
        <v>1898</v>
      </c>
      <c r="E271" s="3" t="inlineStr">
        <is>
          <t>2 · DISPLAYED</t>
        </is>
      </c>
      <c r="F271" s="3" t="inlineStr">
        <is>
          <t>The words saying where an account's numbers come from, which are Linked, Imported or By hand, with a date added only when the numbers are stale.</t>
        </is>
      </c>
      <c r="G271" s="11" t="inlineStr">
        <is>
          <t>stale = is stale(last synced, now)
ago = age label(last synced, now)
`linked · ${ago ?? 'not updated yet'}`   if stale
'Linked'   otherwise   when source = 'connected'
`imported · ${ago ?? 'not updated yet'}`   if stale
'Imported'   otherwise   when source = 'imported'
the answer = 'by hand · you update it'</t>
        </is>
      </c>
      <c r="H271" s="3" t="inlineStr">
        <is>
          <t>Stale is is stale(last synced, now). Ago is age label(last synced, now). When source = 'connected', it answers `linked · ${ago ?? 'updated is missing yet'}` — when stale; 'Linked' — otherwise. When source = 'imported', it answers `imported · ${ago ?? 'updated is missing yet'}` — when stale; 'Imported' — otherwise. The answer is 'by hand · you update it'.</t>
        </is>
      </c>
      <c r="I271" s="3" t="inlineStr">
        <is>
          <t>PARTLY READ — some of the code is still showing through; needs a hand pass</t>
        </is>
      </c>
      <c r="J271" s="3" t="inlineStr">
        <is>
          <t>1. a: AssetAccount
2. now: number = Date.now()</t>
        </is>
      </c>
      <c r="K271" s="3" t="inlineStr">
        <is>
          <t>string</t>
        </is>
      </c>
      <c r="L271" s="3" t="inlineStr">
        <is>
          <t>NOT FOUND — a screen calls it, but the words printed beside its answer could not be traced automatically. Needs reading.</t>
        </is>
      </c>
      <c r="M271" s="3" t="inlineStr">
        <is>
          <t>· Uses today's date from the device clock, so the answer changes by itself overnight.</t>
        </is>
      </c>
      <c r="N271" s="3" t="inlineStr">
        <is>
          <t>Yes</t>
        </is>
      </c>
      <c r="O271" s="3" t="inlineStr">
        <is>
          <t>1. MK-ST-F-076 ageLabel
2. MK-ST-F-077 isStale</t>
        </is>
      </c>
      <c r="P271" s="3" t="n">
        <v>3</v>
      </c>
      <c r="Q271" s="3" t="inlineStr">
        <is>
          <t>1. MK-ST-F-076 ageLabel
2. MK-ST-F-077 isStale
3. MK-XS-F-170 daysSince</t>
        </is>
      </c>
      <c r="R271" s="3" t="inlineStr">
        <is>
          <t>1. MK-XS-F-170 daysSince → MK-ST-F-076 ageLabel → MK-NW-F-045 sourceWording
2. MK-XS-F-170 daysSince → MK-ST-F-077 isStale → MK-NW-F-045 sourceWording</t>
        </is>
      </c>
      <c r="S271" s="3" t="inlineStr">
        <is>
          <t>—</t>
        </is>
      </c>
      <c r="T271" s="3" t="inlineStr">
        <is>
          <t>WHERE_THE_VALUE_CAME_FROM</t>
        </is>
      </c>
      <c r="U271" s="3" t="inlineStr">
        <is>
          <t>ACTIVE</t>
        </is>
      </c>
      <c r="V271" s="3" t="inlineStr">
        <is>
          <t>2026-10-01</t>
        </is>
      </c>
      <c r="W271" s="3" t="n"/>
      <c r="X271" s="3" t="n"/>
      <c r="Y271" s="3" t="inlineStr">
        <is>
          <t>NOTHING OPEN</t>
        </is>
      </c>
    </row>
    <row r="272" ht="60" customHeight="1">
      <c r="A272" s="3" t="inlineStr">
        <is>
          <t>MK-NW-F-046</t>
        </is>
      </c>
      <c r="B272" s="3" t="inlineStr">
        <is>
          <t>historyCoverage</t>
        </is>
      </c>
      <c r="C272" s="3" t="inlineStr">
        <is>
          <t>src/domain/assets/index.ts</t>
        </is>
      </c>
      <c r="D272" s="3" t="n">
        <v>1955</v>
      </c>
      <c r="E272" s="3" t="inlineStr">
        <is>
          <t>2 · DISPLAYED</t>
        </is>
      </c>
      <c r="F272" s="3" t="inlineStr">
        <is>
          <t>Says how far back one account's activity records reach, set against the period being asked about, in a sentence a person can read.</t>
        </is>
      </c>
      <c r="G272" s="11" t="inlineStr">
        <is>
          <t>who = (institution or label or 'this account').trim()
from = the first 10 of string(history from)   if history from
nothing   otherwise
nothing   when the first 10 of from ≤ window start
months = max(0, round((now.get full year() − fy) × 12 + (now.get month() + 1 − fm) + (now.get date() − fd) ÷ 30, 1 dp))</t>
        </is>
      </c>
      <c r="H272" s="3" t="inlineStr">
        <is>
          <t>Who is (institution or label or 'this account').trim(). From: the first 10 of string(history from) — when history from; no answer — otherwise. When the first 10 of from is at most window start, it answers no answer. Months is (now.get full year(, never below zero minus fy) times 12 plus (now.get month() plus 1 minus fm) plus (now.get date() minus fd) divided by 30, to 1 decimal places).</t>
        </is>
      </c>
      <c r="I272" s="3" t="inlineStr">
        <is>
          <t>PARTLY READ — some of the code is still showing through; needs a hand pass</t>
        </is>
      </c>
      <c r="J272" s="3" t="inlineStr">
        <is>
          <t>Nothing is handed to it</t>
        </is>
      </c>
      <c r="K272" s="3" t="inlineStr">
        <is>
          <t>NOT DECLARED — the code does not say what it gives back</t>
        </is>
      </c>
      <c r="L272" s="3" t="inlineStr">
        <is>
          <t>NOT FOUND — a screen calls it, but the words printed beside its answer could not be traced automatically. Needs reading.</t>
        </is>
      </c>
      <c r="M272" s="3" t="inlineStr">
        <is>
          <t>1. Turns a monthly figure into a year by multiplying by twelve.
2. Uses today's date from the device clock, so the answer changes by itself overnight.
3. Rounds the answer to 1 decimal place.</t>
        </is>
      </c>
      <c r="N272" s="3" t="inlineStr">
        <is>
          <t>Yes</t>
        </is>
      </c>
      <c r="O272" s="3" t="inlineStr">
        <is>
          <t>1. MK-CF-F-132 map
2. MK-NW-F-068 prettyDay</t>
        </is>
      </c>
      <c r="P272" s="3" t="n">
        <v>2</v>
      </c>
      <c r="Q272" s="3" t="inlineStr">
        <is>
          <t>1. MK-CF-F-132 map
2. MK-NW-F-068 prettyDay</t>
        </is>
      </c>
      <c r="R272" s="3" t="inlineStr">
        <is>
          <t>1. MK-CF-F-132 map → MK-NW-F-046 historyCoverage
2. MK-CF-F-132 map → MK-NW-F-068 prettyDay → MK-NW-F-046 historyCoverage</t>
        </is>
      </c>
      <c r="S272" s="3" t="inlineStr">
        <is>
          <t>—</t>
        </is>
      </c>
      <c r="T272" s="3" t="inlineStr">
        <is>
          <t>—</t>
        </is>
      </c>
      <c r="U272" s="3" t="inlineStr">
        <is>
          <t>ACTIVE</t>
        </is>
      </c>
      <c r="V272" s="3" t="inlineStr">
        <is>
          <t>2026-08-27</t>
        </is>
      </c>
      <c r="W272" s="3" t="n"/>
      <c r="X272" s="3" t="n"/>
      <c r="Y272" s="3" t="inlineStr">
        <is>
          <t>NOTHING OPEN</t>
        </is>
      </c>
    </row>
    <row r="273" ht="45" customHeight="1">
      <c r="A273" s="3" t="inlineStr">
        <is>
          <t>MK-NW-F-047</t>
        </is>
      </c>
      <c r="B273" s="3" t="inlineStr">
        <is>
          <t>uberGroupOf</t>
        </is>
      </c>
      <c r="C273" s="3" t="inlineStr">
        <is>
          <t>src/domain/assets/index.ts</t>
        </is>
      </c>
      <c r="D273" s="3" t="n">
        <v>2042</v>
      </c>
      <c r="E273" s="3" t="inlineStr">
        <is>
          <t>1 · ACTION</t>
        </is>
      </c>
      <c r="F273" s="3" t="inlineStr">
        <is>
          <t>Which of the three Net worth groups an asset class belongs to: Cash, Investments or Personal property.</t>
        </is>
      </c>
      <c r="G273" s="11" t="inlineStr">
        <is>
          <t>CLASS_UBER[cls] (or 'investments' when missing)</t>
        </is>
      </c>
      <c r="H273" s="3" t="inlineStr">
        <is>
          <t>CLASS_UBER[cls] (or 'investments' — when missing)</t>
        </is>
      </c>
      <c r="I273" s="3" t="inlineStr">
        <is>
          <t>READ FROM THE CODE — rendered from the expressions the function runs</t>
        </is>
      </c>
      <c r="J273" s="3" t="inlineStr">
        <is>
          <t>cls: AssetClass</t>
        </is>
      </c>
      <c r="K273" s="3" t="inlineStr">
        <is>
          <t>UberGroup</t>
        </is>
      </c>
      <c r="L273" s="3" t="inlineStr">
        <is>
          <t>"Nothing entered yet." — on the Net worth screen, under "DEBTS"</t>
        </is>
      </c>
      <c r="M273" s="3" t="inlineStr">
        <is>
          <t>None found in this function — anything it assumes comes from the functions it depends on.</t>
        </is>
      </c>
      <c r="N273" s="3" t="inlineStr">
        <is>
          <t>Yes</t>
        </is>
      </c>
      <c r="O273" s="3" t="inlineStr">
        <is>
          <t>—</t>
        </is>
      </c>
      <c r="P273" s="3" t="n">
        <v>0</v>
      </c>
      <c r="Q273" s="3" t="inlineStr">
        <is>
          <t>None — no dependent function stands behind it</t>
        </is>
      </c>
      <c r="R273" s="3" t="inlineStr">
        <is>
          <t>No dependent function — it reads its inputs and answers</t>
        </is>
      </c>
      <c r="S273" s="3" t="inlineStr">
        <is>
          <t>—</t>
        </is>
      </c>
      <c r="T273" s="3" t="inlineStr">
        <is>
          <t>—</t>
        </is>
      </c>
      <c r="U273" s="3" t="inlineStr">
        <is>
          <t>ACTIVE</t>
        </is>
      </c>
      <c r="V273" s="3" t="inlineStr">
        <is>
          <t>2026-08-27</t>
        </is>
      </c>
      <c r="W273" s="3" t="n"/>
      <c r="X273" s="3" t="n"/>
      <c r="Y273" s="3" t="inlineStr">
        <is>
          <t>NOTHING OPEN</t>
        </is>
      </c>
    </row>
    <row r="274" ht="45" customHeight="1">
      <c r="A274" s="3" t="inlineStr">
        <is>
          <t>MK-NW-F-048</t>
        </is>
      </c>
      <c r="B274" s="3" t="inlineStr">
        <is>
          <t>uberGroupRows</t>
        </is>
      </c>
      <c r="C274" s="3" t="inlineStr">
        <is>
          <t>src/domain/assets/index.ts</t>
        </is>
      </c>
      <c r="D274" s="3" t="n">
        <v>2060</v>
      </c>
      <c r="E274" s="3" t="inlineStr">
        <is>
          <t>2 · DISPLAYED</t>
        </is>
      </c>
      <c r="F274" s="3" t="inlineStr">
        <is>
          <t>Group per-class totals into the three uber-groups, keeping class order inside each.</t>
        </is>
      </c>
      <c r="G274" s="11" t="inlineStr">
        <is>
          <t>classes = class rows where uber group of(key) = group</t>
        </is>
      </c>
      <c r="H274" s="3" t="inlineStr">
        <is>
          <t>Classes is class rows where uber group of(key) = group.</t>
        </is>
      </c>
      <c r="I274" s="3" t="inlineStr">
        <is>
          <t>READ FROM THE CODE — rendered from the expressions the function runs</t>
        </is>
      </c>
      <c r="J274" s="3" t="inlineStr">
        <is>
          <t>Nothing is handed to it</t>
        </is>
      </c>
      <c r="K274" s="3" t="inlineStr">
        <is>
          <t>NOT DECLARED — the code does not say what it gives back</t>
        </is>
      </c>
      <c r="L274" s="3" t="inlineStr">
        <is>
          <t>NOT FOUND — a screen calls it, but the words printed beside its answer could not be traced automatically. Needs reading.</t>
        </is>
      </c>
      <c r="M274" s="3" t="inlineStr">
        <is>
          <t>None found in this function — anything it assumes comes from the functions it depends on.</t>
        </is>
      </c>
      <c r="N274" s="3" t="inlineStr">
        <is>
          <t>Yes</t>
        </is>
      </c>
      <c r="O274" s="3" t="inlineStr">
        <is>
          <t>1. MK-CF-F-132 map
2. MK-NW-F-047 uberGroupOf</t>
        </is>
      </c>
      <c r="P274" s="3" t="n">
        <v>2</v>
      </c>
      <c r="Q274" s="3" t="inlineStr">
        <is>
          <t>1. MK-CF-F-132 map
2. MK-NW-F-047 uberGroupOf</t>
        </is>
      </c>
      <c r="R274" s="3" t="inlineStr">
        <is>
          <t>1. MK-CF-F-132 map → MK-NW-F-048 uberGroupRows
2. MK-NW-F-047 uberGroupOf → MK-NW-F-048 uberGroupRows</t>
        </is>
      </c>
      <c r="S274" s="3" t="inlineStr">
        <is>
          <t>—</t>
        </is>
      </c>
      <c r="T274" s="3" t="inlineStr">
        <is>
          <t>NET_WORTH_GROUPING</t>
        </is>
      </c>
      <c r="U274" s="3" t="inlineStr">
        <is>
          <t>ACTIVE</t>
        </is>
      </c>
      <c r="V274" s="3" t="inlineStr">
        <is>
          <t>2026-08-27</t>
        </is>
      </c>
      <c r="W274" s="3" t="n"/>
      <c r="X274" s="3" t="n"/>
      <c r="Y274" s="3" t="inlineStr">
        <is>
          <t>NOTHING OPEN</t>
        </is>
      </c>
    </row>
    <row r="275" ht="30" customHeight="1">
      <c r="A275" s="3" t="inlineStr">
        <is>
          <t>MK-NW-F-049</t>
        </is>
      </c>
      <c r="B275" s="3" t="inlineStr">
        <is>
          <t>itemizedTotal</t>
        </is>
      </c>
      <c r="C275" s="3" t="inlineStr">
        <is>
          <t>src/domain/assets/itemize.ts</t>
        </is>
      </c>
      <c r="D275" s="3" t="n">
        <v>51</v>
      </c>
      <c r="E275" s="3" t="inlineStr">
        <is>
          <t>1 · ACTION</t>
        </is>
      </c>
      <c r="F275" s="3" t="inlineStr">
        <is>
          <t>Σ of the itemized holding values.</t>
        </is>
      </c>
      <c r="G275" s="11" t="inlineStr">
        <is>
          <t>the answer = Σ over items of (value, or 0 when missing)</t>
        </is>
      </c>
      <c r="H275" s="3" t="inlineStr">
        <is>
          <t>Adds up the value of every holding entered while itemising an account.</t>
        </is>
      </c>
      <c r="I275" s="3" t="inlineStr">
        <is>
          <t>READ BY HAND 2026-08-26 — checked line by line against the code</t>
        </is>
      </c>
      <c r="J275" s="3" t="inlineStr">
        <is>
          <t>items: ItemHolding[]</t>
        </is>
      </c>
      <c r="K275" s="3" t="inlineStr">
        <is>
          <t>number</t>
        </is>
      </c>
      <c r="L275" s="3" t="inlineStr">
        <is>
          <t>—</t>
        </is>
      </c>
      <c r="M275" s="3" t="inlineStr">
        <is>
          <t>· If value is missing it counts as zero, so nothing recorded and a real zero look the same.</t>
        </is>
      </c>
      <c r="N275" s="3" t="inlineStr">
        <is>
          <t>Yes</t>
        </is>
      </c>
      <c r="O275" s="3" t="inlineStr">
        <is>
          <t>—</t>
        </is>
      </c>
      <c r="P275" s="3" t="n">
        <v>0</v>
      </c>
      <c r="Q275" s="3" t="inlineStr">
        <is>
          <t>None — no dependent function stands behind it</t>
        </is>
      </c>
      <c r="R275" s="3" t="inlineStr">
        <is>
          <t>No dependent function — it reads its inputs and answers</t>
        </is>
      </c>
      <c r="S275" s="3" t="inlineStr">
        <is>
          <t>—</t>
        </is>
      </c>
      <c r="T275" s="3" t="inlineStr">
        <is>
          <t>ITEMISED_TOTAL</t>
        </is>
      </c>
      <c r="U275" s="3" t="inlineStr">
        <is>
          <t>ACTIVE</t>
        </is>
      </c>
      <c r="V275" s="3" t="inlineStr">
        <is>
          <t>2026-09-12</t>
        </is>
      </c>
      <c r="W275" s="3" t="n"/>
      <c r="X275" s="3" t="n"/>
      <c r="Y275" s="3" t="inlineStr">
        <is>
          <t>NOTHING OPEN</t>
        </is>
      </c>
    </row>
    <row r="276" ht="60" customHeight="1">
      <c r="A276" s="3" t="inlineStr">
        <is>
          <t>MK-NW-F-050</t>
        </is>
      </c>
      <c r="B276" s="3" t="inlineStr">
        <is>
          <t>itemizeRemainder</t>
        </is>
      </c>
      <c r="C276" s="3" t="inlineStr">
        <is>
          <t>src/domain/assets/itemize.ts</t>
        </is>
      </c>
      <c r="D276" s="3" t="n">
        <v>80</v>
      </c>
      <c r="E276" s="3" t="inlineStr">
        <is>
          <t>1 · ACTION</t>
        </is>
      </c>
      <c r="F276" s="3" t="inlineStr">
        <is>
          <t>The entered total of an account less the value of the holdings listed under it: positive when some is still unexplained, negative when the holdings add up to more.</t>
        </is>
      </c>
      <c r="G276" s="11" t="inlineStr">
        <is>
          <t>the answer = (lump balance, or 0) − itemized total(items)</t>
        </is>
      </c>
      <c r="H276" s="3" t="inlineStr">
        <is>
          <t>The lump balance less the holdings entered so far: positive means money still unallocated, negative means the holdings exceed the entered total.</t>
        </is>
      </c>
      <c r="I276" s="3" t="inlineStr">
        <is>
          <t>READ BY HAND 2026-08-26 — checked line by line against the code</t>
        </is>
      </c>
      <c r="J276" s="3" t="inlineStr">
        <is>
          <t>1. lumpBalance: number
2. items: ItemHolding[]</t>
        </is>
      </c>
      <c r="K276" s="3" t="inlineStr">
        <is>
          <t>number</t>
        </is>
      </c>
      <c r="L276" s="3" t="inlineStr">
        <is>
          <t>—</t>
        </is>
      </c>
      <c r="M276" s="3" t="inlineStr">
        <is>
          <t>· If lump balance is missing it counts as zero, so nothing recorded and a real zero look the same.</t>
        </is>
      </c>
      <c r="N276" s="3" t="inlineStr">
        <is>
          <t>Yes</t>
        </is>
      </c>
      <c r="O276" s="3" t="inlineStr">
        <is>
          <t>MK-NW-F-049 itemizedTotal</t>
        </is>
      </c>
      <c r="P276" s="3" t="n">
        <v>1</v>
      </c>
      <c r="Q276" s="3" t="inlineStr">
        <is>
          <t>MK-NW-F-049 itemizedTotal</t>
        </is>
      </c>
      <c r="R276" s="3" t="inlineStr">
        <is>
          <t>MK-NW-F-049 itemizedTotal → MK-NW-F-050 itemizeRemainder</t>
        </is>
      </c>
      <c r="S276" s="3" t="inlineStr">
        <is>
          <t>—</t>
        </is>
      </c>
      <c r="T276" s="3" t="inlineStr">
        <is>
          <t>ITEMISED_REMAINDER</t>
        </is>
      </c>
      <c r="U276" s="3" t="inlineStr">
        <is>
          <t>ACTIVE</t>
        </is>
      </c>
      <c r="V276" s="3" t="inlineStr">
        <is>
          <t>2026-09-12</t>
        </is>
      </c>
      <c r="W276" s="3" t="n"/>
      <c r="X276" s="3" t="n"/>
      <c r="Y276" s="3" t="inlineStr">
        <is>
          <t>NOTHING OPEN</t>
        </is>
      </c>
    </row>
    <row r="277" ht="60" customHeight="1">
      <c r="A277" s="3" t="inlineStr">
        <is>
          <t>MK-NW-F-051</t>
        </is>
      </c>
      <c r="B277" s="3" t="inlineStr">
        <is>
          <t>itemizedResultTotal</t>
        </is>
      </c>
      <c r="C277" s="3" t="inlineStr">
        <is>
          <t>src/domain/assets/itemize.ts</t>
        </is>
      </c>
      <c r="D277" s="3" t="n">
        <v>105</v>
      </c>
      <c r="E277" s="3" t="inlineStr">
        <is>
          <t>2 · DISPLAYED</t>
        </is>
      </c>
      <c r="F277" s="3" t="inlineStr">
        <is>
          <t>The account total AFTER itemizing.</t>
        </is>
      </c>
      <c r="G277" s="11" t="inlineStr">
        <is>
          <t>sum = itemized total(items)
remainder = itemize remainder(lump.balance, items)
the answer:
sum + remainder   if keep remainder as cash and remainder &gt; 0
sum   otherwise</t>
        </is>
      </c>
      <c r="H277" s="3" t="inlineStr">
        <is>
          <t>Sum is itemized total(items). Remainder is itemize remainder(lump.balance, items). The answer is sum plus remainder — when keep remainder as cash and remainder &gt; 0; sum — otherwise.</t>
        </is>
      </c>
      <c r="I277" s="3" t="inlineStr">
        <is>
          <t>READ FROM THE CODE — rendered from the expressions the function runs</t>
        </is>
      </c>
      <c r="J277" s="3" t="inlineStr">
        <is>
          <t>Nothing is handed to it</t>
        </is>
      </c>
      <c r="K277" s="3" t="inlineStr">
        <is>
          <t>NOT DECLARED — the code does not say what it gives back</t>
        </is>
      </c>
      <c r="L277" s="3" t="inlineStr">
        <is>
          <t>NOT FOUND — a screen calls it, but the words printed beside its answer could not be traced automatically. Needs reading.</t>
        </is>
      </c>
      <c r="M277" s="3" t="inlineStr">
        <is>
          <t>None found in this function — anything it assumes comes from the functions it depends on.</t>
        </is>
      </c>
      <c r="N277" s="3" t="inlineStr">
        <is>
          <t>Yes</t>
        </is>
      </c>
      <c r="O277" s="3" t="inlineStr">
        <is>
          <t>1. MK-NW-F-050 itemizeRemainder
2. MK-NW-F-049 itemizedTotal</t>
        </is>
      </c>
      <c r="P277" s="3" t="n">
        <v>2</v>
      </c>
      <c r="Q277" s="3" t="inlineStr">
        <is>
          <t>1. MK-NW-F-050 itemizeRemainder
2. MK-NW-F-049 itemizedTotal</t>
        </is>
      </c>
      <c r="R277" s="3" t="inlineStr">
        <is>
          <t>1. MK-NW-F-049 itemizedTotal → MK-NW-F-050 itemizeRemainder → MK-NW-F-051 itemizedResultTotal
2. MK-NW-F-049 itemizedTotal → MK-NW-F-051 itemizedResultTotal</t>
        </is>
      </c>
      <c r="S277" s="3" t="inlineStr">
        <is>
          <t>—</t>
        </is>
      </c>
      <c r="T277" s="3" t="inlineStr">
        <is>
          <t>—</t>
        </is>
      </c>
      <c r="U277" s="3" t="inlineStr">
        <is>
          <t>ACTIVE</t>
        </is>
      </c>
      <c r="V277" s="3" t="inlineStr">
        <is>
          <t>2026-09-09</t>
        </is>
      </c>
      <c r="W277" s="3" t="n"/>
      <c r="X277" s="3" t="n"/>
      <c r="Y277" s="3" t="inlineStr">
        <is>
          <t>NOTHING OPEN</t>
        </is>
      </c>
    </row>
    <row r="278" ht="60" customHeight="1">
      <c r="A278" s="3" t="inlineStr">
        <is>
          <t>MK-NW-F-052</t>
        </is>
      </c>
      <c r="B278" s="3" t="inlineStr">
        <is>
          <t>buildItemizedAccounts</t>
        </is>
      </c>
      <c r="C278" s="3" t="inlineStr">
        <is>
          <t>src/domain/assets/itemize.ts</t>
        </is>
      </c>
      <c r="D278" s="3" t="n">
        <v>146</v>
      </c>
      <c r="E278" s="3" t="inlineStr">
        <is>
          <t>2 · DISPLAYED</t>
        </is>
      </c>
      <c r="F278" s="3" t="inlineStr">
        <is>
          <t>Build the new accounts to CREATE when committing an itemization.</t>
        </is>
      </c>
      <c r="G278" s="11" t="inlineStr">
        <is>
          <t>institution = (lump.institution or lump.label or '').trim() (or undefined when missing or zero)
bucket = lump.tax bucket
the answer = acct
remainder = itemize remainder(lump.balance, items)</t>
        </is>
      </c>
      <c r="H278" s="3" t="inlineStr">
        <is>
          <t>Institution is (lump.institution or lump.label or '').trim() (or undefined — when missing or zero). Bucket is lump.tax bucket. The answer is acct. Remainder is itemize remainder(lump.balance, items).</t>
        </is>
      </c>
      <c r="I278" s="3" t="inlineStr">
        <is>
          <t>PARTLY READ — some of the code is still showing through; needs a hand pass</t>
        </is>
      </c>
      <c r="J278" s="3" t="inlineStr">
        <is>
          <t>Nothing is handed to it</t>
        </is>
      </c>
      <c r="K278" s="3" t="inlineStr">
        <is>
          <t>NOT DECLARED — the code does not say what it gives back</t>
        </is>
      </c>
      <c r="L278" s="3" t="inlineStr">
        <is>
          <t>NOT FOUND — a screen calls it, but the words printed beside its answer could not be traced automatically. Needs reading.</t>
        </is>
      </c>
      <c r="M278" s="3" t="inlineStr">
        <is>
          <t>1. If value is missing it counts as zero, so nothing recorded and a real zero look the same.
2. If coupon rate is missing it counts as zero, so nothing recorded and a real zero look the same.</t>
        </is>
      </c>
      <c r="N278" s="3" t="inlineStr">
        <is>
          <t>Yes</t>
        </is>
      </c>
      <c r="O278" s="3" t="inlineStr">
        <is>
          <t>1. MK-NW-F-050 itemizeRemainder
2. MK-CF-F-132 map</t>
        </is>
      </c>
      <c r="P278" s="3" t="n">
        <v>3</v>
      </c>
      <c r="Q278" s="3" t="inlineStr">
        <is>
          <t>1. MK-NW-F-050 itemizeRemainder
2. MK-CF-F-132 map
3. MK-NW-F-049 itemizedTotal</t>
        </is>
      </c>
      <c r="R278" s="3" t="inlineStr">
        <is>
          <t>1. MK-NW-F-049 itemizedTotal → MK-NW-F-050 itemizeRemainder → MK-NW-F-052 buildItemizedAccounts
2. MK-CF-F-132 map → MK-NW-F-052 buildItemizedAccounts</t>
        </is>
      </c>
      <c r="S278" s="3" t="inlineStr">
        <is>
          <t>—</t>
        </is>
      </c>
      <c r="T278" s="3" t="inlineStr">
        <is>
          <t>ITEMISE_AN_ACCOUNT</t>
        </is>
      </c>
      <c r="U278" s="3" t="inlineStr">
        <is>
          <t>ACTIVE</t>
        </is>
      </c>
      <c r="V278" s="3" t="inlineStr">
        <is>
          <t>2026-08-27</t>
        </is>
      </c>
      <c r="W278" s="3" t="n"/>
      <c r="X278" s="3" t="n"/>
      <c r="Y278" s="3" t="inlineStr">
        <is>
          <t>NOTHING OPEN</t>
        </is>
      </c>
    </row>
    <row r="279" ht="60" customHeight="1">
      <c r="A279" s="3" t="inlineStr">
        <is>
          <t>MK-NW-F-053</t>
        </is>
      </c>
      <c r="B279" s="3" t="inlineStr">
        <is>
          <t>correctClassOf</t>
        </is>
      </c>
      <c r="C279" s="3" t="inlineStr">
        <is>
          <t>src/domain/assets/reclassify.ts</t>
        </is>
      </c>
      <c r="D279" s="3" t="n">
        <v>45</v>
      </c>
      <c r="E279" s="3" t="inlineStr">
        <is>
          <t>3 · DEPENDENT</t>
        </is>
      </c>
      <c r="F279" s="3" t="inlineStr">
        <is>
          <t>The class an account SHOULD carry under the current rule.</t>
        </is>
      </c>
      <c r="G279" s="11" t="inlineStr">
        <is>
          <t>by label = income bearing class of(label)
by label   when by label
maturity class(maturity date)   when maturity date
'stocks_etf'   when kind = 'money_market'
'bonds'   when kind = 'cd'
the answer = nothing</t>
        </is>
      </c>
      <c r="H279" s="3" t="inlineStr">
        <is>
          <t>By label is income bearing class of(label). When by label, it answers by label. When maturity date, it answers maturity class(maturity date). When kind = 'money_market', it answers 'stocks_etf'. When kind = 'cd', it answers 'bonds'. The answer is no answer.</t>
        </is>
      </c>
      <c r="I279" s="3" t="inlineStr">
        <is>
          <t>READ FROM THE CODE — rendered from the expressions the function runs</t>
        </is>
      </c>
      <c r="J279" s="3" t="inlineStr">
        <is>
          <t>a: AssetAccount</t>
        </is>
      </c>
      <c r="K279" s="3" t="inlineStr">
        <is>
          <t>AssetClass | null</t>
        </is>
      </c>
      <c r="L279" s="3" t="inlineStr">
        <is>
          <t>—</t>
        </is>
      </c>
      <c r="M279" s="3" t="inlineStr">
        <is>
          <t>None found in this function — anything it assumes comes from the functions it depends on.</t>
        </is>
      </c>
      <c r="N279" s="3" t="inlineStr">
        <is>
          <t>Yes</t>
        </is>
      </c>
      <c r="O279" s="3" t="inlineStr">
        <is>
          <t>1. MK-NW-F-008 incomeBearingClassOf
2. MK-NW-F-009 maturityClass</t>
        </is>
      </c>
      <c r="P279" s="3" t="n">
        <v>11</v>
      </c>
      <c r="Q279" s="3" t="inlineStr">
        <is>
          <t>1. MK-NW-F-008 incomeBearingClassOf
2. MK-NW-F-009 maturityClass
3. MK-CF-F-155 cash
4. MK-ST-F-010 nameEvidence
5. MK-XS-F-122 n
6. MK-XS-F-147 call
7. MK-ST-F-056 has
8. MK-CF-F-132 map
9. MK-ST-F-027 accountId
10. MK-XS-F-064 currentIdToken
11. MK-XS-F-112 relayUrl</t>
        </is>
      </c>
      <c r="R279" s="3" t="inlineStr">
        <is>
          <t>1. MK-XS-F-122 n → MK-CF-F-155 cash → MK-NW-F-008 incomeBearingClassOf → MK-NW-F-053 correctClassOf
2. MK-ST-F-027 accountId → MK-XS-F-147 call → MK-ST-F-010 nameEvidence → MK-NW-F-008 incomeBearingClassOf → MK-NW-F-053 correctClassOf
3. MK-XS-F-064 currentIdToken → MK-XS-F-147 call → MK-ST-F-010 nameEvidence → MK-NW-F-008 incomeBearingClassOf → MK-NW-F-053 correctClassOf
4. MK-XS-F-112 relayUrl → MK-XS-F-147 call → MK-ST-F-010 nameEvidence → MK-NW-F-008 incomeBearingClassOf → MK-NW-F-053 correctClassOf
5. MK-ST-F-056 has → MK-ST-F-010 nameEvidence → MK-NW-F-008 incomeBearingClassOf → MK-NW-F-053 correctClassOf
6. MK-CF-F-132 map → MK-ST-F-010 nameEvidence → MK-NW-F-008 incomeBearingClassOf → MK-NW-F-053 correctClassOf
7. MK-NW-F-009 maturityClass → MK-NW-F-053 correctClassOf</t>
        </is>
      </c>
      <c r="S279" s="3" t="inlineStr">
        <is>
          <t>—</t>
        </is>
      </c>
      <c r="T279" s="3" t="inlineStr">
        <is>
          <t>—</t>
        </is>
      </c>
      <c r="U279" s="3" t="inlineStr">
        <is>
          <t>ACTIVE</t>
        </is>
      </c>
      <c r="V279" s="3" t="inlineStr">
        <is>
          <t>2026-09-12</t>
        </is>
      </c>
      <c r="W279" s="3" t="n"/>
      <c r="X279" s="3" t="n"/>
      <c r="Y279" s="3" t="inlineStr">
        <is>
          <t>NOTHING OPEN</t>
        </is>
      </c>
    </row>
    <row r="280" ht="60" customHeight="1">
      <c r="A280" s="3" t="inlineStr">
        <is>
          <t>MK-NW-F-054</t>
        </is>
      </c>
      <c r="B280" s="3" t="inlineStr">
        <is>
          <t>reclassifyAccounts</t>
        </is>
      </c>
      <c r="C280" s="3" t="inlineStr">
        <is>
          <t>src/domain/assets/reclassify.ts</t>
        </is>
      </c>
      <c r="D280" s="3" t="n">
        <v>92</v>
      </c>
      <c r="E280" s="3" t="inlineStr">
        <is>
          <t>3 · DEPENDENT</t>
        </is>
      </c>
      <c r="F280" s="3" t="inlineStr">
        <is>
          <t>Corrects the asset class of any account or holding filed under the wrong one, and counts how many it changed.</t>
        </is>
      </c>
      <c r="G280" s="11" t="inlineStr">
        <is>
          <t>changed = 0
want = correct class of(a)
next = a
ps = (next.positions ?? []) as any[]
the answer = p</t>
        </is>
      </c>
      <c r="H280" s="3" t="inlineStr">
        <is>
          <t>Changed is 0. Want is correct class of(a). Next is a. Ps is (next.positions ?? []) as any[]. The answer is p.</t>
        </is>
      </c>
      <c r="I280" s="3" t="inlineStr">
        <is>
          <t>PARTLY READ — some of the code is still showing through; needs a hand pass</t>
        </is>
      </c>
      <c r="J280" s="3" t="inlineStr">
        <is>
          <t>accounts: AssetAccount[]</t>
        </is>
      </c>
      <c r="K280" s="3" t="inlineStr">
        <is>
          <t>NOT DECLARED — the code does not say what it gives back</t>
        </is>
      </c>
      <c r="L280" s="3" t="inlineStr">
        <is>
          <t>—</t>
        </is>
      </c>
      <c r="M280" s="3" t="inlineStr">
        <is>
          <t>· Uses a built-in changed of 0.</t>
        </is>
      </c>
      <c r="N280" s="3" t="inlineStr">
        <is>
          <t>Yes</t>
        </is>
      </c>
      <c r="O280" s="3" t="inlineStr">
        <is>
          <t>1. MK-NW-F-053 correctClassOf
2. MK-NW-F-008 incomeBearingClassOf
3. MK-CF-F-132 map</t>
        </is>
      </c>
      <c r="P280" s="3" t="n">
        <v>12</v>
      </c>
      <c r="Q280" s="3" t="inlineStr">
        <is>
          <t>1. MK-NW-F-053 correctClassOf
2. MK-NW-F-008 incomeBearingClassOf
3. MK-CF-F-132 map
4. MK-NW-F-009 maturityClass
5. MK-CF-F-155 cash
6. MK-ST-F-010 nameEvidence
7. MK-XS-F-122 n
8. MK-XS-F-147 call
9. MK-ST-F-056 has
10. MK-ST-F-027 accountId
11. MK-XS-F-064 currentIdToken
12. MK-XS-F-112 relayUrl</t>
        </is>
      </c>
      <c r="R280" s="3" t="inlineStr">
        <is>
          <t>1. MK-XS-F-122 n → MK-CF-F-155 cash → MK-NW-F-008 incomeBearingClassOf → MK-NW-F-053 correctClassOf → MK-NW-F-054 reclassifyAccounts
2. MK-ST-F-027 accountId → MK-XS-F-147 call → MK-ST-F-010 nameEvidence → MK-NW-F-008 incomeBearingClassOf → MK-NW-F-053 correctClassOf → MK-NW-F-054 reclassifyAccounts
3. MK-XS-F-064 currentIdToken → MK-XS-F-147 call → MK-ST-F-010 nameEvidence → MK-NW-F-008 incomeBearingClassOf → MK-NW-F-053 correctClassOf → MK-NW-F-054 reclassifyAccounts
4. MK-XS-F-112 relayUrl → MK-XS-F-147 call → MK-ST-F-010 nameEvidence → MK-NW-F-008 incomeBearingClassOf → MK-NW-F-053 correctClassOf → MK-NW-F-054 reclassifyAccounts
5. MK-ST-F-056 has → MK-ST-F-010 nameEvidence → MK-NW-F-008 incomeBearingClassOf → MK-NW-F-053 correctClassOf → MK-NW-F-054 reclassifyAccounts
6. MK-CF-F-132 map → MK-ST-F-010 nameEvidence → MK-NW-F-008 incomeBearingClassOf → MK-NW-F-053 correctClassOf → MK-NW-F-054 reclassifyAccounts
7. MK-NW-F-009 maturityClass → MK-NW-F-053 correctClassOf → MK-NW-F-054 reclassifyAccounts
8. MK-XS-F-122 n → MK-CF-F-155 cash → MK-NW-F-008 incomeBearingClassOf → MK-NW-F-054 reclassifyAccounts
9. … and 5 more paths</t>
        </is>
      </c>
      <c r="S280" s="3" t="inlineStr">
        <is>
          <t>—</t>
        </is>
      </c>
      <c r="T280" s="3" t="inlineStr">
        <is>
          <t>—</t>
        </is>
      </c>
      <c r="U280" s="3" t="inlineStr">
        <is>
          <t>ACTIVE</t>
        </is>
      </c>
      <c r="V280" s="3" t="inlineStr">
        <is>
          <t>2026-09-12</t>
        </is>
      </c>
      <c r="W280" s="3" t="n"/>
      <c r="X280" s="3" t="n"/>
      <c r="Y280" s="3" t="inlineStr">
        <is>
          <t>NOTHING OPEN</t>
        </is>
      </c>
    </row>
    <row r="281" ht="60" customHeight="1">
      <c r="A281" s="3" t="inlineStr">
        <is>
          <t>MK-NW-F-055</t>
        </is>
      </c>
      <c r="B281" s="3" t="inlineStr">
        <is>
          <t>isBond</t>
        </is>
      </c>
      <c r="C281" s="3" t="inlineStr">
        <is>
          <t>src/domain/bonds/index.ts</t>
        </is>
      </c>
      <c r="D281" s="3" t="n">
        <v>39</v>
      </c>
      <c r="E281" s="3" t="inlineStr">
        <is>
          <t>2 · DISPLAYED</t>
        </is>
      </c>
      <c r="F281" s="3" t="inlineStr">
        <is>
          <t>An AssetAccount is a bond if its ASSET CLASS is bonds (spec §2: "detected by assetClass, NOT maturity date").</t>
        </is>
      </c>
      <c r="G281" s="11" t="inlineStr">
        <is>
          <t>asset class of(a) = 'bonds'</t>
        </is>
      </c>
      <c r="H281" s="3" t="inlineStr">
        <is>
          <t>asset class of(a) = 'bonds'.</t>
        </is>
      </c>
      <c r="I281" s="3" t="inlineStr">
        <is>
          <t>READ FROM THE CODE — rendered from the expressions the function runs</t>
        </is>
      </c>
      <c r="J281" s="3" t="inlineStr">
        <is>
          <t>a: AssetAccount</t>
        </is>
      </c>
      <c r="K281" s="3" t="inlineStr">
        <is>
          <t>boolean</t>
        </is>
      </c>
      <c r="L281" s="3" t="inlineStr">
        <is>
          <t>NOT FOUND — a screen calls it, but the words printed beside its answer could not be traced automatically. Needs reading.</t>
        </is>
      </c>
      <c r="M281" s="3" t="inlineStr">
        <is>
          <t>None found in this function — anything it assumes comes from the functions it depends on.</t>
        </is>
      </c>
      <c r="N281" s="3" t="inlineStr">
        <is>
          <t>Yes</t>
        </is>
      </c>
      <c r="O281" s="3" t="inlineStr">
        <is>
          <t>MK-NW-F-011 assetClassOf</t>
        </is>
      </c>
      <c r="P281" s="3" t="n">
        <v>11</v>
      </c>
      <c r="Q281" s="3" t="inlineStr">
        <is>
          <t>1. MK-NW-F-011 assetClassOf
2. MK-NW-F-008 incomeBearingClassOf
3. MK-CF-F-155 cash
4. MK-ST-F-010 nameEvidence
5. MK-XS-F-122 n
6. MK-XS-F-147 call
7. MK-ST-F-056 has
8. MK-CF-F-132 map
9. MK-ST-F-027 accountId
10. MK-XS-F-064 currentIdToken
11. MK-XS-F-112 relayUrl</t>
        </is>
      </c>
      <c r="R281" s="3" t="inlineStr">
        <is>
          <t>1. MK-XS-F-122 n → MK-CF-F-155 cash → MK-NW-F-008 incomeBearingClassOf → MK-NW-F-011 assetClassOf → MK-NW-F-055 isBond
2. MK-ST-F-027 accountId → MK-XS-F-147 call → MK-ST-F-010 nameEvidence → MK-NW-F-008 incomeBearingClassOf → MK-NW-F-011 assetClassOf → MK-NW-F-055 isBond
3. MK-XS-F-064 currentIdToken → MK-XS-F-147 call → MK-ST-F-010 nameEvidence → MK-NW-F-008 incomeBearingClassOf → MK-NW-F-011 assetClassOf → MK-NW-F-055 isBond
4. MK-XS-F-112 relayUrl → MK-XS-F-147 call → MK-ST-F-010 nameEvidence → MK-NW-F-008 incomeBearingClassOf → MK-NW-F-011 assetClassOf → MK-NW-F-055 isBond
5. MK-ST-F-056 has → MK-ST-F-010 nameEvidence → MK-NW-F-008 incomeBearingClassOf → MK-NW-F-011 assetClassOf → MK-NW-F-055 isBond
6. MK-CF-F-132 map → MK-ST-F-010 nameEvidence → MK-NW-F-008 incomeBearingClassOf → MK-NW-F-011 assetClassOf → MK-NW-F-055 isBond</t>
        </is>
      </c>
      <c r="S281" s="3" t="inlineStr">
        <is>
          <t>—</t>
        </is>
      </c>
      <c r="T281" s="3" t="inlineStr">
        <is>
          <t>IS_BOND</t>
        </is>
      </c>
      <c r="U281" s="3" t="inlineStr">
        <is>
          <t>ACTIVE</t>
        </is>
      </c>
      <c r="V281" s="3" t="inlineStr">
        <is>
          <t>2026-08-27</t>
        </is>
      </c>
      <c r="W281" s="3" t="n"/>
      <c r="X281" s="3" t="n"/>
      <c r="Y281" s="3" t="inlineStr">
        <is>
          <t>NOTHING OPEN</t>
        </is>
      </c>
    </row>
    <row r="282" ht="60" customHeight="1">
      <c r="A282" s="3" t="inlineStr">
        <is>
          <t>MK-NW-F-056</t>
        </is>
      </c>
      <c r="B282" s="3" t="inlineStr">
        <is>
          <t>bondInfo</t>
        </is>
      </c>
      <c r="C282" s="3" t="inlineStr">
        <is>
          <t>src/domain/bonds/index.ts</t>
        </is>
      </c>
      <c r="D282" s="3" t="n">
        <v>85</v>
      </c>
      <c r="E282" s="3" t="inlineStr">
        <is>
          <t>3 · DEPENDENT</t>
        </is>
      </c>
      <c r="F282" s="3" t="inlineStr">
        <is>
          <t>What are this holding's bond facts?</t>
        </is>
      </c>
      <c r="G282" s="11" t="inlineStr">
        <is>
          <t>face = face value or 0
coupon rate = coupon rate or 0
maturity = maturity date or ''
value = balance or 0
accrued interest = the entered figure, or nothing when not entered</t>
        </is>
      </c>
      <c r="H282" s="3" t="inlineStr">
        <is>
          <t>Reads the bond's facts off the account record — face value, coupon rate, maturity date, the value as entered, and the accrued interest when the person entered it (MK-XS-I-065). No arithmetic.</t>
        </is>
      </c>
      <c r="I282" s="3" t="inlineStr">
        <is>
          <t>READ BY HAND 2026-08-26 — checked line by line against the code</t>
        </is>
      </c>
      <c r="J282" s="3" t="inlineStr">
        <is>
          <t>a: AssetAccount</t>
        </is>
      </c>
      <c r="K282" s="3" t="inlineStr">
        <is>
          <t>BondInfo</t>
        </is>
      </c>
      <c r="L282" s="3" t="inlineStr">
        <is>
          <t>—</t>
        </is>
      </c>
      <c r="M282" s="3" t="inlineStr">
        <is>
          <t>1. If face value is missing it counts as zero, so nothing recorded and a real zero look the same.
2. If coupon rate is missing it counts as zero, so nothing recorded and a real zero look the same.
3. If balance is missing it counts as zero, so nothing recorded and a real zero look the same.</t>
        </is>
      </c>
      <c r="N282" s="3" t="inlineStr">
        <is>
          <t>Yes</t>
        </is>
      </c>
      <c r="O282" s="3" t="inlineStr">
        <is>
          <t>MK-CF-F-155 cash</t>
        </is>
      </c>
      <c r="P282" s="3" t="n">
        <v>2</v>
      </c>
      <c r="Q282" s="3" t="inlineStr">
        <is>
          <t>1. MK-CF-F-155 cash
2. MK-XS-F-122 n</t>
        </is>
      </c>
      <c r="R282" s="3" t="inlineStr">
        <is>
          <t>MK-XS-F-122 n → MK-CF-F-155 cash → MK-NW-F-056 bondInfo</t>
        </is>
      </c>
      <c r="S282" s="3" t="inlineStr">
        <is>
          <t>—</t>
        </is>
      </c>
      <c r="T282" s="3" t="inlineStr">
        <is>
          <t>BOND_FACTS</t>
        </is>
      </c>
      <c r="U282" s="3" t="inlineStr">
        <is>
          <t>ACTIVE</t>
        </is>
      </c>
      <c r="V282" s="3" t="inlineStr">
        <is>
          <t>2026-09-27</t>
        </is>
      </c>
      <c r="W282" s="3" t="inlineStr">
        <is>
          <t>[from MK-NW-M-041 / M-042 / M-045] bond display rule (nine facts; value current → cost → face; else 'need more information'); why compute yield when the coupon rate is an input?</t>
        </is>
      </c>
      <c r="X282" s="6" t="inlineStr">
        <is>
          <t>This function only READS the four stored bond facts (face, coupon rate, maturity, value) and turns a missing one into 0 — those are the three 'counts as zero' lines he commented on. It computes no yield; the note in the file is wrong. After the bond design change (brief Q-38 (2026-08-20)) it refuses instead of zeroing and carries the five new fields.</t>
        </is>
      </c>
      <c r="Y282" s="6" t="inlineStr">
        <is>
          <t>WAITING ON YOU — answer to read</t>
        </is>
      </c>
    </row>
    <row r="283" ht="60" customHeight="1">
      <c r="A283" s="3" t="inlineStr">
        <is>
          <t>MK-NW-F-057</t>
        </is>
      </c>
      <c r="B283" s="3" t="inlineStr">
        <is>
          <t>annualCoupon</t>
        </is>
      </c>
      <c r="C283" s="3" t="inlineStr">
        <is>
          <t>src/domain/bonds/index.ts</t>
        </is>
      </c>
      <c r="D283" s="3" t="n">
        <v>124</v>
      </c>
      <c r="E283" s="3" t="inlineStr">
        <is>
          <t>3 · DEPENDENT</t>
        </is>
      </c>
      <c r="F283" s="3" t="inlineStr">
        <is>
          <t>Annual coupon income = face value × coupon rate (paid as cash).</t>
        </is>
      </c>
      <c r="G283" s="11" t="inlineStr">
        <is>
          <t>annual coupon = face value × coupon rate</t>
        </is>
      </c>
      <c r="H283" s="3" t="inlineStr">
        <is>
          <t>What the bond pays in interest over a year: its face value times its stated rate. Paid semi-annually in practice; this figure is the yearly total.</t>
        </is>
      </c>
      <c r="I283" s="3" t="inlineStr">
        <is>
          <t>READ BY HAND 2026-08-26 — checked line by line against the code</t>
        </is>
      </c>
      <c r="J283" s="3" t="inlineStr">
        <is>
          <t>b: BondInfo</t>
        </is>
      </c>
      <c r="K283" s="3" t="inlineStr">
        <is>
          <t>number</t>
        </is>
      </c>
      <c r="L283" s="3" t="inlineStr">
        <is>
          <t>—</t>
        </is>
      </c>
      <c r="M283" s="3" t="inlineStr">
        <is>
          <t>None found in this function — anything it assumes comes from the functions it depends on.</t>
        </is>
      </c>
      <c r="N283" s="3" t="inlineStr">
        <is>
          <t>Yes</t>
        </is>
      </c>
      <c r="O283" s="3" t="inlineStr">
        <is>
          <t>—</t>
        </is>
      </c>
      <c r="P283" s="3" t="n">
        <v>0</v>
      </c>
      <c r="Q283" s="3" t="inlineStr">
        <is>
          <t>None — no dependent function stands behind it</t>
        </is>
      </c>
      <c r="R283" s="3" t="inlineStr">
        <is>
          <t>No dependent function — it reads its inputs and answers</t>
        </is>
      </c>
      <c r="S283" s="3" t="inlineStr">
        <is>
          <t>—</t>
        </is>
      </c>
      <c r="T283" s="3" t="inlineStr">
        <is>
          <t>BOND_COUPON</t>
        </is>
      </c>
      <c r="U283" s="3" t="inlineStr">
        <is>
          <t>ACTIVE</t>
        </is>
      </c>
      <c r="V283" s="3" t="inlineStr">
        <is>
          <t>2026-09-27</t>
        </is>
      </c>
      <c r="W283" s="3" t="inlineStr">
        <is>
          <t>[from MK-NW-M-043] a matured bond must not earn a coupon; one label ('Calculated annual interest') instead of COUPON / YR and Interest payments; maturity date as an input.</t>
        </is>
      </c>
      <c r="X283" s="6" t="inlineStr">
        <is>
          <t>JJ-3: face × rate with no look at maturity — wrong for any matured bond, and inherited by F-061 and F-063. Fix: takes the maturity date and today; 0 once matured; adds MK-XS-I-013 to its inputs. Label: Q40; matured display: Q39.</t>
        </is>
      </c>
      <c r="Y283" s="6" t="inlineStr">
        <is>
          <t>WAITING ON YOU — answer to read</t>
        </is>
      </c>
    </row>
    <row r="284" ht="60" customHeight="1">
      <c r="A284" s="3" t="inlineStr">
        <is>
          <t>MK-NW-F-058</t>
        </is>
      </c>
      <c r="B284" s="3" t="inlineStr">
        <is>
          <t>yearsToMaturity</t>
        </is>
      </c>
      <c r="C284" s="3" t="inlineStr">
        <is>
          <t>src/domain/bonds/index.ts</t>
        </is>
      </c>
      <c r="D284" s="3" t="n">
        <v>160</v>
      </c>
      <c r="E284" s="3" t="inlineStr">
        <is>
          <t>3 · DEPENDENT</t>
        </is>
      </c>
      <c r="F284" s="3" t="inlineStr">
        <is>
          <t>How long until this bond pays back?</t>
        </is>
      </c>
      <c r="G284" s="11" t="inlineStr">
        <is>
          <t>years to maturity = max(0, (maturity date − today) ÷ 365.25 days)</t>
        </is>
      </c>
      <c r="H284" s="3" t="inlineStr">
        <is>
          <t>How long until the bond repays, as a fraction of a year, never negative. Uses 365.25 days — the master file says 365, which is finding A31.</t>
        </is>
      </c>
      <c r="I284" s="3" t="inlineStr">
        <is>
          <t>READ BY HAND 2026-08-26 — checked line by line against the code</t>
        </is>
      </c>
      <c r="J284" s="3" t="inlineStr">
        <is>
          <t>1. maturity: string
2. now: Date = new Date()</t>
        </is>
      </c>
      <c r="K284" s="3" t="inlineStr">
        <is>
          <t>number | null</t>
        </is>
      </c>
      <c r="L284" s="3" t="inlineStr">
        <is>
          <t>—</t>
        </is>
      </c>
      <c r="M284" s="3" t="inlineStr">
        <is>
          <t>1. Uses today's date from the device clock, so the answer changes by itself overnight.
2. No maturity date, or an unreadable one, gives NO answer — not zero and not "due now" (G11, founder 2026-09-12); the yield to maturity and the rate sensitivity then refuse too.</t>
        </is>
      </c>
      <c r="N284" s="3" t="inlineStr">
        <is>
          <t>Yes</t>
        </is>
      </c>
      <c r="O284" s="3" t="inlineStr">
        <is>
          <t>—</t>
        </is>
      </c>
      <c r="P284" s="3" t="n">
        <v>0</v>
      </c>
      <c r="Q284" s="3" t="inlineStr">
        <is>
          <t>None — no dependent function stands behind it</t>
        </is>
      </c>
      <c r="R284" s="3" t="inlineStr">
        <is>
          <t>No dependent function — it reads its inputs and answers</t>
        </is>
      </c>
      <c r="S284" s="3" t="inlineStr">
        <is>
          <t>—</t>
        </is>
      </c>
      <c r="T284" s="3" t="inlineStr">
        <is>
          <t>BOND_YEARS_LEFT</t>
        </is>
      </c>
      <c r="U284" s="3" t="inlineStr">
        <is>
          <t>ACTIVE</t>
        </is>
      </c>
      <c r="V284" s="3" t="inlineStr">
        <is>
          <t>2026-09-27</t>
        </is>
      </c>
      <c r="W284" s="3" t="n"/>
      <c r="X284" s="3" t="n"/>
      <c r="Y284" s="6" t="inlineStr">
        <is>
          <t>TESTED, NOT VERIFIED (G11)</t>
        </is>
      </c>
    </row>
    <row r="285" ht="60" customHeight="1">
      <c r="A285" s="3" t="inlineStr">
        <is>
          <t>MK-NW-F-059</t>
        </is>
      </c>
      <c r="B285" s="3" t="inlineStr">
        <is>
          <t>currentYield</t>
        </is>
      </c>
      <c r="C285" s="3" t="inlineStr">
        <is>
          <t>src/domain/bonds/index.ts</t>
        </is>
      </c>
      <c r="D285" s="3" t="n">
        <v>199</v>
      </c>
      <c r="E285" s="3" t="inlineStr">
        <is>
          <t>3 · DEPENDENT</t>
        </is>
      </c>
      <c r="F285" s="3" t="inlineStr">
        <is>
          <t>Current yield = annual coupon ÷ current price/value.</t>
        </is>
      </c>
      <c r="G285" s="11" t="inlineStr">
        <is>
          <t>current yield = annual coupon ÷ current value</t>
        </is>
      </c>
      <c r="H285" s="3" t="inlineStr">
        <is>
          <t>The interest a year as a share of what the bond is worth now. If the recorded value is a dirty price it carries accrued interest, and the yield reads low — the file does not say which it is.</t>
        </is>
      </c>
      <c r="I285" s="3" t="inlineStr">
        <is>
          <t>READ BY HAND 2026-08-26 — checked line by line against the code</t>
        </is>
      </c>
      <c r="J285" s="3" t="inlineStr">
        <is>
          <t>b: BondInfo</t>
        </is>
      </c>
      <c r="K285" s="3" t="inlineStr">
        <is>
          <t>number | null</t>
        </is>
      </c>
      <c r="L285" s="3" t="inlineStr">
        <is>
          <t>—</t>
        </is>
      </c>
      <c r="M285" s="3" t="inlineStr">
        <is>
          <t>· If accrued interest is missing it uses 0.</t>
        </is>
      </c>
      <c r="N285" s="3" t="inlineStr">
        <is>
          <t>Yes</t>
        </is>
      </c>
      <c r="O285" s="3" t="inlineStr">
        <is>
          <t>MK-NW-F-057 annualCoupon</t>
        </is>
      </c>
      <c r="P285" s="3" t="n">
        <v>1</v>
      </c>
      <c r="Q285" s="3" t="inlineStr">
        <is>
          <t>MK-NW-F-057 annualCoupon</t>
        </is>
      </c>
      <c r="R285" s="3" t="inlineStr">
        <is>
          <t>MK-NW-F-057 annualCoupon → MK-NW-F-059 currentYield</t>
        </is>
      </c>
      <c r="S285" s="3" t="inlineStr">
        <is>
          <t>—</t>
        </is>
      </c>
      <c r="T285" s="3" t="inlineStr">
        <is>
          <t>BOND_CURRENT_YIELD</t>
        </is>
      </c>
      <c r="U285" s="3" t="inlineStr">
        <is>
          <t>ACTIVE</t>
        </is>
      </c>
      <c r="V285" s="3" t="inlineStr">
        <is>
          <t>2026-09-27</t>
        </is>
      </c>
      <c r="W285" s="3" t="inlineStr">
        <is>
          <t>[from MK-NW-M-044, typed A47; and K45] subtract accrued interest when recorded, caveat when not; yield always two decimals.</t>
        </is>
      </c>
      <c r="X285" s="6" t="inlineStr">
        <is>
          <t>coupon ÷ value, no accrued-interest term (no field exists yet — after brief Q-38 (2026-08-20)). Two decimals: already on the Bonds screen; account detail's two yield rows still one decimal — fix there. Caveat wording: Q45.</t>
        </is>
      </c>
      <c r="Y285" s="6" t="inlineStr">
        <is>
          <t>WAITING ON YOU — answer to read · TESTED, NOT VERIFIED (A47)</t>
        </is>
      </c>
    </row>
    <row r="286" ht="60" customHeight="1">
      <c r="A286" s="3" t="inlineStr">
        <is>
          <t>MK-NW-F-060</t>
        </is>
      </c>
      <c r="B286" s="3" t="inlineStr">
        <is>
          <t>approxYTM</t>
        </is>
      </c>
      <c r="C286" s="3" t="inlineStr">
        <is>
          <t>src/domain/bonds/index.ts</t>
        </is>
      </c>
      <c r="D286" s="3" t="n">
        <v>276</v>
      </c>
      <c r="E286" s="3" t="inlineStr">
        <is>
          <t>3 · DEPENDENT</t>
        </is>
      </c>
      <c r="F286" s="3" t="inlineStr">
        <is>
          <t>Approximate yield to maturity (standard approximation), decimal.</t>
        </is>
      </c>
      <c r="G286" s="11" t="inlineStr">
        <is>
          <t>yield to maturity ≈ round( (annual coupon + (face − value) ÷ years left)
                           ÷ ((face + value) ÷ 2), 4 dp )</t>
        </is>
      </c>
      <c r="H286" s="3" t="inlineStr">
        <is>
          <t>The STRAIGHT-LINE APPROXIMATION, not the real yield. The gain or loss to maturity is spread evenly over the years left and taken against the average of face and price. The true yield is the rate that discounts every coupon and the face value back to the price — 4 to 27 basis points away from this, widening with the discount and the maturity. Finding A30.</t>
        </is>
      </c>
      <c r="I286" s="3" t="inlineStr">
        <is>
          <t>READ BY HAND 2026-08-26 — checked line by line against the code</t>
        </is>
      </c>
      <c r="J286" s="3" t="inlineStr">
        <is>
          <t>1. b: BondInfo
2. now: Date = new Date()</t>
        </is>
      </c>
      <c r="K286" s="3" t="inlineStr">
        <is>
          <t>number | null</t>
        </is>
      </c>
      <c r="L286" s="3" t="inlineStr">
        <is>
          <t>—</t>
        </is>
      </c>
      <c r="M286" s="3" t="inlineStr">
        <is>
          <t>1. Uses today's date from the device clock, so the answer changes by itself overnight.
2. 'value' is the bond's current value as entered (the balance) — the SAME total basis as face, not a price per $100 (founder question G20, 2026-09-08).</t>
        </is>
      </c>
      <c r="N286" s="3" t="inlineStr">
        <is>
          <t>Yes</t>
        </is>
      </c>
      <c r="O286" s="3" t="inlineStr">
        <is>
          <t>1. MK-NW-F-057 annualCoupon
2. MK-XS-F-122 n
3. MK-NW-F-058 yearsToMaturity</t>
        </is>
      </c>
      <c r="P286" s="3" t="n">
        <v>3</v>
      </c>
      <c r="Q286" s="3" t="inlineStr">
        <is>
          <t>1. MK-NW-F-057 annualCoupon
2. MK-XS-F-122 n
3. MK-NW-F-058 yearsToMaturity</t>
        </is>
      </c>
      <c r="R286" s="3" t="inlineStr">
        <is>
          <t>1. MK-NW-F-057 annualCoupon → MK-NW-F-060 approxYTM
2. MK-XS-F-122 n → MK-NW-F-060 approxYTM
3. MK-NW-F-058 yearsToMaturity → MK-NW-F-060 approxYTM</t>
        </is>
      </c>
      <c r="S286" s="3" t="inlineStr">
        <is>
          <t>—</t>
        </is>
      </c>
      <c r="T286" s="3" t="inlineStr">
        <is>
          <t>BOND_YIELD_TO_MATURITY</t>
        </is>
      </c>
      <c r="U286" s="3" t="inlineStr">
        <is>
          <t>ACTIVE</t>
        </is>
      </c>
      <c r="V286" s="3" t="inlineStr">
        <is>
          <t>2026-09-27</t>
        </is>
      </c>
      <c r="W286" s="3" t="inlineStr">
        <is>
          <t>[from MK-NW-M-041, Formula (in words)] why compute yield when the coupon rate is an input?</t>
        </is>
      </c>
      <c r="X286" s="6" t="inlineStr">
        <is>
          <t>Yield to maturity is derived from coupon, face, value and years left — it cannot be an input. Coupon RATE stays an input (MK-XS-I-012). Two decimals on the account-detail row still owed (K45).</t>
        </is>
      </c>
      <c r="Y286" s="6" t="inlineStr">
        <is>
          <t>WAITING ON YOU — answer to read · TESTED, NOT VERIFIED (G11, G20)</t>
        </is>
      </c>
    </row>
    <row r="287" ht="60" customHeight="1">
      <c r="A287" s="3" t="inlineStr">
        <is>
          <t>MK-NW-F-061</t>
        </is>
      </c>
      <c r="B287" s="3" t="inlineStr">
        <is>
          <t>bondSummary</t>
        </is>
      </c>
      <c r="C287" s="3" t="inlineStr">
        <is>
          <t>src/domain/bonds/index.ts</t>
        </is>
      </c>
      <c r="D287" s="3" t="n">
        <v>333</v>
      </c>
      <c r="E287" s="3" t="inlineStr">
        <is>
          <t>3 · DEPENDENT</t>
        </is>
      </c>
      <c r="F287" s="3" t="inlineStr">
        <is>
          <t>Adds up every bond and CD held: how many there are, what they are worth, their face value, the interest they pay in a year, their average yield and the next one to mature.</t>
        </is>
      </c>
      <c r="G287" s="11" t="inlineStr">
        <is>
          <t>list = bonds (or none when missing)
total value = Σ over list of (value)
total face = Σ over list of (face)
coupon = Σ over list of (annual coupon(each))
avg yield = coupon ÷ total value   if total value &gt; 0
nothing   otherwise
future = for each of list: maturity where boolean where the date each).get time() ≥ now.get time(, in order
the answer:
count = count of list
total value = total value
total face = total face
annual coupon = coupon
avg yield = avg yield
next maturity = the first of future (or nothing when missing)</t>
        </is>
      </c>
      <c r="H287" s="3" t="inlineStr">
        <is>
          <t>List is bonds (or none — when missing). Total value: the value added up across list. Total face: the face added up across list. Coupon: the annual coupon(each) added up across list. Avg yield is coupon divided by total value — when total value &gt; 0; no answer — otherwise. Future is for each of list: maturity where boolean where the date each).get time() is at least now.get time(, in order. The answer is count = how many list there are; total value = total value; total face = total face; annual coupon = coupon; avg yield = avg yield; next maturity = the first of future (or no answer — when missing).</t>
        </is>
      </c>
      <c r="I287" s="3" t="inlineStr">
        <is>
          <t>PARTLY READ — some of the code is still showing through; needs a hand pass</t>
        </is>
      </c>
      <c r="J287" s="3" t="inlineStr">
        <is>
          <t>1. bonds: BondInfo[]
2. now: Date = new Date()</t>
        </is>
      </c>
      <c r="K287" s="3" t="inlineStr">
        <is>
          <t>BondSummary</t>
        </is>
      </c>
      <c r="L287" s="3" t="inlineStr">
        <is>
          <t>—</t>
        </is>
      </c>
      <c r="M287" s="3" t="inlineStr">
        <is>
          <t>· Uses today's date from the device clock, so the answer changes by itself overnight.</t>
        </is>
      </c>
      <c r="N287" s="3" t="inlineStr">
        <is>
          <t>Yes</t>
        </is>
      </c>
      <c r="O287" s="3" t="inlineStr">
        <is>
          <t>1. MK-NW-F-057 annualCoupon
2. MK-CF-F-132 map</t>
        </is>
      </c>
      <c r="P287" s="3" t="n">
        <v>2</v>
      </c>
      <c r="Q287" s="3" t="inlineStr">
        <is>
          <t>1. MK-NW-F-057 annualCoupon
2. MK-CF-F-132 map</t>
        </is>
      </c>
      <c r="R287" s="3" t="inlineStr">
        <is>
          <t>1. MK-NW-F-057 annualCoupon → MK-NW-F-061 bondSummary
2. MK-CF-F-132 map → MK-NW-F-061 bondSummary</t>
        </is>
      </c>
      <c r="S287" s="3" t="inlineStr">
        <is>
          <t>—</t>
        </is>
      </c>
      <c r="T287" s="3" t="inlineStr">
        <is>
          <t>—</t>
        </is>
      </c>
      <c r="U287" s="3" t="inlineStr">
        <is>
          <t>ACTIVE</t>
        </is>
      </c>
      <c r="V287" s="3" t="inlineStr">
        <is>
          <t>2026-09-27</t>
        </is>
      </c>
      <c r="W287" s="3" t="inlineStr">
        <is>
          <t>[from MK-NW-M-041 / M-042 / M-043] total value = sum of what? inputs should be face value; matured bonds and the coupon total.</t>
        </is>
      </c>
      <c r="X287" s="6" t="inlineStr">
        <is>
          <t>totalValue = Σ each bond's entered value (the balance); totalFace = Σ face (MK-XS-I-011); count = number of bond records; the coupon total inherits JJ-3 (matured bonds still counted). This is the real producer of MK-NW-M-041 and M-042 — both rows should name it.</t>
        </is>
      </c>
      <c r="Y287" s="6" t="inlineStr">
        <is>
          <t>WAITING ON YOU — answer to read</t>
        </is>
      </c>
    </row>
    <row r="288" ht="60" customHeight="1">
      <c r="A288" s="3" t="inlineStr">
        <is>
          <t>MK-NW-F-062</t>
        </is>
      </c>
      <c r="B288" s="3" t="inlineStr">
        <is>
          <t>couponIncomeAnnual</t>
        </is>
      </c>
      <c r="C288" s="3" t="inlineStr">
        <is>
          <t>src/domain/bonds/index.ts</t>
        </is>
      </c>
      <c r="D288" s="3" t="n">
        <v>358</v>
      </c>
      <c r="E288" s="3" t="inlineStr">
        <is>
          <t>3 · DEPENDENT (feeds an action only)</t>
        </is>
      </c>
      <c r="F288" s="3" t="inlineStr">
        <is>
          <t>Total annual coupon income across the user's INDIVIDUAL bonds (kept for the Bonds screen summary).</t>
        </is>
      </c>
      <c r="G288" s="11" t="inlineStr">
        <is>
          <t>Σ over accounts (or none when missing) where is bond of (annual coupon(bond info(each)))</t>
        </is>
      </c>
      <c r="H288" s="3" t="inlineStr">
        <is>
          <t>the annual coupon(bond info(each)) added up across accounts (or none — when missing) where is bond.</t>
        </is>
      </c>
      <c r="I288" s="3" t="inlineStr">
        <is>
          <t>READ FROM THE CODE — rendered from the expressions the function runs</t>
        </is>
      </c>
      <c r="J288" s="3" t="inlineStr">
        <is>
          <t>accounts: AssetAccount[]</t>
        </is>
      </c>
      <c r="K288" s="3" t="inlineStr">
        <is>
          <t>number</t>
        </is>
      </c>
      <c r="L288" s="3" t="inlineStr">
        <is>
          <t>—</t>
        </is>
      </c>
      <c r="M288" s="3" t="inlineStr">
        <is>
          <t>None found in this function — anything it assumes comes from the functions it depends on.</t>
        </is>
      </c>
      <c r="N288" s="3" t="inlineStr">
        <is>
          <t>No</t>
        </is>
      </c>
      <c r="O288" s="3" t="inlineStr">
        <is>
          <t>1. MK-NW-F-057 annualCoupon
2. MK-NW-F-056 bondInfo
3. MK-NW-F-055 isBond</t>
        </is>
      </c>
      <c r="P288" s="3" t="n">
        <v>14</v>
      </c>
      <c r="Q288" s="3" t="inlineStr">
        <is>
          <t>1. MK-NW-F-057 annualCoupon
2. MK-NW-F-056 bondInfo
3. MK-NW-F-055 isBond
4. MK-CF-F-155 cash
5. MK-NW-F-011 assetClassOf
6. MK-XS-F-122 n
7. MK-NW-F-008 incomeBearingClassOf
8. MK-ST-F-010 nameEvidence
9. MK-XS-F-147 call
10. MK-ST-F-056 has
11. MK-CF-F-132 map
12. MK-ST-F-027 accountId
13. MK-XS-F-064 currentIdToken
14. MK-XS-F-112 relayUrl</t>
        </is>
      </c>
      <c r="R288" s="3" t="inlineStr">
        <is>
          <t>1. MK-NW-F-057 annualCoupon → MK-NW-F-062 couponIncomeAnnual
2. MK-XS-F-122 n → MK-CF-F-155 cash → MK-NW-F-056 bondInfo → MK-NW-F-062 couponIncomeAnnual
3. MK-XS-F-122 n → MK-CF-F-155 cash → MK-NW-F-008 incomeBearingClassOf → MK-NW-F-011 assetClassOf → MK-NW-F-055 isBond → MK-NW-F-062 couponIncomeAnnual
4. MK-XS-F-147 call → MK-ST-F-010 nameEvidence → MK-NW-F-008 incomeBearingClassOf → MK-NW-F-011 assetClassOf → MK-NW-F-055 isBond → MK-NW-F-062 couponIncomeAnnual
5. MK-ST-F-056 has → MK-ST-F-010 nameEvidence → MK-NW-F-008 incomeBearingClassOf → MK-NW-F-011 assetClassOf → MK-NW-F-055 isBond → MK-NW-F-062 couponIncomeAnnual
6. MK-CF-F-132 map → MK-ST-F-010 nameEvidence → MK-NW-F-008 incomeBearingClassOf → MK-NW-F-011 assetClassOf → MK-NW-F-055 isBond → MK-NW-F-062 couponIncomeAnnual</t>
        </is>
      </c>
      <c r="S288" s="3" t="inlineStr">
        <is>
          <t>—</t>
        </is>
      </c>
      <c r="T288" s="3" t="inlineStr">
        <is>
          <t>—</t>
        </is>
      </c>
      <c r="U288" s="3" t="inlineStr">
        <is>
          <t>ACTIVE</t>
        </is>
      </c>
      <c r="V288" s="3" t="inlineStr">
        <is>
          <t>2026-09-09</t>
        </is>
      </c>
      <c r="W288" s="3" t="n"/>
      <c r="X288" s="3" t="n"/>
      <c r="Y288" s="3" t="inlineStr">
        <is>
          <t>NOTHING OPEN</t>
        </is>
      </c>
    </row>
    <row r="289" ht="60" customHeight="1">
      <c r="A289" s="3" t="inlineStr">
        <is>
          <t>MK-NW-F-063</t>
        </is>
      </c>
      <c r="B289" s="3" t="inlineStr">
        <is>
          <t>interestIncomeAnnual</t>
        </is>
      </c>
      <c r="C289" s="3" t="inlineStr">
        <is>
          <t>src/domain/bonds/index.ts</t>
        </is>
      </c>
      <c r="D289" s="3" t="n">
        <v>395</v>
      </c>
      <c r="E289" s="3" t="inlineStr">
        <is>
          <t>3 · DEPENDENT (feeds an action only)</t>
        </is>
      </c>
      <c r="F289" s="3" t="inlineStr">
        <is>
          <t>The interest every bond, CD and rate-paying cash account pays in a year, added up, counting nothing for a holding that states no rate.</t>
        </is>
      </c>
      <c r="G289" s="11" t="inlineStr">
        <is>
          <t>cls = asset class of(a)
coupon = (coupon rate or 0) × (face value or 0)
t + coupon   when coupon &gt; 0
t + (balance or 0) × (coupon rate as number)   when (coupon rate or 0) &gt; 0
the answer = t</t>
        </is>
      </c>
      <c r="H289" s="3" t="inlineStr">
        <is>
          <t>Cls is asset class of(a). Coupon is (coupon rate or 0) times (face value or 0). When coupon &gt; 0, it answers t plus coupon. When (coupon rate or 0) &gt; 0, it answers t plus (balance or 0) times (coupon rate as number). The answer is t.</t>
        </is>
      </c>
      <c r="I289" s="3" t="inlineStr">
        <is>
          <t>READ FROM THE CODE — rendered from the expressions the function runs</t>
        </is>
      </c>
      <c r="J289" s="3" t="inlineStr">
        <is>
          <t>accounts: AssetAccount[]</t>
        </is>
      </c>
      <c r="K289" s="3" t="inlineStr">
        <is>
          <t>number</t>
        </is>
      </c>
      <c r="L289" s="3" t="inlineStr">
        <is>
          <t>—</t>
        </is>
      </c>
      <c r="M289" s="3" t="inlineStr">
        <is>
          <t>1. If coupon rate is missing it counts as zero, so nothing recorded and a real zero look the same.
2. If face value is missing it counts as zero, so nothing recorded and a real zero look the same.
3. If balance is missing it counts as zero, so nothing recorded and a real zero look the same.</t>
        </is>
      </c>
      <c r="N289" s="3" t="inlineStr">
        <is>
          <t>No</t>
        </is>
      </c>
      <c r="O289" s="3" t="inlineStr">
        <is>
          <t>MK-NW-F-011 assetClassOf</t>
        </is>
      </c>
      <c r="P289" s="3" t="n">
        <v>11</v>
      </c>
      <c r="Q289" s="3" t="inlineStr">
        <is>
          <t>1. MK-NW-F-011 assetClassOf
2. MK-NW-F-008 incomeBearingClassOf
3. MK-CF-F-155 cash
4. MK-ST-F-010 nameEvidence
5. MK-XS-F-122 n
6. MK-XS-F-147 call
7. MK-ST-F-056 has
8. MK-CF-F-132 map
9. MK-ST-F-027 accountId
10. MK-XS-F-064 currentIdToken
11. MK-XS-F-112 relayUrl</t>
        </is>
      </c>
      <c r="R289" s="3" t="inlineStr">
        <is>
          <t>1. MK-XS-F-122 n → MK-CF-F-155 cash → MK-NW-F-008 incomeBearingClassOf → MK-NW-F-011 assetClassOf → MK-NW-F-063 interestIncomeAnnual
2. MK-ST-F-027 accountId → MK-XS-F-147 call → MK-ST-F-010 nameEvidence → MK-NW-F-008 incomeBearingClassOf → MK-NW-F-011 assetClassOf → MK-NW-F-063 interestIncomeAnnual
3. MK-XS-F-064 currentIdToken → MK-XS-F-147 call → MK-ST-F-010 nameEvidence → MK-NW-F-008 incomeBearingClassOf → MK-NW-F-011 assetClassOf → MK-NW-F-063 interestIncomeAnnual
4. MK-XS-F-112 relayUrl → MK-XS-F-147 call → MK-ST-F-010 nameEvidence → MK-NW-F-008 incomeBearingClassOf → MK-NW-F-011 assetClassOf → MK-NW-F-063 interestIncomeAnnual
5. MK-ST-F-056 has → MK-ST-F-010 nameEvidence → MK-NW-F-008 incomeBearingClassOf → MK-NW-F-011 assetClassOf → MK-NW-F-063 interestIncomeAnnual
6. MK-CF-F-132 map → MK-ST-F-010 nameEvidence → MK-NW-F-008 incomeBearingClassOf → MK-NW-F-011 assetClassOf → MK-NW-F-063 interestIncomeAnnual</t>
        </is>
      </c>
      <c r="S289" s="3" t="inlineStr">
        <is>
          <t>—</t>
        </is>
      </c>
      <c r="T289" s="3" t="inlineStr">
        <is>
          <t>—</t>
        </is>
      </c>
      <c r="U289" s="3" t="inlineStr">
        <is>
          <t>ACTIVE</t>
        </is>
      </c>
      <c r="V289" s="3" t="inlineStr">
        <is>
          <t>2026-09-11</t>
        </is>
      </c>
      <c r="W289" s="3" t="inlineStr">
        <is>
          <t>[from MK-NW-M-043 / M-045, typed A46] If coupon rate is not available use 0.</t>
        </is>
      </c>
      <c r="X289" s="6" t="inlineStr">
        <is>
          <t>JJ-4: still falls back to 4.2% (DEFAULT_BOND_YIELD) for a bond fund with no rate, and the paycheck income lines do the same. Fix: 0 + 'no rate recorded'. Also inherits JJ-3 (matured bonds). The other 4.2%/4% figures are expected-return defaults, a different concept — Q44.</t>
        </is>
      </c>
      <c r="Y289" s="6" t="inlineStr">
        <is>
          <t>WAITING ON YOU — answer to read · TESTED, NOT VERIFIED (A46)</t>
        </is>
      </c>
    </row>
    <row r="290" ht="60" customHeight="1">
      <c r="A290" s="3" t="inlineStr">
        <is>
          <t>MK-NW-F-064</t>
        </is>
      </c>
      <c r="B290" s="3" t="inlineStr">
        <is>
          <t>bondRateSensitivity</t>
        </is>
      </c>
      <c r="C290" s="3" t="inlineStr">
        <is>
          <t>src/domain/bonds/index.ts</t>
        </is>
      </c>
      <c r="D290" s="3" t="n">
        <v>513</v>
      </c>
      <c r="E290" s="3" t="inlineStr">
        <is>
          <t>3 · DEPENDENT</t>
        </is>
      </c>
      <c r="F290" s="3" t="inlineStr">
        <is>
          <t>What happens to this bond if interest rates move?</t>
        </is>
      </c>
      <c r="G290" s="11" t="inlineStr">
        <is>
          <t>ytm = approx ytm(b, now)
nothing   when ytm = nothing (or face ≤ 0 (or coupon rate ≤ 0 when missing or zero) when missing or zero)
v = price at yield(b, math.max(0.0001, ytm + delta), now)
the answer:
rates up = move(0.01)
rates down = move(-0.01)</t>
        </is>
      </c>
      <c r="H290" s="3" t="inlineStr">
        <is>
          <t>Ytm is approx ytm(b, now). When ytm is missing (or face is at most 0 (or coupon rate is at most 0 — when missing or zero) — when missing or zero), it answers no answer. V is price at yield(b, math.the larger of 0.0001 and ytm plus delta, now). The answer is rates up = move(0.01); rates down = move(-0.01).</t>
        </is>
      </c>
      <c r="I290" s="3" t="inlineStr">
        <is>
          <t>PARTLY READ — some of the code is still showing through; needs a hand pass</t>
        </is>
      </c>
      <c r="J290" s="3" t="inlineStr">
        <is>
          <t>1. b: BondInfo
2. now: Date = new Date()</t>
        </is>
      </c>
      <c r="K290" s="3" t="inlineStr">
        <is>
          <t>RateSensitivity | null</t>
        </is>
      </c>
      <c r="L290" s="3" t="inlineStr">
        <is>
          <t>—</t>
        </is>
      </c>
      <c r="M290" s="3" t="inlineStr">
        <is>
          <t>1. Applies a built-in rate of 99% to v.
2. Uses today's date from the device clock, so the answer changes by itself overnight.
3. Rounds the answer to a whole number.</t>
        </is>
      </c>
      <c r="N290" s="3" t="inlineStr">
        <is>
          <t>Yes</t>
        </is>
      </c>
      <c r="O290" s="3" t="inlineStr">
        <is>
          <t>1. MK-NW-F-060 approxYTM
2. MK-NW-F-069 priceAtYield</t>
        </is>
      </c>
      <c r="P290" s="3" t="n">
        <v>5</v>
      </c>
      <c r="Q290" s="3" t="inlineStr">
        <is>
          <t>1. MK-NW-F-060 approxYTM
2. MK-NW-F-069 priceAtYield
3. MK-NW-F-057 annualCoupon
4. MK-XS-F-122 n
5. MK-NW-F-058 yearsToMaturity</t>
        </is>
      </c>
      <c r="R290" s="3" t="inlineStr">
        <is>
          <t>1. MK-NW-F-057 annualCoupon → MK-NW-F-060 approxYTM → MK-NW-F-064 bondRateSensitivity
2. MK-XS-F-122 n → MK-NW-F-060 approxYTM → MK-NW-F-064 bondRateSensitivity
3. MK-NW-F-058 yearsToMaturity → MK-NW-F-060 approxYTM → MK-NW-F-064 bondRateSensitivity
4. MK-NW-F-057 annualCoupon → MK-NW-F-069 priceAtYield → MK-NW-F-064 bondRateSensitivity
5. MK-XS-F-122 n → MK-NW-F-069 priceAtYield → MK-NW-F-064 bondRateSensitivity
6. MK-NW-F-058 yearsToMaturity → MK-NW-F-069 priceAtYield → MK-NW-F-064 bondRateSensitivity</t>
        </is>
      </c>
      <c r="S290" s="3" t="inlineStr">
        <is>
          <t>MK-NW-M-028</t>
        </is>
      </c>
      <c r="T290" s="3" t="inlineStr">
        <is>
          <t>IF_RATES_MOVE</t>
        </is>
      </c>
      <c r="U290" s="3" t="inlineStr">
        <is>
          <t>ACTIVE</t>
        </is>
      </c>
      <c r="V290" s="3" t="inlineStr">
        <is>
          <t>2026-09-27</t>
        </is>
      </c>
      <c r="W290" s="3" t="n"/>
      <c r="X290" s="3" t="n"/>
      <c r="Y290" s="6" t="inlineStr">
        <is>
          <t>TESTED, NOT VERIFIED (G11)</t>
        </is>
      </c>
    </row>
    <row r="291" ht="60" customHeight="1">
      <c r="A291" s="3" t="inlineStr">
        <is>
          <t>MK-NW-F-065</t>
        </is>
      </c>
      <c r="B291" s="3" t="inlineStr">
        <is>
          <t>buildNetWorth</t>
        </is>
      </c>
      <c r="C291" s="3" t="inlineStr">
        <is>
          <t>src/domain/networth/index.ts</t>
        </is>
      </c>
      <c r="D291" s="3" t="n">
        <v>35</v>
      </c>
      <c r="E291" s="3" t="inlineStr">
        <is>
          <t>3 · DEPENDENT</t>
        </is>
      </c>
      <c r="F291" s="3" t="inlineStr">
        <is>
          <t>Net worth from two totals: everything owned less everything owed.</t>
        </is>
      </c>
      <c r="G291" s="11" t="inlineStr">
        <is>
          <t>gross assets = round(assets total, 2 dp)
gross debt   = round(debt total, 2 dp)
net worth    = round(assets total − debt total, 2 dp)</t>
        </is>
      </c>
      <c r="H291" s="3" t="inlineStr">
        <is>
          <t>Everything owned, less everything owed. Each half is rounded to the cent, and the answer is rounded again — three roundings. It is worked out fresh every time and never stored, so it can never disagree with its own two halves. A genuine negative is shown, never floored at zero.</t>
        </is>
      </c>
      <c r="I291" s="3" t="inlineStr">
        <is>
          <t>READ BY HAND 2026-08-26 — checked line by line against the code</t>
        </is>
      </c>
      <c r="J291" s="3" t="inlineStr">
        <is>
          <t>1. uid: UserId
2. grossAssets: number
3. grossDebt: number</t>
        </is>
      </c>
      <c r="K291" s="3" t="inlineStr">
        <is>
          <t>NetWorthState</t>
        </is>
      </c>
      <c r="L291" s="3" t="inlineStr">
        <is>
          <t>—</t>
        </is>
      </c>
      <c r="M291" s="3" t="inlineStr">
        <is>
          <t>None found in this function — anything it assumes comes from the functions it depends on.</t>
        </is>
      </c>
      <c r="N291" s="3" t="inlineStr">
        <is>
          <t>Yes</t>
        </is>
      </c>
      <c r="O291" s="3" t="inlineStr">
        <is>
          <t>MK-XS-F-175 uid</t>
        </is>
      </c>
      <c r="P291" s="3" t="n">
        <v>81</v>
      </c>
      <c r="Q291"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291" s="3" t="inlineStr">
        <is>
          <t>1. MK-ST-F-027 accountId → MK-XS-F-175 uid → MK-NW-F-065 buildNetWorth
2. MK-CF-F-137 findPos → MK-CF-F-138 addLot → MK-CF-F-111 applyTransaction → MK-XS-F-175 uid → MK-NW-F-065 buildNetWorth
3. MK-CF-F-132 map → MK-CF-F-138 addLot → MK-CF-F-111 applyTransaction → MK-XS-F-175 uid → MK-NW-F-065 buildNetWorth
4. MK-ST-F-043 newEntityId → MK-CF-F-138 addLot → MK-CF-F-111 applyTransaction → MK-XS-F-175 uid → MK-NW-F-065 buildNetWorth
5. MK-CF-F-134 usesSleeve → MK-CF-F-136 bumpCash → MK-CF-F-111 applyTransaction → MK-XS-F-175 uid → MK-NW-F-065 buildNetWorth
6. MK-CF-F-137 findPos → MK-CF-F-111 applyTransaction → MK-XS-F-175 uid → MK-NW-F-065 buildNetWorth
7. MK-CF-F-132 map → MK-CF-F-111 applyTransaction → MK-XS-F-175 uid → MK-NW-F-065 buildNetWorth
8. MK-CF-F-137 findPos → MK-CF-F-139 removeShares → MK-CF-F-111 applyTransaction → MK-XS-F-175 uid → MK-NW-F-065 buildNetWorth
9. … and 4 more paths</t>
        </is>
      </c>
      <c r="S291" s="3" t="inlineStr">
        <is>
          <t>—</t>
        </is>
      </c>
      <c r="T291" s="3" t="inlineStr">
        <is>
          <t>NET_WORTH</t>
        </is>
      </c>
      <c r="U291" s="3" t="inlineStr">
        <is>
          <t>ACTIVE</t>
        </is>
      </c>
      <c r="V291" s="3" t="inlineStr">
        <is>
          <t>2026-09-27</t>
        </is>
      </c>
      <c r="W291" s="3" t="n"/>
      <c r="X291" s="3" t="n"/>
      <c r="Y291" s="3" t="inlineStr">
        <is>
          <t>NOTHING OPEN</t>
        </is>
      </c>
    </row>
    <row r="292" ht="45" customHeight="1">
      <c r="A292" s="3" t="inlineStr">
        <is>
          <t>MK-NW-F-066</t>
        </is>
      </c>
      <c r="B292" s="3" t="inlineStr">
        <is>
          <t>sumWhere</t>
        </is>
      </c>
      <c r="C292" s="3" t="inlineStr">
        <is>
          <t>src/domain/assets/index.ts</t>
        </is>
      </c>
      <c r="D292" s="3" t="n">
        <v>611</v>
      </c>
      <c r="E292" s="3" t="inlineStr">
        <is>
          <t>3 · DEPENDENT</t>
        </is>
      </c>
      <c r="F292" s="3" t="inlineStr">
        <is>
          <t>Adds up the balances of the accounts that pass a given test.</t>
        </is>
      </c>
      <c r="G292" s="11" t="inlineStr">
        <is>
          <t>Σ over accounts (or none when missing) where pred of (balance (or 0 when missing or zero))</t>
        </is>
      </c>
      <c r="H292" s="3" t="inlineStr">
        <is>
          <t>the balance (or 0 — when missing or zero) added up across accounts (or none — when missing) where pred.</t>
        </is>
      </c>
      <c r="I292" s="3" t="inlineStr">
        <is>
          <t>READ FROM THE CODE — rendered from the expressions the function runs</t>
        </is>
      </c>
      <c r="J292" s="3" t="inlineStr">
        <is>
          <t>1. accounts: AssetAccount[]
2. pred: (a: AssetAccount) =&gt; boolean</t>
        </is>
      </c>
      <c r="K292" s="3" t="inlineStr">
        <is>
          <t>number</t>
        </is>
      </c>
      <c r="L292" s="3" t="inlineStr">
        <is>
          <t>—</t>
        </is>
      </c>
      <c r="M292" s="3" t="inlineStr">
        <is>
          <t>· If balance is missing it counts as zero, so nothing recorded and a real zero look the same.</t>
        </is>
      </c>
      <c r="N292" s="3" t="inlineStr">
        <is>
          <t>Yes</t>
        </is>
      </c>
      <c r="O292" s="3" t="inlineStr">
        <is>
          <t>—</t>
        </is>
      </c>
      <c r="P292" s="3" t="n">
        <v>0</v>
      </c>
      <c r="Q292" s="3" t="inlineStr">
        <is>
          <t>None — no dependent function stands behind it</t>
        </is>
      </c>
      <c r="R292" s="3" t="inlineStr">
        <is>
          <t>No dependent function — it reads its inputs and answers</t>
        </is>
      </c>
      <c r="S292" s="3" t="inlineStr">
        <is>
          <t>—</t>
        </is>
      </c>
      <c r="T292" s="3" t="inlineStr">
        <is>
          <t>—</t>
        </is>
      </c>
      <c r="U292" s="3" t="inlineStr">
        <is>
          <t>ACTIVE</t>
        </is>
      </c>
      <c r="V292" s="3" t="inlineStr">
        <is>
          <t>2026-09-09</t>
        </is>
      </c>
      <c r="W292" s="3" t="n"/>
      <c r="X292" s="3" t="n"/>
      <c r="Y292" s="3" t="inlineStr">
        <is>
          <t>NOTHING OPEN</t>
        </is>
      </c>
    </row>
    <row r="293" ht="45" customHeight="1">
      <c r="A293" s="3" t="inlineStr">
        <is>
          <t>MK-NW-F-067</t>
        </is>
      </c>
      <c r="B293" s="3" t="inlineStr">
        <is>
          <t>plural</t>
        </is>
      </c>
      <c r="C293" s="3" t="inlineStr">
        <is>
          <t>src/domain/assets/index.ts</t>
        </is>
      </c>
      <c r="D293" s="3" t="n">
        <v>1154</v>
      </c>
      <c r="E293" s="3" t="inlineStr">
        <is>
          <t>1 · ACTION</t>
        </is>
      </c>
      <c r="F293" s="3" t="inlineStr">
        <is>
          <t>Writes a count with its noun, singular for one and plural otherwise: 1 CD, 3 CDs.</t>
        </is>
      </c>
      <c r="G293" s="11" t="inlineStr">
        <is>
          <t>the answer = n + ' ' + (one   when n = 1;   many   otherwise)</t>
        </is>
      </c>
      <c r="H293" s="3" t="inlineStr">
        <is>
          <t>'1 account' or '3 accounts' — the word made plural when the count is not one. Display only.</t>
        </is>
      </c>
      <c r="I293" s="3" t="inlineStr">
        <is>
          <t>READ BY HAND 2026-08-26 — checked line by line against the code</t>
        </is>
      </c>
      <c r="J293" s="3" t="inlineStr">
        <is>
          <t>1. n: number
2. one: string
3. many = `${one}s`</t>
        </is>
      </c>
      <c r="K293" s="3" t="inlineStr">
        <is>
          <t>many}`;</t>
        </is>
      </c>
      <c r="L293" s="3" t="inlineStr">
        <is>
          <t>—</t>
        </is>
      </c>
      <c r="M293" s="3" t="inlineStr">
        <is>
          <t>None found in this function — anything it assumes comes from the functions it depends on.</t>
        </is>
      </c>
      <c r="N293" s="3" t="inlineStr">
        <is>
          <t>Yes</t>
        </is>
      </c>
      <c r="O293" s="3" t="inlineStr">
        <is>
          <t>—</t>
        </is>
      </c>
      <c r="P293" s="3" t="n">
        <v>0</v>
      </c>
      <c r="Q293" s="3" t="inlineStr">
        <is>
          <t>None — no dependent function stands behind it</t>
        </is>
      </c>
      <c r="R293" s="3" t="inlineStr">
        <is>
          <t>No dependent function — it reads its inputs and answers</t>
        </is>
      </c>
      <c r="S293" s="3" t="inlineStr">
        <is>
          <t>—</t>
        </is>
      </c>
      <c r="T293" s="3" t="inlineStr">
        <is>
          <t>—</t>
        </is>
      </c>
      <c r="U293" s="3" t="inlineStr">
        <is>
          <t>ACTIVE</t>
        </is>
      </c>
      <c r="V293" s="3" t="inlineStr">
        <is>
          <t>2026-09-12</t>
        </is>
      </c>
      <c r="W293" s="3" t="n"/>
      <c r="X293" s="3" t="n"/>
      <c r="Y293" s="3" t="inlineStr">
        <is>
          <t>NOTHING OPEN</t>
        </is>
      </c>
    </row>
    <row r="294" ht="45" customHeight="1">
      <c r="A294" s="3" t="inlineStr">
        <is>
          <t>MK-NW-F-068</t>
        </is>
      </c>
      <c r="B294" s="3" t="inlineStr">
        <is>
          <t>prettyDay</t>
        </is>
      </c>
      <c r="C294" s="3" t="inlineStr">
        <is>
          <t>src/domain/assets/index.ts</t>
        </is>
      </c>
      <c r="D294" s="3" t="n">
        <v>2000</v>
      </c>
      <c r="E294" s="3" t="inlineStr">
        <is>
          <t>3 · DEPENDENT</t>
        </is>
      </c>
      <c r="F294" s="3" t="inlineStr">
        <is>
          <t>Writes a date as month, day and year: Aug 4, 2026.</t>
        </is>
      </c>
      <c r="G294" s="11" t="inlineStr">
        <is>
          <t>`${MONTH_ABBR[(m or 1) − 1]} ${d}, ${y}`</t>
        </is>
      </c>
      <c r="H294" s="3" t="inlineStr">
        <is>
          <t>`${MONTH_ABBR[(m or 1) minus 1]} ${d}, ${y}`.</t>
        </is>
      </c>
      <c r="I294" s="3" t="inlineStr">
        <is>
          <t>PARTLY READ — some of the code is still showing through; needs a hand pass</t>
        </is>
      </c>
      <c r="J294" s="3" t="inlineStr">
        <is>
          <t>iso: string</t>
        </is>
      </c>
      <c r="K294" s="3" t="inlineStr">
        <is>
          <t>string</t>
        </is>
      </c>
      <c r="L294" s="3" t="inlineStr">
        <is>
          <t>—</t>
        </is>
      </c>
      <c r="M294" s="3" t="inlineStr">
        <is>
          <t>None found in this function — anything it assumes comes from the functions it depends on.</t>
        </is>
      </c>
      <c r="N294" s="3" t="inlineStr">
        <is>
          <t>Yes</t>
        </is>
      </c>
      <c r="O294" s="3" t="inlineStr">
        <is>
          <t>MK-CF-F-132 map</t>
        </is>
      </c>
      <c r="P294" s="3" t="n">
        <v>1</v>
      </c>
      <c r="Q294" s="3" t="inlineStr">
        <is>
          <t>MK-CF-F-132 map</t>
        </is>
      </c>
      <c r="R294" s="3" t="inlineStr">
        <is>
          <t>MK-CF-F-132 map → MK-NW-F-068 prettyDay</t>
        </is>
      </c>
      <c r="S294" s="3" t="inlineStr">
        <is>
          <t>—</t>
        </is>
      </c>
      <c r="T294" s="3" t="inlineStr">
        <is>
          <t>—</t>
        </is>
      </c>
      <c r="U294" s="3" t="inlineStr">
        <is>
          <t>ACTIVE</t>
        </is>
      </c>
      <c r="V294" s="3" t="inlineStr">
        <is>
          <t>2026-08-27</t>
        </is>
      </c>
      <c r="W294" s="3" t="n"/>
      <c r="X294" s="3" t="n"/>
      <c r="Y294" s="3" t="inlineStr">
        <is>
          <t>NOTHING OPEN</t>
        </is>
      </c>
    </row>
    <row r="295" ht="60" customHeight="1">
      <c r="A295" s="3" t="inlineStr">
        <is>
          <t>MK-NW-F-069</t>
        </is>
      </c>
      <c r="B295" s="3" t="inlineStr">
        <is>
          <t>priceAtYield</t>
        </is>
      </c>
      <c r="C295" s="3" t="inlineStr">
        <is>
          <t>src/domain/bonds/index.ts</t>
        </is>
      </c>
      <c r="D295" s="3" t="n">
        <v>459</v>
      </c>
      <c r="E295" s="3" t="inlineStr">
        <is>
          <t>3 · DEPENDENT</t>
        </is>
      </c>
      <c r="F295" s="3" t="inlineStr">
        <is>
          <t>Price the bond's future cash flows at a given annual yield (yearly approximation).</t>
        </is>
      </c>
      <c r="G295" s="11" t="inlineStr">
        <is>
          <t>years = years to maturity(maturity, now)
value   when years = nothing
n = max(1, round(years))
c = annual coupon(b)
pv = 0
[LOOP — the answer is found inside a loop the extractor cannot render; the steps above are the ones before it. Read by hand.]</t>
        </is>
      </c>
      <c r="H295" s="3" t="inlineStr">
        <is>
          <t>Years is years to maturity(maturity, now). When years is missing, it answers value. N: the larger of 1 and years, to a whole number. C is annual coupon(b). Pv is 0. The answer is pv. The answer is found inside a loop that cannot be rendered here; read the code by hand.</t>
        </is>
      </c>
      <c r="I295" s="3" t="inlineStr">
        <is>
          <t>PARTLY READ — the body has a loop the extractor cannot render; the steps shown are the ones before it. Needs a hand pass (G23).</t>
        </is>
      </c>
      <c r="J295" s="3" t="inlineStr">
        <is>
          <t>1. b: BondInfo
2. y: number
3. now: Date</t>
        </is>
      </c>
      <c r="K295" s="3" t="inlineStr">
        <is>
          <t>number</t>
        </is>
      </c>
      <c r="L295" s="3" t="inlineStr">
        <is>
          <t>—</t>
        </is>
      </c>
      <c r="M295" s="3" t="inlineStr">
        <is>
          <t>1. Uses a built-in pv of 0.
2. Rounds the answer to a whole number.</t>
        </is>
      </c>
      <c r="N295" s="3" t="inlineStr">
        <is>
          <t>Yes</t>
        </is>
      </c>
      <c r="O295" s="3" t="inlineStr">
        <is>
          <t>1. MK-NW-F-057 annualCoupon
2. MK-XS-F-122 n
3. MK-NW-F-058 yearsToMaturity</t>
        </is>
      </c>
      <c r="P295" s="3" t="n">
        <v>3</v>
      </c>
      <c r="Q295" s="3" t="inlineStr">
        <is>
          <t>1. MK-NW-F-057 annualCoupon
2. MK-XS-F-122 n
3. MK-NW-F-058 yearsToMaturity</t>
        </is>
      </c>
      <c r="R295" s="3" t="inlineStr">
        <is>
          <t>1. MK-NW-F-057 annualCoupon → MK-NW-F-069 priceAtYield
2. MK-XS-F-122 n → MK-NW-F-069 priceAtYield
3. MK-NW-F-058 yearsToMaturity → MK-NW-F-069 priceAtYield</t>
        </is>
      </c>
      <c r="S295" s="3" t="inlineStr">
        <is>
          <t>—</t>
        </is>
      </c>
      <c r="T295" s="3" t="inlineStr">
        <is>
          <t>—</t>
        </is>
      </c>
      <c r="U295" s="3" t="inlineStr">
        <is>
          <t>ACTIVE</t>
        </is>
      </c>
      <c r="V295" s="3" t="inlineStr">
        <is>
          <t>2026-09-12</t>
        </is>
      </c>
      <c r="W295" s="3" t="n"/>
      <c r="X295" s="3" t="n"/>
      <c r="Y295" s="3" t="inlineStr">
        <is>
          <t>NOTHING OPEN</t>
        </is>
      </c>
    </row>
    <row r="296" ht="60" customHeight="1">
      <c r="A296" s="3" t="inlineStr">
        <is>
          <t>MK-NW-F-070</t>
        </is>
      </c>
      <c r="B296" s="3" t="inlineStr">
        <is>
          <t>accruedInterestCaveat</t>
        </is>
      </c>
      <c r="C296" s="3" t="inlineStr">
        <is>
          <t>src/domain/bonds/index.ts</t>
        </is>
      </c>
      <c r="D296" s="3" t="n">
        <v>237</v>
      </c>
      <c r="E296" s="3" t="inlineStr">
        <is>
          <t>3 · DEPENDENT</t>
        </is>
      </c>
      <c r="F296" s="3" t="inlineStr">
        <is>
          <t>The note shown beside a bond's yield when its accrued interest was not entered, or nothing when it was.</t>
        </is>
      </c>
      <c r="G296" s="11" t="inlineStr">
        <is>
          <t>'accrued interest not entered — the yield uses the price as you entered it'   if accrued interest = nothing
nothing   otherwise</t>
        </is>
      </c>
      <c r="H296" s="3" t="inlineStr">
        <is>
          <t>'accrued interest entered is missing — the yield uses the price as you entered it' — when accrued interest is missing; no answer — otherwise.</t>
        </is>
      </c>
      <c r="I296" s="3" t="inlineStr">
        <is>
          <t>READ FROM THE CODE — rendered from the expressions the function runs</t>
        </is>
      </c>
      <c r="J296" s="3" t="inlineStr">
        <is>
          <t>b: BondInfo</t>
        </is>
      </c>
      <c r="K296" s="3" t="inlineStr">
        <is>
          <t>string | null</t>
        </is>
      </c>
      <c r="L296" s="3" t="inlineStr">
        <is>
          <t>—</t>
        </is>
      </c>
      <c r="M296" s="3" t="inlineStr">
        <is>
          <t>None found in this function — anything it assumes comes from the functions it depends on.</t>
        </is>
      </c>
      <c r="N296" s="3" t="inlineStr">
        <is>
          <t>Yes</t>
        </is>
      </c>
      <c r="O296" s="3" t="inlineStr">
        <is>
          <t>—</t>
        </is>
      </c>
      <c r="P296" s="3" t="n">
        <v>0</v>
      </c>
      <c r="Q296" s="3" t="inlineStr">
        <is>
          <t>None — no dependent function stands behind it</t>
        </is>
      </c>
      <c r="R296" s="3" t="inlineStr">
        <is>
          <t>No dependent function — it reads its inputs and answers</t>
        </is>
      </c>
      <c r="S296" s="3" t="inlineStr">
        <is>
          <t>—</t>
        </is>
      </c>
      <c r="T296" s="3" t="inlineStr">
        <is>
          <t>—</t>
        </is>
      </c>
      <c r="U296" s="3" t="inlineStr">
        <is>
          <t>ACTIVE</t>
        </is>
      </c>
      <c r="V296" s="3" t="inlineStr">
        <is>
          <t>2026-09-27</t>
        </is>
      </c>
      <c r="W296" s="3" t="n"/>
      <c r="X296" s="3" t="n"/>
      <c r="Y296" s="6" t="inlineStr">
        <is>
          <t>TESTED, NOT VERIFIED (A47)</t>
        </is>
      </c>
    </row>
    <row r="297" ht="45" customHeight="1">
      <c r="A297" s="3" t="inlineStr">
        <is>
          <t>MK-NW-F-071</t>
        </is>
      </c>
      <c r="B297" s="3" t="inlineStr">
        <is>
          <t>isCertificateOfDeposit</t>
        </is>
      </c>
      <c r="C297" s="3" t="inlineStr">
        <is>
          <t>MoneyKeel/functions/networth-and-performance/bonds.ts</t>
        </is>
      </c>
      <c r="D297" s="3" t="n">
        <v>58</v>
      </c>
      <c r="E297" s="3" t="inlineStr">
        <is>
          <t>3 · DEPENDENT</t>
        </is>
      </c>
      <c r="F297" s="3" t="inlineStr">
        <is>
          <t>Whether an account is a certificate of deposit, judged from its name.</t>
        </is>
      </c>
      <c r="G297" s="11" t="inlineStr">
        <is>
          <t>CD_RE.test(`${label ?? ''} ${institution ?? ''}`)</t>
        </is>
      </c>
      <c r="H297" s="3" t="inlineStr">
        <is>
          <t>CD_RE.test(`${label ?? ''} ${institution ?? ''}`).</t>
        </is>
      </c>
      <c r="I297" s="3" t="inlineStr">
        <is>
          <t>PARTLY READ — some of the code is still showing through; needs a hand pass</t>
        </is>
      </c>
      <c r="J297" s="3" t="inlineStr">
        <is>
          <t>a: Pick&lt;AssetAccount, 'label'&gt; &amp; { institution?: string }</t>
        </is>
      </c>
      <c r="K297" s="3" t="inlineStr">
        <is>
          <t>boolean</t>
        </is>
      </c>
      <c r="L297" s="3" t="inlineStr">
        <is>
          <t>—</t>
        </is>
      </c>
      <c r="M297" s="3" t="inlineStr">
        <is>
          <t>None found in this function — anything it assumes comes from the functions it depends on.</t>
        </is>
      </c>
      <c r="N297" s="3" t="inlineStr">
        <is>
          <t>Yes</t>
        </is>
      </c>
      <c r="O297" s="3" t="inlineStr">
        <is>
          <t>—</t>
        </is>
      </c>
      <c r="P297" s="3" t="n">
        <v>0</v>
      </c>
      <c r="Q297" s="3" t="inlineStr">
        <is>
          <t>None — no dependent function stands behind it</t>
        </is>
      </c>
      <c r="R297" s="3" t="inlineStr">
        <is>
          <t>No dependent function — it reads its inputs and answers</t>
        </is>
      </c>
      <c r="S297" s="3" t="inlineStr">
        <is>
          <t>—</t>
        </is>
      </c>
      <c r="T297" s="3" t="inlineStr">
        <is>
          <t>—</t>
        </is>
      </c>
      <c r="U297" s="3" t="inlineStr">
        <is>
          <t>ACTIVE</t>
        </is>
      </c>
      <c r="V297" s="3" t="inlineStr">
        <is>
          <t>2026-09-27</t>
        </is>
      </c>
      <c r="W297" s="3" t="n"/>
      <c r="X297" s="3" t="n"/>
      <c r="Y297" s="3" t="inlineStr">
        <is>
          <t>NOTHING OPEN</t>
        </is>
      </c>
    </row>
    <row r="298" ht="60" customHeight="1">
      <c r="A298" s="3" t="inlineStr">
        <is>
          <t>MK-NW-F-072</t>
        </is>
      </c>
      <c r="B298" s="3" t="inlineStr">
        <is>
          <t>rowOf</t>
        </is>
      </c>
      <c r="C298" s="3" t="inlineStr">
        <is>
          <t>MoneyKeel/functions/networth-and-performance/bonds.ts</t>
        </is>
      </c>
      <c r="D298" s="3" t="n">
        <v>142</v>
      </c>
      <c r="E298" s="3" t="inlineStr">
        <is>
          <t>3 · DEPENDENT</t>
        </is>
      </c>
      <c r="F298" s="3" t="inlineStr">
        <is>
          <t>One bond's row for the Bonds screen: its face value, yearly interest rate, interest paid in a year, maturity date and years left.</t>
        </is>
      </c>
      <c r="G298" s="11" t="inlineStr">
        <is>
          <t>b = bond info(a)</t>
        </is>
      </c>
      <c r="H298" s="3" t="inlineStr">
        <is>
          <t>B is bond info(a).</t>
        </is>
      </c>
      <c r="I298" s="3" t="inlineStr">
        <is>
          <t>READ FROM THE CODE — rendered from the expressions the function runs</t>
        </is>
      </c>
      <c r="J298" s="3" t="inlineStr">
        <is>
          <t>1. a: AssetAccount
2. now: Date</t>
        </is>
      </c>
      <c r="K298" s="3" t="inlineStr">
        <is>
          <t>BondRow</t>
        </is>
      </c>
      <c r="L298" s="3" t="inlineStr">
        <is>
          <t>—</t>
        </is>
      </c>
      <c r="M298" s="3" t="inlineStr">
        <is>
          <t>None found in this function — anything it assumes comes from the functions it depends on.</t>
        </is>
      </c>
      <c r="N298" s="3" t="inlineStr">
        <is>
          <t>Yes</t>
        </is>
      </c>
      <c r="O298" s="3" t="inlineStr">
        <is>
          <t>1. MK-NW-F-070 accruedInterestCaveat
2. MK-NW-F-057 annualCoupon
3. MK-NW-F-060 approxYTM
4. MK-NW-F-056 bondInfo
5. MK-NW-F-059 currentYield
6. MK-NW-F-071 isCertificateOfDeposit
7. MK-NW-F-058 yearsToMaturity</t>
        </is>
      </c>
      <c r="P298" s="3" t="n">
        <v>9</v>
      </c>
      <c r="Q298" s="3" t="inlineStr">
        <is>
          <t>1. MK-NW-F-070 accruedInterestCaveat
2. MK-NW-F-057 annualCoupon
3. MK-NW-F-060 approxYTM
4. MK-NW-F-056 bondInfo
5. MK-NW-F-059 currentYield
6. MK-NW-F-071 isCertificateOfDeposit
7. MK-NW-F-058 yearsToMaturity
8. MK-XS-F-122 n
9. MK-CF-F-155 cash</t>
        </is>
      </c>
      <c r="R298" s="3" t="inlineStr">
        <is>
          <t>1. MK-NW-F-070 accruedInterestCaveat → MK-NW-F-072 rowOf
2. MK-NW-F-057 annualCoupon → MK-NW-F-072 rowOf
3. MK-NW-F-057 annualCoupon → MK-NW-F-060 approxYTM → MK-NW-F-072 rowOf
4. MK-XS-F-122 n → MK-NW-F-060 approxYTM → MK-NW-F-072 rowOf
5. MK-NW-F-058 yearsToMaturity → MK-NW-F-060 approxYTM → MK-NW-F-072 rowOf
6. MK-XS-F-122 n → MK-CF-F-155 cash → MK-NW-F-056 bondInfo → MK-NW-F-072 rowOf
7. MK-NW-F-057 annualCoupon → MK-NW-F-059 currentYield → MK-NW-F-072 rowOf
8. MK-NW-F-071 isCertificateOfDeposit → MK-NW-F-072 rowOf
9. … and 1 more paths</t>
        </is>
      </c>
      <c r="S298" s="3" t="inlineStr">
        <is>
          <t>—</t>
        </is>
      </c>
      <c r="T298" s="3" t="inlineStr">
        <is>
          <t>—</t>
        </is>
      </c>
      <c r="U298" s="3" t="inlineStr">
        <is>
          <t>ACTIVE</t>
        </is>
      </c>
      <c r="V298" s="3" t="inlineStr">
        <is>
          <t>2026-09-27</t>
        </is>
      </c>
      <c r="W298" s="3" t="n"/>
      <c r="X298" s="3" t="n"/>
      <c r="Y298" s="3" t="inlineStr">
        <is>
          <t>NOTHING OPEN</t>
        </is>
      </c>
    </row>
    <row r="299" ht="60" customHeight="1">
      <c r="A299" s="3" t="inlineStr">
        <is>
          <t>MK-NW-F-073</t>
        </is>
      </c>
      <c r="B299" s="3" t="inlineStr">
        <is>
          <t>itemising</t>
        </is>
      </c>
      <c r="C299" s="3" t="inlineStr">
        <is>
          <t>MoneyKeel/functions/networth-and-performance/account.ts</t>
        </is>
      </c>
      <c r="D299" s="3" t="n">
        <v>177</v>
      </c>
      <c r="E299" s="3" t="inlineStr">
        <is>
          <t>2 · DISPLAYED</t>
        </is>
      </c>
      <c r="F299" s="3" t="inlineStr">
        <is>
          <t>When an account entered as one total is broken into holdings: the total to keep, the value of the holdings listed so far, and the amount still not explained by them.</t>
        </is>
      </c>
      <c r="G299" s="11" t="inlineStr">
        <is>
          <t>NOT READ YET — the body is not a shape this can render faithfully, so nothing is claimed rather than something being guessed. It needs reading by hand.</t>
        </is>
      </c>
      <c r="H299" s="3" t="inlineStr">
        <is>
          <t>NOT READ YET — the body is not a shape this can render faithfully, so nothing is claimed rather than something being guessed. It needs reading by hand.</t>
        </is>
      </c>
      <c r="I299" s="3" t="inlineStr">
        <is>
          <t>NOT READ — nothing is claimed rather than something guessed</t>
        </is>
      </c>
      <c r="J299" s="3" t="inlineStr">
        <is>
          <t>1. lumpBalance: number
2. items: ItemHolding[]</t>
        </is>
      </c>
      <c r="K299" s="3" t="inlineStr">
        <is>
          <t>Itemising</t>
        </is>
      </c>
      <c r="L299" s="3" t="inlineStr">
        <is>
          <t>NOT FOUND — a screen calls it, but the words printed beside its answer could not be traced automatically. Needs reading.</t>
        </is>
      </c>
      <c r="M299" s="3" t="inlineStr">
        <is>
          <t>None found in this function — anything it assumes comes from the functions it depends on.</t>
        </is>
      </c>
      <c r="N299" s="3" t="inlineStr">
        <is>
          <t>Yes</t>
        </is>
      </c>
      <c r="O299" s="3" t="inlineStr">
        <is>
          <t>1. MK-NW-F-050 itemizeRemainder
2. MK-NW-F-049 itemizedTotal</t>
        </is>
      </c>
      <c r="P299" s="3" t="n">
        <v>2</v>
      </c>
      <c r="Q299" s="3" t="inlineStr">
        <is>
          <t>1. MK-NW-F-050 itemizeRemainder
2. MK-NW-F-049 itemizedTotal</t>
        </is>
      </c>
      <c r="R299" s="3" t="inlineStr">
        <is>
          <t>1. MK-NW-F-049 itemizedTotal → MK-NW-F-050 itemizeRemainder → MK-NW-F-073 itemising
2. MK-NW-F-049 itemizedTotal → MK-NW-F-073 itemising</t>
        </is>
      </c>
      <c r="S299" s="3" t="inlineStr">
        <is>
          <t>—</t>
        </is>
      </c>
      <c r="T299" s="3" t="inlineStr">
        <is>
          <t>—</t>
        </is>
      </c>
      <c r="U299" s="3" t="inlineStr">
        <is>
          <t>ACTIVE</t>
        </is>
      </c>
      <c r="V299" s="3" t="inlineStr">
        <is>
          <t>2026-09-27</t>
        </is>
      </c>
      <c r="W299" s="3" t="n"/>
      <c r="X299" s="3" t="n"/>
      <c r="Y299" s="3" t="inlineStr">
        <is>
          <t>NOTHING OPEN</t>
        </is>
      </c>
    </row>
    <row r="300" ht="60" customHeight="1">
      <c r="A300" s="3" t="inlineStr">
        <is>
          <t>MK-NW-F-075</t>
        </is>
      </c>
      <c r="B300" s="3" t="inlineStr">
        <is>
          <t>ACC</t>
        </is>
      </c>
      <c r="C300" s="3" t="inlineStr">
        <is>
          <t>MoneyKeel/functions/networth-and-performance/account.ts</t>
        </is>
      </c>
      <c r="D300" s="3" t="n">
        <v>233</v>
      </c>
      <c r="E300" s="3" t="inlineStr">
        <is>
          <t>1 · ACTION</t>
        </is>
      </c>
      <c r="F300" s="3" t="inlineStr">
        <is>
          <t>Example only: runs theAccount on the worked example and calculates nothing of its own.</t>
        </is>
      </c>
      <c r="G300" s="11" t="inlineStr">
        <is>
          <t>NOT READ YET — the body is not a shape this can render faithfully, so nothing is claimed rather than something being guessed. It needs reading by hand.</t>
        </is>
      </c>
      <c r="H300" s="3" t="inlineStr">
        <is>
          <t>NOT READ YET — the body is not a shape this can render faithfully, so nothing is claimed rather than something being guessed. It needs reading by hand.</t>
        </is>
      </c>
      <c r="I300" s="3" t="inlineStr">
        <is>
          <t>NOT READ — nothing is claimed rather than something guessed</t>
        </is>
      </c>
      <c r="J300" s="3" t="inlineStr">
        <is>
          <t>Nothing is handed to it</t>
        </is>
      </c>
      <c r="K300" s="3" t="inlineStr">
        <is>
          <t>EXAMPLE_ACCOUNT, transactions: EXAMPLE_LEDGER });</t>
        </is>
      </c>
      <c r="L300" s="3" t="inlineStr">
        <is>
          <t>—</t>
        </is>
      </c>
      <c r="M300" s="3" t="inlineStr">
        <is>
          <t>None found in this function — anything it assumes comes from the functions it depends on.</t>
        </is>
      </c>
      <c r="N300" s="3" t="inlineStr">
        <is>
          <t>No</t>
        </is>
      </c>
      <c r="O300" s="3" t="inlineStr">
        <is>
          <t>1. MK-CF-F-155 cash
2. MK-XS-F-180 declareFigures
3. MK-NW-F-073 itemising
4. MK-PF-F-004 marketValue
5. MK-ST-F-030 record
6. MK-NW-O-002 theAccount</t>
        </is>
      </c>
      <c r="P300" s="3" t="n">
        <v>24</v>
      </c>
      <c r="Q300" s="3" t="inlineStr">
        <is>
          <t>1. MK-CF-F-155 cash
2. MK-XS-F-180 declareFigures
3. MK-NW-F-073 itemising
4. MK-PF-F-004 marketValue
5. MK-ST-F-030 record
6. MK-NW-O-002 theAccount
7. MK-XS-F-122 n
8. MK-NW-F-050 itemizeRemainder
9. MK-NW-F-049 itemizedTotal
10. MK-PF-F-031 contractMultiplier
11. MK-PF-F-001 totalShares
12. MK-NW-F-027 accountClassBreakdown
13. MK-CF-F-118 cashEffect
14. MK-CF-F-132 map
15. MK-ST-F-013 personalFlowTotals
16. MK-ST-F-021 toNumber
17. MK-NW-F-011 assetClassOf
18. MK-NW-F-008 incomeBearingClassOf
19. MK-ST-F-010 nameEvidence
20. MK-XS-F-147 call
21. MK-ST-F-056 has
22. MK-ST-F-027 accountId
23. MK-XS-F-064 currentIdToken
24. MK-XS-F-112 relayUrl</t>
        </is>
      </c>
      <c r="R300" s="3" t="inlineStr">
        <is>
          <t>1. MK-XS-F-122 n → MK-CF-F-155 cash → MK-NW-F-075 ACC
2. MK-XS-F-180 declareFigures → MK-NW-F-075 ACC
3. MK-NW-F-049 itemizedTotal → MK-NW-F-050 itemizeRemainder → MK-NW-F-073 itemising → MK-NW-F-075 ACC
4. MK-NW-F-049 itemizedTotal → MK-NW-F-073 itemising → MK-NW-F-075 ACC
5. MK-PF-F-031 contractMultiplier → MK-PF-F-004 marketValue → MK-NW-F-075 ACC
6. MK-PF-F-001 totalShares → MK-PF-F-004 marketValue → MK-NW-F-075 ACC
7. MK-ST-F-030 record → MK-NW-F-075 ACC
8. MK-CF-F-155 cash → MK-NW-F-008 incomeBearingClassOf → MK-NW-F-011 assetClassOf → MK-NW-F-027 accountClassBreakdown → MK-NW-O-002 theAccount → MK-NW-F-075 ACC
9. … and 4 more paths</t>
        </is>
      </c>
      <c r="S300" s="3" t="inlineStr">
        <is>
          <t>—</t>
        </is>
      </c>
      <c r="T300" s="3" t="inlineStr">
        <is>
          <t>—</t>
        </is>
      </c>
      <c r="U300" s="3" t="inlineStr">
        <is>
          <t>ACTIVE</t>
        </is>
      </c>
      <c r="V300" s="3" t="inlineStr">
        <is>
          <t>2026-09-28</t>
        </is>
      </c>
      <c r="W300" s="3" t="n"/>
      <c r="X300" s="3" t="n"/>
      <c r="Y300" s="3" t="inlineStr">
        <is>
          <t>NOTHING OPEN</t>
        </is>
      </c>
    </row>
    <row r="301" ht="60" customHeight="1">
      <c r="A301" s="3" t="inlineStr">
        <is>
          <t>MK-NW-F-076</t>
        </is>
      </c>
      <c r="B301" s="3" t="inlineStr">
        <is>
          <t>ALT</t>
        </is>
      </c>
      <c r="C301" s="3" t="inlineStr">
        <is>
          <t>MoneyKeel/functions/networth-and-performance/alternatives-outlook.ts</t>
        </is>
      </c>
      <c r="D301" s="3" t="n">
        <v>128</v>
      </c>
      <c r="E301" s="3" t="inlineStr">
        <is>
          <t>3 · DEPENDENT (feeds an action only)</t>
        </is>
      </c>
      <c r="F301" s="3" t="inlineStr">
        <is>
          <t>Example only: runs theAlternativesOutlook on the worked example and calculates nothing of its own.</t>
        </is>
      </c>
      <c r="G301" s="11" t="inlineStr">
        <is>
          <t>NOT READ YET — the body is not a shape this can render faithfully, so nothing is claimed rather than something being guessed. It needs reading by hand.</t>
        </is>
      </c>
      <c r="H301" s="3" t="inlineStr">
        <is>
          <t>NOT READ YET — the body is not a shape this can render faithfully, so nothing is claimed rather than something being guessed. It needs reading by hand.</t>
        </is>
      </c>
      <c r="I301" s="3" t="inlineStr">
        <is>
          <t>NOT READ — nothing is claimed rather than something guessed</t>
        </is>
      </c>
      <c r="J301" s="3" t="inlineStr">
        <is>
          <t>Nothing is handed to it</t>
        </is>
      </c>
      <c r="K301" s="3" t="inlineStr">
        <is>
          <t>EXAMPLE });</t>
        </is>
      </c>
      <c r="L301" s="3" t="inlineStr">
        <is>
          <t>—</t>
        </is>
      </c>
      <c r="M301" s="3" t="inlineStr">
        <is>
          <t>None found in this function — anything it assumes comes from the functions it depends on.</t>
        </is>
      </c>
      <c r="N301" s="3" t="inlineStr">
        <is>
          <t>No</t>
        </is>
      </c>
      <c r="O301" s="3" t="inlineStr">
        <is>
          <t>1. MK-XS-F-180 declareFigures
2. MK-NW-O-005 theAlternativesOutlook</t>
        </is>
      </c>
      <c r="P301" s="3" t="n">
        <v>22</v>
      </c>
      <c r="Q301" s="3" t="inlineStr">
        <is>
          <t>1. MK-XS-F-180 declareFigures
2. MK-NW-O-005 theAlternativesOutlook
3. MK-NW-F-002 alternativesSummary
4. MK-NW-F-011 assetClassOf
5. MK-NW-F-034 benchmarkReturn
6. MK-NW-F-037 blendedReturn
7. MK-CF-F-132 map
8. MK-NW-F-001 isAlternative
9. MK-NW-F-008 incomeBearingClassOf
10. MK-NW-F-007 assetKind
11. MK-NW-F-032 earmarkedAmount
12. MK-NW-F-031 primaryCarIdOf
13. MK-CF-F-155 cash
14. MK-ST-F-010 nameEvidence
15. MK-NW-F-030 earmarkDefault
16. MK-XS-F-122 n
17. MK-XS-F-147 call
18. MK-ST-F-056 has
19. MK-NW-F-013 realEstateUseOf
20. MK-ST-F-027 accountId
21. MK-XS-F-064 currentIdToken
22. MK-XS-F-112 relayUrl</t>
        </is>
      </c>
      <c r="R301" s="3" t="inlineStr">
        <is>
          <t>1. MK-XS-F-180 declareFigures → MK-NW-F-076 ALT
2. MK-NW-F-011 assetClassOf → MK-NW-F-007 assetKind → MK-NW-F-034 benchmarkReturn → MK-NW-F-002 alternativesSummary → MK-NW-O-005 theAlternativesOutlook → MK-NW-F-076 ALT
3. MK-CF-F-155 cash → MK-NW-F-007 assetKind → MK-NW-F-034 benchmarkReturn → MK-NW-F-002 alternativesSummary → MK-NW-O-005 theAlternativesOutlook → MK-NW-F-076 ALT
4. MK-NW-F-001 isAlternative → MK-NW-F-002 alternativesSummary → MK-NW-O-005 theAlternativesOutlook → MK-NW-F-076 ALT
5. MK-XS-F-122 n → MK-CF-F-155 cash → MK-NW-F-008 incomeBearingClassOf → MK-NW-F-011 assetClassOf → MK-NW-O-005 theAlternativesOutlook → MK-NW-F-076 ALT
6. MK-XS-F-147 call → MK-ST-F-010 nameEvidence → MK-NW-F-008 incomeBearingClassOf → MK-NW-F-011 assetClassOf → MK-NW-O-005 theAlternativesOutlook → MK-NW-F-076 ALT
7. MK-ST-F-056 has → MK-ST-F-010 nameEvidence → MK-NW-F-008 incomeBearingClassOf → MK-NW-F-011 assetClassOf → MK-NW-O-005 theAlternativesOutlook → MK-NW-F-076 ALT
8. MK-CF-F-132 map → MK-ST-F-010 nameEvidence → MK-NW-F-008 incomeBearingClassOf → MK-NW-F-011 assetClassOf → MK-NW-O-005 theAlternativesOutlook → MK-NW-F-076 ALT
9. … and 4 more paths</t>
        </is>
      </c>
      <c r="S301" s="3" t="inlineStr">
        <is>
          <t>—</t>
        </is>
      </c>
      <c r="T301" s="3" t="inlineStr">
        <is>
          <t>—</t>
        </is>
      </c>
      <c r="U301" s="3" t="inlineStr">
        <is>
          <t>ACTIVE</t>
        </is>
      </c>
      <c r="V301" s="3" t="inlineStr">
        <is>
          <t>2026-10-01</t>
        </is>
      </c>
      <c r="W301" s="3" t="n"/>
      <c r="X301" s="3" t="n"/>
      <c r="Y301" s="3" t="inlineStr">
        <is>
          <t>NOTHING OPEN</t>
        </is>
      </c>
    </row>
    <row r="302" ht="60" customHeight="1">
      <c r="A302" s="3" t="inlineStr">
        <is>
          <t>MK-NW-F-077</t>
        </is>
      </c>
      <c r="B302" s="3" t="inlineStr">
        <is>
          <t>ALL</t>
        </is>
      </c>
      <c r="C302" s="3" t="inlineStr">
        <is>
          <t>MoneyKeel/functions/networth-and-performance/bonds.ts</t>
        </is>
      </c>
      <c r="D302" s="3" t="n">
        <v>314</v>
      </c>
      <c r="E302" s="3" t="inlineStr">
        <is>
          <t>1 · ACTION</t>
        </is>
      </c>
      <c r="F302" s="3" t="inlineStr">
        <is>
          <t>Example only: runs theBonds on the worked example and calculates nothing of its own.</t>
        </is>
      </c>
      <c r="G302" s="11" t="inlineStr">
        <is>
          <t>NOT READ YET — the body is not a shape this can render faithfully, so nothing is claimed rather than something being guessed. It needs reading by hand.</t>
        </is>
      </c>
      <c r="H302" s="3" t="inlineStr">
        <is>
          <t>NOT READ YET — the body is not a shape this can render faithfully, so nothing is claimed rather than something being guessed. It needs reading by hand.</t>
        </is>
      </c>
      <c r="I302" s="3" t="inlineStr">
        <is>
          <t>NOT READ — nothing is claimed rather than something guessed</t>
        </is>
      </c>
      <c r="J302" s="3" t="inlineStr">
        <is>
          <t>Nothing is handed to it</t>
        </is>
      </c>
      <c r="K302" s="3" t="inlineStr">
        <is>
          <t>EXAMPLE, today: TODAY });</t>
        </is>
      </c>
      <c r="L302" s="3" t="inlineStr">
        <is>
          <t>—</t>
        </is>
      </c>
      <c r="M302" s="3" t="inlineStr">
        <is>
          <t>None found in this function — anything it assumes comes from the functions it depends on.</t>
        </is>
      </c>
      <c r="N302" s="3" t="inlineStr">
        <is>
          <t>Yes</t>
        </is>
      </c>
      <c r="O302" s="3" t="inlineStr">
        <is>
          <t>MK-NW-O-001 theBonds</t>
        </is>
      </c>
      <c r="P302" s="3" t="n">
        <v>24</v>
      </c>
      <c r="Q302" s="3" t="inlineStr">
        <is>
          <t>1. MK-NW-O-001 theBonds
2. MK-ST-F-027 accountId
3. MK-NW-F-057 annualCoupon
4. MK-NW-F-056 bondInfo
5. MK-NW-F-064 bondRateSensitivity
6. MK-NW-F-061 bondSummary
7. MK-NW-F-055 isBond
8. MK-CF-F-132 map
9. MK-NW-F-072 rowOf
10. MK-CF-F-155 cash
11. MK-NW-F-060 approxYTM
12. MK-NW-F-069 priceAtYield
13. MK-NW-F-011 assetClassOf
14. MK-NW-F-070 accruedInterestCaveat
15. MK-NW-F-059 currentYield
16. MK-NW-F-071 isCertificateOfDeposit
17. MK-NW-F-058 yearsToMaturity
18. MK-XS-F-122 n
19. MK-NW-F-008 incomeBearingClassOf
20. MK-ST-F-010 nameEvidence
21. MK-XS-F-147 call
22. MK-ST-F-056 has
23. MK-XS-F-064 currentIdToken
24. MK-XS-F-112 relayUrl</t>
        </is>
      </c>
      <c r="R302" s="3" t="inlineStr">
        <is>
          <t>1. MK-ST-F-027 accountId → MK-NW-O-001 theBonds → MK-NW-F-077 ALL
2. MK-NW-F-057 annualCoupon → MK-NW-O-001 theBonds → MK-NW-F-077 ALL
3. MK-XS-F-122 n → MK-CF-F-155 cash → MK-NW-F-056 bondInfo → MK-NW-O-001 theBonds → MK-NW-F-077 ALL
4. MK-NW-F-057 annualCoupon → MK-NW-F-060 approxYTM → MK-NW-F-064 bondRateSensitivity → MK-NW-O-001 theBonds → MK-NW-F-077 ALL
5. MK-XS-F-122 n → MK-NW-F-060 approxYTM → MK-NW-F-064 bondRateSensitivity → MK-NW-O-001 theBonds → MK-NW-F-077 ALL
6. MK-NW-F-058 yearsToMaturity → MK-NW-F-060 approxYTM → MK-NW-F-064 bondRateSensitivity → MK-NW-O-001 theBonds → MK-NW-F-077 ALL
7. MK-NW-F-057 annualCoupon → MK-NW-F-069 priceAtYield → MK-NW-F-064 bondRateSensitivity → MK-NW-O-001 theBonds → MK-NW-F-077 ALL
8. MK-XS-F-122 n → MK-NW-F-069 priceAtYield → MK-NW-F-064 bondRateSensitivity → MK-NW-O-001 theBonds → MK-NW-F-077 ALL
9. … and 4 more paths</t>
        </is>
      </c>
      <c r="S302" s="3" t="inlineStr">
        <is>
          <t>—</t>
        </is>
      </c>
      <c r="T302" s="3" t="inlineStr">
        <is>
          <t>—</t>
        </is>
      </c>
      <c r="U302" s="3" t="inlineStr">
        <is>
          <t>ACTIVE</t>
        </is>
      </c>
      <c r="V302" s="3" t="inlineStr">
        <is>
          <t>2026-09-28</t>
        </is>
      </c>
      <c r="W302" s="3" t="n"/>
      <c r="X302" s="3" t="n"/>
      <c r="Y302" s="3" t="inlineStr">
        <is>
          <t>NOTHING OPEN</t>
        </is>
      </c>
    </row>
    <row r="303" ht="60" customHeight="1">
      <c r="A303" s="3" t="inlineStr">
        <is>
          <t>MK-NW-F-078</t>
        </is>
      </c>
      <c r="B303" s="3" t="inlineStr">
        <is>
          <t>ONE</t>
        </is>
      </c>
      <c r="C303" s="3" t="inlineStr">
        <is>
          <t>MoneyKeel/functions/networth-and-performance/bonds.ts</t>
        </is>
      </c>
      <c r="D303" s="3" t="n">
        <v>356</v>
      </c>
      <c r="E303" s="3" t="inlineStr">
        <is>
          <t>2 · DISPLAYED</t>
        </is>
      </c>
      <c r="F303" s="3" t="inlineStr">
        <is>
          <t>Example only: runs theBonds for one bond of the worked example and calculates nothing of its own.</t>
        </is>
      </c>
      <c r="G303" s="11" t="inlineStr">
        <is>
          <t>NOT READ YET — the body is not a shape this can render faithfully, so nothing is claimed rather than something being guessed. It needs reading by hand.</t>
        </is>
      </c>
      <c r="H303" s="3" t="inlineStr">
        <is>
          <t>NOT READ YET — the body is not a shape this can render faithfully, so nothing is claimed rather than something being guessed. It needs reading by hand.</t>
        </is>
      </c>
      <c r="I303" s="3" t="inlineStr">
        <is>
          <t>NOT READ — nothing is claimed rather than something guessed</t>
        </is>
      </c>
      <c r="J303" s="3" t="inlineStr">
        <is>
          <t>Nothing is handed to it</t>
        </is>
      </c>
      <c r="K303" s="3" t="inlineStr">
        <is>
          <t>EXAMPLE, accountId: 'b1', today: TODAY }).one!;</t>
        </is>
      </c>
      <c r="L303" s="3" t="inlineStr">
        <is>
          <t>NOT FOUND — a screen calls it, but the words printed beside its answer could not be traced automatically. Needs reading.</t>
        </is>
      </c>
      <c r="M303" s="3" t="inlineStr">
        <is>
          <t>1. If current yield is missing it uses 0.
2. If years left is missing it uses 0.
3. Shows 2 decimal places.
4. Shows 1 decimal place.</t>
        </is>
      </c>
      <c r="N303" s="3" t="inlineStr">
        <is>
          <t>Yes</t>
        </is>
      </c>
      <c r="O303" s="3" t="inlineStr">
        <is>
          <t>1. MK-NW-F-077 ALL
2. MK-NW-F-059 currentYield
3. MK-XS-F-180 declareFigures
4. MK-ST-F-049 formatMoney
5. MK-ST-F-053 money
6. MK-NW-O-001 theBonds</t>
        </is>
      </c>
      <c r="P303" s="3" t="n">
        <v>31</v>
      </c>
      <c r="Q303" s="3" t="inlineStr">
        <is>
          <t>1. MK-NW-F-077 ALL
2. MK-NW-F-059 currentYield
3. MK-XS-F-180 declareFigures
4. MK-ST-F-049 formatMoney
5. MK-ST-F-053 money
6. MK-NW-O-001 theBonds
7. MK-NW-F-057 annualCoupon
8. MK-ST-F-048 currencySymbol
9. MK-XS-F-122 n
10. MK-ST-F-039 on
11. MK-ST-F-027 accountId
12. MK-NW-F-056 bondInfo
13. MK-NW-F-064 bondRateSensitivity
14. MK-NW-F-061 bondSummary
15. MK-NW-F-055 isBond
16. MK-CF-F-132 map
17. MK-NW-F-072 rowOf
18. MK-ST-F-047 activeCurrency
19. MK-CF-F-155 cash
20. MK-NW-F-060 approxYTM
21. MK-NW-F-069 priceAtYield
22. MK-NW-F-011 assetClassOf
23. MK-NW-F-070 accruedInterestCaveat
24. MK-NW-F-071 isCertificateOfDeposit
25. MK-NW-F-058 yearsToMaturity
26. MK-NW-F-008 incomeBearingClassOf
27. MK-ST-F-010 nameEvidence
28. MK-XS-F-147 call
29. MK-ST-F-056 has
30. MK-XS-F-064 currentIdToken
31. MK-XS-F-112 relayUrl</t>
        </is>
      </c>
      <c r="R303" s="3" t="inlineStr">
        <is>
          <t>1. MK-ST-F-027 accountId → MK-NW-O-001 theBonds → MK-NW-F-077 ALL → MK-NW-F-078 ONE
2. MK-NW-F-057 annualCoupon → MK-NW-O-001 theBonds → MK-NW-F-077 ALL → MK-NW-F-078 ONE
3. MK-XS-F-122 n → MK-CF-F-155 cash → MK-NW-F-056 bondInfo → MK-NW-O-001 theBonds → MK-NW-F-077 ALL → MK-NW-F-078 ONE
4. MK-NW-F-057 annualCoupon → MK-NW-F-060 approxYTM → MK-NW-F-064 bondRateSensitivity → MK-NW-O-001 theBonds → MK-NW-F-077 ALL → MK-NW-F-078 ONE
5. MK-XS-F-122 n → MK-NW-F-060 approxYTM → MK-NW-F-064 bondRateSensitivity → MK-NW-O-001 theBonds → MK-NW-F-077 ALL → MK-NW-F-078 ONE
6. MK-NW-F-058 yearsToMaturity → MK-NW-F-060 approxYTM → MK-NW-F-064 bondRateSensitivity → MK-NW-O-001 theBonds → MK-NW-F-077 ALL → MK-NW-F-078 ONE
7. MK-NW-F-057 annualCoupon → MK-NW-F-069 priceAtYield → MK-NW-F-064 bondRateSensitivity → MK-NW-O-001 theBonds → MK-NW-F-077 ALL → MK-NW-F-078 ONE
8. MK-XS-F-122 n → MK-NW-F-069 priceAtYield → MK-NW-F-064 bondRateSensitivity → MK-NW-O-001 theBonds → MK-NW-F-077 ALL → MK-NW-F-078 ONE
9. … and 5 more paths</t>
        </is>
      </c>
      <c r="S303" s="3" t="inlineStr">
        <is>
          <t>—</t>
        </is>
      </c>
      <c r="T303" s="3" t="inlineStr">
        <is>
          <t>—</t>
        </is>
      </c>
      <c r="U303" s="3" t="inlineStr">
        <is>
          <t>ACTIVE</t>
        </is>
      </c>
      <c r="V303" s="3" t="inlineStr">
        <is>
          <t>2026-09-28</t>
        </is>
      </c>
      <c r="W303" s="3" t="n"/>
      <c r="X303" s="3" t="n"/>
      <c r="Y303" s="3" t="inlineStr">
        <is>
          <t>NOTHING OPEN</t>
        </is>
      </c>
    </row>
    <row r="304" ht="60" customHeight="1">
      <c r="A304" s="3" t="inlineStr">
        <is>
          <t>MK-NW-F-079</t>
        </is>
      </c>
      <c r="B304" s="3" t="inlineStr">
        <is>
          <t>EF</t>
        </is>
      </c>
      <c r="C304" s="3" t="inlineStr">
        <is>
          <t>MoneyKeel/functions/networth-and-performance/emergency-fund.ts</t>
        </is>
      </c>
      <c r="D304" s="3" t="n">
        <v>248</v>
      </c>
      <c r="E304" s="3" t="inlineStr">
        <is>
          <t>1 · ACTION</t>
        </is>
      </c>
      <c r="F304" s="3" t="inlineStr">
        <is>
          <t>Example only: runs theEmergencyFund on the worked example and calculates nothing of its own.</t>
        </is>
      </c>
      <c r="G304" s="11" t="inlineStr">
        <is>
          <t>the emergency fund(EXAMPLE)</t>
        </is>
      </c>
      <c r="H304" s="3" t="inlineStr">
        <is>
          <t>the emergency fund(EXAMPLE)</t>
        </is>
      </c>
      <c r="I304" s="3" t="inlineStr">
        <is>
          <t>READ FROM THE CODE — rendered from the expressions the function runs</t>
        </is>
      </c>
      <c r="J304" s="3" t="inlineStr">
        <is>
          <t>Nothing is handed to it</t>
        </is>
      </c>
      <c r="K304" s="3" t="inlineStr">
        <is>
          <t>NOT DECLARED — the code does not say what it gives back</t>
        </is>
      </c>
      <c r="L304" s="3" t="inlineStr">
        <is>
          <t>—</t>
        </is>
      </c>
      <c r="M304" s="3" t="inlineStr">
        <is>
          <t>1. Rounds the answer to 1 decimal place.
2. Shows 1 decimal place.</t>
        </is>
      </c>
      <c r="N304" s="3" t="inlineStr">
        <is>
          <t>No</t>
        </is>
      </c>
      <c r="O304" s="3" t="inlineStr">
        <is>
          <t>1. MK-CF-F-155 cash
2. MK-XS-F-180 declareFigures
3. MK-CF-F-190 essentialsMonthly
4. MK-ST-F-049 formatMoney
5. MK-NW-O-004 theEmergencyFund</t>
        </is>
      </c>
      <c r="P304" s="3" t="n">
        <v>108</v>
      </c>
      <c r="Q304" s="3" t="inlineStr">
        <is>
          <t>1. MK-CF-F-155 cash
2. MK-XS-F-180 declareFigures
3. MK-CF-F-190 essentialsMonthly
4. MK-ST-F-049 formatMoney
5. MK-NW-O-004 theEmergencyFund
6. MK-XS-F-122 n
7. MK-CF-F-189 essentialsFromLoggedSpending
8. MK-CF-O-002 expenses
9. MK-ST-F-048 currencySymbol
10. MK-ST-F-039 on
11. MK-NW-F-016 cashTotal
12. MK-CF-F-010 emergencyTest
13. MK-CF-F-009 monthlyEssentials
14. MK-CF-F-002 plannedMonthlySpend
15. MK-CF-F-023 requiredPayment
16. MK-ST-F-056 has
17. MK-ST-F-052 toNum
18. MK-CF-F-191 ym
19. MK-CF-F-151 actualSpending
20. MK-CF-F-150 debtPaymentsCountedAsExpenses
21. MK-CF-F-153 radar
22. MK-CF-F-149 recurringDebtPayments
23. MK-ST-F-047 activeCurrency
24. MK-NW-F-027 accountClassBreakdown
25. MK-NW-F-011 assetClassOf
26. MK-CF-F-120 pctBaseMonthly
27. MK-CF-F-004 spendBuckets
28. MK-CF-F-092 incomeMonthlyGrid
29. MK-XS-F-027 takeHomeMonthly
30. MK-CF-F-022 paymentShape
31. MK-CF-F-148 inMonth
32. MK-CF-F-152 isRadarItem
33. MK-CF-F-132 map
34. MK-NW-F-008 incomeBearingClassOf
35. MK-CF-F-003 categoryMonthly
36. MK-CF-F-069 benefitActiveMonths
37. MK-CF-F-072 currentRetirementIncomeMonthly
38. MK-CF-F-173 earnerWages
39. MK-CF-F-065 equityVestWeights
40. MK-CF-F-071 extraIncome
41. MK-CF-F-206 householdK401ByMonth
42. MK-CF-F-087 monthlyTaxRates
43. MK-CF-F-073 otherIncomeMonth
44. MK-CF-F-181 rateInForce
45. MK-CF-F-068 rentalNetAnnual
46. MK-CF-F-066 rsuAnnual
47. MK-CF-F-060 salaryGrossByMonth
48. MK-CF-F-077 scholarshipByCalendarMonth
49. MK-CF-F-088 taxableByCalendarMonth
50. MK-CF-F-177 wageGrossByMonth
51. MK-PL-F-012 waterfall
52. MK-CF-F-011 savingsByMonth
53. MK-CF-F-021 defaultPaymentType
54. MK-ST-F-010 nameEvidence
55. MK-CF-F-075 retirementIncomeMonthly
56. MK-CF-F-172 hasWage
57. MK-CF-F-062 equityRowValue
58. MK-CF-F-070 benefitAnnual
59. MK-CF-F-176 sumMonthsOverEarners
60. MK-CF-F-203 MONTH
61. MK-CF-F-090 effectiveRate
62. MK-CF-F-180 enteredLandsAnnual
63. MK-CF-F-085 filingStatusOf
64. MK-CF-F-089 over65CountOf
65. MK-CF-F-082 salaryAnnual
66. MK-CF-F-086 stateRateOf
67. MK-CF-F-101 taxOwedFor
68. MK-CF-F-084 taxableAnnual
69. MK-CF-F-067 rentalList
70. MK-CF-F-063 rowVestYear
71. MK-CF-F-130 enteredMonthlyRaw
72. MK-CF-F-166 hasMonthlySalaryTable
73. MK-ST-F-036 reconcile
74. MK-CF-F-167 salaryCalendarYear
75. MK-CF-F-008 spendByMonth
76. MK-XS-F-147 call
77. MK-CF-O-010 theMonth
78. MK-CF-F-100 taxableIncomeFor
79. MK-CF-F-074 tipsAnnual
80. MK-CF-F-165 salaryMonths
81. MK-ST-F-027 accountId
82. MK-XS-F-064 currentIdToken
83. MK-XS-F-112 relayUrl
84. MK-CF-O-003 thisMonth
85. MK-CF-F-099 deductionFor
86. MK-CF-F-081 salaryActiveMonths
87. MK-CF-F-005 actualMonthFlow
88. MK-CF-F-156 plannedMonthFlow
89. MK-CF-F-187 seniorDeductionFor
90. MK-NW-F-078 ONE
91. MK-CF-F-157 debtPaymentsByDebt
92. MK-CF-F-192 inflowLabel
93. MK-NW-F-077 ALL
94. MK-NW-F-059 currentYield
95. MK-ST-F-053 money
96. MK-NW-O-001 theBonds
97. MK-CF-F-193 inflowSourceWord
98. MK-NW-F-057 annualCoupon
99. MK-NW-F-056 bondInfo
100. MK-NW-F-064 bondRateSensitivity
101. MK-NW-F-061 bondSummary
102. MK-NW-F-055 isBond
103. MK-NW-F-072 rowOf
104. MK-NW-F-060 approxYTM
105. MK-NW-F-069 priceAtYield
106. MK-NW-F-070 accruedInterestCaveat
107. MK-NW-F-071 isCertificateOfDeposit
108. MK-NW-F-058 yearsToMaturity</t>
        </is>
      </c>
      <c r="R304" s="3" t="inlineStr">
        <is>
          <t>1. MK-XS-F-122 n → MK-CF-F-155 cash → MK-NW-F-079 EF
2. MK-XS-F-180 declareFigures → MK-NW-F-079 EF
3. MK-ST-F-056 has → MK-CF-F-189 essentialsFromLoggedSpending → MK-CF-F-190 essentialsMonthly → MK-NW-F-079 EF
4. MK-XS-F-122 n → MK-CF-F-189 essentialsFromLoggedSpending → MK-CF-F-190 essentialsMonthly → MK-NW-F-079 EF
5. MK-XS-F-122 n → MK-ST-F-052 toNum → MK-CF-F-189 essentialsFromLoggedSpending → MK-CF-F-190 essentialsMonthly → MK-NW-F-079 EF
6. MK-CF-F-191 ym → MK-CF-F-189 essentialsFromLoggedSpending → MK-CF-F-190 essentialsMonthly → MK-NW-F-079 EF
7. MK-CF-F-191 ym → MK-CF-F-148 inMonth → MK-CF-F-151 actualSpending → MK-CF-O-002 expenses → MK-CF-F-190 essentialsMonthly → MK-NW-F-079 EF
8. MK-XS-F-122 n → MK-ST-F-052 toNum → MK-CF-F-151 actualSpending → MK-CF-O-002 expenses → MK-CF-F-190 essentialsMonthly → MK-NW-F-079 EF
9. … and 5 more paths</t>
        </is>
      </c>
      <c r="S304" s="3" t="inlineStr">
        <is>
          <t>—</t>
        </is>
      </c>
      <c r="T304" s="3" t="inlineStr">
        <is>
          <t>—</t>
        </is>
      </c>
      <c r="U304" s="3" t="inlineStr">
        <is>
          <t>ACTIVE</t>
        </is>
      </c>
      <c r="V304" s="3" t="inlineStr">
        <is>
          <t>2026-09-28</t>
        </is>
      </c>
      <c r="W304" s="3" t="n"/>
      <c r="X304" s="3" t="n"/>
      <c r="Y304" s="3" t="inlineStr">
        <is>
          <t>NOTHING OPEN</t>
        </is>
      </c>
    </row>
    <row r="305" ht="60" customHeight="1">
      <c r="A305" s="3" t="inlineStr">
        <is>
          <t>MK-NW-F-080</t>
        </is>
      </c>
      <c r="B305" s="3" t="inlineStr">
        <is>
          <t>HOLD</t>
        </is>
      </c>
      <c r="C305" s="3" t="inlineStr">
        <is>
          <t>MoneyKeel/functions/networth-and-performance/holding.ts</t>
        </is>
      </c>
      <c r="D305" s="3" t="n">
        <v>211</v>
      </c>
      <c r="E305" s="3" t="inlineStr">
        <is>
          <t>1 · ACTION</t>
        </is>
      </c>
      <c r="F305" s="3" t="inlineStr">
        <is>
          <t>Example only: runs theHolding on the worked example and calculates nothing of its own.</t>
        </is>
      </c>
      <c r="G305" s="11" t="inlineStr">
        <is>
          <t>NOT READ YET — the body is not a shape this can render faithfully, so nothing is claimed rather than something being guessed. It needs reading by hand.</t>
        </is>
      </c>
      <c r="H305" s="3" t="inlineStr">
        <is>
          <t>NOT READ YET — the body is not a shape this can render faithfully, so nothing is claimed rather than something being guessed. It needs reading by hand.</t>
        </is>
      </c>
      <c r="I305" s="3" t="inlineStr">
        <is>
          <t>NOT READ — nothing is claimed rather than something guessed</t>
        </is>
      </c>
      <c r="J305" s="3" t="inlineStr">
        <is>
          <t>Nothing is handed to it</t>
        </is>
      </c>
      <c r="K305" s="3" t="inlineStr">
        <is>
          <t>EXAMPLE_POSITION, accountId: 'a2', price: 290,</t>
        </is>
      </c>
      <c r="L305" s="3" t="inlineStr">
        <is>
          <t>—</t>
        </is>
      </c>
      <c r="M305" s="3" t="inlineStr">
        <is>
          <t>None found in this function — anything it assumes comes from the functions it depends on.</t>
        </is>
      </c>
      <c r="N305" s="3" t="inlineStr">
        <is>
          <t>No</t>
        </is>
      </c>
      <c r="O305" s="3" t="inlineStr">
        <is>
          <t>1. MK-XS-F-180 declareFigures
2. MK-NW-O-006 theHolding</t>
        </is>
      </c>
      <c r="P305" s="3" t="n">
        <v>10</v>
      </c>
      <c r="Q305" s="3" t="inlineStr">
        <is>
          <t>1. MK-XS-F-180 declareFigures
2. MK-NW-O-006 theHolding
3. MK-PF-F-006 capGains
4. MK-PF-F-002 costBasis
5. MK-CF-F-132 map
6. MK-PF-F-004 marketValue
7. MK-PF-F-028 realizedFromLedger
8. MK-PF-F-001 totalShares
9. MK-XS-F-122 n
10. MK-PF-F-031 contractMultiplier</t>
        </is>
      </c>
      <c r="R305" s="3" t="inlineStr">
        <is>
          <t>1. MK-XS-F-180 declareFigures → MK-NW-F-080 HOLD
2. MK-XS-F-122 n → MK-PF-F-006 capGains → MK-NW-O-006 theHolding → MK-NW-F-080 HOLD
3. MK-PF-F-031 contractMultiplier → MK-PF-F-002 costBasis → MK-NW-O-006 theHolding → MK-NW-F-080 HOLD
4. MK-CF-F-132 map → MK-NW-O-006 theHolding → MK-NW-F-080 HOLD
5. MK-PF-F-031 contractMultiplier → MK-PF-F-004 marketValue → MK-NW-O-006 theHolding → MK-NW-F-080 HOLD
6. MK-PF-F-001 totalShares → MK-PF-F-004 marketValue → MK-NW-O-006 theHolding → MK-NW-F-080 HOLD
7. MK-PF-F-028 realizedFromLedger → MK-NW-O-006 theHolding → MK-NW-F-080 HOLD
8. MK-PF-F-001 totalShares → MK-NW-O-006 theHolding → MK-NW-F-080 HOLD</t>
        </is>
      </c>
      <c r="S305" s="3" t="inlineStr">
        <is>
          <t>—</t>
        </is>
      </c>
      <c r="T305" s="3" t="inlineStr">
        <is>
          <t>—</t>
        </is>
      </c>
      <c r="U305" s="3" t="inlineStr">
        <is>
          <t>ACTIVE</t>
        </is>
      </c>
      <c r="V305" s="3" t="inlineStr">
        <is>
          <t>2026-09-28</t>
        </is>
      </c>
      <c r="W305" s="3" t="n"/>
      <c r="X305" s="3" t="n"/>
      <c r="Y305" s="3" t="inlineStr">
        <is>
          <t>NOTHING OPEN</t>
        </is>
      </c>
    </row>
    <row r="306" ht="60" customHeight="1">
      <c r="A306" s="3" t="inlineStr">
        <is>
          <t>MK-NW-F-081</t>
        </is>
      </c>
      <c r="B306" s="3" t="inlineStr">
        <is>
          <t>LB</t>
        </is>
      </c>
      <c r="C306" s="3" t="inlineStr">
        <is>
          <t>MoneyKeel/functions/networth-and-performance/look-back.ts</t>
        </is>
      </c>
      <c r="D306" s="3" t="n">
        <v>96</v>
      </c>
      <c r="E306" s="3" t="inlineStr">
        <is>
          <t>1 · ACTION</t>
        </is>
      </c>
      <c r="F306" s="3" t="inlineStr">
        <is>
          <t>Example only: runs theLookBack on the worked example and calculates nothing of its own.</t>
        </is>
      </c>
      <c r="G306" s="11" t="inlineStr">
        <is>
          <t>the look back(EXAMPLE)!</t>
        </is>
      </c>
      <c r="H306" s="3" t="inlineStr">
        <is>
          <t>the look back(EXAMPLE)!</t>
        </is>
      </c>
      <c r="I306" s="3" t="inlineStr">
        <is>
          <t>READ FROM THE CODE — rendered from the expressions the function runs</t>
        </is>
      </c>
      <c r="J306" s="3" t="inlineStr">
        <is>
          <t>Nothing is handed to it</t>
        </is>
      </c>
      <c r="K306" s="3" t="inlineStr">
        <is>
          <t>NOT DECLARED — the code does not say what it gives back</t>
        </is>
      </c>
      <c r="L306" s="3" t="inlineStr">
        <is>
          <t>—</t>
        </is>
      </c>
      <c r="M306" s="3" t="inlineStr">
        <is>
          <t>None found in this function — anything it assumes comes from the functions it depends on.</t>
        </is>
      </c>
      <c r="N306" s="3" t="inlineStr">
        <is>
          <t>No</t>
        </is>
      </c>
      <c r="O306" s="3" t="inlineStr">
        <is>
          <t>1. MK-XS-F-180 declareFigures
2. MK-ST-F-053 money
3. MK-NW-O-007 theLookBack</t>
        </is>
      </c>
      <c r="P306" s="3" t="n">
        <v>11</v>
      </c>
      <c r="Q306" s="3" t="inlineStr">
        <is>
          <t>1. MK-XS-F-180 declareFigures
2. MK-ST-F-053 money
3. MK-NW-O-007 theLookBack
4. MK-ST-F-049 formatMoney
5. MK-XS-F-122 n
6. MK-PF-F-023 lookBack
7. MK-ST-F-048 currencySymbol
8. MK-ST-F-039 on
9. MK-PF-F-022 factorOverMonths
10. MK-ST-F-047 activeCurrency
11. MK-ST-F-065 isoLocalDate</t>
        </is>
      </c>
      <c r="R306" s="3" t="inlineStr">
        <is>
          <t>1. MK-XS-F-180 declareFigures → MK-NW-F-081 LB
2. MK-ST-F-047 activeCurrency → MK-ST-F-048 currencySymbol → MK-ST-F-049 formatMoney → MK-ST-F-053 money → MK-NW-F-081 LB
3. MK-XS-F-122 n → MK-ST-F-049 formatMoney → MK-ST-F-053 money → MK-NW-F-081 LB
4. MK-ST-F-039 on → MK-ST-F-049 formatMoney → MK-ST-F-053 money → MK-NW-F-081 LB
5. MK-XS-F-122 n → MK-ST-F-053 money → MK-NW-F-081 LB
6. MK-ST-F-065 isoLocalDate → MK-PF-F-022 factorOverMonths → MK-PF-F-023 lookBack → MK-NW-O-007 theLookBack → MK-NW-F-081 LB</t>
        </is>
      </c>
      <c r="S306" s="3" t="inlineStr">
        <is>
          <t>—</t>
        </is>
      </c>
      <c r="T306" s="3" t="inlineStr">
        <is>
          <t>—</t>
        </is>
      </c>
      <c r="U306" s="3" t="inlineStr">
        <is>
          <t>ACTIVE</t>
        </is>
      </c>
      <c r="V306" s="3" t="inlineStr">
        <is>
          <t>2026-09-28</t>
        </is>
      </c>
      <c r="W306" s="3" t="n"/>
      <c r="X306" s="3" t="n"/>
      <c r="Y306" s="3" t="inlineStr">
        <is>
          <t>NOTHING OPEN</t>
        </is>
      </c>
    </row>
    <row r="307" ht="60" customHeight="1">
      <c r="A307" s="3" t="inlineStr">
        <is>
          <t>MK-NW-F-082</t>
        </is>
      </c>
      <c r="B307" s="3" t="inlineStr">
        <is>
          <t>NW</t>
        </is>
      </c>
      <c r="C307" s="3" t="inlineStr">
        <is>
          <t>MoneyKeel/functions/networth-and-performance/net-worth.ts</t>
        </is>
      </c>
      <c r="D307" s="3" t="n">
        <v>314</v>
      </c>
      <c r="E307" s="3" t="inlineStr">
        <is>
          <t>1 · ACTION</t>
        </is>
      </c>
      <c r="F307" s="3" t="inlineStr">
        <is>
          <t>Example only: runs theNetWorth on the worked example and calculates nothing of its own.</t>
        </is>
      </c>
      <c r="G307" s="11" t="inlineStr">
        <is>
          <t>the net worth(EXAMPLE)</t>
        </is>
      </c>
      <c r="H307" s="3" t="inlineStr">
        <is>
          <t>the net worth(EXAMPLE)</t>
        </is>
      </c>
      <c r="I307" s="3" t="inlineStr">
        <is>
          <t>READ FROM THE CODE — rendered from the expressions the function runs</t>
        </is>
      </c>
      <c r="J307" s="3" t="inlineStr">
        <is>
          <t>Nothing is handed to it</t>
        </is>
      </c>
      <c r="K307" s="3" t="inlineStr">
        <is>
          <t>NOT DECLARED — the code does not say what it gives back</t>
        </is>
      </c>
      <c r="L307" s="3" t="inlineStr">
        <is>
          <t>—</t>
        </is>
      </c>
      <c r="M307" s="3" t="inlineStr">
        <is>
          <t>None found in this function — anything it assumes comes from the functions it depends on.</t>
        </is>
      </c>
      <c r="N307" s="3" t="inlineStr">
        <is>
          <t>Yes</t>
        </is>
      </c>
      <c r="O307" s="3" t="inlineStr">
        <is>
          <t>1. MK-NW-F-097 LEDGER
2. MK-NW-O-003 theNetWorth</t>
        </is>
      </c>
      <c r="P307" s="3" t="n">
        <v>200</v>
      </c>
      <c r="Q307" s="3" t="inlineStr">
        <is>
          <t>1. MK-NW-F-097 LEDGER
2. MK-NW-O-003 theNetWorth
3. MK-NW-F-096 CLASS_KEY_OF
4. MK-NW-F-095 CLASS_LABEL_OF
5. MK-NW-F-094 ledgerGroups
6. MK-NW-F-078 ONE
7. MK-NW-F-029 assetAllocation
8. MK-NW-F-039 buildAssetsState
9. MK-CF-F-036 buildDebtState
10. MK-NW-F-065 buildNetWorth
11. MK-NW-F-016 cashTotal
12. MK-NW-F-022 investableAssets
13. MK-XS-F-010 investableChangePct
14. MK-NW-F-021 investmentsTotal
15. MK-CF-F-132 map
16. MK-ST-F-039 on
17. MK-CF-F-023 requiredPayment
18. MK-XS-F-005 trendPoints
19. MK-XS-F-175 uid
20. MK-NW-F-077 ALL
21. MK-NW-F-059 currentYield
22. MK-XS-F-180 declareFigures
23. MK-ST-F-049 formatMoney
24. MK-ST-F-053 money
25. MK-NW-O-001 theBonds
26. MK-NW-F-027 accountClassBreakdown
27. MK-NW-F-011 assetClassOf
28. MK-CF-F-026 actualDebtPayment
29. MK-CF-F-204 line
30. MK-CF-F-025 minimumDebtService
31. MK-NW-F-014 isRealAsset
32. MK-NW-F-066 sumWhere
33. MK-NW-F-015 totalAssets
34. MK-CF-F-155 cash
35. MK-CF-F-022 paymentShape
36. MK-XS-F-009 readHistory
37. MK-ST-F-027 accountId
38. MK-CF-F-111 applyTransaction
39. MK-NW-F-040 assetsFromOnboarding
40. MK-PF-F-013 benchmarkTicker
41. MK-ST-F-028 buildDayFromAccounts
42. MK-PF-F-034 closeOnOrBefore
43. MK-CF-F-186 convertTakeHomeMode
44. MK-ST-F-079 dailyWindowStart
45. MK-CF-F-038 debtsFromOnboarding
46. MK-XS-F-083 fetchPriceSeries
47. MK-PL-F-013 goalsFromOnboarding
48. MK-ST-F-056 has
49. MK-CF-F-116 inverseOf
50. MK-ST-F-065 isoLocalDate
51. MK-CF-F-112 makeTransaction
52. MK-XS-F-122 n
53. MK-ST-F-043 newEntityId
54. MK-XS-F-006 pruneDaily
55. MK-ST-F-073 rebuildDays
56. MK-NW-F-054 reclassifyAccounts
57. MK-XS-F-174 recomputeBalances
58. MK-CF-F-115 restoreUndo
59. MK-CF-F-109 reviewTransactions
60. MK-ST-F-044 setMoneyFormat
61. MK-CF-F-114 undoSnapshot
62. MK-CF-F-191 ym
63. MK-NW-F-057 annualCoupon
64. MK-ST-F-048 currencySymbol
65. MK-NW-F-056 bondInfo
66. MK-NW-F-064 bondRateSensitivity
67. MK-NW-F-061 bondSummary
68. MK-NW-F-055 isBond
69. MK-NW-F-072 rowOf
70. MK-NW-F-008 incomeBearingClassOf
71. MK-CF-F-024 totalDebtMonthly
72. MK-CF-F-203 MONTH
73. MK-CF-F-021 defaultPaymentType
74. MK-XS-F-008 normalizeSnapshot
75. MK-CF-F-138 addLot
76. MK-CF-F-136 bumpCash
77. MK-CF-F-137 findPos
78. MK-CF-F-139 removeShares
79. MK-PF-F-001 totalShares
80. MK-ST-F-052 toNum
81. MK-CF-F-085 filingStatusOf
82. MK-CF-F-097 grossFromNet
83. MK-CF-F-185 needsTakeHomeConversion
84. MK-CF-F-089 over65CountOf
85. MK-CF-F-037 inferDebtType
86. MK-ST-F-069 amountOf
87. MK-CF-F-133 cashOf
88. MK-ST-F-066 isDayKey
89. MK-ST-F-070 isOpening
90. MK-ST-F-071 rebuildableFrom
91. MK-ST-F-068 stepDay
92. MK-ST-F-072 undo
93. MK-NW-F-053 correctClassOf
94. MK-PF-F-002 costBasis
95. MK-PF-F-009 latestClose
96. MK-PF-F-004 marketValue
97. MK-ST-F-030 record
98. MK-XS-F-024 resolveLens
99. MK-ST-F-055 round2
100. MK-CF-F-162 daysApart
101. MK-CF-F-108 isMoneyOut
102. MK-PL-F-074 median
103. MK-CF-F-131 normPayee
104. MK-CF-F-113 affectedAccountIds
105. MK-ST-F-047 activeCurrency
106. MK-NW-F-060 approxYTM
107. MK-NW-F-069 priceAtYield
108. MK-NW-F-070 accruedInterestCaveat
109. MK-NW-F-071 isCertificateOfDeposit
110. MK-NW-F-058 yearsToMaturity
111. MK-ST-F-010 nameEvidence
112. MK-CF-F-201 INCOME
113. MK-CF-O-010 theMonth
114. MK-XS-F-121 isYm
115. MK-CF-F-134 usesSleeve
116. MK-CF-F-101 taxOwedFor
117. MK-ST-F-067 utcOfDay
118. MK-ST-F-035 covers
119. MK-NW-F-009 maturityClass
120. MK-PF-F-031 contractMultiplier
121. MK-CF-F-072 currentRetirementIncomeMonthly
122. MK-XS-F-147 call
123. MK-CF-F-207 SOURCE
124. MK-CF-O-004 incomeSummary
125. MK-CF-O-002 expenses
126. MK-CF-O-003 thisMonth
127. MK-CF-F-100 taxableIncomeFor
128. MK-ST-F-034 firstDate
129. MK-CF-F-075 retirementIncomeMonthly
130. MK-XS-F-064 currentIdToken
131. MK-XS-F-112 relayUrl
132. MK-CF-O-016 incomeSources
133. MK-CF-O-001 basePay
134. MK-CF-F-069 benefitActiveMonths
135. MK-CF-F-173 earnerWages
136. MK-CF-F-179 entryFromWage
137. MK-CF-F-071 extraIncome
138. MK-CF-F-092 incomeMonthlyGrid
139. MK-CF-F-192 inflowLabel
140. MK-CF-F-103 marginalBracketFor
141. MK-CF-F-181 rateInForce
142. MK-CF-F-068 rentalNetAnnual
143. MK-CF-F-082 salaryAnnual
144. MK-CF-F-060 salaryGrossByMonth
145. MK-CF-F-084 taxableAnnual
146. MK-CF-F-151 actualSpending
147. MK-CF-F-150 debtPaymentsCountedAsExpenses
148. MK-CF-F-153 radar
149. MK-CF-F-149 recurringDebtPayments
150. MK-CF-F-005 actualMonthFlow
151. MK-CF-F-156 plannedMonthFlow
152. MK-CF-F-099 deductionFor
153. MK-CF-F-066 rsuAnnual
154. MK-CF-F-171 earnerPay
155. MK-HM-F-006 money0
156. MK-CF-F-198 payrollTaxWithheld
157. MK-CF-F-172 hasWage
158. MK-CF-F-165 salaryMonths
159. MK-CF-F-070 benefitAnnual
160. MK-CF-F-065 equityVestWeights
161. MK-CF-F-206 householdK401ByMonth
162. MK-CF-F-087 monthlyTaxRates
163. MK-CF-F-073 otherIncomeMonth
164. MK-CF-F-077 scholarshipByCalendarMonth
165. MK-CF-F-088 taxableByCalendarMonth
166. MK-CF-F-177 wageGrossByMonth
167. MK-PL-F-012 waterfall
168. MK-CF-F-193 inflowSourceWord
169. MK-CF-F-180 enteredLandsAnnual
170. MK-CF-F-086 stateRateOf
171. MK-CF-F-067 rentalList
172. MK-CF-F-176 sumMonthsOverEarners
173. MK-CF-F-074 tipsAnnual
174. MK-CF-F-148 inMonth
175. MK-CF-F-152 isRadarItem
176. MK-CF-F-157 debtPaymentsByDebt
177. MK-XS-F-027 takeHomeMonthly
178. MK-CF-F-187 seniorDeductionFor
179. MK-CF-F-062 equityRowValue
180. MK-CF-F-063 rowVestYear
181. MK-CF-F-143 annualisedGross
182. MK-CF-F-145 deductionsFromPay
183. MK-CF-F-128 grossByMonth
184. MK-CF-F-146 payFiguresAgree
185. MK-CF-F-144 takeHomeAsEntered
186. MK-HM-F-005 pctTxt
187. MK-CF-F-090 effectiveRate
188. MK-CF-F-130 enteredMonthlyRaw
189. MK-CF-F-166 hasMonthlySalaryTable
190. MK-ST-F-036 reconcile
191. MK-CF-F-167 salaryCalendarYear
192. MK-CF-F-081 salaryActiveMonths
193. MK-CF-F-011 savingsByMonth
194. MK-CF-F-142 monthsOf
195. MK-CF-F-141 perMonth
196. MK-CF-F-008 spendByMonth
197. MK-CF-F-140 periodsAYear
198. MK-CF-F-120 pctBaseMonthly
199. MK-CF-F-004 spendBuckets
200. MK-CF-F-003 categoryMonthly</t>
        </is>
      </c>
      <c r="R307" s="3" t="inlineStr">
        <is>
          <t>1. MK-NW-F-096 CLASS_KEY_OF → MK-NW-F-097 LEDGER → MK-NW-F-082 NW
2. MK-NW-F-095 CLASS_LABEL_OF → MK-NW-F-097 LEDGER → MK-NW-F-082 NW
3. MK-NW-F-094 ledgerGroups → MK-NW-F-097 LEDGER → MK-NW-F-082 NW
4. MK-ST-F-027 accountId → MK-NW-O-001 theBonds → MK-NW-F-077 ALL → MK-NW-F-078 ONE → MK-NW-O-003 theNetWorth → MK-NW-F-082 NW
5. MK-NW-F-057 annualCoupon → MK-NW-O-001 theBonds → MK-NW-F-077 ALL → MK-NW-F-078 ONE → MK-NW-O-003 theNetWorth → MK-NW-F-082 NW
6. MK-NW-F-056 bondInfo → MK-NW-O-001 theBonds → MK-NW-F-077 ALL → MK-NW-F-078 ONE → MK-NW-O-003 theNetWorth → MK-NW-F-082 NW
7. MK-NW-F-064 bondRateSensitivity → MK-NW-O-001 theBonds → MK-NW-F-077 ALL → MK-NW-F-078 ONE → MK-NW-O-003 theNetWorth → MK-NW-F-082 NW
8. MK-NW-F-061 bondSummary → MK-NW-O-001 theBonds → MK-NW-F-077 ALL → MK-NW-F-078 ONE → MK-NW-O-003 theNetWorth → MK-NW-F-082 NW
9. … and 4 more paths</t>
        </is>
      </c>
      <c r="S307" s="3" t="inlineStr">
        <is>
          <t>—</t>
        </is>
      </c>
      <c r="T307" s="3" t="inlineStr">
        <is>
          <t>—</t>
        </is>
      </c>
      <c r="U307" s="3" t="inlineStr">
        <is>
          <t>ACTIVE</t>
        </is>
      </c>
      <c r="V307" s="3" t="inlineStr">
        <is>
          <t>2026-09-28</t>
        </is>
      </c>
      <c r="W307" s="3" t="n"/>
      <c r="X307" s="3" t="n"/>
      <c r="Y307" s="3" t="inlineStr">
        <is>
          <t>NOTHING OPEN</t>
        </is>
      </c>
    </row>
    <row r="308" ht="60" customHeight="1">
      <c r="A308" s="3" t="inlineStr">
        <is>
          <t>MK-NW-F-083</t>
        </is>
      </c>
      <c r="B308" s="3" t="inlineStr">
        <is>
          <t>PERF</t>
        </is>
      </c>
      <c r="C308" s="3" t="inlineStr">
        <is>
          <t>MoneyKeel/functions/networth-and-performance/performance.ts</t>
        </is>
      </c>
      <c r="D308" s="3" t="n">
        <v>712</v>
      </c>
      <c r="E308" s="3" t="inlineStr">
        <is>
          <t>1 · ACTION</t>
        </is>
      </c>
      <c r="F308" s="3" t="inlineStr">
        <is>
          <t>Example only: runs thePerformance on the worked example and calculates nothing of its own.</t>
        </is>
      </c>
      <c r="G308" s="11" t="inlineStr">
        <is>
          <t>the performance(EXAMPLE)</t>
        </is>
      </c>
      <c r="H308" s="3" t="inlineStr">
        <is>
          <t>the performance(EXAMPLE)</t>
        </is>
      </c>
      <c r="I308" s="3" t="inlineStr">
        <is>
          <t>READ FROM THE CODE — rendered from the expressions the function runs</t>
        </is>
      </c>
      <c r="J308" s="3" t="inlineStr">
        <is>
          <t>Nothing is handed to it</t>
        </is>
      </c>
      <c r="K308" s="3" t="inlineStr">
        <is>
          <t>NOT DECLARED — the code does not say what it gives back</t>
        </is>
      </c>
      <c r="L308" s="3" t="inlineStr">
        <is>
          <t>—</t>
        </is>
      </c>
      <c r="M308" s="3" t="inlineStr">
        <is>
          <t>None found in this function — anything it assumes comes from the functions it depends on.</t>
        </is>
      </c>
      <c r="N308" s="3" t="inlineStr">
        <is>
          <t>No</t>
        </is>
      </c>
      <c r="O308" s="3" t="inlineStr">
        <is>
          <t>MK-NW-O-008 thePerformance</t>
        </is>
      </c>
      <c r="P308" s="3" t="n">
        <v>48</v>
      </c>
      <c r="Q308" s="3" t="inlineStr">
        <is>
          <t>1. MK-NW-O-008 thePerformance
2. MK-XS-F-011 buildChangeWalk
3. MK-CF-F-132 map
4. MK-ST-F-064 modifiedDietzOverWindow
5. MK-ST-F-013 personalFlowTotals
6. MK-NW-F-102 rateWhereItRefuses
7. MK-ST-F-030 record
8. MK-ST-F-021 toNumber
9. MK-ST-F-031 valueOn
10. MK-ST-F-038 windowBounds
11. MK-ST-F-053 money
12. MK-ST-F-062 toUtc
13. MK-NW-F-078 ONE
14. MK-PF-F-026 moneyWeightedReturn
15. MK-XS-F-122 n
16. MK-ST-F-027 accountId
17. MK-CF-F-155 cash
18. MK-ST-F-056 has
19. MK-ST-F-033 onOrBefore
20. MK-ST-F-063 shiftDay
21. MK-ST-F-049 formatMoney
22. MK-NW-F-077 ALL
23. MK-NW-F-059 currentYield
24. MK-XS-F-180 declareFigures
25. MK-NW-O-001 theBonds
26. MK-PF-F-025 historyIsComplete
27. MK-PF-F-030 npv
28. MK-PF-F-024 userFlows
29. MK-ST-F-048 currencySymbol
30. MK-ST-F-039 on
31. MK-NW-F-057 annualCoupon
32. MK-NW-F-056 bondInfo
33. MK-NW-F-064 bondRateSensitivity
34. MK-NW-F-061 bondSummary
35. MK-NW-F-055 isBond
36. MK-NW-F-072 rowOf
37. MK-ST-F-047 activeCurrency
38. MK-NW-F-060 approxYTM
39. MK-NW-F-069 priceAtYield
40. MK-NW-F-011 assetClassOf
41. MK-NW-F-070 accruedInterestCaveat
42. MK-NW-F-071 isCertificateOfDeposit
43. MK-NW-F-058 yearsToMaturity
44. MK-NW-F-008 incomeBearingClassOf
45. MK-ST-F-010 nameEvidence
46. MK-XS-F-147 call
47. MK-XS-F-064 currentIdToken
48. MK-XS-F-112 relayUrl</t>
        </is>
      </c>
      <c r="R308" s="3" t="inlineStr">
        <is>
          <t>1. MK-XS-F-011 buildChangeWalk → MK-NW-O-008 thePerformance → MK-NW-F-083 PERF
2. MK-CF-F-132 map → MK-NW-O-008 thePerformance → MK-NW-F-083 PERF
3. MK-CF-F-132 map → MK-ST-F-064 modifiedDietzOverWindow → MK-NW-O-008 thePerformance → MK-NW-F-083 PERF
4. MK-ST-F-048 currencySymbol → MK-ST-F-049 formatMoney → MK-ST-F-053 money → MK-ST-F-064 modifiedDietzOverWindow → MK-NW-O-008 thePerformance → MK-NW-F-083 PERF
5. MK-XS-F-122 n → MK-ST-F-049 formatMoney → MK-ST-F-053 money → MK-ST-F-064 modifiedDietzOverWindow → MK-NW-O-008 thePerformance → MK-NW-F-083 PERF
6. MK-ST-F-039 on → MK-ST-F-049 formatMoney → MK-ST-F-053 money → MK-ST-F-064 modifiedDietzOverWindow → MK-NW-O-008 thePerformance → MK-NW-F-083 PERF
7. MK-XS-F-122 n → MK-ST-F-053 money → MK-ST-F-064 modifiedDietzOverWindow → MK-NW-O-008 thePerformance → MK-NW-F-083 PERF
8. MK-XS-F-122 n → MK-ST-F-021 toNumber → MK-ST-F-064 modifiedDietzOverWindow → MK-NW-O-008 thePerformance → MK-NW-F-083 PERF
9. … and 4 more paths</t>
        </is>
      </c>
      <c r="S308" s="3" t="inlineStr">
        <is>
          <t>—</t>
        </is>
      </c>
      <c r="T308" s="3" t="inlineStr">
        <is>
          <t>—</t>
        </is>
      </c>
      <c r="U308" s="3" t="inlineStr">
        <is>
          <t>ACTIVE</t>
        </is>
      </c>
      <c r="V308" s="3" t="inlineStr">
        <is>
          <t>2026-09-30</t>
        </is>
      </c>
      <c r="W308" s="3" t="n"/>
      <c r="X308" s="3" t="n"/>
      <c r="Y308" s="3" t="inlineStr">
        <is>
          <t>NOTHING OPEN</t>
        </is>
      </c>
    </row>
    <row r="309" ht="60" customHeight="1">
      <c r="A309" s="3" t="inlineStr">
        <is>
          <t>MK-NW-F-084</t>
        </is>
      </c>
      <c r="B309" s="3" t="inlineStr">
        <is>
          <t>categoryEarnings</t>
        </is>
      </c>
      <c r="C309" s="3" t="inlineStr">
        <is>
          <t>MoneyKeel/functions/networth-and-performance/performance.ts</t>
        </is>
      </c>
      <c r="D309" s="3" t="n">
        <v>539</v>
      </c>
      <c r="E309" s="3" t="inlineStr">
        <is>
          <t>2 · DISPLAYED</t>
        </is>
      </c>
      <c r="F309" s="3" t="inlineStr">
        <is>
          <t>What each category of investment paid in dividends and interest over the period, and that category's return.</t>
        </is>
      </c>
      <c r="G309" s="11" t="inlineStr">
        <is>
          <t>rows = input.rows (or none when missing)
cls = string(asset class ?? '')
'bonds'   when cls = 'bond' (or cls = 'bonds' when missing or zero)
'cash'   when cls = 'cash'
'alternatives'   when cls = 'other' (or cls = 'alternatives' when missing or zero)
'bonds'   when !cls and kind = 'fixed_income'
the answer = 'stocks_etf'
r = rows.find((x) =&gt; string(position.ticker ?? '').to upper case() = string(tk ?? '').to upper case())
category of(position)   when r
in class = rows where category of(position) = cls
usable = in class where period return ≠ nothing and (market value ?? 0) &gt; 0
… the first steps only — the rest of the body needs reading by hand.</t>
        </is>
      </c>
      <c r="H309" s="3" t="inlineStr">
        <is>
          <t>Rows is input.rows (or none — when missing). Cls is string(asset class ?? ''). When cls = 'bond' (or cls = 'bonds' — when missing or zero), it answers 'bonds'. When cls = 'cash', it answers 'cash'. When cls = 'other' (or cls = 'alternatives' — when missing or zero), it answers 'alternatives'. When !cls and kind = 'fixed_income', it answers 'bonds'. The answer is 'stocks_etf'. R is rows.find((x) =&gt; string(position.ticker ?? '').to upper case() = string(tk ?? '').to upper case()). When r, it answers category of(position). In class is rows where category of(position) = cls. Usable is in class where period return is not no answer and (market value ?? 0) &gt; 0. Only the first steps are shown; the rest of the body needs reading by hand.</t>
        </is>
      </c>
      <c r="I309" s="3" t="inlineStr">
        <is>
          <t>PARTLY READ — some of the code is still showing through; needs a hand pass</t>
        </is>
      </c>
      <c r="J309" s="3" t="inlineStr">
        <is>
          <t>Nothing is handed to it</t>
        </is>
      </c>
      <c r="K309" s="3" t="inlineStr">
        <is>
          <t>NOT DECLARED — the code does not say what it gives back</t>
        </is>
      </c>
      <c r="L309" s="3" t="inlineStr">
        <is>
          <t>NOT FOUND — a screen calls it, but the words printed beside its answer could not be traced automatically. Needs reading.</t>
        </is>
      </c>
      <c r="M309" s="3" t="inlineStr">
        <is>
          <t>1. If market value is missing it uses 0.
2. If balance is missing it uses 0.
3. If coupon rate is missing it uses 0.</t>
        </is>
      </c>
      <c r="N309" s="3" t="inlineStr">
        <is>
          <t>Yes</t>
        </is>
      </c>
      <c r="O309" s="3" t="inlineStr">
        <is>
          <t>1. MK-CF-F-155 cash
2. MK-CF-F-132 map
3. MK-ST-F-030 record</t>
        </is>
      </c>
      <c r="P309" s="3" t="n">
        <v>4</v>
      </c>
      <c r="Q309" s="3" t="inlineStr">
        <is>
          <t>1. MK-CF-F-155 cash
2. MK-CF-F-132 map
3. MK-ST-F-030 record
4. MK-XS-F-122 n</t>
        </is>
      </c>
      <c r="R309" s="3" t="inlineStr">
        <is>
          <t>1. MK-XS-F-122 n → MK-CF-F-155 cash → MK-NW-F-084 categoryEarnings
2. MK-CF-F-132 map → MK-NW-F-084 categoryEarnings
3. MK-ST-F-030 record → MK-NW-F-084 categoryEarnings</t>
        </is>
      </c>
      <c r="S309" s="3" t="inlineStr">
        <is>
          <t>—</t>
        </is>
      </c>
      <c r="T309" s="3" t="inlineStr">
        <is>
          <t>—</t>
        </is>
      </c>
      <c r="U309" s="3" t="inlineStr">
        <is>
          <t>ACTIVE</t>
        </is>
      </c>
      <c r="V309" s="3" t="inlineStr">
        <is>
          <t>2026-10-03</t>
        </is>
      </c>
      <c r="W309" s="3" t="n"/>
      <c r="X309" s="3" t="n"/>
      <c r="Y309" s="3" t="inlineStr">
        <is>
          <t>NOTHING OPEN</t>
        </is>
      </c>
    </row>
    <row r="310" ht="60" customHeight="1">
      <c r="A310" s="3" t="inlineStr">
        <is>
          <t>MK-NW-F-085</t>
        </is>
      </c>
      <c r="B310" s="3" t="inlineStr">
        <is>
          <t>PERF_ONE</t>
        </is>
      </c>
      <c r="C310" s="3" t="inlineStr">
        <is>
          <t>MoneyKeel/functions/networth-and-performance/performance.ts</t>
        </is>
      </c>
      <c r="D310" s="3" t="n">
        <v>740</v>
      </c>
      <c r="E310" s="3" t="inlineStr">
        <is>
          <t>1 · ACTION</t>
        </is>
      </c>
      <c r="F310" s="3" t="inlineStr">
        <is>
          <t>Example only: runs thePerformance for chosen accounts of the worked example and calculates nothing of its own.</t>
        </is>
      </c>
      <c r="G310" s="11" t="inlineStr">
        <is>
          <t>NOT READ YET — the body is not a shape this can render faithfully, so nothing is claimed rather than something being guessed. It needs reading by hand.</t>
        </is>
      </c>
      <c r="H310" s="3" t="inlineStr">
        <is>
          <t>NOT READ YET — the body is not a shape this can render faithfully, so nothing is claimed rather than something being guessed. It needs reading by hand.</t>
        </is>
      </c>
      <c r="I310" s="3" t="inlineStr">
        <is>
          <t>NOT READ — nothing is claimed rather than something guessed</t>
        </is>
      </c>
      <c r="J310" s="3" t="inlineStr">
        <is>
          <t>ids: string[]</t>
        </is>
      </c>
      <c r="K310" s="3" t="inlineStr">
        <is>
          <t>new Set(ids) });</t>
        </is>
      </c>
      <c r="L310" s="3" t="inlineStr">
        <is>
          <t>—</t>
        </is>
      </c>
      <c r="M310" s="3" t="inlineStr">
        <is>
          <t>None found in this function — anything it assumes comes from the functions it depends on.</t>
        </is>
      </c>
      <c r="N310" s="3" t="inlineStr">
        <is>
          <t>No</t>
        </is>
      </c>
      <c r="O310" s="3" t="inlineStr">
        <is>
          <t>MK-NW-O-008 thePerformance</t>
        </is>
      </c>
      <c r="P310" s="3" t="n">
        <v>48</v>
      </c>
      <c r="Q310" s="3" t="inlineStr">
        <is>
          <t>1. MK-NW-O-008 thePerformance
2. MK-XS-F-011 buildChangeWalk
3. MK-CF-F-132 map
4. MK-ST-F-064 modifiedDietzOverWindow
5. MK-ST-F-013 personalFlowTotals
6. MK-NW-F-102 rateWhereItRefuses
7. MK-ST-F-030 record
8. MK-ST-F-021 toNumber
9. MK-ST-F-031 valueOn
10. MK-ST-F-038 windowBounds
11. MK-ST-F-053 money
12. MK-ST-F-062 toUtc
13. MK-NW-F-078 ONE
14. MK-PF-F-026 moneyWeightedReturn
15. MK-XS-F-122 n
16. MK-ST-F-027 accountId
17. MK-CF-F-155 cash
18. MK-ST-F-056 has
19. MK-ST-F-033 onOrBefore
20. MK-ST-F-063 shiftDay
21. MK-ST-F-049 formatMoney
22. MK-NW-F-077 ALL
23. MK-NW-F-059 currentYield
24. MK-XS-F-180 declareFigures
25. MK-NW-O-001 theBonds
26. MK-PF-F-025 historyIsComplete
27. MK-PF-F-030 npv
28. MK-PF-F-024 userFlows
29. MK-ST-F-048 currencySymbol
30. MK-ST-F-039 on
31. MK-NW-F-057 annualCoupon
32. MK-NW-F-056 bondInfo
33. MK-NW-F-064 bondRateSensitivity
34. MK-NW-F-061 bondSummary
35. MK-NW-F-055 isBond
36. MK-NW-F-072 rowOf
37. MK-ST-F-047 activeCurrency
38. MK-NW-F-060 approxYTM
39. MK-NW-F-069 priceAtYield
40. MK-NW-F-011 assetClassOf
41. MK-NW-F-070 accruedInterestCaveat
42. MK-NW-F-071 isCertificateOfDeposit
43. MK-NW-F-058 yearsToMaturity
44. MK-NW-F-008 incomeBearingClassOf
45. MK-ST-F-010 nameEvidence
46. MK-XS-F-147 call
47. MK-XS-F-064 currentIdToken
48. MK-XS-F-112 relayUrl</t>
        </is>
      </c>
      <c r="R310" s="3" t="inlineStr">
        <is>
          <t>1. MK-XS-F-011 buildChangeWalk → MK-NW-O-008 thePerformance → MK-NW-F-085 PERF_ONE
2. MK-CF-F-132 map → MK-NW-O-008 thePerformance → MK-NW-F-085 PERF_ONE
3. MK-CF-F-132 map → MK-ST-F-064 modifiedDietzOverWindow → MK-NW-O-008 thePerformance → MK-NW-F-085 PERF_ONE
4. MK-ST-F-048 currencySymbol → MK-ST-F-049 formatMoney → MK-ST-F-053 money → MK-ST-F-064 modifiedDietzOverWindow → MK-NW-O-008 thePerformance → MK-NW-F-085 PERF_ONE
5. MK-XS-F-122 n → MK-ST-F-049 formatMoney → MK-ST-F-053 money → MK-ST-F-064 modifiedDietzOverWindow → MK-NW-O-008 thePerformance → MK-NW-F-085 PERF_ONE
6. MK-ST-F-039 on → MK-ST-F-049 formatMoney → MK-ST-F-053 money → MK-ST-F-064 modifiedDietzOverWindow → MK-NW-O-008 thePerformance → MK-NW-F-085 PERF_ONE
7. MK-XS-F-122 n → MK-ST-F-053 money → MK-ST-F-064 modifiedDietzOverWindow → MK-NW-O-008 thePerformance → MK-NW-F-085 PERF_ONE
8. MK-XS-F-122 n → MK-ST-F-021 toNumber → MK-ST-F-064 modifiedDietzOverWindow → MK-NW-O-008 thePerformance → MK-NW-F-085 PERF_ONE
9. … and 4 more paths</t>
        </is>
      </c>
      <c r="S310" s="3" t="inlineStr">
        <is>
          <t>—</t>
        </is>
      </c>
      <c r="T310" s="3" t="inlineStr">
        <is>
          <t>—</t>
        </is>
      </c>
      <c r="U310" s="3" t="inlineStr">
        <is>
          <t>ACTIVE</t>
        </is>
      </c>
      <c r="V310" s="3" t="inlineStr">
        <is>
          <t>2026-09-30</t>
        </is>
      </c>
      <c r="W310" s="3" t="n"/>
      <c r="X310" s="3" t="n"/>
      <c r="Y310" s="3" t="inlineStr">
        <is>
          <t>NOTHING OPEN</t>
        </is>
      </c>
    </row>
    <row r="311" ht="60" customHeight="1">
      <c r="A311" s="3" t="inlineStr">
        <is>
          <t>MK-NW-F-086</t>
        </is>
      </c>
      <c r="B311" s="3" t="inlineStr">
        <is>
          <t>CATS</t>
        </is>
      </c>
      <c r="C311" s="3" t="inlineStr">
        <is>
          <t>MoneyKeel/functions/networth-and-performance/performance.ts</t>
        </is>
      </c>
      <c r="D311" s="3" t="n">
        <v>788</v>
      </c>
      <c r="E311" s="3" t="inlineStr">
        <is>
          <t>1 · ACTION</t>
        </is>
      </c>
      <c r="F311" s="3" t="inlineStr">
        <is>
          <t>Example only: runs categoryEarnings on the worked example and calculates nothing of its own.</t>
        </is>
      </c>
      <c r="G311" s="11" t="inlineStr">
        <is>
          <t>category earnings(CAT_EXAMPLE)</t>
        </is>
      </c>
      <c r="H311" s="3" t="inlineStr">
        <is>
          <t>category earnings(CAT_EXAMPLE)</t>
        </is>
      </c>
      <c r="I311" s="3" t="inlineStr">
        <is>
          <t>READ FROM THE CODE — rendered from the expressions the function runs</t>
        </is>
      </c>
      <c r="J311" s="3" t="inlineStr">
        <is>
          <t>Nothing is handed to it</t>
        </is>
      </c>
      <c r="K311" s="3" t="inlineStr">
        <is>
          <t>NOT DECLARED — the code does not say what it gives back</t>
        </is>
      </c>
      <c r="L311" s="3" t="inlineStr">
        <is>
          <t>—</t>
        </is>
      </c>
      <c r="M311" s="3" t="inlineStr">
        <is>
          <t>None found in this function — anything it assumes comes from the functions it depends on.</t>
        </is>
      </c>
      <c r="N311" s="3" t="inlineStr">
        <is>
          <t>No</t>
        </is>
      </c>
      <c r="O311" s="3" t="inlineStr">
        <is>
          <t>MK-NW-F-084 categoryEarnings</t>
        </is>
      </c>
      <c r="P311" s="3" t="n">
        <v>5</v>
      </c>
      <c r="Q311" s="3" t="inlineStr">
        <is>
          <t>1. MK-NW-F-084 categoryEarnings
2. MK-CF-F-155 cash
3. MK-CF-F-132 map
4. MK-ST-F-030 record
5. MK-XS-F-122 n</t>
        </is>
      </c>
      <c r="R311" s="3" t="inlineStr">
        <is>
          <t>1. MK-XS-F-122 n → MK-CF-F-155 cash → MK-NW-F-084 categoryEarnings → MK-NW-F-086 CATS
2. MK-CF-F-132 map → MK-NW-F-084 categoryEarnings → MK-NW-F-086 CATS
3. MK-ST-F-030 record → MK-NW-F-084 categoryEarnings → MK-NW-F-086 CATS</t>
        </is>
      </c>
      <c r="S311" s="3" t="inlineStr">
        <is>
          <t>—</t>
        </is>
      </c>
      <c r="T311" s="3" t="inlineStr">
        <is>
          <t>—</t>
        </is>
      </c>
      <c r="U311" s="3" t="inlineStr">
        <is>
          <t>ACTIVE</t>
        </is>
      </c>
      <c r="V311" s="3" t="inlineStr">
        <is>
          <t>2026-09-30</t>
        </is>
      </c>
      <c r="W311" s="3" t="n"/>
      <c r="X311" s="3" t="n"/>
      <c r="Y311" s="3" t="inlineStr">
        <is>
          <t>NOTHING OPEN</t>
        </is>
      </c>
    </row>
    <row r="312" ht="60" customHeight="1">
      <c r="A312" s="3" t="inlineStr">
        <is>
          <t>MK-NW-F-087</t>
        </is>
      </c>
      <c r="B312" s="3" t="inlineStr">
        <is>
          <t>CAT</t>
        </is>
      </c>
      <c r="C312" s="3" t="inlineStr">
        <is>
          <t>MoneyKeel/functions/networth-and-performance/performance.ts</t>
        </is>
      </c>
      <c r="D312" s="3" t="n">
        <v>810</v>
      </c>
      <c r="E312" s="3" t="inlineStr">
        <is>
          <t>1 · ACTION</t>
        </is>
      </c>
      <c r="F312" s="3" t="inlineStr">
        <is>
          <t>Example only: picks one category out of the worked example of what each category earned.</t>
        </is>
      </c>
      <c r="G312" s="11" t="inlineStr">
        <is>
          <t>CATS().find((c) =&gt; key = key)</t>
        </is>
      </c>
      <c r="H312" s="3" t="inlineStr">
        <is>
          <t>CATS().find((c) =&gt; key = key)</t>
        </is>
      </c>
      <c r="I312" s="3" t="inlineStr">
        <is>
          <t>PARTLY READ — some of the code is still showing through; needs a hand pass</t>
        </is>
      </c>
      <c r="J312" s="3" t="inlineStr">
        <is>
          <t>key: string</t>
        </is>
      </c>
      <c r="K312" s="3" t="inlineStr">
        <is>
          <t>NOT DECLARED — the code does not say what it gives back</t>
        </is>
      </c>
      <c r="L312" s="3" t="inlineStr">
        <is>
          <t>—</t>
        </is>
      </c>
      <c r="M312" s="3" t="inlineStr">
        <is>
          <t>None found in this function — anything it assumes comes from the functions it depends on.</t>
        </is>
      </c>
      <c r="N312" s="3" t="inlineStr">
        <is>
          <t>No</t>
        </is>
      </c>
      <c r="O312" s="3" t="inlineStr">
        <is>
          <t>MK-NW-F-086 CATS</t>
        </is>
      </c>
      <c r="P312" s="3" t="n">
        <v>6</v>
      </c>
      <c r="Q312" s="3" t="inlineStr">
        <is>
          <t>1. MK-NW-F-086 CATS
2. MK-NW-F-084 categoryEarnings
3. MK-CF-F-155 cash
4. MK-CF-F-132 map
5. MK-ST-F-030 record
6. MK-XS-F-122 n</t>
        </is>
      </c>
      <c r="R312" s="3" t="inlineStr">
        <is>
          <t>1. MK-XS-F-122 n → MK-CF-F-155 cash → MK-NW-F-084 categoryEarnings → MK-NW-F-086 CATS → MK-NW-F-087 CAT
2. MK-CF-F-132 map → MK-NW-F-084 categoryEarnings → MK-NW-F-086 CATS → MK-NW-F-087 CAT
3. MK-ST-F-030 record → MK-NW-F-084 categoryEarnings → MK-NW-F-086 CATS → MK-NW-F-087 CAT</t>
        </is>
      </c>
      <c r="S312" s="3" t="inlineStr">
        <is>
          <t>—</t>
        </is>
      </c>
      <c r="T312" s="3" t="inlineStr">
        <is>
          <t>—</t>
        </is>
      </c>
      <c r="U312" s="3" t="inlineStr">
        <is>
          <t>ACTIVE</t>
        </is>
      </c>
      <c r="V312" s="3" t="inlineStr">
        <is>
          <t>2026-09-30</t>
        </is>
      </c>
      <c r="W312" s="3" t="n"/>
      <c r="X312" s="3" t="n"/>
      <c r="Y312" s="3" t="inlineStr">
        <is>
          <t>NOTHING OPEN</t>
        </is>
      </c>
    </row>
    <row r="313" ht="60" customHeight="1">
      <c r="A313" s="3" t="inlineStr">
        <is>
          <t>MK-NW-F-088</t>
        </is>
      </c>
      <c r="B313" s="3" t="inlineStr">
        <is>
          <t>BENCH</t>
        </is>
      </c>
      <c r="C313" s="3" t="inlineStr">
        <is>
          <t>MoneyKeel/functions/networth-and-performance/performance.ts</t>
        </is>
      </c>
      <c r="D313" s="3" t="n">
        <v>840</v>
      </c>
      <c r="E313" s="3" t="inlineStr">
        <is>
          <t>3 · DEPENDENT (feeds an action only)</t>
        </is>
      </c>
      <c r="F313" s="3" t="inlineStr">
        <is>
          <t>Example only: runs the market comparison on the worked example and calculates nothing of its own.</t>
        </is>
      </c>
      <c r="G313" s="11" t="inlineStr">
        <is>
          <t>portfolio bench return([</t>
        </is>
      </c>
      <c r="H313" s="3" t="inlineStr">
        <is>
          <t>portfolio bench return([</t>
        </is>
      </c>
      <c r="I313" s="3" t="inlineStr">
        <is>
          <t>READ FROM THE CODE — rendered from the expressions the function runs</t>
        </is>
      </c>
      <c r="J313" s="3" t="inlineStr">
        <is>
          <t>Nothing is handed to it</t>
        </is>
      </c>
      <c r="K313" s="3" t="inlineStr">
        <is>
          <t>NOT DECLARED — the code does not say what it gives back</t>
        </is>
      </c>
      <c r="L313" s="3" t="inlineStr">
        <is>
          <t>—</t>
        </is>
      </c>
      <c r="M313" s="3" t="inlineStr">
        <is>
          <t>None found in this function — anything it assumes comes from the functions it depends on.</t>
        </is>
      </c>
      <c r="N313" s="3" t="inlineStr">
        <is>
          <t>No</t>
        </is>
      </c>
      <c r="O313" s="3" t="inlineStr">
        <is>
          <t>1. MK-NW-F-087 CAT
2. MK-NW-F-083 PERF
3. MK-NW-F-085 PERF_ONE
4. MK-NW-F-093 QUIET_PERF
5. MK-CF-F-135 availableCash
6. MK-XS-F-180 declareFigures
7. MK-ST-F-049 formatMoney
8. MK-PF-F-020 portfolioBenchReturn</t>
        </is>
      </c>
      <c r="P313" s="3" t="n">
        <v>60</v>
      </c>
      <c r="Q313" s="3" t="inlineStr">
        <is>
          <t>1. MK-NW-F-087 CAT
2. MK-NW-F-083 PERF
3. MK-NW-F-085 PERF_ONE
4. MK-NW-F-093 QUIET_PERF
5. MK-CF-F-135 availableCash
6. MK-XS-F-180 declareFigures
7. MK-ST-F-049 formatMoney
8. MK-PF-F-020 portfolioBenchReturn
9. MK-NW-F-086 CATS
10. MK-NW-O-008 thePerformance
11. MK-CF-F-134 usesSleeve
12. MK-ST-F-048 currencySymbol
13. MK-XS-F-122 n
14. MK-ST-F-039 on
15. MK-PF-F-004 marketValue
16. MK-NW-F-084 categoryEarnings
17. MK-XS-F-011 buildChangeWalk
18. MK-CF-F-132 map
19. MK-ST-F-064 modifiedDietzOverWindow
20. MK-ST-F-013 personalFlowTotals
21. MK-NW-F-102 rateWhereItRefuses
22. MK-ST-F-030 record
23. MK-ST-F-021 toNumber
24. MK-ST-F-031 valueOn
25. MK-ST-F-038 windowBounds
26. MK-ST-F-047 activeCurrency
27. MK-PF-F-031 contractMultiplier
28. MK-PF-F-001 totalShares
29. MK-CF-F-155 cash
30. MK-ST-F-053 money
31. MK-ST-F-062 toUtc
32. MK-NW-F-078 ONE
33. MK-PF-F-026 moneyWeightedReturn
34. MK-ST-F-027 accountId
35. MK-ST-F-056 has
36. MK-ST-F-033 onOrBefore
37. MK-ST-F-063 shiftDay
38. MK-NW-F-077 ALL
39. MK-NW-F-059 currentYield
40. MK-NW-O-001 theBonds
41. MK-PF-F-025 historyIsComplete
42. MK-PF-F-030 npv
43. MK-PF-F-024 userFlows
44. MK-NW-F-057 annualCoupon
45. MK-NW-F-056 bondInfo
46. MK-NW-F-064 bondRateSensitivity
47. MK-NW-F-061 bondSummary
48. MK-NW-F-055 isBond
49. MK-NW-F-072 rowOf
50. MK-NW-F-060 approxYTM
51. MK-NW-F-069 priceAtYield
52. MK-NW-F-011 assetClassOf
53. MK-NW-F-070 accruedInterestCaveat
54. MK-NW-F-071 isCertificateOfDeposit
55. MK-NW-F-058 yearsToMaturity
56. MK-NW-F-008 incomeBearingClassOf
57. MK-ST-F-010 nameEvidence
58. MK-XS-F-147 call
59. MK-XS-F-064 currentIdToken
60. MK-XS-F-112 relayUrl</t>
        </is>
      </c>
      <c r="R313" s="3" t="inlineStr">
        <is>
          <t>1. MK-XS-F-122 n → MK-CF-F-155 cash → MK-NW-F-084 categoryEarnings → MK-NW-F-086 CATS → MK-NW-F-087 CAT → MK-NW-F-088 BENCH
2. MK-CF-F-132 map → MK-NW-F-084 categoryEarnings → MK-NW-F-086 CATS → MK-NW-F-087 CAT → MK-NW-F-088 BENCH
3. MK-ST-F-030 record → MK-NW-F-084 categoryEarnings → MK-NW-F-086 CATS → MK-NW-F-087 CAT → MK-NW-F-088 BENCH
4. MK-XS-F-011 buildChangeWalk → MK-NW-O-008 thePerformance → MK-NW-F-083 PERF → MK-NW-F-088 BENCH
5. MK-CF-F-132 map → MK-NW-O-008 thePerformance → MK-NW-F-083 PERF → MK-NW-F-088 BENCH
6. MK-CF-F-132 map → MK-ST-F-064 modifiedDietzOverWindow → MK-NW-O-008 thePerformance → MK-NW-F-083 PERF → MK-NW-F-088 BENCH
7. MK-ST-F-049 formatMoney → MK-ST-F-053 money → MK-ST-F-064 modifiedDietzOverWindow → MK-NW-O-008 thePerformance → MK-NW-F-083 PERF → MK-NW-F-088 BENCH
8. MK-XS-F-122 n → MK-ST-F-053 money → MK-ST-F-064 modifiedDietzOverWindow → MK-NW-O-008 thePerformance → MK-NW-F-083 PERF → MK-NW-F-088 BENCH
9. … and 5 more paths</t>
        </is>
      </c>
      <c r="S313" s="3" t="inlineStr">
        <is>
          <t>—</t>
        </is>
      </c>
      <c r="T313" s="3" t="inlineStr">
        <is>
          <t>—</t>
        </is>
      </c>
      <c r="U313" s="3" t="inlineStr">
        <is>
          <t>ACTIVE</t>
        </is>
      </c>
      <c r="V313" s="3" t="inlineStr">
        <is>
          <t>2026-09-30</t>
        </is>
      </c>
      <c r="W313" s="3" t="n"/>
      <c r="X313" s="3" t="n"/>
      <c r="Y313" s="3" t="inlineStr">
        <is>
          <t>NOTHING OPEN</t>
        </is>
      </c>
    </row>
    <row r="314" ht="60" customHeight="1">
      <c r="A314" s="3" t="inlineStr">
        <is>
          <t>MK-NW-F-090</t>
        </is>
      </c>
      <c r="B314" s="3" t="inlineStr">
        <is>
          <t>windowStartKey</t>
        </is>
      </c>
      <c r="C314" s="3" t="inlineStr">
        <is>
          <t>MoneyKeel/functions/networth-and-performance/performance.ts</t>
        </is>
      </c>
      <c r="D314" s="3" t="n">
        <v>116</v>
      </c>
      <c r="E314" s="3" t="inlineStr">
        <is>
          <t>2 · DISPLAYED</t>
        </is>
      </c>
      <c r="F314" s="3" t="inlineStr">
        <is>
          <t>The first day of a period: the day after the record's first day for Since, 1 January for This year, and the same day one month, one year or two years back for the others.</t>
        </is>
      </c>
      <c r="G314" s="11" t="inlineStr">
        <is>
          <t>first = record dates where ÷ ^\d{4}-\d{2}-\d{2}$ ÷ .test(each)the first of , in order
today   when first is missing
after = the first 10 of the date date.parse(`${first}T00:00:00Z`) + 86400000).to isostring(
the answer:
after   if after ≤ today
today   otherwise
d = the date today + 'T12:00:00Z'
months = '1 m': 1 = '1 m': 1
'3 m': 3 = '3 m': 3
'6 m': 6 = '6 m': 6
'1 y': 12 = '1 y': 12
'2 y': 24 = '2 y': 24
`${today.slice(0, 4)}-01 − 01`   when period = 'YTD'</t>
        </is>
      </c>
      <c r="H314" s="3" t="inlineStr">
        <is>
          <t>First is record dates where divided by ^\d{4}-\d{2}-\d{2}$ divided by .test(each)the first of , in order. When first is missing, it answers today. After: the first 10 of the date date.parse(`${first}T00:00:00Z`) plus 86400000).to isostring(. The answer is after — when after is at most today; today — otherwise. D: the date today plus 'T12:00:00Z'. Months is '1 m': 1 = '1 m': 1; '3 m': 3 = '3 m': 3; '6 m': 6 = '6 m': 6; '1 y': 12 = '1 y': 12; '2 y': 24 = '2 y': 24. When period = 'YTD', it answers `${today.slice(0, 4)}-01 minus 01`.</t>
        </is>
      </c>
      <c r="I314" s="3" t="inlineStr">
        <is>
          <t>PARTLY READ — some of the code is still showing through; needs a hand pass</t>
        </is>
      </c>
      <c r="J314" s="3" t="inlineStr">
        <is>
          <t>1. period: string
2. recordDates: string[]
3. today: string</t>
        </is>
      </c>
      <c r="K314" s="3" t="inlineStr">
        <is>
          <t>string</t>
        </is>
      </c>
      <c r="L314" s="3" t="inlineStr">
        <is>
          <t>NOT FOUND — a screen calls it, but the words printed beside its answer could not be traced automatically. Needs reading.</t>
        </is>
      </c>
      <c r="M314" s="3" t="inlineStr">
        <is>
          <t>· If months[period] is missing it uses 12.</t>
        </is>
      </c>
      <c r="N314" s="3" t="inlineStr">
        <is>
          <t>Yes</t>
        </is>
      </c>
      <c r="O314" s="3" t="inlineStr">
        <is>
          <t>—</t>
        </is>
      </c>
      <c r="P314" s="3" t="n">
        <v>0</v>
      </c>
      <c r="Q314" s="3" t="inlineStr">
        <is>
          <t>None — no dependent function stands behind it</t>
        </is>
      </c>
      <c r="R314" s="3" t="inlineStr">
        <is>
          <t>No dependent function — it reads its inputs and answers</t>
        </is>
      </c>
      <c r="S314" s="3" t="inlineStr">
        <is>
          <t>—</t>
        </is>
      </c>
      <c r="T314" s="3" t="inlineStr">
        <is>
          <t>—</t>
        </is>
      </c>
      <c r="U314" s="3" t="inlineStr">
        <is>
          <t>ACTIVE</t>
        </is>
      </c>
      <c r="V314" s="3" t="inlineStr">
        <is>
          <t>2026-09-30</t>
        </is>
      </c>
      <c r="W314" s="3" t="n"/>
      <c r="X314" s="3" t="n"/>
      <c r="Y314" s="3" t="inlineStr">
        <is>
          <t>NOTHING OPEN</t>
        </is>
      </c>
    </row>
    <row r="315" ht="60" customHeight="1">
      <c r="A315" s="3" t="inlineStr">
        <is>
          <t>MK-NW-F-091</t>
        </is>
      </c>
      <c r="B315" s="3" t="inlineStr">
        <is>
          <t>pricedGainOf</t>
        </is>
      </c>
      <c r="C315" s="3" t="inlineStr">
        <is>
          <t>MoneyKeel/functions/networth-and-performance/performance.ts</t>
        </is>
      </c>
      <c r="D315" s="3" t="n">
        <v>186</v>
      </c>
      <c r="E315" s="3" t="inlineStr">
        <is>
          <t>2 · DISPLAYED</t>
        </is>
      </c>
      <c r="F315" s="3" t="inlineStr">
        <is>
          <t>What the priced holdings gained over the period in dollars: the true gain for a holding bought inside the period, and the price move's share of today's value for any other.</t>
        </is>
      </c>
      <c r="G315" s="11" t="inlineStr">
        <is>
          <t>t + (gain ?? 0)   when capped since
mv = market value (or 0 when missing)
pr = period return
the answer = t + (pr ≠ nothing and mv &gt; 0 ? mv × (1 − 1 ÷ (1 + pr)) : 0)</t>
        </is>
      </c>
      <c r="H315" s="3" t="inlineStr">
        <is>
          <t>When capped since, it answers t plus (gain ?? 0). Mv is market value (or 0 — when missing). Pr is period return. The answer is t plus (pr is not no answer and mv &gt; 0 ? mv times (1 minus 1 divided by (1 plus pr)) : 0).</t>
        </is>
      </c>
      <c r="I315" s="3" t="inlineStr">
        <is>
          <t>PARTLY READ — some of the code is still showing through; needs a hand pass</t>
        </is>
      </c>
      <c r="J315" s="3" t="inlineStr">
        <is>
          <t>Nothing is handed to it</t>
        </is>
      </c>
      <c r="K315" s="3" t="inlineStr">
        <is>
          <t>NOT DECLARED — the code does not say what it gives back</t>
        </is>
      </c>
      <c r="L315" s="3" t="inlineStr">
        <is>
          <t>NOT FOUND — a screen calls it, but the words printed beside its answer could not be traced automatically. Needs reading.</t>
        </is>
      </c>
      <c r="M315" s="3" t="inlineStr">
        <is>
          <t>1. If gain is missing it uses 0.
2. If market value is missing it uses 0.</t>
        </is>
      </c>
      <c r="N315" s="3" t="inlineStr">
        <is>
          <t>Yes</t>
        </is>
      </c>
      <c r="O315" s="3" t="inlineStr">
        <is>
          <t>MK-ST-F-039 on</t>
        </is>
      </c>
      <c r="P315" s="3" t="n">
        <v>1</v>
      </c>
      <c r="Q315" s="3" t="inlineStr">
        <is>
          <t>MK-ST-F-039 on</t>
        </is>
      </c>
      <c r="R315" s="3" t="inlineStr">
        <is>
          <t>MK-ST-F-039 on → MK-NW-F-091 pricedGainOf</t>
        </is>
      </c>
      <c r="S315" s="3" t="inlineStr">
        <is>
          <t>—</t>
        </is>
      </c>
      <c r="T315" s="3" t="inlineStr">
        <is>
          <t>—</t>
        </is>
      </c>
      <c r="U315" s="3" t="inlineStr">
        <is>
          <t>ACTIVE</t>
        </is>
      </c>
      <c r="V315" s="3" t="inlineStr">
        <is>
          <t>2026-09-30</t>
        </is>
      </c>
      <c r="W315" s="3" t="n"/>
      <c r="X315" s="3" t="n"/>
      <c r="Y315" s="3" t="inlineStr">
        <is>
          <t>NOTHING OPEN</t>
        </is>
      </c>
    </row>
    <row r="316" ht="60" customHeight="1">
      <c r="A316" s="3" t="inlineStr">
        <is>
          <t>MK-NW-F-092</t>
        </is>
      </c>
      <c r="B316" s="3" t="inlineStr">
        <is>
          <t>investmentAccountIdsOf</t>
        </is>
      </c>
      <c r="C316" s="3" t="inlineStr">
        <is>
          <t>MoneyKeel/functions/networth-and-performance/performance.ts</t>
        </is>
      </c>
      <c r="D316" s="3" t="n">
        <v>293</v>
      </c>
      <c r="E316" s="3" t="inlineStr">
        <is>
          <t>2 · DISPLAYED</t>
        </is>
      </c>
      <c r="F316" s="3" t="inlineStr">
        <is>
          <t>Which accounts count as investments: those holding stocks and funds, bonds and CDs, alternatives or a mix, and never cash or property.</t>
        </is>
      </c>
      <c r="G316" s="11" t="inlineStr">
        <is>
          <t>invested = a list with no repeats of ['stocks_etf', 'bonds', 'alternatives', 'mixed']
the answer = a list with no repeats of accounts (or none when missing) where invested.has(class of(each))for each of : string(asset id)</t>
        </is>
      </c>
      <c r="H316" s="3" t="inlineStr">
        <is>
          <t>Invested is a list with no repeats of ['stocks_etf', 'bonds', 'alternatives', 'mixed']. The answer is a list with no repeats of accounts (or none — when missing) where invested.has(class of(each))for each of : string(asset id).</t>
        </is>
      </c>
      <c r="I316" s="3" t="inlineStr">
        <is>
          <t>PARTLY READ — some of the code is still showing through; needs a hand pass</t>
        </is>
      </c>
      <c r="J316" s="3" t="inlineStr">
        <is>
          <t>Nothing is handed to it</t>
        </is>
      </c>
      <c r="K316" s="3" t="inlineStr">
        <is>
          <t>NOT DECLARED — the code does not say what it gives back</t>
        </is>
      </c>
      <c r="L316" s="3" t="inlineStr">
        <is>
          <t>NOT FOUND — a screen calls it, but the words printed beside its answer could not be traced automatically. Needs reading.</t>
        </is>
      </c>
      <c r="M316" s="3" t="inlineStr">
        <is>
          <t>None found in this function — anything it assumes comes from the functions it depends on.</t>
        </is>
      </c>
      <c r="N316" s="3" t="inlineStr">
        <is>
          <t>Yes</t>
        </is>
      </c>
      <c r="O316" s="3" t="inlineStr">
        <is>
          <t>1. MK-ST-F-056 has
2. MK-CF-F-132 map</t>
        </is>
      </c>
      <c r="P316" s="3" t="n">
        <v>2</v>
      </c>
      <c r="Q316" s="3" t="inlineStr">
        <is>
          <t>1. MK-ST-F-056 has
2. MK-CF-F-132 map</t>
        </is>
      </c>
      <c r="R316" s="3" t="inlineStr">
        <is>
          <t>1. MK-ST-F-056 has → MK-NW-F-092 investmentAccountIdsOf
2. MK-CF-F-132 map → MK-NW-F-092 investmentAccountIdsOf</t>
        </is>
      </c>
      <c r="S316" s="3" t="inlineStr">
        <is>
          <t>—</t>
        </is>
      </c>
      <c r="T316" s="3" t="inlineStr">
        <is>
          <t>—</t>
        </is>
      </c>
      <c r="U316" s="3" t="inlineStr">
        <is>
          <t>ACTIVE</t>
        </is>
      </c>
      <c r="V316" s="3" t="inlineStr">
        <is>
          <t>2026-09-30</t>
        </is>
      </c>
      <c r="W316" s="3" t="n"/>
      <c r="X316" s="3" t="n"/>
      <c r="Y316" s="3" t="inlineStr">
        <is>
          <t>NOTHING OPEN</t>
        </is>
      </c>
    </row>
    <row r="317" ht="60" customHeight="1">
      <c r="A317" s="3" t="inlineStr">
        <is>
          <t>MK-NW-F-093</t>
        </is>
      </c>
      <c r="B317" s="3" t="inlineStr">
        <is>
          <t>QUIET_PERF</t>
        </is>
      </c>
      <c r="C317" s="3" t="inlineStr">
        <is>
          <t>MoneyKeel/functions/networth-and-performance/performance.ts</t>
        </is>
      </c>
      <c r="D317" s="3" t="n">
        <v>691</v>
      </c>
      <c r="E317" s="3" t="inlineStr">
        <is>
          <t>1 · ACTION</t>
        </is>
      </c>
      <c r="F317" s="3" t="inlineStr">
        <is>
          <t>Example only: runs thePerformance on the worked example and calculates nothing of its own.</t>
        </is>
      </c>
      <c r="G317" s="11" t="inlineStr">
        <is>
          <t>the performance(QUIET)</t>
        </is>
      </c>
      <c r="H317" s="3" t="inlineStr">
        <is>
          <t>the performance(QUIET)</t>
        </is>
      </c>
      <c r="I317" s="3" t="inlineStr">
        <is>
          <t>READ FROM THE CODE — rendered from the expressions the function runs</t>
        </is>
      </c>
      <c r="J317" s="3" t="inlineStr">
        <is>
          <t>Nothing is handed to it</t>
        </is>
      </c>
      <c r="K317" s="3" t="inlineStr">
        <is>
          <t>NOT DECLARED — the code does not say what it gives back</t>
        </is>
      </c>
      <c r="L317" s="3" t="inlineStr">
        <is>
          <t>—</t>
        </is>
      </c>
      <c r="M317" s="3" t="inlineStr">
        <is>
          <t>None found in this function — anything it assumes comes from the functions it depends on.</t>
        </is>
      </c>
      <c r="N317" s="3" t="inlineStr">
        <is>
          <t>No</t>
        </is>
      </c>
      <c r="O317" s="3" t="inlineStr">
        <is>
          <t>MK-NW-O-008 thePerformance</t>
        </is>
      </c>
      <c r="P317" s="3" t="n">
        <v>48</v>
      </c>
      <c r="Q317" s="3" t="inlineStr">
        <is>
          <t>1. MK-NW-O-008 thePerformance
2. MK-XS-F-011 buildChangeWalk
3. MK-CF-F-132 map
4. MK-ST-F-064 modifiedDietzOverWindow
5. MK-ST-F-013 personalFlowTotals
6. MK-NW-F-102 rateWhereItRefuses
7. MK-ST-F-030 record
8. MK-ST-F-021 toNumber
9. MK-ST-F-031 valueOn
10. MK-ST-F-038 windowBounds
11. MK-ST-F-053 money
12. MK-ST-F-062 toUtc
13. MK-NW-F-078 ONE
14. MK-PF-F-026 moneyWeightedReturn
15. MK-XS-F-122 n
16. MK-ST-F-027 accountId
17. MK-CF-F-155 cash
18. MK-ST-F-056 has
19. MK-ST-F-033 onOrBefore
20. MK-ST-F-063 shiftDay
21. MK-ST-F-049 formatMoney
22. MK-NW-F-077 ALL
23. MK-NW-F-059 currentYield
24. MK-XS-F-180 declareFigures
25. MK-NW-O-001 theBonds
26. MK-PF-F-025 historyIsComplete
27. MK-PF-F-030 npv
28. MK-PF-F-024 userFlows
29. MK-ST-F-048 currencySymbol
30. MK-ST-F-039 on
31. MK-NW-F-057 annualCoupon
32. MK-NW-F-056 bondInfo
33. MK-NW-F-064 bondRateSensitivity
34. MK-NW-F-061 bondSummary
35. MK-NW-F-055 isBond
36. MK-NW-F-072 rowOf
37. MK-ST-F-047 activeCurrency
38. MK-NW-F-060 approxYTM
39. MK-NW-F-069 priceAtYield
40. MK-NW-F-011 assetClassOf
41. MK-NW-F-070 accruedInterestCaveat
42. MK-NW-F-071 isCertificateOfDeposit
43. MK-NW-F-058 yearsToMaturity
44. MK-NW-F-008 incomeBearingClassOf
45. MK-ST-F-010 nameEvidence
46. MK-XS-F-147 call
47. MK-XS-F-064 currentIdToken
48. MK-XS-F-112 relayUrl</t>
        </is>
      </c>
      <c r="R317" s="3" t="inlineStr">
        <is>
          <t>1. MK-XS-F-011 buildChangeWalk → MK-NW-O-008 thePerformance → MK-NW-F-093 QUIET_PERF
2. MK-CF-F-132 map → MK-NW-O-008 thePerformance → MK-NW-F-093 QUIET_PERF
3. MK-CF-F-132 map → MK-ST-F-064 modifiedDietzOverWindow → MK-NW-O-008 thePerformance → MK-NW-F-093 QUIET_PERF
4. MK-ST-F-048 currencySymbol → MK-ST-F-049 formatMoney → MK-ST-F-053 money → MK-ST-F-064 modifiedDietzOverWindow → MK-NW-O-008 thePerformance → MK-NW-F-093 QUIET_PERF
5. MK-XS-F-122 n → MK-ST-F-049 formatMoney → MK-ST-F-053 money → MK-ST-F-064 modifiedDietzOverWindow → MK-NW-O-008 thePerformance → MK-NW-F-093 QUIET_PERF
6. MK-ST-F-039 on → MK-ST-F-049 formatMoney → MK-ST-F-053 money → MK-ST-F-064 modifiedDietzOverWindow → MK-NW-O-008 thePerformance → MK-NW-F-093 QUIET_PERF
7. MK-XS-F-122 n → MK-ST-F-053 money → MK-ST-F-064 modifiedDietzOverWindow → MK-NW-O-008 thePerformance → MK-NW-F-093 QUIET_PERF
8. MK-XS-F-122 n → MK-ST-F-021 toNumber → MK-ST-F-064 modifiedDietzOverWindow → MK-NW-O-008 thePerformance → MK-NW-F-093 QUIET_PERF
9. … and 4 more paths</t>
        </is>
      </c>
      <c r="S317" s="3" t="inlineStr">
        <is>
          <t>—</t>
        </is>
      </c>
      <c r="T317" s="3" t="inlineStr">
        <is>
          <t>—</t>
        </is>
      </c>
      <c r="U317" s="3" t="inlineStr">
        <is>
          <t>ACTIVE</t>
        </is>
      </c>
      <c r="V317" s="3" t="inlineStr">
        <is>
          <t>2026-09-30</t>
        </is>
      </c>
      <c r="W317" s="3" t="n"/>
      <c r="X317" s="3" t="n"/>
      <c r="Y317" s="3" t="inlineStr">
        <is>
          <t>NOTHING OPEN</t>
        </is>
      </c>
    </row>
    <row r="318" ht="60" customHeight="1">
      <c r="A318" s="3" t="inlineStr">
        <is>
          <t>MK-NW-F-094</t>
        </is>
      </c>
      <c r="B318" s="3" t="inlineStr">
        <is>
          <t>ledgerGroups</t>
        </is>
      </c>
      <c r="C318" s="3" t="inlineStr">
        <is>
          <t>MoneyKeel/functions/networth-and-performance/net-worth.ts</t>
        </is>
      </c>
      <c r="D318" s="3" t="n">
        <v>234</v>
      </c>
      <c r="E318" s="3" t="inlineStr">
        <is>
          <t>2 · DISPLAYED</t>
        </is>
      </c>
      <c r="F318" s="3" t="inlineStr">
        <is>
          <t>Groups the accounts for the Net worth list, by asset class or by institution, and gives each group its total.</t>
        </is>
      </c>
      <c r="G318" s="11" t="inlineStr">
        <is>
          <t>out = new map&lt;string, ledger group&gt;()
label = class label of(a)   if by = 'class'
string((a as any).institution ?? '').trim() (or 'no institution set' when missing or zero)   otherwise
g = out.get(label) (or label = label
total = 0
account ids = []
mix = [] when missing)
k = class key of(a)
m = mix.find((x) =&gt; key = k) (or key = k
total = 0 when missing)
[LOOP — the answer is found inside a loop the extractor cannot render; the steps above are the ones before it. Read by hand.]</t>
        </is>
      </c>
      <c r="H318" s="3" t="inlineStr">
        <is>
          <t>Out is new map&lt;string, ledger group&gt;(). Label is class label of(a) — when by = 'class'; string((a as any).institution ?? '').trim() (or 'no institution set' — when missing or zero) — otherwise. G is out.get(label) (or label = label; total = 0; account ids = []; mix = [] — when missing). K is class key of(a). M is mix.find((x) =&gt; key = k) (or key = k; total = 0 — when missing). The answer is [...out.values()]. The answer is found inside a loop that cannot be rendered here; read the code by hand.</t>
        </is>
      </c>
      <c r="I318" s="3" t="inlineStr">
        <is>
          <t>PARTLY READ — the body has a loop the extractor cannot render; the steps shown are the ones before it. Needs a hand pass (G23).</t>
        </is>
      </c>
      <c r="J318" s="3" t="inlineStr">
        <is>
          <t>Nothing is handed to it</t>
        </is>
      </c>
      <c r="K318" s="3" t="inlineStr">
        <is>
          <t>NOT DECLARED — the code does not say what it gives back</t>
        </is>
      </c>
      <c r="L318" s="3" t="inlineStr">
        <is>
          <t>NOT FOUND — a screen calls it, but the words printed beside its answer could not be traced automatically. Needs reading.</t>
        </is>
      </c>
      <c r="M318" s="3" t="inlineStr">
        <is>
          <t>· If balance is missing it counts as zero, so nothing recorded and a real zero look the same.</t>
        </is>
      </c>
      <c r="N318" s="3" t="inlineStr">
        <is>
          <t>Yes</t>
        </is>
      </c>
      <c r="O318" s="3" t="inlineStr">
        <is>
          <t>—</t>
        </is>
      </c>
      <c r="P318" s="3" t="n">
        <v>0</v>
      </c>
      <c r="Q318" s="3" t="inlineStr">
        <is>
          <t>None — no dependent function stands behind it</t>
        </is>
      </c>
      <c r="R318" s="3" t="inlineStr">
        <is>
          <t>No dependent function — it reads its inputs and answers</t>
        </is>
      </c>
      <c r="S318" s="3" t="inlineStr">
        <is>
          <t>—</t>
        </is>
      </c>
      <c r="T318" s="3" t="inlineStr">
        <is>
          <t>—</t>
        </is>
      </c>
      <c r="U318" s="3" t="inlineStr">
        <is>
          <t>ACTIVE</t>
        </is>
      </c>
      <c r="V318" s="3" t="inlineStr">
        <is>
          <t>2026-09-30</t>
        </is>
      </c>
      <c r="W318" s="3" t="n"/>
      <c r="X318" s="3" t="n"/>
      <c r="Y318" s="3" t="inlineStr">
        <is>
          <t>NOTHING OPEN</t>
        </is>
      </c>
    </row>
    <row r="319" ht="60" customHeight="1">
      <c r="A319" s="3" t="inlineStr">
        <is>
          <t>MK-NW-F-095</t>
        </is>
      </c>
      <c r="B319" s="3" t="inlineStr">
        <is>
          <t>CLASS_LABEL_OF</t>
        </is>
      </c>
      <c r="C319" s="3" t="inlineStr">
        <is>
          <t>MoneyKeel/functions/networth-and-performance/net-worth.ts</t>
        </is>
      </c>
      <c r="D319" s="3" t="n">
        <v>356</v>
      </c>
      <c r="E319" s="3" t="inlineStr">
        <is>
          <t>1 · ACTION</t>
        </is>
      </c>
      <c r="F319" s="3" t="inlineStr">
        <is>
          <t>Example only: the display name of an asset class, used by the worked example of the Net worth list.</t>
        </is>
      </c>
      <c r="G319" s="11" t="inlineStr">
        <is>
          <t>NOT READ YET — the body is not a shape this can render faithfully, so nothing is claimed rather than something being guessed. It needs reading by hand.</t>
        </is>
      </c>
      <c r="H319" s="3" t="inlineStr">
        <is>
          <t>NOT READ YET — the body is not a shape this can render faithfully, so nothing is claimed rather than something being guessed. It needs reading by hand.</t>
        </is>
      </c>
      <c r="I319" s="3" t="inlineStr">
        <is>
          <t>NOT READ — nothing is claimed rather than something guessed</t>
        </is>
      </c>
      <c r="J319" s="3" t="inlineStr">
        <is>
          <t>a: any</t>
        </is>
      </c>
      <c r="K319" s="3" t="inlineStr">
        <is>
          <t>NOT DECLARED — the code does not say what it gives back</t>
        </is>
      </c>
      <c r="L319" s="3" t="inlineStr">
        <is>
          <t>—</t>
        </is>
      </c>
      <c r="M319" s="3" t="inlineStr">
        <is>
          <t>None found in this function — anything it assumes comes from the functions it depends on.</t>
        </is>
      </c>
      <c r="N319" s="3" t="inlineStr">
        <is>
          <t>No</t>
        </is>
      </c>
      <c r="O319" s="3" t="inlineStr">
        <is>
          <t>—</t>
        </is>
      </c>
      <c r="P319" s="3" t="n">
        <v>0</v>
      </c>
      <c r="Q319" s="3" t="inlineStr">
        <is>
          <t>None — no dependent function stands behind it</t>
        </is>
      </c>
      <c r="R319" s="3" t="inlineStr">
        <is>
          <t>No dependent function — it reads its inputs and answers</t>
        </is>
      </c>
      <c r="S319" s="3" t="inlineStr">
        <is>
          <t>—</t>
        </is>
      </c>
      <c r="T319" s="3" t="inlineStr">
        <is>
          <t>—</t>
        </is>
      </c>
      <c r="U319" s="3" t="inlineStr">
        <is>
          <t>ACTIVE</t>
        </is>
      </c>
      <c r="V319" s="3" t="inlineStr">
        <is>
          <t>2026-09-30</t>
        </is>
      </c>
      <c r="W319" s="3" t="n"/>
      <c r="X319" s="3" t="n"/>
      <c r="Y319" s="3" t="inlineStr">
        <is>
          <t>NOTHING OPEN</t>
        </is>
      </c>
    </row>
    <row r="320" ht="45" customHeight="1">
      <c r="A320" s="3" t="inlineStr">
        <is>
          <t>MK-NW-F-096</t>
        </is>
      </c>
      <c r="B320" s="3" t="inlineStr">
        <is>
          <t>CLASS_KEY_OF</t>
        </is>
      </c>
      <c r="C320" s="3" t="inlineStr">
        <is>
          <t>MoneyKeel/functions/networth-and-performance/net-worth.ts</t>
        </is>
      </c>
      <c r="D320" s="3" t="n">
        <v>382</v>
      </c>
      <c r="E320" s="3" t="inlineStr">
        <is>
          <t>1 · ACTION</t>
        </is>
      </c>
      <c r="F320" s="3" t="inlineStr">
        <is>
          <t>Example only: the asset class an account is filed under, used by the worked example of the Net worth list.</t>
        </is>
      </c>
      <c r="G320" s="11" t="inlineStr">
        <is>
          <t>string(asset class)</t>
        </is>
      </c>
      <c r="H320" s="3" t="inlineStr">
        <is>
          <t>string(asset class)</t>
        </is>
      </c>
      <c r="I320" s="3" t="inlineStr">
        <is>
          <t>READ FROM THE CODE — rendered from the expressions the function runs</t>
        </is>
      </c>
      <c r="J320" s="3" t="inlineStr">
        <is>
          <t>a: any</t>
        </is>
      </c>
      <c r="K320" s="3" t="inlineStr">
        <is>
          <t>NOT DECLARED — the code does not say what it gives back</t>
        </is>
      </c>
      <c r="L320" s="3" t="inlineStr">
        <is>
          <t>—</t>
        </is>
      </c>
      <c r="M320" s="3" t="inlineStr">
        <is>
          <t>None found in this function — anything it assumes comes from the functions it depends on.</t>
        </is>
      </c>
      <c r="N320" s="3" t="inlineStr">
        <is>
          <t>No</t>
        </is>
      </c>
      <c r="O320" s="3" t="inlineStr">
        <is>
          <t>—</t>
        </is>
      </c>
      <c r="P320" s="3" t="n">
        <v>0</v>
      </c>
      <c r="Q320" s="3" t="inlineStr">
        <is>
          <t>None — no dependent function stands behind it</t>
        </is>
      </c>
      <c r="R320" s="3" t="inlineStr">
        <is>
          <t>No dependent function — it reads its inputs and answers</t>
        </is>
      </c>
      <c r="S320" s="3" t="inlineStr">
        <is>
          <t>—</t>
        </is>
      </c>
      <c r="T320" s="3" t="inlineStr">
        <is>
          <t>—</t>
        </is>
      </c>
      <c r="U320" s="3" t="inlineStr">
        <is>
          <t>ACTIVE</t>
        </is>
      </c>
      <c r="V320" s="3" t="inlineStr">
        <is>
          <t>2026-09-30</t>
        </is>
      </c>
      <c r="W320" s="3" t="n"/>
      <c r="X320" s="3" t="n"/>
      <c r="Y320" s="3" t="inlineStr">
        <is>
          <t>NOTHING OPEN</t>
        </is>
      </c>
    </row>
    <row r="321" ht="45" customHeight="1">
      <c r="A321" s="3" t="inlineStr">
        <is>
          <t>MK-NW-F-097</t>
        </is>
      </c>
      <c r="B321" s="3" t="inlineStr">
        <is>
          <t>LEDGER</t>
        </is>
      </c>
      <c r="C321" s="3" t="inlineStr">
        <is>
          <t>MoneyKeel/functions/networth-and-performance/net-worth.ts</t>
        </is>
      </c>
      <c r="D321" s="3" t="n">
        <v>406</v>
      </c>
      <c r="E321" s="3" t="inlineStr">
        <is>
          <t>1 · ACTION</t>
        </is>
      </c>
      <c r="F321" s="3" t="inlineStr">
        <is>
          <t>Example only: groups the worked example's accounts for the Net worth list, by class or by institution.</t>
        </is>
      </c>
      <c r="G321" s="11" t="inlineStr">
        <is>
          <t>ledger groups(LEDGER_ACCOUNTS, by, CLASS_LABEL_OF, CLASS_KEY_OF)</t>
        </is>
      </c>
      <c r="H321" s="3" t="inlineStr">
        <is>
          <t>ledger groups(LEDGER_ACCOUNTS, by, CLASS_LABEL_OF, CLASS_KEY_OF)</t>
        </is>
      </c>
      <c r="I321" s="3" t="inlineStr">
        <is>
          <t>READ FROM THE CODE — rendered from the expressions the function runs</t>
        </is>
      </c>
      <c r="J321" s="3" t="inlineStr">
        <is>
          <t>by: 'class' | 'institution'</t>
        </is>
      </c>
      <c r="K321" s="3" t="inlineStr">
        <is>
          <t>NOT DECLARED — the code does not say what it gives back</t>
        </is>
      </c>
      <c r="L321" s="3" t="inlineStr">
        <is>
          <t>—</t>
        </is>
      </c>
      <c r="M321" s="3" t="inlineStr">
        <is>
          <t>None found in this function — anything it assumes comes from the functions it depends on.</t>
        </is>
      </c>
      <c r="N321" s="3" t="inlineStr">
        <is>
          <t>Yes</t>
        </is>
      </c>
      <c r="O321" s="3" t="inlineStr">
        <is>
          <t>1. MK-NW-F-096 CLASS_KEY_OF
2. MK-NW-F-095 CLASS_LABEL_OF
3. MK-NW-F-094 ledgerGroups</t>
        </is>
      </c>
      <c r="P321" s="3" t="n">
        <v>3</v>
      </c>
      <c r="Q321" s="3" t="inlineStr">
        <is>
          <t>1. MK-NW-F-096 CLASS_KEY_OF
2. MK-NW-F-095 CLASS_LABEL_OF
3. MK-NW-F-094 ledgerGroups</t>
        </is>
      </c>
      <c r="R321" s="3" t="inlineStr">
        <is>
          <t>1. MK-NW-F-096 CLASS_KEY_OF → MK-NW-F-097 LEDGER
2. MK-NW-F-095 CLASS_LABEL_OF → MK-NW-F-097 LEDGER
3. MK-NW-F-094 ledgerGroups → MK-NW-F-097 LEDGER</t>
        </is>
      </c>
      <c r="S321" s="3" t="inlineStr">
        <is>
          <t>—</t>
        </is>
      </c>
      <c r="T321" s="3" t="inlineStr">
        <is>
          <t>—</t>
        </is>
      </c>
      <c r="U321" s="3" t="inlineStr">
        <is>
          <t>ACTIVE</t>
        </is>
      </c>
      <c r="V321" s="3" t="inlineStr">
        <is>
          <t>2026-09-30</t>
        </is>
      </c>
      <c r="W321" s="3" t="n"/>
      <c r="X321" s="3" t="n"/>
      <c r="Y321" s="3" t="inlineStr">
        <is>
          <t>NOTHING OPEN</t>
        </is>
      </c>
    </row>
    <row r="322" ht="60" customHeight="1">
      <c r="A322" s="3" t="inlineStr">
        <is>
          <t>MK-NW-F-098</t>
        </is>
      </c>
      <c r="B322" s="3" t="inlineStr">
        <is>
          <t>LEDGER_BAND</t>
        </is>
      </c>
      <c r="C322" s="3" t="inlineStr">
        <is>
          <t>MoneyKeel/functions/networth-and-performance/net-worth.ts</t>
        </is>
      </c>
      <c r="D322" s="3" t="n">
        <v>427</v>
      </c>
      <c r="E322" s="3" t="inlineStr">
        <is>
          <t>1 · ACTION</t>
        </is>
      </c>
      <c r="F322" s="3" t="inlineStr">
        <is>
          <t>Example only: the total of one named group in the worked example of the Net worth list.</t>
        </is>
      </c>
      <c r="G322" s="11" t="inlineStr">
        <is>
          <t>LEDGER('class').find((g) =&gt; label = label).total (or nothing when missing)</t>
        </is>
      </c>
      <c r="H322" s="3" t="inlineStr">
        <is>
          <t>LEDGER('class').find((g) =&gt; label = label).total (or no answer — when missing)</t>
        </is>
      </c>
      <c r="I322" s="3" t="inlineStr">
        <is>
          <t>PARTLY READ — some of the code is still showing through; needs a hand pass</t>
        </is>
      </c>
      <c r="J322" s="3" t="inlineStr">
        <is>
          <t>label: string</t>
        </is>
      </c>
      <c r="K322" s="3" t="inlineStr">
        <is>
          <t>NOT DECLARED — the code does not say what it gives back</t>
        </is>
      </c>
      <c r="L322" s="3" t="inlineStr">
        <is>
          <t>—</t>
        </is>
      </c>
      <c r="M322" s="3" t="inlineStr">
        <is>
          <t>None found in this function — anything it assumes comes from the functions it depends on.</t>
        </is>
      </c>
      <c r="N322" s="3" t="inlineStr">
        <is>
          <t>Yes</t>
        </is>
      </c>
      <c r="O322" s="3" t="inlineStr">
        <is>
          <t>1. MK-NW-F-097 LEDGER
2. MK-CF-F-200 LINE</t>
        </is>
      </c>
      <c r="P322" s="3" t="n">
        <v>108</v>
      </c>
      <c r="Q322" s="3" t="inlineStr">
        <is>
          <t>1. MK-NW-F-097 LEDGER
2. MK-CF-F-200 LINE
3. MK-NW-F-096 CLASS_KEY_OF
4. MK-NW-F-095 CLASS_LABEL_OF
5. MK-NW-F-094 ledgerGroups
6. MK-XS-F-180 declareFigures
7. MK-CF-O-006 theCreditLine
8. MK-CF-F-031 creditUtilization
9. MK-CF-F-204 line
10. MK-CF-F-203 MONTH
11. MK-CF-O-010 theMonth
12. MK-CF-F-155 cash
13. MK-CF-O-002 expenses
14. MK-CF-O-003 thisMonth
15. MK-XS-F-122 n
16. MK-CF-F-151 actualSpending
17. MK-CF-F-150 debtPaymentsCountedAsExpenses
18. MK-CF-F-153 radar
19. MK-CF-F-149 recurringDebtPayments
20. MK-CF-F-005 actualMonthFlow
21. MK-CF-F-156 plannedMonthFlow
22. MK-CF-F-148 inMonth
23. MK-ST-F-052 toNum
24. MK-CF-F-191 ym
25. MK-ST-F-056 has
26. MK-CF-F-022 paymentShape
27. MK-CF-F-152 isRadarItem
28. MK-CF-F-023 requiredPayment
29. MK-CF-F-132 map
30. MK-NW-F-078 ONE
31. MK-CF-F-157 debtPaymentsByDebt
32. MK-CF-F-192 inflowLabel
33. MK-XS-F-027 takeHomeMonthly
34. MK-CF-F-021 defaultPaymentType
35. MK-NW-F-077 ALL
36. MK-NW-F-059 currentYield
37. MK-ST-F-049 formatMoney
38. MK-ST-F-053 money
39. MK-NW-O-001 theBonds
40. MK-CF-F-193 inflowSourceWord
41. MK-CF-F-092 incomeMonthlyGrid
42. MK-CF-F-011 savingsByMonth
43. MK-NW-F-057 annualCoupon
44. MK-ST-F-048 currencySymbol
45. MK-ST-F-039 on
46. MK-ST-F-027 accountId
47. MK-NW-F-056 bondInfo
48. MK-NW-F-064 bondRateSensitivity
49. MK-NW-F-061 bondSummary
50. MK-NW-F-055 isBond
51. MK-NW-F-072 rowOf
52. MK-CF-F-069 benefitActiveMonths
53. MK-CF-F-072 currentRetirementIncomeMonthly
54. MK-CF-F-173 earnerWages
55. MK-CF-F-065 equityVestWeights
56. MK-CF-F-071 extraIncome
57. MK-CF-F-206 householdK401ByMonth
58. MK-CF-F-087 monthlyTaxRates
59. MK-CF-F-073 otherIncomeMonth
60. MK-CF-F-181 rateInForce
61. MK-CF-F-068 rentalNetAnnual
62. MK-CF-F-066 rsuAnnual
63. MK-CF-F-060 salaryGrossByMonth
64. MK-CF-F-077 scholarshipByCalendarMonth
65. MK-CF-F-088 taxableByCalendarMonth
66. MK-CF-F-177 wageGrossByMonth
67. MK-PL-F-012 waterfall
68. MK-CF-F-008 spendByMonth
69. MK-ST-F-047 activeCurrency
70. MK-NW-F-060 approxYTM
71. MK-NW-F-069 priceAtYield
72. MK-NW-F-011 assetClassOf
73. MK-NW-F-070 accruedInterestCaveat
74. MK-NW-F-071 isCertificateOfDeposit
75. MK-NW-F-058 yearsToMaturity
76. MK-CF-F-075 retirementIncomeMonthly
77. MK-CF-F-172 hasWage
78. MK-CF-F-062 equityRowValue
79. MK-CF-F-070 benefitAnnual
80. MK-CF-F-176 sumMonthsOverEarners
81. MK-CF-F-090 effectiveRate
82. MK-CF-F-180 enteredLandsAnnual
83. MK-CF-F-085 filingStatusOf
84. MK-CF-F-089 over65CountOf
85. MK-CF-F-082 salaryAnnual
86. MK-CF-F-086 stateRateOf
87. MK-CF-F-101 taxOwedFor
88. MK-CF-F-084 taxableAnnual
89. MK-CF-F-067 rentalList
90. MK-CF-F-063 rowVestYear
91. MK-CF-F-130 enteredMonthlyRaw
92. MK-CF-F-166 hasMonthlySalaryTable
93. MK-ST-F-036 reconcile
94. MK-CF-F-167 salaryCalendarYear
95. MK-CF-F-120 pctBaseMonthly
96. MK-CF-F-004 spendBuckets
97. MK-NW-F-008 incomeBearingClassOf
98. MK-CF-F-100 taxableIncomeFor
99. MK-CF-F-074 tipsAnnual
100. MK-CF-F-165 salaryMonths
101. MK-CF-F-003 categoryMonthly
102. MK-ST-F-010 nameEvidence
103. MK-CF-F-099 deductionFor
104. MK-CF-F-081 salaryActiveMonths
105. MK-XS-F-147 call
106. MK-CF-F-187 seniorDeductionFor
107. MK-XS-F-064 currentIdToken
108. MK-XS-F-112 relayUrl</t>
        </is>
      </c>
      <c r="R322" s="3" t="inlineStr">
        <is>
          <t>1. MK-NW-F-096 CLASS_KEY_OF → MK-NW-F-097 LEDGER → MK-NW-F-098 LEDGER_BAND
2. MK-NW-F-095 CLASS_LABEL_OF → MK-NW-F-097 LEDGER → MK-NW-F-098 LEDGER_BAND
3. MK-NW-F-094 ledgerGroups → MK-NW-F-097 LEDGER → MK-NW-F-098 LEDGER_BAND
4. MK-XS-F-180 declareFigures → MK-CF-F-200 LINE → MK-NW-F-098 LEDGER_BAND
5. MK-CF-F-031 creditUtilization → MK-CF-O-006 theCreditLine → MK-CF-F-200 LINE → MK-NW-F-098 LEDGER_BAND
6. MK-CF-O-010 theMonth → MK-CF-F-203 MONTH → MK-CF-F-204 line → MK-CF-O-006 theCreditLine → MK-CF-F-200 LINE → MK-NW-F-098 LEDGER_BAND
7. MK-XS-F-180 declareFigures → MK-CF-F-204 line → MK-CF-O-006 theCreditLine → MK-CF-F-200 LINE → MK-NW-F-098 LEDGER_BAND</t>
        </is>
      </c>
      <c r="S322" s="3" t="inlineStr">
        <is>
          <t>—</t>
        </is>
      </c>
      <c r="T322" s="3" t="inlineStr">
        <is>
          <t>—</t>
        </is>
      </c>
      <c r="U322" s="3" t="inlineStr">
        <is>
          <t>ACTIVE</t>
        </is>
      </c>
      <c r="V322" s="3" t="inlineStr">
        <is>
          <t>2026-09-30</t>
        </is>
      </c>
      <c r="W322" s="3" t="n"/>
      <c r="X322" s="3" t="n"/>
      <c r="Y322" s="3" t="inlineStr">
        <is>
          <t>NOTHING OPEN</t>
        </is>
      </c>
    </row>
    <row r="323" ht="60" customHeight="1">
      <c r="A323" s="3" t="inlineStr">
        <is>
          <t>MK-NW-F-099</t>
        </is>
      </c>
      <c r="B323" s="3" t="inlineStr">
        <is>
          <t>SNAP</t>
        </is>
      </c>
      <c r="C323" s="3" t="inlineStr">
        <is>
          <t>MoneyKeel/functions/networth-and-performance/net-worth.ts</t>
        </is>
      </c>
      <c r="D323" s="3" t="n">
        <v>455</v>
      </c>
      <c r="E323" s="3" t="inlineStr">
        <is>
          <t>1 · ACTION</t>
        </is>
      </c>
      <c r="F323" s="3" t="inlineStr">
        <is>
          <t>Example only: makes one month's recorded net worth for the worked example of the trend line.</t>
        </is>
      </c>
      <c r="G323" s="11" t="inlineStr">
        <is>
          <t>NOT READ YET — the body is not a shape this can render faithfully, so nothing is claimed rather than something being guessed. It needs reading by hand.</t>
        </is>
      </c>
      <c r="H323" s="3" t="inlineStr">
        <is>
          <t>NOT READ YET — the body is not a shape this can render faithfully, so nothing is claimed rather than something being guessed. It needs reading by hand.</t>
        </is>
      </c>
      <c r="I323" s="3" t="inlineStr">
        <is>
          <t>NOT READ — nothing is claimed rather than something guessed</t>
        </is>
      </c>
      <c r="J323" s="3" t="inlineStr">
        <is>
          <t>1. month: string
2. net: number</t>
        </is>
      </c>
      <c r="K323" s="3" t="inlineStr">
        <is>
          <t>net, gross_assets: net + 242000, gross_debt: 242000 });</t>
        </is>
      </c>
      <c r="L323" s="3" t="inlineStr">
        <is>
          <t>—</t>
        </is>
      </c>
      <c r="M323" s="3" t="inlineStr">
        <is>
          <t>None found in this function — anything it assumes comes from the functions it depends on.</t>
        </is>
      </c>
      <c r="N323" s="3" t="inlineStr">
        <is>
          <t>Yes</t>
        </is>
      </c>
      <c r="O323" s="3" t="inlineStr">
        <is>
          <t>—</t>
        </is>
      </c>
      <c r="P323" s="3" t="n">
        <v>0</v>
      </c>
      <c r="Q323" s="3" t="inlineStr">
        <is>
          <t>None — no dependent function stands behind it</t>
        </is>
      </c>
      <c r="R323" s="3" t="inlineStr">
        <is>
          <t>No dependent function — it reads its inputs and answers</t>
        </is>
      </c>
      <c r="S323" s="3" t="inlineStr">
        <is>
          <t>—</t>
        </is>
      </c>
      <c r="T323" s="3" t="inlineStr">
        <is>
          <t>—</t>
        </is>
      </c>
      <c r="U323" s="3" t="inlineStr">
        <is>
          <t>ACTIVE</t>
        </is>
      </c>
      <c r="V323" s="3" t="inlineStr">
        <is>
          <t>2026-09-30</t>
        </is>
      </c>
      <c r="W323" s="3" t="n"/>
      <c r="X323" s="3" t="n"/>
      <c r="Y323" s="3" t="inlineStr">
        <is>
          <t>NOTHING OPEN</t>
        </is>
      </c>
    </row>
    <row r="324" ht="60" customHeight="1">
      <c r="A324" s="3" t="inlineStr">
        <is>
          <t>MK-NW-F-100</t>
        </is>
      </c>
      <c r="B324" s="3" t="inlineStr">
        <is>
          <t>TREND</t>
        </is>
      </c>
      <c r="C324" s="3" t="inlineStr">
        <is>
          <t>MoneyKeel/functions/networth-and-performance/net-worth.ts</t>
        </is>
      </c>
      <c r="D324" s="3" t="n">
        <v>478</v>
      </c>
      <c r="E324" s="3" t="inlineStr">
        <is>
          <t>1 · ACTION</t>
        </is>
      </c>
      <c r="F324" s="3" t="inlineStr">
        <is>
          <t>Example only: runs theNetWorth on four months of recorded net worth, to show the trend line.</t>
        </is>
      </c>
      <c r="G324" s="11" t="inlineStr">
        <is>
          <t>NOT READ YET — the body is not a shape this can render faithfully, so nothing is claimed rather than something being guessed. It needs reading by hand.</t>
        </is>
      </c>
      <c r="H324" s="3" t="inlineStr">
        <is>
          <t>NOT READ YET — the body is not a shape this can render faithfully, so nothing is claimed rather than something being guessed. It needs reading by hand.</t>
        </is>
      </c>
      <c r="I324" s="3" t="inlineStr">
        <is>
          <t>NOT READ — nothing is claimed rather than something guessed</t>
        </is>
      </c>
      <c r="J324" s="3" t="inlineStr">
        <is>
          <t>Nothing is handed to it</t>
        </is>
      </c>
      <c r="K324" s="3" t="inlineStr">
        <is>
          <t>NOT DECLARED — the code does not say what it gives back</t>
        </is>
      </c>
      <c r="L324" s="3" t="inlineStr">
        <is>
          <t>—</t>
        </is>
      </c>
      <c r="M324" s="3" t="inlineStr">
        <is>
          <t>None found in this function — anything it assumes comes from the functions it depends on.</t>
        </is>
      </c>
      <c r="N324" s="3" t="inlineStr">
        <is>
          <t>Yes</t>
        </is>
      </c>
      <c r="O324" s="3" t="inlineStr">
        <is>
          <t>1. MK-NW-F-099 SNAP
2. MK-NW-O-003 theNetWorth</t>
        </is>
      </c>
      <c r="P324" s="3" t="n">
        <v>197</v>
      </c>
      <c r="Q324" s="3" t="inlineStr">
        <is>
          <t>1. MK-NW-F-099 SNAP
2. MK-NW-O-003 theNetWorth
3. MK-NW-F-078 ONE
4. MK-NW-F-029 assetAllocation
5. MK-NW-F-039 buildAssetsState
6. MK-CF-F-036 buildDebtState
7. MK-NW-F-065 buildNetWorth
8. MK-NW-F-016 cashTotal
9. MK-NW-F-022 investableAssets
10. MK-XS-F-010 investableChangePct
11. MK-NW-F-021 investmentsTotal
12. MK-CF-F-132 map
13. MK-ST-F-039 on
14. MK-CF-F-023 requiredPayment
15. MK-XS-F-005 trendPoints
16. MK-XS-F-175 uid
17. MK-NW-F-077 ALL
18. MK-NW-F-059 currentYield
19. MK-XS-F-180 declareFigures
20. MK-ST-F-049 formatMoney
21. MK-ST-F-053 money
22. MK-NW-O-001 theBonds
23. MK-NW-F-027 accountClassBreakdown
24. MK-NW-F-011 assetClassOf
25. MK-CF-F-026 actualDebtPayment
26. MK-CF-F-204 line
27. MK-CF-F-025 minimumDebtService
28. MK-NW-F-014 isRealAsset
29. MK-NW-F-066 sumWhere
30. MK-NW-F-015 totalAssets
31. MK-CF-F-155 cash
32. MK-CF-F-022 paymentShape
33. MK-XS-F-009 readHistory
34. MK-ST-F-027 accountId
35. MK-CF-F-111 applyTransaction
36. MK-NW-F-040 assetsFromOnboarding
37. MK-PF-F-013 benchmarkTicker
38. MK-ST-F-028 buildDayFromAccounts
39. MK-PF-F-034 closeOnOrBefore
40. MK-CF-F-186 convertTakeHomeMode
41. MK-ST-F-079 dailyWindowStart
42. MK-CF-F-038 debtsFromOnboarding
43. MK-XS-F-083 fetchPriceSeries
44. MK-PL-F-013 goalsFromOnboarding
45. MK-ST-F-056 has
46. MK-CF-F-116 inverseOf
47. MK-ST-F-065 isoLocalDate
48. MK-CF-F-112 makeTransaction
49. MK-XS-F-122 n
50. MK-ST-F-043 newEntityId
51. MK-XS-F-006 pruneDaily
52. MK-ST-F-073 rebuildDays
53. MK-NW-F-054 reclassifyAccounts
54. MK-XS-F-174 recomputeBalances
55. MK-CF-F-115 restoreUndo
56. MK-CF-F-109 reviewTransactions
57. MK-ST-F-044 setMoneyFormat
58. MK-CF-F-114 undoSnapshot
59. MK-CF-F-191 ym
60. MK-NW-F-057 annualCoupon
61. MK-ST-F-048 currencySymbol
62. MK-NW-F-056 bondInfo
63. MK-NW-F-064 bondRateSensitivity
64. MK-NW-F-061 bondSummary
65. MK-NW-F-055 isBond
66. MK-NW-F-072 rowOf
67. MK-NW-F-008 incomeBearingClassOf
68. MK-CF-F-024 totalDebtMonthly
69. MK-CF-F-203 MONTH
70. MK-CF-F-021 defaultPaymentType
71. MK-XS-F-008 normalizeSnapshot
72. MK-CF-F-138 addLot
73. MK-CF-F-136 bumpCash
74. MK-CF-F-137 findPos
75. MK-CF-F-139 removeShares
76. MK-PF-F-001 totalShares
77. MK-ST-F-052 toNum
78. MK-CF-F-085 filingStatusOf
79. MK-CF-F-097 grossFromNet
80. MK-CF-F-185 needsTakeHomeConversion
81. MK-CF-F-089 over65CountOf
82. MK-CF-F-037 inferDebtType
83. MK-ST-F-069 amountOf
84. MK-CF-F-133 cashOf
85. MK-ST-F-066 isDayKey
86. MK-ST-F-070 isOpening
87. MK-ST-F-071 rebuildableFrom
88. MK-ST-F-068 stepDay
89. MK-ST-F-072 undo
90. MK-NW-F-053 correctClassOf
91. MK-PF-F-002 costBasis
92. MK-PF-F-009 latestClose
93. MK-PF-F-004 marketValue
94. MK-ST-F-030 record
95. MK-XS-F-024 resolveLens
96. MK-ST-F-055 round2
97. MK-CF-F-162 daysApart
98. MK-CF-F-108 isMoneyOut
99. MK-PL-F-074 median
100. MK-CF-F-131 normPayee
101. MK-CF-F-113 affectedAccountIds
102. MK-ST-F-047 activeCurrency
103. MK-NW-F-060 approxYTM
104. MK-NW-F-069 priceAtYield
105. MK-NW-F-070 accruedInterestCaveat
106. MK-NW-F-071 isCertificateOfDeposit
107. MK-NW-F-058 yearsToMaturity
108. MK-ST-F-010 nameEvidence
109. MK-CF-F-201 INCOME
110. MK-CF-O-010 theMonth
111. MK-XS-F-121 isYm
112. MK-CF-F-134 usesSleeve
113. MK-CF-F-101 taxOwedFor
114. MK-ST-F-067 utcOfDay
115. MK-ST-F-035 covers
116. MK-NW-F-009 maturityClass
117. MK-PF-F-031 contractMultiplier
118. MK-CF-F-072 currentRetirementIncomeMonthly
119. MK-XS-F-147 call
120. MK-CF-F-207 SOURCE
121. MK-CF-O-004 incomeSummary
122. MK-CF-O-002 expenses
123. MK-CF-O-003 thisMonth
124. MK-CF-F-100 taxableIncomeFor
125. MK-ST-F-034 firstDate
126. MK-CF-F-075 retirementIncomeMonthly
127. MK-XS-F-064 currentIdToken
128. MK-XS-F-112 relayUrl
129. MK-CF-O-016 incomeSources
130. MK-CF-O-001 basePay
131. MK-CF-F-069 benefitActiveMonths
132. MK-CF-F-173 earnerWages
133. MK-CF-F-179 entryFromWage
134. MK-CF-F-071 extraIncome
135. MK-CF-F-092 incomeMonthlyGrid
136. MK-CF-F-192 inflowLabel
137. MK-CF-F-103 marginalBracketFor
138. MK-CF-F-181 rateInForce
139. MK-CF-F-068 rentalNetAnnual
140. MK-CF-F-082 salaryAnnual
141. MK-CF-F-060 salaryGrossByMonth
142. MK-CF-F-084 taxableAnnual
143. MK-CF-F-151 actualSpending
144. MK-CF-F-150 debtPaymentsCountedAsExpenses
145. MK-CF-F-153 radar
146. MK-CF-F-149 recurringDebtPayments
147. MK-CF-F-005 actualMonthFlow
148. MK-CF-F-156 plannedMonthFlow
149. MK-CF-F-099 deductionFor
150. MK-CF-F-066 rsuAnnual
151. MK-CF-F-171 earnerPay
152. MK-HM-F-006 money0
153. MK-CF-F-198 payrollTaxWithheld
154. MK-CF-F-172 hasWage
155. MK-CF-F-165 salaryMonths
156. MK-CF-F-070 benefitAnnual
157. MK-CF-F-065 equityVestWeights
158. MK-CF-F-206 householdK401ByMonth
159. MK-CF-F-087 monthlyTaxRates
160. MK-CF-F-073 otherIncomeMonth
161. MK-CF-F-077 scholarshipByCalendarMonth
162. MK-CF-F-088 taxableByCalendarMonth
163. MK-CF-F-177 wageGrossByMonth
164. MK-PL-F-012 waterfall
165. MK-CF-F-193 inflowSourceWord
166. MK-CF-F-180 enteredLandsAnnual
167. MK-CF-F-086 stateRateOf
168. MK-CF-F-067 rentalList
169. MK-CF-F-176 sumMonthsOverEarners
170. MK-CF-F-074 tipsAnnual
171. MK-CF-F-148 inMonth
172. MK-CF-F-152 isRadarItem
173. MK-CF-F-157 debtPaymentsByDebt
174. MK-XS-F-027 takeHomeMonthly
175. MK-CF-F-187 seniorDeductionFor
176. MK-CF-F-062 equityRowValue
177. MK-CF-F-063 rowVestYear
178. MK-CF-F-143 annualisedGross
179. MK-CF-F-145 deductionsFromPay
180. MK-CF-F-128 grossByMonth
181. MK-CF-F-146 payFiguresAgree
182. MK-CF-F-144 takeHomeAsEntered
183. MK-HM-F-005 pctTxt
184. MK-CF-F-090 effectiveRate
185. MK-CF-F-130 enteredMonthlyRaw
186. MK-CF-F-166 hasMonthlySalaryTable
187. MK-ST-F-036 reconcile
188. MK-CF-F-167 salaryCalendarYear
189. MK-CF-F-081 salaryActiveMonths
190. MK-CF-F-011 savingsByMonth
191. MK-CF-F-142 monthsOf
192. MK-CF-F-141 perMonth
193. MK-CF-F-008 spendByMonth
194. MK-CF-F-140 periodsAYear
195. MK-CF-F-120 pctBaseMonthly
196. MK-CF-F-004 spendBuckets
197. MK-CF-F-003 categoryMonthly</t>
        </is>
      </c>
      <c r="R324" s="3" t="inlineStr">
        <is>
          <t>1. MK-NW-F-099 SNAP → MK-NW-F-100 TREND
2. MK-ST-F-027 accountId → MK-NW-O-001 theBonds → MK-NW-F-077 ALL → MK-NW-F-078 ONE → MK-NW-O-003 theNetWorth → MK-NW-F-100 TREND
3. MK-NW-F-057 annualCoupon → MK-NW-O-001 theBonds → MK-NW-F-077 ALL → MK-NW-F-078 ONE → MK-NW-O-003 theNetWorth → MK-NW-F-100 TREND
4. MK-NW-F-056 bondInfo → MK-NW-O-001 theBonds → MK-NW-F-077 ALL → MK-NW-F-078 ONE → MK-NW-O-003 theNetWorth → MK-NW-F-100 TREND
5. MK-NW-F-064 bondRateSensitivity → MK-NW-O-001 theBonds → MK-NW-F-077 ALL → MK-NW-F-078 ONE → MK-NW-O-003 theNetWorth → MK-NW-F-100 TREND
6. MK-NW-F-061 bondSummary → MK-NW-O-001 theBonds → MK-NW-F-077 ALL → MK-NW-F-078 ONE → MK-NW-O-003 theNetWorth → MK-NW-F-100 TREND
7. MK-NW-F-055 isBond → MK-NW-O-001 theBonds → MK-NW-F-077 ALL → MK-NW-F-078 ONE → MK-NW-O-003 theNetWorth → MK-NW-F-100 TREND
8. MK-CF-F-132 map → MK-NW-O-001 theBonds → MK-NW-F-077 ALL → MK-NW-F-078 ONE → MK-NW-O-003 theNetWorth → MK-NW-F-100 TREND
9. … and 4 more paths</t>
        </is>
      </c>
      <c r="S324" s="3" t="inlineStr">
        <is>
          <t>—</t>
        </is>
      </c>
      <c r="T324" s="3" t="inlineStr">
        <is>
          <t>—</t>
        </is>
      </c>
      <c r="U324" s="3" t="inlineStr">
        <is>
          <t>ACTIVE</t>
        </is>
      </c>
      <c r="V324" s="3" t="inlineStr">
        <is>
          <t>2026-09-30</t>
        </is>
      </c>
      <c r="W324" s="3" t="n"/>
      <c r="X324" s="3" t="n"/>
      <c r="Y324" s="3" t="inlineStr">
        <is>
          <t>NOTHING OPEN</t>
        </is>
      </c>
    </row>
    <row r="325" ht="60" customHeight="1">
      <c r="A325" s="3" t="inlineStr">
        <is>
          <t>MK-NW-F-101</t>
        </is>
      </c>
      <c r="B325" s="3" t="inlineStr">
        <is>
          <t>PLAN</t>
        </is>
      </c>
      <c r="C325" s="3" t="inlineStr">
        <is>
          <t>MoneyKeel/functions/networth-and-performance/net-worth.ts</t>
        </is>
      </c>
      <c r="D325" s="3" t="n">
        <v>522</v>
      </c>
      <c r="E325" s="3" t="inlineStr">
        <is>
          <t>2 · DISPLAYED</t>
        </is>
      </c>
      <c r="F325" s="3" t="inlineStr">
        <is>
          <t>Example only: runs the nest-egg projection on the worked example and calculates nothing of its own.</t>
        </is>
      </c>
      <c r="G325" s="11" t="inlineStr">
        <is>
          <t>NOT READ YET — the body is not a shape this can render faithfully, so nothing is claimed rather than something being guessed. It needs reading by hand.</t>
        </is>
      </c>
      <c r="H325" s="3" t="inlineStr">
        <is>
          <t>NOT READ YET — the body is not a shape this can render faithfully, so nothing is claimed rather than something being guessed. It needs reading by hand.</t>
        </is>
      </c>
      <c r="I325" s="3" t="inlineStr">
        <is>
          <t>NOT READ — nothing is claimed rather than something guessed</t>
        </is>
      </c>
      <c r="J325" s="3" t="inlineStr">
        <is>
          <t>Nothing is handed to it</t>
        </is>
      </c>
      <c r="K325" s="3" t="inlineStr">
        <is>
          <t>NOT DECLARED — the code does not say what it gives back</t>
        </is>
      </c>
      <c r="L325" s="3" t="inlineStr">
        <is>
          <t>NOT FOUND — a screen calls it, but the words printed beside its answer could not be traced automatically. Needs reading.</t>
        </is>
      </c>
      <c r="M325" s="3" t="inlineStr">
        <is>
          <t>None found in this function — anything it assumes comes from the functions it depends on.</t>
        </is>
      </c>
      <c r="N325" s="3" t="inlineStr">
        <is>
          <t>Yes</t>
        </is>
      </c>
      <c r="O325" s="3" t="inlineStr">
        <is>
          <t>1. MK-NW-F-097 LEDGER
2. MK-NW-F-098 LEDGER_BAND
3. MK-NW-F-082 NW
4. MK-NW-F-100 TREND
5. MK-CF-F-155 cash
6. MK-XS-F-180 declareFigures
7. MK-ST-F-049 formatMoney
8. MK-XS-F-010 investableChangePct
9. MK-CF-F-204 line
10. MK-PL-F-055 projectNestEgg
11. MK-NW-O-003 theNetWorth</t>
        </is>
      </c>
      <c r="P325" s="3" t="n">
        <v>214</v>
      </c>
      <c r="Q325" s="3" t="inlineStr">
        <is>
          <t>1. MK-NW-F-097 LEDGER
2. MK-NW-F-098 LEDGER_BAND
3. MK-NW-F-082 NW
4. MK-NW-F-100 TREND
5. MK-CF-F-155 cash
6. MK-XS-F-180 declareFigures
7. MK-ST-F-049 formatMoney
8. MK-XS-F-010 investableChangePct
9. MK-CF-F-204 line
10. MK-PL-F-055 projectNestEgg
11. MK-NW-O-003 theNetWorth
12. MK-NW-F-096 CLASS_KEY_OF
13. MK-NW-F-095 CLASS_LABEL_OF
14. MK-NW-F-094 ledgerGroups
15. MK-CF-F-200 LINE
16. MK-NW-F-099 SNAP
17. MK-XS-F-122 n
18. MK-ST-F-048 currencySymbol
19. MK-ST-F-039 on
20. MK-CF-F-203 MONTH
21. MK-CF-F-132 map
22. MK-PL-F-050 simulate
23. MK-NW-F-078 ONE
24. MK-NW-F-029 assetAllocation
25. MK-NW-F-039 buildAssetsState
26. MK-CF-F-036 buildDebtState
27. MK-NW-F-065 buildNetWorth
28. MK-NW-F-016 cashTotal
29. MK-NW-F-022 investableAssets
30. MK-NW-F-021 investmentsTotal
31. MK-CF-F-023 requiredPayment
32. MK-XS-F-005 trendPoints
33. MK-XS-F-175 uid
34. MK-CF-O-006 theCreditLine
35. MK-ST-F-047 activeCurrency
36. MK-CF-O-010 theMonth
37. MK-CF-O-002 expenses
38. MK-PL-F-074 median
39. MK-PL-F-072 mulberry32
40. MK-PL-F-073 normal
41. MK-PL-F-075 pctOfSorted
42. MK-ST-F-025 rmdStartAgeFromAge
43. MK-NW-F-077 ALL
44. MK-NW-F-059 currentYield
45. MK-ST-F-053 money
46. MK-NW-O-001 theBonds
47. MK-NW-F-027 accountClassBreakdown
48. MK-NW-F-011 assetClassOf
49. MK-CF-F-026 actualDebtPayment
50. MK-CF-F-025 minimumDebtService
51. MK-NW-F-014 isRealAsset
52. MK-NW-F-066 sumWhere
53. MK-NW-F-015 totalAssets
54. MK-CF-F-022 paymentShape
55. MK-XS-F-009 readHistory
56. MK-ST-F-027 accountId
57. MK-CF-F-111 applyTransaction
58. MK-NW-F-040 assetsFromOnboarding
59. MK-PF-F-013 benchmarkTicker
60. MK-ST-F-028 buildDayFromAccounts
61. MK-PF-F-034 closeOnOrBefore
62. MK-CF-F-186 convertTakeHomeMode
63. MK-ST-F-079 dailyWindowStart
64. MK-CF-F-038 debtsFromOnboarding
65. MK-XS-F-083 fetchPriceSeries
66. MK-PL-F-013 goalsFromOnboarding
67. MK-ST-F-056 has
68. MK-CF-F-116 inverseOf
69. MK-ST-F-065 isoLocalDate
70. MK-CF-F-112 makeTransaction
71. MK-ST-F-043 newEntityId
72. MK-XS-F-006 pruneDaily
73. MK-ST-F-073 rebuildDays
74. MK-NW-F-054 reclassifyAccounts
75. MK-XS-F-174 recomputeBalances
76. MK-CF-F-115 restoreUndo
77. MK-CF-F-109 reviewTransactions
78. MK-ST-F-044 setMoneyFormat
79. MK-CF-F-114 undoSnapshot
80. MK-CF-F-191 ym
81. MK-CF-F-031 creditUtilization
82. MK-CF-O-003 thisMonth
83. MK-CF-F-151 actualSpending
84. MK-CF-F-150 debtPaymentsCountedAsExpenses
85. MK-CF-F-153 radar
86. MK-CF-F-149 recurringDebtPayments
87. MK-ST-F-024 rmdStartAge
88. MK-NW-F-057 annualCoupon
89. MK-NW-F-056 bondInfo
90. MK-NW-F-064 bondRateSensitivity
91. MK-NW-F-061 bondSummary
92. MK-NW-F-055 isBond
93. MK-NW-F-072 rowOf
94. MK-NW-F-008 incomeBearingClassOf
95. MK-CF-F-024 totalDebtMonthly
96. MK-CF-F-021 defaultPaymentType
97. MK-XS-F-008 normalizeSnapshot
98. MK-CF-F-138 addLot
99. MK-CF-F-136 bumpCash
100. MK-CF-F-137 findPos
101. MK-CF-F-139 removeShares
102. MK-PF-F-001 totalShares
103. MK-ST-F-052 toNum
104. MK-CF-F-085 filingStatusOf
105. MK-CF-F-097 grossFromNet
106. MK-CF-F-185 needsTakeHomeConversion
107. MK-CF-F-089 over65CountOf
108. MK-CF-F-037 inferDebtType
109. MK-ST-F-069 amountOf
110. MK-CF-F-133 cashOf
111. MK-ST-F-066 isDayKey
112. MK-ST-F-070 isOpening
113. MK-ST-F-071 rebuildableFrom
114. MK-ST-F-068 stepDay
115. MK-ST-F-072 undo
116. MK-NW-F-053 correctClassOf
117. MK-PF-F-002 costBasis
118. MK-PF-F-009 latestClose
119. MK-PF-F-004 marketValue
120. MK-ST-F-030 record
121. MK-XS-F-024 resolveLens
122. MK-ST-F-055 round2
123. MK-CF-F-162 daysApart
124. MK-CF-F-108 isMoneyOut
125. MK-CF-F-131 normPayee
126. MK-CF-F-113 affectedAccountIds
127. MK-CF-F-005 actualMonthFlow
128. MK-CF-F-156 plannedMonthFlow
129. MK-CF-F-148 inMonth
130. MK-CF-F-152 isRadarItem
131. MK-NW-F-060 approxYTM
132. MK-NW-F-069 priceAtYield
133. MK-NW-F-070 accruedInterestCaveat
134. MK-NW-F-071 isCertificateOfDeposit
135. MK-NW-F-058 yearsToMaturity
136. MK-ST-F-010 nameEvidence
137. MK-CF-F-201 INCOME
138. MK-XS-F-121 isYm
139. MK-CF-F-134 usesSleeve
140. MK-CF-F-101 taxOwedFor
141. MK-ST-F-067 utcOfDay
142. MK-ST-F-035 covers
143. MK-NW-F-009 maturityClass
144. MK-PF-F-031 contractMultiplier
145. MK-CF-F-072 currentRetirementIncomeMonthly
146. MK-CF-F-157 debtPaymentsByDebt
147. MK-CF-F-192 inflowLabel
148. MK-XS-F-027 takeHomeMonthly
149. MK-XS-F-147 call
150. MK-CF-F-207 SOURCE
151. MK-CF-O-004 incomeSummary
152. MK-CF-F-100 taxableIncomeFor
153. MK-ST-F-034 firstDate
154. MK-CF-F-075 retirementIncomeMonthly
155. MK-CF-F-193 inflowSourceWord
156. MK-CF-F-092 incomeMonthlyGrid
157. MK-CF-F-011 savingsByMonth
158. MK-XS-F-064 currentIdToken
159. MK-XS-F-112 relayUrl
160. MK-CF-O-016 incomeSources
161. MK-CF-O-001 basePay
162. MK-CF-F-069 benefitActiveMonths
163. MK-CF-F-173 earnerWages
164. MK-CF-F-179 entryFromWage
165. MK-CF-F-071 extraIncome
166. MK-CF-F-103 marginalBracketFor
167. MK-CF-F-181 rateInForce
168. MK-CF-F-068 rentalNetAnnual
169. MK-CF-F-082 salaryAnnual
170. MK-CF-F-060 salaryGrossByMonth
171. MK-CF-F-084 taxableAnnual
172. MK-CF-F-099 deductionFor
173. MK-CF-F-065 equityVestWeights
174. MK-CF-F-206 householdK401ByMonth
175. MK-CF-F-087 monthlyTaxRates
176. MK-CF-F-073 otherIncomeMonth
177. MK-CF-F-066 rsuAnnual
178. MK-CF-F-077 scholarshipByCalendarMonth
179. MK-CF-F-088 taxableByCalendarMonth
180. MK-CF-F-177 wageGrossByMonth
181. MK-PL-F-012 waterfall
182. MK-CF-F-008 spendByMonth
183. MK-CF-F-171 earnerPay
184. MK-HM-F-006 money0
185. MK-CF-F-198 payrollTaxWithheld
186. MK-CF-F-172 hasWage
187. MK-CF-F-165 salaryMonths
188. MK-CF-F-070 benefitAnnual
189. MK-CF-F-180 enteredLandsAnnual
190. MK-CF-F-086 stateRateOf
191. MK-CF-F-067 rentalList
192. MK-CF-F-176 sumMonthsOverEarners
193. MK-CF-F-074 tipsAnnual
194. MK-CF-F-187 seniorDeductionFor
195. MK-CF-F-062 equityRowValue
196. MK-CF-F-090 effectiveRate
197. MK-CF-F-063 rowVestYear
198. MK-CF-F-130 enteredMonthlyRaw
199. MK-CF-F-166 hasMonthlySalaryTable
200. MK-ST-F-036 reconcile
201. MK-CF-F-167 salaryCalendarYear
202. MK-CF-F-120 pctBaseMonthly
203. MK-CF-F-004 spendBuckets
204. MK-CF-F-143 annualisedGross
205. MK-CF-F-145 deductionsFromPay
206. MK-CF-F-128 grossByMonth
207. MK-CF-F-146 payFiguresAgree
208. MK-CF-F-144 takeHomeAsEntered
209. MK-HM-F-005 pctTxt
210. MK-CF-F-081 salaryActiveMonths
211. MK-CF-F-003 categoryMonthly
212. MK-CF-F-142 monthsOf
213. MK-CF-F-141 perMonth
214. MK-CF-F-140 periodsAYear</t>
        </is>
      </c>
      <c r="R325" s="3" t="inlineStr">
        <is>
          <t>1. MK-NW-F-096 CLASS_KEY_OF → MK-NW-F-097 LEDGER → MK-NW-F-101 PLAN
2. MK-NW-F-095 CLASS_LABEL_OF → MK-NW-F-097 LEDGER → MK-NW-F-101 PLAN
3. MK-NW-F-094 ledgerGroups → MK-NW-F-097 LEDGER → MK-NW-F-101 PLAN
4. MK-NW-F-096 CLASS_KEY_OF → MK-NW-F-097 LEDGER → MK-NW-F-098 LEDGER_BAND → MK-NW-F-101 PLAN
5. MK-NW-F-095 CLASS_LABEL_OF → MK-NW-F-097 LEDGER → MK-NW-F-098 LEDGER_BAND → MK-NW-F-101 PLAN
6. MK-NW-F-094 ledgerGroups → MK-NW-F-097 LEDGER → MK-NW-F-098 LEDGER_BAND → MK-NW-F-101 PLAN
7. MK-XS-F-180 declareFigures → MK-CF-F-200 LINE → MK-NW-F-098 LEDGER_BAND → MK-NW-F-101 PLAN
8. MK-CF-F-031 creditUtilization → MK-CF-O-006 theCreditLine → MK-CF-F-200 LINE → MK-NW-F-098 LEDGER_BAND → MK-NW-F-101 PLAN
9. … and 5 more paths</t>
        </is>
      </c>
      <c r="S325" s="3" t="inlineStr">
        <is>
          <t>—</t>
        </is>
      </c>
      <c r="T325" s="3" t="inlineStr">
        <is>
          <t>—</t>
        </is>
      </c>
      <c r="U325" s="3" t="inlineStr">
        <is>
          <t>ACTIVE</t>
        </is>
      </c>
      <c r="V325" s="3" t="inlineStr">
        <is>
          <t>2026-09-30</t>
        </is>
      </c>
      <c r="W325" s="3" t="n"/>
      <c r="X325" s="3" t="n"/>
      <c r="Y325" s="3" t="inlineStr">
        <is>
          <t>NOTHING OPEN</t>
        </is>
      </c>
    </row>
    <row r="326" ht="60" customHeight="1">
      <c r="A326" s="3" t="inlineStr">
        <is>
          <t>MK-NW-F-102</t>
        </is>
      </c>
      <c r="B326" s="3" t="inlineStr">
        <is>
          <t>rateWhereItRefuses</t>
        </is>
      </c>
      <c r="C326" s="3" t="inlineStr">
        <is>
          <t>MoneyKeel/functions/networth-and-performance/performance.ts</t>
        </is>
      </c>
      <c r="D326" s="3" t="n">
        <v>247</v>
      </c>
      <c r="E326" s="3" t="inlineStr">
        <is>
          <t>3 · DEPENDENT</t>
        </is>
      </c>
      <c r="F326" s="3" t="inlineStr">
        <is>
          <t>THE EXACT RATE PER YEAR, FOR ONE WINDOW — what stands in where the window return refuses.</t>
        </is>
      </c>
      <c r="G326" s="11" t="inlineStr">
        <is>
          <t>nothing   when not (input.beginning &gt; 0)
one = 'the − window'
the answer:
rate per year   if 'ratePerYear' in r
nothing   otherwise</t>
        </is>
      </c>
      <c r="H326" s="3" t="inlineStr">
        <is>
          <t>When not (input.beginning &gt; 0), it answers no answer. One is 'the minus window'. The answer is rate per year — when 'ratePerYear' in r; no answer — otherwise.</t>
        </is>
      </c>
      <c r="I326" s="3" t="inlineStr">
        <is>
          <t>READ FROM THE CODE — rendered from the expressions the function runs</t>
        </is>
      </c>
      <c r="J326" s="3" t="inlineStr">
        <is>
          <t>Nothing is handed to it</t>
        </is>
      </c>
      <c r="K326" s="3" t="inlineStr">
        <is>
          <t>NOT DECLARED — the code does not say what it gives back</t>
        </is>
      </c>
      <c r="L326" s="3" t="inlineStr">
        <is>
          <t>—</t>
        </is>
      </c>
      <c r="M326" s="3" t="inlineStr">
        <is>
          <t>· Never lets ending fall below 0.</t>
        </is>
      </c>
      <c r="N326" s="3" t="inlineStr">
        <is>
          <t>Yes</t>
        </is>
      </c>
      <c r="O326" s="3" t="inlineStr">
        <is>
          <t>1. MK-NW-F-078 ONE
2. MK-CF-F-132 map
3. MK-PF-F-026 moneyWeightedReturn</t>
        </is>
      </c>
      <c r="P326" s="3" t="n">
        <v>36</v>
      </c>
      <c r="Q326" s="3" t="inlineStr">
        <is>
          <t>1. MK-NW-F-078 ONE
2. MK-CF-F-132 map
3. MK-PF-F-026 moneyWeightedReturn
4. MK-NW-F-077 ALL
5. MK-NW-F-059 currentYield
6. MK-XS-F-180 declareFigures
7. MK-ST-F-049 formatMoney
8. MK-ST-F-053 money
9. MK-NW-O-001 theBonds
10. MK-PF-F-025 historyIsComplete
11. MK-PF-F-030 npv
12. MK-PF-F-024 userFlows
13. MK-NW-F-057 annualCoupon
14. MK-ST-F-048 currencySymbol
15. MK-XS-F-122 n
16. MK-ST-F-039 on
17. MK-ST-F-027 accountId
18. MK-NW-F-056 bondInfo
19. MK-NW-F-064 bondRateSensitivity
20. MK-NW-F-061 bondSummary
21. MK-NW-F-055 isBond
22. MK-NW-F-072 rowOf
23. MK-ST-F-056 has
24. MK-ST-F-047 activeCurrency
25. MK-CF-F-155 cash
26. MK-NW-F-060 approxYTM
27. MK-NW-F-069 priceAtYield
28. MK-NW-F-011 assetClassOf
29. MK-NW-F-070 accruedInterestCaveat
30. MK-NW-F-071 isCertificateOfDeposit
31. MK-NW-F-058 yearsToMaturity
32. MK-NW-F-008 incomeBearingClassOf
33. MK-ST-F-010 nameEvidence
34. MK-XS-F-147 call
35. MK-XS-F-064 currentIdToken
36. MK-XS-F-112 relayUrl</t>
        </is>
      </c>
      <c r="R326" s="3" t="inlineStr">
        <is>
          <t>1. MK-ST-F-027 accountId → MK-NW-O-001 theBonds → MK-NW-F-077 ALL → MK-NW-F-078 ONE → MK-NW-F-102 rateWhereItRefuses
2. MK-NW-F-057 annualCoupon → MK-NW-O-001 theBonds → MK-NW-F-077 ALL → MK-NW-F-078 ONE → MK-NW-F-102 rateWhereItRefuses
3. MK-CF-F-155 cash → MK-NW-F-056 bondInfo → MK-NW-O-001 theBonds → MK-NW-F-077 ALL → MK-NW-F-078 ONE → MK-NW-F-102 rateWhereItRefuses
4. MK-NW-F-060 approxYTM → MK-NW-F-064 bondRateSensitivity → MK-NW-O-001 theBonds → MK-NW-F-077 ALL → MK-NW-F-078 ONE → MK-NW-F-102 rateWhereItRefuses
5. MK-NW-F-069 priceAtYield → MK-NW-F-064 bondRateSensitivity → MK-NW-O-001 theBonds → MK-NW-F-077 ALL → MK-NW-F-078 ONE → MK-NW-F-102 rateWhereItRefuses
6. MK-NW-F-057 annualCoupon → MK-NW-F-061 bondSummary → MK-NW-O-001 theBonds → MK-NW-F-077 ALL → MK-NW-F-078 ONE → MK-NW-F-102 rateWhereItRefuses
7. MK-CF-F-132 map → MK-NW-F-061 bondSummary → MK-NW-O-001 theBonds → MK-NW-F-077 ALL → MK-NW-F-078 ONE → MK-NW-F-102 rateWhereItRefuses
8. MK-NW-F-011 assetClassOf → MK-NW-F-055 isBond → MK-NW-O-001 theBonds → MK-NW-F-077 ALL → MK-NW-F-078 ONE → MK-NW-F-102 rateWhereItRefuses
9. … and 5 more paths</t>
        </is>
      </c>
      <c r="S326" s="3" t="inlineStr">
        <is>
          <t>—</t>
        </is>
      </c>
      <c r="T326" s="3" t="inlineStr">
        <is>
          <t>—</t>
        </is>
      </c>
      <c r="U326" s="3" t="inlineStr">
        <is>
          <t>ACTIVE</t>
        </is>
      </c>
      <c r="V326" s="3" t="inlineStr">
        <is>
          <t>2026-10-01</t>
        </is>
      </c>
      <c r="W326" s="3" t="n"/>
      <c r="X326" s="3" t="n"/>
      <c r="Y326" s="3" t="inlineStr">
        <is>
          <t>NOTHING OPEN</t>
        </is>
      </c>
    </row>
    <row r="327" ht="60" customHeight="1">
      <c r="A327" s="3" t="inlineStr">
        <is>
          <t>MK-NW-F-103</t>
        </is>
      </c>
      <c r="B327" s="3" t="inlineStr">
        <is>
          <t>investmentRecordDates</t>
        </is>
      </c>
      <c r="C327" s="3" t="inlineStr">
        <is>
          <t>MoneyKeel/functions/networth-and-performance/performance.ts</t>
        </is>
      </c>
      <c r="D327" s="3" t="n">
        <v>149</v>
      </c>
      <c r="E327" s="3" t="inlineStr">
        <is>
          <t>2 · DISPLAYED</t>
        </is>
      </c>
      <c r="F327" s="3" t="inlineStr">
        <is>
          <t>THE DAYS THE RECORD HOLDS AN INVESTMENT VALUE FOR, oldest first.</t>
        </is>
      </c>
      <c r="G327" s="11" t="inlineStr">
        <is>
          <t>[]   when investment account ids.size is missing</t>
        </is>
      </c>
      <c r="H327" s="3" t="inlineStr">
        <is>
          <t>When investment account ids.size is missing, it answers [].</t>
        </is>
      </c>
      <c r="I327" s="3" t="inlineStr">
        <is>
          <t>READ FROM THE CODE — rendered from the expressions the function runs</t>
        </is>
      </c>
      <c r="J327" s="3" t="inlineStr">
        <is>
          <t>1. snapshotDays: any[]
2. investmentAccountIds: Set&lt;string&gt;</t>
        </is>
      </c>
      <c r="K327" s="3" t="inlineStr">
        <is>
          <t>string[]</t>
        </is>
      </c>
      <c r="L327" s="3" t="inlineStr">
        <is>
          <t>NOT FOUND — a screen calls it, but the words printed beside its answer could not be traced automatically. Needs reading.</t>
        </is>
      </c>
      <c r="M327" s="3" t="inlineStr">
        <is>
          <t>None found in this function — anything it assumes comes from the functions it depends on.</t>
        </is>
      </c>
      <c r="N327" s="3" t="inlineStr">
        <is>
          <t>Yes</t>
        </is>
      </c>
      <c r="O327" s="3" t="inlineStr">
        <is>
          <t>1. MK-CF-F-132 map
2. MK-ST-F-031 valueOn</t>
        </is>
      </c>
      <c r="P327" s="3" t="n">
        <v>7</v>
      </c>
      <c r="Q327" s="3" t="inlineStr">
        <is>
          <t>1. MK-CF-F-132 map
2. MK-ST-F-031 valueOn
3. MK-ST-F-027 accountId
4. MK-CF-F-155 cash
5. MK-ST-F-056 has
6. MK-ST-F-033 onOrBefore
7. MK-XS-F-122 n</t>
        </is>
      </c>
      <c r="R327" s="3" t="inlineStr">
        <is>
          <t>1. MK-CF-F-132 map → MK-NW-F-103 investmentRecordDates
2. MK-ST-F-027 accountId → MK-ST-F-031 valueOn → MK-NW-F-103 investmentRecordDates
3. MK-XS-F-122 n → MK-CF-F-155 cash → MK-ST-F-031 valueOn → MK-NW-F-103 investmentRecordDates
4. MK-ST-F-056 has → MK-ST-F-031 valueOn → MK-NW-F-103 investmentRecordDates
5. MK-ST-F-033 onOrBefore → MK-ST-F-031 valueOn → MK-NW-F-103 investmentRecordDates</t>
        </is>
      </c>
      <c r="S327" s="3" t="inlineStr">
        <is>
          <t>—</t>
        </is>
      </c>
      <c r="T327" s="3" t="inlineStr">
        <is>
          <t>—</t>
        </is>
      </c>
      <c r="U327" s="3" t="inlineStr">
        <is>
          <t>ACTIVE</t>
        </is>
      </c>
      <c r="V327" s="3" t="inlineStr">
        <is>
          <t>2026-10-03</t>
        </is>
      </c>
      <c r="W327" s="3" t="n"/>
      <c r="X327" s="3" t="n"/>
      <c r="Y327" s="3" t="inlineStr">
        <is>
          <t>NOTHING OPEN</t>
        </is>
      </c>
    </row>
    <row r="328" ht="60" customHeight="1">
      <c r="A328" s="3" t="inlineStr">
        <is>
          <t>MK-NW-O-001</t>
        </is>
      </c>
      <c r="B328" s="3" t="inlineStr">
        <is>
          <t>theBonds</t>
        </is>
      </c>
      <c r="C328" s="3" t="inlineStr">
        <is>
          <t>MoneyKeel/functions/networth-and-performance/bonds.ts</t>
        </is>
      </c>
      <c r="D328" s="3" t="n">
        <v>217</v>
      </c>
      <c r="E328" s="3" t="inlineStr">
        <is>
          <t>2 · DISPLAYED</t>
        </is>
      </c>
      <c r="F328" s="3" t="inlineStr">
        <is>
          <t>What bonds and CDs do I hold, what do they pay, and when do they mature?</t>
        </is>
      </c>
      <c r="G328" s="11" t="inlineStr">
        <is>
          <t>now = input.today (or new date() when missing)
held = input.accounts (or none when missing) where is bond
sum = bond summary(held.map(bond info), now)
one = nothing
b = bond info(opened)
row = row of(opened, now)
years = row.years left (or 0 when missing)</t>
        </is>
      </c>
      <c r="H328" s="3" t="inlineStr">
        <is>
          <t>Now is input.today (or new date() — when missing). Held is input.accounts (or none — when missing) where is bond. Sum is bond summary(held.map(bond info), now). One is no answer. B is bond info(opened). Row is row of(opened, now). Years is row.years left (or 0 — when missing).</t>
        </is>
      </c>
      <c r="I328" s="3" t="inlineStr">
        <is>
          <t>PARTLY READ — some of the code is still showing through; needs a hand pass</t>
        </is>
      </c>
      <c r="J328" s="3" t="inlineStr">
        <is>
          <t>input: BondsInput</t>
        </is>
      </c>
      <c r="K328" s="3" t="inlineStr">
        <is>
          <t>Bonds</t>
        </is>
      </c>
      <c r="L328" s="3" t="inlineStr">
        <is>
          <t>NOT FOUND — a screen calls it, but the words printed beside its answer could not be traced automatically. Needs reading.</t>
        </is>
      </c>
      <c r="M328" s="3" t="inlineStr">
        <is>
          <t>1. If years left is missing it uses 0.
2. Uses today's date from the device clock, so the answer changes by itself overnight.</t>
        </is>
      </c>
      <c r="N328" s="3" t="inlineStr">
        <is>
          <t>Yes</t>
        </is>
      </c>
      <c r="O328" s="3" t="inlineStr">
        <is>
          <t>1. MK-ST-F-027 accountId
2. MK-NW-F-057 annualCoupon
3. MK-NW-F-056 bondInfo
4. MK-NW-F-064 bondRateSensitivity
5. MK-NW-F-061 bondSummary
6. MK-NW-F-055 isBond
7. MK-CF-F-132 map
8. MK-NW-F-072 rowOf</t>
        </is>
      </c>
      <c r="P328" s="3" t="n">
        <v>23</v>
      </c>
      <c r="Q328" s="3" t="inlineStr">
        <is>
          <t>1. MK-ST-F-027 accountId
2. MK-NW-F-057 annualCoupon
3. MK-NW-F-056 bondInfo
4. MK-NW-F-064 bondRateSensitivity
5. MK-NW-F-061 bondSummary
6. MK-NW-F-055 isBond
7. MK-CF-F-132 map
8. MK-NW-F-072 rowOf
9. MK-CF-F-155 cash
10. MK-NW-F-060 approxYTM
11. MK-NW-F-069 priceAtYield
12. MK-NW-F-011 assetClassOf
13. MK-NW-F-070 accruedInterestCaveat
14. MK-NW-F-059 currentYield
15. MK-NW-F-071 isCertificateOfDeposit
16. MK-NW-F-058 yearsToMaturity
17. MK-XS-F-122 n
18. MK-NW-F-008 incomeBearingClassOf
19. MK-ST-F-010 nameEvidence
20. MK-XS-F-147 call
21. MK-ST-F-056 has
22. MK-XS-F-064 currentIdToken
23. MK-XS-F-112 relayUrl</t>
        </is>
      </c>
      <c r="R328" s="3" t="inlineStr">
        <is>
          <t>1. MK-ST-F-027 accountId → MK-NW-O-001 theBonds
2. MK-NW-F-057 annualCoupon → MK-NW-O-001 theBonds
3. MK-XS-F-122 n → MK-CF-F-155 cash → MK-NW-F-056 bondInfo → MK-NW-O-001 theBonds
4. MK-NW-F-057 annualCoupon → MK-NW-F-060 approxYTM → MK-NW-F-064 bondRateSensitivity → MK-NW-O-001 theBonds
5. MK-XS-F-122 n → MK-NW-F-060 approxYTM → MK-NW-F-064 bondRateSensitivity → MK-NW-O-001 theBonds
6. MK-NW-F-058 yearsToMaturity → MK-NW-F-060 approxYTM → MK-NW-F-064 bondRateSensitivity → MK-NW-O-001 theBonds
7. MK-NW-F-057 annualCoupon → MK-NW-F-069 priceAtYield → MK-NW-F-064 bondRateSensitivity → MK-NW-O-001 theBonds
8. MK-XS-F-122 n → MK-NW-F-069 priceAtYield → MK-NW-F-064 bondRateSensitivity → MK-NW-O-001 theBonds
9. … and 5 more paths</t>
        </is>
      </c>
      <c r="S328" s="3" t="inlineStr">
        <is>
          <t>MK-NW-M-023 · MK-NW-M-024 · MK-NW-M-025 · MK-NW-M-026 · MK-NW-M-027 · MK-NW-M-041 · MK-NW-M-042 · MK-NW-M-043 · MK-NW-M-044 · MK-NW-M-045 · MK-NW-M-053 · MK-NW-M-054 · MK-NW-M-055 · MK-NW-M-056 · MK-NW-M-057 · MK-NW-M-058</t>
        </is>
      </c>
      <c r="T328" s="3" t="inlineStr">
        <is>
          <t>—</t>
        </is>
      </c>
      <c r="U328" s="3" t="inlineStr">
        <is>
          <t>ACTIVE</t>
        </is>
      </c>
      <c r="V328" s="3" t="inlineStr">
        <is>
          <t>2026-09-27</t>
        </is>
      </c>
      <c r="W328" s="3" t="n"/>
      <c r="X328" s="3" t="n"/>
      <c r="Y328" s="3" t="inlineStr">
        <is>
          <t>NOTHING OPEN</t>
        </is>
      </c>
    </row>
    <row r="329" ht="60" customHeight="1">
      <c r="A329" s="3" t="inlineStr">
        <is>
          <t>MK-NW-O-002</t>
        </is>
      </c>
      <c r="B329" s="3" t="inlineStr">
        <is>
          <t>theAccount</t>
        </is>
      </c>
      <c r="C329" s="3" t="inlineStr">
        <is>
          <t>MoneyKeel/functions/networth-and-performance/account.ts</t>
        </is>
      </c>
      <c r="D329" s="3" t="n">
        <v>100</v>
      </c>
      <c r="E329" s="3" t="inlineStr">
        <is>
          <t>2 · DISPLAYED</t>
        </is>
      </c>
      <c r="F329" s="3" t="inlineStr">
        <is>
          <t>What is in this one account: what it is worth, what it holds, what each holding has paid, and its activity?</t>
        </is>
      </c>
      <c r="G329" s="11" t="inlineStr">
        <is>
          <t>ledger = input.transactions (or none when missing) where string(account id) = string(account.asset id)
income = personal flow totals(ledger.filter((t) =&gt; type = 'DIVIDEND' or type = 'INTEREST'))
breakdown = account class breakdown(account)
tk = string(ticker ?? '').trim().to upper case()
f = personal flow totals(rows)
dividends = dividends.to number(2)
interest = interest.to number(2)
parts = []
the answer:
dividends = dividends
interest = interest
words = parts.join(' · ')</t>
        </is>
      </c>
      <c r="H329" s="3" t="inlineStr">
        <is>
          <t>Ledger is input.transactions (or none — when missing) where string(account id) = string(account.asset id). Income is personal flow totals(ledger.filter((t) =&gt; type = 'DIVIDEND' or type = 'INTEREST')). Breakdown is account class breakdown(account). Tk is string(ticker ?? '').trim().to upper case(). F is personal flow totals(rows). Dividends is dividends.to number(2). Interest is interest.to number(2). Parts is []. The answer is dividends = dividends; interest = interest; words = parts.join(' · ').</t>
        </is>
      </c>
      <c r="I329" s="3" t="inlineStr">
        <is>
          <t>PARTLY READ — some of the code is still showing through; needs a hand pass</t>
        </is>
      </c>
      <c r="J329" s="3" t="inlineStr">
        <is>
          <t>Nothing is handed to it</t>
        </is>
      </c>
      <c r="K329" s="3" t="inlineStr">
        <is>
          <t>NOT DECLARED — the code does not say what it gives back</t>
        </is>
      </c>
      <c r="L329" s="3" t="inlineStr">
        <is>
          <t>NOT FOUND — a screen calls it, but the words printed beside its answer could not be traced automatically. Needs reading.</t>
        </is>
      </c>
      <c r="M329" s="3" t="inlineStr">
        <is>
          <t>1. If balance is missing it counts as zero, so nothing recorded and a real zero look the same.
2. If amount is missing it counts as zero, so nothing recorded and a real zero look the same.
3. Rounds the answer to a whole number.</t>
        </is>
      </c>
      <c r="N329" s="3" t="inlineStr">
        <is>
          <t>Yes</t>
        </is>
      </c>
      <c r="O329" s="3" t="inlineStr">
        <is>
          <t>1. MK-NW-F-027 accountClassBreakdown
2. MK-CF-F-118 cashEffect
3. MK-CF-F-132 map
4. MK-ST-F-013 personalFlowTotals
5. MK-ST-F-021 toNumber</t>
        </is>
      </c>
      <c r="P329" s="3" t="n">
        <v>15</v>
      </c>
      <c r="Q329" s="3" t="inlineStr">
        <is>
          <t>1. MK-NW-F-027 accountClassBreakdown
2. MK-CF-F-118 cashEffect
3. MK-CF-F-132 map
4. MK-ST-F-013 personalFlowTotals
5. MK-ST-F-021 toNumber
6. MK-NW-F-011 assetClassOf
7. MK-CF-F-155 cash
8. MK-NW-F-008 incomeBearingClassOf
9. MK-XS-F-122 n
10. MK-ST-F-010 nameEvidence
11. MK-XS-F-147 call
12. MK-ST-F-056 has
13. MK-ST-F-027 accountId
14. MK-XS-F-064 currentIdToken
15. MK-XS-F-112 relayUrl</t>
        </is>
      </c>
      <c r="R329" s="3" t="inlineStr">
        <is>
          <t>1. MK-XS-F-122 n → MK-CF-F-155 cash → MK-NW-F-008 incomeBearingClassOf → MK-NW-F-011 assetClassOf → MK-NW-F-027 accountClassBreakdown → MK-NW-O-002 theAccount
2. MK-XS-F-147 call → MK-ST-F-010 nameEvidence → MK-NW-F-008 incomeBearingClassOf → MK-NW-F-011 assetClassOf → MK-NW-F-027 accountClassBreakdown → MK-NW-O-002 theAccount
3. MK-ST-F-056 has → MK-ST-F-010 nameEvidence → MK-NW-F-008 incomeBearingClassOf → MK-NW-F-011 assetClassOf → MK-NW-F-027 accountClassBreakdown → MK-NW-O-002 theAccount
4. MK-CF-F-132 map → MK-ST-F-010 nameEvidence → MK-NW-F-008 incomeBearingClassOf → MK-NW-F-011 assetClassOf → MK-NW-F-027 accountClassBreakdown → MK-NW-O-002 theAccount
5. MK-XS-F-122 n → MK-CF-F-155 cash → MK-NW-F-027 accountClassBreakdown → MK-NW-O-002 theAccount
6. MK-XS-F-122 n → MK-CF-F-155 cash → MK-NW-F-008 incomeBearingClassOf → MK-NW-F-027 accountClassBreakdown → MK-NW-O-002 theAccount
7. MK-ST-F-027 accountId → MK-XS-F-147 call → MK-ST-F-010 nameEvidence → MK-NW-F-008 incomeBearingClassOf → MK-NW-F-027 accountClassBreakdown → MK-NW-O-002 theAccount
8. MK-XS-F-064 currentIdToken → MK-XS-F-147 call → MK-ST-F-010 nameEvidence → MK-NW-F-008 incomeBearingClassOf → MK-NW-F-027 accountClassBreakdown → MK-NW-O-002 theAccount
9. … and 5 more paths</t>
        </is>
      </c>
      <c r="S329" s="3" t="inlineStr">
        <is>
          <t>MK-NW-M-019 · MK-NW-M-020 · MK-NW-M-021 · MK-NW-M-038 · MK-NW-M-039 · MK-NW-M-040 · MK-NW-M-062</t>
        </is>
      </c>
      <c r="T329" s="3" t="inlineStr">
        <is>
          <t>—</t>
        </is>
      </c>
      <c r="U329" s="3" t="inlineStr">
        <is>
          <t>ACTIVE</t>
        </is>
      </c>
      <c r="V329" s="3" t="inlineStr">
        <is>
          <t>2026-09-27</t>
        </is>
      </c>
      <c r="W329" s="3" t="n"/>
      <c r="X329" s="3" t="n"/>
      <c r="Y329" s="3" t="inlineStr">
        <is>
          <t>NOTHING OPEN</t>
        </is>
      </c>
    </row>
    <row r="330" ht="60" customHeight="1">
      <c r="A330" s="3" t="inlineStr">
        <is>
          <t>MK-NW-O-003</t>
        </is>
      </c>
      <c r="B330" s="3" t="inlineStr">
        <is>
          <t>theNetWorth</t>
        </is>
      </c>
      <c r="C330" s="3" t="inlineStr">
        <is>
          <t>MoneyKeel/functions/networth-and-performance/net-worth.ts</t>
        </is>
      </c>
      <c r="D330" s="3" t="n">
        <v>111</v>
      </c>
      <c r="E330" s="3" t="inlineStr">
        <is>
          <t>2 · DISPLAYED</t>
        </is>
      </c>
      <c r="F330" s="3" t="inlineStr">
        <is>
          <t>What am I worth: everything I own, less everything I owe, and how each breaks down?</t>
        </is>
      </c>
      <c r="G330" s="11" t="inlineStr">
        <is>
          <t>accounts = input.accounts (or none when missing)
debts = input.debts (or none when missing)
a state = build assets state(input.uid, accounts)
d state = build debt state(input.uid, debts)
nw = build net worth(input.uid, a state.total asset value, d state.total debt balance)
by class = asset allocation(accounts)
investable = investable assets(accounts)
as percent = investable change pct(input.investable daily, investable, input.since)
the answer:
nothing   if as percent = nothing
as percent ÷ 100   otherwise</t>
        </is>
      </c>
      <c r="H330" s="3" t="inlineStr">
        <is>
          <t>Accounts is input.accounts (or none — when missing). Debts is input.debts (or none — when missing). A state is build assets state(input.uid, accounts). D state is build debt state(input.uid, debts). Nw is build net worth(input.uid, a state.total asset value, d state.total debt balance). By class is asset allocation(accounts). Investable is investable assets(accounts). As percent is investable change pct(input.investable daily, investable, input.since). The answer is no answer — when as percent is missing; as percent divided by 100 — otherwise.</t>
        </is>
      </c>
      <c r="I330" s="3" t="inlineStr">
        <is>
          <t>PARTLY READ — some of the code is still showing through; needs a hand pass</t>
        </is>
      </c>
      <c r="J330" s="3" t="inlineStr">
        <is>
          <t>Nothing is handed to it</t>
        </is>
      </c>
      <c r="K330" s="3" t="inlineStr">
        <is>
          <t>NOT DECLARED — the code does not say what it gives back</t>
        </is>
      </c>
      <c r="L330" s="3" t="inlineStr">
        <is>
          <t>1. "Monthly debt payments" — on the Net worth screen, under "💳  DEBTS"
2. "Net worth so far" — on the Net worth screen, under "EMERGENCY FUND"
3. "Net worth" — on the Home screen
4. "YOUR INVESTMENTS" — on the Home screen, under "WHAT YOU"</t>
        </is>
      </c>
      <c r="M330" s="3" t="inlineStr">
        <is>
          <t>1. If alternatives is missing it uses 0.
2. If remaining balance is missing it counts as zero, so nothing recorded and a real zero look the same.</t>
        </is>
      </c>
      <c r="N330" s="3" t="inlineStr">
        <is>
          <t>Yes</t>
        </is>
      </c>
      <c r="O330" s="3" t="inlineStr">
        <is>
          <t>1. MK-NW-F-078 ONE
2. MK-NW-F-029 assetAllocation
3. MK-NW-F-039 buildAssetsState
4. MK-CF-F-036 buildDebtState
5. MK-NW-F-065 buildNetWorth
6. MK-NW-F-016 cashTotal
7. MK-NW-F-022 investableAssets
8. MK-XS-F-010 investableChangePct
9. MK-NW-F-021 investmentsTotal
10. MK-CF-F-132 map
11. MK-ST-F-039 on
12. MK-CF-F-023 requiredPayment
13. MK-XS-F-005 trendPoints
14. MK-XS-F-175 uid</t>
        </is>
      </c>
      <c r="P330" s="3" t="n">
        <v>195</v>
      </c>
      <c r="Q330" s="3" t="inlineStr">
        <is>
          <t>1. MK-NW-F-078 ONE
2. MK-NW-F-029 assetAllocation
3. MK-NW-F-039 buildAssetsState
4. MK-CF-F-036 buildDebtState
5. MK-NW-F-065 buildNetWorth
6. MK-NW-F-016 cashTotal
7. MK-NW-F-022 investableAssets
8. MK-XS-F-010 investableChangePct
9. MK-NW-F-021 investmentsTotal
10. MK-CF-F-132 map
11. MK-ST-F-039 on
12. MK-CF-F-023 requiredPayment
13. MK-XS-F-005 trendPoints
14. MK-XS-F-175 uid
15. MK-NW-F-077 ALL
16. MK-NW-F-059 currentYield
17. MK-XS-F-180 declareFigures
18. MK-ST-F-049 formatMoney
19. MK-ST-F-053 money
20. MK-NW-O-001 theBonds
21. MK-NW-F-027 accountClassBreakdown
22. MK-NW-F-011 assetClassOf
23. MK-CF-F-026 actualDebtPayment
24. MK-CF-F-204 line
25. MK-CF-F-025 minimumDebtService
26. MK-NW-F-014 isRealAsset
27. MK-NW-F-066 sumWhere
28. MK-NW-F-015 totalAssets
29. MK-CF-F-155 cash
30. MK-CF-F-022 paymentShape
31. MK-XS-F-009 readHistory
32. MK-ST-F-027 accountId
33. MK-CF-F-111 applyTransaction
34. MK-NW-F-040 assetsFromOnboarding
35. MK-PF-F-013 benchmarkTicker
36. MK-ST-F-028 buildDayFromAccounts
37. MK-PF-F-034 closeOnOrBefore
38. MK-CF-F-186 convertTakeHomeMode
39. MK-ST-F-079 dailyWindowStart
40. MK-CF-F-038 debtsFromOnboarding
41. MK-XS-F-083 fetchPriceSeries
42. MK-PL-F-013 goalsFromOnboarding
43. MK-ST-F-056 has
44. MK-CF-F-116 inverseOf
45. MK-ST-F-065 isoLocalDate
46. MK-CF-F-112 makeTransaction
47. MK-XS-F-122 n
48. MK-ST-F-043 newEntityId
49. MK-XS-F-006 pruneDaily
50. MK-ST-F-073 rebuildDays
51. MK-NW-F-054 reclassifyAccounts
52. MK-XS-F-174 recomputeBalances
53. MK-CF-F-115 restoreUndo
54. MK-CF-F-109 reviewTransactions
55. MK-ST-F-044 setMoneyFormat
56. MK-CF-F-114 undoSnapshot
57. MK-CF-F-191 ym
58. MK-NW-F-057 annualCoupon
59. MK-ST-F-048 currencySymbol
60. MK-NW-F-056 bondInfo
61. MK-NW-F-064 bondRateSensitivity
62. MK-NW-F-061 bondSummary
63. MK-NW-F-055 isBond
64. MK-NW-F-072 rowOf
65. MK-NW-F-008 incomeBearingClassOf
66. MK-CF-F-024 totalDebtMonthly
67. MK-CF-F-203 MONTH
68. MK-CF-F-021 defaultPaymentType
69. MK-XS-F-008 normalizeSnapshot
70. MK-CF-F-138 addLot
71. MK-CF-F-136 bumpCash
72. MK-CF-F-137 findPos
73. MK-CF-F-139 removeShares
74. MK-PF-F-001 totalShares
75. MK-ST-F-052 toNum
76. MK-CF-F-085 filingStatusOf
77. MK-CF-F-097 grossFromNet
78. MK-CF-F-185 needsTakeHomeConversion
79. MK-CF-F-089 over65CountOf
80. MK-CF-F-037 inferDebtType
81. MK-ST-F-069 amountOf
82. MK-CF-F-133 cashOf
83. MK-ST-F-066 isDayKey
84. MK-ST-F-070 isOpening
85. MK-ST-F-071 rebuildableFrom
86. MK-ST-F-068 stepDay
87. MK-ST-F-072 undo
88. MK-NW-F-053 correctClassOf
89. MK-PF-F-002 costBasis
90. MK-PF-F-009 latestClose
91. MK-PF-F-004 marketValue
92. MK-ST-F-030 record
93. MK-XS-F-024 resolveLens
94. MK-ST-F-055 round2
95. MK-CF-F-162 daysApart
96. MK-CF-F-108 isMoneyOut
97. MK-PL-F-074 median
98. MK-CF-F-131 normPayee
99. MK-CF-F-113 affectedAccountIds
100. MK-ST-F-047 activeCurrency
101. MK-NW-F-060 approxYTM
102. MK-NW-F-069 priceAtYield
103. MK-NW-F-070 accruedInterestCaveat
104. MK-NW-F-071 isCertificateOfDeposit
105. MK-NW-F-058 yearsToMaturity
106. MK-ST-F-010 nameEvidence
107. MK-CF-F-201 INCOME
108. MK-CF-O-010 theMonth
109. MK-XS-F-121 isYm
110. MK-CF-F-134 usesSleeve
111. MK-CF-F-101 taxOwedFor
112. MK-ST-F-067 utcOfDay
113. MK-ST-F-035 covers
114. MK-NW-F-009 maturityClass
115. MK-PF-F-031 contractMultiplier
116. MK-CF-F-072 currentRetirementIncomeMonthly
117. MK-XS-F-147 call
118. MK-CF-F-207 SOURCE
119. MK-CF-O-004 incomeSummary
120. MK-CF-O-002 expenses
121. MK-CF-O-003 thisMonth
122. MK-CF-F-100 taxableIncomeFor
123. MK-ST-F-034 firstDate
124. MK-CF-F-075 retirementIncomeMonthly
125. MK-XS-F-064 currentIdToken
126. MK-XS-F-112 relayUrl
127. MK-CF-O-016 incomeSources
128. MK-CF-O-001 basePay
129. MK-CF-F-069 benefitActiveMonths
130. MK-CF-F-173 earnerWages
131. MK-CF-F-179 entryFromWage
132. MK-CF-F-071 extraIncome
133. MK-CF-F-092 incomeMonthlyGrid
134. MK-CF-F-192 inflowLabel
135. MK-CF-F-103 marginalBracketFor
136. MK-CF-F-181 rateInForce
137. MK-CF-F-068 rentalNetAnnual
138. MK-CF-F-082 salaryAnnual
139. MK-CF-F-060 salaryGrossByMonth
140. MK-CF-F-084 taxableAnnual
141. MK-CF-F-151 actualSpending
142. MK-CF-F-150 debtPaymentsCountedAsExpenses
143. MK-CF-F-153 radar
144. MK-CF-F-149 recurringDebtPayments
145. MK-CF-F-005 actualMonthFlow
146. MK-CF-F-156 plannedMonthFlow
147. MK-CF-F-099 deductionFor
148. MK-CF-F-066 rsuAnnual
149. MK-CF-F-171 earnerPay
150. MK-HM-F-006 money0
151. MK-CF-F-198 payrollTaxWithheld
152. MK-CF-F-172 hasWage
153. MK-CF-F-165 salaryMonths
154. MK-CF-F-070 benefitAnnual
155. MK-CF-F-065 equityVestWeights
156. MK-CF-F-206 householdK401ByMonth
157. MK-CF-F-087 monthlyTaxRates
158. MK-CF-F-073 otherIncomeMonth
159. MK-CF-F-077 scholarshipByCalendarMonth
160. MK-CF-F-088 taxableByCalendarMonth
161. MK-CF-F-177 wageGrossByMonth
162. MK-PL-F-012 waterfall
163. MK-CF-F-193 inflowSourceWord
164. MK-CF-F-180 enteredLandsAnnual
165. MK-CF-F-086 stateRateOf
166. MK-CF-F-067 rentalList
167. MK-CF-F-176 sumMonthsOverEarners
168. MK-CF-F-074 tipsAnnual
169. MK-CF-F-148 inMonth
170. MK-CF-F-152 isRadarItem
171. MK-CF-F-157 debtPaymentsByDebt
172. MK-XS-F-027 takeHomeMonthly
173. MK-CF-F-187 seniorDeductionFor
174. MK-CF-F-062 equityRowValue
175. MK-CF-F-063 rowVestYear
176. MK-CF-F-143 annualisedGross
177. MK-CF-F-145 deductionsFromPay
178. MK-CF-F-128 grossByMonth
179. MK-CF-F-146 payFiguresAgree
180. MK-CF-F-144 takeHomeAsEntered
181. MK-HM-F-005 pctTxt
182. MK-CF-F-090 effectiveRate
183. MK-CF-F-130 enteredMonthlyRaw
184. MK-CF-F-166 hasMonthlySalaryTable
185. MK-ST-F-036 reconcile
186. MK-CF-F-167 salaryCalendarYear
187. MK-CF-F-081 salaryActiveMonths
188. MK-CF-F-011 savingsByMonth
189. MK-CF-F-142 monthsOf
190. MK-CF-F-141 perMonth
191. MK-CF-F-008 spendByMonth
192. MK-CF-F-140 periodsAYear
193. MK-CF-F-120 pctBaseMonthly
194. MK-CF-F-004 spendBuckets
195. MK-CF-F-003 categoryMonthly</t>
        </is>
      </c>
      <c r="R330" s="3" t="inlineStr">
        <is>
          <t>1. MK-ST-F-027 accountId → MK-NW-O-001 theBonds → MK-NW-F-077 ALL → MK-NW-F-078 ONE → MK-NW-O-003 theNetWorth
2. MK-NW-F-057 annualCoupon → MK-NW-O-001 theBonds → MK-NW-F-077 ALL → MK-NW-F-078 ONE → MK-NW-O-003 theNetWorth
3. MK-CF-F-155 cash → MK-NW-F-056 bondInfo → MK-NW-O-001 theBonds → MK-NW-F-077 ALL → MK-NW-F-078 ONE → MK-NW-O-003 theNetWorth
4. MK-NW-F-060 approxYTM → MK-NW-F-064 bondRateSensitivity → MK-NW-O-001 theBonds → MK-NW-F-077 ALL → MK-NW-F-078 ONE → MK-NW-O-003 theNetWorth
5. MK-NW-F-069 priceAtYield → MK-NW-F-064 bondRateSensitivity → MK-NW-O-001 theBonds → MK-NW-F-077 ALL → MK-NW-F-078 ONE → MK-NW-O-003 theNetWorth
6. MK-NW-F-057 annualCoupon → MK-NW-F-061 bondSummary → MK-NW-O-001 theBonds → MK-NW-F-077 ALL → MK-NW-F-078 ONE → MK-NW-O-003 theNetWorth
7. MK-CF-F-132 map → MK-NW-F-061 bondSummary → MK-NW-O-001 theBonds → MK-NW-F-077 ALL → MK-NW-F-078 ONE → MK-NW-O-003 theNetWorth
8. MK-NW-F-011 assetClassOf → MK-NW-F-055 isBond → MK-NW-O-001 theBonds → MK-NW-F-077 ALL → MK-NW-F-078 ONE → MK-NW-O-003 theNetWorth
9. … and 5 more paths</t>
        </is>
      </c>
      <c r="S330" s="3" t="inlineStr">
        <is>
          <t>MK-MN-M-016 · MK-NW-M-001 · MK-NW-M-002 · MK-NW-M-003 · MK-NW-M-004 · MK-NW-M-005 · MK-NW-M-006 · MK-NW-M-007 · MK-NW-M-008 · MK-NW-M-009 · MK-NW-M-011 · MK-NW-M-015 · MK-NW-M-016 · MK-NW-M-017 · MK-NW-M-049 · MK-NW-M-063 · MK-XS-M-001 · MK-XS-M-003</t>
        </is>
      </c>
      <c r="T330" s="3" t="inlineStr">
        <is>
          <t>—</t>
        </is>
      </c>
      <c r="U330" s="3" t="inlineStr">
        <is>
          <t>ACTIVE</t>
        </is>
      </c>
      <c r="V330" s="3" t="inlineStr">
        <is>
          <t>2026-09-27</t>
        </is>
      </c>
      <c r="W330" s="3" t="n"/>
      <c r="X330" s="3" t="n"/>
      <c r="Y330" s="3" t="inlineStr">
        <is>
          <t>NOTHING OPEN</t>
        </is>
      </c>
    </row>
    <row r="331" ht="60" customHeight="1">
      <c r="A331" s="3" t="inlineStr">
        <is>
          <t>MK-NW-O-004</t>
        </is>
      </c>
      <c r="B331" s="3" t="inlineStr">
        <is>
          <t>theEmergencyFund</t>
        </is>
      </c>
      <c r="C331" s="3" t="inlineStr">
        <is>
          <t>MoneyKeel/functions/networth-and-performance/emergency-fund.ts</t>
        </is>
      </c>
      <c r="D331" s="3" t="n">
        <v>102</v>
      </c>
      <c r="E331" s="3" t="inlineStr">
        <is>
          <t>2 · DISPLAYED</t>
        </is>
      </c>
      <c r="F331" s="3" t="inlineStr">
        <is>
          <t>How many months of essential expenses would my cash cover?</t>
        </is>
      </c>
      <c r="G331" s="11" t="inlineStr">
        <is>
          <t>cash = input.cash override   if input.cash override ≠ nothing
cash total(input.accounts ?? [])   otherwise
debts = input.debts (or none when missing)
cats = input.profile.spend cats   if array.is array(input.profile.spend cats)
[]   otherwise
housing budgeted = cats.some((c: any) =&gt; id = 'rent' and number(amount) &gt; 0)
kind = string(debt type ?? type ?? '').to upper case()
t   when housing budgeted and kind = 'MORTGAGE'
the answer = t + required payment(d)
ess = essentials monthly(input.expenses ?? [], monthly essentials(input.profile))
monthly = (ess.monthly ?? 0) + debt minimums
planned = planned monthly spend(input.profile) + debt minimums
kind = string(debt type ?? type ?? '').to upper case()
… the first steps only — the rest of the body needs reading by hand.</t>
        </is>
      </c>
      <c r="H331" s="3" t="inlineStr">
        <is>
          <t>Cash is input.cash override — when input.cash override is not no answer; cash total(input.accounts ?? []) — otherwise. Debts is input.debts (or none — when missing). Cats is input.profile.spend cats — when array.is array(input.profile.spend cats); [] — otherwise. Housing budgeted is cats.some((c: any) =&gt; id = 'rent' and number(amount) &gt; 0). Kind is string(debt type ?? type ?? '').to upper case(). When housing budgeted and kind = 'MORTGAGE', it answers t. The answer is t plus required payment(d). Ess is essentials monthly(input.expenses ?? [], monthly essentials(input.profile)). Monthly is (ess.monthly ?? 0) plus debt minimums. Planned is planned monthly spend(input.profile) plus debt minimums. Kind is string(debt type ?? type ?? '').to upper case(). Only the first steps are shown; the rest of the body needs reading by hand.</t>
        </is>
      </c>
      <c r="I331" s="3" t="inlineStr">
        <is>
          <t>PARTLY READ — some of the code is still showing through; needs a hand pass</t>
        </is>
      </c>
      <c r="J331" s="3" t="inlineStr">
        <is>
          <t>Nothing is handed to it</t>
        </is>
      </c>
      <c r="K331" s="3" t="inlineStr">
        <is>
          <t>NOT DECLARED — the code does not say what it gives back</t>
        </is>
      </c>
      <c r="L331" s="3" t="inlineStr">
        <is>
          <t>NOT FOUND — a screen calls it, but the words printed beside its answer could not be traced automatically. Needs reading.</t>
        </is>
      </c>
      <c r="M331" s="3" t="inlineStr">
        <is>
          <t>· If monthly is missing it uses 0.</t>
        </is>
      </c>
      <c r="N331" s="3" t="inlineStr">
        <is>
          <t>Yes</t>
        </is>
      </c>
      <c r="O331" s="3" t="inlineStr">
        <is>
          <t>1. MK-CF-F-155 cash
2. MK-NW-F-016 cashTotal
3. MK-CF-F-010 emergencyTest
4. MK-CF-F-190 essentialsMonthly
5. MK-CF-F-009 monthlyEssentials
6. MK-CF-F-002 plannedMonthlySpend
7. MK-CF-F-023 requiredPayment</t>
        </is>
      </c>
      <c r="P331" s="3" t="n">
        <v>107</v>
      </c>
      <c r="Q331" s="3" t="inlineStr">
        <is>
          <t>1. MK-CF-F-155 cash
2. MK-NW-F-016 cashTotal
3. MK-CF-F-010 emergencyTest
4. MK-CF-F-190 essentialsMonthly
5. MK-CF-F-009 monthlyEssentials
6. MK-CF-F-002 plannedMonthlySpend
7. MK-CF-F-023 requiredPayment
8. MK-XS-F-122 n
9. MK-NW-F-027 accountClassBreakdown
10. MK-NW-F-011 assetClassOf
11. MK-CF-F-189 essentialsFromLoggedSpending
12. MK-CF-O-002 expenses
13. MK-CF-F-120 pctBaseMonthly
14. MK-CF-F-004 spendBuckets
15. MK-ST-F-052 toNum
16. MK-CF-F-092 incomeMonthlyGrid
17. MK-XS-F-027 takeHomeMonthly
18. MK-CF-F-022 paymentShape
19. MK-NW-F-008 incomeBearingClassOf
20. MK-ST-F-056 has
21. MK-CF-F-191 ym
22. MK-CF-F-151 actualSpending
23. MK-CF-F-150 debtPaymentsCountedAsExpenses
24. MK-CF-F-153 radar
25. MK-CF-F-149 recurringDebtPayments
26. MK-CF-F-003 categoryMonthly
27. MK-CF-F-069 benefitActiveMonths
28. MK-CF-F-072 currentRetirementIncomeMonthly
29. MK-CF-F-173 earnerWages
30. MK-CF-F-065 equityVestWeights
31. MK-CF-F-071 extraIncome
32. MK-CF-F-206 householdK401ByMonth
33. MK-CF-F-132 map
34. MK-CF-F-087 monthlyTaxRates
35. MK-CF-F-073 otherIncomeMonth
36. MK-CF-F-181 rateInForce
37. MK-CF-F-068 rentalNetAnnual
38. MK-CF-F-066 rsuAnnual
39. MK-CF-F-060 salaryGrossByMonth
40. MK-CF-F-077 scholarshipByCalendarMonth
41. MK-CF-F-088 taxableByCalendarMonth
42. MK-CF-F-177 wageGrossByMonth
43. MK-PL-F-012 waterfall
44. MK-CF-F-011 savingsByMonth
45. MK-CF-F-021 defaultPaymentType
46. MK-ST-F-010 nameEvidence
47. MK-CF-F-148 inMonth
48. MK-CF-F-152 isRadarItem
49. MK-CF-F-075 retirementIncomeMonthly
50. MK-CF-F-172 hasWage
51. MK-CF-F-062 equityRowValue
52. MK-CF-F-070 benefitAnnual
53. MK-ST-F-039 on
54. MK-CF-F-176 sumMonthsOverEarners
55. MK-CF-F-203 MONTH
56. MK-CF-F-090 effectiveRate
57. MK-CF-F-180 enteredLandsAnnual
58. MK-CF-F-085 filingStatusOf
59. MK-CF-F-089 over65CountOf
60. MK-CF-F-082 salaryAnnual
61. MK-CF-F-086 stateRateOf
62. MK-CF-F-101 taxOwedFor
63. MK-CF-F-084 taxableAnnual
64. MK-CF-F-067 rentalList
65. MK-CF-F-063 rowVestYear
66. MK-CF-F-130 enteredMonthlyRaw
67. MK-CF-F-166 hasMonthlySalaryTable
68. MK-ST-F-036 reconcile
69. MK-CF-F-167 salaryCalendarYear
70. MK-CF-F-008 spendByMonth
71. MK-XS-F-147 call
72. MK-CF-O-010 theMonth
73. MK-CF-F-100 taxableIncomeFor
74. MK-CF-F-074 tipsAnnual
75. MK-CF-F-165 salaryMonths
76. MK-ST-F-027 accountId
77. MK-XS-F-064 currentIdToken
78. MK-XS-F-112 relayUrl
79. MK-CF-O-003 thisMonth
80. MK-CF-F-099 deductionFor
81. MK-CF-F-081 salaryActiveMonths
82. MK-CF-F-005 actualMonthFlow
83. MK-CF-F-156 plannedMonthFlow
84. MK-CF-F-187 seniorDeductionFor
85. MK-NW-F-078 ONE
86. MK-CF-F-157 debtPaymentsByDebt
87. MK-CF-F-192 inflowLabel
88. MK-NW-F-077 ALL
89. MK-NW-F-059 currentYield
90. MK-XS-F-180 declareFigures
91. MK-ST-F-049 formatMoney
92. MK-ST-F-053 money
93. MK-NW-O-001 theBonds
94. MK-CF-F-193 inflowSourceWord
95. MK-NW-F-057 annualCoupon
96. MK-ST-F-048 currencySymbol
97. MK-NW-F-056 bondInfo
98. MK-NW-F-064 bondRateSensitivity
99. MK-NW-F-061 bondSummary
100. MK-NW-F-055 isBond
101. MK-NW-F-072 rowOf
102. MK-ST-F-047 activeCurrency
103. MK-NW-F-060 approxYTM
104. MK-NW-F-069 priceAtYield
105. MK-NW-F-070 accruedInterestCaveat
106. MK-NW-F-071 isCertificateOfDeposit
107. MK-NW-F-058 yearsToMaturity</t>
        </is>
      </c>
      <c r="R331" s="3" t="inlineStr">
        <is>
          <t>1. MK-XS-F-122 n → MK-CF-F-155 cash → MK-NW-O-004 theEmergencyFund
2. MK-CF-F-155 cash → MK-NW-F-008 incomeBearingClassOf → MK-NW-F-011 assetClassOf → MK-NW-F-027 accountClassBreakdown → MK-NW-F-016 cashTotal → MK-NW-O-004 theEmergencyFund
3. MK-ST-F-010 nameEvidence → MK-NW-F-008 incomeBearingClassOf → MK-NW-F-011 assetClassOf → MK-NW-F-027 accountClassBreakdown → MK-NW-F-016 cashTotal → MK-NW-O-004 theEmergencyFund
4. MK-XS-F-122 n → MK-CF-F-155 cash → MK-NW-F-027 accountClassBreakdown → MK-NW-F-016 cashTotal → MK-NW-O-004 theEmergencyFund
5. MK-XS-F-122 n → MK-CF-F-155 cash → MK-NW-F-008 incomeBearingClassOf → MK-NW-F-027 accountClassBreakdown → MK-NW-F-016 cashTotal → MK-NW-O-004 theEmergencyFund
6. MK-XS-F-147 call → MK-ST-F-010 nameEvidence → MK-NW-F-008 incomeBearingClassOf → MK-NW-F-027 accountClassBreakdown → MK-NW-F-016 cashTotal → MK-NW-O-004 theEmergencyFund
7. MK-ST-F-056 has → MK-ST-F-010 nameEvidence → MK-NW-F-008 incomeBearingClassOf → MK-NW-F-027 accountClassBreakdown → MK-NW-F-016 cashTotal → MK-NW-O-004 theEmergencyFund
8. MK-CF-F-132 map → MK-ST-F-010 nameEvidence → MK-NW-F-008 incomeBearingClassOf → MK-NW-F-027 accountClassBreakdown → MK-NW-F-016 cashTotal → MK-NW-O-004 theEmergencyFund
9. … and 5 more paths</t>
        </is>
      </c>
      <c r="S331" s="3" t="inlineStr">
        <is>
          <t>MK-NW-M-046 · MK-NW-M-047 · MK-NW-M-048</t>
        </is>
      </c>
      <c r="T331" s="3" t="inlineStr">
        <is>
          <t>—</t>
        </is>
      </c>
      <c r="U331" s="3" t="inlineStr">
        <is>
          <t>DECOMMISSIONED 2026-09-28 — it was here and is not any more. Kept so the number is never reused and earlier work can still be traced.</t>
        </is>
      </c>
      <c r="V331" s="3" t="inlineStr">
        <is>
          <t>2026-09-30</t>
        </is>
      </c>
      <c r="W331" s="3" t="n"/>
      <c r="X331" s="3" t="n"/>
      <c r="Y331" s="3" t="inlineStr">
        <is>
          <t>NOTHING OPEN</t>
        </is>
      </c>
    </row>
    <row r="332" ht="60" customHeight="1">
      <c r="A332" s="3" t="inlineStr">
        <is>
          <t>MK-NW-O-005</t>
        </is>
      </c>
      <c r="B332" s="3" t="inlineStr">
        <is>
          <t>theAlternativesOutlook</t>
        </is>
      </c>
      <c r="C332" s="3" t="inlineStr">
        <is>
          <t>MoneyKeel/functions/networth-and-performance/alternatives-outlook.ts</t>
        </is>
      </c>
      <c r="D332" s="3" t="n">
        <v>76</v>
      </c>
      <c r="E332" s="3" t="inlineStr">
        <is>
          <t>2 · DISPLAYED</t>
        </is>
      </c>
      <c r="F332" s="3" t="inlineStr">
        <is>
          <t>What might my alternative investments earn in a year: the expected rate, and the money it comes to?</t>
        </is>
      </c>
      <c r="G332" s="11" t="inlineStr">
        <is>
          <t>accounts = input.accounts (or none when missing)
s = alternatives summary(accounts)</t>
        </is>
      </c>
      <c r="H332" s="3" t="inlineStr">
        <is>
          <t>Accounts is input.accounts (or none — when missing). S is alternatives summary(accounts).</t>
        </is>
      </c>
      <c r="I332" s="3" t="inlineStr">
        <is>
          <t>PARTLY READ — some of the code is still showing through; needs a hand pass</t>
        </is>
      </c>
      <c r="J332" s="3" t="inlineStr">
        <is>
          <t>input: { accounts: AssetAccount[] }</t>
        </is>
      </c>
      <c r="K332" s="3" t="inlineStr">
        <is>
          <t>AlternativesOutlook</t>
        </is>
      </c>
      <c r="L332" s="3" t="inlineStr">
        <is>
          <t>1. "EST. GROWTH /year" — on the Other investments screen, under "ALTERNATIVES"
2. "EXP. RETURN" — on the Other investments screen, under "ALTERNATIVES"</t>
        </is>
      </c>
      <c r="M332" s="3" t="inlineStr">
        <is>
          <t>· If balance is missing it counts as zero, so nothing recorded and a real zero look the same.</t>
        </is>
      </c>
      <c r="N332" s="3" t="inlineStr">
        <is>
          <t>Yes</t>
        </is>
      </c>
      <c r="O332" s="3" t="inlineStr">
        <is>
          <t>1. MK-NW-F-002 alternativesSummary
2. MK-NW-F-011 assetClassOf
3. MK-NW-F-034 benchmarkReturn
4. MK-NW-F-037 blendedReturn
5. MK-CF-F-132 map</t>
        </is>
      </c>
      <c r="P332" s="3" t="n">
        <v>20</v>
      </c>
      <c r="Q332" s="3" t="inlineStr">
        <is>
          <t>1. MK-NW-F-002 alternativesSummary
2. MK-NW-F-011 assetClassOf
3. MK-NW-F-034 benchmarkReturn
4. MK-NW-F-037 blendedReturn
5. MK-CF-F-132 map
6. MK-NW-F-001 isAlternative
7. MK-NW-F-008 incomeBearingClassOf
8. MK-NW-F-007 assetKind
9. MK-NW-F-032 earmarkedAmount
10. MK-NW-F-031 primaryCarIdOf
11. MK-CF-F-155 cash
12. MK-ST-F-010 nameEvidence
13. MK-NW-F-030 earmarkDefault
14. MK-XS-F-122 n
15. MK-XS-F-147 call
16. MK-ST-F-056 has
17. MK-NW-F-013 realEstateUseOf
18. MK-ST-F-027 accountId
19. MK-XS-F-064 currentIdToken
20. MK-XS-F-112 relayUrl</t>
        </is>
      </c>
      <c r="R332" s="3" t="inlineStr">
        <is>
          <t>1. MK-NW-F-008 incomeBearingClassOf → MK-NW-F-011 assetClassOf → MK-NW-F-007 assetKind → MK-NW-F-034 benchmarkReturn → MK-NW-F-002 alternativesSummary → MK-NW-O-005 theAlternativesOutlook
2. MK-XS-F-122 n → MK-CF-F-155 cash → MK-NW-F-007 assetKind → MK-NW-F-034 benchmarkReturn → MK-NW-F-002 alternativesSummary → MK-NW-O-005 theAlternativesOutlook
3. MK-NW-F-001 isAlternative → MK-NW-F-002 alternativesSummary → MK-NW-O-005 theAlternativesOutlook
4. MK-XS-F-122 n → MK-CF-F-155 cash → MK-NW-F-008 incomeBearingClassOf → MK-NW-F-011 assetClassOf → MK-NW-O-005 theAlternativesOutlook
5. MK-ST-F-027 accountId → MK-XS-F-147 call → MK-ST-F-010 nameEvidence → MK-NW-F-008 incomeBearingClassOf → MK-NW-F-011 assetClassOf → MK-NW-O-005 theAlternativesOutlook
6. MK-XS-F-064 currentIdToken → MK-XS-F-147 call → MK-ST-F-010 nameEvidence → MK-NW-F-008 incomeBearingClassOf → MK-NW-F-011 assetClassOf → MK-NW-O-005 theAlternativesOutlook
7. MK-XS-F-112 relayUrl → MK-XS-F-147 call → MK-ST-F-010 nameEvidence → MK-NW-F-008 incomeBearingClassOf → MK-NW-F-011 assetClassOf → MK-NW-O-005 theAlternativesOutlook
8. MK-ST-F-056 has → MK-ST-F-010 nameEvidence → MK-NW-F-008 incomeBearingClassOf → MK-NW-F-011 assetClassOf → MK-NW-O-005 theAlternativesOutlook
9. … and 5 more paths</t>
        </is>
      </c>
      <c r="S332" s="3" t="inlineStr">
        <is>
          <t>MK-NW-M-050 · MK-NW-M-051 · MK-NW-M-052</t>
        </is>
      </c>
      <c r="T332" s="3" t="inlineStr">
        <is>
          <t>—</t>
        </is>
      </c>
      <c r="U332" s="3" t="inlineStr">
        <is>
          <t>ACTIVE</t>
        </is>
      </c>
      <c r="V332" s="3" t="inlineStr">
        <is>
          <t>2026-10-01</t>
        </is>
      </c>
      <c r="W332" s="3" t="n"/>
      <c r="X332" s="3" t="n"/>
      <c r="Y332" s="3" t="inlineStr">
        <is>
          <t>NOTHING OPEN</t>
        </is>
      </c>
    </row>
    <row r="333" ht="60" customHeight="1">
      <c r="A333" s="3" t="inlineStr">
        <is>
          <t>MK-NW-O-006</t>
        </is>
      </c>
      <c r="B333" s="3" t="inlineStr">
        <is>
          <t>theHolding</t>
        </is>
      </c>
      <c r="C333" s="3" t="inlineStr">
        <is>
          <t>MoneyKeel/functions/networth-and-performance/holding.ts</t>
        </is>
      </c>
      <c r="D333" s="3" t="n">
        <v>106</v>
      </c>
      <c r="E333" s="3" t="inlineStr">
        <is>
          <t>2 · DISPLAYED</t>
        </is>
      </c>
      <c r="F333" s="3" t="inlineStr">
        <is>
          <t>How is this one holding doing: its value, its cost, and its gains realised and not yet realised?</t>
        </is>
      </c>
      <c r="G333" s="11" t="inlineStr">
        <is>
          <t>now = input.now (or new date() when missing)
p = input.position
ticker = string((p as any).ticker ?? '')
shares = total shares(p)
paid = cost basis(p)
priced = input.price ≠ nothing
value = market value(p, input.price as number)   if priced
paid   otherwise
a year ago = the first 10 of the date now.get time() − 365 × 24 × 3600 × 1000).to isostring(
div rows = named where type = 'DIVIDEND'
sum = Σ over (list: any[]) =&gt; list of (amount (or 0 when missing or zero))
c = input.recent closes (or none when missing)
… the first steps only — the rest of the body needs reading by hand.</t>
        </is>
      </c>
      <c r="H333" s="3" t="inlineStr">
        <is>
          <t>Now is input.now (or new date() — when missing). P is input.position. Ticker is string((p as any).ticker ?? ''). Shares is total shares(p). Paid is cost basis(p). Priced is input.price is not no answer. Value is market value(p, input.price as number) — when priced; paid — otherwise. A year ago: the first 10 of the date now.get time() minus 365 times 24 times 3600 times 1000).to isostring(. Div rows is named where type = 'DIVIDEND'. Sum: the amount (or 0 — when missing or zero) added up across (list: any[]) =&gt; list. C is input.recent closes (or none — when missing). Only the first steps are shown; the rest of the body needs reading by hand.</t>
        </is>
      </c>
      <c r="I333" s="3" t="inlineStr">
        <is>
          <t>PARTLY READ — some of the code is still showing through; needs a hand pass</t>
        </is>
      </c>
      <c r="J333" s="3" t="inlineStr">
        <is>
          <t>Nothing is handed to it</t>
        </is>
      </c>
      <c r="K333" s="3" t="inlineStr">
        <is>
          <t>NOT DECLARED — the code does not say what it gives back</t>
        </is>
      </c>
      <c r="L333" s="3" t="inlineStr">
        <is>
          <t>NOT FOUND — a screen calls it, but the words printed beside its answer could not be traced automatically. Needs reading.</t>
        </is>
      </c>
      <c r="M333" s="3" t="inlineStr">
        <is>
          <t>1. If amount is missing it counts as zero, so nothing recorded and a real zero look the same.
2. If shares is missing it counts as zero, so nothing recorded and a real zero look the same.
3. If cost per share is missing it counts as zero, so nothing recorded and a real zero look the same.
4. Uses today's date from the device clock, so the answer changes by itself overnight.</t>
        </is>
      </c>
      <c r="N333" s="3" t="inlineStr">
        <is>
          <t>Yes</t>
        </is>
      </c>
      <c r="O333" s="3" t="inlineStr">
        <is>
          <t>1. MK-PF-F-006 capGains
2. MK-PF-F-002 costBasis
3. MK-CF-F-132 map
4. MK-PF-F-004 marketValue
5. MK-PF-F-028 realizedFromLedger
6. MK-PF-F-001 totalShares</t>
        </is>
      </c>
      <c r="P333" s="3" t="n">
        <v>8</v>
      </c>
      <c r="Q333" s="3" t="inlineStr">
        <is>
          <t>1. MK-PF-F-006 capGains
2. MK-PF-F-002 costBasis
3. MK-CF-F-132 map
4. MK-PF-F-004 marketValue
5. MK-PF-F-028 realizedFromLedger
6. MK-PF-F-001 totalShares
7. MK-XS-F-122 n
8. MK-PF-F-031 contractMultiplier</t>
        </is>
      </c>
      <c r="R333" s="3" t="inlineStr">
        <is>
          <t>1. MK-XS-F-122 n → MK-PF-F-006 capGains → MK-NW-O-006 theHolding
2. MK-PF-F-031 contractMultiplier → MK-PF-F-002 costBasis → MK-NW-O-006 theHolding
3. MK-CF-F-132 map → MK-NW-O-006 theHolding
4. MK-PF-F-031 contractMultiplier → MK-PF-F-004 marketValue → MK-NW-O-006 theHolding
5. MK-PF-F-001 totalShares → MK-PF-F-004 marketValue → MK-NW-O-006 theHolding
6. MK-PF-F-028 realizedFromLedger → MK-NW-O-006 theHolding
7. MK-PF-F-001 totalShares → MK-NW-O-006 theHolding</t>
        </is>
      </c>
      <c r="S333" s="3" t="inlineStr">
        <is>
          <t>MK-NW-M-029 · MK-NW-M-030 · MK-NW-M-031 · MK-NW-M-033 · MK-NW-M-034 · MK-NW-M-035 · MK-NW-M-036 · MK-NW-M-037 · MK-NW-M-059 · MK-NW-M-060 · MK-NW-M-061</t>
        </is>
      </c>
      <c r="T333" s="3" t="inlineStr">
        <is>
          <t>—</t>
        </is>
      </c>
      <c r="U333" s="3" t="inlineStr">
        <is>
          <t>ACTIVE</t>
        </is>
      </c>
      <c r="V333" s="3" t="inlineStr">
        <is>
          <t>2026-10-01</t>
        </is>
      </c>
      <c r="W333" s="3" t="n"/>
      <c r="X333" s="3" t="n"/>
      <c r="Y333" s="3" t="inlineStr">
        <is>
          <t>NOTHING OPEN</t>
        </is>
      </c>
    </row>
    <row r="334" ht="45" customHeight="1">
      <c r="A334" s="3" t="inlineStr">
        <is>
          <t>MK-NW-O-007</t>
        </is>
      </c>
      <c r="B334" s="3" t="inlineStr">
        <is>
          <t>theLookBack</t>
        </is>
      </c>
      <c r="C334" s="3" t="inlineStr">
        <is>
          <t>MoneyKeel/functions/networth-and-performance/look-back.ts</t>
        </is>
      </c>
      <c r="D334" s="3" t="n">
        <v>44</v>
      </c>
      <c r="E334" s="3" t="inlineStr">
        <is>
          <t>2 · DISPLAYED</t>
        </is>
      </c>
      <c r="F334" s="3" t="inlineStr">
        <is>
          <t>What would this holding be worth today had I put the same money into something else on the same days?</t>
        </is>
      </c>
      <c r="G334" s="11" t="inlineStr">
        <is>
          <t>look back(input.amount, input.from series, input.to series, input.months, input.now ?? new date())</t>
        </is>
      </c>
      <c r="H334" s="3" t="inlineStr">
        <is>
          <t>look back(input.amount, input.from series, input.to series, input.months, input.now ?? new date()).</t>
        </is>
      </c>
      <c r="I334" s="3" t="inlineStr">
        <is>
          <t>PARTLY READ — some of the code is still showing through; needs a hand pass</t>
        </is>
      </c>
      <c r="J334" s="3" t="inlineStr">
        <is>
          <t>Nothing is handed to it</t>
        </is>
      </c>
      <c r="K334" s="3" t="inlineStr">
        <is>
          <t>NOT DECLARED — the code does not say what it gives back</t>
        </is>
      </c>
      <c r="L334" s="3" t="inlineStr">
        <is>
          <t>NOT FOUND — a screen calls it, but the words printed beside its answer could not be traced automatically. Needs reading.</t>
        </is>
      </c>
      <c r="M334" s="3" t="inlineStr">
        <is>
          <t>· Uses today's date from the device clock, so the answer changes by itself overnight.</t>
        </is>
      </c>
      <c r="N334" s="3" t="inlineStr">
        <is>
          <t>Yes</t>
        </is>
      </c>
      <c r="O334" s="3" t="inlineStr">
        <is>
          <t>MK-PF-F-023 lookBack</t>
        </is>
      </c>
      <c r="P334" s="3" t="n">
        <v>3</v>
      </c>
      <c r="Q334" s="3" t="inlineStr">
        <is>
          <t>1. MK-PF-F-023 lookBack
2. MK-PF-F-022 factorOverMonths
3. MK-ST-F-065 isoLocalDate</t>
        </is>
      </c>
      <c r="R334" s="3" t="inlineStr">
        <is>
          <t>MK-ST-F-065 isoLocalDate → MK-PF-F-022 factorOverMonths → MK-PF-F-023 lookBack → MK-NW-O-007 theLookBack</t>
        </is>
      </c>
      <c r="S334" s="3" t="inlineStr">
        <is>
          <t>MK-PF-M-010 · MK-PF-M-011 · MK-PF-M-012</t>
        </is>
      </c>
      <c r="T334" s="3" t="inlineStr">
        <is>
          <t>—</t>
        </is>
      </c>
      <c r="U334" s="3" t="inlineStr">
        <is>
          <t>ACTIVE</t>
        </is>
      </c>
      <c r="V334" s="3" t="inlineStr">
        <is>
          <t>2026-09-28</t>
        </is>
      </c>
      <c r="W334" s="3" t="n"/>
      <c r="X334" s="3" t="n"/>
      <c r="Y334" s="3" t="inlineStr">
        <is>
          <t>NOTHING OPEN</t>
        </is>
      </c>
    </row>
    <row r="335" ht="60" customHeight="1">
      <c r="A335" s="3" t="inlineStr">
        <is>
          <t>MK-NW-O-008</t>
        </is>
      </c>
      <c r="B335" s="3" t="inlineStr">
        <is>
          <t>thePerformance</t>
        </is>
      </c>
      <c r="C335" s="3" t="inlineStr">
        <is>
          <t>MoneyKeel/functions/networth-and-performance/performance.ts</t>
        </is>
      </c>
      <c r="D335" s="3" t="n">
        <v>366</v>
      </c>
      <c r="E335" s="3" t="inlineStr">
        <is>
          <t>2 · DISPLAYED</t>
        </is>
      </c>
      <c r="F335" s="3" t="inlineStr">
        <is>
          <t>How are my investments doing over a period: where they started, what I put in and took out, what they made, where they ended, and the return?</t>
        </is>
      </c>
      <c r="G335" s="11" t="inlineStr">
        <is>
          <t>flows = personal flow totals(ledger)
contributions = flows.contributions.to number(2)
withdrawals = flows.withdrawals.to number(2)
dividends = flows.dividends.to number(2)
interest = flows.interest.to number(2)
bounds = window bounds(window start, today)   if window start
nothing   otherwise
days = input.snapshot days (or none when missing)
priced gain = 0   if window start = today
input.priced gain   otherwise
beginning = measured (or ending − priced gain − contributions + withdrawals when missing)
years = bounds.days ÷ 365   if bounds
0   otherwise
covered = measured ≠ nothing
… the first steps only — the rest of the body needs reading by hand.</t>
        </is>
      </c>
      <c r="H335" s="3" t="inlineStr">
        <is>
          <t>Flows is personal flow totals(ledger). Contributions is flows.contributions.to number(2). Withdrawals is flows.withdrawals.to number(2). Dividends is flows.dividends.to number(2). Interest is flows.interest.to number(2). Bounds is window bounds(window start, today) — when window start; no answer — otherwise. Days is input.snapshot days (or none — when missing). Priced gain is 0 — when window start = today; input.priced gain — otherwise. Beginning is measured (or ending minus priced gain minus contributions plus withdrawals — when missing). Years is bounds.days divided by 365 — when bounds; 0 — otherwise. Covered is measured is not no answer. Only the first steps are shown; the rest of the body needs reading by hand.</t>
        </is>
      </c>
      <c r="I335" s="3" t="inlineStr">
        <is>
          <t>PARTLY READ — some of the code is still showing through; needs a hand pass</t>
        </is>
      </c>
      <c r="J335" s="3" t="inlineStr">
        <is>
          <t>Nothing is handed to it</t>
        </is>
      </c>
      <c r="K335" s="3" t="inlineStr">
        <is>
          <t>NOT DECLARED — the code does not say what it gives back</t>
        </is>
      </c>
      <c r="L335" s="3" t="inlineStr">
        <is>
          <t>1. "Return" — on the Performance screen
2. "Wealth generated" — on the Performance screen, under "SUMMARY
3. $"</t>
        </is>
      </c>
      <c r="M335" s="3" t="inlineStr">
        <is>
          <t>1. Treats a year as 365 days.
2. Shows 2 decimal places.</t>
        </is>
      </c>
      <c r="N335" s="3" t="inlineStr">
        <is>
          <t>Yes</t>
        </is>
      </c>
      <c r="O335" s="3" t="inlineStr">
        <is>
          <t>1. MK-XS-F-011 buildChangeWalk
2. MK-CF-F-132 map
3. MK-ST-F-064 modifiedDietzOverWindow
4. MK-ST-F-013 personalFlowTotals
5. MK-NW-F-102 rateWhereItRefuses
6. MK-ST-F-030 record
7. MK-ST-F-021 toNumber
8. MK-ST-F-031 valueOn
9. MK-ST-F-038 windowBounds</t>
        </is>
      </c>
      <c r="P335" s="3" t="n">
        <v>47</v>
      </c>
      <c r="Q335" s="3" t="inlineStr">
        <is>
          <t>1. MK-XS-F-011 buildChangeWalk
2. MK-CF-F-132 map
3. MK-ST-F-064 modifiedDietzOverWindow
4. MK-ST-F-013 personalFlowTotals
5. MK-NW-F-102 rateWhereItRefuses
6. MK-ST-F-030 record
7. MK-ST-F-021 toNumber
8. MK-ST-F-031 valueOn
9. MK-ST-F-038 windowBounds
10. MK-ST-F-053 money
11. MK-ST-F-062 toUtc
12. MK-NW-F-078 ONE
13. MK-PF-F-026 moneyWeightedReturn
14. MK-XS-F-122 n
15. MK-ST-F-027 accountId
16. MK-CF-F-155 cash
17. MK-ST-F-056 has
18. MK-ST-F-033 onOrBefore
19. MK-ST-F-063 shiftDay
20. MK-ST-F-049 formatMoney
21. MK-NW-F-077 ALL
22. MK-NW-F-059 currentYield
23. MK-XS-F-180 declareFigures
24. MK-NW-O-001 theBonds
25. MK-PF-F-025 historyIsComplete
26. MK-PF-F-030 npv
27. MK-PF-F-024 userFlows
28. MK-ST-F-048 currencySymbol
29. MK-ST-F-039 on
30. MK-NW-F-057 annualCoupon
31. MK-NW-F-056 bondInfo
32. MK-NW-F-064 bondRateSensitivity
33. MK-NW-F-061 bondSummary
34. MK-NW-F-055 isBond
35. MK-NW-F-072 rowOf
36. MK-ST-F-047 activeCurrency
37. MK-NW-F-060 approxYTM
38. MK-NW-F-069 priceAtYield
39. MK-NW-F-011 assetClassOf
40. MK-NW-F-070 accruedInterestCaveat
41. MK-NW-F-071 isCertificateOfDeposit
42. MK-NW-F-058 yearsToMaturity
43. MK-NW-F-008 incomeBearingClassOf
44. MK-ST-F-010 nameEvidence
45. MK-XS-F-147 call
46. MK-XS-F-064 currentIdToken
47. MK-XS-F-112 relayUrl</t>
        </is>
      </c>
      <c r="R335" s="3" t="inlineStr">
        <is>
          <t>1. MK-XS-F-011 buildChangeWalk → MK-NW-O-008 thePerformance
2. MK-CF-F-132 map → MK-NW-O-008 thePerformance
3. MK-CF-F-132 map → MK-ST-F-064 modifiedDietzOverWindow → MK-NW-O-008 thePerformance
4. MK-ST-F-047 activeCurrency → MK-ST-F-048 currencySymbol → MK-ST-F-049 formatMoney → MK-ST-F-053 money → MK-ST-F-064 modifiedDietzOverWindow → MK-NW-O-008 thePerformance
5. MK-XS-F-122 n → MK-ST-F-049 formatMoney → MK-ST-F-053 money → MK-ST-F-064 modifiedDietzOverWindow → MK-NW-O-008 thePerformance
6. MK-ST-F-039 on → MK-ST-F-049 formatMoney → MK-ST-F-053 money → MK-ST-F-064 modifiedDietzOverWindow → MK-NW-O-008 thePerformance
7. MK-XS-F-122 n → MK-ST-F-053 money → MK-ST-F-064 modifiedDietzOverWindow → MK-NW-O-008 thePerformance
8. MK-XS-F-122 n → MK-ST-F-021 toNumber → MK-ST-F-064 modifiedDietzOverWindow → MK-NW-O-008 thePerformance
9. … and 5 more paths</t>
        </is>
      </c>
      <c r="S335" s="3" t="inlineStr">
        <is>
          <t>MK-PF-M-002 · MK-PF-M-003 · MK-PF-M-005 · MK-PF-M-006 · MK-PF-M-007 · MK-PF-M-008 · MK-PF-M-013 · MK-PF-M-014 · MK-PF-M-015 · MK-PF-M-016 · MK-PF-M-017 · MK-PF-M-018 · MK-PF-M-019 · MK-PF-M-020 · MK-XS-M-004</t>
        </is>
      </c>
      <c r="T335" s="3" t="inlineStr">
        <is>
          <t>—</t>
        </is>
      </c>
      <c r="U335" s="3" t="inlineStr">
        <is>
          <t>ACTIVE</t>
        </is>
      </c>
      <c r="V335" s="3" t="inlineStr">
        <is>
          <t>2026-10-03</t>
        </is>
      </c>
      <c r="W335" s="3" t="n"/>
      <c r="X335" s="3" t="n"/>
      <c r="Y335" s="3" t="inlineStr">
        <is>
          <t>NOTHING OPEN</t>
        </is>
      </c>
    </row>
    <row r="336" ht="45" customHeight="1">
      <c r="A336" s="3" t="inlineStr">
        <is>
          <t>MK-PF-F-001</t>
        </is>
      </c>
      <c r="B336" s="3" t="inlineStr">
        <is>
          <t>totalShares</t>
        </is>
      </c>
      <c r="C336" s="3" t="inlineStr">
        <is>
          <t>src/domain/performance/index.ts</t>
        </is>
      </c>
      <c r="D336" s="3" t="n">
        <v>180</v>
      </c>
      <c r="E336" s="3" t="inlineStr">
        <is>
          <t>2 · DISPLAYED</t>
        </is>
      </c>
      <c r="F336" s="3" t="inlineStr">
        <is>
          <t>How many shares of a holding are held, added up across every purchase.</t>
        </is>
      </c>
      <c r="G336" s="11" t="inlineStr">
        <is>
          <t>total shares(holding) = Σ over every lot of (shares, or 0 when missing)</t>
        </is>
      </c>
      <c r="H336" s="3" t="inlineStr">
        <is>
          <t>Adds the share count of every lot. A lot with no share count counts as zero, so "nothing recorded" and "a real zero" give the same answer.</t>
        </is>
      </c>
      <c r="I336" s="3" t="inlineStr">
        <is>
          <t>READ BY HAND 2026-08-26 — checked line by line against the code</t>
        </is>
      </c>
      <c r="J336" s="3" t="inlineStr">
        <is>
          <t>p: Position</t>
        </is>
      </c>
      <c r="K336" s="3" t="inlineStr">
        <is>
          <t>number</t>
        </is>
      </c>
      <c r="L336" s="3" t="inlineStr">
        <is>
          <t>NOT FOUND — a screen calls it, but the words printed beside its answer could not be traced automatically. Needs reading.</t>
        </is>
      </c>
      <c r="M336" s="3" t="inlineStr">
        <is>
          <t>· If shares is missing it counts as zero, so nothing recorded and a real zero look the same.</t>
        </is>
      </c>
      <c r="N336" s="3" t="inlineStr">
        <is>
          <t>Yes</t>
        </is>
      </c>
      <c r="O336" s="3" t="inlineStr">
        <is>
          <t>—</t>
        </is>
      </c>
      <c r="P336" s="3" t="n">
        <v>0</v>
      </c>
      <c r="Q336" s="3" t="inlineStr">
        <is>
          <t>None — no dependent function stands behind it</t>
        </is>
      </c>
      <c r="R336" s="3" t="inlineStr">
        <is>
          <t>No dependent function — it reads its inputs and answers</t>
        </is>
      </c>
      <c r="S336" s="3" t="inlineStr">
        <is>
          <t>—</t>
        </is>
      </c>
      <c r="T336" s="3" t="inlineStr">
        <is>
          <t>HOLDING_SHARES</t>
        </is>
      </c>
      <c r="U336" s="3" t="inlineStr">
        <is>
          <t>ACTIVE</t>
        </is>
      </c>
      <c r="V336" s="3" t="inlineStr">
        <is>
          <t>2026-08-27</t>
        </is>
      </c>
      <c r="W336" s="3" t="inlineStr">
        <is>
          <t>[from MK-NW-M-031, typed Q07/Q09] 8 decimals for coins; always capture units.</t>
        </is>
      </c>
      <c r="X336" s="6" t="inlineStr">
        <is>
          <t>Sums raw numbers with no unit and no rounding. Fix: a unit on the position; coin quantities to 8 decimals — see MK-NW-M-031.</t>
        </is>
      </c>
      <c r="Y336" s="6" t="inlineStr">
        <is>
          <t>WAITING ON YOU — answer to read</t>
        </is>
      </c>
    </row>
    <row r="337" ht="60" customHeight="1">
      <c r="A337" s="3" t="inlineStr">
        <is>
          <t>MK-PF-F-002</t>
        </is>
      </c>
      <c r="B337" s="3" t="inlineStr">
        <is>
          <t>costBasis</t>
        </is>
      </c>
      <c r="C337" s="3" t="inlineStr">
        <is>
          <t>src/domain/performance/index.ts</t>
        </is>
      </c>
      <c r="D337" s="3" t="n">
        <v>220</v>
      </c>
      <c r="E337" s="3" t="inlineStr">
        <is>
          <t>2 · DISPLAYED</t>
        </is>
      </c>
      <c r="F337" s="3" t="inlineStr">
        <is>
          <t>What did I pay for this in total?</t>
        </is>
      </c>
      <c r="G337" s="11" t="inlineStr">
        <is>
          <t>cost basis(holding) = Σ over every lot of (shares × cost per share)</t>
        </is>
      </c>
      <c r="H337" s="3" t="inlineStr">
        <is>
          <t>What was paid, added across the lots. A lot with no cost per share contributes nothing, so a holding with neither a price nor a cost lands at $0 and quietly leaves net worth.</t>
        </is>
      </c>
      <c r="I337" s="3" t="inlineStr">
        <is>
          <t>READ BY HAND 2026-08-26 — checked line by line against the code</t>
        </is>
      </c>
      <c r="J337" s="3" t="inlineStr">
        <is>
          <t>p: Position</t>
        </is>
      </c>
      <c r="K337" s="3" t="inlineStr">
        <is>
          <t>number</t>
        </is>
      </c>
      <c r="L337" s="3" t="inlineStr">
        <is>
          <t>NOT FOUND — a screen calls it, but the words printed beside its answer could not be traced automatically. Needs reading.</t>
        </is>
      </c>
      <c r="M337" s="3" t="inlineStr">
        <is>
          <t>1. If shares is missing it counts as zero, so nothing recorded and a real zero look the same.
2. If cost per share is missing it counts as zero, so nothing recorded and a real zero look the same.</t>
        </is>
      </c>
      <c r="N337" s="3" t="inlineStr">
        <is>
          <t>Yes</t>
        </is>
      </c>
      <c r="O337" s="3" t="inlineStr">
        <is>
          <t>MK-PF-F-031 contractMultiplier</t>
        </is>
      </c>
      <c r="P337" s="3" t="n">
        <v>1</v>
      </c>
      <c r="Q337" s="3" t="inlineStr">
        <is>
          <t>MK-PF-F-031 contractMultiplier</t>
        </is>
      </c>
      <c r="R337" s="3" t="inlineStr">
        <is>
          <t>MK-PF-F-031 contractMultiplier → MK-PF-F-002 costBasis</t>
        </is>
      </c>
      <c r="S337" s="3" t="inlineStr">
        <is>
          <t>—</t>
        </is>
      </c>
      <c r="T337" s="3" t="inlineStr">
        <is>
          <t>HOLDING_COST_BASIS</t>
        </is>
      </c>
      <c r="U337" s="3" t="inlineStr">
        <is>
          <t>ACTIVE</t>
        </is>
      </c>
      <c r="V337" s="3" t="inlineStr">
        <is>
          <t>2026-09-09</t>
        </is>
      </c>
      <c r="W337" s="3" t="inlineStr">
        <is>
          <t>[from MK-NW-M-032 / M-033] Average price must not divide by shares whose cost is missing or zero; Total paid vs Price paid (average) — two things or one?</t>
        </is>
      </c>
      <c r="X337" s="6" t="inlineStr">
        <is>
          <t>Total paid is right (a no-cost lot adds 0). The AVERAGE is computed inline on the screen as this total ÷ ALL shares — so no-cost shares drag the average down (JJ-1, MK-NW-M-032). Fix: a named averagePricePaid function over lots with a cost &gt; 0; MK-NW-M-032 points at it, MK-NW-M-033 keeps this function.</t>
        </is>
      </c>
      <c r="Y337" s="6" t="inlineStr">
        <is>
          <t>WAITING ON YOU — answer to read · TESTED, NOT VERIFIED (Q06)</t>
        </is>
      </c>
    </row>
    <row r="338" ht="60" customHeight="1">
      <c r="A338" s="3" t="inlineStr">
        <is>
          <t>MK-PF-F-003</t>
        </is>
      </c>
      <c r="B338" s="3" t="inlineStr">
        <is>
          <t>avgCost</t>
        </is>
      </c>
      <c r="C338" s="3" t="inlineStr">
        <is>
          <t>src/domain/performance/index.ts</t>
        </is>
      </c>
      <c r="D338" s="3" t="n">
        <v>248</v>
      </c>
      <c r="E338" s="3" t="inlineStr">
        <is>
          <t>2 · DISPLAYED</t>
        </is>
      </c>
      <c r="F338" s="3" t="inlineStr">
        <is>
          <t>The average price paid per share of a holding: its total cost divided by the shares held, or zero when no shares are held.</t>
        </is>
      </c>
      <c r="G338" s="11" t="inlineStr">
        <is>
          <t>sh = total shares(p)
the answer:
cost basis(p) ÷ sh   if sh &gt; 0
0   otherwise</t>
        </is>
      </c>
      <c r="H338" s="3" t="inlineStr">
        <is>
          <t>Sh is total shares(p). The answer is cost basis(p) divided by sh — when sh &gt; 0; 0 — otherwise.</t>
        </is>
      </c>
      <c r="I338" s="3" t="inlineStr">
        <is>
          <t>READ FROM THE CODE — rendered from the expressions the function runs</t>
        </is>
      </c>
      <c r="J338" s="3" t="inlineStr">
        <is>
          <t>p: Position</t>
        </is>
      </c>
      <c r="K338" s="3" t="inlineStr">
        <is>
          <t>number</t>
        </is>
      </c>
      <c r="L338" s="3" t="inlineStr">
        <is>
          <t>NOT FOUND — a screen calls it, but the words printed beside its answer could not be traced automatically. Needs reading.</t>
        </is>
      </c>
      <c r="M338" s="3" t="inlineStr">
        <is>
          <t>None found in this function — anything it assumes comes from the functions it depends on.</t>
        </is>
      </c>
      <c r="N338" s="3" t="inlineStr">
        <is>
          <t>Yes</t>
        </is>
      </c>
      <c r="O338" s="3" t="inlineStr">
        <is>
          <t>1. MK-PF-F-002 costBasis
2. MK-PF-F-001 totalShares</t>
        </is>
      </c>
      <c r="P338" s="3" t="n">
        <v>3</v>
      </c>
      <c r="Q338" s="3" t="inlineStr">
        <is>
          <t>1. MK-PF-F-002 costBasis
2. MK-PF-F-001 totalShares
3. MK-PF-F-031 contractMultiplier</t>
        </is>
      </c>
      <c r="R338" s="3" t="inlineStr">
        <is>
          <t>1. MK-PF-F-031 contractMultiplier → MK-PF-F-002 costBasis → MK-PF-F-003 avgCost
2. MK-PF-F-001 totalShares → MK-PF-F-003 avgCost</t>
        </is>
      </c>
      <c r="S338" s="3" t="inlineStr">
        <is>
          <t>MK-NW-M-032</t>
        </is>
      </c>
      <c r="T338" s="3" t="inlineStr">
        <is>
          <t>—</t>
        </is>
      </c>
      <c r="U338" s="3" t="inlineStr">
        <is>
          <t>ACTIVE</t>
        </is>
      </c>
      <c r="V338" s="3" t="inlineStr">
        <is>
          <t>2026-09-09</t>
        </is>
      </c>
      <c r="W338" s="3" t="inlineStr">
        <is>
          <t>[from MK-NW-M-032 / M-033] see MK-PF-F-002</t>
        </is>
      </c>
      <c r="X338" s="6" t="inlineStr">
        <is>
          <t>Unused by any screen (it clips to cents; the screen wants 3 decimals) and it divides by ALL shares. Retire it or make it the averagePricePaid of JJ-1 (cost &gt; 0 lots only, no cents clipping).</t>
        </is>
      </c>
      <c r="Y338" s="6" t="inlineStr">
        <is>
          <t>WAITING ON YOU — answer to read</t>
        </is>
      </c>
    </row>
    <row r="339" ht="60" customHeight="1">
      <c r="A339" s="3" t="inlineStr">
        <is>
          <t>MK-PF-F-004</t>
        </is>
      </c>
      <c r="B339" s="3" t="inlineStr">
        <is>
          <t>marketValue</t>
        </is>
      </c>
      <c r="C339" s="3" t="inlineStr">
        <is>
          <t>src/domain/performance/index.ts</t>
        </is>
      </c>
      <c r="D339" s="3" t="n">
        <v>286</v>
      </c>
      <c r="E339" s="3" t="inlineStr">
        <is>
          <t>3 · DEPENDENT</t>
        </is>
      </c>
      <c r="F339" s="3" t="inlineStr">
        <is>
          <t>What is this holding worth right now?</t>
        </is>
      </c>
      <c r="G339" s="11" t="inlineStr">
        <is>
          <t>market value(holding) = round(total shares × price, 2 dp)
                      = 0   when no price came back</t>
        </is>
      </c>
      <c r="H339" s="3" t="inlineStr">
        <is>
          <t>Shares times the latest close. A missing price gives ZERO, not a refusal — the caller has to notice and substitute something, and only the account step does. Nothing here multiplies an option contract by a hundred, so an option is valued as if one contract were one share.</t>
        </is>
      </c>
      <c r="I339" s="3" t="inlineStr">
        <is>
          <t>READ BY HAND 2026-08-26 — checked line by line against the code</t>
        </is>
      </c>
      <c r="J339" s="3" t="inlineStr">
        <is>
          <t>1. p: Position
2. price: number | null | undefined</t>
        </is>
      </c>
      <c r="K339" s="3" t="inlineStr">
        <is>
          <t>number</t>
        </is>
      </c>
      <c r="L339" s="3" t="inlineStr">
        <is>
          <t>—</t>
        </is>
      </c>
      <c r="M339" s="3" t="inlineStr">
        <is>
          <t>None found in this function — anything it assumes comes from the functions it depends on.</t>
        </is>
      </c>
      <c r="N339" s="3" t="inlineStr">
        <is>
          <t>Yes</t>
        </is>
      </c>
      <c r="O339" s="3" t="inlineStr">
        <is>
          <t>1. MK-PF-F-031 contractMultiplier
2. MK-PF-F-001 totalShares</t>
        </is>
      </c>
      <c r="P339" s="3" t="n">
        <v>2</v>
      </c>
      <c r="Q339" s="3" t="inlineStr">
        <is>
          <t>1. MK-PF-F-031 contractMultiplier
2. MK-PF-F-001 totalShares</t>
        </is>
      </c>
      <c r="R339" s="3" t="inlineStr">
        <is>
          <t>1. MK-PF-F-031 contractMultiplier → MK-PF-F-004 marketValue
2. MK-PF-F-001 totalShares → MK-PF-F-004 marketValue</t>
        </is>
      </c>
      <c r="S339" s="3" t="inlineStr">
        <is>
          <t>—</t>
        </is>
      </c>
      <c r="T339" s="3" t="inlineStr">
        <is>
          <t>HOLDING_MARKET_VALUE</t>
        </is>
      </c>
      <c r="U339" s="3" t="inlineStr">
        <is>
          <t>ACTIVE</t>
        </is>
      </c>
      <c r="V339" s="3" t="inlineStr">
        <is>
          <t>2026-08-27</t>
        </is>
      </c>
      <c r="W339" s="3" t="inlineStr">
        <is>
          <t>[from MK-NW-M-030, typed Q06] value is contracts * 100 * price unless stated otherwise by broker or user.</t>
        </is>
      </c>
      <c r="X339" s="6" t="inlineStr">
        <is>
          <t>NOT APPLIED here: market value = units × price, no multiplier. Fix: multiply by the position's multiplier (100 for a contract unless the feed or the person states another) — Q42 on MK-NW-M-030.</t>
        </is>
      </c>
      <c r="Y339" s="6" t="inlineStr">
        <is>
          <t>WAITING ON YOU — answer to read · TESTED, NOT VERIFIED (Q06)</t>
        </is>
      </c>
    </row>
    <row r="340" ht="60" customHeight="1">
      <c r="A340" s="3" t="inlineStr">
        <is>
          <t>MK-PF-F-005</t>
        </is>
      </c>
      <c r="B340" s="3" t="inlineStr">
        <is>
          <t>unrealizedGain</t>
        </is>
      </c>
      <c r="C340" s="3" t="inlineStr">
        <is>
          <t>src/domain/performance/index.ts</t>
        </is>
      </c>
      <c r="D340" s="3" t="n">
        <v>310</v>
      </c>
      <c r="E340" s="3" t="inlineStr">
        <is>
          <t>3 · DEPENDENT</t>
        </is>
      </c>
      <c r="F340" s="3" t="inlineStr">
        <is>
          <t>Unrealized gain = market value − cost basis (null price → 0).</t>
        </is>
      </c>
      <c r="G340" s="11" t="inlineStr">
        <is>
          <t>0   if price = nothing
market value(p, price) − cost basis(p)   otherwise</t>
        </is>
      </c>
      <c r="H340" s="3" t="inlineStr">
        <is>
          <t>0 — when price is missing; market value(p, price) minus cost basis(p) — otherwise.</t>
        </is>
      </c>
      <c r="I340" s="3" t="inlineStr">
        <is>
          <t>READ FROM THE CODE — rendered from the expressions the function runs</t>
        </is>
      </c>
      <c r="J340" s="3" t="inlineStr">
        <is>
          <t>1. p: Position
2. price: number | null | undefined</t>
        </is>
      </c>
      <c r="K340" s="3" t="inlineStr">
        <is>
          <t>number</t>
        </is>
      </c>
      <c r="L340" s="3" t="inlineStr">
        <is>
          <t>—</t>
        </is>
      </c>
      <c r="M340" s="3" t="inlineStr">
        <is>
          <t>None found in this function — anything it assumes comes from the functions it depends on.</t>
        </is>
      </c>
      <c r="N340" s="3" t="inlineStr">
        <is>
          <t>Yes</t>
        </is>
      </c>
      <c r="O340" s="3" t="inlineStr">
        <is>
          <t>1. MK-PF-F-002 costBasis
2. MK-CF-F-204 line
3. MK-PF-F-004 marketValue</t>
        </is>
      </c>
      <c r="P340" s="3" t="n">
        <v>105</v>
      </c>
      <c r="Q340" s="3" t="inlineStr">
        <is>
          <t>1. MK-PF-F-002 costBasis
2. MK-CF-F-204 line
3. MK-PF-F-004 marketValue
4. MK-PF-F-031 contractMultiplier
5. MK-CF-F-203 MONTH
6. MK-XS-F-180 declareFigures
7. MK-PF-F-001 totalShares
8. MK-CF-O-010 theMonth
9. MK-CF-F-155 cash
10. MK-CF-O-002 expenses
11. MK-CF-O-003 thisMonth
12. MK-XS-F-122 n
13. MK-CF-F-151 actualSpending
14. MK-CF-F-150 debtPaymentsCountedAsExpenses
15. MK-CF-F-153 radar
16. MK-CF-F-149 recurringDebtPayments
17. MK-CF-F-005 actualMonthFlow
18. MK-CF-F-156 plannedMonthFlow
19. MK-CF-F-148 inMonth
20. MK-ST-F-052 toNum
21. MK-CF-F-191 ym
22. MK-ST-F-056 has
23. MK-CF-F-022 paymentShape
24. MK-CF-F-152 isRadarItem
25. MK-CF-F-023 requiredPayment
26. MK-CF-F-132 map
27. MK-NW-F-078 ONE
28. MK-CF-F-157 debtPaymentsByDebt
29. MK-CF-F-192 inflowLabel
30. MK-XS-F-027 takeHomeMonthly
31. MK-CF-F-021 defaultPaymentType
32. MK-NW-F-077 ALL
33. MK-NW-F-059 currentYield
34. MK-ST-F-049 formatMoney
35. MK-ST-F-053 money
36. MK-NW-O-001 theBonds
37. MK-CF-F-193 inflowSourceWord
38. MK-CF-F-092 incomeMonthlyGrid
39. MK-CF-F-011 savingsByMonth
40. MK-NW-F-057 annualCoupon
41. MK-ST-F-048 currencySymbol
42. MK-ST-F-039 on
43. MK-ST-F-027 accountId
44. MK-NW-F-056 bondInfo
45. MK-NW-F-064 bondRateSensitivity
46. MK-NW-F-061 bondSummary
47. MK-NW-F-055 isBond
48. MK-NW-F-072 rowOf
49. MK-CF-F-069 benefitActiveMonths
50. MK-CF-F-072 currentRetirementIncomeMonthly
51. MK-CF-F-173 earnerWages
52. MK-CF-F-065 equityVestWeights
53. MK-CF-F-071 extraIncome
54. MK-CF-F-206 householdK401ByMonth
55. MK-CF-F-087 monthlyTaxRates
56. MK-CF-F-073 otherIncomeMonth
57. MK-CF-F-181 rateInForce
58. MK-CF-F-068 rentalNetAnnual
59. MK-CF-F-066 rsuAnnual
60. MK-CF-F-060 salaryGrossByMonth
61. MK-CF-F-077 scholarshipByCalendarMonth
62. MK-CF-F-088 taxableByCalendarMonth
63. MK-CF-F-177 wageGrossByMonth
64. MK-PL-F-012 waterfall
65. MK-CF-F-008 spendByMonth
66. MK-ST-F-047 activeCurrency
67. MK-NW-F-060 approxYTM
68. MK-NW-F-069 priceAtYield
69. MK-NW-F-011 assetClassOf
70. MK-NW-F-070 accruedInterestCaveat
71. MK-NW-F-071 isCertificateOfDeposit
72. MK-NW-F-058 yearsToMaturity
73. MK-CF-F-075 retirementIncomeMonthly
74. MK-CF-F-172 hasWage
75. MK-CF-F-062 equityRowValue
76. MK-CF-F-070 benefitAnnual
77. MK-CF-F-176 sumMonthsOverEarners
78. MK-CF-F-090 effectiveRate
79. MK-CF-F-180 enteredLandsAnnual
80. MK-CF-F-085 filingStatusOf
81. MK-CF-F-089 over65CountOf
82. MK-CF-F-082 salaryAnnual
83. MK-CF-F-086 stateRateOf
84. MK-CF-F-101 taxOwedFor
85. MK-CF-F-084 taxableAnnual
86. MK-CF-F-067 rentalList
87. MK-CF-F-063 rowVestYear
88. MK-CF-F-130 enteredMonthlyRaw
89. MK-CF-F-166 hasMonthlySalaryTable
90. MK-ST-F-036 reconcile
91. MK-CF-F-167 salaryCalendarYear
92. MK-CF-F-120 pctBaseMonthly
93. MK-CF-F-004 spendBuckets
94. MK-NW-F-008 incomeBearingClassOf
95. MK-CF-F-100 taxableIncomeFor
96. MK-CF-F-074 tipsAnnual
97. MK-CF-F-165 salaryMonths
98. MK-CF-F-003 categoryMonthly
99. MK-ST-F-010 nameEvidence
100. MK-CF-F-099 deductionFor
101. MK-CF-F-081 salaryActiveMonths
102. MK-XS-F-147 call
103. MK-CF-F-187 seniorDeductionFor
104. MK-XS-F-064 currentIdToken
105. MK-XS-F-112 relayUrl</t>
        </is>
      </c>
      <c r="R340" s="3" t="inlineStr">
        <is>
          <t>1. MK-PF-F-031 contractMultiplier → MK-PF-F-002 costBasis → MK-PF-F-005 unrealizedGain
2. MONTH (already above — a loop) → MK-CF-O-010 theMonth → MK-CF-F-203 MONTH → MK-CF-F-204 line → MK-PF-F-005 unrealizedGain
3. MK-XS-F-122 n → MK-CF-F-155 cash → MK-CF-O-010 theMonth → MK-CF-F-203 MONTH → MK-CF-F-204 line → MK-PF-F-005 unrealizedGain
4. MK-CF-F-151 actualSpending → MK-CF-O-002 expenses → MK-CF-O-010 theMonth → MK-CF-F-203 MONTH → MK-CF-F-204 line → MK-PF-F-005 unrealizedGain
5. MK-CF-F-150 debtPaymentsCountedAsExpenses → MK-CF-O-002 expenses → MK-CF-O-010 theMonth → MK-CF-F-203 MONTH → MK-CF-F-204 line → MK-PF-F-005 unrealizedGain
6. MK-CF-F-153 radar → MK-CF-O-002 expenses → MK-CF-O-010 theMonth → MK-CF-F-203 MONTH → MK-CF-F-204 line → MK-PF-F-005 unrealizedGain
7. MK-CF-F-149 recurringDebtPayments → MK-CF-O-002 expenses → MK-CF-O-010 theMonth → MK-CF-F-203 MONTH → MK-CF-F-204 line → MK-PF-F-005 unrealizedGain
8. MK-CF-F-005 actualMonthFlow → MK-CF-O-003 thisMonth → MK-CF-O-010 theMonth → MK-CF-F-203 MONTH → MK-CF-F-204 line → MK-PF-F-005 unrealizedGain
9. … and 4 more paths</t>
        </is>
      </c>
      <c r="S340" s="3" t="inlineStr">
        <is>
          <t>—</t>
        </is>
      </c>
      <c r="T340" s="3" t="inlineStr">
        <is>
          <t>HOLDING_UNREALISED_GAIN</t>
        </is>
      </c>
      <c r="U340" s="3" t="inlineStr">
        <is>
          <t>ACTIVE</t>
        </is>
      </c>
      <c r="V340" s="3" t="inlineStr">
        <is>
          <t>2026-09-09</t>
        </is>
      </c>
      <c r="W340" s="3" t="n"/>
      <c r="X340" s="3" t="n"/>
      <c r="Y340" s="3" t="inlineStr">
        <is>
          <t>NOTHING OPEN</t>
        </is>
      </c>
    </row>
    <row r="341" ht="60" customHeight="1">
      <c r="A341" s="3" t="inlineStr">
        <is>
          <t>MK-PF-F-006</t>
        </is>
      </c>
      <c r="B341" s="3" t="inlineStr">
        <is>
          <t>capGains</t>
        </is>
      </c>
      <c r="C341" s="3" t="inlineStr">
        <is>
          <t>src/domain/performance/index.ts</t>
        </is>
      </c>
      <c r="D341" s="3" t="n">
        <v>347</v>
      </c>
      <c r="E341" s="3" t="inlineStr">
        <is>
          <t>3 · DEPENDENT</t>
        </is>
      </c>
      <c r="F341" s="3" t="inlineStr">
        <is>
          <t>If I sold this today, how much of the gain is long-term and how much short-term?</t>
        </is>
      </c>
      <c r="G341" s="11" t="inlineStr">
        <is>
          <t>per lot:  gain = shares × (price − cost per share)
long-term when today is LATER than the first anniversary of the purchase
short-term otherwise, and a lot with no cost recorded is skipped entirely</t>
        </is>
      </c>
      <c r="H341" s="3" t="inlineStr">
        <is>
          <t>Splits the unrealised gain into long and short term, lot by lot, comparing calendar days so a timezone cannot move the line. Exactly one year is still SHORT term — long term begins the day after the anniversary, which is the IRS rule. An unreadable purchase date stays short term, the cautious side, because understating a tax bill is the worse mistake.</t>
        </is>
      </c>
      <c r="I341" s="3" t="inlineStr">
        <is>
          <t>READ BY HAND 2026-08-26 — checked line by line against the code</t>
        </is>
      </c>
      <c r="J341" s="3" t="inlineStr">
        <is>
          <t>1. p: Position
2. price: number | null | undefined
3. now: Date = new Date()</t>
        </is>
      </c>
      <c r="K341" s="3" t="inlineStr">
        <is>
          <t>CapGains</t>
        </is>
      </c>
      <c r="L341" s="3" t="inlineStr">
        <is>
          <t>—</t>
        </is>
      </c>
      <c r="M341" s="3" t="inlineStr">
        <is>
          <t>· Uses today's date from the device clock, so the answer changes by itself overnight.</t>
        </is>
      </c>
      <c r="N341" s="3" t="inlineStr">
        <is>
          <t>Yes</t>
        </is>
      </c>
      <c r="O341" s="3" t="inlineStr">
        <is>
          <t>MK-XS-F-122 n</t>
        </is>
      </c>
      <c r="P341" s="3" t="n">
        <v>1</v>
      </c>
      <c r="Q341" s="3" t="inlineStr">
        <is>
          <t>MK-XS-F-122 n</t>
        </is>
      </c>
      <c r="R341" s="3" t="inlineStr">
        <is>
          <t>MK-XS-F-122 n → MK-PF-F-006 capGains</t>
        </is>
      </c>
      <c r="S341" s="3" t="inlineStr">
        <is>
          <t>—</t>
        </is>
      </c>
      <c r="T341" s="3" t="inlineStr">
        <is>
          <t>HOLDING_CAP_GAINS</t>
        </is>
      </c>
      <c r="U341" s="3" t="inlineStr">
        <is>
          <t>ACTIVE</t>
        </is>
      </c>
      <c r="V341" s="3" t="inlineStr">
        <is>
          <t>2026-09-28</t>
        </is>
      </c>
      <c r="W341" s="3" t="n"/>
      <c r="X341" s="3" t="n"/>
      <c r="Y341" s="6" t="inlineStr">
        <is>
          <t>TESTED, NOT VERIFIED (G2)</t>
        </is>
      </c>
    </row>
    <row r="342" ht="60" customHeight="1">
      <c r="A342" s="3" t="inlineStr">
        <is>
          <t>MK-PF-F-007</t>
        </is>
      </c>
      <c r="B342" s="3" t="inlineStr">
        <is>
          <t>totalROI</t>
        </is>
      </c>
      <c r="C342" s="3" t="inlineStr">
        <is>
          <t>src/domain/performance/index.ts</t>
        </is>
      </c>
      <c r="D342" s="3" t="n">
        <v>394</v>
      </c>
      <c r="E342" s="3" t="inlineStr">
        <is>
          <t>3 · DEPENDENT</t>
        </is>
      </c>
      <c r="F342" s="3" t="inlineStr">
        <is>
          <t>Total return since purchase = gain / cost basis (decimal).</t>
        </is>
      </c>
      <c r="G342" s="11" t="inlineStr">
        <is>
          <t>basis = cost basis(p)
nothing   when price = nothing (or basis ≤ 0 when missing or zero)
the answer = unrealized gain(p, price) ÷ basis</t>
        </is>
      </c>
      <c r="H342" s="3" t="inlineStr">
        <is>
          <t>Basis is cost basis(p). When price is missing (or basis is at most 0 — when missing or zero), it answers no answer. The answer is unrealized gain(p, price) divided by basis.</t>
        </is>
      </c>
      <c r="I342" s="3" t="inlineStr">
        <is>
          <t>READ FROM THE CODE — rendered from the expressions the function runs</t>
        </is>
      </c>
      <c r="J342" s="3" t="inlineStr">
        <is>
          <t>1. p: Position
2. price: number | null | undefined</t>
        </is>
      </c>
      <c r="K342" s="3" t="inlineStr">
        <is>
          <t>number | null</t>
        </is>
      </c>
      <c r="L342" s="3" t="inlineStr">
        <is>
          <t>—</t>
        </is>
      </c>
      <c r="M342" s="3" t="inlineStr">
        <is>
          <t>None found in this function — anything it assumes comes from the functions it depends on.</t>
        </is>
      </c>
      <c r="N342" s="3" t="inlineStr">
        <is>
          <t>Yes</t>
        </is>
      </c>
      <c r="O342" s="3" t="inlineStr">
        <is>
          <t>1. MK-PF-F-002 costBasis
2. MK-PF-F-005 unrealizedGain</t>
        </is>
      </c>
      <c r="P342" s="3" t="n">
        <v>106</v>
      </c>
      <c r="Q342" s="3" t="inlineStr">
        <is>
          <t>1. MK-PF-F-002 costBasis
2. MK-PF-F-005 unrealizedGain
3. MK-PF-F-031 contractMultiplier
4. MK-CF-F-204 line
5. MK-PF-F-004 marketValue
6. MK-CF-F-203 MONTH
7. MK-XS-F-180 declareFigures
8. MK-PF-F-001 totalShares
9. MK-CF-O-010 theMonth
10. MK-CF-F-155 cash
11. MK-CF-O-002 expenses
12. MK-CF-O-003 thisMonth
13. MK-XS-F-122 n
14. MK-CF-F-151 actualSpending
15. MK-CF-F-150 debtPaymentsCountedAsExpenses
16. MK-CF-F-153 radar
17. MK-CF-F-149 recurringDebtPayments
18. MK-CF-F-005 actualMonthFlow
19. MK-CF-F-156 plannedMonthFlow
20. MK-CF-F-148 inMonth
21. MK-ST-F-052 toNum
22. MK-CF-F-191 ym
23. MK-ST-F-056 has
24. MK-CF-F-022 paymentShape
25. MK-CF-F-152 isRadarItem
26. MK-CF-F-023 requiredPayment
27. MK-CF-F-132 map
28. MK-NW-F-078 ONE
29. MK-CF-F-157 debtPaymentsByDebt
30. MK-CF-F-192 inflowLabel
31. MK-XS-F-027 takeHomeMonthly
32. MK-CF-F-021 defaultPaymentType
33. MK-NW-F-077 ALL
34. MK-NW-F-059 currentYield
35. MK-ST-F-049 formatMoney
36. MK-ST-F-053 money
37. MK-NW-O-001 theBonds
38. MK-CF-F-193 inflowSourceWord
39. MK-CF-F-092 incomeMonthlyGrid
40. MK-CF-F-011 savingsByMonth
41. MK-NW-F-057 annualCoupon
42. MK-ST-F-048 currencySymbol
43. MK-ST-F-039 on
44. MK-ST-F-027 accountId
45. MK-NW-F-056 bondInfo
46. MK-NW-F-064 bondRateSensitivity
47. MK-NW-F-061 bondSummary
48. MK-NW-F-055 isBond
49. MK-NW-F-072 rowOf
50. MK-CF-F-069 benefitActiveMonths
51. MK-CF-F-072 currentRetirementIncomeMonthly
52. MK-CF-F-173 earnerWages
53. MK-CF-F-065 equityVestWeights
54. MK-CF-F-071 extraIncome
55. MK-CF-F-206 householdK401ByMonth
56. MK-CF-F-087 monthlyTaxRates
57. MK-CF-F-073 otherIncomeMonth
58. MK-CF-F-181 rateInForce
59. MK-CF-F-068 rentalNetAnnual
60. MK-CF-F-066 rsuAnnual
61. MK-CF-F-060 salaryGrossByMonth
62. MK-CF-F-077 scholarshipByCalendarMonth
63. MK-CF-F-088 taxableByCalendarMonth
64. MK-CF-F-177 wageGrossByMonth
65. MK-PL-F-012 waterfall
66. MK-CF-F-008 spendByMonth
67. MK-ST-F-047 activeCurrency
68. MK-NW-F-060 approxYTM
69. MK-NW-F-069 priceAtYield
70. MK-NW-F-011 assetClassOf
71. MK-NW-F-070 accruedInterestCaveat
72. MK-NW-F-071 isCertificateOfDeposit
73. MK-NW-F-058 yearsToMaturity
74. MK-CF-F-075 retirementIncomeMonthly
75. MK-CF-F-172 hasWage
76. MK-CF-F-062 equityRowValue
77. MK-CF-F-070 benefitAnnual
78. MK-CF-F-176 sumMonthsOverEarners
79. MK-CF-F-090 effectiveRate
80. MK-CF-F-180 enteredLandsAnnual
81. MK-CF-F-085 filingStatusOf
82. MK-CF-F-089 over65CountOf
83. MK-CF-F-082 salaryAnnual
84. MK-CF-F-086 stateRateOf
85. MK-CF-F-101 taxOwedFor
86. MK-CF-F-084 taxableAnnual
87. MK-CF-F-067 rentalList
88. MK-CF-F-063 rowVestYear
89. MK-CF-F-130 enteredMonthlyRaw
90. MK-CF-F-166 hasMonthlySalaryTable
91. MK-ST-F-036 reconcile
92. MK-CF-F-167 salaryCalendarYear
93. MK-CF-F-120 pctBaseMonthly
94. MK-CF-F-004 spendBuckets
95. MK-NW-F-008 incomeBearingClassOf
96. MK-CF-F-100 taxableIncomeFor
97. MK-CF-F-074 tipsAnnual
98. MK-CF-F-165 salaryMonths
99. MK-CF-F-003 categoryMonthly
100. MK-ST-F-010 nameEvidence
101. MK-CF-F-099 deductionFor
102. MK-CF-F-081 salaryActiveMonths
103. MK-XS-F-147 call
104. MK-CF-F-187 seniorDeductionFor
105. MK-XS-F-064 currentIdToken
106. MK-XS-F-112 relayUrl</t>
        </is>
      </c>
      <c r="R342" s="3" t="inlineStr">
        <is>
          <t>1. MK-PF-F-031 contractMultiplier → MK-PF-F-002 costBasis → MK-PF-F-007 totalROI
2. MK-PF-F-031 contractMultiplier → MK-PF-F-002 costBasis → MK-PF-F-005 unrealizedGain → MK-PF-F-007 totalROI
3. MONTH (already above — a loop) → MK-CF-O-010 theMonth → MK-CF-F-203 MONTH → MK-CF-F-204 line → MK-PF-F-005 unrealizedGain → MK-PF-F-007 totalROI
4. MK-CF-F-155 cash → MK-CF-O-010 theMonth → MK-CF-F-203 MONTH → MK-CF-F-204 line → MK-PF-F-005 unrealizedGain → MK-PF-F-007 totalROI
5. MK-CF-O-002 expenses → MK-CF-O-010 theMonth → MK-CF-F-203 MONTH → MK-CF-F-204 line → MK-PF-F-005 unrealizedGain → MK-PF-F-007 totalROI
6. MK-CF-O-003 thisMonth → MK-CF-O-010 theMonth → MK-CF-F-203 MONTH → MK-CF-F-204 line → MK-PF-F-005 unrealizedGain → MK-PF-F-007 totalROI
7. MK-XS-F-180 declareFigures → MK-CF-F-204 line → MK-PF-F-005 unrealizedGain → MK-PF-F-007 totalROI
8. MK-PF-F-031 contractMultiplier → MK-PF-F-004 marketValue → MK-PF-F-005 unrealizedGain → MK-PF-F-007 totalROI
9. … and 1 more paths</t>
        </is>
      </c>
      <c r="S342" s="3" t="inlineStr">
        <is>
          <t>—</t>
        </is>
      </c>
      <c r="T342" s="3" t="inlineStr">
        <is>
          <t>HOLDING_TOTAL_ROI</t>
        </is>
      </c>
      <c r="U342" s="3" t="inlineStr">
        <is>
          <t>ACTIVE</t>
        </is>
      </c>
      <c r="V342" s="3" t="inlineStr">
        <is>
          <t>2026-09-09</t>
        </is>
      </c>
      <c r="W342" s="3" t="n"/>
      <c r="X342" s="3" t="n"/>
      <c r="Y342" s="3" t="inlineStr">
        <is>
          <t>NOTHING OPEN</t>
        </is>
      </c>
    </row>
    <row r="343" ht="60" customHeight="1">
      <c r="A343" s="3" t="inlineStr">
        <is>
          <t>MK-PF-F-008</t>
        </is>
      </c>
      <c r="B343" s="3" t="inlineStr">
        <is>
          <t>startDateFor</t>
        </is>
      </c>
      <c r="C343" s="3" t="inlineStr">
        <is>
          <t>src/domain/performance/index.ts</t>
        </is>
      </c>
      <c r="D343" s="3" t="n">
        <v>424</v>
      </c>
      <c r="E343" s="3" t="inlineStr">
        <is>
          <t>2 · DISPLAYED</t>
        </is>
      </c>
      <c r="F343" s="3" t="inlineStr">
        <is>
          <t>The date a period starts from, counted back from today: one, three or six months, the start of this year, one year or two years.</t>
        </is>
      </c>
      <c r="G343" s="11" t="inlineStr">
        <is>
          <t>d = the date now
the answer = d</t>
        </is>
      </c>
      <c r="H343" s="3" t="inlineStr">
        <is>
          <t>D: the date now. The answer is d.</t>
        </is>
      </c>
      <c r="I343" s="3" t="inlineStr">
        <is>
          <t>READ FROM THE CODE — rendered from the expressions the function runs</t>
        </is>
      </c>
      <c r="J343" s="3" t="inlineStr">
        <is>
          <t>1. period: Period
2. now: Date</t>
        </is>
      </c>
      <c r="K343" s="3" t="inlineStr">
        <is>
          <t>Date</t>
        </is>
      </c>
      <c r="L343" s="3" t="inlineStr">
        <is>
          <t>NOT FOUND — a screen calls it, but the words printed beside its answer could not be traced automatically. Needs reading.</t>
        </is>
      </c>
      <c r="M343" s="3" t="inlineStr">
        <is>
          <t>None found in this function — anything it assumes comes from the functions it depends on.</t>
        </is>
      </c>
      <c r="N343" s="3" t="inlineStr">
        <is>
          <t>Yes</t>
        </is>
      </c>
      <c r="O343" s="3" t="inlineStr">
        <is>
          <t>—</t>
        </is>
      </c>
      <c r="P343" s="3" t="n">
        <v>0</v>
      </c>
      <c r="Q343" s="3" t="inlineStr">
        <is>
          <t>None — no dependent function stands behind it</t>
        </is>
      </c>
      <c r="R343" s="3" t="inlineStr">
        <is>
          <t>No dependent function — it reads its inputs and answers</t>
        </is>
      </c>
      <c r="S343" s="3" t="inlineStr">
        <is>
          <t>—</t>
        </is>
      </c>
      <c r="T343" s="3" t="inlineStr">
        <is>
          <t>PERIOD_START_DATE</t>
        </is>
      </c>
      <c r="U343" s="3" t="inlineStr">
        <is>
          <t>ACTIVE</t>
        </is>
      </c>
      <c r="V343" s="3" t="inlineStr">
        <is>
          <t>2026-08-27</t>
        </is>
      </c>
      <c r="W343" s="3" t="n"/>
      <c r="X343" s="3" t="n"/>
      <c r="Y343" s="3" t="inlineStr">
        <is>
          <t>NOTHING OPEN</t>
        </is>
      </c>
    </row>
    <row r="344" ht="60" customHeight="1">
      <c r="A344" s="3" t="inlineStr">
        <is>
          <t>MK-PF-F-009</t>
        </is>
      </c>
      <c r="B344" s="3" t="inlineStr">
        <is>
          <t>latestClose</t>
        </is>
      </c>
      <c r="C344" s="3" t="inlineStr">
        <is>
          <t>src/domain/performance/index.ts</t>
        </is>
      </c>
      <c r="D344" s="3" t="n">
        <v>545</v>
      </c>
      <c r="E344" s="3" t="inlineStr">
        <is>
          <t>2 · DISPLAYED</t>
        </is>
      </c>
      <c r="F344" s="3" t="inlineStr">
        <is>
          <t>What is the most recent price we hold for this?</t>
        </is>
      </c>
      <c r="G344" s="11" t="inlineStr">
        <is>
          <t>latest close = the last point in the price series
             = nothing   when the series is empty</t>
        </is>
      </c>
      <c r="H344" s="3" t="inlineStr">
        <is>
          <t>The most recent closing price held for a ticker. It carries no date with it, so nothing downstream can tell a price from this morning from one three weeks old.</t>
        </is>
      </c>
      <c r="I344" s="3" t="inlineStr">
        <is>
          <t>READ BY HAND 2026-08-26 — checked line by line against the code</t>
        </is>
      </c>
      <c r="J344" s="3" t="inlineStr">
        <is>
          <t>series: PriceSeries | null | undefined</t>
        </is>
      </c>
      <c r="K344" s="3" t="inlineStr">
        <is>
          <t>number | null</t>
        </is>
      </c>
      <c r="L344" s="3" t="inlineStr">
        <is>
          <t>NOT FOUND — a screen calls it, but the words printed beside its answer could not be traced automatically. Needs reading.</t>
        </is>
      </c>
      <c r="M344" s="3" t="inlineStr">
        <is>
          <t>None found in this function — anything it assumes comes from the functions it depends on.</t>
        </is>
      </c>
      <c r="N344" s="3" t="inlineStr">
        <is>
          <t>Yes</t>
        </is>
      </c>
      <c r="O344" s="3" t="inlineStr">
        <is>
          <t>—</t>
        </is>
      </c>
      <c r="P344" s="3" t="n">
        <v>0</v>
      </c>
      <c r="Q344" s="3" t="inlineStr">
        <is>
          <t>None — no dependent function stands behind it</t>
        </is>
      </c>
      <c r="R344" s="3" t="inlineStr">
        <is>
          <t>No dependent function — it reads its inputs and answers</t>
        </is>
      </c>
      <c r="S344" s="3" t="inlineStr">
        <is>
          <t>—</t>
        </is>
      </c>
      <c r="T344" s="3" t="inlineStr">
        <is>
          <t>PRICE_LATEST</t>
        </is>
      </c>
      <c r="U344" s="3" t="inlineStr">
        <is>
          <t>ACTIVE</t>
        </is>
      </c>
      <c r="V344" s="3" t="inlineStr">
        <is>
          <t>2026-09-08</t>
        </is>
      </c>
      <c r="W344" s="3" t="n"/>
      <c r="X344" s="3" t="n"/>
      <c r="Y344" s="3" t="inlineStr">
        <is>
          <t>NOTHING OPEN</t>
        </is>
      </c>
    </row>
    <row r="345" ht="60" customHeight="1">
      <c r="A345" s="3" t="inlineStr">
        <is>
          <t>MK-PF-F-010</t>
        </is>
      </c>
      <c r="B345" s="3" t="inlineStr">
        <is>
          <t>periodReturn</t>
        </is>
      </c>
      <c r="C345" s="3" t="inlineStr">
        <is>
          <t>src/domain/performance/index.ts</t>
        </is>
      </c>
      <c r="D345" s="3" t="n">
        <v>578</v>
      </c>
      <c r="E345" s="3" t="inlineStr">
        <is>
          <t>3 · DEPENDENT</t>
        </is>
      </c>
      <c r="F345" s="3" t="inlineStr">
        <is>
          <t>Price return of a ticker over a period (decimal).</t>
        </is>
      </c>
      <c r="G345" s="11" t="inlineStr">
        <is>
          <t>nothing   when series is missing (or not (count of series.points) when missing or zero)
end = latest close(series)
start = close as of(series, start date for(period, now))
nothing   when end = nothing (or start = nothing (or start ≤ 0 when missing or zero) when missing or zero)
raw = end ÷ start − 1
(end ÷ start)^(1 ÷ 2) − 1   when period = '2Y'
the answer = raw</t>
        </is>
      </c>
      <c r="H345" s="3" t="inlineStr">
        <is>
          <t>When series is missing (or not (how many series.points) — when missing or zero) there are, it answers no answer. End is latest close(series). Start is close as of(series, start date for(period, now)). When end is missing (or start is missing (or start is at most 0 — when missing or zero) — when missing or zero), it answers no answer. Raw is end divided by start minus 1. When period = '2Y', it answers (end divided by start)^(1 divided by 2) minus 1. The answer is raw.</t>
        </is>
      </c>
      <c r="I345" s="3" t="inlineStr">
        <is>
          <t>READ FROM THE CODE — rendered from the expressions the function runs</t>
        </is>
      </c>
      <c r="J345" s="3" t="inlineStr">
        <is>
          <t>1. series: PriceSeries | null | undefined
2. period: Period
3. now = new Date()</t>
        </is>
      </c>
      <c r="K345" s="3" t="inlineStr">
        <is>
          <t>number | null</t>
        </is>
      </c>
      <c r="L345" s="3" t="inlineStr">
        <is>
          <t>—</t>
        </is>
      </c>
      <c r="M345" s="3" t="inlineStr">
        <is>
          <t>· Uses today's date from the device clock, so the answer changes by itself overnight.</t>
        </is>
      </c>
      <c r="N345" s="3" t="inlineStr">
        <is>
          <t>Yes</t>
        </is>
      </c>
      <c r="O345" s="3" t="inlineStr">
        <is>
          <t>1. MK-PF-F-029 closeAsOf
2. MK-PF-F-009 latestClose
3. MK-PF-F-008 startDateFor</t>
        </is>
      </c>
      <c r="P345" s="3" t="n">
        <v>3</v>
      </c>
      <c r="Q345" s="3" t="inlineStr">
        <is>
          <t>1. MK-PF-F-029 closeAsOf
2. MK-PF-F-009 latestClose
3. MK-PF-F-008 startDateFor</t>
        </is>
      </c>
      <c r="R345" s="3" t="inlineStr">
        <is>
          <t>1. MK-PF-F-029 closeAsOf → MK-PF-F-010 periodReturn
2. MK-PF-F-009 latestClose → MK-PF-F-010 periodReturn
3. MK-PF-F-008 startDateFor → MK-PF-F-010 periodReturn</t>
        </is>
      </c>
      <c r="S345" s="3" t="inlineStr">
        <is>
          <t>—</t>
        </is>
      </c>
      <c r="T345" s="3" t="inlineStr">
        <is>
          <t>PERIOD_RETURN</t>
        </is>
      </c>
      <c r="U345" s="3" t="inlineStr">
        <is>
          <t>ACTIVE</t>
        </is>
      </c>
      <c r="V345" s="3" t="inlineStr">
        <is>
          <t>2026-09-09</t>
        </is>
      </c>
      <c r="W345" s="3" t="n"/>
      <c r="X345" s="3" t="n"/>
      <c r="Y345" s="3" t="inlineStr">
        <is>
          <t>NOTHING OPEN</t>
        </is>
      </c>
    </row>
    <row r="346" ht="60" customHeight="1">
      <c r="A346" s="3" t="inlineStr">
        <is>
          <t>MK-PF-F-011</t>
        </is>
      </c>
      <c r="B346" s="3" t="inlineStr">
        <is>
          <t>periodReturnSince</t>
        </is>
      </c>
      <c r="C346" s="3" t="inlineStr">
        <is>
          <t>src/domain/performance/index.ts</t>
        </is>
      </c>
      <c r="D346" s="3" t="n">
        <v>619</v>
      </c>
      <c r="E346" s="3" t="inlineStr">
        <is>
          <t>2 · DISPLAYED</t>
        </is>
      </c>
      <c r="F346" s="3" t="inlineStr">
        <is>
          <t>Price return from an explicit start DATE to now (for purchase-capped windows).</t>
        </is>
      </c>
      <c r="G346" s="11" t="inlineStr">
        <is>
          <t>nothing   when series is missing (or not (count of series.points) when missing or zero)
end = latest close(series)
start = close as of(series, new date(since iso))
nothing   when end = nothing (or start = nothing (or start ≤ 0 when missing or zero) when missing or zero)
the answer = end ÷ start − 1</t>
        </is>
      </c>
      <c r="H346" s="3" t="inlineStr">
        <is>
          <t>When series is missing (or not (how many series.points) — when missing or zero) there are, it answers no answer. End is latest close(series). Start is close as of(series, new date(since iso)). When end is missing (or start is missing (or start is at most 0 — when missing or zero) — when missing or zero), it answers no answer. The answer is end divided by start minus 1.</t>
        </is>
      </c>
      <c r="I346" s="3" t="inlineStr">
        <is>
          <t>PARTLY READ — some of the code is still showing through; needs a hand pass</t>
        </is>
      </c>
      <c r="J346" s="3" t="inlineStr">
        <is>
          <t>1. series: PriceSeries | null | undefined
2. sinceISO: string
3. now = new Date()</t>
        </is>
      </c>
      <c r="K346" s="3" t="inlineStr">
        <is>
          <t>number | null</t>
        </is>
      </c>
      <c r="L346" s="3" t="inlineStr">
        <is>
          <t>NOT FOUND — a screen calls it, but the words printed beside its answer could not be traced automatically. Needs reading.</t>
        </is>
      </c>
      <c r="M346" s="3" t="inlineStr">
        <is>
          <t>· Uses today's date from the device clock, so the answer changes by itself overnight.</t>
        </is>
      </c>
      <c r="N346" s="3" t="inlineStr">
        <is>
          <t>Yes</t>
        </is>
      </c>
      <c r="O346" s="3" t="inlineStr">
        <is>
          <t>1. MK-PF-F-029 closeAsOf
2. MK-PF-F-009 latestClose</t>
        </is>
      </c>
      <c r="P346" s="3" t="n">
        <v>2</v>
      </c>
      <c r="Q346" s="3" t="inlineStr">
        <is>
          <t>1. MK-PF-F-029 closeAsOf
2. MK-PF-F-009 latestClose</t>
        </is>
      </c>
      <c r="R346" s="3" t="inlineStr">
        <is>
          <t>1. MK-PF-F-029 closeAsOf → MK-PF-F-011 periodReturnSince
2. MK-PF-F-009 latestClose → MK-PF-F-011 periodReturnSince</t>
        </is>
      </c>
      <c r="S346" s="3" t="inlineStr">
        <is>
          <t>—</t>
        </is>
      </c>
      <c r="T346" s="3" t="inlineStr">
        <is>
          <t>RETURN_SINCE_A_DATE</t>
        </is>
      </c>
      <c r="U346" s="3" t="inlineStr">
        <is>
          <t>ACTIVE</t>
        </is>
      </c>
      <c r="V346" s="3" t="inlineStr">
        <is>
          <t>2026-09-26</t>
        </is>
      </c>
      <c r="W346" s="3" t="n"/>
      <c r="X346" s="3" t="n"/>
      <c r="Y346" s="3" t="inlineStr">
        <is>
          <t>NOTHING OPEN</t>
        </is>
      </c>
    </row>
    <row r="347" ht="60" customHeight="1">
      <c r="A347" s="3" t="inlineStr">
        <is>
          <t>MK-PF-F-012</t>
        </is>
      </c>
      <c r="B347" s="3" t="inlineStr">
        <is>
          <t>earliestPurchaseDate</t>
        </is>
      </c>
      <c r="C347" s="3" t="inlineStr">
        <is>
          <t>src/domain/performance/index.ts</t>
        </is>
      </c>
      <c r="D347" s="3" t="n">
        <v>650</v>
      </c>
      <c r="E347" s="3" t="inlineStr">
        <is>
          <t>3 · DEPENDENT</t>
        </is>
      </c>
      <c r="F347" s="3" t="inlineStr">
        <is>
          <t>Earliest dated lot — the day this holding became YOUR money.</t>
        </is>
      </c>
      <c r="G347" s="11" t="inlineStr">
        <is>
          <t>dates = for each of lots (or none when missing): purchase date where ÷ ^\each{4}-\each{2}-\each{2} ÷ .test(each ?? '')
the answer:
the first 10 of dates.sort()[0]!   if count of dates
nothing   otherwise</t>
        </is>
      </c>
      <c r="H347" s="3" t="inlineStr">
        <is>
          <t>Dates is for each of lots (or none — when missing): purchase date where divided by ^\each{4}-\each{2}-\each{2} divided by .test(each ?? ''). The answer: the first 10 of dates.sort()[0]! — when how many dates there are; no answer — otherwise.</t>
        </is>
      </c>
      <c r="I347" s="3" t="inlineStr">
        <is>
          <t>PARTLY READ — some of the code is still showing through; needs a hand pass</t>
        </is>
      </c>
      <c r="J347" s="3" t="inlineStr">
        <is>
          <t>p: Position</t>
        </is>
      </c>
      <c r="K347" s="3" t="inlineStr">
        <is>
          <t>string | null</t>
        </is>
      </c>
      <c r="L347" s="3" t="inlineStr">
        <is>
          <t>—</t>
        </is>
      </c>
      <c r="M347" s="3" t="inlineStr">
        <is>
          <t>None found in this function — anything it assumes comes from the functions it depends on.</t>
        </is>
      </c>
      <c r="N347" s="3" t="inlineStr">
        <is>
          <t>Yes</t>
        </is>
      </c>
      <c r="O347" s="3" t="inlineStr">
        <is>
          <t>MK-CF-F-132 map</t>
        </is>
      </c>
      <c r="P347" s="3" t="n">
        <v>1</v>
      </c>
      <c r="Q347" s="3" t="inlineStr">
        <is>
          <t>MK-CF-F-132 map</t>
        </is>
      </c>
      <c r="R347" s="3" t="inlineStr">
        <is>
          <t>MK-CF-F-132 map → MK-PF-F-012 earliestPurchaseDate</t>
        </is>
      </c>
      <c r="S347" s="3" t="inlineStr">
        <is>
          <t>—</t>
        </is>
      </c>
      <c r="T347" s="3" t="inlineStr">
        <is>
          <t>HOLDING_FIRST_BOUGHT</t>
        </is>
      </c>
      <c r="U347" s="3" t="inlineStr">
        <is>
          <t>ACTIVE</t>
        </is>
      </c>
      <c r="V347" s="3" t="inlineStr">
        <is>
          <t>2026-08-27</t>
        </is>
      </c>
      <c r="W347" s="3" t="n"/>
      <c r="X347" s="3" t="n"/>
      <c r="Y347" s="3" t="inlineStr">
        <is>
          <t>NOTHING OPEN</t>
        </is>
      </c>
    </row>
    <row r="348" ht="60" customHeight="1">
      <c r="A348" s="3" t="inlineStr">
        <is>
          <t>MK-PF-F-013</t>
        </is>
      </c>
      <c r="B348" s="3" t="inlineStr">
        <is>
          <t>benchmarkTicker</t>
        </is>
      </c>
      <c r="C348" s="3" t="inlineStr">
        <is>
          <t>src/domain/performance/index.ts</t>
        </is>
      </c>
      <c r="D348" s="3" t="n">
        <v>700</v>
      </c>
      <c r="E348" s="3" t="inlineStr">
        <is>
          <t>2 · DISPLAYED</t>
        </is>
      </c>
      <c r="F348" s="3" t="inlineStr">
        <is>
          <t>What should this holding be compared against?</t>
        </is>
      </c>
      <c r="G348" s="11" t="inlineStr">
        <is>
          <t>BENCHMARK_TICKER[kind ?? ''] (or 'SPY' when missing)</t>
        </is>
      </c>
      <c r="H348" s="3" t="inlineStr">
        <is>
          <t>BENCHMARK_TICKER[kind ?? ''] (or 'SPY' — when missing).</t>
        </is>
      </c>
      <c r="I348" s="3" t="inlineStr">
        <is>
          <t>PARTLY READ — some of the code is still showing through; needs a hand pass</t>
        </is>
      </c>
      <c r="J348" s="3" t="inlineStr">
        <is>
          <t>kind?: string</t>
        </is>
      </c>
      <c r="K348" s="3" t="inlineStr">
        <is>
          <t>string</t>
        </is>
      </c>
      <c r="L348" s="3" t="inlineStr">
        <is>
          <t>1. "Name (optional)" — on the Performance screen
2. "You are" — on the Holding detail screen, under "VS THE STOCK MARKET
3. SAME DATES"</t>
        </is>
      </c>
      <c r="M348" s="3" t="inlineStr">
        <is>
          <t>None found in this function — anything it assumes comes from the functions it depends on.</t>
        </is>
      </c>
      <c r="N348" s="3" t="inlineStr">
        <is>
          <t>Yes</t>
        </is>
      </c>
      <c r="O348" s="3" t="inlineStr">
        <is>
          <t>MK-ST-F-053 money</t>
        </is>
      </c>
      <c r="P348" s="3" t="n">
        <v>6</v>
      </c>
      <c r="Q348" s="3" t="inlineStr">
        <is>
          <t>1. MK-ST-F-053 money
2. MK-ST-F-049 formatMoney
3. MK-XS-F-122 n
4. MK-ST-F-048 currencySymbol
5. MK-ST-F-039 on
6. MK-ST-F-047 activeCurrency</t>
        </is>
      </c>
      <c r="R348" s="3" t="inlineStr">
        <is>
          <t>1. MK-ST-F-047 activeCurrency → MK-ST-F-048 currencySymbol → MK-ST-F-049 formatMoney → MK-ST-F-053 money → MK-PF-F-013 benchmarkTicker
2. MK-XS-F-122 n → MK-ST-F-049 formatMoney → MK-ST-F-053 money → MK-PF-F-013 benchmarkTicker
3. MK-ST-F-039 on → MK-ST-F-049 formatMoney → MK-ST-F-053 money → MK-PF-F-013 benchmarkTicker
4. MK-XS-F-122 n → MK-ST-F-053 money → MK-PF-F-013 benchmarkTicker</t>
        </is>
      </c>
      <c r="S348" s="3" t="inlineStr">
        <is>
          <t>—</t>
        </is>
      </c>
      <c r="T348" s="3" t="inlineStr">
        <is>
          <t>BENCHMARK_FOR_KIND</t>
        </is>
      </c>
      <c r="U348" s="3" t="inlineStr">
        <is>
          <t>ACTIVE</t>
        </is>
      </c>
      <c r="V348" s="3" t="inlineStr">
        <is>
          <t>2026-08-27</t>
        </is>
      </c>
      <c r="W348" s="3" t="n"/>
      <c r="X348" s="3" t="n"/>
      <c r="Y348" s="3" t="inlineStr">
        <is>
          <t>NOTHING OPEN</t>
        </is>
      </c>
    </row>
    <row r="349" ht="60" customHeight="1">
      <c r="A349" s="3" t="inlineStr">
        <is>
          <t>MK-PF-F-014</t>
        </is>
      </c>
      <c r="B349" s="3" t="inlineStr">
        <is>
          <t>buildPerformance</t>
        </is>
      </c>
      <c r="C349" s="3" t="inlineStr">
        <is>
          <t>src/domain/performance/index.ts</t>
        </is>
      </c>
      <c r="D349" s="3" t="n">
        <v>752</v>
      </c>
      <c r="E349" s="3" t="inlineStr">
        <is>
          <t>2 · DISPLAYED</t>
        </is>
      </c>
      <c r="F349" s="3" t="inlineStr">
        <is>
          <t>Build the per-holding rows for a period from positions + a price-series lookup.</t>
        </is>
      </c>
      <c r="G349" s="11" t="inlineStr">
        <is>
          <t>period start = the first 10 of start date for(period, now).to isostring()
series = price of(ticker)
price = latest close(series)
bought = earliest purchase date(p) (or purchase date of.(p) (or nothing when missing) when missing)
capped = bought ≠ nothing and bought &gt; period start
pr = total roi(p, price)   if capped
period return(series, period, now)   otherwise
bench ticker = benchmark ticker(kind)</t>
        </is>
      </c>
      <c r="H349" s="3" t="inlineStr">
        <is>
          <t>Period start: the first 10 of start date for(period, now).to isostring(). Series is price of(ticker). Price is latest close(series). Bought is earliest purchase date(p) (or purchase date of.(p) (or no answer — when missing) — when missing). Capped is bought is not no answer and bought &gt; period start. Pr is total roi(p, price) — when capped; period return(series, period, now) — otherwise. Bench ticker is benchmark ticker(kind).</t>
        </is>
      </c>
      <c r="I349" s="3" t="inlineStr">
        <is>
          <t>PARTLY READ — some of the code is still showing through; needs a hand pass</t>
        </is>
      </c>
      <c r="J349" s="3" t="inlineStr">
        <is>
          <t>Nothing is handed to it</t>
        </is>
      </c>
      <c r="K349" s="3" t="inlineStr">
        <is>
          <t>NOT DECLARED — the code does not say what it gives back</t>
        </is>
      </c>
      <c r="L349" s="3" t="inlineStr">
        <is>
          <t>NOT FOUND — a screen calls it, but the words printed beside its answer could not be traced automatically. Needs reading.</t>
        </is>
      </c>
      <c r="M349" s="3" t="inlineStr">
        <is>
          <t>· Uses today's date from the device clock, so the answer changes by itself overnight.</t>
        </is>
      </c>
      <c r="N349" s="3" t="inlineStr">
        <is>
          <t>Yes</t>
        </is>
      </c>
      <c r="O349" s="3" t="inlineStr">
        <is>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t>
        </is>
      </c>
      <c r="P349" s="3" t="n">
        <v>114</v>
      </c>
      <c r="Q349" s="3" t="inlineStr">
        <is>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
13. MK-PF-F-031 contractMultiplier
14. MK-PF-F-001 totalShares
15. MK-ST-F-049 formatMoney
16. MK-XS-F-122 n
17. MK-PF-F-029 closeAsOf
18. MK-CF-F-204 line
19. MK-ST-F-048 currencySymbol
20. MK-ST-F-039 on
21. MK-CF-F-203 MONTH
22. MK-XS-F-180 declareFigures
23. MK-ST-F-047 activeCurrency
24. MK-CF-O-010 theMonth
25. MK-CF-F-155 cash
26. MK-CF-O-002 expenses
27. MK-CF-O-003 thisMonth
28. MK-CF-F-151 actualSpending
29. MK-CF-F-150 debtPaymentsCountedAsExpenses
30. MK-CF-F-153 radar
31. MK-CF-F-149 recurringDebtPayments
32. MK-CF-F-005 actualMonthFlow
33. MK-CF-F-156 plannedMonthFlow
34. MK-CF-F-148 inMonth
35. MK-ST-F-052 toNum
36. MK-CF-F-191 ym
37. MK-ST-F-056 has
38. MK-CF-F-022 paymentShape
39. MK-CF-F-152 isRadarItem
40. MK-CF-F-023 requiredPayment
41. MK-NW-F-078 ONE
42. MK-CF-F-157 debtPaymentsByDebt
43. MK-CF-F-192 inflowLabel
44. MK-XS-F-027 takeHomeMonthly
45. MK-CF-F-021 defaultPaymentType
46. MK-NW-F-077 ALL
47. MK-NW-F-059 currentYield
48. MK-NW-O-001 theBonds
49. MK-CF-F-193 inflowSourceWord
50. MK-CF-F-092 incomeMonthlyGrid
51. MK-CF-F-011 savingsByMonth
52. MK-NW-F-057 annualCoupon
53. MK-ST-F-027 accountId
54. MK-NW-F-056 bondInfo
55. MK-NW-F-064 bondRateSensitivity
56. MK-NW-F-061 bondSummary
57. MK-NW-F-055 isBond
58. MK-NW-F-072 rowOf
59. MK-CF-F-069 benefitActiveMonths
60. MK-CF-F-072 currentRetirementIncomeMonthly
61. MK-CF-F-173 earnerWages
62. MK-CF-F-065 equityVestWeights
63. MK-CF-F-071 extraIncome
64. MK-CF-F-206 householdK401ByMonth
65. MK-CF-F-087 monthlyTaxRates
66. MK-CF-F-073 otherIncomeMonth
67. MK-CF-F-181 rateInForce
68. MK-CF-F-068 rentalNetAnnual
69. MK-CF-F-066 rsuAnnual
70. MK-CF-F-060 salaryGrossByMonth
71. MK-CF-F-077 scholarshipByCalendarMonth
72. MK-CF-F-088 taxableByCalendarMonth
73. MK-CF-F-177 wageGrossByMonth
74. MK-PL-F-012 waterfall
75. MK-CF-F-008 spendByMonth
76. MK-NW-F-060 approxYTM
77. MK-NW-F-069 priceAtYield
78. MK-NW-F-011 assetClassOf
79. MK-NW-F-070 accruedInterestCaveat
80. MK-NW-F-071 isCertificateOfDeposit
81. MK-NW-F-058 yearsToMaturity
82. MK-CF-F-075 retirementIncomeMonthly
83. MK-CF-F-172 hasWage
84. MK-CF-F-062 equityRowValue
85. MK-CF-F-070 benefitAnnual
86. MK-CF-F-176 sumMonthsOverEarners
87. MK-CF-F-090 effectiveRate
88. MK-CF-F-180 enteredLandsAnnual
89. MK-CF-F-085 filingStatusOf
90. MK-CF-F-089 over65CountOf
91. MK-CF-F-082 salaryAnnual
92. MK-CF-F-086 stateRateOf
93. MK-CF-F-101 taxOwedFor
94. MK-CF-F-084 taxableAnnual
95. MK-CF-F-067 rentalList
96. MK-CF-F-063 rowVestYear
97. MK-CF-F-130 enteredMonthlyRaw
98. MK-CF-F-166 hasMonthlySalaryTable
99. MK-ST-F-036 reconcile
100. MK-CF-F-167 salaryCalendarYear
101. MK-CF-F-120 pctBaseMonthly
102. MK-CF-F-004 spendBuckets
103. MK-NW-F-008 incomeBearingClassOf
104. MK-CF-F-100 taxableIncomeFor
105. MK-CF-F-074 tipsAnnual
106. MK-CF-F-165 salaryMonths
107. MK-CF-F-003 categoryMonthly
108. MK-ST-F-010 nameEvidence
109. MK-CF-F-099 deductionFor
110. MK-CF-F-081 salaryActiveMonths
111. MK-XS-F-147 call
112. MK-CF-F-187 seniorDeductionFor
113. MK-XS-F-064 currentIdToken
114. MK-XS-F-112 relayUrl</t>
        </is>
      </c>
      <c r="R349" s="3" t="inlineStr">
        <is>
          <t>1. MK-ST-F-047 activeCurrency → MK-ST-F-048 currencySymbol → MK-ST-F-049 formatMoney → MK-ST-F-053 money → MK-PF-F-013 benchmarkTicker → MK-PF-F-014 buildPerformance
2. MK-XS-F-122 n → MK-ST-F-049 formatMoney → MK-ST-F-053 money → MK-PF-F-013 benchmarkTicker → MK-PF-F-014 buildPerformance
3. MK-ST-F-039 on → MK-ST-F-049 formatMoney → MK-ST-F-053 money → MK-PF-F-013 benchmarkTicker → MK-PF-F-014 buildPerformance
4. MK-XS-F-122 n → MK-ST-F-053 money → MK-PF-F-013 benchmarkTicker → MK-PF-F-014 buildPerformance
5. MK-PF-F-031 contractMultiplier → MK-PF-F-002 costBasis → MK-PF-F-014 buildPerformance
6. MK-CF-F-132 map → MK-PF-F-012 earliestPurchaseDate → MK-PF-F-014 buildPerformance
7. MK-PF-F-009 latestClose → MK-PF-F-014 buildPerformance
8. MK-CF-F-132 map → MK-PF-F-014 buildPerformance
9. … and 5 more paths</t>
        </is>
      </c>
      <c r="S349" s="3" t="inlineStr">
        <is>
          <t>—</t>
        </is>
      </c>
      <c r="T349" s="3" t="inlineStr">
        <is>
          <t>PERFORMANCE_TABLE</t>
        </is>
      </c>
      <c r="U349" s="3" t="inlineStr">
        <is>
          <t>ACTIVE</t>
        </is>
      </c>
      <c r="V349" s="3" t="inlineStr">
        <is>
          <t>2026-08-27</t>
        </is>
      </c>
      <c r="W349" s="3" t="n"/>
      <c r="X349" s="3" t="n"/>
      <c r="Y349" s="3" t="inlineStr">
        <is>
          <t>NOTHING OPEN</t>
        </is>
      </c>
    </row>
    <row r="350" ht="60" customHeight="1">
      <c r="A350" s="3" t="inlineStr">
        <is>
          <t>MK-PF-F-015</t>
        </is>
      </c>
      <c r="B350" s="3" t="inlineStr">
        <is>
          <t>topHoldingConcentration</t>
        </is>
      </c>
      <c r="C350" s="3" t="inlineStr">
        <is>
          <t>src/domain/performance/index.ts</t>
        </is>
      </c>
      <c r="D350" s="3" t="n">
        <v>810</v>
      </c>
      <c r="E350" s="3" t="inlineStr">
        <is>
          <t>2 · DISPLAYED</t>
        </is>
      </c>
      <c r="F350" s="3" t="inlineStr">
        <is>
          <t>The holding-concentration FACT (Invest main + the insights function share this one rule): the largest single holding as a % of invested money, reported only at 25%+ with 2+ holdings — below that it isn't a fact worth a card.</t>
        </is>
      </c>
      <c r="G350" s="11" t="inlineStr">
        <is>
          <t>invested = Σ over rows of (market value)
nothing   when invested ≤ 0 (or rows.length &lt; 2 when missing or zero)
top = rows.reduce((m, r) =&gt; (market value &gt; market value ? r : m), rows[0])
pct = round((top.market value ÷ invested) × 100)
the answer:
ticker = top.position.ticker
pct = pct
value = round(top.market value)   if pct ≥ 25
nothing   otherwise</t>
        </is>
      </c>
      <c r="H350" s="3" t="inlineStr">
        <is>
          <t>Invested: the market value added up across rows. When invested is at most 0 (or rows.length &lt; 2 — when missing or zero), it answers no answer. Top is rows.reduce((m, r) =&gt; (market value &gt; market value ? r : m), rows[0]). Pct is (top.market value divided by invested, to a whole number times 100). The answer is ticker = top.position.ticker; pct = pct; value = top.market value, to a whole number — when pct is at least 25; no answer — otherwise.</t>
        </is>
      </c>
      <c r="I350" s="3" t="inlineStr">
        <is>
          <t>PARTLY READ — some of the code is still showing through; needs a hand pass</t>
        </is>
      </c>
      <c r="J350" s="3" t="inlineStr">
        <is>
          <t>rows: PerformanceRow[]</t>
        </is>
      </c>
      <c r="K350" s="3" t="inlineStr">
        <is>
          <t>NOT DECLARED — the code does not say what it gives back</t>
        </is>
      </c>
      <c r="L350" s="3" t="inlineStr">
        <is>
          <t>NOT FOUND — a screen calls it, but the words printed beside its answer could not be traced automatically. Needs reading.</t>
        </is>
      </c>
      <c r="M350" s="3" t="inlineStr">
        <is>
          <t>· Rounds the answer to a whole number.</t>
        </is>
      </c>
      <c r="N350" s="3" t="inlineStr">
        <is>
          <t>Yes</t>
        </is>
      </c>
      <c r="O350" s="3" t="inlineStr">
        <is>
          <t>MK-PF-F-004 marketValue</t>
        </is>
      </c>
      <c r="P350" s="3" t="n">
        <v>3</v>
      </c>
      <c r="Q350" s="3" t="inlineStr">
        <is>
          <t>1. MK-PF-F-004 marketValue
2. MK-PF-F-031 contractMultiplier
3. MK-PF-F-001 totalShares</t>
        </is>
      </c>
      <c r="R350" s="3" t="inlineStr">
        <is>
          <t>1. MK-PF-F-031 contractMultiplier → MK-PF-F-004 marketValue → MK-PF-F-015 topHoldingConcentration
2. MK-PF-F-001 totalShares → MK-PF-F-004 marketValue → MK-PF-F-015 topHoldingConcentration</t>
        </is>
      </c>
      <c r="S350" s="3" t="inlineStr">
        <is>
          <t>—</t>
        </is>
      </c>
      <c r="T350" s="3" t="inlineStr">
        <is>
          <t>CONCENTRATION</t>
        </is>
      </c>
      <c r="U350" s="3" t="inlineStr">
        <is>
          <t>ACTIVE</t>
        </is>
      </c>
      <c r="V350" s="3" t="inlineStr">
        <is>
          <t>2026-08-27</t>
        </is>
      </c>
      <c r="W350" s="3" t="n"/>
      <c r="X350" s="3" t="n"/>
      <c r="Y350" s="3" t="inlineStr">
        <is>
          <t>NOTHING OPEN</t>
        </is>
      </c>
    </row>
    <row r="351" ht="60" customHeight="1">
      <c r="A351" s="3" t="inlineStr">
        <is>
          <t>MK-PF-F-016</t>
        </is>
      </c>
      <c r="B351" s="3" t="inlineStr">
        <is>
          <t>attribution</t>
        </is>
      </c>
      <c r="C351" s="3" t="inlineStr">
        <is>
          <t>src/domain/performance/index.ts</t>
        </is>
      </c>
      <c r="D351" s="3" t="n">
        <v>836</v>
      </c>
      <c r="E351" s="3" t="inlineStr">
        <is>
          <t>3 · DEPENDENT (feeds an action only)</t>
        </is>
      </c>
      <c r="F351" s="3" t="inlineStr">
        <is>
          <t>Per-holding contribution to the portfolio's period return = weight × the holding's return (pts).</t>
        </is>
      </c>
      <c r="G351" s="11" t="inlineStr">
        <is>
          <t>total = Σ over rows of (market value)
[]   when total ≤ 0</t>
        </is>
      </c>
      <c r="H351" s="3" t="inlineStr">
        <is>
          <t>Total: the market value added up across rows. When total is at most 0, it answers [].</t>
        </is>
      </c>
      <c r="I351" s="3" t="inlineStr">
        <is>
          <t>READ FROM THE CODE — rendered from the expressions the function runs</t>
        </is>
      </c>
      <c r="J351" s="3" t="inlineStr">
        <is>
          <t>rows: PerformanceRow[]</t>
        </is>
      </c>
      <c r="K351" s="3" t="inlineStr">
        <is>
          <t>NOT DECLARED — the code does not say what it gives back</t>
        </is>
      </c>
      <c r="L351" s="3" t="inlineStr">
        <is>
          <t>—</t>
        </is>
      </c>
      <c r="M351" s="3" t="inlineStr">
        <is>
          <t>None found in this function — anything it assumes comes from the functions it depends on.</t>
        </is>
      </c>
      <c r="N351" s="3" t="inlineStr">
        <is>
          <t>No</t>
        </is>
      </c>
      <c r="O351" s="3" t="inlineStr">
        <is>
          <t>1. MK-CF-F-132 map
2. MK-PF-F-004 marketValue</t>
        </is>
      </c>
      <c r="P351" s="3" t="n">
        <v>4</v>
      </c>
      <c r="Q351" s="3" t="inlineStr">
        <is>
          <t>1. MK-CF-F-132 map
2. MK-PF-F-004 marketValue
3. MK-PF-F-031 contractMultiplier
4. MK-PF-F-001 totalShares</t>
        </is>
      </c>
      <c r="R351" s="3" t="inlineStr">
        <is>
          <t>1. MK-CF-F-132 map → MK-PF-F-016 attribution
2. MK-PF-F-031 contractMultiplier → MK-PF-F-004 marketValue → MK-PF-F-016 attribution
3. MK-PF-F-001 totalShares → MK-PF-F-004 marketValue → MK-PF-F-016 attribution</t>
        </is>
      </c>
      <c r="S351" s="3" t="inlineStr">
        <is>
          <t>—</t>
        </is>
      </c>
      <c r="T351" s="3" t="inlineStr">
        <is>
          <t>WHAT_DROVE_THE_RETURN</t>
        </is>
      </c>
      <c r="U351" s="3" t="inlineStr">
        <is>
          <t>ACTIVE</t>
        </is>
      </c>
      <c r="V351" s="3" t="inlineStr">
        <is>
          <t>2026-09-25</t>
        </is>
      </c>
      <c r="W351" s="3" t="n"/>
      <c r="X351" s="3" t="n"/>
      <c r="Y351" s="3" t="inlineStr">
        <is>
          <t>NOTHING OPEN</t>
        </is>
      </c>
    </row>
    <row r="352" ht="60" customHeight="1">
      <c r="A352" s="3" t="inlineStr">
        <is>
          <t>MK-PF-F-017</t>
        </is>
      </c>
      <c r="B352" s="3" t="inlineStr">
        <is>
          <t>allocation</t>
        </is>
      </c>
      <c r="C352" s="3" t="inlineStr">
        <is>
          <t>src/domain/performance/index.ts</t>
        </is>
      </c>
      <c r="D352" s="3" t="n">
        <v>872</v>
      </c>
      <c r="E352" s="3" t="inlineStr">
        <is>
          <t>3 · DEPENDENT (feeds an action only)</t>
        </is>
      </c>
      <c r="F352" s="3" t="inlineStr">
        <is>
          <t>How is my invested money spread?</t>
        </is>
      </c>
      <c r="G352" s="11" t="inlineStr">
        <is>
          <t>by kind = {}
total = Σ over object.values(by kind) of (each)+ max(0, cash)
[]   when total ≤ 0
slices = for each of object.entries(by kind): [key, v]) =&gt; ({ key, value: (v), pct: math.round((v ÷ total) × 1000) ÷ 10 }
the answer = slices.sort((a, b) =&gt; value − value)</t>
        </is>
      </c>
      <c r="H352" s="3" t="inlineStr">
        <is>
          <t>By kind is {}. Total: the each)+ cash added up across object.values(by kind, never below zero. When total is at most 0, it answers []. Slices is for each of object.entries(by kind): [key, v]) =&gt; ({ key, value: (v), pct: math.(v divided by total, to a whole number times 1000) divided by 10 }. The answer is slices.sort((a, b) =&gt; value minus value).</t>
        </is>
      </c>
      <c r="I352" s="3" t="inlineStr">
        <is>
          <t>PARTLY READ — some of the code is still showing through; needs a hand pass</t>
        </is>
      </c>
      <c r="J352" s="3" t="inlineStr">
        <is>
          <t>1. rows: PerformanceRow[]
2. cash = 0</t>
        </is>
      </c>
      <c r="K352" s="3" t="inlineStr">
        <is>
          <t>AllocSlice[]</t>
        </is>
      </c>
      <c r="L352" s="3" t="inlineStr">
        <is>
          <t>—</t>
        </is>
      </c>
      <c r="M352" s="3" t="inlineStr">
        <is>
          <t>1. If by kind[k] is missing it counts as zero, so nothing recorded and a real zero look the same.
2. Never lets cash fall below 0.</t>
        </is>
      </c>
      <c r="N352" s="3" t="inlineStr">
        <is>
          <t>No</t>
        </is>
      </c>
      <c r="O352" s="3" t="inlineStr">
        <is>
          <t>1. MK-CF-F-155 cash
2. MK-CF-F-132 map</t>
        </is>
      </c>
      <c r="P352" s="3" t="n">
        <v>3</v>
      </c>
      <c r="Q352" s="3" t="inlineStr">
        <is>
          <t>1. MK-CF-F-155 cash
2. MK-CF-F-132 map
3. MK-XS-F-122 n</t>
        </is>
      </c>
      <c r="R352" s="3" t="inlineStr">
        <is>
          <t>1. MK-XS-F-122 n → MK-CF-F-155 cash → MK-PF-F-017 allocation
2. MK-CF-F-132 map → MK-PF-F-017 allocation</t>
        </is>
      </c>
      <c r="S352" s="3" t="inlineStr">
        <is>
          <t>—</t>
        </is>
      </c>
      <c r="T352" s="3" t="inlineStr">
        <is>
          <t>ALLOCATION_BY_HOLDING_KIND</t>
        </is>
      </c>
      <c r="U352" s="3" t="inlineStr">
        <is>
          <t>ACTIVE</t>
        </is>
      </c>
      <c r="V352" s="3" t="inlineStr">
        <is>
          <t>2026-09-25</t>
        </is>
      </c>
      <c r="W352" s="3" t="n"/>
      <c r="X352" s="3" t="n"/>
      <c r="Y352" s="3" t="inlineStr">
        <is>
          <t>NOTHING OPEN</t>
        </is>
      </c>
    </row>
    <row r="353" ht="60" customHeight="1">
      <c r="A353" s="3" t="inlineStr">
        <is>
          <t>MK-PF-F-018</t>
        </is>
      </c>
      <c r="B353" s="3" t="inlineStr">
        <is>
          <t>portfolioTrend</t>
        </is>
      </c>
      <c r="C353" s="3" t="inlineStr">
        <is>
          <t>src/domain/performance/index.ts</t>
        </is>
      </c>
      <c r="D353" s="3" t="n">
        <v>917</v>
      </c>
      <c r="E353" s="3" t="inlineStr">
        <is>
          <t>3 · DEPENDENT (feeds an action only)</t>
        </is>
      </c>
      <c r="F353" s="3" t="inlineStr">
        <is>
          <t>How has my portfolio moved over the period, against its benchmark?</t>
        </is>
      </c>
      <c r="G353" s="11" t="inlineStr">
        <is>
          <t>[]   when count of !positions?
start = start date for(period, now)
span = now.get time() − start.get time()
[]   when span ≤ 0
n = 12
dates = array.from({ length: N + 1 }, (_, i) =&gt; new date(start.get time() + (span × i) ÷ N))
bench series = price of(bench ticker sym)
value at = (d: date) =&gt; positions.reduce((t, p) =&gt; { const c = close as of(price of(ticker), d); return t + (c = nothing ? 0 : total shares(p) × c); }, 0)
v0 = value at(dates[0])
b0 = close as of(bench series, dates[0])
value = value at(d)
… the first steps only — the rest of the body needs reading by hand.</t>
        </is>
      </c>
      <c r="H353" s="3" t="inlineStr">
        <is>
          <t>When how many !positions? there are, it answers []. Start is start date for(period, now). Span is now.get time() minus start.get time(). When span is at most 0, it answers []. N is 12. Dates is array.from({ length: N plus 1 }, (_, i) =&gt; new date(start.get time() plus (span times i) divided by N)). Bench series is price of(bench ticker sym). Value at is (d: date) =&gt; positions.reduce((t, p) =&gt; { const c = close as of(price of(ticker), d); return t plus (c is missing ? 0 : total shares(p) times c); }, 0). V0 is value at(dates[0]). B0 is close as of(bench series, dates[0]). Value is value at(d). Only the first steps are shown; the rest of the body needs reading by hand.</t>
        </is>
      </c>
      <c r="I353" s="3" t="inlineStr">
        <is>
          <t>PARTLY READ — some of the code is still showing through; needs a hand pass</t>
        </is>
      </c>
      <c r="J353" s="3" t="inlineStr">
        <is>
          <t>Nothing is handed to it</t>
        </is>
      </c>
      <c r="K353" s="3" t="inlineStr">
        <is>
          <t>NOT DECLARED — the code does not say what it gives back</t>
        </is>
      </c>
      <c r="L353" s="3" t="inlineStr">
        <is>
          <t>—</t>
        </is>
      </c>
      <c r="M353" s="3" t="inlineStr">
        <is>
          <t>1. Uses a built-in n of 12.
2. Uses today's date from the device clock, so the answer changes by itself overnight.</t>
        </is>
      </c>
      <c r="N353" s="3" t="inlineStr">
        <is>
          <t>No</t>
        </is>
      </c>
      <c r="O353" s="3" t="inlineStr">
        <is>
          <t>1. MK-PF-F-029 closeAsOf
2. MK-CF-F-132 map
3. MK-PF-F-008 startDateFor
4. MK-PF-F-001 totalShares</t>
        </is>
      </c>
      <c r="P353" s="3" t="n">
        <v>4</v>
      </c>
      <c r="Q353" s="3" t="inlineStr">
        <is>
          <t>1. MK-PF-F-029 closeAsOf
2. MK-CF-F-132 map
3. MK-PF-F-008 startDateFor
4. MK-PF-F-001 totalShares</t>
        </is>
      </c>
      <c r="R353" s="3" t="inlineStr">
        <is>
          <t>1. MK-PF-F-029 closeAsOf → MK-PF-F-018 portfolioTrend
2. MK-CF-F-132 map → MK-PF-F-018 portfolioTrend
3. MK-PF-F-008 startDateFor → MK-PF-F-018 portfolioTrend
4. MK-PF-F-001 totalShares → MK-PF-F-018 portfolioTrend</t>
        </is>
      </c>
      <c r="S353" s="3" t="inlineStr">
        <is>
          <t>—</t>
        </is>
      </c>
      <c r="T353" s="3" t="inlineStr">
        <is>
          <t>PORTFOLIO_TREND_LINE</t>
        </is>
      </c>
      <c r="U353" s="3" t="inlineStr">
        <is>
          <t>ACTIVE</t>
        </is>
      </c>
      <c r="V353" s="3" t="inlineStr">
        <is>
          <t>2026-09-25</t>
        </is>
      </c>
      <c r="W353" s="3" t="n"/>
      <c r="X353" s="3" t="n"/>
      <c r="Y353" s="3" t="inlineStr">
        <is>
          <t>NOTHING OPEN</t>
        </is>
      </c>
    </row>
    <row r="354" ht="60" customHeight="1">
      <c r="A354" s="3" t="inlineStr">
        <is>
          <t>MK-PF-F-019</t>
        </is>
      </c>
      <c r="B354" s="3" t="inlineStr">
        <is>
          <t>portfolioPeriodReturn</t>
        </is>
      </c>
      <c r="C354" s="3" t="inlineStr">
        <is>
          <t>src/domain/performance/index.ts</t>
        </is>
      </c>
      <c r="D354" s="3" t="n">
        <v>964</v>
      </c>
      <c r="E354" s="3" t="inlineStr">
        <is>
          <t>3 · DEPENDENT (feeds an action only)</t>
        </is>
      </c>
      <c r="F354" s="3" t="inlineStr">
        <is>
          <t>Value-weighted portfolio period return across holdings that have one (decimal), or null.</t>
        </is>
      </c>
      <c r="G354" s="11" t="inlineStr">
        <is>
          <t>usable = rows where period return ≠ nothing and market value &gt; 0
total = Σ over usable of (market value)
nothing   when total ≤ 0
the answer = Σ over usable of ((period return as number) × market value)÷ total</t>
        </is>
      </c>
      <c r="H354" s="3" t="inlineStr">
        <is>
          <t>Usable is rows where period return is not no answer and market value &gt; 0. Total: the market value added up across usable. When total is at most 0, it answers no answer. The answer: the (period return as number added up across usable times market value)÷ total.</t>
        </is>
      </c>
      <c r="I354" s="3" t="inlineStr">
        <is>
          <t>READ FROM THE CODE — rendered from the expressions the function runs</t>
        </is>
      </c>
      <c r="J354" s="3" t="inlineStr">
        <is>
          <t>rows: PerformanceRow[]</t>
        </is>
      </c>
      <c r="K354" s="3" t="inlineStr">
        <is>
          <t>number | null</t>
        </is>
      </c>
      <c r="L354" s="3" t="inlineStr">
        <is>
          <t>—</t>
        </is>
      </c>
      <c r="M354" s="3" t="inlineStr">
        <is>
          <t>· Second verification G18, 2026-09-08: this is the value-weighted average of holding returns, not a Dietz return.</t>
        </is>
      </c>
      <c r="N354" s="3" t="inlineStr">
        <is>
          <t>No</t>
        </is>
      </c>
      <c r="O354" s="3" t="inlineStr">
        <is>
          <t>MK-PF-F-004 marketValue</t>
        </is>
      </c>
      <c r="P354" s="3" t="n">
        <v>3</v>
      </c>
      <c r="Q354" s="3" t="inlineStr">
        <is>
          <t>1. MK-PF-F-004 marketValue
2. MK-PF-F-031 contractMultiplier
3. MK-PF-F-001 totalShares</t>
        </is>
      </c>
      <c r="R354" s="3" t="inlineStr">
        <is>
          <t>1. MK-PF-F-031 contractMultiplier → MK-PF-F-004 marketValue → MK-PF-F-019 portfolioPeriodReturn
2. MK-PF-F-001 totalShares → MK-PF-F-004 marketValue → MK-PF-F-019 portfolioPeriodReturn</t>
        </is>
      </c>
      <c r="S354" s="3" t="inlineStr">
        <is>
          <t>—</t>
        </is>
      </c>
      <c r="T354" s="3" t="inlineStr">
        <is>
          <t>VALUE_WEIGHTED_RETURN</t>
        </is>
      </c>
      <c r="U354" s="3" t="inlineStr">
        <is>
          <t>ACTIVE</t>
        </is>
      </c>
      <c r="V354" s="3" t="inlineStr">
        <is>
          <t>2026-09-30</t>
        </is>
      </c>
      <c r="W354" s="3" t="n"/>
      <c r="X354" s="3" t="n"/>
      <c r="Y354" s="6" t="inlineStr">
        <is>
          <t>TESTED, NOT VERIFIED (C1, G18)</t>
        </is>
      </c>
    </row>
    <row r="355" ht="60" customHeight="1">
      <c r="A355" s="3" t="inlineStr">
        <is>
          <t>MK-PF-F-020</t>
        </is>
      </c>
      <c r="B355" s="3" t="inlineStr">
        <is>
          <t>portfolioBenchReturn</t>
        </is>
      </c>
      <c r="C355" s="3" t="inlineStr">
        <is>
          <t>src/domain/performance/index.ts</t>
        </is>
      </c>
      <c r="D355" s="3" t="n">
        <v>995</v>
      </c>
      <c r="E355" s="3" t="inlineStr">
        <is>
          <t>2 · DISPLAYED</t>
        </is>
      </c>
      <c r="F355" s="3" t="inlineStr">
        <is>
          <t>Value-weighted benchmark ("the market, matched to your mix") return across holdings that have one (decimal), or null.</t>
        </is>
      </c>
      <c r="G355" s="11" t="inlineStr">
        <is>
          <t>usable = rows where bench return ≠ nothing and market value &gt; 0
total = Σ over usable of (market value)
nothing   when total ≤ 0
the answer = Σ over usable of ((bench return as number) × market value)÷ total</t>
        </is>
      </c>
      <c r="H355" s="3" t="inlineStr">
        <is>
          <t>Usable is rows where bench return is not no answer and market value &gt; 0. Total: the market value added up across usable. When total is at most 0, it answers no answer. The answer: the (bench return as number added up across usable times market value)÷ total.</t>
        </is>
      </c>
      <c r="I355" s="3" t="inlineStr">
        <is>
          <t>READ FROM THE CODE — rendered from the expressions the function runs</t>
        </is>
      </c>
      <c r="J355" s="3" t="inlineStr">
        <is>
          <t>rows: PerformanceRow[]</t>
        </is>
      </c>
      <c r="K355" s="3" t="inlineStr">
        <is>
          <t>number | null</t>
        </is>
      </c>
      <c r="L355" s="3" t="inlineStr">
        <is>
          <t>NOT FOUND — a screen calls it, but the words printed beside its answer could not be traced automatically. Needs reading.</t>
        </is>
      </c>
      <c r="M355" s="3" t="inlineStr">
        <is>
          <t>None found in this function — anything it assumes comes from the functions it depends on.</t>
        </is>
      </c>
      <c r="N355" s="3" t="inlineStr">
        <is>
          <t>Yes</t>
        </is>
      </c>
      <c r="O355" s="3" t="inlineStr">
        <is>
          <t>MK-PF-F-004 marketValue</t>
        </is>
      </c>
      <c r="P355" s="3" t="n">
        <v>3</v>
      </c>
      <c r="Q355" s="3" t="inlineStr">
        <is>
          <t>1. MK-PF-F-004 marketValue
2. MK-PF-F-031 contractMultiplier
3. MK-PF-F-001 totalShares</t>
        </is>
      </c>
      <c r="R355" s="3" t="inlineStr">
        <is>
          <t>1. MK-PF-F-031 contractMultiplier → MK-PF-F-004 marketValue → MK-PF-F-020 portfolioBenchReturn
2. MK-PF-F-001 totalShares → MK-PF-F-004 marketValue → MK-PF-F-020 portfolioBenchReturn</t>
        </is>
      </c>
      <c r="S355" s="3" t="inlineStr">
        <is>
          <t>—</t>
        </is>
      </c>
      <c r="T355" s="3" t="inlineStr">
        <is>
          <t>BENCHMARK_RETURN_BLENDED</t>
        </is>
      </c>
      <c r="U355" s="3" t="inlineStr">
        <is>
          <t>ACTIVE</t>
        </is>
      </c>
      <c r="V355" s="3" t="inlineStr">
        <is>
          <t>2026-08-27</t>
        </is>
      </c>
      <c r="W355" s="3" t="n"/>
      <c r="X355" s="3" t="n"/>
      <c r="Y355" s="3" t="inlineStr">
        <is>
          <t>NOTHING OPEN</t>
        </is>
      </c>
    </row>
    <row r="356" ht="60" customHeight="1">
      <c r="A356" s="3" t="inlineStr">
        <is>
          <t>MK-PF-F-021</t>
        </is>
      </c>
      <c r="B356" s="3" t="inlineStr">
        <is>
          <t>periodDollarDelta</t>
        </is>
      </c>
      <c r="C356" s="3" t="inlineStr">
        <is>
          <t>src/domain/performance/index.ts</t>
        </is>
      </c>
      <c r="D356" s="3" t="n">
        <v>1025</v>
      </c>
      <c r="E356" s="3" t="inlineStr">
        <is>
          <t>3 · DEPENDENT (feeds an action only)</t>
        </is>
      </c>
      <c r="F356" s="3" t="inlineStr">
        <is>
          <t>The DOLLAR change implied by a period return on today's total — the approved Home hero shows "up $11,200 (1.4%) this month": dollars AND percent from the SAME measured return, so the two figures can never disagree (one concept, one source).</t>
        </is>
      </c>
      <c r="G356" s="11" t="inlineStr">
        <is>
          <t>0   when !number.is finite(current total) (or !number.is finite(period return) (or period return ≤ -1 when missing or zero) when missing or zero)
round(current total × period return ÷ (1 + period return))</t>
        </is>
      </c>
      <c r="H356" s="3" t="inlineStr">
        <is>
          <t>When !number.is finite(current total) (or !number.is finite(period return) (or period return is at most -1 — when missing or zero) — when missing or zero), it answers 0. current total times period return divided by (1 plus period return, to a whole number).</t>
        </is>
      </c>
      <c r="I356" s="3" t="inlineStr">
        <is>
          <t>PARTLY READ — some of the code is still showing through; needs a hand pass</t>
        </is>
      </c>
      <c r="J356" s="3" t="inlineStr">
        <is>
          <t>1. currentTotal: number
2. periodReturn: number</t>
        </is>
      </c>
      <c r="K356" s="3" t="inlineStr">
        <is>
          <t>number</t>
        </is>
      </c>
      <c r="L356" s="3" t="inlineStr">
        <is>
          <t>—</t>
        </is>
      </c>
      <c r="M356" s="3" t="inlineStr">
        <is>
          <t>· Rounds the answer to a whole number.</t>
        </is>
      </c>
      <c r="N356" s="3" t="inlineStr">
        <is>
          <t>No</t>
        </is>
      </c>
      <c r="O356" s="3" t="inlineStr">
        <is>
          <t>MK-PF-F-010 periodReturn</t>
        </is>
      </c>
      <c r="P356" s="3" t="n">
        <v>4</v>
      </c>
      <c r="Q356" s="3" t="inlineStr">
        <is>
          <t>1. MK-PF-F-010 periodReturn
2. MK-PF-F-029 closeAsOf
3. MK-PF-F-009 latestClose
4. MK-PF-F-008 startDateFor</t>
        </is>
      </c>
      <c r="R356" s="3" t="inlineStr">
        <is>
          <t>1. MK-PF-F-029 closeAsOf → MK-PF-F-010 periodReturn → MK-PF-F-021 periodDollarDelta
2. MK-PF-F-009 latestClose → MK-PF-F-010 periodReturn → MK-PF-F-021 periodDollarDelta
3. MK-PF-F-008 startDateFor → MK-PF-F-010 periodReturn → MK-PF-F-021 periodDollarDelta</t>
        </is>
      </c>
      <c r="S356" s="3" t="inlineStr">
        <is>
          <t>—</t>
        </is>
      </c>
      <c r="T356" s="3" t="inlineStr">
        <is>
          <t>—</t>
        </is>
      </c>
      <c r="U356" s="3" t="inlineStr">
        <is>
          <t>ACTIVE</t>
        </is>
      </c>
      <c r="V356" s="3" t="inlineStr">
        <is>
          <t>2026-09-30</t>
        </is>
      </c>
      <c r="W356" s="3" t="n"/>
      <c r="X356" s="3" t="n"/>
      <c r="Y356" s="3" t="inlineStr">
        <is>
          <t>NOTHING OPEN</t>
        </is>
      </c>
    </row>
    <row r="357" ht="60" customHeight="1">
      <c r="A357" s="3" t="inlineStr">
        <is>
          <t>MK-PF-F-022</t>
        </is>
      </c>
      <c r="B357" s="3" t="inlineStr">
        <is>
          <t>factorOverMonths</t>
        </is>
      </c>
      <c r="C357" s="3" t="inlineStr">
        <is>
          <t>src/domain/performance/lookBack.ts</t>
        </is>
      </c>
      <c r="D357" s="3" t="n">
        <v>49</v>
      </c>
      <c r="E357" s="3" t="inlineStr">
        <is>
          <t>3 · DEPENDENT</t>
        </is>
      </c>
      <c r="F357" s="3" t="inlineStr">
        <is>
          <t>Price factor over the trailing window: last close ÷ the close at (now − months).</t>
        </is>
      </c>
      <c r="G357" s="11" t="inlineStr">
        <is>
          <t>pts = series.points
nothing   when fewer than 2 points
cutoff = the local calendar date `months` before today (year, month − months, day) — built from local date parts, never via UTC
nothing   when the series starts after the cutoff
start = the last point on or before the cutoff; end = the last point
nothing   when start.close is missing or ≤ 0
the answer = end.close ÷ start.close</t>
        </is>
      </c>
      <c r="H357" s="3" t="inlineStr">
        <is>
          <t>The price factor over the trailing window: the latest close divided by the close on or just before the day the window opened. The window opens on the person's own calendar day that many months ago. A series that does not reach back that far gives no answer — no price is invented.</t>
        </is>
      </c>
      <c r="I357" s="3" t="inlineStr">
        <is>
          <t>READ BY HAND 2026-08-26 — checked line by line against the code</t>
        </is>
      </c>
      <c r="J357" s="3" t="inlineStr">
        <is>
          <t>1. series: PriceSeries | null | undefined
2. months: number
3. now: Date = new Date()</t>
        </is>
      </c>
      <c r="K357" s="3" t="inlineStr">
        <is>
          <t>number | null</t>
        </is>
      </c>
      <c r="L357" s="3" t="inlineStr">
        <is>
          <t>—</t>
        </is>
      </c>
      <c r="M357" s="3" t="inlineStr">
        <is>
          <t>1. Uses today's date from the device clock, so the answer changes by itself overnight.
2. The window boundary is a LOCAL calendar date (the person's own day), so the answer is the same in every timezone (TZ-1, 2026-09-08).</t>
        </is>
      </c>
      <c r="N357" s="3" t="inlineStr">
        <is>
          <t>Yes</t>
        </is>
      </c>
      <c r="O357" s="3" t="inlineStr">
        <is>
          <t>MK-ST-F-065 isoLocalDate</t>
        </is>
      </c>
      <c r="P357" s="3" t="n">
        <v>1</v>
      </c>
      <c r="Q357" s="3" t="inlineStr">
        <is>
          <t>MK-ST-F-065 isoLocalDate</t>
        </is>
      </c>
      <c r="R357" s="3" t="inlineStr">
        <is>
          <t>MK-ST-F-065 isoLocalDate → MK-PF-F-022 factorOverMonths</t>
        </is>
      </c>
      <c r="S357" s="3" t="inlineStr">
        <is>
          <t>—</t>
        </is>
      </c>
      <c r="T357" s="3" t="inlineStr">
        <is>
          <t>PRICE_FACTOR_OVER_WINDOW</t>
        </is>
      </c>
      <c r="U357" s="3" t="inlineStr">
        <is>
          <t>ACTIVE</t>
        </is>
      </c>
      <c r="V357" s="3" t="inlineStr">
        <is>
          <t>2026-09-08</t>
        </is>
      </c>
      <c r="W357" s="3" t="n"/>
      <c r="X357" s="3" t="n"/>
      <c r="Y357" s="6" t="inlineStr">
        <is>
          <t>TESTED, NOT VERIFIED (TZ-1)</t>
        </is>
      </c>
    </row>
    <row r="358" ht="60" customHeight="1">
      <c r="A358" s="3" t="inlineStr">
        <is>
          <t>MK-PF-F-023</t>
        </is>
      </c>
      <c r="B358" s="3" t="inlineStr">
        <is>
          <t>lookBack</t>
        </is>
      </c>
      <c r="C358" s="3" t="inlineStr">
        <is>
          <t>src/domain/performance/lookBack.ts</t>
        </is>
      </c>
      <c r="D358" s="3" t="n">
        <v>97</v>
      </c>
      <c r="E358" s="3" t="inlineStr">
        <is>
          <t>3 · DEPENDENT</t>
        </is>
      </c>
      <c r="F358" s="3" t="inlineStr">
        <is>
          <t>What if I had moved this money?</t>
        </is>
      </c>
      <c r="G358" s="11" t="inlineStr">
        <is>
          <t>nothing   when not (amount &gt; 0)
f from = factor over months(from series, months, now)
f to = factor over months(to series, months, now)
nothing   when f from = nothing (or f to = nothing when missing or zero)
stayed = leg(f from)
moved = leg(f to)
the answer:
stayed = stayed
moved = moved
difference = moved.end value − stayed.end value
months = months</t>
        </is>
      </c>
      <c r="H358" s="3" t="inlineStr">
        <is>
          <t>When not (amount &gt; 0), it answers no answer. F from is factor over months(from series, months, now). F to is factor over months(to series, months, now). When f from is missing (or f to is missing — when missing or zero), it answers no answer. Stayed is leg(f from). Moved is leg(f to). The answer is stayed = stayed; moved = moved; difference = moved.end value minus stayed.end value; months = months.</t>
        </is>
      </c>
      <c r="I358" s="3" t="inlineStr">
        <is>
          <t>READ FROM THE CODE — rendered from the expressions the function runs</t>
        </is>
      </c>
      <c r="J358" s="3" t="inlineStr">
        <is>
          <t>1. amount: number
2. fromSeries: PriceSeries | null | undefined
3. toSeries: PriceSeries | null | undefined
4. months: number
5. now: Date = new Date()</t>
        </is>
      </c>
      <c r="K358" s="3" t="inlineStr">
        <is>
          <t>LookBackResult | null</t>
        </is>
      </c>
      <c r="L358" s="3" t="inlineStr">
        <is>
          <t>—</t>
        </is>
      </c>
      <c r="M358" s="3" t="inlineStr">
        <is>
          <t>· Uses today's date from the device clock, so the answer changes by itself overnight.</t>
        </is>
      </c>
      <c r="N358" s="3" t="inlineStr">
        <is>
          <t>Yes</t>
        </is>
      </c>
      <c r="O358" s="3" t="inlineStr">
        <is>
          <t>MK-PF-F-022 factorOverMonths</t>
        </is>
      </c>
      <c r="P358" s="3" t="n">
        <v>2</v>
      </c>
      <c r="Q358" s="3" t="inlineStr">
        <is>
          <t>1. MK-PF-F-022 factorOverMonths
2. MK-ST-F-065 isoLocalDate</t>
        </is>
      </c>
      <c r="R358" s="3" t="inlineStr">
        <is>
          <t>MK-ST-F-065 isoLocalDate → MK-PF-F-022 factorOverMonths → MK-PF-F-023 lookBack</t>
        </is>
      </c>
      <c r="S358" s="3" t="inlineStr">
        <is>
          <t>—</t>
        </is>
      </c>
      <c r="T358" s="3" t="inlineStr">
        <is>
          <t>LOOK_BACK</t>
        </is>
      </c>
      <c r="U358" s="3" t="inlineStr">
        <is>
          <t>ACTIVE</t>
        </is>
      </c>
      <c r="V358" s="3" t="inlineStr">
        <is>
          <t>2026-09-28</t>
        </is>
      </c>
      <c r="W358" s="3" t="n"/>
      <c r="X358" s="3" t="n"/>
      <c r="Y358" s="3" t="inlineStr">
        <is>
          <t>NOTHING OPEN</t>
        </is>
      </c>
    </row>
    <row r="359" ht="60" customHeight="1">
      <c r="A359" s="3" t="inlineStr">
        <is>
          <t>MK-PF-F-024</t>
        </is>
      </c>
      <c r="B359" s="3" t="inlineStr">
        <is>
          <t>userFlows</t>
        </is>
      </c>
      <c r="C359" s="3" t="inlineStr">
        <is>
          <t>src/domain/performance/moneyWeighted.ts</t>
        </is>
      </c>
      <c r="D359" s="3" t="n">
        <v>61</v>
      </c>
      <c r="E359" s="3" t="inlineStr">
        <is>
          <t>3 · DEPENDENT</t>
        </is>
      </c>
      <c r="F359" s="3" t="inlineStr">
        <is>
          <t>The user's dated flows for a measured set of accounts, investor-sign convention: money the user PUT IN is negative, money TAKEN OUT is positive.</t>
        </is>
      </c>
      <c r="G359" s="11" t="inlineStr">
        <is>
          <t>flows = []
in set = account ids.has(string(account id))
counter in set = counter account id ≠ nothing and account ids.has(string(counter account id))
when = date.parse(string(date))
the answer = flows where size of(amount) &gt; 0.004.sort((a, b) =&gt; date − date)</t>
        </is>
      </c>
      <c r="H359" s="3" t="inlineStr">
        <is>
          <t>Flows is []. In set is account ids.has(string(account id)). Counter in set is counter account id is not no answer and account ids.has(string(counter account id)). When is date.parse(string(date)). The answer is flows where size of(amount) &gt; 0.004.sort((a, b) =&gt; date minus date).</t>
        </is>
      </c>
      <c r="I359" s="3" t="inlineStr">
        <is>
          <t>PARTLY READ — some of the code is still showing through; needs a hand pass</t>
        </is>
      </c>
      <c r="J359" s="3" t="inlineStr">
        <is>
          <t>1. transactions: Transaction[]
2. accountIds: Set&lt;string&gt;</t>
        </is>
      </c>
      <c r="K359" s="3" t="inlineStr">
        <is>
          <t>NOT DECLARED — the code does not say what it gives back</t>
        </is>
      </c>
      <c r="L359" s="3" t="inlineStr">
        <is>
          <t>—</t>
        </is>
      </c>
      <c r="M359" s="3" t="inlineStr">
        <is>
          <t>1. If amount is missing it counts as zero, so nothing recorded and a real zero look the same.
2. If shares is missing it counts as zero, so nothing recorded and a real zero look the same.
3. If price is missing it counts as zero, so nothing recorded and a real zero look the same.</t>
        </is>
      </c>
      <c r="N359" s="3" t="inlineStr">
        <is>
          <t>Yes</t>
        </is>
      </c>
      <c r="O359" s="3" t="inlineStr">
        <is>
          <t>MK-ST-F-056 has</t>
        </is>
      </c>
      <c r="P359" s="3" t="n">
        <v>1</v>
      </c>
      <c r="Q359" s="3" t="inlineStr">
        <is>
          <t>MK-ST-F-056 has</t>
        </is>
      </c>
      <c r="R359" s="3" t="inlineStr">
        <is>
          <t>MK-ST-F-056 has → MK-PF-F-024 userFlows</t>
        </is>
      </c>
      <c r="S359" s="3" t="inlineStr">
        <is>
          <t>—</t>
        </is>
      </c>
      <c r="T359" s="3" t="inlineStr">
        <is>
          <t>PERSONAL_FLOWS</t>
        </is>
      </c>
      <c r="U359" s="3" t="inlineStr">
        <is>
          <t>ACTIVE</t>
        </is>
      </c>
      <c r="V359" s="3" t="inlineStr">
        <is>
          <t>2026-09-30</t>
        </is>
      </c>
      <c r="W359" s="3" t="n"/>
      <c r="X359" s="3" t="n"/>
      <c r="Y359" s="3" t="inlineStr">
        <is>
          <t>NOTHING OPEN</t>
        </is>
      </c>
    </row>
    <row r="360" ht="60" customHeight="1">
      <c r="A360" s="3" t="inlineStr">
        <is>
          <t>MK-PF-F-025</t>
        </is>
      </c>
      <c r="B360" s="3" t="inlineStr">
        <is>
          <t>historyIsComplete</t>
        </is>
      </c>
      <c r="C360" s="3" t="inlineStr">
        <is>
          <t>src/domain/performance/moneyWeighted.ts</t>
        </is>
      </c>
      <c r="D360" s="3" t="n">
        <v>119</v>
      </c>
      <c r="E360" s="3" t="inlineStr">
        <is>
          <t>3 · DEPENDENT</t>
        </is>
      </c>
      <c r="F360" s="3" t="inlineStr">
        <is>
          <t>True iff every measured account's story begins IN the ledger (openable honestly).</t>
        </is>
      </c>
      <c r="G360" s="11" t="inlineStr">
        <is>
          <t>false   when first is missing
false   when !['OPENING_CASH', 'OPENING_POSITION', 'DEPOSIT'].includes(first.type as string)
true
[LOOP — the answer is found inside a loop the extractor cannot render; the steps above are the ones before it. Read by hand.]</t>
        </is>
      </c>
      <c r="H360" s="3" t="inlineStr">
        <is>
          <t>When first is missing, it answers false. When !['OPENING_CASH', 'OPENING_POSITION', 'DEPOSIT'].includes(first.type as string), it answers false. true. The answer is found inside a loop that cannot be rendered here; read the code by hand.</t>
        </is>
      </c>
      <c r="I360" s="3" t="inlineStr">
        <is>
          <t>PARTLY READ — the body has a loop the extractor cannot render; the steps shown are the ones before it. Needs a hand pass (G23).</t>
        </is>
      </c>
      <c r="J360" s="3" t="inlineStr">
        <is>
          <t>1. transactions: Transaction[]
2. accounts: AssetAccount[]
3. accountIds: Set&lt;string&gt;</t>
        </is>
      </c>
      <c r="K360" s="3" t="inlineStr">
        <is>
          <t>boolean</t>
        </is>
      </c>
      <c r="L360" s="3" t="inlineStr">
        <is>
          <t>—</t>
        </is>
      </c>
      <c r="M360" s="3" t="inlineStr">
        <is>
          <t>None found in this function — anything it assumes comes from the functions it depends on.</t>
        </is>
      </c>
      <c r="N360" s="3" t="inlineStr">
        <is>
          <t>Yes</t>
        </is>
      </c>
      <c r="O360" s="3" t="inlineStr">
        <is>
          <t>MK-ST-F-056 has</t>
        </is>
      </c>
      <c r="P360" s="3" t="n">
        <v>1</v>
      </c>
      <c r="Q360" s="3" t="inlineStr">
        <is>
          <t>MK-ST-F-056 has</t>
        </is>
      </c>
      <c r="R360" s="3" t="inlineStr">
        <is>
          <t>MK-ST-F-056 has → MK-PF-F-025 historyIsComplete</t>
        </is>
      </c>
      <c r="S360" s="3" t="inlineStr">
        <is>
          <t>—</t>
        </is>
      </c>
      <c r="T360" s="3" t="inlineStr">
        <is>
          <t>PERSONAL_RETURN_POSSIBLE</t>
        </is>
      </c>
      <c r="U360" s="3" t="inlineStr">
        <is>
          <t>ACTIVE</t>
        </is>
      </c>
      <c r="V360" s="3" t="inlineStr">
        <is>
          <t>2026-09-30</t>
        </is>
      </c>
      <c r="W360" s="3" t="n"/>
      <c r="X360" s="3" t="n"/>
      <c r="Y360" s="3" t="inlineStr">
        <is>
          <t>NOTHING OPEN</t>
        </is>
      </c>
    </row>
    <row r="361" ht="60" customHeight="1">
      <c r="A361" s="3" t="inlineStr">
        <is>
          <t>MK-PF-F-026</t>
        </is>
      </c>
      <c r="B361" s="3" t="inlineStr">
        <is>
          <t>moneyWeightedReturn</t>
        </is>
      </c>
      <c r="C361" s="3" t="inlineStr">
        <is>
          <t>src/domain/performance/moneyWeighted.ts</t>
        </is>
      </c>
      <c r="D361" s="3" t="n">
        <v>203</v>
      </c>
      <c r="E361" s="3" t="inlineStr">
        <is>
          <t>3 · DEPENDENT</t>
        </is>
      </c>
      <c r="F361" s="3" t="inlineStr">
        <is>
          <t>XIRR via bisection — deterministic, no derivative games.</t>
        </is>
      </c>
      <c r="G361" s="11" t="inlineStr">
        <is>
          <t>reason = 'no_history'   when !history is complete(transactions, accounts, account ids)
flows = user flows(transactions, account ids)
invested = flows where amount &lt; 0
reason = 'no_history'   when invested.length = 0
t0 = flows[0].date
since days = round down((now − t0) ÷ DAY)
reason = 'too_short'   when since days &lt; 30
lo = -0.95, hi = 10
f = (r: number) =&gt; npv(r, flows, math.max(0, current value), now, t0)
f lo = f(lo), f hi = f(hi)
reason = 'no_solution'   when f lo × f hi &gt; 0
[LOOP — the answer is found inside a loop the extractor cannot render; the steps above are the ones before it. Read by hand.]
… the first steps only — the rest of the body needs reading by hand.</t>
        </is>
      </c>
      <c r="H361" s="3" t="inlineStr">
        <is>
          <t>When !history is complete(transactions, accounts, account ids), it answers reason = 'no_history'. Flows is user flows(transactions, account ids). Invested is flows where amount &lt; 0. When invested.length = 0, it answers reason = 'no_history'. T0 is flows[0].date. Since days is (now minus t0, rounded down divided by DAY). When since days &lt; 30, it answers reason = 'too_short'. Lo is -0.95, hi = 10. F is (r: number) =&gt; npv(r, flows, math.current value, never below zero, now, t0). F lo is f(lo), f hi = f(hi). When f lo times f hi &gt; 0, it answers reason = 'no_solution'. The answer is found inside a loop that cannot be rendered here; read the code by hand. Only the first steps are shown; the rest of the body needs reading by hand.</t>
        </is>
      </c>
      <c r="I361" s="3" t="inlineStr">
        <is>
          <t>PARTLY READ — the body has a loop the extractor cannot render; the steps shown are the ones before it. Needs a hand pass (G23).</t>
        </is>
      </c>
      <c r="J361" s="3" t="inlineStr">
        <is>
          <t>Nothing is handed to it</t>
        </is>
      </c>
      <c r="K361" s="3" t="inlineStr">
        <is>
          <t>NOT DECLARED — the code does not say what it gives back</t>
        </is>
      </c>
      <c r="L361" s="3" t="inlineStr">
        <is>
          <t>—</t>
        </is>
      </c>
      <c r="M361" s="3" t="inlineStr">
        <is>
          <t>1. Uses today's date from the device clock, so the answer changes by itself overnight.
2. Never lets current value fall below 0.</t>
        </is>
      </c>
      <c r="N361" s="3" t="inlineStr">
        <is>
          <t>Yes</t>
        </is>
      </c>
      <c r="O361" s="3" t="inlineStr">
        <is>
          <t>1. MK-PF-F-025 historyIsComplete
2. MK-PF-F-030 npv
3. MK-PF-F-024 userFlows</t>
        </is>
      </c>
      <c r="P361" s="3" t="n">
        <v>4</v>
      </c>
      <c r="Q361" s="3" t="inlineStr">
        <is>
          <t>1. MK-PF-F-025 historyIsComplete
2. MK-PF-F-030 npv
3. MK-PF-F-024 userFlows
4. MK-ST-F-056 has</t>
        </is>
      </c>
      <c r="R361" s="3" t="inlineStr">
        <is>
          <t>1. MK-ST-F-056 has → MK-PF-F-025 historyIsComplete → MK-PF-F-026 moneyWeightedReturn
2. MK-PF-F-030 npv → MK-PF-F-026 moneyWeightedReturn
3. MK-ST-F-056 has → MK-PF-F-024 userFlows → MK-PF-F-026 moneyWeightedReturn</t>
        </is>
      </c>
      <c r="S361" s="3" t="inlineStr">
        <is>
          <t>—</t>
        </is>
      </c>
      <c r="T361" s="3" t="inlineStr">
        <is>
          <t>PERSONAL_RETURN</t>
        </is>
      </c>
      <c r="U361" s="3" t="inlineStr">
        <is>
          <t>ACTIVE</t>
        </is>
      </c>
      <c r="V361" s="3" t="inlineStr">
        <is>
          <t>2026-09-30</t>
        </is>
      </c>
      <c r="W361" s="3" t="n"/>
      <c r="X361" s="3" t="n"/>
      <c r="Y361" s="3" t="inlineStr">
        <is>
          <t>NOTHING OPEN</t>
        </is>
      </c>
    </row>
    <row r="362" ht="45" customHeight="1">
      <c r="A362" s="3" t="inlineStr">
        <is>
          <t>MK-PF-F-027</t>
        </is>
      </c>
      <c r="B362" s="3" t="inlineStr">
        <is>
          <t>isMoneyWeighted</t>
        </is>
      </c>
      <c r="C362" s="3" t="inlineStr">
        <is>
          <t>src/domain/performance/moneyWeighted.ts</t>
        </is>
      </c>
      <c r="D362" s="3" t="n">
        <v>248</v>
      </c>
      <c r="E362" s="3" t="inlineStr">
        <is>
          <t>3 · DEPENDENT (feeds an action only)</t>
        </is>
      </c>
      <c r="F362" s="3" t="inlineStr">
        <is>
          <t>Did the personal return produce a number, or a reason it could not?</t>
        </is>
      </c>
      <c r="G362" s="11" t="inlineStr">
        <is>
          <t>(r as money weighted).rate per year ! = undefined</t>
        </is>
      </c>
      <c r="H362" s="3" t="inlineStr">
        <is>
          <t>(r as money weighted).rate per year ! = undefined.</t>
        </is>
      </c>
      <c r="I362" s="3" t="inlineStr">
        <is>
          <t>PARTLY READ — some of the code is still showing through; needs a hand pass</t>
        </is>
      </c>
      <c r="J362" s="3" t="inlineStr">
        <is>
          <t>r: MoneyWeighted | MoneyWeightedMiss</t>
        </is>
      </c>
      <c r="K362" s="3" t="inlineStr">
        <is>
          <t>r is MoneyWeighted</t>
        </is>
      </c>
      <c r="L362" s="3" t="inlineStr">
        <is>
          <t>—</t>
        </is>
      </c>
      <c r="M362" s="3" t="inlineStr">
        <is>
          <t>None found in this function — anything it assumes comes from the functions it depends on.</t>
        </is>
      </c>
      <c r="N362" s="3" t="inlineStr">
        <is>
          <t>No</t>
        </is>
      </c>
      <c r="O362" s="3" t="inlineStr">
        <is>
          <t>—</t>
        </is>
      </c>
      <c r="P362" s="3" t="n">
        <v>0</v>
      </c>
      <c r="Q362" s="3" t="inlineStr">
        <is>
          <t>None — no dependent function stands behind it</t>
        </is>
      </c>
      <c r="R362" s="3" t="inlineStr">
        <is>
          <t>No dependent function — it reads its inputs and answers</t>
        </is>
      </c>
      <c r="S362" s="3" t="inlineStr">
        <is>
          <t>—</t>
        </is>
      </c>
      <c r="T362" s="3" t="inlineStr">
        <is>
          <t>PERSONAL_RETURN_ANSWERED</t>
        </is>
      </c>
      <c r="U362" s="3" t="inlineStr">
        <is>
          <t>ACTIVE</t>
        </is>
      </c>
      <c r="V362" s="3" t="inlineStr">
        <is>
          <t>2026-09-25</t>
        </is>
      </c>
      <c r="W362" s="3" t="n"/>
      <c r="X362" s="3" t="n"/>
      <c r="Y362" s="3" t="inlineStr">
        <is>
          <t>NOTHING OPEN</t>
        </is>
      </c>
    </row>
    <row r="363" ht="60" customHeight="1">
      <c r="A363" s="3" t="inlineStr">
        <is>
          <t>MK-PF-F-028</t>
        </is>
      </c>
      <c r="B363" s="3" t="inlineStr">
        <is>
          <t>realizedFromLedger</t>
        </is>
      </c>
      <c r="C363" s="3" t="inlineStr">
        <is>
          <t>src/domain/performance/realized.ts</t>
        </is>
      </c>
      <c r="D363" s="3" t="n">
        <v>44</v>
      </c>
      <c r="E363" s="3" t="inlineStr">
        <is>
          <t>3 · DEPENDENT</t>
        </is>
      </c>
      <c r="F363" s="3" t="inlineStr">
        <is>
          <t>How much profit have I actually taken?</t>
        </is>
      </c>
      <c r="G363" s="11" t="inlineStr">
        <is>
          <t>rows = the ledger's BUY, Opening holding and SELL rows with a ticker, shares and a price (filtered to the ticker / account asked for), oldest first
for each row: a buy is queued per account and ticker; a sale takes from the oldest queued buys: take = min(lot shares, shares still to sell); basis += take × lot price; lot shares −= take; still to sell −= take; the lot is dropped when empty
gain = covered shares × sale price − basis, to the cent; added to the all-time total, and to this year's when the sale date is in this year
a sale with shares still uncovered is counted as a sale without basis — reported, never guessed
the answer = { realized all time, realized this year, sells counted, sells without basis }</t>
        </is>
      </c>
      <c r="H363" s="3" t="inlineStr">
        <is>
          <t>Every buy is queued, oldest first, per account and ticker. Each sale takes shares from the oldest queued buys; the cost of those shares is the basis; the gain is what the covered shares sold for less that basis, to the cent, with a separate total for sales this year. A sale that cannot be fully matched to recorded buys is counted separately and named on screen, never priced from a guess.</t>
        </is>
      </c>
      <c r="I363" s="3" t="inlineStr">
        <is>
          <t>READ BY HAND 2026-08-26 — checked line by line against the code</t>
        </is>
      </c>
      <c r="J363" s="3" t="inlineStr">
        <is>
          <t>Nothing is handed to it</t>
        </is>
      </c>
      <c r="K363" s="3" t="inlineStr">
        <is>
          <t>NOT DECLARED — the code does not say what it gives back</t>
        </is>
      </c>
      <c r="L363" s="3" t="inlineStr">
        <is>
          <t>—</t>
        </is>
      </c>
      <c r="M363" s="3" t="inlineStr">
        <is>
          <t>1. If shares is missing it uses 0.
2. Uses today's date from the device clock, so the answer changes by itself overnight.
3. Sales dated in the current calendar year make the this-year total; the device clock decides which year that is.</t>
        </is>
      </c>
      <c r="N363" s="3" t="inlineStr">
        <is>
          <t>Yes</t>
        </is>
      </c>
      <c r="O363" s="3" t="inlineStr">
        <is>
          <t>—</t>
        </is>
      </c>
      <c r="P363" s="3" t="n">
        <v>0</v>
      </c>
      <c r="Q363" s="3" t="inlineStr">
        <is>
          <t>None — no dependent function stands behind it</t>
        </is>
      </c>
      <c r="R363" s="3" t="inlineStr">
        <is>
          <t>No dependent function — it reads its inputs and answers</t>
        </is>
      </c>
      <c r="S363" s="3" t="inlineStr">
        <is>
          <t>—</t>
        </is>
      </c>
      <c r="T363" s="3" t="inlineStr">
        <is>
          <t>REALISED_GAIN</t>
        </is>
      </c>
      <c r="U363" s="3" t="inlineStr">
        <is>
          <t>ACTIVE</t>
        </is>
      </c>
      <c r="V363" s="3" t="inlineStr">
        <is>
          <t>2026-09-28</t>
        </is>
      </c>
      <c r="W363" s="3" t="inlineStr">
        <is>
          <t>[Formula (mathematical) — his comment on this row] missing code which actually calculate gain or loss (realized). Takes shares from lot.shares. Adds (lot.price * matchedShares) to basis. Subtracts matchedShares from toSell and lot.shares. Pops lot from q once depleted and moves to the next lot. Calculates Gain/Loss: Proceeds − Basis.</t>
        </is>
      </c>
      <c r="X363" s="6" t="inlineStr">
        <is>
          <t>Your steps match the code exactly. One detail to add: proceeds = the shares actually COVERED × sale price — when a sale is only partly covered by recorded buys, the uncovered part is dropped from both proceeds and basis and the sale is counted as 'without basis'. Gain rounded to the cent; a second total for sales dated this calendar year. The file cut the formula off because the generator cannot render loops — same root cause as A15. FIX (file + code header): 'for each sale, oldest first: take = min(lot shares, shares still to sell); basis += take × lot price; lot shares −= take; still to sell −= take; drop the lot when empty; gain = covered × sale price − basis, to the cent; year total when the sale date is in this year; any remainder → a sale without basis'. Fix the assumption lines on this row ('multiplies by 100' = cents rounding). FIX (code): none. See MK-NW-M-035 for his question on feed quantities.</t>
        </is>
      </c>
      <c r="Y363" s="6" t="inlineStr">
        <is>
          <t>WAITING ON YOU — answer to read</t>
        </is>
      </c>
    </row>
    <row r="364" ht="60" customHeight="1">
      <c r="A364" s="3" t="inlineStr">
        <is>
          <t>MK-PF-F-029</t>
        </is>
      </c>
      <c r="B364" s="3" t="inlineStr">
        <is>
          <t>closeAsOf</t>
        </is>
      </c>
      <c r="C364" s="3" t="inlineStr">
        <is>
          <t>src/domain/performance/index.ts</t>
        </is>
      </c>
      <c r="D364" s="3" t="n">
        <v>463</v>
      </c>
      <c r="E364" s="3" t="inlineStr">
        <is>
          <t>3 · DEPENDENT</t>
        </is>
      </c>
      <c r="F364" s="3" t="inlineStr">
        <is>
          <t>Close on/just-before a target date (series oldest→newest).</t>
        </is>
      </c>
      <c r="G364" s="11" t="inlineStr">
        <is>
          <t>pts = series.points (or none when missing)
nothing   when count of pts is missing
t = target.get time()
chosen = nothing
the answer = chosen (or pts[0].close when missing)</t>
        </is>
      </c>
      <c r="H364" s="3" t="inlineStr">
        <is>
          <t>Pts is series.points (or none — when missing). When how many pts is missing there are, it answers no answer. T is target.get time(). Chosen is no answer. The answer is chosen (or pts[0].close — when missing).</t>
        </is>
      </c>
      <c r="I364" s="3" t="inlineStr">
        <is>
          <t>PARTLY READ — some of the code is still showing through; needs a hand pass</t>
        </is>
      </c>
      <c r="J364" s="3" t="inlineStr">
        <is>
          <t>1. series: PriceSeries | null | undefined
2. target: Date</t>
        </is>
      </c>
      <c r="K364" s="3" t="inlineStr">
        <is>
          <t>number | null</t>
        </is>
      </c>
      <c r="L364" s="3" t="inlineStr">
        <is>
          <t>—</t>
        </is>
      </c>
      <c r="M364" s="3" t="inlineStr">
        <is>
          <t>None found in this function — anything it assumes comes from the functions it depends on.</t>
        </is>
      </c>
      <c r="N364" s="3" t="inlineStr">
        <is>
          <t>Yes</t>
        </is>
      </c>
      <c r="O364" s="3" t="inlineStr">
        <is>
          <t>—</t>
        </is>
      </c>
      <c r="P364" s="3" t="n">
        <v>0</v>
      </c>
      <c r="Q364" s="3" t="inlineStr">
        <is>
          <t>None — no dependent function stands behind it</t>
        </is>
      </c>
      <c r="R364" s="3" t="inlineStr">
        <is>
          <t>No dependent function — it reads its inputs and answers</t>
        </is>
      </c>
      <c r="S364" s="3" t="inlineStr">
        <is>
          <t>—</t>
        </is>
      </c>
      <c r="T364" s="3" t="inlineStr">
        <is>
          <t>—</t>
        </is>
      </c>
      <c r="U364" s="3" t="inlineStr">
        <is>
          <t>ACTIVE</t>
        </is>
      </c>
      <c r="V364" s="3" t="inlineStr">
        <is>
          <t>2026-08-27</t>
        </is>
      </c>
      <c r="W364" s="3" t="n"/>
      <c r="X364" s="3" t="n"/>
      <c r="Y364" s="3" t="inlineStr">
        <is>
          <t>NOTHING OPEN</t>
        </is>
      </c>
    </row>
    <row r="365" ht="60" customHeight="1">
      <c r="A365" s="3" t="inlineStr">
        <is>
          <t>MK-PF-F-030</t>
        </is>
      </c>
      <c r="B365" s="3" t="inlineStr">
        <is>
          <t>npv</t>
        </is>
      </c>
      <c r="C365" s="3" t="inlineStr">
        <is>
          <t>src/domain/performance/moneyWeighted.ts</t>
        </is>
      </c>
      <c r="D365" s="3" t="n">
        <v>158</v>
      </c>
      <c r="E365" s="3" t="inlineStr">
        <is>
          <t>3 · DEPENDENT</t>
        </is>
      </c>
      <c r="F365" s="3" t="inlineStr">
        <is>
          <t>The value today of a set of dated money movements plus an ending value, at a given yearly rate; the money-weighted return is the rate that makes this come to zero.</t>
        </is>
      </c>
      <c r="G365" s="11" t="inlineStr">
        <is>
          <t>disc = (when: number) =&gt; (1 + rate)^(-((when − t0) ÷ DAY) ÷ 365)
v = 0
[LOOP — the answer is found inside a loop the extractor cannot render; the steps above are the ones before it. Read by hand.]</t>
        </is>
      </c>
      <c r="H365" s="3" t="inlineStr">
        <is>
          <t>Disc is (when: number) =&gt; (1 plus rate)^(-((when minus t0) divided by DAY) divided by 365). V is 0. The answer is v plus end value times disc(end date). The answer is found inside a loop that cannot be rendered here; read the code by hand.</t>
        </is>
      </c>
      <c r="I365" s="3" t="inlineStr">
        <is>
          <t>PARTLY READ — the body has a loop the extractor cannot render; the steps shown are the ones before it. Needs a hand pass (G23).</t>
        </is>
      </c>
      <c r="J365" s="3" t="inlineStr">
        <is>
          <t>1. rate: number
2. flows: { date: number; amount: number }[]
3. endValue: number
4. endDate: number
5. t0: number</t>
        </is>
      </c>
      <c r="K365" s="3" t="inlineStr">
        <is>
          <t>number</t>
        </is>
      </c>
      <c r="L365" s="3" t="inlineStr">
        <is>
          <t>—</t>
        </is>
      </c>
      <c r="M365" s="3" t="inlineStr">
        <is>
          <t>· Treats a year as 365 days.</t>
        </is>
      </c>
      <c r="N365" s="3" t="inlineStr">
        <is>
          <t>Yes</t>
        </is>
      </c>
      <c r="O365" s="3" t="inlineStr">
        <is>
          <t>—</t>
        </is>
      </c>
      <c r="P365" s="3" t="n">
        <v>0</v>
      </c>
      <c r="Q365" s="3" t="inlineStr">
        <is>
          <t>None — no dependent function stands behind it</t>
        </is>
      </c>
      <c r="R365" s="3" t="inlineStr">
        <is>
          <t>No dependent function — it reads its inputs and answers</t>
        </is>
      </c>
      <c r="S365" s="3" t="inlineStr">
        <is>
          <t>—</t>
        </is>
      </c>
      <c r="T365" s="3" t="inlineStr">
        <is>
          <t>—</t>
        </is>
      </c>
      <c r="U365" s="3" t="inlineStr">
        <is>
          <t>ACTIVE</t>
        </is>
      </c>
      <c r="V365" s="3" t="inlineStr">
        <is>
          <t>2026-09-30</t>
        </is>
      </c>
      <c r="W365" s="3" t="n"/>
      <c r="X365" s="3" t="n"/>
      <c r="Y365" s="3" t="inlineStr">
        <is>
          <t>NOTHING OPEN</t>
        </is>
      </c>
    </row>
    <row r="366" ht="60" customHeight="1">
      <c r="A366" s="3" t="inlineStr">
        <is>
          <t>MK-PF-F-031</t>
        </is>
      </c>
      <c r="B366" s="3" t="inlineStr">
        <is>
          <t>contractMultiplier</t>
        </is>
      </c>
      <c r="C366" s="3" t="inlineStr">
        <is>
          <t>src/domain/performance/index.ts</t>
        </is>
      </c>
      <c r="D366" s="3" t="n">
        <v>69</v>
      </c>
      <c r="E366" s="3" t="inlineStr">
        <is>
          <t>3 · DEPENDENT</t>
        </is>
      </c>
      <c r="F366" s="3" t="inlineStr">
        <is>
          <t>How many units one contract stands for: 100 for an option unless the holding states its own figure, and 1 for everything else.</t>
        </is>
      </c>
      <c r="G366" s="11" t="inlineStr">
        <is>
          <t>multiplier   when multiplier ≠ nothing and multiplier &gt; 0
OPTION_CONTRACT_MULTIPLIER   if kind = 'options'
1   otherwise</t>
        </is>
      </c>
      <c r="H366" s="3" t="inlineStr">
        <is>
          <t>When multiplier is not no answer and multiplier &gt; 0, it answers multiplier. OPTION_CONTRACT_MULTIPLIER — when kind = 'options'; 1 — otherwise.</t>
        </is>
      </c>
      <c r="I366" s="3" t="inlineStr">
        <is>
          <t>READ FROM THE CODE — rendered from the expressions the function runs</t>
        </is>
      </c>
      <c r="J366" s="3" t="inlineStr">
        <is>
          <t>p: Pick&lt;Position, 'kind' | 'multiplier'&gt;</t>
        </is>
      </c>
      <c r="K366" s="3" t="inlineStr">
        <is>
          <t>number</t>
        </is>
      </c>
      <c r="L366" s="3" t="inlineStr">
        <is>
          <t>—</t>
        </is>
      </c>
      <c r="M366" s="3" t="inlineStr">
        <is>
          <t>None found in this function — anything it assumes comes from the functions it depends on.</t>
        </is>
      </c>
      <c r="N366" s="3" t="inlineStr">
        <is>
          <t>Yes</t>
        </is>
      </c>
      <c r="O366" s="3" t="inlineStr">
        <is>
          <t>—</t>
        </is>
      </c>
      <c r="P366" s="3" t="n">
        <v>0</v>
      </c>
      <c r="Q366" s="3" t="inlineStr">
        <is>
          <t>None — no dependent function stands behind it</t>
        </is>
      </c>
      <c r="R366" s="3" t="inlineStr">
        <is>
          <t>No dependent function — it reads its inputs and answers</t>
        </is>
      </c>
      <c r="S366" s="3" t="inlineStr">
        <is>
          <t>—</t>
        </is>
      </c>
      <c r="T366" s="3" t="inlineStr">
        <is>
          <t>—</t>
        </is>
      </c>
      <c r="U366" s="3" t="inlineStr">
        <is>
          <t>ACTIVE</t>
        </is>
      </c>
      <c r="V366" s="3" t="inlineStr">
        <is>
          <t>2026-09-11</t>
        </is>
      </c>
      <c r="W366" s="3" t="n"/>
      <c r="X366" s="3" t="n"/>
      <c r="Y366" s="6" t="inlineStr">
        <is>
          <t>TESTED, NOT VERIFIED (Q06)</t>
        </is>
      </c>
    </row>
    <row r="367" ht="60" customHeight="1">
      <c r="A367" s="3" t="inlineStr">
        <is>
          <t>MK-PF-F-032</t>
        </is>
      </c>
      <c r="B367" s="3" t="inlineStr">
        <is>
          <t>quantityUnit</t>
        </is>
      </c>
      <c r="C367" s="3" t="inlineStr">
        <is>
          <t>src/domain/performance/index.ts</t>
        </is>
      </c>
      <c r="D367" s="3" t="n">
        <v>105</v>
      </c>
      <c r="E367" s="3" t="inlineStr">
        <is>
          <t>3 · DEPENDENT</t>
        </is>
      </c>
      <c r="F367" s="3" t="inlineStr">
        <is>
          <t>The unit written beside a quantity: the person's own where they entered one, otherwise coins for crypto, contracts for options, ounces for commodities and shares for everything else.</t>
        </is>
      </c>
      <c r="G367" s="11" t="inlineStr">
        <is>
          <t>unit   when unit
'coins'   when kind = 'crypto'
'contracts'   when kind = 'options'
'ounces'   when kind = 'commodities'
'shares'</t>
        </is>
      </c>
      <c r="H367" s="3" t="inlineStr">
        <is>
          <t>When unit, it answers unit. When kind = 'crypto', it answers 'coins'. When kind = 'options', it answers 'contracts'. When kind = 'commodities', it answers 'ounces'. 'shares'.</t>
        </is>
      </c>
      <c r="I367" s="3" t="inlineStr">
        <is>
          <t>READ FROM THE CODE — rendered from the expressions the function runs</t>
        </is>
      </c>
      <c r="J367" s="3" t="inlineStr">
        <is>
          <t>p: Pick&lt;Position, 'kind' | 'unit'&gt;</t>
        </is>
      </c>
      <c r="K367" s="3" t="inlineStr">
        <is>
          <t>QuantityUnit</t>
        </is>
      </c>
      <c r="L367" s="3" t="inlineStr">
        <is>
          <t>—</t>
        </is>
      </c>
      <c r="M367" s="3" t="inlineStr">
        <is>
          <t>None found in this function — anything it assumes comes from the functions it depends on.</t>
        </is>
      </c>
      <c r="N367" s="3" t="inlineStr">
        <is>
          <t>Yes</t>
        </is>
      </c>
      <c r="O367" s="3" t="inlineStr">
        <is>
          <t>—</t>
        </is>
      </c>
      <c r="P367" s="3" t="n">
        <v>0</v>
      </c>
      <c r="Q367" s="3" t="inlineStr">
        <is>
          <t>None — no dependent function stands behind it</t>
        </is>
      </c>
      <c r="R367" s="3" t="inlineStr">
        <is>
          <t>No dependent function — it reads its inputs and answers</t>
        </is>
      </c>
      <c r="S367" s="3" t="inlineStr">
        <is>
          <t>—</t>
        </is>
      </c>
      <c r="T367" s="3" t="inlineStr">
        <is>
          <t>—</t>
        </is>
      </c>
      <c r="U367" s="3" t="inlineStr">
        <is>
          <t>ACTIVE</t>
        </is>
      </c>
      <c r="V367" s="3" t="inlineStr">
        <is>
          <t>2026-09-11</t>
        </is>
      </c>
      <c r="W367" s="3" t="n"/>
      <c r="X367" s="3" t="n"/>
      <c r="Y367" s="6" t="inlineStr">
        <is>
          <t>TESTED, NOT VERIFIED (Q09)</t>
        </is>
      </c>
    </row>
    <row r="368" ht="60" customHeight="1">
      <c r="A368" s="3" t="inlineStr">
        <is>
          <t>MK-PF-F-033</t>
        </is>
      </c>
      <c r="B368" s="3" t="inlineStr">
        <is>
          <t>quantityWithUnit</t>
        </is>
      </c>
      <c r="C368" s="3" t="inlineStr">
        <is>
          <t>src/domain/performance/index.ts</t>
        </is>
      </c>
      <c r="D368" s="3" t="n">
        <v>133</v>
      </c>
      <c r="E368" s="3" t="inlineStr">
        <is>
          <t>2 · DISPLAYED</t>
        </is>
      </c>
      <c r="F368" s="3" t="inlineStr">
        <is>
          <t>"3 shares", "1 coin", "2 contracts" — the quantity printed with its unit, singular when it is one.</t>
        </is>
      </c>
      <c r="G368" s="11" t="inlineStr">
        <is>
          <t>unit = quantity unit(p)
the answer = `${format(qty)} ${qty = 1 ? unit.replace( ÷ s$ ÷ , '') : unit}`</t>
        </is>
      </c>
      <c r="H368" s="3" t="inlineStr">
        <is>
          <t>Unit is quantity unit(p). The answer is `${format(qty)} ${qty = 1 ? unit.replace( divided by s$ divided by , '') : unit}`.</t>
        </is>
      </c>
      <c r="I368" s="3" t="inlineStr">
        <is>
          <t>PARTLY READ — some of the code is still showing through; needs a hand pass</t>
        </is>
      </c>
      <c r="J368" s="3" t="inlineStr">
        <is>
          <t>1. p: Pick&lt;Position, 'kind' | 'unit'&gt;
2. qty: number
3. format: (n: number) =&gt; string = String</t>
        </is>
      </c>
      <c r="K368" s="3" t="inlineStr">
        <is>
          <t>string</t>
        </is>
      </c>
      <c r="L368" s="3" t="inlineStr">
        <is>
          <t>"Quantity" — on the Holding detail screen, under "CURRENT PRICE$"</t>
        </is>
      </c>
      <c r="M368" s="3" t="inlineStr">
        <is>
          <t>None found in this function — anything it assumes comes from the functions it depends on.</t>
        </is>
      </c>
      <c r="N368" s="3" t="inlineStr">
        <is>
          <t>Yes</t>
        </is>
      </c>
      <c r="O368" s="3" t="inlineStr">
        <is>
          <t>MK-PF-F-032 quantityUnit</t>
        </is>
      </c>
      <c r="P368" s="3" t="n">
        <v>1</v>
      </c>
      <c r="Q368" s="3" t="inlineStr">
        <is>
          <t>MK-PF-F-032 quantityUnit</t>
        </is>
      </c>
      <c r="R368" s="3" t="inlineStr">
        <is>
          <t>MK-PF-F-032 quantityUnit → MK-PF-F-033 quantityWithUnit</t>
        </is>
      </c>
      <c r="S368" s="3" t="inlineStr">
        <is>
          <t>—</t>
        </is>
      </c>
      <c r="T368" s="3" t="inlineStr">
        <is>
          <t>—</t>
        </is>
      </c>
      <c r="U368" s="3" t="inlineStr">
        <is>
          <t>ACTIVE</t>
        </is>
      </c>
      <c r="V368" s="3" t="inlineStr">
        <is>
          <t>2026-09-11</t>
        </is>
      </c>
      <c r="W368" s="3" t="n"/>
      <c r="X368" s="3" t="n"/>
      <c r="Y368" s="6" t="inlineStr">
        <is>
          <t>TESTED, NOT VERIFIED (Q09)</t>
        </is>
      </c>
    </row>
    <row r="369" ht="60" customHeight="1">
      <c r="A369" s="3" t="inlineStr">
        <is>
          <t>MK-PF-F-034</t>
        </is>
      </c>
      <c r="B369" s="3" t="inlineStr">
        <is>
          <t>closeOnOrBefore</t>
        </is>
      </c>
      <c r="C369" s="3" t="inlineStr">
        <is>
          <t>src/domain/performance/index.ts</t>
        </is>
      </c>
      <c r="D369" s="3" t="n">
        <v>508</v>
      </c>
      <c r="E369" s="3" t="inlineStr">
        <is>
          <t>3 · DEPENDENT</t>
        </is>
      </c>
      <c r="F369" s="3" t="inlineStr">
        <is>
          <t>The close ON OR BEFORE a day, with NO fallback.</t>
        </is>
      </c>
      <c r="G369" s="11" t="inlineStr">
        <is>
          <t>pts = series.points (or none when missing)
nothing   when count of pts is missing (or ! ÷ ^\d{4}-\d{2}-\d{2}$ ÷ .test(iso date) when missing or zero)
chosen = nothing
the answer = chosen</t>
        </is>
      </c>
      <c r="H369" s="3" t="inlineStr">
        <is>
          <t>Pts is series.points (or none — when missing). When how many pts is missing (or ! divided by ^\d{4}-\d{2}-\d{2}$ divided by .test(iso date) — when missing or zero) there are, it answers no answer. Chosen is no answer. The answer is chosen.</t>
        </is>
      </c>
      <c r="I369" s="3" t="inlineStr">
        <is>
          <t>PARTLY READ — some of the code is still showing through; needs a hand pass</t>
        </is>
      </c>
      <c r="J369" s="3" t="inlineStr">
        <is>
          <t>1. series: PriceSeries | null | undefined
2. isoDate: string</t>
        </is>
      </c>
      <c r="K369" s="3" t="inlineStr">
        <is>
          <t>number | null</t>
        </is>
      </c>
      <c r="L369" s="3" t="inlineStr">
        <is>
          <t>—</t>
        </is>
      </c>
      <c r="M369" s="3" t="inlineStr">
        <is>
          <t>None found in this function — anything it assumes comes from the functions it depends on.</t>
        </is>
      </c>
      <c r="N369" s="3" t="inlineStr">
        <is>
          <t>Yes</t>
        </is>
      </c>
      <c r="O369" s="3" t="inlineStr">
        <is>
          <t>—</t>
        </is>
      </c>
      <c r="P369" s="3" t="n">
        <v>0</v>
      </c>
      <c r="Q369" s="3" t="inlineStr">
        <is>
          <t>None — no dependent function stands behind it</t>
        </is>
      </c>
      <c r="R369" s="3" t="inlineStr">
        <is>
          <t>No dependent function — it reads its inputs and answers</t>
        </is>
      </c>
      <c r="S369" s="3" t="inlineStr">
        <is>
          <t>—</t>
        </is>
      </c>
      <c r="T369" s="3" t="inlineStr">
        <is>
          <t>—</t>
        </is>
      </c>
      <c r="U369" s="3" t="inlineStr">
        <is>
          <t>ACTIVE</t>
        </is>
      </c>
      <c r="V369" s="3" t="inlineStr">
        <is>
          <t>2026-09-25</t>
        </is>
      </c>
      <c r="W369" s="3" t="n"/>
      <c r="X369" s="3" t="n"/>
      <c r="Y369" s="3" t="inlineStr">
        <is>
          <t>NOTHING OPEN</t>
        </is>
      </c>
    </row>
    <row r="370" ht="60" customHeight="1">
      <c r="A370" s="3" t="inlineStr">
        <is>
          <t>MK-PL-F-001</t>
        </is>
      </c>
      <c r="B370" s="3" t="inlineStr">
        <is>
          <t>taxBucketSplit</t>
        </is>
      </c>
      <c r="C370" s="3" t="inlineStr">
        <is>
          <t>src/domain/decumulation/index.ts</t>
        </is>
      </c>
      <c r="D370" s="3" t="n">
        <v>39</v>
      </c>
      <c r="E370" s="3" t="inlineStr">
        <is>
          <t>2 · DISPLAYED</t>
        </is>
      </c>
      <c r="F370" s="3" t="inlineStr">
        <is>
          <t>How is the retirement money split by the tax that will be owed on it?</t>
        </is>
      </c>
      <c r="G370" s="11" t="inlineStr">
        <is>
          <t>s = taxable = 0
pre tax = 0
roth = 0
cash = 0
total = 0
v = earmarked amount(a)
the answer = s</t>
        </is>
      </c>
      <c r="H370" s="3" t="inlineStr">
        <is>
          <t>S is taxable = 0; pre tax = 0; roth = 0; cash = 0; total = 0. V is earmarked amount(a). The answer is s.</t>
        </is>
      </c>
      <c r="I370" s="3" t="inlineStr">
        <is>
          <t>READ FROM THE CODE — rendered from the expressions the function runs</t>
        </is>
      </c>
      <c r="J370" s="3" t="inlineStr">
        <is>
          <t>accounts: AssetAccount[]</t>
        </is>
      </c>
      <c r="K370" s="3" t="inlineStr">
        <is>
          <t>BucketSplit</t>
        </is>
      </c>
      <c r="L370" s="3" t="inlineStr">
        <is>
          <t>1. "Healthcare:" — on the Retirement cockpit screen
2. "Required Minimum Distributions" — on the Retirement cockpit screen
3. "Required withdrawal — first" — on a card used on more than one screen (DrawSteerSheet)
4. "Roth conversion window:" — on the Retirement cockpit screen
5. "Suggested withdrawal order" — on the Retirement cockpit screen
6. "Where your money sits" — on the Retirement cockpit screen</t>
        </is>
      </c>
      <c r="M370" s="3" t="inlineStr">
        <is>
          <t>None found in this function — anything it assumes comes from the functions it depends on.</t>
        </is>
      </c>
      <c r="N370" s="3" t="inlineStr">
        <is>
          <t>Yes</t>
        </is>
      </c>
      <c r="O370" s="3" t="inlineStr">
        <is>
          <t>MK-NW-F-032 earmarkedAmount</t>
        </is>
      </c>
      <c r="P370" s="3" t="n">
        <v>14</v>
      </c>
      <c r="Q370" s="3" t="inlineStr">
        <is>
          <t>1. MK-NW-F-032 earmarkedAmount
2. MK-NW-F-030 earmarkDefault
3. MK-NW-F-011 assetClassOf
4. MK-NW-F-013 realEstateUseOf
5. MK-NW-F-008 incomeBearingClassOf
6. MK-CF-F-155 cash
7. MK-ST-F-010 nameEvidence
8. MK-XS-F-122 n
9. MK-XS-F-147 call
10. MK-ST-F-056 has
11. MK-CF-F-132 map
12. MK-ST-F-027 accountId
13. MK-XS-F-064 currentIdToken
14. MK-XS-F-112 relayUrl</t>
        </is>
      </c>
      <c r="R370" s="3" t="inlineStr">
        <is>
          <t>1. MK-CF-F-155 cash → MK-NW-F-008 incomeBearingClassOf → MK-NW-F-011 assetClassOf → MK-NW-F-030 earmarkDefault → MK-NW-F-032 earmarkedAmount → MK-PL-F-001 taxBucketSplit
2. MK-ST-F-010 nameEvidence → MK-NW-F-008 incomeBearingClassOf → MK-NW-F-011 assetClassOf → MK-NW-F-030 earmarkDefault → MK-NW-F-032 earmarkedAmount → MK-PL-F-001 taxBucketSplit
3. MK-NW-F-013 realEstateUseOf → MK-NW-F-030 earmarkDefault → MK-NW-F-032 earmarkedAmount → MK-PL-F-001 taxBucketSplit</t>
        </is>
      </c>
      <c r="S370" s="3" t="inlineStr">
        <is>
          <t>—</t>
        </is>
      </c>
      <c r="T370" s="3" t="inlineStr">
        <is>
          <t>SPLIT_BY_HOW_IT_IS_TAXED</t>
        </is>
      </c>
      <c r="U370" s="3" t="inlineStr">
        <is>
          <t>ACTIVE</t>
        </is>
      </c>
      <c r="V370" s="3" t="inlineStr">
        <is>
          <t>2026-08-27</t>
        </is>
      </c>
      <c r="W370" s="3" t="n"/>
      <c r="X370" s="3" t="n"/>
      <c r="Y370" s="3" t="inlineStr">
        <is>
          <t>NOTHING OPEN</t>
        </is>
      </c>
    </row>
    <row r="371" ht="60" customHeight="1">
      <c r="A371" s="3" t="inlineStr">
        <is>
          <t>MK-PL-F-002</t>
        </is>
      </c>
      <c r="B371" s="3" t="inlineStr">
        <is>
          <t>withdrawalPlan</t>
        </is>
      </c>
      <c r="C371" s="3" t="inlineStr">
        <is>
          <t>src/domain/decumulation/index.ts</t>
        </is>
      </c>
      <c r="D371" s="3" t="n">
        <v>125</v>
      </c>
      <c r="E371" s="3" t="inlineStr">
        <is>
          <t>2 · DISPLAYED</t>
        </is>
      </c>
      <c r="F371" s="3" t="inlineStr">
        <is>
          <t>NOT DETERMINED — the code carries no note saying what this is for, and it has no row in the old inventory. Needs reading.</t>
        </is>
      </c>
      <c r="G371" s="11" t="inlineStr">
        <is>
          <t>spend annual = spend monthly × 12
guaranteed annual = guaranteed monthly × 12
net withdrawal = max(0, spend annual − guaranteed annual)
withdrawal rate = net withdrawal ÷ nest egg   if nest egg &gt; 0
nothing   otherwise
the answer = { spend annual, guaranteed annual, net withdrawal, withdrawal rate, rate band }</t>
        </is>
      </c>
      <c r="H371" s="3" t="inlineStr">
        <is>
          <t>Spend annual is spend monthly times 12. Guaranteed annual is guaranteed monthly times 12. Net withdrawal is spend annual minus guaranteed annual, never below zero. Withdrawal rate is net withdrawal divided by nest egg — when nest egg &gt; 0; no answer — otherwise. The answer is { spend annual, guaranteed annual, net withdrawal, withdrawal rate, rate band }.</t>
        </is>
      </c>
      <c r="I371" s="3" t="inlineStr">
        <is>
          <t>READ FROM THE CODE — rendered from the expressions the function runs</t>
        </is>
      </c>
      <c r="J371" s="3" t="inlineStr">
        <is>
          <t>1. spendMonthly: number
2. guaranteedMonthly: number
3. nestEgg: number</t>
        </is>
      </c>
      <c r="K371" s="3" t="inlineStr">
        <is>
          <t>WithdrawalPlan</t>
        </is>
      </c>
      <c r="L371" s="3" t="inlineStr">
        <is>
          <t>1. "From your portfolio" — on the Retirement cockpit screen
2. "WILL YOUR MONEY LAST?" — on the Retirement cockpit screen, under "RETIREMENT
3. WHERE YOU STAND"
4. "You plan to spend" — on the Retirement cockpit screen</t>
        </is>
      </c>
      <c r="M371" s="3" t="inlineStr">
        <is>
          <t>· Turns a monthly figure into a year by multiplying by twelve.</t>
        </is>
      </c>
      <c r="N371" s="3" t="inlineStr">
        <is>
          <t>Yes</t>
        </is>
      </c>
      <c r="O371" s="3" t="inlineStr">
        <is>
          <t>—</t>
        </is>
      </c>
      <c r="P371" s="3" t="n">
        <v>0</v>
      </c>
      <c r="Q371" s="3" t="inlineStr">
        <is>
          <t>None — no dependent function stands behind it</t>
        </is>
      </c>
      <c r="R371" s="3" t="inlineStr">
        <is>
          <t>No dependent function — it reads its inputs and answers</t>
        </is>
      </c>
      <c r="S371" s="3" t="inlineStr">
        <is>
          <t>—</t>
        </is>
      </c>
      <c r="T371" s="3" t="inlineStr">
        <is>
          <t>—</t>
        </is>
      </c>
      <c r="U371" s="3" t="inlineStr">
        <is>
          <t>ACTIVE</t>
        </is>
      </c>
      <c r="V371" s="3" t="inlineStr">
        <is>
          <t>2026-09-09</t>
        </is>
      </c>
      <c r="W371" s="3" t="n"/>
      <c r="X371" s="3" t="n"/>
      <c r="Y371" s="3" t="inlineStr">
        <is>
          <t>NOTHING OPEN</t>
        </is>
      </c>
    </row>
    <row r="372" ht="60" customHeight="1">
      <c r="A372" s="3" t="inlineStr">
        <is>
          <t>MK-PL-F-003</t>
        </is>
      </c>
      <c r="B372" s="3" t="inlineStr">
        <is>
          <t>depletionAge</t>
        </is>
      </c>
      <c r="C372" s="3" t="inlineStr">
        <is>
          <t>src/domain/decumulation/index.ts</t>
        </is>
      </c>
      <c r="D372" s="3" t="n">
        <v>168</v>
      </c>
      <c r="E372" s="3" t="inlineStr">
        <is>
          <t>2 · DISPLAYED</t>
        </is>
      </c>
      <c r="F372" s="3" t="inlineStr">
        <is>
          <t>---- deterministic depletion ---- Age the portfolio runs out (deterministic), or null if it lasts to the horizon.</t>
        </is>
      </c>
      <c r="G372" s="11" t="inlineStr">
        <is>
          <t>bal = nest egg
net = net withdrawal now
rmd on = (pre tax share ?? 0) &gt; 0
pre tax bal = bal × min(1, max(0, pre tax share!))   if rmd on
0   otherwise
rate = min(0.6, max(0, rmd tax rate (or 0.22 when missing)))
growth = 1 + return rate
a + 1   when bal ≤ 0
the answer = nothing</t>
        </is>
      </c>
      <c r="H372" s="3" t="inlineStr">
        <is>
          <t>Bal is nest egg. Net is net withdrawal now. Rmd on is (pre tax share ?? 0) &gt; 0. Pre tax bal is bal times the smaller of 1 and pre tax share!, never below zero — when rmd on; 0 — otherwise. Rate: the smaller of 0.6 and rmd tax rate (or 0.22 — when missing, never below zero). Growth is 1 plus return rate. When bal is at most 0, it answers a plus 1. The answer is no answer.</t>
        </is>
      </c>
      <c r="I372" s="3" t="inlineStr">
        <is>
          <t>PARTLY READ — some of the code is still showing through; needs a hand pass</t>
        </is>
      </c>
      <c r="J372" s="3" t="inlineStr">
        <is>
          <t>o: { age: number; horizon: number; nestEgg: number; netWithdrawalNow: number; returnRate: number; inflation: number; preTaxShare?: number; rmdTaxRate?: number }</t>
        </is>
      </c>
      <c r="K372" s="3" t="inlineStr">
        <is>
          <t>number | null</t>
        </is>
      </c>
      <c r="L372" s="3" t="inlineStr">
        <is>
          <t>NOT FOUND — a screen calls it, but the words printed beside its answer could not be traced automatically. Needs reading.</t>
        </is>
      </c>
      <c r="M372" s="3" t="inlineStr">
        <is>
          <t>1. If pre tax share is missing it uses 0.
2. If required withdrawal tax rate is missing it uses 22%.</t>
        </is>
      </c>
      <c r="N372" s="3" t="inlineStr">
        <is>
          <t>Yes</t>
        </is>
      </c>
      <c r="O372" s="3" t="inlineStr">
        <is>
          <t>1. MK-PL-F-007 rmdAtAge
2. MK-PL-F-005 rmdStartAgeFor</t>
        </is>
      </c>
      <c r="P372" s="3" t="n">
        <v>6</v>
      </c>
      <c r="Q372" s="3" t="inlineStr">
        <is>
          <t>1. MK-PL-F-007 rmdAtAge
2. MK-PL-F-005 rmdStartAgeFor
3. MK-PL-F-078 rmdDivisorAtAge
4. MK-ST-F-025 rmdStartAgeFromAge
5. MK-ST-F-024 rmdStartAge
6. MK-ST-F-056 has</t>
        </is>
      </c>
      <c r="R372" s="3" t="inlineStr">
        <is>
          <t>1. MK-PL-F-078 rmdDivisorAtAge → MK-PL-F-007 rmdAtAge → MK-PL-F-003 depletionAge
2. MK-ST-F-056 has → MK-ST-F-024 rmdStartAge → MK-ST-F-025 rmdStartAgeFromAge → MK-PL-F-005 rmdStartAgeFor → MK-PL-F-003 depletionAge</t>
        </is>
      </c>
      <c r="S372" s="3" t="inlineStr">
        <is>
          <t>—</t>
        </is>
      </c>
      <c r="T372" s="3" t="inlineStr">
        <is>
          <t>—</t>
        </is>
      </c>
      <c r="U372" s="3" t="inlineStr">
        <is>
          <t>ACTIVE</t>
        </is>
      </c>
      <c r="V372" s="3" t="inlineStr">
        <is>
          <t>2026-08-27</t>
        </is>
      </c>
      <c r="W372" s="3" t="n"/>
      <c r="X372" s="3" t="n"/>
      <c r="Y372" s="3" t="inlineStr">
        <is>
          <t>NOTHING OPEN</t>
        </is>
      </c>
    </row>
    <row r="373" ht="60" customHeight="1">
      <c r="A373" s="3" t="inlineStr">
        <is>
          <t>MK-PL-F-004</t>
        </is>
      </c>
      <c r="B373" s="3" t="inlineStr">
        <is>
          <t>withdrawalOrder</t>
        </is>
      </c>
      <c r="C373" s="3" t="inlineStr">
        <is>
          <t>src/domain/decumulation/index.ts</t>
        </is>
      </c>
      <c r="D373" s="3" t="n">
        <v>222</v>
      </c>
      <c r="E373" s="3" t="inlineStr">
        <is>
          <t>2 · DISPLAYED</t>
        </is>
      </c>
      <c r="F373" s="3" t="inlineStr">
        <is>
          <t>NOT DETERMINED — the code carries no note saying what this is for, and it has no row in the old inventory. Needs reading.</t>
        </is>
      </c>
      <c r="G373" s="11" t="inlineStr">
        <is>
          <t>steps = seq where split[bucket] &gt; 0for each of : ...each = ...each
amount = split[bucket]
pre = steps.find((s) =&gt; bucket = 'preTax')
the answer = steps</t>
        </is>
      </c>
      <c r="H373" s="3" t="inlineStr">
        <is>
          <t>Steps is seq where split[bucket] &gt; 0for each of : ...each = ...each; amount = split[bucket]. Pre is steps.find((s) =&gt; bucket = 'preTax'). The answer is steps.</t>
        </is>
      </c>
      <c r="I373" s="3" t="inlineStr">
        <is>
          <t>PARTLY READ — some of the code is still showing through; needs a hand pass</t>
        </is>
      </c>
      <c r="J373" s="3" t="inlineStr">
        <is>
          <t>1. split: BucketSplit
2. age = 0
3. userOrder?: DrawBucket[] | null</t>
        </is>
      </c>
      <c r="K373" s="3" t="inlineStr">
        <is>
          <t>OrderStep[]</t>
        </is>
      </c>
      <c r="L373" s="3" t="inlineStr">
        <is>
          <t>1. "Why this order?" — on the Cash flow screen
2. "Why? ›" — on the Cash flow screen</t>
        </is>
      </c>
      <c r="M373" s="3" t="inlineStr">
        <is>
          <t>None found in this function — anything it assumes comes from the functions it depends on.</t>
        </is>
      </c>
      <c r="N373" s="3" t="inlineStr">
        <is>
          <t>Yes</t>
        </is>
      </c>
      <c r="O373" s="3" t="inlineStr">
        <is>
          <t>1. MK-CF-F-132 map
2. MK-ST-F-039 on
3. MK-PL-F-007 rmdAtAge
4. MK-PL-F-005 rmdStartAgeFor</t>
        </is>
      </c>
      <c r="P373" s="3" t="n">
        <v>8</v>
      </c>
      <c r="Q373" s="3" t="inlineStr">
        <is>
          <t>1. MK-CF-F-132 map
2. MK-ST-F-039 on
3. MK-PL-F-007 rmdAtAge
4. MK-PL-F-005 rmdStartAgeFor
5. MK-PL-F-078 rmdDivisorAtAge
6. MK-ST-F-025 rmdStartAgeFromAge
7. MK-ST-F-024 rmdStartAge
8. MK-ST-F-056 has</t>
        </is>
      </c>
      <c r="R373" s="3" t="inlineStr">
        <is>
          <t>1. MK-CF-F-132 map → MK-PL-F-004 withdrawalOrder
2. MK-ST-F-039 on → MK-PL-F-004 withdrawalOrder
3. MK-PL-F-078 rmdDivisorAtAge → MK-PL-F-007 rmdAtAge → MK-PL-F-004 withdrawalOrder
4. MK-ST-F-056 has → MK-ST-F-024 rmdStartAge → MK-ST-F-025 rmdStartAgeFromAge → MK-PL-F-005 rmdStartAgeFor → MK-PL-F-004 withdrawalOrder</t>
        </is>
      </c>
      <c r="S373" s="3" t="inlineStr">
        <is>
          <t>—</t>
        </is>
      </c>
      <c r="T373" s="3" t="inlineStr">
        <is>
          <t>—</t>
        </is>
      </c>
      <c r="U373" s="3" t="inlineStr">
        <is>
          <t>ACTIVE</t>
        </is>
      </c>
      <c r="V373" s="3" t="inlineStr">
        <is>
          <t>2026-08-27</t>
        </is>
      </c>
      <c r="W373" s="3" t="n"/>
      <c r="X373" s="3" t="n"/>
      <c r="Y373" s="3" t="inlineStr">
        <is>
          <t>NOTHING OPEN</t>
        </is>
      </c>
    </row>
    <row r="374" ht="60" customHeight="1">
      <c r="A374" s="3" t="inlineStr">
        <is>
          <t>MK-PL-F-005</t>
        </is>
      </c>
      <c r="B374" s="3" t="inlineStr">
        <is>
          <t>rmdStartAgeFor</t>
        </is>
      </c>
      <c r="C374" s="3" t="inlineStr">
        <is>
          <t>src/domain/decumulation/index.ts</t>
        </is>
      </c>
      <c r="D374" s="3" t="n">
        <v>276</v>
      </c>
      <c r="E374" s="3" t="inlineStr">
        <is>
          <t>2 · DISPLAYED</t>
        </is>
      </c>
      <c r="F374" s="3" t="inlineStr">
        <is>
          <t>---- Required Minimum Distributions ---- B4 (founder brief 2026-08-20): the rule lives in ONE dated, sourced table — the Calculation Module's rmd function.</t>
        </is>
      </c>
      <c r="G374" s="11" t="inlineStr">
        <is>
          <t>73   if age = nothing
rmd start age from age(age, now year)   otherwise</t>
        </is>
      </c>
      <c r="H374" s="3" t="inlineStr">
        <is>
          <t>73 — when age is missing; rmd start age from age(age, now year) — otherwise.</t>
        </is>
      </c>
      <c r="I374" s="3" t="inlineStr">
        <is>
          <t>READ FROM THE CODE — rendered from the expressions the function runs</t>
        </is>
      </c>
      <c r="J374" s="3" t="inlineStr">
        <is>
          <t>1. age?: number | null
2. nowYear = new Date().getFullYear()</t>
        </is>
      </c>
      <c r="K374" s="3" t="inlineStr">
        <is>
          <t>number</t>
        </is>
      </c>
      <c r="L374" s="3" t="inlineStr">
        <is>
          <t>1. "Required Minimum Distributions" — on the Retirement cockpit screen
2. "Required withdrawal — first" — on a card used on more than one screen (DrawSteerSheet)
3. "Roth conversion" — on the Roth move screen
4. "Suggested withdrawal order" — on the Retirement cockpit screen
5. "WHAT IT BUYS LATER" — on the Roth move screen, under "WHAT IT BUYS LATER"
6. "WHAT THIS IS" — on the Required withdrawals screen, under "WHAT THIS IS"</t>
        </is>
      </c>
      <c r="M374" s="3" t="inlineStr">
        <is>
          <t>· Uses today's date from the device clock, so the answer changes by itself overnight.</t>
        </is>
      </c>
      <c r="N374" s="3" t="inlineStr">
        <is>
          <t>Yes</t>
        </is>
      </c>
      <c r="O374" s="3" t="inlineStr">
        <is>
          <t>MK-ST-F-025 rmdStartAgeFromAge</t>
        </is>
      </c>
      <c r="P374" s="3" t="n">
        <v>3</v>
      </c>
      <c r="Q374" s="3" t="inlineStr">
        <is>
          <t>1. MK-ST-F-025 rmdStartAgeFromAge
2. MK-ST-F-024 rmdStartAge
3. MK-ST-F-056 has</t>
        </is>
      </c>
      <c r="R374" s="3" t="inlineStr">
        <is>
          <t>MK-ST-F-056 has → MK-ST-F-024 rmdStartAge → MK-ST-F-025 rmdStartAgeFromAge → MK-PL-F-005 rmdStartAgeFor</t>
        </is>
      </c>
      <c r="S374" s="3" t="inlineStr">
        <is>
          <t>—</t>
        </is>
      </c>
      <c r="T374" s="3" t="inlineStr">
        <is>
          <t>—</t>
        </is>
      </c>
      <c r="U374" s="3" t="inlineStr">
        <is>
          <t>ACTIVE</t>
        </is>
      </c>
      <c r="V374" s="3" t="inlineStr">
        <is>
          <t>2026-08-27</t>
        </is>
      </c>
      <c r="W374" s="3" t="n"/>
      <c r="X374" s="3" t="n"/>
      <c r="Y374" s="3" t="inlineStr">
        <is>
          <t>NOTHING OPEN</t>
        </is>
      </c>
    </row>
    <row r="375" ht="60" customHeight="1">
      <c r="A375" s="3" t="inlineStr">
        <is>
          <t>MK-PL-F-006</t>
        </is>
      </c>
      <c r="B375" s="3" t="inlineStr">
        <is>
          <t>rmdDivisor</t>
        </is>
      </c>
      <c r="C375" s="3" t="inlineStr">
        <is>
          <t>Calculation Module code/engines/rmd.ts</t>
        </is>
      </c>
      <c r="D375" s="3" t="n">
        <v>133</v>
      </c>
      <c r="E375" s="3" t="inlineStr">
        <is>
          <t>3 · DEPENDENT (feeds an action only)</t>
        </is>
      </c>
      <c r="F375" s="3" t="inlineStr">
        <is>
          <t>Divisor at an age, 0 before that person's start age.</t>
        </is>
      </c>
      <c r="G375" s="11" t="inlineStr">
        <is>
          <t>divisor(age) = 0                        when age is below the start age
               the table value at age   when the table lists that age
               straight-line between the two nearest listed ages   otherwise</t>
        </is>
      </c>
      <c r="H375" s="3" t="inlineStr">
        <is>
          <t>The number the pre-tax balance is divided by. The IRS Uniform Lifetime table is held for ages 73 to 90, then 92, 95 and 100 only; every other age is interpolated. Ages 93, 94, 97, 98 and 99 do not match the published divisors, and the required amount comes out SHORT — which is the direction the IRS penalises. Finding A35.</t>
        </is>
      </c>
      <c r="I375" s="3" t="inlineStr">
        <is>
          <t>READ BY HAND 2026-08-26 — checked line by line against the code</t>
        </is>
      </c>
      <c r="J375" s="3" t="inlineStr">
        <is>
          <t>1. age: number
2. birthYear?: number | null</t>
        </is>
      </c>
      <c r="K375" s="3" t="inlineStr">
        <is>
          <t>number</t>
        </is>
      </c>
      <c r="L375" s="3" t="inlineStr">
        <is>
          <t>—</t>
        </is>
      </c>
      <c r="M375" s="3" t="inlineStr">
        <is>
          <t>None found in this function — anything it assumes comes from the functions it depends on.</t>
        </is>
      </c>
      <c r="N375" s="3" t="inlineStr">
        <is>
          <t>No</t>
        </is>
      </c>
      <c r="O375" s="3" t="inlineStr">
        <is>
          <t>MK-ST-F-024 rmdStartAge</t>
        </is>
      </c>
      <c r="P375" s="3" t="n">
        <v>2</v>
      </c>
      <c r="Q375" s="3" t="inlineStr">
        <is>
          <t>1. MK-ST-F-024 rmdStartAge
2. MK-ST-F-056 has</t>
        </is>
      </c>
      <c r="R375" s="3" t="inlineStr">
        <is>
          <t>MK-ST-F-056 has → MK-ST-F-024 rmdStartAge → MK-PL-F-006 rmdDivisor</t>
        </is>
      </c>
      <c r="S375" s="3" t="inlineStr">
        <is>
          <t>—</t>
        </is>
      </c>
      <c r="T375" s="3" t="inlineStr">
        <is>
          <t>—</t>
        </is>
      </c>
      <c r="U375" s="3" t="inlineStr">
        <is>
          <t>ACTIVE</t>
        </is>
      </c>
      <c r="V375" s="3" t="inlineStr">
        <is>
          <t>2026-08-27</t>
        </is>
      </c>
      <c r="W375" s="3" t="n"/>
      <c r="X375" s="3" t="n"/>
      <c r="Y375" s="3" t="inlineStr">
        <is>
          <t>NOTHING OPEN</t>
        </is>
      </c>
    </row>
    <row r="376" ht="60" customHeight="1">
      <c r="A376" s="3" t="inlineStr">
        <is>
          <t>MK-PL-F-007</t>
        </is>
      </c>
      <c r="B376" s="3" t="inlineStr">
        <is>
          <t>rmdAtAge</t>
        </is>
      </c>
      <c r="C376" s="3" t="inlineStr">
        <is>
          <t>src/domain/decumulation/index.ts</t>
        </is>
      </c>
      <c r="D376" s="3" t="n">
        <v>334</v>
      </c>
      <c r="E376" s="3" t="inlineStr">
        <is>
          <t>2 · DISPLAYED</t>
        </is>
      </c>
      <c r="F376" s="3" t="inlineStr">
        <is>
          <t>Required minimum distribution from pre-tax balances at a given age (0 before the start age).</t>
        </is>
      </c>
      <c r="G376" s="11" t="inlineStr">
        <is>
          <t>required withdrawal = round(pre-tax balance ÷ divisor(age), 2 dp)
                    = 0   when the divisor is 0</t>
        </is>
      </c>
      <c r="H376" s="3" t="inlineStr">
        <is>
          <t>Last 31 December's pre-tax balance divided by the life-expectancy divisor for this age. Zero before the start age. Uses the Uniform Lifetime table for everyone — the Joint Life table, which applies when the sole beneficiary is a spouse more than ten years younger, is nowhere.</t>
        </is>
      </c>
      <c r="I376" s="3" t="inlineStr">
        <is>
          <t>READ BY HAND 2026-08-26 — checked line by line against the code</t>
        </is>
      </c>
      <c r="J376" s="3" t="inlineStr">
        <is>
          <t>1. preTaxBalance: number
2. age: number</t>
        </is>
      </c>
      <c r="K376" s="3" t="inlineStr">
        <is>
          <t>number</t>
        </is>
      </c>
      <c r="L376" s="3" t="inlineStr">
        <is>
          <t>1. "Required Minimum Distributions" — on the Retirement cockpit screen
2. "Required withdrawal — first" — on a card used on more than one screen (DrawSteerSheet)
3. "WHAT IT BUYS LATER" — on the Roth move screen, under "WHAT IT BUYS LATER"
4. "Yours starts in" — on the Required withdrawals screen, under "WHAT THIS IS"</t>
        </is>
      </c>
      <c r="M376" s="3" t="inlineStr">
        <is>
          <t>· Uses the IRS Uniform Lifetime table for everyone (A37). A person whose sole beneficiary is a spouse more than ten years younger may use the Joint Life and Last Survivor table, which gives a SMALLER required amount — not modelled, and not said on the screen yet.</t>
        </is>
      </c>
      <c r="N376" s="3" t="inlineStr">
        <is>
          <t>Yes</t>
        </is>
      </c>
      <c r="O376" s="3" t="inlineStr">
        <is>
          <t>MK-PL-F-078 rmdDivisorAtAge</t>
        </is>
      </c>
      <c r="P376" s="3" t="n">
        <v>1</v>
      </c>
      <c r="Q376" s="3" t="inlineStr">
        <is>
          <t>MK-PL-F-078 rmdDivisorAtAge</t>
        </is>
      </c>
      <c r="R376" s="3" t="inlineStr">
        <is>
          <t>MK-PL-F-078 rmdDivisorAtAge → MK-PL-F-007 rmdAtAge</t>
        </is>
      </c>
      <c r="S376" s="3" t="inlineStr">
        <is>
          <t>—</t>
        </is>
      </c>
      <c r="T376" s="3" t="inlineStr">
        <is>
          <t>—</t>
        </is>
      </c>
      <c r="U376" s="3" t="inlineStr">
        <is>
          <t>ACTIVE</t>
        </is>
      </c>
      <c r="V376" s="3" t="inlineStr">
        <is>
          <t>2026-08-27</t>
        </is>
      </c>
      <c r="W376" s="3" t="n"/>
      <c r="X376" s="3" t="n"/>
      <c r="Y376" s="3" t="inlineStr">
        <is>
          <t>NOTHING OPEN</t>
        </is>
      </c>
    </row>
    <row r="377" ht="60" customHeight="1">
      <c r="A377" s="3" t="inlineStr">
        <is>
          <t>MK-PL-F-008</t>
        </is>
      </c>
      <c r="B377" s="3" t="inlineStr">
        <is>
          <t>rmdSchedule</t>
        </is>
      </c>
      <c r="C377" s="3" t="inlineStr">
        <is>
          <t>src/domain/decumulation/index.ts</t>
        </is>
      </c>
      <c r="D377" s="3" t="n">
        <v>415</v>
      </c>
      <c r="E377" s="3" t="inlineStr">
        <is>
          <t>2 · DISPLAYED</t>
        </is>
      </c>
      <c r="F377" s="3" t="inlineStr">
        <is>
          <t>Year-by-year mandated-withdrawal schedule (ESTIMATES: future balances move with returns).</t>
        </is>
      </c>
      <c r="G377" s="11" t="inlineStr">
        <is>
          <t>rows = []
rows   when pre tax now ≤ 0
start age = max(rmd start age for(age now, now year), age now)
bal = pre tax now
r = max(0, exp return (or 0 when missing or zero))
age = start age + i
amount = rmd at age(bal, age)
the answer = rows</t>
        </is>
      </c>
      <c r="H377" s="3" t="inlineStr">
        <is>
          <t>Rows is []. When pre tax now is at most 0, it answers rows. Start age: the larger of rmd start age for(age now and now year, age now). Bal is pre tax now. R is exp return (or 0 — when missing or zero, never below zero). Age is start age plus i. Amount is rmd at age(bal, age). The answer is rows.</t>
        </is>
      </c>
      <c r="I377" s="3" t="inlineStr">
        <is>
          <t>READ FROM THE CODE — rendered from the expressions the function runs</t>
        </is>
      </c>
      <c r="J377" s="3" t="inlineStr">
        <is>
          <t>1. preTaxNow: number
2. ageNow: number
3. expReturn: number
4. years = 15
5. nowYear = new Date().getFullYear()</t>
        </is>
      </c>
      <c r="K377" s="3" t="inlineStr">
        <is>
          <t>RmdYearRow[]</t>
        </is>
      </c>
      <c r="L377" s="3" t="inlineStr">
        <is>
          <t>NOT FOUND — a screen calls it, but the words printed beside its answer could not be traced automatically. Needs reading.</t>
        </is>
      </c>
      <c r="M377" s="3" t="inlineStr">
        <is>
          <t>1. If exp return is missing it counts as zero, so nothing recorded and a real zero look the same.
2. Uses today's date from the device clock, so the answer changes by itself overnight.
3. Rounds the answer to a whole number.</t>
        </is>
      </c>
      <c r="N377" s="3" t="inlineStr">
        <is>
          <t>Yes</t>
        </is>
      </c>
      <c r="O377" s="3" t="inlineStr">
        <is>
          <t>1. MK-PL-F-077 clamp
2. MK-PL-F-054 growOneYear
3. MK-PL-F-007 rmdAtAge
4. MK-PL-F-078 rmdDivisorAtAge
5. MK-PL-F-005 rmdStartAgeFor</t>
        </is>
      </c>
      <c r="P377" s="3" t="n">
        <v>23</v>
      </c>
      <c r="Q377" s="3" t="inlineStr">
        <is>
          <t>1. MK-PL-F-077 clamp
2. MK-PL-F-054 growOneYear
3. MK-PL-F-007 rmdAtAge
4. MK-PL-F-078 rmdDivisorAtAge
5. MK-PL-F-005 rmdStartAgeFor
6. MK-NW-F-035 blendedVolatility
7. MK-ST-F-025 rmdStartAgeFromAge
8. MK-CF-F-155 cash
9. MK-NW-F-032 earmarkedAmount
10. MK-NW-F-031 primaryCarIdOf
11. MK-ST-F-024 rmdStartAge
12. MK-XS-F-122 n
13. MK-NW-F-030 earmarkDefault
14. MK-NW-F-011 assetClassOf
15. MK-ST-F-056 has
16. MK-NW-F-013 realEstateUseOf
17. MK-NW-F-008 incomeBearingClassOf
18. MK-ST-F-010 nameEvidence
19. MK-XS-F-147 call
20. MK-CF-F-132 map
21. MK-ST-F-027 accountId
22. MK-XS-F-064 currentIdToken
23. MK-XS-F-112 relayUrl</t>
        </is>
      </c>
      <c r="R377" s="3" t="inlineStr">
        <is>
          <t>1. MK-XS-F-122 n → MK-CF-F-155 cash → MK-NW-F-035 blendedVolatility → MK-PL-F-077 clamp → MK-PL-F-008 rmdSchedule
2. MK-NW-F-011 assetClassOf → MK-NW-F-030 earmarkDefault → MK-NW-F-032 earmarkedAmount → MK-NW-F-035 blendedVolatility → MK-PL-F-077 clamp → MK-PL-F-008 rmdSchedule
3. MK-NW-F-013 realEstateUseOf → MK-NW-F-030 earmarkDefault → MK-NW-F-032 earmarkedAmount → MK-NW-F-035 blendedVolatility → MK-PL-F-077 clamp → MK-PL-F-008 rmdSchedule
4. MK-NW-F-008 incomeBearingClassOf → MK-NW-F-011 assetClassOf → MK-NW-F-031 primaryCarIdOf → MK-NW-F-035 blendedVolatility → MK-PL-F-077 clamp → MK-PL-F-008 rmdSchedule
5. MK-PL-F-054 growOneYear → MK-PL-F-008 rmdSchedule
6. MK-PL-F-078 rmdDivisorAtAge → MK-PL-F-007 rmdAtAge → MK-PL-F-008 rmdSchedule
7. MK-PL-F-078 rmdDivisorAtAge → MK-PL-F-008 rmdSchedule
8. MK-ST-F-056 has → MK-ST-F-024 rmdStartAge → MK-ST-F-025 rmdStartAgeFromAge → MK-PL-F-005 rmdStartAgeFor → MK-PL-F-008 rmdSchedule</t>
        </is>
      </c>
      <c r="S377" s="3" t="inlineStr">
        <is>
          <t>—</t>
        </is>
      </c>
      <c r="T377" s="3" t="inlineStr">
        <is>
          <t>—</t>
        </is>
      </c>
      <c r="U377" s="3" t="inlineStr">
        <is>
          <t>ACTIVE</t>
        </is>
      </c>
      <c r="V377" s="3" t="inlineStr">
        <is>
          <t>2026-08-27</t>
        </is>
      </c>
      <c r="W377" s="3" t="n"/>
      <c r="X377" s="3" t="n"/>
      <c r="Y377" s="3" t="inlineStr">
        <is>
          <t>NOTHING OPEN</t>
        </is>
      </c>
    </row>
    <row r="378" ht="60" customHeight="1">
      <c r="A378" s="3" t="inlineStr">
        <is>
          <t>MK-PL-F-009</t>
        </is>
      </c>
      <c r="B378" s="3" t="inlineStr">
        <is>
          <t>rmdTakenThisYear</t>
        </is>
      </c>
      <c r="C378" s="3" t="inlineStr">
        <is>
          <t>src/domain/decumulation/index.ts</t>
        </is>
      </c>
      <c r="D378" s="3" t="n">
        <v>460</v>
      </c>
      <c r="E378" s="3" t="inlineStr">
        <is>
          <t>2 · DISPLAYED</t>
        </is>
      </c>
      <c r="F378" s="3" t="inlineStr">
        <is>
          <t>Withdrawals already taken THIS year from the pre-tax accounts (the one ledger — no side lists).</t>
        </is>
      </c>
      <c r="G378" s="11" t="inlineStr">
        <is>
          <t>ids = a list with no repeats of for each of pre tax account ids: string</t>
        </is>
      </c>
      <c r="H378" s="3" t="inlineStr">
        <is>
          <t>Ids is a list with no repeats of for each of pre tax account ids: string.</t>
        </is>
      </c>
      <c r="I378" s="3" t="inlineStr">
        <is>
          <t>READ FROM THE CODE — rendered from the expressions the function runs</t>
        </is>
      </c>
      <c r="J378" s="3" t="inlineStr">
        <is>
          <t>1. transactions: { type?: string; account_id?: string; amount?: number; date?: string }[]
2. preTaxAccountIds: string[]
3. nowYear = new Date().getFullYear()</t>
        </is>
      </c>
      <c r="K378" s="3" t="inlineStr">
        <is>
          <t>number</t>
        </is>
      </c>
      <c r="L378" s="3" t="inlineStr">
        <is>
          <t>NOT FOUND — a screen calls it, but the words printed beside its answer could not be traced automatically. Needs reading.</t>
        </is>
      </c>
      <c r="M378" s="3" t="inlineStr">
        <is>
          <t>1. If amount is missing it counts as zero, so nothing recorded and a real zero look the same.
2. Uses today's date from the device clock, so the answer changes by itself overnight.</t>
        </is>
      </c>
      <c r="N378" s="3" t="inlineStr">
        <is>
          <t>Yes</t>
        </is>
      </c>
      <c r="O378" s="3" t="inlineStr">
        <is>
          <t>1. MK-ST-F-056 has
2. MK-CF-F-132 map</t>
        </is>
      </c>
      <c r="P378" s="3" t="n">
        <v>2</v>
      </c>
      <c r="Q378" s="3" t="inlineStr">
        <is>
          <t>1. MK-ST-F-056 has
2. MK-CF-F-132 map</t>
        </is>
      </c>
      <c r="R378" s="3" t="inlineStr">
        <is>
          <t>1. MK-ST-F-056 has → MK-PL-F-009 rmdTakenThisYear
2. MK-CF-F-132 map → MK-PL-F-009 rmdTakenThisYear</t>
        </is>
      </c>
      <c r="S378" s="3" t="inlineStr">
        <is>
          <t>—</t>
        </is>
      </c>
      <c r="T378" s="3" t="inlineStr">
        <is>
          <t>—</t>
        </is>
      </c>
      <c r="U378" s="3" t="inlineStr">
        <is>
          <t>ACTIVE</t>
        </is>
      </c>
      <c r="V378" s="3" t="inlineStr">
        <is>
          <t>2026-08-27</t>
        </is>
      </c>
      <c r="W378" s="3" t="n"/>
      <c r="X378" s="3" t="n"/>
      <c r="Y378" s="3" t="inlineStr">
        <is>
          <t>NOTHING OPEN</t>
        </is>
      </c>
    </row>
    <row r="379" ht="60" customHeight="1">
      <c r="A379" s="3" t="inlineStr">
        <is>
          <t>MK-PL-F-010</t>
        </is>
      </c>
      <c r="B379" s="3" t="inlineStr">
        <is>
          <t>drawOrderOutcome</t>
        </is>
      </c>
      <c r="C379" s="3" t="inlineStr">
        <is>
          <t>src/domain/decumulation/index.ts</t>
        </is>
      </c>
      <c r="D379" s="3" t="n">
        <v>509</v>
      </c>
      <c r="E379" s="3" t="inlineStr">
        <is>
          <t>2 · DISPLAYED</t>
        </is>
      </c>
      <c r="F379" s="3" t="inlineStr">
        <is>
          <t>If the draw came from the accounts in this order, how long would the money last and what tax would it cost?</t>
        </is>
      </c>
      <c r="G379" s="11" t="inlineStr">
        <is>
          <t>gross-up per bucket: cash 0 · Roth 0 · pre-tax = the person's ordinary rate · taxable = the person's capital-gains rate × the gain share of their taxable holdings
UNKNOWN (no answer, with the reason) when the gain share is not known and there is a taxable balance to draw
need each year = max(0, expenses − guaranteed income)
for each age from today to the horizon:
    at the required-withdrawal age: take the required amount from pre-tax first, tax it at the ordinary rate, use the net towards the need, reinvest any excess in taxable
    then walk the buckets in the given order: gross needed = need ÷ (1 − rate); take = min(balance, gross needed); tax = take × rate; need −= take − tax
    need still &gt; 0 → the money ran out this year: lasts to age = this age
    every bucket grows at the real return (never below −5%)
total taxes = Σ tax, to the cent; lasts to age = nothing when it survives the whole horizon</t>
        </is>
      </c>
      <c r="H379" s="3" t="inlineStr">
        <is>
          <t>Each year the gap between expenses and guaranteed income is drawn from the accounts in the given order. Pre-tax draws are grossed up by the person's own marginal rate, taxable draws by their own capital-gains rate on the gain share of their holdings; cash and Roth draw tax-free. The required withdrawal is taken first from the year it applies. The year the gap cannot be met is the age the money lasts to. If the gain share is not known and there is a taxable balance, there is no answer — the reason is returned instead.</t>
        </is>
      </c>
      <c r="I379" s="3" t="inlineStr">
        <is>
          <t>READ BY HAND 2026-08-26 — checked line by line against the code</t>
        </is>
      </c>
      <c r="J379" s="3" t="inlineStr">
        <is>
          <t>Nothing is handed to it</t>
        </is>
      </c>
      <c r="K379" s="3" t="inlineStr">
        <is>
          <t>NOT DECLARED — the code does not say what it gives back</t>
        </is>
      </c>
      <c r="L379" s="3" t="inlineStr">
        <is>
          <t>NOT FOUND — a screen calls it, but the words printed beside its answer could not be traced automatically. Needs reading.</t>
        </is>
      </c>
      <c r="M379" s="3" t="inlineStr">
        <is>
          <t>1. If gain share is missing it uses 0.
2. Uses a built-in taxes of 0.
3. Never lets real growth fall below -0.05.
4. NO built-in tax rates (founder ruling 2026-09-08, second verification G6; rule R2/brief Q-43 (2026-08-20)): the caller hands in the person's own marginal ordinary rate (MK-CF-F-103) and long-term gains rate (MK-CF-F-104), and the gain share of their taxable holdings (MK-PL-F-081); unknown gain share with a taxable balance → no answer, with the reason.
5. Balances grow at the real return, floored at −5% a year.
6. The required withdrawal is taken first from the year it applies (MK-PL-F-007).</t>
        </is>
      </c>
      <c r="N379" s="3" t="inlineStr">
        <is>
          <t>Yes</t>
        </is>
      </c>
      <c r="O379" s="3" t="inlineStr">
        <is>
          <t>1. MK-CF-F-155 cash
2. MK-PL-F-007 rmdAtAge
3. MK-PL-F-005 rmdStartAgeFor</t>
        </is>
      </c>
      <c r="P379" s="3" t="n">
        <v>8</v>
      </c>
      <c r="Q379" s="3" t="inlineStr">
        <is>
          <t>1. MK-CF-F-155 cash
2. MK-PL-F-007 rmdAtAge
3. MK-PL-F-005 rmdStartAgeFor
4. MK-XS-F-122 n
5. MK-PL-F-078 rmdDivisorAtAge
6. MK-ST-F-025 rmdStartAgeFromAge
7. MK-ST-F-024 rmdStartAge
8. MK-ST-F-056 has</t>
        </is>
      </c>
      <c r="R379" s="3" t="inlineStr">
        <is>
          <t>1. MK-XS-F-122 n → MK-CF-F-155 cash → MK-PL-F-010 drawOrderOutcome
2. MK-PL-F-078 rmdDivisorAtAge → MK-PL-F-007 rmdAtAge → MK-PL-F-010 drawOrderOutcome
3. MK-ST-F-056 has → MK-ST-F-024 rmdStartAge → MK-ST-F-025 rmdStartAgeFromAge → MK-PL-F-005 rmdStartAgeFor → MK-PL-F-010 drawOrderOutcome</t>
        </is>
      </c>
      <c r="S379" s="3" t="inlineStr">
        <is>
          <t>—</t>
        </is>
      </c>
      <c r="T379" s="3" t="inlineStr">
        <is>
          <t>—</t>
        </is>
      </c>
      <c r="U379" s="3" t="inlineStr">
        <is>
          <t>ACTIVE</t>
        </is>
      </c>
      <c r="V379" s="3" t="inlineStr">
        <is>
          <t>2026-09-12</t>
        </is>
      </c>
      <c r="W379" s="3" t="n"/>
      <c r="X379" s="3" t="n"/>
      <c r="Y379" s="6" t="inlineStr">
        <is>
          <t>TESTED, NOT VERIFIED (G6)</t>
        </is>
      </c>
    </row>
    <row r="380" ht="60" customHeight="1">
      <c r="A380" s="3" t="inlineStr">
        <is>
          <t>MK-PL-F-011</t>
        </is>
      </c>
      <c r="B380" s="3" t="inlineStr">
        <is>
          <t>buildGoalsState</t>
        </is>
      </c>
      <c r="C380" s="3" t="inlineStr">
        <is>
          <t>src/domain/goals/index.ts</t>
        </is>
      </c>
      <c r="D380" s="3" t="n">
        <v>45</v>
      </c>
      <c r="E380" s="3" t="inlineStr">
        <is>
          <t>3 · DEPENDENT</t>
        </is>
      </c>
      <c r="F380" s="3" t="inlineStr">
        <is>
          <t>Months to reach each goal at the given monthly savings capacity.</t>
        </is>
      </c>
      <c r="G380" s="11" t="inlineStr">
        <is>
          <t>user id = uid
goals = progress
monthly capacity = monthly capacity</t>
        </is>
      </c>
      <c r="H380" s="3" t="inlineStr">
        <is>
          <t>user id = uid; goals = progress; monthly capacity = monthly capacity.</t>
        </is>
      </c>
      <c r="I380" s="3" t="inlineStr">
        <is>
          <t>READ FROM THE CODE — rendered from the expressions the function runs</t>
        </is>
      </c>
      <c r="J380" s="3" t="inlineStr">
        <is>
          <t>1. uid: UserId
2. goals: Goal[]
3. monthlyCapacity: number</t>
        </is>
      </c>
      <c r="K380" s="3" t="inlineStr">
        <is>
          <t>GoalsState</t>
        </is>
      </c>
      <c r="L380" s="3" t="inlineStr">
        <is>
          <t>—</t>
        </is>
      </c>
      <c r="M380" s="3" t="inlineStr">
        <is>
          <t>None found in this function — anything it assumes comes from the functions it depends on.</t>
        </is>
      </c>
      <c r="N380" s="3" t="inlineStr">
        <is>
          <t>Yes</t>
        </is>
      </c>
      <c r="O380" s="3" t="inlineStr">
        <is>
          <t>1. MK-CF-F-132 map
2. MK-XS-F-175 uid
3. MK-PL-F-012 waterfall</t>
        </is>
      </c>
      <c r="P380" s="3" t="n">
        <v>82</v>
      </c>
      <c r="Q380" s="3" t="inlineStr">
        <is>
          <t>1. MK-CF-F-132 map
2. MK-XS-F-175 uid
3. MK-PL-F-012 waterfall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is>
      </c>
      <c r="R380" s="3" t="inlineStr">
        <is>
          <t>1. MK-CF-F-132 map → MK-PL-F-011 buildGoalsState
2. MK-ST-F-027 accountId → MK-XS-F-175 uid → MK-PL-F-011 buildGoalsState
3. MK-CF-F-137 findPos → MK-CF-F-138 addLot → MK-CF-F-111 applyTransaction → MK-XS-F-175 uid → MK-PL-F-011 buildGoalsState
4. MK-CF-F-132 map → MK-CF-F-138 addLot → MK-CF-F-111 applyTransaction → MK-XS-F-175 uid → MK-PL-F-011 buildGoalsState
5. MK-ST-F-043 newEntityId → MK-CF-F-138 addLot → MK-CF-F-111 applyTransaction → MK-XS-F-175 uid → MK-PL-F-011 buildGoalsState
6. MK-CF-F-134 usesSleeve → MK-CF-F-136 bumpCash → MK-CF-F-111 applyTransaction → MK-XS-F-175 uid → MK-PL-F-011 buildGoalsState
7. MK-CF-F-137 findPos → MK-CF-F-111 applyTransaction → MK-XS-F-175 uid → MK-PL-F-011 buildGoalsState
8. MK-CF-F-132 map → MK-CF-F-111 applyTransaction → MK-XS-F-175 uid → MK-PL-F-011 buildGoalsState
9. … and 5 more paths</t>
        </is>
      </c>
      <c r="S380" s="3" t="inlineStr">
        <is>
          <t>—</t>
        </is>
      </c>
      <c r="T380" s="3" t="inlineStr">
        <is>
          <t>—</t>
        </is>
      </c>
      <c r="U380" s="3" t="inlineStr">
        <is>
          <t>ACTIVE</t>
        </is>
      </c>
      <c r="V380" s="3" t="inlineStr">
        <is>
          <t>2026-09-09</t>
        </is>
      </c>
      <c r="W380" s="3" t="n"/>
      <c r="X380" s="3" t="n"/>
      <c r="Y380" s="3" t="inlineStr">
        <is>
          <t>NOTHING OPEN</t>
        </is>
      </c>
    </row>
    <row r="381" ht="60" customHeight="1">
      <c r="A381" s="3" t="inlineStr">
        <is>
          <t>MK-PL-F-012</t>
        </is>
      </c>
      <c r="B381" s="3" t="inlineStr">
        <is>
          <t>waterfall</t>
        </is>
      </c>
      <c r="C381" s="3" t="inlineStr">
        <is>
          <t>src/domain/goals/index.ts</t>
        </is>
      </c>
      <c r="D381" s="3" t="n">
        <v>94</v>
      </c>
      <c r="E381" s="3" t="inlineStr">
        <is>
          <t>3 · DEPENDENT</t>
        </is>
      </c>
      <c r="F381" s="3" t="inlineStr">
        <is>
          <t>NOT DETERMINED — the code carries no note saying what this is for, and it has no row in the old inventory. Needs reading.</t>
        </is>
      </c>
      <c r="G381" s="11" t="inlineStr">
        <is>
          <t>left = max(0, surplus)
steps = []
a = min(left, max(0, need)); left -= a; steps.push({ name, allocated: (a) })
the answer = steps</t>
        </is>
      </c>
      <c r="H381" s="3" t="inlineStr">
        <is>
          <t>Left is surplus, never below zero. Steps is []. A: the smaller of left and need, never below zero; left -= a; steps.push({ name, allocated: (a) }). The answer is steps.</t>
        </is>
      </c>
      <c r="I381" s="3" t="inlineStr">
        <is>
          <t>PARTLY READ — some of the code is still showing through; needs a hand pass</t>
        </is>
      </c>
      <c r="J381" s="3" t="inlineStr">
        <is>
          <t>Nothing is handed to it</t>
        </is>
      </c>
      <c r="K381" s="3" t="inlineStr">
        <is>
          <t>NOT DECLARED — the code does not say what it gives back</t>
        </is>
      </c>
      <c r="L381" s="3" t="inlineStr">
        <is>
          <t>—</t>
        </is>
      </c>
      <c r="M381" s="3" t="inlineStr">
        <is>
          <t>1. If emergency gap is missing it uses 0.
2. If toxic debt is missing it uses 0.
3. If employer match monthly is missing it uses 0.
4. Never lets surplus fall below 0.
5. Never lets need fall below 0.</t>
        </is>
      </c>
      <c r="N381" s="3" t="inlineStr">
        <is>
          <t>Yes</t>
        </is>
      </c>
      <c r="O381" s="3" t="inlineStr">
        <is>
          <t>—</t>
        </is>
      </c>
      <c r="P381" s="3" t="n">
        <v>0</v>
      </c>
      <c r="Q381" s="3" t="inlineStr">
        <is>
          <t>None — no dependent function stands behind it</t>
        </is>
      </c>
      <c r="R381" s="3" t="inlineStr">
        <is>
          <t>No dependent function — it reads its inputs and answers</t>
        </is>
      </c>
      <c r="S381" s="3" t="inlineStr">
        <is>
          <t>—</t>
        </is>
      </c>
      <c r="T381" s="3" t="inlineStr">
        <is>
          <t>—</t>
        </is>
      </c>
      <c r="U381" s="3" t="inlineStr">
        <is>
          <t>ACTIVE</t>
        </is>
      </c>
      <c r="V381" s="3" t="inlineStr">
        <is>
          <t>2026-09-09</t>
        </is>
      </c>
      <c r="W381" s="3" t="n"/>
      <c r="X381" s="3" t="n"/>
      <c r="Y381" s="3" t="inlineStr">
        <is>
          <t>NOTHING OPEN</t>
        </is>
      </c>
    </row>
    <row r="382" ht="60" customHeight="1">
      <c r="A382" s="3" t="inlineStr">
        <is>
          <t>MK-PL-F-013</t>
        </is>
      </c>
      <c r="B382" s="3" t="inlineStr">
        <is>
          <t>goalsFromOnboarding</t>
        </is>
      </c>
      <c r="C382" s="3" t="inlineStr">
        <is>
          <t>src/domain/goals/index.ts</t>
        </is>
      </c>
      <c r="D382" s="3" t="n">
        <v>143</v>
      </c>
      <c r="E382" s="3" t="inlineStr">
        <is>
          <t>3 · DEPENDENT</t>
        </is>
      </c>
      <c r="F382" s="3" t="inlineStr">
        <is>
          <t>NOT DETERMINED — the code carries no note saying what this is for, and it has no row in the old inventory. Needs reading.</t>
        </is>
      </c>
      <c r="G382" s="11" t="inlineStr">
        <is>
          <t>a = op (or none when missing)
raw = goals   if array.is array(goals)
[]   otherwise
the answer:
user id = uid
goals = goals</t>
        </is>
      </c>
      <c r="H382" s="3" t="inlineStr">
        <is>
          <t>A is op (or none — when missing). Raw is goals — when array.is array(goals); [] — otherwise. The answer is user id = uid; goals = goals.</t>
        </is>
      </c>
      <c r="I382" s="3" t="inlineStr">
        <is>
          <t>PARTLY READ — some of the code is still showing through; needs a hand pass</t>
        </is>
      </c>
      <c r="J382" s="3" t="inlineStr">
        <is>
          <t>1. uid: UserId
2. op: Record&lt;string, any&gt; | null</t>
        </is>
      </c>
      <c r="K382" s="3" t="inlineStr">
        <is>
          <t>GoalsDoc</t>
        </is>
      </c>
      <c r="L382" s="3" t="inlineStr">
        <is>
          <t>—</t>
        </is>
      </c>
      <c r="M382" s="3" t="inlineStr">
        <is>
          <t>None found in this function — anything it assumes comes from the functions it depends on.</t>
        </is>
      </c>
      <c r="N382" s="3" t="inlineStr">
        <is>
          <t>Yes</t>
        </is>
      </c>
      <c r="O382" s="3" t="inlineStr">
        <is>
          <t>1. MK-CF-F-132 map
2. MK-ST-F-043 newEntityId
3. MK-ST-F-052 toNum
4. MK-XS-F-175 uid</t>
        </is>
      </c>
      <c r="P382" s="3" t="n">
        <v>80</v>
      </c>
      <c r="Q382" s="3" t="inlineStr">
        <is>
          <t>1. MK-CF-F-132 map
2. MK-ST-F-043 newEntityId
3. MK-ST-F-052 toNum
4. MK-XS-F-175 uid
5. MK-XS-F-122 n
6. MK-ST-F-027 accountId
7. MK-CF-F-111 applyTransaction
8. MK-NW-F-040 assetsFromOnboarding
9. MK-PF-F-013 benchmarkTicker
10. MK-ST-F-028 buildDayFromAccounts
11. MK-PF-F-034 closeOnOrBefore
12. MK-CF-F-186 convertTakeHomeMode
13. MK-ST-F-079 dailyWindowStart
14. MK-CF-F-038 debtsFromOnboarding
15. MK-XS-F-083 fetchPriceSeries
16. MK-ST-F-056 has
17. MK-CF-F-116 inverseOf
18. MK-ST-F-065 isoLocalDate
19. MK-CF-F-112 makeTransaction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MK-ST-F-053 money
35. MK-CF-F-085 filingStatusOf
36. MK-CF-F-097 grossFromNet
37. MK-CF-F-185 needsTakeHomeConversion
38. MK-CF-F-089 over65CountOf
39. MK-CF-F-037 inferDebtType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is>
      </c>
      <c r="R382" s="3" t="inlineStr">
        <is>
          <t>1. MK-CF-F-132 map → MK-PL-F-013 goalsFromOnboarding
2. MK-ST-F-043 newEntityId → MK-PL-F-013 goalsFromOnboarding
3. MK-XS-F-122 n → MK-ST-F-052 toNum → MK-PL-F-013 goalsFromOnboarding
4. MK-ST-F-027 accountId → MK-XS-F-175 uid → MK-PL-F-013 goalsFromOnboarding
5. MK-CF-F-137 findPos → MK-CF-F-138 addLot → MK-CF-F-111 applyTransaction → MK-XS-F-175 uid → MK-PL-F-013 goalsFromOnboarding
6. MK-CF-F-132 map → MK-CF-F-138 addLot → MK-CF-F-111 applyTransaction → MK-XS-F-175 uid → MK-PL-F-013 goalsFromOnboarding
7. MK-ST-F-043 newEntityId → MK-CF-F-138 addLot → MK-CF-F-111 applyTransaction → MK-XS-F-175 uid → MK-PL-F-013 goalsFromOnboarding
8. MK-CF-F-134 usesSleeve → MK-CF-F-136 bumpCash → MK-CF-F-111 applyTransaction → MK-XS-F-175 uid → MK-PL-F-013 goalsFromOnboarding
9. … and 4 more paths</t>
        </is>
      </c>
      <c r="S382" s="3" t="inlineStr">
        <is>
          <t>—</t>
        </is>
      </c>
      <c r="T382" s="3" t="inlineStr">
        <is>
          <t>—</t>
        </is>
      </c>
      <c r="U382" s="3" t="inlineStr">
        <is>
          <t>ACTIVE</t>
        </is>
      </c>
      <c r="V382" s="3" t="inlineStr">
        <is>
          <t>2026-08-27</t>
        </is>
      </c>
      <c r="W382" s="3" t="n"/>
      <c r="X382" s="3" t="n"/>
      <c r="Y382" s="3" t="inlineStr">
        <is>
          <t>NOTHING OPEN</t>
        </is>
      </c>
    </row>
    <row r="383" ht="60" customHeight="1">
      <c r="A383" s="3" t="inlineStr">
        <is>
          <t>MK-PL-F-014</t>
        </is>
      </c>
      <c r="B383" s="3" t="inlineStr">
        <is>
          <t>loadGoals</t>
        </is>
      </c>
      <c r="C383" s="3" t="inlineStr">
        <is>
          <t>src/domain/goals/index.ts</t>
        </is>
      </c>
      <c r="D383" s="3" t="n">
        <v>171</v>
      </c>
      <c r="E383" s="3" t="inlineStr">
        <is>
          <t>3 · DEPENDENT (feeds an action only)</t>
        </is>
      </c>
      <c r="F383" s="3" t="inlineStr">
        <is>
          <t>NOT DETERMINED — the code carries no note saying what this is for, and it has no row in the old inventory. Needs reading.</t>
        </is>
      </c>
      <c r="G383" s="11" t="inlineStr">
        <is>
          <t>It reaches outside the app for data and hands back what came back — no arithmetic of its own.</t>
        </is>
      </c>
      <c r="H383" s="3" t="inlineStr">
        <is>
          <t>It reaches outside the app for data and hands back what came back — no arithmetic of its own.</t>
        </is>
      </c>
      <c r="I383" s="3" t="inlineStr">
        <is>
          <t>NO ARITHMETIC — there is no formula to state</t>
        </is>
      </c>
      <c r="J383" s="3" t="inlineStr">
        <is>
          <t>uid: UserId</t>
        </is>
      </c>
      <c r="K383" s="3" t="inlineStr">
        <is>
          <t>NOT DECLARED — the code does not say what it gives back</t>
        </is>
      </c>
      <c r="L383" s="3" t="inlineStr">
        <is>
          <t>—</t>
        </is>
      </c>
      <c r="M383" s="3" t="inlineStr">
        <is>
          <t>None found in this function — anything it assumes comes from the functions it depends on.</t>
        </is>
      </c>
      <c r="N383" s="3" t="inlineStr">
        <is>
          <t>No</t>
        </is>
      </c>
      <c r="O383" s="3" t="inlineStr">
        <is>
          <t>MK-XS-F-175 uid</t>
        </is>
      </c>
      <c r="P383" s="3" t="n">
        <v>81</v>
      </c>
      <c r="Q383"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383" s="3" t="inlineStr">
        <is>
          <t>1. MK-ST-F-027 accountId → MK-XS-F-175 uid → MK-PL-F-014 loadGoals
2. MK-CF-F-137 findPos → MK-CF-F-138 addLot → MK-CF-F-111 applyTransaction → MK-XS-F-175 uid → MK-PL-F-014 loadGoals
3. MK-CF-F-132 map → MK-CF-F-138 addLot → MK-CF-F-111 applyTransaction → MK-XS-F-175 uid → MK-PL-F-014 loadGoals
4. MK-ST-F-043 newEntityId → MK-CF-F-138 addLot → MK-CF-F-111 applyTransaction → MK-XS-F-175 uid → MK-PL-F-014 loadGoals
5. MK-CF-F-134 usesSleeve → MK-CF-F-136 bumpCash → MK-CF-F-111 applyTransaction → MK-XS-F-175 uid → MK-PL-F-014 loadGoals
6. MK-CF-F-137 findPos → MK-CF-F-111 applyTransaction → MK-XS-F-175 uid → MK-PL-F-014 loadGoals
7. MK-CF-F-132 map → MK-CF-F-111 applyTransaction → MK-XS-F-175 uid → MK-PL-F-014 loadGoals
8. MK-CF-F-137 findPos → MK-CF-F-139 removeShares → MK-CF-F-111 applyTransaction → MK-XS-F-175 uid → MK-PL-F-014 loadGoals
9. … and 4 more paths</t>
        </is>
      </c>
      <c r="S383" s="3" t="inlineStr">
        <is>
          <t>—</t>
        </is>
      </c>
      <c r="T383" s="3" t="inlineStr">
        <is>
          <t>—</t>
        </is>
      </c>
      <c r="U383" s="3" t="inlineStr">
        <is>
          <t>ACTIVE</t>
        </is>
      </c>
      <c r="V383" s="3" t="inlineStr">
        <is>
          <t>2026-08-27</t>
        </is>
      </c>
      <c r="W383" s="3" t="n"/>
      <c r="X383" s="3" t="n"/>
      <c r="Y383" s="3" t="inlineStr">
        <is>
          <t>NOTHING OPEN</t>
        </is>
      </c>
    </row>
    <row r="384" ht="60" customHeight="1">
      <c r="A384" s="3" t="inlineStr">
        <is>
          <t>MK-PL-F-015</t>
        </is>
      </c>
      <c r="B384" s="3" t="inlineStr">
        <is>
          <t>saveGoals</t>
        </is>
      </c>
      <c r="C384" s="3" t="inlineStr">
        <is>
          <t>src/domain/goals/index.ts</t>
        </is>
      </c>
      <c r="D384" s="3" t="n">
        <v>187</v>
      </c>
      <c r="E384" s="3" t="inlineStr">
        <is>
          <t>1 · ACTION</t>
        </is>
      </c>
      <c r="F384" s="3" t="inlineStr">
        <is>
          <t>NOT DETERMINED — the code carries no note saying what this is for, and it has no row in the old inventory. Needs reading.</t>
        </is>
      </c>
      <c r="G384" s="11" t="inlineStr">
        <is>
          <t>It records or announces something and returns no figure — no arithmetic of its own.</t>
        </is>
      </c>
      <c r="H384" s="3" t="inlineStr">
        <is>
          <t>It records or announces something and returns no figure — no arithmetic of its own.</t>
        </is>
      </c>
      <c r="I384" s="3" t="inlineStr">
        <is>
          <t>NO ARITHMETIC — there is no formula to state</t>
        </is>
      </c>
      <c r="J384" s="3" t="inlineStr">
        <is>
          <t>d: GoalsDoc</t>
        </is>
      </c>
      <c r="K384" s="3" t="inlineStr">
        <is>
          <t>NOT DECLARED — the code does not say what it gives back</t>
        </is>
      </c>
      <c r="L384" s="3" t="inlineStr">
        <is>
          <t>—</t>
        </is>
      </c>
      <c r="M384" s="3" t="inlineStr">
        <is>
          <t>None found in this function — anything it assumes comes from the functions it depends on.</t>
        </is>
      </c>
      <c r="N384" s="3" t="inlineStr">
        <is>
          <t>No</t>
        </is>
      </c>
      <c r="O384" s="3" t="inlineStr">
        <is>
          <t>MK-ST-F-042 setUserDoc</t>
        </is>
      </c>
      <c r="P384" s="3" t="n">
        <v>82</v>
      </c>
      <c r="Q384" s="3" t="inlineStr">
        <is>
          <t>1. MK-ST-F-042 setUserDoc
2. MK-XS-F-175 uid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is>
      </c>
      <c r="R384" s="3" t="inlineStr">
        <is>
          <t>1. MK-ST-F-027 accountId → MK-XS-F-175 uid → MK-ST-F-042 setUserDoc → MK-PL-F-015 saveGoals
2. MK-CF-F-137 findPos → MK-CF-F-138 addLot → MK-CF-F-111 applyTransaction → MK-XS-F-175 uid → MK-ST-F-042 setUserDoc → MK-PL-F-015 saveGoals
3. MK-CF-F-132 map → MK-CF-F-138 addLot → MK-CF-F-111 applyTransaction → MK-XS-F-175 uid → MK-ST-F-042 setUserDoc → MK-PL-F-015 saveGoals
4. MK-ST-F-043 newEntityId → MK-CF-F-138 addLot → MK-CF-F-111 applyTransaction → MK-XS-F-175 uid → MK-ST-F-042 setUserDoc → MK-PL-F-015 saveGoals
5. MK-CF-F-134 usesSleeve → MK-CF-F-136 bumpCash → MK-CF-F-111 applyTransaction → MK-XS-F-175 uid → MK-ST-F-042 setUserDoc → MK-PL-F-015 saveGoals
6. MK-CF-F-137 findPos → MK-CF-F-111 applyTransaction → MK-XS-F-175 uid → MK-ST-F-042 setUserDoc → MK-PL-F-015 saveGoals
7. MK-CF-F-132 map → MK-CF-F-111 applyTransaction → MK-XS-F-175 uid → MK-ST-F-042 setUserDoc → MK-PL-F-015 saveGoals
8. MK-CF-F-137 findPos → MK-CF-F-139 removeShares → MK-CF-F-111 applyTransaction → MK-XS-F-175 uid → MK-ST-F-042 setUserDoc → MK-PL-F-015 saveGoals
9. … and 4 more paths</t>
        </is>
      </c>
      <c r="S384" s="3" t="inlineStr">
        <is>
          <t>—</t>
        </is>
      </c>
      <c r="T384" s="3" t="inlineStr">
        <is>
          <t>—</t>
        </is>
      </c>
      <c r="U384" s="3" t="inlineStr">
        <is>
          <t>ACTIVE</t>
        </is>
      </c>
      <c r="V384" s="3" t="inlineStr">
        <is>
          <t>2026-08-27</t>
        </is>
      </c>
      <c r="W384" s="3" t="n"/>
      <c r="X384" s="3" t="n"/>
      <c r="Y384" s="3" t="inlineStr">
        <is>
          <t>NOTHING OPEN</t>
        </is>
      </c>
    </row>
    <row r="385" ht="60" customHeight="1">
      <c r="A385" s="3" t="inlineStr">
        <is>
          <t>MK-PL-F-016</t>
        </is>
      </c>
      <c r="B385" s="3" t="inlineStr">
        <is>
          <t>availableToSaveSummary</t>
        </is>
      </c>
      <c r="C385" s="3" t="inlineStr">
        <is>
          <t>src/domain/goals/index.ts</t>
        </is>
      </c>
      <c r="D385" s="3" t="n">
        <v>222</v>
      </c>
      <c r="E385" s="3" t="inlineStr">
        <is>
          <t>2 · DISPLAYED</t>
        </is>
      </c>
      <c r="F385" s="3" t="inlineStr">
        <is>
          <t>Summarize per-month available-to-save from a 12-month cash-flow grid.</t>
        </is>
      </c>
      <c r="G385" s="11" t="inlineStr">
        <is>
          <t>amts = for each of grid (or none when missing): amount
avg = 0
min = 0
max = 0
lumpy = false   when count of amts is missing
avg = Σ over amts of (each)count of ÷ amts
min = min(...amts)
max = max(...amts)
the answer:
avg = avg
min = min
max = max
lumpy = max − min &gt; max(50, avg × 0.25)</t>
        </is>
      </c>
      <c r="H385" s="3" t="inlineStr">
        <is>
          <t>Amts is for each of grid (or none — when missing): amount. When how many amts is missing there are, it answers avg = 0; min = 0; max = 0; lumpy = false. Avg: the each added up across amtshow many divided by amts there are. Min is min(...amts). Max is max(...amts). The answer is avg = avg; min = min; max = max; lumpy = max minus min &gt; the larger of 50 and avg times 0.25.</t>
        </is>
      </c>
      <c r="I385" s="3" t="inlineStr">
        <is>
          <t>READ FROM THE CODE — rendered from the expressions the function runs</t>
        </is>
      </c>
      <c r="J385" s="3" t="inlineStr">
        <is>
          <t>grid: { label: string; amount: number }[]</t>
        </is>
      </c>
      <c r="K385" s="3" t="inlineStr">
        <is>
          <t>SaveCapacity</t>
        </is>
      </c>
      <c r="L385" s="3" t="inlineStr">
        <is>
          <t>"Plan" — on the Goals screen</t>
        </is>
      </c>
      <c r="M385" s="3" t="inlineStr">
        <is>
          <t>· Applies a built-in rate of 25% to avg.</t>
        </is>
      </c>
      <c r="N385" s="3" t="inlineStr">
        <is>
          <t>Yes</t>
        </is>
      </c>
      <c r="O385" s="3" t="inlineStr">
        <is>
          <t>MK-CF-F-132 map</t>
        </is>
      </c>
      <c r="P385" s="3" t="n">
        <v>1</v>
      </c>
      <c r="Q385" s="3" t="inlineStr">
        <is>
          <t>MK-CF-F-132 map</t>
        </is>
      </c>
      <c r="R385" s="3" t="inlineStr">
        <is>
          <t>MK-CF-F-132 map → MK-PL-F-016 availableToSaveSummary</t>
        </is>
      </c>
      <c r="S385" s="3" t="inlineStr">
        <is>
          <t>—</t>
        </is>
      </c>
      <c r="T385" s="3" t="inlineStr">
        <is>
          <t>—</t>
        </is>
      </c>
      <c r="U385" s="3" t="inlineStr">
        <is>
          <t>ACTIVE</t>
        </is>
      </c>
      <c r="V385" s="3" t="inlineStr">
        <is>
          <t>2026-09-09</t>
        </is>
      </c>
      <c r="W385" s="3" t="n"/>
      <c r="X385" s="3" t="n"/>
      <c r="Y385" s="3" t="inlineStr">
        <is>
          <t>NOTHING OPEN</t>
        </is>
      </c>
    </row>
    <row r="386" ht="60" customHeight="1">
      <c r="A386" s="3" t="inlineStr">
        <is>
          <t>MK-PL-F-017</t>
        </is>
      </c>
      <c r="B386" s="3" t="inlineStr">
        <is>
          <t>sinkingFund</t>
        </is>
      </c>
      <c r="C386" s="3" t="inlineStr">
        <is>
          <t>src/domain/goals/index.ts</t>
        </is>
      </c>
      <c r="D386" s="3" t="n">
        <v>256</v>
      </c>
      <c r="E386" s="3" t="inlineStr">
        <is>
          <t>2 · DISPLAYED</t>
        </is>
      </c>
      <c r="F386" s="3" t="inlineStr">
        <is>
          <t>NOT DETERMINED — the code carries no note saying what this is for, and it has no row in the old inventory. Needs reading.</t>
        </is>
      </c>
      <c r="G386" s="11" t="inlineStr">
        <is>
          <t>monthly = max(0, monthly non monthly)
the answer:
annual = monthly × 12
monthly = monthly</t>
        </is>
      </c>
      <c r="H386" s="3" t="inlineStr">
        <is>
          <t>Monthly is monthly non monthly, never below zero. The answer is annual = monthly times 12; monthly = monthly.</t>
        </is>
      </c>
      <c r="I386" s="3" t="inlineStr">
        <is>
          <t>READ FROM THE CODE — rendered from the expressions the function runs</t>
        </is>
      </c>
      <c r="J386" s="3" t="inlineStr">
        <is>
          <t>monthlyNonMonthly: number</t>
        </is>
      </c>
      <c r="K386" s="3" t="inlineStr">
        <is>
          <t>SinkingFund</t>
        </is>
      </c>
      <c r="L386" s="3" t="inlineStr">
        <is>
          <t>NOT FOUND — a screen calls it, but the words printed beside its answer could not be traced automatically. Needs reading.</t>
        </is>
      </c>
      <c r="M386" s="3" t="inlineStr">
        <is>
          <t>1. Turns a monthly figure into a year by multiplying by twelve.
2. Never lets monthly non monthly fall below 0.</t>
        </is>
      </c>
      <c r="N386" s="3" t="inlineStr">
        <is>
          <t>Yes</t>
        </is>
      </c>
      <c r="O386" s="3" t="inlineStr">
        <is>
          <t>—</t>
        </is>
      </c>
      <c r="P386" s="3" t="n">
        <v>0</v>
      </c>
      <c r="Q386" s="3" t="inlineStr">
        <is>
          <t>None — no dependent function stands behind it</t>
        </is>
      </c>
      <c r="R386" s="3" t="inlineStr">
        <is>
          <t>No dependent function — it reads its inputs and answers</t>
        </is>
      </c>
      <c r="S386" s="3" t="inlineStr">
        <is>
          <t>—</t>
        </is>
      </c>
      <c r="T386" s="3" t="inlineStr">
        <is>
          <t>—</t>
        </is>
      </c>
      <c r="U386" s="3" t="inlineStr">
        <is>
          <t>ACTIVE</t>
        </is>
      </c>
      <c r="V386" s="3" t="inlineStr">
        <is>
          <t>2026-09-09</t>
        </is>
      </c>
      <c r="W386" s="3" t="n"/>
      <c r="X386" s="3" t="n"/>
      <c r="Y386" s="3" t="inlineStr">
        <is>
          <t>NOTHING OPEN</t>
        </is>
      </c>
    </row>
    <row r="387" ht="60" customHeight="1">
      <c r="A387" s="3" t="inlineStr">
        <is>
          <t>MK-PL-F-018</t>
        </is>
      </c>
      <c r="B387" s="3" t="inlineStr">
        <is>
          <t>monthsUntil</t>
        </is>
      </c>
      <c r="C387" s="3" t="inlineStr">
        <is>
          <t>src/domain/goals/index.ts</t>
        </is>
      </c>
      <c r="D387" s="3" t="n">
        <v>292</v>
      </c>
      <c r="E387" s="3" t="inlineStr">
        <is>
          <t>2 · DISPLAYED</t>
        </is>
      </c>
      <c r="F387" s="3" t="inlineStr">
        <is>
          <t>Whole months from `now` to the target month ('YYYY-MM'); &gt;=1, or null if no/!invalid date.</t>
        </is>
      </c>
      <c r="G387" s="11" t="inlineStr">
        <is>
          <t>nothing   when target date is missing
nothing   when y is missing (or m is missing when missing or zero)
max(1, (y − now.get full year()) × 12 + (m − 1 − now.get month()))</t>
        </is>
      </c>
      <c r="H387" s="3" t="inlineStr">
        <is>
          <t>When target date is missing, it answers no answer. When y is missing (or m is missing — when missing or zero), it answers no answer. the larger of 1 and (y minus now.get full year() times 12 plus (m minus 1 minus now.get month())).</t>
        </is>
      </c>
      <c r="I387" s="3" t="inlineStr">
        <is>
          <t>PARTLY READ — some of the code is still showing through; needs a hand pass</t>
        </is>
      </c>
      <c r="J387" s="3" t="inlineStr">
        <is>
          <t>1. targetDate: string | undefined
2. now: Date</t>
        </is>
      </c>
      <c r="K387" s="3" t="inlineStr">
        <is>
          <t>number | null</t>
        </is>
      </c>
      <c r="L387" s="3" t="inlineStr">
        <is>
          <t>NOT FOUND — a screen calls it, but the words printed beside its answer could not be traced automatically. Needs reading.</t>
        </is>
      </c>
      <c r="M387" s="3" t="inlineStr">
        <is>
          <t>· Turns a monthly figure into a year by multiplying by twelve.</t>
        </is>
      </c>
      <c r="N387" s="3" t="inlineStr">
        <is>
          <t>Yes</t>
        </is>
      </c>
      <c r="O387" s="3" t="inlineStr">
        <is>
          <t>MK-CF-F-132 map</t>
        </is>
      </c>
      <c r="P387" s="3" t="n">
        <v>1</v>
      </c>
      <c r="Q387" s="3" t="inlineStr">
        <is>
          <t>MK-CF-F-132 map</t>
        </is>
      </c>
      <c r="R387" s="3" t="inlineStr">
        <is>
          <t>MK-CF-F-132 map → MK-PL-F-018 monthsUntil</t>
        </is>
      </c>
      <c r="S387" s="3" t="inlineStr">
        <is>
          <t>—</t>
        </is>
      </c>
      <c r="T387" s="3" t="inlineStr">
        <is>
          <t>—</t>
        </is>
      </c>
      <c r="U387" s="3" t="inlineStr">
        <is>
          <t>ACTIVE</t>
        </is>
      </c>
      <c r="V387" s="3" t="inlineStr">
        <is>
          <t>2026-08-27</t>
        </is>
      </c>
      <c r="W387" s="3" t="n"/>
      <c r="X387" s="3" t="n"/>
      <c r="Y387" s="3" t="inlineStr">
        <is>
          <t>NOTHING OPEN</t>
        </is>
      </c>
    </row>
    <row r="388" ht="60" customHeight="1">
      <c r="A388" s="3" t="inlineStr">
        <is>
          <t>MK-PL-F-019</t>
        </is>
      </c>
      <c r="B388" s="3" t="inlineStr">
        <is>
          <t>goalMonthsRemaining</t>
        </is>
      </c>
      <c r="C388" s="3" t="inlineStr">
        <is>
          <t>src/domain/goals/index.ts</t>
        </is>
      </c>
      <c r="D388" s="3" t="n">
        <v>327</v>
      </c>
      <c r="E388" s="3" t="inlineStr">
        <is>
          <t>3 · DEPENDENT</t>
        </is>
      </c>
      <c r="F388" s="3" t="inlineStr">
        <is>
          <t>Months remaining: from the target date if set, else the goal's `duration` (months).</t>
        </is>
      </c>
      <c r="G388" s="11" t="inlineStr">
        <is>
          <t>from date = months until(target date, now)
from date   when from date ≠ nothing
d = duration read as a number
the answer:
d   if number.is finite(d) and d &gt; 0
nothing   otherwise</t>
        </is>
      </c>
      <c r="H388" s="3" t="inlineStr">
        <is>
          <t>From date is months until(target date, now). When from date is not no answer, it answers from date. D is duration read as a number. The answer is d — when number.is finite(d) and d &gt; 0; no answer — otherwise.</t>
        </is>
      </c>
      <c r="I388" s="3" t="inlineStr">
        <is>
          <t>PARTLY READ — some of the code is still showing through; needs a hand pass</t>
        </is>
      </c>
      <c r="J388" s="3" t="inlineStr">
        <is>
          <t>1. g: GoalLike
2. now: Date = new Date()</t>
        </is>
      </c>
      <c r="K388" s="3" t="inlineStr">
        <is>
          <t>number | null</t>
        </is>
      </c>
      <c r="L388" s="3" t="inlineStr">
        <is>
          <t>—</t>
        </is>
      </c>
      <c r="M388" s="3" t="inlineStr">
        <is>
          <t>· Uses today's date from the device clock, so the answer changes by itself overnight.</t>
        </is>
      </c>
      <c r="N388" s="3" t="inlineStr">
        <is>
          <t>Yes</t>
        </is>
      </c>
      <c r="O388" s="3" t="inlineStr">
        <is>
          <t>MK-PL-F-018 monthsUntil</t>
        </is>
      </c>
      <c r="P388" s="3" t="n">
        <v>2</v>
      </c>
      <c r="Q388" s="3" t="inlineStr">
        <is>
          <t>1. MK-PL-F-018 monthsUntil
2. MK-CF-F-132 map</t>
        </is>
      </c>
      <c r="R388" s="3" t="inlineStr">
        <is>
          <t>MK-CF-F-132 map → MK-PL-F-018 monthsUntil → MK-PL-F-019 goalMonthsRemaining</t>
        </is>
      </c>
      <c r="S388" s="3" t="inlineStr">
        <is>
          <t>—</t>
        </is>
      </c>
      <c r="T388" s="3" t="inlineStr">
        <is>
          <t>—</t>
        </is>
      </c>
      <c r="U388" s="3" t="inlineStr">
        <is>
          <t>ACTIVE</t>
        </is>
      </c>
      <c r="V388" s="3" t="inlineStr">
        <is>
          <t>2026-08-27</t>
        </is>
      </c>
      <c r="W388" s="3" t="n"/>
      <c r="X388" s="3" t="n"/>
      <c r="Y388" s="3" t="inlineStr">
        <is>
          <t>NOTHING OPEN</t>
        </is>
      </c>
    </row>
    <row r="389" ht="60" customHeight="1">
      <c r="A389" s="3" t="inlineStr">
        <is>
          <t>MK-PL-F-020</t>
        </is>
      </c>
      <c r="B389" s="3" t="inlineStr">
        <is>
          <t>requiredMonthly</t>
        </is>
      </c>
      <c r="C389" s="3" t="inlineStr">
        <is>
          <t>src/domain/goals/index.ts</t>
        </is>
      </c>
      <c r="D389" s="3" t="n">
        <v>364</v>
      </c>
      <c r="E389" s="3" t="inlineStr">
        <is>
          <t>2 · DISPLAYED</t>
        </is>
      </c>
      <c r="F389" s="3" t="inlineStr">
        <is>
          <t>$/month still needed to hit the target on time (0 if already funded; null if no date/duration).</t>
        </is>
      </c>
      <c r="G389" s="11" t="inlineStr">
        <is>
          <t>remaining = max(0, (target or 0) − (saved or 0))
0   when remaining = 0
months = goal months remaining(g, now)
the answer:
remaining ÷ months   if months
nothing   otherwise</t>
        </is>
      </c>
      <c r="H389" s="3" t="inlineStr">
        <is>
          <t>Remaining is (target or 0, never below zero minus (saved or 0)). When remaining = 0, it answers 0. Months is goal months remaining(g, now). The answer is remaining divided by months — when months; no answer — otherwise.</t>
        </is>
      </c>
      <c r="I389" s="3" t="inlineStr">
        <is>
          <t>READ FROM THE CODE — rendered from the expressions the function runs</t>
        </is>
      </c>
      <c r="J389" s="3" t="inlineStr">
        <is>
          <t>1. g: GoalLike
2. now: Date = new Date()</t>
        </is>
      </c>
      <c r="K389" s="3" t="inlineStr">
        <is>
          <t>number | null</t>
        </is>
      </c>
      <c r="L389" s="3" t="inlineStr">
        <is>
          <t>NOT FOUND — a screen calls it, but the words printed beside its answer could not be traced automatically. Needs reading.</t>
        </is>
      </c>
      <c r="M389" s="3" t="inlineStr">
        <is>
          <t>1. If target is missing it counts as zero, so nothing recorded and a real zero look the same.
2. If saved is missing it counts as zero, so nothing recorded and a real zero look the same.
3. Uses today's date from the device clock, so the answer changes by itself overnight.</t>
        </is>
      </c>
      <c r="N389" s="3" t="inlineStr">
        <is>
          <t>Yes</t>
        </is>
      </c>
      <c r="O389" s="3" t="inlineStr">
        <is>
          <t>MK-PL-F-019 goalMonthsRemaining</t>
        </is>
      </c>
      <c r="P389" s="3" t="n">
        <v>3</v>
      </c>
      <c r="Q389" s="3" t="inlineStr">
        <is>
          <t>1. MK-PL-F-019 goalMonthsRemaining
2. MK-PL-F-018 monthsUntil
3. MK-CF-F-132 map</t>
        </is>
      </c>
      <c r="R389" s="3" t="inlineStr">
        <is>
          <t>MK-CF-F-132 map → MK-PL-F-018 monthsUntil → MK-PL-F-019 goalMonthsRemaining → MK-PL-F-020 requiredMonthly</t>
        </is>
      </c>
      <c r="S389" s="3" t="inlineStr">
        <is>
          <t>—</t>
        </is>
      </c>
      <c r="T389" s="3" t="inlineStr">
        <is>
          <t>—</t>
        </is>
      </c>
      <c r="U389" s="3" t="inlineStr">
        <is>
          <t>ACTIVE</t>
        </is>
      </c>
      <c r="V389" s="3" t="inlineStr">
        <is>
          <t>2026-09-09</t>
        </is>
      </c>
      <c r="W389" s="3" t="n"/>
      <c r="X389" s="3" t="n"/>
      <c r="Y389" s="3" t="inlineStr">
        <is>
          <t>NOTHING OPEN</t>
        </is>
      </c>
    </row>
    <row r="390" ht="60" customHeight="1">
      <c r="A390" s="3" t="inlineStr">
        <is>
          <t>MK-PL-F-021</t>
        </is>
      </c>
      <c r="B390" s="3" t="inlineStr">
        <is>
          <t>monthsToGoal</t>
        </is>
      </c>
      <c r="C390" s="3" t="inlineStr">
        <is>
          <t>src/domain/goals/index.ts</t>
        </is>
      </c>
      <c r="D390" s="3" t="n">
        <v>399</v>
      </c>
      <c r="E390" s="3" t="inlineStr">
        <is>
          <t>2 · DISPLAYED</t>
        </is>
      </c>
      <c r="F390" s="3" t="inlineStr">
        <is>
          <t>Months to reach the goal at a given monthly contribution (0 if funded; null if contribution &lt;= 0).</t>
        </is>
      </c>
      <c r="G390" s="11" t="inlineStr">
        <is>
          <t>remaining = max(0, (target or 0) − (saved or 0))
0   when remaining = 0
the answer:
round up(remaining ÷ monthly contribution)   if monthly contribution &gt; 0
nothing   otherwise</t>
        </is>
      </c>
      <c r="H390" s="3" t="inlineStr">
        <is>
          <t>Remaining is (target or 0, never below zero minus (saved or 0)). When remaining = 0, it answers 0. The answer is remaining divided by monthly contribution, rounded up — when monthly contribution &gt; 0; no answer — otherwise.</t>
        </is>
      </c>
      <c r="I390" s="3" t="inlineStr">
        <is>
          <t>READ FROM THE CODE — rendered from the expressions the function runs</t>
        </is>
      </c>
      <c r="J390" s="3" t="inlineStr">
        <is>
          <t>1. g: GoalLike
2. monthlyContribution: number</t>
        </is>
      </c>
      <c r="K390" s="3" t="inlineStr">
        <is>
          <t>number | null</t>
        </is>
      </c>
      <c r="L390" s="3" t="inlineStr">
        <is>
          <t>NOT FOUND — a screen calls it, but the words printed beside its answer could not be traced automatically. Needs reading.</t>
        </is>
      </c>
      <c r="M390" s="3" t="inlineStr">
        <is>
          <t>1. If target is missing it counts as zero, so nothing recorded and a real zero look the same.
2. If saved is missing it counts as zero, so nothing recorded and a real zero look the same.</t>
        </is>
      </c>
      <c r="N390" s="3" t="inlineStr">
        <is>
          <t>Yes</t>
        </is>
      </c>
      <c r="O390" s="3" t="inlineStr">
        <is>
          <t>—</t>
        </is>
      </c>
      <c r="P390" s="3" t="n">
        <v>0</v>
      </c>
      <c r="Q390" s="3" t="inlineStr">
        <is>
          <t>None — no dependent function stands behind it</t>
        </is>
      </c>
      <c r="R390" s="3" t="inlineStr">
        <is>
          <t>No dependent function — it reads its inputs and answers</t>
        </is>
      </c>
      <c r="S390" s="3" t="inlineStr">
        <is>
          <t>—</t>
        </is>
      </c>
      <c r="T390" s="3" t="inlineStr">
        <is>
          <t>—</t>
        </is>
      </c>
      <c r="U390" s="3" t="inlineStr">
        <is>
          <t>ACTIVE</t>
        </is>
      </c>
      <c r="V390" s="3" t="inlineStr">
        <is>
          <t>2026-08-27</t>
        </is>
      </c>
      <c r="W390" s="3" t="n"/>
      <c r="X390" s="3" t="n"/>
      <c r="Y390" s="3" t="inlineStr">
        <is>
          <t>NOTHING OPEN</t>
        </is>
      </c>
    </row>
    <row r="391" ht="60" customHeight="1">
      <c r="A391" s="3" t="inlineStr">
        <is>
          <t>MK-PL-F-022</t>
        </is>
      </c>
      <c r="B391" s="3" t="inlineStr">
        <is>
          <t>goalProgressPct</t>
        </is>
      </c>
      <c r="C391" s="3" t="inlineStr">
        <is>
          <t>src/domain/goals/index.ts</t>
        </is>
      </c>
      <c r="D391" s="3" t="n">
        <v>428</v>
      </c>
      <c r="E391" s="3" t="inlineStr">
        <is>
          <t>3 · DEPENDENT (feeds an action only)</t>
        </is>
      </c>
      <c r="F391" s="3" t="inlineStr">
        <is>
          <t>Funded %, clamped 0–100.</t>
        </is>
      </c>
      <c r="G391" s="11" t="inlineStr">
        <is>
          <t>0   when (target or 0) ≤ 0
min(100, max(0, round(((saved or 0) ÷ target) × 100)))</t>
        </is>
      </c>
      <c r="H391" s="3" t="inlineStr">
        <is>
          <t>When (target or 0) is at most 0, it answers 0. the smaller of 100 and ((saved or 0, to a whole number divided by target, never below zero times 100)).</t>
        </is>
      </c>
      <c r="I391" s="3" t="inlineStr">
        <is>
          <t>READ FROM THE CODE — rendered from the expressions the function runs</t>
        </is>
      </c>
      <c r="J391" s="3" t="inlineStr">
        <is>
          <t>g: GoalLike</t>
        </is>
      </c>
      <c r="K391" s="3" t="inlineStr">
        <is>
          <t>number</t>
        </is>
      </c>
      <c r="L391" s="3" t="inlineStr">
        <is>
          <t>—</t>
        </is>
      </c>
      <c r="M391" s="3" t="inlineStr">
        <is>
          <t>1. If target is missing it counts as zero, so nothing recorded and a real zero look the same.
2. If saved is missing it counts as zero, so nothing recorded and a real zero look the same.
3. Rounds the answer to a whole number.</t>
        </is>
      </c>
      <c r="N391" s="3" t="inlineStr">
        <is>
          <t>No</t>
        </is>
      </c>
      <c r="O391" s="3" t="inlineStr">
        <is>
          <t>MK-CF-F-155 cash</t>
        </is>
      </c>
      <c r="P391" s="3" t="n">
        <v>2</v>
      </c>
      <c r="Q391" s="3" t="inlineStr">
        <is>
          <t>1. MK-CF-F-155 cash
2. MK-XS-F-122 n</t>
        </is>
      </c>
      <c r="R391" s="3" t="inlineStr">
        <is>
          <t>MK-XS-F-122 n → MK-CF-F-155 cash → MK-PL-F-022 goalProgressPct</t>
        </is>
      </c>
      <c r="S391" s="3" t="inlineStr">
        <is>
          <t>—</t>
        </is>
      </c>
      <c r="T391" s="3" t="inlineStr">
        <is>
          <t>—</t>
        </is>
      </c>
      <c r="U391" s="3" t="inlineStr">
        <is>
          <t>ACTIVE</t>
        </is>
      </c>
      <c r="V391" s="3" t="inlineStr">
        <is>
          <t>2026-08-27</t>
        </is>
      </c>
      <c r="W391" s="3" t="n"/>
      <c r="X391" s="3" t="n"/>
      <c r="Y391" s="3" t="inlineStr">
        <is>
          <t>NOTHING OPEN</t>
        </is>
      </c>
    </row>
    <row r="392" ht="60" customHeight="1">
      <c r="A392" s="3" t="inlineStr">
        <is>
          <t>MK-PL-F-023</t>
        </is>
      </c>
      <c r="B392" s="3" t="inlineStr">
        <is>
          <t>goalStatus</t>
        </is>
      </c>
      <c r="C392" s="3" t="inlineStr">
        <is>
          <t>src/domain/goals/index.ts</t>
        </is>
      </c>
      <c r="D392" s="3" t="n">
        <v>469</v>
      </c>
      <c r="E392" s="3" t="inlineStr">
        <is>
          <t>2 · DISPLAYED</t>
        </is>
      </c>
      <c r="F392" s="3" t="inlineStr">
        <is>
          <t>NOT DETERMINED — the code carries no note saying what this is for, and it has no row in the old inventory. Needs reading.</t>
        </is>
      </c>
      <c r="G392" s="11" t="inlineStr">
        <is>
          <t>'fully_funded'   when (saved or 0) ≥ (target or 0) and (target or 0) &gt; 0
req = required monthly(g, now)
'no_date'   when req = nothing
'fully_funded'   when req = 0
the answer:
'on_track'   if (funded this month or 0) + 1e − 6 ≥ req
'behind'   otherwise</t>
        </is>
      </c>
      <c r="H392" s="3" t="inlineStr">
        <is>
          <t>When (saved or 0) is at least (target or 0) and (target or 0) &gt; 0, it answers 'fully_funded'. Req is required monthly(g, now). When req is missing, it answers 'no_date'. When req = 0, it answers 'fully_funded'. The answer is 'on_track' — when (funded this month or 0) plus 1e minus 6 is at least req; 'behind' — otherwise.</t>
        </is>
      </c>
      <c r="I392" s="3" t="inlineStr">
        <is>
          <t>READ FROM THE CODE — rendered from the expressions the function runs</t>
        </is>
      </c>
      <c r="J392" s="3" t="inlineStr">
        <is>
          <t>1. g: GoalLike
2. fundedThisMonth: number | null | undefined
3. now: Date = new Date()</t>
        </is>
      </c>
      <c r="K392" s="3" t="inlineStr">
        <is>
          <t>GoalStatus</t>
        </is>
      </c>
      <c r="L392" s="3" t="inlineStr">
        <is>
          <t>"Complete! 🎉" — on the rewards screen</t>
        </is>
      </c>
      <c r="M392" s="3" t="inlineStr">
        <is>
          <t>1. If saved is missing it counts as zero, so nothing recorded and a real zero look the same.
2. If target is missing it counts as zero, so nothing recorded and a real zero look the same.
3. If funded this month is missing it counts as zero, so nothing recorded and a real zero look the same.
4. Uses today's date from the device clock, so the answer changes by itself overnight.</t>
        </is>
      </c>
      <c r="N392" s="3" t="inlineStr">
        <is>
          <t>Yes</t>
        </is>
      </c>
      <c r="O392" s="3" t="inlineStr">
        <is>
          <t>MK-PL-F-020 requiredMonthly</t>
        </is>
      </c>
      <c r="P392" s="3" t="n">
        <v>4</v>
      </c>
      <c r="Q392" s="3" t="inlineStr">
        <is>
          <t>1. MK-PL-F-020 requiredMonthly
2. MK-PL-F-019 goalMonthsRemaining
3. MK-PL-F-018 monthsUntil
4. MK-CF-F-132 map</t>
        </is>
      </c>
      <c r="R392" s="3" t="inlineStr">
        <is>
          <t>MK-CF-F-132 map → MK-PL-F-018 monthsUntil → MK-PL-F-019 goalMonthsRemaining → MK-PL-F-020 requiredMonthly → MK-PL-F-023 goalStatus</t>
        </is>
      </c>
      <c r="S392" s="3" t="inlineStr">
        <is>
          <t>MK-MN-M-009</t>
        </is>
      </c>
      <c r="T392" s="3" t="inlineStr">
        <is>
          <t>—</t>
        </is>
      </c>
      <c r="U392" s="3" t="inlineStr">
        <is>
          <t>ACTIVE</t>
        </is>
      </c>
      <c r="V392" s="3" t="inlineStr">
        <is>
          <t>2026-08-27</t>
        </is>
      </c>
      <c r="W392" s="3" t="n"/>
      <c r="X392" s="3" t="n"/>
      <c r="Y392" s="3" t="inlineStr">
        <is>
          <t>NOTHING OPEN</t>
        </is>
      </c>
    </row>
    <row r="393" ht="60" customHeight="1">
      <c r="A393" s="3" t="inlineStr">
        <is>
          <t>MK-PL-F-024</t>
        </is>
      </c>
      <c r="B393" s="3" t="inlineStr">
        <is>
          <t>oddsLine</t>
        </is>
      </c>
      <c r="C393" s="3" t="inlineStr">
        <is>
          <t>src/domain/planning/hub.ts</t>
        </is>
      </c>
      <c r="D393" s="3" t="n">
        <v>44</v>
      </c>
      <c r="E393" s="3" t="inlineStr">
        <is>
          <t>2 · DISPLAYED</t>
        </is>
      </c>
      <c r="F393" s="3" t="inlineStr">
        <is>
          <t>How do we state the odds in words?</t>
        </is>
      </c>
      <c r="G393" s="11" t="inlineStr">
        <is>
          <t>`${chance}% ${odds tail(horizon age)}`</t>
        </is>
      </c>
      <c r="H393" s="3" t="inlineStr">
        <is>
          <t>`${chance}% ${odds tail(horizon age)}`.</t>
        </is>
      </c>
      <c r="I393" s="3" t="inlineStr">
        <is>
          <t>PARTLY READ — some of the code is still showing through; needs a hand pass</t>
        </is>
      </c>
      <c r="J393" s="3" t="inlineStr">
        <is>
          <t>1. _lens: 'retired' | string
2. chance: number
3. horizonAge: number</t>
        </is>
      </c>
      <c r="K393" s="3" t="inlineStr">
        <is>
          <t>string</t>
        </is>
      </c>
      <c r="L393" s="3" t="inlineStr">
        <is>
          <t>1. "Draw from savings" — on the Cash flow screen, under "YOUR FUTURE PAYCHECK"
2. "WILL MY MONEY LAST?" — on a card used on more than one screen (PlanOutcome)
3. "WILL MY MONEY LAST?" — on the Home screen, under "WILL MY MONEY LAST?"</t>
        </is>
      </c>
      <c r="M393" s="3" t="inlineStr">
        <is>
          <t>None found in this function — anything it assumes comes from the functions it depends on.</t>
        </is>
      </c>
      <c r="N393" s="3" t="inlineStr">
        <is>
          <t>Yes</t>
        </is>
      </c>
      <c r="O393" s="3" t="inlineStr">
        <is>
          <t>MK-PL-F-085 oddsTail</t>
        </is>
      </c>
      <c r="P393" s="3" t="n">
        <v>1</v>
      </c>
      <c r="Q393" s="3" t="inlineStr">
        <is>
          <t>MK-PL-F-085 oddsTail</t>
        </is>
      </c>
      <c r="R393" s="3" t="inlineStr">
        <is>
          <t>MK-PL-F-085 oddsTail → MK-PL-F-024 oddsLine</t>
        </is>
      </c>
      <c r="S393" s="3" t="inlineStr">
        <is>
          <t>—</t>
        </is>
      </c>
      <c r="T393" s="3" t="inlineStr">
        <is>
          <t>ODDS_SENTENCE</t>
        </is>
      </c>
      <c r="U393" s="3" t="inlineStr">
        <is>
          <t>ACTIVE</t>
        </is>
      </c>
      <c r="V393" s="3" t="inlineStr">
        <is>
          <t>2026-10-01</t>
        </is>
      </c>
      <c r="W393" s="3" t="n"/>
      <c r="X393" s="3" t="n"/>
      <c r="Y393" s="3" t="inlineStr">
        <is>
          <t>NOTHING OPEN</t>
        </is>
      </c>
    </row>
    <row r="394" ht="60" customHeight="1">
      <c r="A394" s="3" t="inlineStr">
        <is>
          <t>MK-PL-F-025</t>
        </is>
      </c>
      <c r="B394" s="3" t="inlineStr">
        <is>
          <t>sampleOddsLine</t>
        </is>
      </c>
      <c r="C394" s="3" t="inlineStr">
        <is>
          <t>src/domain/planning/hub.ts</t>
        </is>
      </c>
      <c r="D394" s="3" t="n">
        <v>87</v>
      </c>
      <c r="E394" s="3" t="inlineStr">
        <is>
          <t>2 · DISPLAYED</t>
        </is>
      </c>
      <c r="F394" s="3" t="inlineStr">
        <is>
          <t>The same sentence for the app-wide SAMPLE, always labelled as one.</t>
        </is>
      </c>
      <c r="G394" s="11" t="inlineStr">
        <is>
          <t>`sample: ${SAMPLE_CHANCE}% odds of lasting to age ${horizon age}`</t>
        </is>
      </c>
      <c r="H394" s="3" t="inlineStr">
        <is>
          <t>`sample: ${SAMPLE_CHANCE}% odds of lasting to age ${horizon age}`.</t>
        </is>
      </c>
      <c r="I394" s="3" t="inlineStr">
        <is>
          <t>PARTLY READ — some of the code is still showing through; needs a hand pass</t>
        </is>
      </c>
      <c r="J394" s="3" t="inlineStr">
        <is>
          <t>horizonAge: number = SAMPLE_HORIZON</t>
        </is>
      </c>
      <c r="K394" s="3" t="inlineStr">
        <is>
          <t>string</t>
        </is>
      </c>
      <c r="L394" s="3" t="inlineStr">
        <is>
          <t>1. "WILL MY MONEY LAST?" — on the Plan screen, under "WILL MY MONEY LAST?"
2. "YOUR RETIREMENT PLAN" — on the Net worth screen, under "YOUR RETIREMENT PLAN"</t>
        </is>
      </c>
      <c r="M394" s="3" t="inlineStr">
        <is>
          <t>None found in this function — anything it assumes comes from the functions it depends on.</t>
        </is>
      </c>
      <c r="N394" s="3" t="inlineStr">
        <is>
          <t>Yes</t>
        </is>
      </c>
      <c r="O394" s="3" t="inlineStr">
        <is>
          <t>—</t>
        </is>
      </c>
      <c r="P394" s="3" t="n">
        <v>0</v>
      </c>
      <c r="Q394" s="3" t="inlineStr">
        <is>
          <t>None — no dependent function stands behind it</t>
        </is>
      </c>
      <c r="R394" s="3" t="inlineStr">
        <is>
          <t>No dependent function — it reads its inputs and answers</t>
        </is>
      </c>
      <c r="S394" s="3" t="inlineStr">
        <is>
          <t>—</t>
        </is>
      </c>
      <c r="T394" s="3" t="inlineStr">
        <is>
          <t>SAMPLE_ODDS_SENTENCE</t>
        </is>
      </c>
      <c r="U394" s="3" t="inlineStr">
        <is>
          <t>ACTIVE</t>
        </is>
      </c>
      <c r="V394" s="3" t="inlineStr">
        <is>
          <t>2026-08-27</t>
        </is>
      </c>
      <c r="W394" s="3" t="n"/>
      <c r="X394" s="3" t="n"/>
      <c r="Y394" s="6" t="inlineStr">
        <is>
          <t>TESTED, NOT VERIFIED (Odds — exact, no rounding)</t>
        </is>
      </c>
    </row>
    <row r="395" ht="60" customHeight="1">
      <c r="A395" s="3" t="inlineStr">
        <is>
          <t>MK-PL-F-026</t>
        </is>
      </c>
      <c r="B395" s="3" t="inlineStr">
        <is>
          <t>planDoor</t>
        </is>
      </c>
      <c r="C395" s="3" t="inlineStr">
        <is>
          <t>src/domain/planning/hub.ts</t>
        </is>
      </c>
      <c r="D395" s="3" t="n">
        <v>124</v>
      </c>
      <c r="E395" s="3" t="inlineStr">
        <is>
          <t>2 · DISPLAYED</t>
        </is>
      </c>
      <c r="F395" s="3" t="inlineStr">
        <is>
          <t>Is there enough to show this person their own odds?</t>
        </is>
      </c>
      <c r="G395" s="11" t="inlineStr">
        <is>
          <t>a = op (or none when missing)
missing = []
has age = number(birth year) &gt; 1900 (or number(age) &gt; 0 when missing or zero)
has spend = number(monthly expenses) &gt; 0 (or number(spend monthly) &gt; 0 when missing or zero)
total = Σ over accounts (or none when missing) of (balance (or 0 when missing or zero))
earmarked = retirement earmarked value(accounts ?? [])
has have = earmarked &gt; 0</t>
        </is>
      </c>
      <c r="H395" s="3" t="inlineStr">
        <is>
          <t>A is op (or none — when missing). Missing is []. Has age is number(birth year) &gt; 1900 (or number(age) &gt; 0 — when missing or zero). Has spend is number(monthly expenses) &gt; 0 (or number(spend monthly) &gt; 0 — when missing or zero). Total: the balance (or 0 — when missing or zero) added up across accounts (or none — when missing). Earmarked is retirement earmarked value(accounts ?? []). Has have is earmarked &gt; 0.</t>
        </is>
      </c>
      <c r="I395" s="3" t="inlineStr">
        <is>
          <t>PARTLY READ — some of the code is still showing through; needs a hand pass</t>
        </is>
      </c>
      <c r="J395" s="3" t="inlineStr">
        <is>
          <t>1. op: Record&lt;string, any&gt; | null
2. accounts: AssetAccount[]</t>
        </is>
      </c>
      <c r="K395" s="3" t="inlineStr">
        <is>
          <t>PlanDoor</t>
        </is>
      </c>
      <c r="L395" s="3" t="inlineStr">
        <is>
          <t>"WILL MY MONEY LAST?" — on the Plan screen, under "WILL MY MONEY LAST?"</t>
        </is>
      </c>
      <c r="M395" s="3" t="inlineStr">
        <is>
          <t>· If balance is missing it counts as zero, so nothing recorded and a real zero look the same.</t>
        </is>
      </c>
      <c r="N395" s="3" t="inlineStr">
        <is>
          <t>Yes</t>
        </is>
      </c>
      <c r="O395" s="3" t="inlineStr">
        <is>
          <t>MK-NW-F-033 retirementEarmarkedValue</t>
        </is>
      </c>
      <c r="P395" s="3" t="n">
        <v>16</v>
      </c>
      <c r="Q395" s="3" t="inlineStr">
        <is>
          <t>1. MK-NW-F-033 retirementEarmarkedValue
2. MK-NW-F-032 earmarkedAmount
3. MK-NW-F-031 primaryCarIdOf
4. MK-NW-F-030 earmarkDefault
5. MK-NW-F-011 assetClassOf
6. MK-NW-F-013 realEstateUseOf
7. MK-NW-F-008 incomeBearingClassOf
8. MK-CF-F-155 cash
9. MK-ST-F-010 nameEvidence
10. MK-XS-F-122 n
11. MK-XS-F-147 call
12. MK-ST-F-056 has
13. MK-CF-F-132 map
14. MK-ST-F-027 accountId
15. MK-XS-F-064 currentIdToken
16. MK-XS-F-112 relayUrl</t>
        </is>
      </c>
      <c r="R395" s="3" t="inlineStr">
        <is>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MK-CF-F-155 cash → MK-NW-F-008 incomeBearingClassOf → MK-NW-F-011 assetClassOf → MK-NW-F-031 primaryCarIdOf → MK-NW-F-033 retirementEarmarkedValue → MK-PL-F-026 planDoor
4. MK-ST-F-010 nameEvidence → MK-NW-F-008 incomeBearingClassOf → MK-NW-F-011 assetClassOf → MK-NW-F-031 primaryCarIdOf → MK-NW-F-033 retirementEarmarkedValue → MK-PL-F-026 planDoor</t>
        </is>
      </c>
      <c r="S395" s="3" t="inlineStr">
        <is>
          <t>MK-PL-M-001 · MK-PL-M-002</t>
        </is>
      </c>
      <c r="T395" s="3" t="inlineStr">
        <is>
          <t>WHAT_THE_PLAN_STILL_NEEDS</t>
        </is>
      </c>
      <c r="U395" s="3" t="inlineStr">
        <is>
          <t>ACTIVE</t>
        </is>
      </c>
      <c r="V395" s="3" t="inlineStr">
        <is>
          <t>2026-09-12</t>
        </is>
      </c>
      <c r="W395" s="3" t="n"/>
      <c r="X395" s="3" t="n"/>
      <c r="Y395" s="3" t="inlineStr">
        <is>
          <t>NOTHING OPEN</t>
        </is>
      </c>
    </row>
    <row r="396" ht="60" customHeight="1">
      <c r="A396" s="3" t="inlineStr">
        <is>
          <t>MK-PL-F-027</t>
        </is>
      </c>
      <c r="B396" s="3" t="inlineStr">
        <is>
          <t>nextDecision</t>
        </is>
      </c>
      <c r="C396" s="3" t="inlineStr">
        <is>
          <t>src/domain/planning/hub.ts</t>
        </is>
      </c>
      <c r="D396" s="3" t="n">
        <v>188</v>
      </c>
      <c r="E396" s="3" t="inlineStr">
        <is>
          <t>2 · DISPLAYED</t>
        </is>
      </c>
      <c r="F396" s="3" t="inlineStr">
        <is>
          <t>NOT DETERMINED — the code carries no note saying what this is for, and it has no row in the old inventory. Needs reading.</t>
        </is>
      </c>
      <c r="G396" s="11" t="inlineStr">
        <is>
          <t>now = args.now (or new date() when missing)
due = rmd required this year(args.pre tax balance, args.prior year end pre tax, args.age).amount
taken = rmd taken this year(args.transactions ?? [], args.pre tax account ids, now.get full year())
opens = the date args.birth year + 62, now.get month(), 1
the answer = nothing</t>
        </is>
      </c>
      <c r="H396" s="3" t="inlineStr">
        <is>
          <t>Now is args.now (or new date() — when missing). Due is rmd required this year(args.pre tax balance, args.prior year end pre tax, args.age).amount. Taken is rmd taken this year(args.transactions ?? [], args.pre tax account ids, now.get full year()). Opens: the date args.birth year plus 62, now.get month(), 1. The answer is no answer.</t>
        </is>
      </c>
      <c r="I396" s="3" t="inlineStr">
        <is>
          <t>PARTLY READ — some of the code is still showing through; needs a hand pass</t>
        </is>
      </c>
      <c r="J396" s="3" t="inlineStr">
        <is>
          <t>Nothing is handed to it</t>
        </is>
      </c>
      <c r="K396" s="3" t="inlineStr">
        <is>
          <t>NOT DECLARED — the code does not say what it gives back</t>
        </is>
      </c>
      <c r="L396" s="3" t="inlineStr">
        <is>
          <t>NOT FOUND — a screen calls it, but the words printed beside its answer could not be traced automatically. Needs reading.</t>
        </is>
      </c>
      <c r="M396" s="3" t="inlineStr">
        <is>
          <t>1. Uses a built-in s a m p l e c h a n c e of 84.
2. Uses a built-in s a m p l e h o r i z o n of 90.
3. Uses today's date from the device clock, so the answer changes by itself overnight.
4. Rounds the answer to a whole number.</t>
        </is>
      </c>
      <c r="N396" s="3" t="inlineStr">
        <is>
          <t>Yes</t>
        </is>
      </c>
      <c r="O396" s="3" t="inlineStr">
        <is>
          <t>1. MK-PL-F-080 rmdRequiredThisYear
2. MK-PL-F-005 rmdStartAgeFor
3. MK-PL-F-009 rmdTakenThisYear</t>
        </is>
      </c>
      <c r="P396" s="3" t="n">
        <v>9</v>
      </c>
      <c r="Q396" s="3" t="inlineStr">
        <is>
          <t>1. MK-PL-F-080 rmdRequiredThisYear
2. MK-PL-F-005 rmdStartAgeFor
3. MK-PL-F-009 rmdTakenThisYear
4. MK-PL-F-007 rmdAtAge
5. MK-ST-F-025 rmdStartAgeFromAge
6. MK-ST-F-056 has
7. MK-CF-F-132 map
8. MK-PL-F-078 rmdDivisorAtAge
9. MK-ST-F-024 rmdStartAge</t>
        </is>
      </c>
      <c r="R396" s="3" t="inlineStr">
        <is>
          <t>1. MK-PL-F-078 rmdDivisorAtAge → MK-PL-F-007 rmdAtAge → MK-PL-F-080 rmdRequiredThisYear → MK-PL-F-027 nextDecision
2. MK-ST-F-056 has → MK-ST-F-024 rmdStartAge → MK-ST-F-025 rmdStartAgeFromAge → MK-PL-F-005 rmdStartAgeFor → MK-PL-F-027 nextDecision
3. MK-ST-F-056 has → MK-PL-F-009 rmdTakenThisYear → MK-PL-F-027 nextDecision
4. MK-CF-F-132 map → MK-PL-F-009 rmdTakenThisYear → MK-PL-F-027 nextDecision</t>
        </is>
      </c>
      <c r="S396" s="3" t="inlineStr">
        <is>
          <t>—</t>
        </is>
      </c>
      <c r="T396" s="3" t="inlineStr">
        <is>
          <t>—</t>
        </is>
      </c>
      <c r="U396" s="3" t="inlineStr">
        <is>
          <t>ACTIVE</t>
        </is>
      </c>
      <c r="V396" s="3" t="inlineStr">
        <is>
          <t>2026-09-08</t>
        </is>
      </c>
      <c r="W396" s="3" t="n"/>
      <c r="X396" s="3" t="n"/>
      <c r="Y396" s="3" t="inlineStr">
        <is>
          <t>NOTHING OPEN</t>
        </is>
      </c>
    </row>
    <row r="397" ht="60" customHeight="1">
      <c r="A397" s="3" t="inlineStr">
        <is>
          <t>MK-PL-F-028</t>
        </is>
      </c>
      <c r="B397" s="3" t="inlineStr">
        <is>
          <t>sampleAskLine</t>
        </is>
      </c>
      <c r="C397" s="3" t="inlineStr">
        <is>
          <t>src/domain/planning/hub.ts</t>
        </is>
      </c>
      <c r="D397" s="3" t="n">
        <v>284</v>
      </c>
      <c r="E397" s="3" t="inlineStr">
        <is>
          <t>2 · DISPLAYED</t>
        </is>
      </c>
      <c r="F397" s="3" t="inlineStr">
        <is>
          <t>The invitation under a sample: name the answers still missing, so a dead end becomes one tap.</t>
        </is>
      </c>
      <c r="G397" s="11" t="inlineStr">
        <is>
          <t>n = count of missing
''   when n = 0
verb = (m: string) =&gt; (starts with('what counts') ? 'choose' : 'add')
`a sample, not your number — ${verb(missing[0])} ${missing[0]} and it becomes yours`   when n = 1
list = `${missing[0]} and ${missing[1]}`   if n = 2
`${missing.slice(0, -1).join(', ')} and ${missing[n − 1]}`   otherwise
the answer = `a sample, not your number — ${n} answers make it yours: ${list}`</t>
        </is>
      </c>
      <c r="H397" s="3" t="inlineStr">
        <is>
          <t>N: how many missing there are. When n = 0, it answers ''. Verb is (m: string) =&gt; (starts with('what counts') ? 'choose' : 'add'). When n = 1, it answers `a sample, your is missing number — ${verb(missing[0])} ${missing[0]} and it becomes yours`. List is `${missing[0]} and ${missing[1]}` — when n = 2; `${missing.slice(0, -1).join(', ')} and ${missing[n minus 1]}` — otherwise. The answer is `a sample, your is missing number — ${n} answers make it yours: ${list}`.</t>
        </is>
      </c>
      <c r="I397" s="3" t="inlineStr">
        <is>
          <t>PARTLY READ — some of the code is still showing through; needs a hand pass</t>
        </is>
      </c>
      <c r="J397" s="3" t="inlineStr">
        <is>
          <t>missing: string[]</t>
        </is>
      </c>
      <c r="K397" s="3" t="inlineStr">
        <is>
          <t>string</t>
        </is>
      </c>
      <c r="L397" s="3" t="inlineStr">
        <is>
          <t>NOT FOUND — a screen calls it, but the words printed beside its answer could not be traced automatically. Needs reading.</t>
        </is>
      </c>
      <c r="M397" s="3" t="inlineStr">
        <is>
          <t>None found in this function — anything it assumes comes from the functions it depends on.</t>
        </is>
      </c>
      <c r="N397" s="3" t="inlineStr">
        <is>
          <t>Yes</t>
        </is>
      </c>
      <c r="O397" s="3" t="inlineStr">
        <is>
          <t>—</t>
        </is>
      </c>
      <c r="P397" s="3" t="n">
        <v>0</v>
      </c>
      <c r="Q397" s="3" t="inlineStr">
        <is>
          <t>None — no dependent function stands behind it</t>
        </is>
      </c>
      <c r="R397" s="3" t="inlineStr">
        <is>
          <t>No dependent function — it reads its inputs and answers</t>
        </is>
      </c>
      <c r="S397" s="3" t="inlineStr">
        <is>
          <t>—</t>
        </is>
      </c>
      <c r="T397" s="3" t="inlineStr">
        <is>
          <t>SAMPLE_ASK_SENTENCE</t>
        </is>
      </c>
      <c r="U397" s="3" t="inlineStr">
        <is>
          <t>ACTIVE</t>
        </is>
      </c>
      <c r="V397" s="3" t="inlineStr">
        <is>
          <t>2026-08-27</t>
        </is>
      </c>
      <c r="W397" s="3" t="n"/>
      <c r="X397" s="3" t="n"/>
      <c r="Y397" s="3" t="inlineStr">
        <is>
          <t>NOTHING OPEN</t>
        </is>
      </c>
    </row>
    <row r="398" ht="45" customHeight="1">
      <c r="A398" s="3" t="inlineStr">
        <is>
          <t>MK-PL-F-029</t>
        </is>
      </c>
      <c r="B398" s="3" t="inlineStr">
        <is>
          <t>shortfallAgeFromBand</t>
        </is>
      </c>
      <c r="C398" s="3" t="inlineStr">
        <is>
          <t>src/domain/planning/hub.ts</t>
        </is>
      </c>
      <c r="D398" s="3" t="n">
        <v>309</v>
      </c>
      <c r="E398" s="3" t="inlineStr">
        <is>
          <t>2 · DISPLAYED</t>
        </is>
      </c>
      <c r="F398" s="3" t="inlineStr">
        <is>
          <t>The age the middle path first hits zero, from a simulation band — null while it never does.</t>
        </is>
      </c>
      <c r="G398" s="11" t="inlineStr">
        <is>
          <t>(band ?? []).find((pt) =&gt; pt.p50 ≤ 0).age (or nothing when missing)</t>
        </is>
      </c>
      <c r="H398" s="3" t="inlineStr">
        <is>
          <t>(band ?? []).find((pt) =&gt; pt.p50 is at most 0).age (or no answer — when missing).</t>
        </is>
      </c>
      <c r="I398" s="3" t="inlineStr">
        <is>
          <t>PARTLY READ — some of the code is still showing through; needs a hand pass</t>
        </is>
      </c>
      <c r="J398" s="3" t="inlineStr">
        <is>
          <t>band?: { age: number; p50: number }[] | null</t>
        </is>
      </c>
      <c r="K398" s="3" t="inlineStr">
        <is>
          <t>number | null</t>
        </is>
      </c>
      <c r="L398" s="3" t="inlineStr">
        <is>
          <t>NOT FOUND — a screen calls it, but the words printed beside its answer could not be traced automatically. Needs reading.</t>
        </is>
      </c>
      <c r="M398" s="3" t="inlineStr">
        <is>
          <t>None found in this function — anything it assumes comes from the functions it depends on.</t>
        </is>
      </c>
      <c r="N398" s="3" t="inlineStr">
        <is>
          <t>Yes</t>
        </is>
      </c>
      <c r="O398" s="3" t="inlineStr">
        <is>
          <t>—</t>
        </is>
      </c>
      <c r="P398" s="3" t="n">
        <v>0</v>
      </c>
      <c r="Q398" s="3" t="inlineStr">
        <is>
          <t>None — no dependent function stands behind it</t>
        </is>
      </c>
      <c r="R398" s="3" t="inlineStr">
        <is>
          <t>No dependent function — it reads its inputs and answers</t>
        </is>
      </c>
      <c r="S398" s="3" t="inlineStr">
        <is>
          <t>—</t>
        </is>
      </c>
      <c r="T398" s="3" t="inlineStr">
        <is>
          <t>AGE_THE_MONEY_RUNS_OUT</t>
        </is>
      </c>
      <c r="U398" s="3" t="inlineStr">
        <is>
          <t>ACTIVE</t>
        </is>
      </c>
      <c r="V398" s="3" t="inlineStr">
        <is>
          <t>2026-08-27</t>
        </is>
      </c>
      <c r="W398" s="3" t="n"/>
      <c r="X398" s="3" t="n"/>
      <c r="Y398" s="3" t="inlineStr">
        <is>
          <t>NOTHING OPEN</t>
        </is>
      </c>
    </row>
    <row r="399" ht="60" customHeight="1">
      <c r="A399" s="3" t="inlineStr">
        <is>
          <t>MK-PL-F-030</t>
        </is>
      </c>
      <c r="B399" s="3" t="inlineStr">
        <is>
          <t>onCourseSentence</t>
        </is>
      </c>
      <c r="C399" s="3" t="inlineStr">
        <is>
          <t>src/domain/planning/hub.ts</t>
        </is>
      </c>
      <c r="D399" s="3" t="n">
        <v>337</v>
      </c>
      <c r="E399" s="3" t="inlineStr">
        <is>
          <t>2 · DISPLAYED</t>
        </is>
      </c>
      <c r="F399" s="3" t="inlineStr">
        <is>
          <t>In one sentence, how is this plan doing?</t>
        </is>
      </c>
      <c r="G399" s="11" t="inlineStr">
        <is>
          <t>nothing   when chance = nothing
near = (n: number) =&gt; money(math.max(1000, math.round(n ÷ 1000) × 1000))
lasts = (args.leftover at horizon ?? 0) &gt; 0
short at = args.shortfall age
nothing   when not (args.pot at retire! &gt; 0)
the answer = `retire at ${args.retire age} with ~${near(args.pot at retire!)}, ${ending}`</t>
        </is>
      </c>
      <c r="H399" s="3" t="inlineStr">
        <is>
          <t>When chance is missing, it answers no answer. Near is (n: number) =&gt; money(math.the larger of 1000 and math.n divided by 1000, to a whole number times 1000). Lasts is (args.leftover at horizon ?? 0) &gt; 0. Short at is args.shortfall age. When not (args.pot at retire! &gt; 0), it answers no answer. The answer is `retire at ${args.retire age} with ~${near(args.pot at retire!)}, ${ending}`.</t>
        </is>
      </c>
      <c r="I399" s="3" t="inlineStr">
        <is>
          <t>PARTLY READ — some of the code is still showing through; needs a hand pass</t>
        </is>
      </c>
      <c r="J399" s="3" t="inlineStr">
        <is>
          <t>Nothing is handed to it</t>
        </is>
      </c>
      <c r="K399" s="3" t="inlineStr">
        <is>
          <t>NOT DECLARED — the code does not say what it gives back</t>
        </is>
      </c>
      <c r="L399" s="3" t="inlineStr">
        <is>
          <t>NOT FOUND — a screen calls it, but the words printed beside its answer could not be traced automatically. Needs reading.</t>
        </is>
      </c>
      <c r="M399" s="3" t="inlineStr">
        <is>
          <t>1. If leftover at horizon is missing it uses 0.
2. Rounds the answer to a whole number.</t>
        </is>
      </c>
      <c r="N399" s="3" t="inlineStr">
        <is>
          <t>Yes</t>
        </is>
      </c>
      <c r="O399" s="3" t="inlineStr">
        <is>
          <t>MK-ST-F-053 money</t>
        </is>
      </c>
      <c r="P399" s="3" t="n">
        <v>6</v>
      </c>
      <c r="Q399" s="3" t="inlineStr">
        <is>
          <t>1. MK-ST-F-053 money
2. MK-ST-F-049 formatMoney
3. MK-XS-F-122 n
4. MK-ST-F-048 currencySymbol
5. MK-ST-F-039 on
6. MK-ST-F-047 activeCurrency</t>
        </is>
      </c>
      <c r="R399" s="3" t="inlineStr">
        <is>
          <t>1. MK-ST-F-047 activeCurrency → MK-ST-F-048 currencySymbol → MK-ST-F-049 formatMoney → MK-ST-F-053 money → MK-PL-F-030 onCourseSentence
2. MK-XS-F-122 n → MK-ST-F-049 formatMoney → MK-ST-F-053 money → MK-PL-F-030 onCourseSentence
3. MK-ST-F-039 on → MK-ST-F-049 formatMoney → MK-ST-F-053 money → MK-PL-F-030 onCourseSentence
4. MK-XS-F-122 n → MK-ST-F-053 money → MK-PL-F-030 onCourseSentence</t>
        </is>
      </c>
      <c r="S399" s="3" t="inlineStr">
        <is>
          <t>—</t>
        </is>
      </c>
      <c r="T399" s="3" t="inlineStr">
        <is>
          <t>ARE_YOU_ON_COURSE</t>
        </is>
      </c>
      <c r="U399" s="3" t="inlineStr">
        <is>
          <t>ACTIVE</t>
        </is>
      </c>
      <c r="V399" s="3" t="inlineStr">
        <is>
          <t>2026-08-27</t>
        </is>
      </c>
      <c r="W399" s="3" t="n"/>
      <c r="X399" s="3" t="n"/>
      <c r="Y399" s="3" t="inlineStr">
        <is>
          <t>NOTHING OPEN</t>
        </is>
      </c>
    </row>
    <row r="400" ht="60" customHeight="1">
      <c r="A400" s="3" t="inlineStr">
        <is>
          <t>MK-PL-F-031</t>
        </is>
      </c>
      <c r="B400" s="3" t="inlineStr">
        <is>
          <t>taxOrganizer</t>
        </is>
      </c>
      <c r="C400" s="3" t="inlineStr">
        <is>
          <t>src/domain/planning/index.ts</t>
        </is>
      </c>
      <c r="D400" s="3" t="n">
        <v>129</v>
      </c>
      <c r="E400" s="3" t="inlineStr">
        <is>
          <t>3 · DEPENDENT</t>
        </is>
      </c>
      <c r="F400" s="3" t="inlineStr">
        <is>
          <t>The year-end summary for the accountant: income lines, the four taxable-income steps, contributions, accounts, documents to gather.</t>
        </is>
      </c>
      <c r="G400" s="11" t="inlineStr">
        <is>
          <t>a = op (or none when missing)
accounts = opts.accounts (or [], liabilities = opts.liabilities (or none when missing) when missing)
se annual = se amount read as a number (0 when it is not one)   if se freq = 'annual'
to num(se amount) × 12   otherwise
other annual = other amount read as a number (0 when it is not one)   if other freq = 'annual'
other amount read as a number (0 when it is not one)   if other freq = 'onetime'
to num(other amount) × 12   otherwise   otherwise
inv div = opts.actual passive   if opts.actual passive and opts.actual passive &gt; 0
inv annual read as a number (0 when it is not one)   otherwise
ret inc = current retirement income monthly(op) × 12
gross income = Σ over income where taxable of (amount)
steps = taxable income steps(op, gross income)
taxable total = steps.taxable income
non taxable total = Σ over income where taxable is missing of (amount)
acct = for each of accounts: label = institution.trim() (or label (or kind (or 'Account' when missing or zero) when missing or zero) when missing or zero)
kind = kind (or tax bucket (or 'account' when missing) when missing)
balance = balance (or 0 when missing or zero)
… the first steps only — the rest of the body needs reading by hand.</t>
        </is>
      </c>
      <c r="H400" s="3" t="inlineStr">
        <is>
          <t>A is op (or none — when missing). Accounts is opts.accounts (or [], liabilities = opts.liabilities (or none — when missing) — when missing). Se annual is se amount read as a number (0 when it is one is missing) — when se freq = 'annual'; to num(se amount) times 12 — otherwise. Other annual is other amount read as a number (0 when it is one is missing) — when other freq = 'annual'; other amount read as a number (0 when it is one is missing) — when other freq = 'onetime'; to num(other amount) times 12 — otherwise — otherwise. Inv div is opts.actual passive — when opts.actual passive and opts.actual passive &gt; 0; inv annual read as a number (0 — when it is one is missing) — otherwise. Ret inc is current retirement income monthly(op) times 12. Gross income: the amount added up across income where taxable. Steps is taxable income steps(op, gross income). Taxable total is steps.taxable income. Non taxable total: the amount added up across income where taxable is missing. Acct is for each of accounts: label = institution.trim() (or label (or kind (or 'Account' — when missing or zero) — when missing or zero) — when missing or zero); kind = kind (or tax bucket (or 'account' — when missing) — when missing); balance = balance (or 0 — when missing or zero). Only the first steps are shown; the rest of the body needs reading by hand.</t>
        </is>
      </c>
      <c r="I400" s="3" t="inlineStr">
        <is>
          <t>PARTLY READ — some of the code is still showing through; needs a hand pass</t>
        </is>
      </c>
      <c r="J400" s="3" t="inlineStr">
        <is>
          <t>1. op: OnboardingProfile | null
2. opts: { accounts?: any[]; liabilities?: any[]; actualPassive?: number; year: number }</t>
        </is>
      </c>
      <c r="K400" s="3" t="inlineStr">
        <is>
          <t>TaxOrganizer</t>
        </is>
      </c>
      <c r="L400" s="3" t="inlineStr">
        <is>
          <t>—</t>
        </is>
      </c>
      <c r="M400" s="3" t="inlineStr">
        <is>
          <t>1. If balance is missing it counts as zero, so nothing recorded and a real zero look the same.
2. Turns a monthly figure into a year by multiplying by twelve.</t>
        </is>
      </c>
      <c r="N400" s="3" t="inlineStr">
        <is>
          <t>Yes</t>
        </is>
      </c>
      <c r="O400" s="3" t="inlineStr">
        <is>
          <t>1. MK-CF-F-070 benefitAnnual
2. MK-CF-F-072 currentRetirementIncomeMonthly
3. MK-CF-F-090 effectiveRate
4. MK-ST-F-056 has
5. MK-CF-F-132 map
6. MK-CF-F-068 rentalNetAnnual
7. MK-CF-F-066 rsuAnnual
8. MK-CF-F-082 salaryAnnual
9. MK-PL-F-082 taxableIncomeSteps
10. MK-CF-F-074 tipsAnnual
11. MK-ST-F-052 toNum</t>
        </is>
      </c>
      <c r="P400" s="3" t="n">
        <v>54</v>
      </c>
      <c r="Q400" s="3" t="inlineStr">
        <is>
          <t>1. MK-CF-F-070 benefitAnnual
2. MK-CF-F-072 currentRetirementIncomeMonthly
3. MK-CF-F-090 effectiveRate
4. MK-ST-F-056 has
5. MK-CF-F-132 map
6. MK-CF-F-068 rentalNetAnnual
7. MK-CF-F-066 rsuAnnual
8. MK-CF-F-082 salaryAnnual
9. MK-PL-F-082 taxableIncomeSteps
10. MK-CF-F-074 tipsAnnual
11. MK-ST-F-052 toNum
12. MK-CF-F-069 benefitActiveMonths
13. MK-CF-F-075 retirementIncomeMonthly
14. MK-CF-F-181 rateInForce
15. MK-CF-O-002 expenses
16. MK-CF-F-067 rentalList
17. MK-CF-F-062 equityRowValue
18. MK-CF-F-063 rowVestYear
19. MK-CF-F-060 salaryGrossByMonth
20. MK-CF-F-099 deductionFor
21. MK-CF-F-085 filingStatusOf
22. MK-CF-F-188 householdPreTaxContributionsAnnual
23. MK-ST-F-039 on
24. MK-CF-F-089 over65CountOf
25. MK-CF-F-187 seniorDeductionFor
26. MK-CF-F-081 salaryActiveMonths
27. MK-XS-F-122 n
28. MK-CF-F-173 earnerWages
29. MK-CF-F-180 enteredLandsAnnual
30. MK-CF-F-206 householdK401ByMonth
31. MK-CF-F-086 stateRateOf
32. MK-CF-F-101 taxOwedFor
33. MK-CF-F-084 taxableAnnual
34. MK-CF-F-151 actualSpending
35. MK-CF-F-150 debtPaymentsCountedAsExpenses
36. MK-CF-F-153 radar
37. MK-CF-F-149 recurringDebtPayments
38. MK-CF-F-176 sumMonthsOverEarners
39. MK-CF-F-177 wageGrossByMonth
40. MK-CF-F-175 sumOverEarners
41. MK-CF-F-172 hasWage
42. MK-CF-F-100 taxableIncomeFor
43. MK-CF-F-071 extraIncome
44. MK-CF-F-148 inMonth
45. MK-CF-F-191 ym
46. MK-CF-F-022 paymentShape
47. MK-CF-F-152 isRadarItem
48. MK-CF-F-023 requiredPayment
49. MK-CF-F-130 enteredMonthlyRaw
50. MK-CF-F-166 hasMonthlySalaryTable
51. MK-ST-F-036 reconcile
52. MK-CF-F-167 salaryCalendarYear
53. MK-CF-F-021 defaultPaymentType
54. MK-CF-F-165 salaryMonths</t>
        </is>
      </c>
      <c r="R400" s="3" t="inlineStr">
        <is>
          <t>1. MK-CF-F-069 benefitActiveMonths → MK-CF-F-070 benefitAnnual → MK-PL-F-031 taxOrganizer
2. MK-XS-F-122 n → MK-ST-F-052 toNum → MK-CF-F-070 benefitAnnual → MK-PL-F-031 taxOrganizer
3. MK-XS-F-122 n → MK-ST-F-052 toNum → MK-CF-F-075 retirementIncomeMonthly → MK-CF-F-072 currentRetirementIncomeMonthly → MK-PL-F-031 taxOrganizer
4. MK-ST-F-056 has → MK-CF-F-172 hasWage → MK-CF-F-173 earnerWages → MK-CF-F-181 rateInForce → MK-CF-F-090 effectiveRate → MK-PL-F-031 taxOrganizer
5. MK-CF-F-172 hasWage → MK-CF-F-173 earnerWages → MK-CF-F-180 enteredLandsAnnual → MK-CF-F-181 rateInForce → MK-CF-F-090 effectiveRate → MK-PL-F-031 taxOrganizer
6. MK-XS-F-122 n → MK-ST-F-052 toNum → MK-CF-F-180 enteredLandsAnnual → MK-CF-F-181 rateInForce → MK-CF-F-090 effectiveRate → MK-PL-F-031 taxOrganizer
7. MK-CF-F-085 filingStatusOf → MK-CF-F-181 rateInForce → MK-CF-F-090 effectiveRate → MK-PL-F-031 taxOrganizer
8. MK-CF-F-132 map → MK-CF-F-206 householdK401ByMonth → MK-CF-F-181 rateInForce → MK-CF-F-090 effectiveRate → MK-PL-F-031 taxOrganizer
9. … and 5 more paths</t>
        </is>
      </c>
      <c r="S400" s="3" t="inlineStr">
        <is>
          <t>MK-MN-M-027 · MK-MN-M-028</t>
        </is>
      </c>
      <c r="T400" s="3" t="inlineStr">
        <is>
          <t>—</t>
        </is>
      </c>
      <c r="U400" s="3" t="inlineStr">
        <is>
          <t>ACTIVE</t>
        </is>
      </c>
      <c r="V400" s="3" t="inlineStr">
        <is>
          <t>2026-09-28</t>
        </is>
      </c>
      <c r="W400" s="3" t="n"/>
      <c r="X400" s="3" t="n"/>
      <c r="Y400" s="3" t="inlineStr">
        <is>
          <t>NOTHING OPEN</t>
        </is>
      </c>
    </row>
    <row r="401" ht="60" customHeight="1">
      <c r="A401" s="3" t="inlineStr">
        <is>
          <t>MK-PL-F-032</t>
        </is>
      </c>
      <c r="B401" s="3" t="inlineStr">
        <is>
          <t>rothConversionCost</t>
        </is>
      </c>
      <c r="C401" s="3" t="inlineStr">
        <is>
          <t>src/domain/planning/index.ts</t>
        </is>
      </c>
      <c r="D401" s="3" t="n">
        <v>215</v>
      </c>
      <c r="E401" s="3" t="inlineStr">
        <is>
          <t>2 · DISPLAYED</t>
        </is>
      </c>
      <c r="F401" s="3" t="inlineStr">
        <is>
          <t>───────────────────────── Roth conversion (fill a low bracket) ───────────────────────── In a low-income year (e.g.</t>
        </is>
      </c>
      <c r="G401" s="11" t="inlineStr">
        <is>
          <t>tax owed for(gross + amount, status, state rate) − tax owed for(gross, status, state rate)</t>
        </is>
      </c>
      <c r="H401" s="3" t="inlineStr">
        <is>
          <t>tax owed for(gross plus amount, status, state rate) minus tax owed for(gross, status, state rate).</t>
        </is>
      </c>
      <c r="I401" s="3" t="inlineStr">
        <is>
          <t>READ FROM THE CODE — rendered from the expressions the function runs</t>
        </is>
      </c>
      <c r="J401" s="3" t="inlineStr">
        <is>
          <t>1. gross: number
2. amount: number
3. status: import('../income/tax').FilingStatus
4. stateRate: number</t>
        </is>
      </c>
      <c r="K401" s="3" t="inlineStr">
        <is>
          <t>number</t>
        </is>
      </c>
      <c r="L401" s="3" t="inlineStr">
        <is>
          <t>NOT FOUND — a screen calls it, but the words printed beside its answer could not be traced automatically. Needs reading.</t>
        </is>
      </c>
      <c r="M401" s="3" t="inlineStr">
        <is>
          <t>· The conversion is stacked on top of the year's other ordinary income and taxed through the brackets from there (A42). Not modelled: the Medicare income-related premium surcharge (IRMAA) two years later and the net-investment-income tax — both can change whether a conversion is worth doing at 55–70.</t>
        </is>
      </c>
      <c r="N401" s="3" t="inlineStr">
        <is>
          <t>Yes</t>
        </is>
      </c>
      <c r="O401" s="3" t="inlineStr">
        <is>
          <t>MK-CF-F-101 taxOwedFor</t>
        </is>
      </c>
      <c r="P401" s="3" t="n">
        <v>4</v>
      </c>
      <c r="Q401" s="3" t="inlineStr">
        <is>
          <t>1. MK-CF-F-101 taxOwedFor
2. MK-CF-F-100 taxableIncomeFor
3. MK-CF-F-099 deductionFor
4. MK-CF-F-187 seniorDeductionFor</t>
        </is>
      </c>
      <c r="R401" s="3" t="inlineStr">
        <is>
          <t>MK-CF-F-187 seniorDeductionFor → MK-CF-F-099 deductionFor → MK-CF-F-100 taxableIncomeFor → MK-CF-F-101 taxOwedFor → MK-PL-F-032 rothConversionCost</t>
        </is>
      </c>
      <c r="S401" s="3" t="inlineStr">
        <is>
          <t>—</t>
        </is>
      </c>
      <c r="T401" s="3" t="inlineStr">
        <is>
          <t>—</t>
        </is>
      </c>
      <c r="U401" s="3" t="inlineStr">
        <is>
          <t>ACTIVE</t>
        </is>
      </c>
      <c r="V401" s="3" t="inlineStr">
        <is>
          <t>2026-09-09</t>
        </is>
      </c>
      <c r="W401" s="3" t="n"/>
      <c r="X401" s="3" t="n"/>
      <c r="Y401" s="3" t="inlineStr">
        <is>
          <t>NOTHING OPEN</t>
        </is>
      </c>
    </row>
    <row r="402" ht="60" customHeight="1">
      <c r="A402" s="3" t="inlineStr">
        <is>
          <t>MK-PL-F-033</t>
        </is>
      </c>
      <c r="B402" s="3" t="inlineStr">
        <is>
          <t>educationPlan</t>
        </is>
      </c>
      <c r="C402" s="3" t="inlineStr">
        <is>
          <t>src/domain/planning/index.ts</t>
        </is>
      </c>
      <c r="D402" s="3" t="n">
        <v>266</v>
      </c>
      <c r="E402" s="3" t="inlineStr">
        <is>
          <t>2 · DISPLAYED</t>
        </is>
      </c>
      <c r="F402" s="3" t="inlineStr">
        <is>
          <t>NOT DETERMINED — the code carries no note saying what this is for, and it has no row in the old inventory. Needs reading.</t>
        </is>
      </c>
      <c r="G402" s="11" t="inlineStr">
        <is>
          <t>yrs = max(0, round down(inp.years until start))
n school = max(1, round down(inp.years of school))
future total cost = 0
savings at start = inp.current savings × (1 + inp.return rate)^(yrs)
gap = max(0, future total cost − savings at start)
n = yrs × 12, r = inp.return rate ÷ 12
factor = (math.pow(1 + r, n) − 1) ÷ r   if r &gt; 0
n   otherwise
monthly needed = gap ÷ factor   if n &gt; 0 and factor &gt; 0
gap   otherwise
[LOOP — the answer is found inside a loop the extractor cannot render; the steps above are the ones before it. Read by hand.]</t>
        </is>
      </c>
      <c r="H402" s="3" t="inlineStr">
        <is>
          <t>Yrs is inp.years until start, rounded down, never below zero. N school: the larger of 1 and inp.years of school, rounded down. Future total cost is 0. Savings at start is inp.current savings times (1 plus inp.return rate)^(yrs). Gap is future total cost minus savings at start, never below zero. N is yrs times 12, r = inp.return rate divided by 12. Factor is (math.pow(1 plus r, n) minus 1) divided by r — when r &gt; 0; n — otherwise. Monthly needed is gap divided by factor — when n &gt; 0 and factor &gt; 0; gap — otherwise. The answer is found inside a loop that cannot be rendered here; read the code by hand.</t>
        </is>
      </c>
      <c r="I402" s="3" t="inlineStr">
        <is>
          <t>PARTLY READ — the body has a loop the extractor cannot render; the steps shown are the ones before it. Needs a hand pass (G23).</t>
        </is>
      </c>
      <c r="J402" s="3" t="inlineStr">
        <is>
          <t>inp: EduPlanInput</t>
        </is>
      </c>
      <c r="K402" s="3" t="inlineStr">
        <is>
          <t>EduPlan</t>
        </is>
      </c>
      <c r="L402" s="3" t="inlineStr">
        <is>
          <t>"Projected total cost" — on the College costs screen</t>
        </is>
      </c>
      <c r="M402" s="3" t="inlineStr">
        <is>
          <t>1. Uses a built-in future total cost of 0.
2. Turns a monthly figure into a year by multiplying by twelve.
3. Rounds the answer to a whole number.</t>
        </is>
      </c>
      <c r="N402" s="3" t="inlineStr">
        <is>
          <t>Yes</t>
        </is>
      </c>
      <c r="O402" s="3" t="inlineStr">
        <is>
          <t>MK-XS-F-122 n</t>
        </is>
      </c>
      <c r="P402" s="3" t="n">
        <v>1</v>
      </c>
      <c r="Q402" s="3" t="inlineStr">
        <is>
          <t>MK-XS-F-122 n</t>
        </is>
      </c>
      <c r="R402" s="3" t="inlineStr">
        <is>
          <t>MK-XS-F-122 n → MK-PL-F-033 educationPlan</t>
        </is>
      </c>
      <c r="S402" s="3" t="inlineStr">
        <is>
          <t>MK-PL-M-036 · MK-PL-M-037</t>
        </is>
      </c>
      <c r="T402" s="3" t="inlineStr">
        <is>
          <t>—</t>
        </is>
      </c>
      <c r="U402" s="3" t="inlineStr">
        <is>
          <t>ACTIVE</t>
        </is>
      </c>
      <c r="V402" s="3" t="inlineStr">
        <is>
          <t>2026-09-08</t>
        </is>
      </c>
      <c r="W402" s="3" t="n"/>
      <c r="X402" s="3" t="n"/>
      <c r="Y402" s="3" t="inlineStr">
        <is>
          <t>NOTHING OPEN</t>
        </is>
      </c>
    </row>
    <row r="403" ht="60" customHeight="1">
      <c r="A403" s="3" t="inlineStr">
        <is>
          <t>MK-PL-F-034</t>
        </is>
      </c>
      <c r="B403" s="3" t="inlineStr">
        <is>
          <t>lifeInsuranceNeed</t>
        </is>
      </c>
      <c r="C403" s="3" t="inlineStr">
        <is>
          <t>src/domain/planning/index.ts</t>
        </is>
      </c>
      <c r="D403" s="3" t="n">
        <v>329</v>
      </c>
      <c r="E403" s="3" t="inlineStr">
        <is>
          <t>2 · DISPLAYED</t>
        </is>
      </c>
      <c r="F403" s="3" t="inlineStr">
        <is>
          <t>NOT DETERMINED — the code carries no note saying what this is for, and it has no row in the old inventory. Needs reading.</t>
        </is>
      </c>
      <c r="G403" s="11" t="inlineStr">
        <is>
          <t>income replacement = max(0, inp.annual income) × math.max(0, inp.years to replace)
total need = income replacement + max(0, inp.debts) + max(0, inp.future goals) + max(0, inp.final expenses)
covered = max(0, inp.liquid savings) + math.max(0, inp.existing coverage)</t>
        </is>
      </c>
      <c r="H403" s="3" t="inlineStr">
        <is>
          <t>Income replacement is inp.annual income, never below zero times math.inp.years to replace, never below zero. Total need is income replacement plus inp.debts, never below zero plus inp.future goals, never below zero plus inp.final expenses, never below zero. Covered is inp.liquid savings, never below zero plus math.inp.existing coverage, never below zero.</t>
        </is>
      </c>
      <c r="I403" s="3" t="inlineStr">
        <is>
          <t>PARTLY READ — some of the code is still showing through; needs a hand pass</t>
        </is>
      </c>
      <c r="J403" s="3" t="inlineStr">
        <is>
          <t>inp: InsuranceInput</t>
        </is>
      </c>
      <c r="K403" s="3" t="inlineStr">
        <is>
          <t>InsuranceNeed</t>
        </is>
      </c>
      <c r="L403" s="3" t="inlineStr">
        <is>
          <t>1. "Gap" — on the Insurance screen
2. "Total need" — on the Insurance screen</t>
        </is>
      </c>
      <c r="M403" s="3" t="inlineStr">
        <is>
          <t>1. Never lets annual income fall below 0.
2. Never lets years to replace fall below 0.
3. Never lets debts fall below 0.
4. Never lets future goals fall below 0.
5. Never lets final expenses fall below 0.
6. Never lets liquid savings fall below 0.
7. Never lets existing coverage fall below 0.</t>
        </is>
      </c>
      <c r="N403" s="3" t="inlineStr">
        <is>
          <t>Yes</t>
        </is>
      </c>
      <c r="O403" s="3" t="inlineStr">
        <is>
          <t>—</t>
        </is>
      </c>
      <c r="P403" s="3" t="n">
        <v>0</v>
      </c>
      <c r="Q403" s="3" t="inlineStr">
        <is>
          <t>None — no dependent function stands behind it</t>
        </is>
      </c>
      <c r="R403" s="3" t="inlineStr">
        <is>
          <t>No dependent function — it reads its inputs and answers</t>
        </is>
      </c>
      <c r="S403" s="3" t="inlineStr">
        <is>
          <t>—</t>
        </is>
      </c>
      <c r="T403" s="3" t="inlineStr">
        <is>
          <t>—</t>
        </is>
      </c>
      <c r="U403" s="3" t="inlineStr">
        <is>
          <t>ACTIVE</t>
        </is>
      </c>
      <c r="V403" s="3" t="inlineStr">
        <is>
          <t>2026-08-27</t>
        </is>
      </c>
      <c r="W403" s="3" t="n"/>
      <c r="X403" s="3" t="n"/>
      <c r="Y403" s="3" t="inlineStr">
        <is>
          <t>NOTHING OPEN</t>
        </is>
      </c>
    </row>
    <row r="404" ht="60" customHeight="1">
      <c r="A404" s="3" t="inlineStr">
        <is>
          <t>MK-PL-F-035</t>
        </is>
      </c>
      <c r="B404" s="3" t="inlineStr">
        <is>
          <t>retireAgeWithContribution</t>
        </is>
      </c>
      <c r="C404" s="3" t="inlineStr">
        <is>
          <t>src/domain/planning/multiGoal.ts</t>
        </is>
      </c>
      <c r="D404" s="3" t="n">
        <v>67</v>
      </c>
      <c r="E404" s="3" t="inlineStr">
        <is>
          <t>2 · DISPLAYED</t>
        </is>
      </c>
      <c r="F404" s="3" t="inlineStr">
        <is>
          <t>Earliest age the projection covers the need, WITH contributions until that age (F4's before/after).</t>
        </is>
      </c>
      <c r="G404" s="11" t="inlineStr">
        <is>
          <t>p = project nest egg({ ...inp, annual contribution: monthly contribution × 12, retire age: age, guaranteed start age: inp.guaranteed start age })
age   when will have ≥ will need
the answer = nothing</t>
        </is>
      </c>
      <c r="H404" s="3" t="inlineStr">
        <is>
          <t>P is project nest egg({ ...inp, annual contribution: monthly contribution times 12, retire age: age, guaranteed start age: inp.guaranteed start age }). When will have is at least will need, it answers age. The answer is no answer.</t>
        </is>
      </c>
      <c r="I404" s="3" t="inlineStr">
        <is>
          <t>READ FROM THE CODE — rendered from the expressions the function runs</t>
        </is>
      </c>
      <c r="J404" s="3" t="inlineStr">
        <is>
          <t>1. inp: RetirementInputs
2. monthlyContribution: number
3. maxAge = 80</t>
        </is>
      </c>
      <c r="K404" s="3" t="inlineStr">
        <is>
          <t>number | null</t>
        </is>
      </c>
      <c r="L404" s="3" t="inlineStr">
        <is>
          <t>NOT FOUND — a screen calls it, but the words printed beside its answer could not be traced automatically. Needs reading.</t>
        </is>
      </c>
      <c r="M404" s="3" t="inlineStr">
        <is>
          <t>· Turns a monthly figure into a year by multiplying by twelve.</t>
        </is>
      </c>
      <c r="N404" s="3" t="inlineStr">
        <is>
          <t>Yes</t>
        </is>
      </c>
      <c r="O404" s="3" t="inlineStr">
        <is>
          <t>1. MK-PL-F-055 projectNestEgg
2. MK-PL-F-050 simulate
3. MK-PL-F-056 solveRetireAge</t>
        </is>
      </c>
      <c r="P404" s="3" t="n">
        <v>24</v>
      </c>
      <c r="Q404" s="3" t="inlineStr">
        <is>
          <t>1. MK-PL-F-055 projectNestEgg
2. MK-PL-F-050 simulate
3. MK-PL-F-056 solveRetireAge
4. MK-CF-F-132 map
5. MK-CF-O-002 expenses
6. MK-PL-F-074 median
7. MK-PL-F-072 mulberry32
8. MK-XS-F-122 n
9. MK-PL-F-073 normal
10. MK-PL-F-075 pctOfSorted
11. MK-ST-F-025 rmdStartAgeFromAge
12. MK-CF-F-151 actualSpending
13. MK-CF-F-150 debtPaymentsCountedAsExpenses
14. MK-CF-F-153 radar
15. MK-CF-F-149 recurringDebtPayments
16. MK-ST-F-024 rmdStartAge
17. MK-CF-F-148 inMonth
18. MK-ST-F-052 toNum
19. MK-CF-F-191 ym
20. MK-ST-F-056 has
21. MK-CF-F-022 paymentShape
22. MK-CF-F-152 isRadarItem
23. MK-CF-F-023 requiredPayment
24. MK-CF-F-021 defaultPaymentType</t>
        </is>
      </c>
      <c r="R404" s="3" t="inlineStr">
        <is>
          <t>1. MK-CF-F-132 map → MK-PL-F-055 projectNestEgg → MK-PL-F-035 retireAgeWithContribution
2. MK-CF-F-148 inMonth → MK-CF-F-151 actualSpending → MK-CF-O-002 expenses → MK-PL-F-050 simulate → MK-PL-F-055 projectNestEgg → MK-PL-F-035 retireAgeWithContribution
3. MK-ST-F-052 toNum → MK-CF-F-151 actualSpending → MK-CF-O-002 expenses → MK-PL-F-050 simulate → MK-PL-F-055 projectNestEgg → MK-PL-F-035 retireAgeWithContribution
4. MK-CF-F-191 ym → MK-CF-F-151 actualSpending → MK-CF-O-002 expenses → MK-PL-F-050 simulate → MK-PL-F-055 projectNestEgg → MK-PL-F-035 retireAgeWithContribution
5. MK-ST-F-056 has → MK-CF-F-150 debtPaymentsCountedAsExpenses → MK-CF-O-002 expenses → MK-PL-F-050 simulate → MK-PL-F-055 projectNestEgg → MK-PL-F-035 retireAgeWithContribution
6. MK-CF-F-148 inMonth → MK-CF-F-150 debtPaymentsCountedAsExpenses → MK-CF-O-002 expenses → MK-PL-F-050 simulate → MK-PL-F-055 projectNestEgg → MK-PL-F-035 retireAgeWithContribution
7. MK-CF-F-022 paymentShape → MK-CF-F-150 debtPaymentsCountedAsExpenses → MK-CF-O-002 expenses → MK-PL-F-050 simulate → MK-PL-F-055 projectNestEgg → MK-PL-F-035 retireAgeWithContribution
8. MK-ST-F-052 toNum → MK-CF-F-150 debtPaymentsCountedAsExpenses → MK-CF-O-002 expenses → MK-PL-F-050 simulate → MK-PL-F-055 projectNestEgg → MK-PL-F-035 retireAgeWithContribution
9. … and 5 more paths</t>
        </is>
      </c>
      <c r="S404" s="3" t="inlineStr">
        <is>
          <t>—</t>
        </is>
      </c>
      <c r="T404" s="3" t="inlineStr">
        <is>
          <t>—</t>
        </is>
      </c>
      <c r="U404" s="3" t="inlineStr">
        <is>
          <t>ACTIVE</t>
        </is>
      </c>
      <c r="V404" s="3" t="inlineStr">
        <is>
          <t>2026-08-27</t>
        </is>
      </c>
      <c r="W404" s="3" t="n"/>
      <c r="X404" s="3" t="n"/>
      <c r="Y404" s="3" t="inlineStr">
        <is>
          <t>NOTHING OPEN</t>
        </is>
      </c>
    </row>
    <row r="405" ht="60" customHeight="1">
      <c r="A405" s="3" t="inlineStr">
        <is>
          <t>MK-PL-F-036</t>
        </is>
      </c>
      <c r="B405" s="3" t="inlineStr">
        <is>
          <t>weighGoals</t>
        </is>
      </c>
      <c r="C405" s="3" t="inlineStr">
        <is>
          <t>src/domain/planning/multiGoal.ts</t>
        </is>
      </c>
      <c r="D405" s="3" t="n">
        <v>117</v>
      </c>
      <c r="E405" s="3" t="inlineStr">
        <is>
          <t>2 · DISPLAYED</t>
        </is>
      </c>
      <c r="F405" s="3" t="inlineStr">
        <is>
          <t>Run the whole combination once.</t>
        </is>
      </c>
      <c r="G405" s="11" t="inlineStr">
        <is>
          <t>now = now (or new date() when missing)
on dials = dials where on
extra debt = max(0, extra debt monthly (or 0 when missing))
committed = Σ over on dials of (monthly amount (or 0 when missing or zero))+ extra debt + max(0, retirement monthly)
spare = capacity monthly − committed
goal ends = {}
m = months to goal({ target: target, saved: saved ?? 0 } as goal like, monthly amount)
end = the date now.get full year(), now.get month() + m, 1
debt payoff = nothing
with extra = payoff plan(liabilities!, extra debt, 'avalanche', now)
without = payoff plan(liabilities!, 0, 'avalanche', now)
… the first steps only — the rest of the body needs reading by hand.</t>
        </is>
      </c>
      <c r="H405" s="3" t="inlineStr">
        <is>
          <t>Now is now (or new date() — when missing). On dials is dials where on. Extra debt is extra debt monthly (or 0 — when missing, never below zero). Committed: the monthly amount (or 0 — when missing or zero))+ extra debt plus max(0, retirement monthly added up across on dials. Spare is capacity monthly minus committed. Goal ends is {}. M is months to goal({ target: target, saved: saved ?? 0 } as goal like, monthly amount). End: the date now.get full year(), now.get month() plus m, 1. Debt payoff is no answer. With extra is payoff plan(liabilities!, extra debt, 'avalanche', now). Without is payoff plan(liabilities!, 0, 'avalanche', now). Only the first steps are shown; the rest of the body needs reading by hand.</t>
        </is>
      </c>
      <c r="I405" s="3" t="inlineStr">
        <is>
          <t>PARTLY READ — some of the code is still showing through; needs a hand pass</t>
        </is>
      </c>
      <c r="J405" s="3" t="inlineStr">
        <is>
          <t>w: WeighInputs</t>
        </is>
      </c>
      <c r="K405" s="3" t="inlineStr">
        <is>
          <t>WeighResult</t>
        </is>
      </c>
      <c r="L405" s="3" t="inlineStr">
        <is>
          <t>NOT FOUND — a screen calls it, but the words printed beside its answer could not be traced automatically. Needs reading.</t>
        </is>
      </c>
      <c r="M405" s="3" t="inlineStr">
        <is>
          <t>1. If extra debt monthly is missing it uses 0.
2. If saved is missing it uses 0.
3. If monthly amount is missing it counts as zero, so nothing recorded and a real zero look the same.
4. Turns a monthly figure into a year by multiplying by twelve.
5. Uses today's date from the device clock, so the answer changes by itself overnight.
6. Never lets retirement monthly fall below 0.</t>
        </is>
      </c>
      <c r="N405" s="3" t="inlineStr">
        <is>
          <t>Yes</t>
        </is>
      </c>
      <c r="O405" s="3" t="inlineStr">
        <is>
          <t>1. MK-PL-F-021 monthsToGoal
2. MK-ST-F-039 on
3. MK-CF-F-034 payoffPlan
4. MK-PL-F-035 retireAgeWithContribution
5. MK-PL-F-050 simulate</t>
        </is>
      </c>
      <c r="P405" s="3" t="n">
        <v>28</v>
      </c>
      <c r="Q405" s="3" t="inlineStr">
        <is>
          <t>1. MK-PL-F-021 monthsToGoal
2. MK-ST-F-039 on
3. MK-CF-F-034 payoffPlan
4. MK-PL-F-035 retireAgeWithContribution
5. MK-PL-F-050 simulate
6. MK-CF-F-132 map
7. MK-CF-F-022 paymentShape
8. MK-PL-F-055 projectNestEgg
9. MK-PL-F-056 solveRetireAge
10. MK-CF-O-002 expenses
11. MK-PL-F-074 median
12. MK-PL-F-072 mulberry32
13. MK-XS-F-122 n
14. MK-PL-F-073 normal
15. MK-PL-F-075 pctOfSorted
16. MK-ST-F-025 rmdStartAgeFromAge
17. MK-CF-F-021 defaultPaymentType
18. MK-CF-F-151 actualSpending
19. MK-CF-F-150 debtPaymentsCountedAsExpenses
20. MK-CF-F-153 radar
21. MK-CF-F-149 recurringDebtPayments
22. MK-ST-F-024 rmdStartAge
23. MK-CF-F-148 inMonth
24. MK-ST-F-052 toNum
25. MK-CF-F-191 ym
26. MK-ST-F-056 has
27. MK-CF-F-152 isRadarItem
28. MK-CF-F-023 requiredPayment</t>
        </is>
      </c>
      <c r="R405" s="3" t="inlineStr">
        <is>
          <t>1. MK-PL-F-021 monthsToGoal → MK-PL-F-036 weighGoals
2. MK-ST-F-039 on → MK-PL-F-036 weighGoals
3. MK-CF-F-132 map → MK-CF-F-034 payoffPlan → MK-PL-F-036 weighGoals
4. MK-CF-F-021 defaultPaymentType → MK-CF-F-022 paymentShape → MK-CF-F-034 payoffPlan → MK-PL-F-036 weighGoals
5. MK-CF-F-132 map → MK-PL-F-055 projectNestEgg → MK-PL-F-035 retireAgeWithContribution → MK-PL-F-036 weighGoals
6. MK-CF-F-151 actualSpending → MK-CF-O-002 expenses → MK-PL-F-050 simulate → MK-PL-F-055 projectNestEgg → MK-PL-F-035 retireAgeWithContribution → MK-PL-F-036 weighGoals
7. MK-CF-F-150 debtPaymentsCountedAsExpenses → MK-CF-O-002 expenses → MK-PL-F-050 simulate → MK-PL-F-055 projectNestEgg → MK-PL-F-035 retireAgeWithContribution → MK-PL-F-036 weighGoals
8. MK-CF-F-153 radar → MK-CF-O-002 expenses → MK-PL-F-050 simulate → MK-PL-F-055 projectNestEgg → MK-PL-F-035 retireAgeWithContribution → MK-PL-F-036 weighGoals
9. … and 5 more paths</t>
        </is>
      </c>
      <c r="S405" s="3" t="inlineStr">
        <is>
          <t>—</t>
        </is>
      </c>
      <c r="T405" s="3" t="inlineStr">
        <is>
          <t>—</t>
        </is>
      </c>
      <c r="U405" s="3" t="inlineStr">
        <is>
          <t>ACTIVE</t>
        </is>
      </c>
      <c r="V405" s="3" t="inlineStr">
        <is>
          <t>2026-09-09</t>
        </is>
      </c>
      <c r="W405" s="3" t="n"/>
      <c r="X405" s="3" t="n"/>
      <c r="Y405" s="3" t="inlineStr">
        <is>
          <t>NOTHING OPEN</t>
        </is>
      </c>
    </row>
    <row r="406" ht="60" customHeight="1">
      <c r="A406" s="3" t="inlineStr">
        <is>
          <t>MK-PL-F-037</t>
        </is>
      </c>
      <c r="B406" s="3" t="inlineStr">
        <is>
          <t>trimHints</t>
        </is>
      </c>
      <c r="C406" s="3" t="inlineStr">
        <is>
          <t>src/domain/planning/multiGoal.ts</t>
        </is>
      </c>
      <c r="D406" s="3" t="n">
        <v>193</v>
      </c>
      <c r="E406" s="3" t="inlineStr">
        <is>
          <t>2 · DISPLAYED</t>
        </is>
      </c>
      <c r="F406" s="3" t="inlineStr">
        <is>
          <t>One hint per active goal: the SAME weigher re-run with that dial reduced — a pre-run of the slider, so applying the hint's amount reproduces its numbers exactly (the pin).</t>
        </is>
      </c>
      <c r="G406" s="11" t="inlineStr">
        <is>
          <t>trimmed amount = max(0, round((monthly amount × reduce to) ÷ 100) × 100)
freed = monthly amount − trimmed amount
the answer:
dial id = id
label = label
trimmed amount = trimmed amount
retire age = retire age
chance = chance</t>
        </is>
      </c>
      <c r="H406" s="3" t="inlineStr">
        <is>
          <t>Trimmed amount is (monthly amount times reduce to, to a whole number divided by 100, never below zero times 100). Freed is monthly amount minus trimmed amount. The answer is dial id = id; label = label; trimmed amount = trimmed amount; retire age = retire age; chance = chance.</t>
        </is>
      </c>
      <c r="I406" s="3" t="inlineStr">
        <is>
          <t>READ FROM THE CODE — rendered from the expressions the function runs</t>
        </is>
      </c>
      <c r="J406" s="3" t="inlineStr">
        <is>
          <t>1. w: WeighInputs
2. reduceTo = 0.6</t>
        </is>
      </c>
      <c r="K406" s="3" t="inlineStr">
        <is>
          <t>TrimHint[]</t>
        </is>
      </c>
      <c r="L406" s="3" t="inlineStr">
        <is>
          <t>NOT FOUND — a screen calls it, but the words printed beside its answer could not be traced automatically. Needs reading.</t>
        </is>
      </c>
      <c r="M406" s="3" t="inlineStr">
        <is>
          <t>· Rounds the answer to a whole number.</t>
        </is>
      </c>
      <c r="N406" s="3" t="inlineStr">
        <is>
          <t>Yes</t>
        </is>
      </c>
      <c r="O406" s="3" t="inlineStr">
        <is>
          <t>1. MK-CF-F-132 map
2. MK-PL-F-036 weighGoals</t>
        </is>
      </c>
      <c r="P406" s="3" t="n">
        <v>29</v>
      </c>
      <c r="Q406" s="3" t="inlineStr">
        <is>
          <t>1. MK-CF-F-132 map
2. MK-PL-F-036 weighGoals
3. MK-PL-F-021 monthsToGoal
4. MK-ST-F-039 on
5. MK-CF-F-034 payoffPlan
6. MK-PL-F-035 retireAgeWithContribution
7. MK-PL-F-050 simulate
8. MK-CF-F-022 paymentShape
9. MK-PL-F-055 projectNestEgg
10. MK-PL-F-056 solveRetireAge
11. MK-CF-O-002 expenses
12. MK-PL-F-074 median
13. MK-PL-F-072 mulberry32
14. MK-XS-F-122 n
15. MK-PL-F-073 normal
16. MK-PL-F-075 pctOfSorted
17. MK-ST-F-025 rmdStartAgeFromAge
18. MK-CF-F-021 defaultPaymentType
19. MK-CF-F-151 actualSpending
20. MK-CF-F-150 debtPaymentsCountedAsExpenses
21. MK-CF-F-153 radar
22. MK-CF-F-149 recurringDebtPayments
23. MK-ST-F-024 rmdStartAge
24. MK-CF-F-148 inMonth
25. MK-ST-F-052 toNum
26. MK-CF-F-191 ym
27. MK-ST-F-056 has
28. MK-CF-F-152 isRadarItem
29. MK-CF-F-023 requiredPayment</t>
        </is>
      </c>
      <c r="R406" s="3" t="inlineStr">
        <is>
          <t>1. MK-CF-F-132 map → MK-PL-F-037 trimHints
2. MK-PL-F-021 monthsToGoal → MK-PL-F-036 weighGoals → MK-PL-F-037 trimHints
3. MK-ST-F-039 on → MK-PL-F-036 weighGoals → MK-PL-F-037 trimHints
4. MK-CF-F-132 map → MK-CF-F-034 payoffPlan → MK-PL-F-036 weighGoals → MK-PL-F-037 trimHints
5. MK-CF-F-021 defaultPaymentType → MK-CF-F-022 paymentShape → MK-CF-F-034 payoffPlan → MK-PL-F-036 weighGoals → MK-PL-F-037 trimHints
6. MK-CF-F-132 map → MK-PL-F-055 projectNestEgg → MK-PL-F-035 retireAgeWithContribution → MK-PL-F-036 weighGoals → MK-PL-F-037 trimHints
7. MK-CF-O-002 expenses → MK-PL-F-050 simulate → MK-PL-F-055 projectNestEgg → MK-PL-F-035 retireAgeWithContribution → MK-PL-F-036 weighGoals → MK-PL-F-037 trimHints
8. MK-CF-F-132 map → MK-PL-F-050 simulate → MK-PL-F-055 projectNestEgg → MK-PL-F-035 retireAgeWithContribution → MK-PL-F-036 weighGoals → MK-PL-F-037 trimHints
9. … and 4 more paths</t>
        </is>
      </c>
      <c r="S406" s="3" t="inlineStr">
        <is>
          <t>—</t>
        </is>
      </c>
      <c r="T406" s="3" t="inlineStr">
        <is>
          <t>—</t>
        </is>
      </c>
      <c r="U406" s="3" t="inlineStr">
        <is>
          <t>ACTIVE</t>
        </is>
      </c>
      <c r="V406" s="3" t="inlineStr">
        <is>
          <t>2026-08-27</t>
        </is>
      </c>
      <c r="W406" s="3" t="n"/>
      <c r="X406" s="3" t="n"/>
      <c r="Y406" s="3" t="inlineStr">
        <is>
          <t>NOTHING OPEN</t>
        </is>
      </c>
    </row>
    <row r="407" ht="60" customHeight="1">
      <c r="A407" s="3" t="inlineStr">
        <is>
          <t>MK-PL-F-038</t>
        </is>
      </c>
      <c r="B407" s="3" t="inlineStr">
        <is>
          <t>spendMoreState</t>
        </is>
      </c>
      <c r="C407" s="3" t="inlineStr">
        <is>
          <t>src/domain/planning/spendMore.ts</t>
        </is>
      </c>
      <c r="D407" s="3" t="n">
        <v>78</v>
      </c>
      <c r="E407" s="3" t="inlineStr">
        <is>
          <t>2 · DISPLAYED</t>
        </is>
      </c>
      <c r="F407" s="3" t="inlineStr">
        <is>
          <t>How much more she could spend, and how much of it is genuinely free.</t>
        </is>
      </c>
      <c r="G407" s="11" t="inlineStr">
        <is>
          <t>today = base.retire monthly spend today
odds today = odds at(base, today)
free = 0
the answer:
max extra = max extra
free extra = free
odds today = odds today</t>
        </is>
      </c>
      <c r="H407" s="3" t="inlineStr">
        <is>
          <t>Today is base.retire monthly spend today. Odds today is odds at(base, today). Free is 0. The answer is max extra = max extra; free extra = free; odds today = odds today.</t>
        </is>
      </c>
      <c r="I407" s="3" t="inlineStr">
        <is>
          <t>READ FROM THE CODE — rendered from the expressions the function runs</t>
        </is>
      </c>
      <c r="J407" s="3" t="inlineStr">
        <is>
          <t>1. base: RetirementInputs
2. maxExtra: number
3. step = 500</t>
        </is>
      </c>
      <c r="K407" s="3" t="inlineStr">
        <is>
          <t>SpendMoreState</t>
        </is>
      </c>
      <c r="L407" s="3" t="inlineStr">
        <is>
          <t>"Can I spend more?" — on a card used on more than one screen (SpendMoreControl)</t>
        </is>
      </c>
      <c r="M407" s="3" t="inlineStr">
        <is>
          <t>· Uses a built-in free of 0.</t>
        </is>
      </c>
      <c r="N407" s="3" t="inlineStr">
        <is>
          <t>Yes</t>
        </is>
      </c>
      <c r="O407" s="3" t="inlineStr">
        <is>
          <t>MK-PL-F-069 oddsAt</t>
        </is>
      </c>
      <c r="P407" s="3" t="n">
        <v>23</v>
      </c>
      <c r="Q407" s="3" t="inlineStr">
        <is>
          <t>1. MK-PL-F-069 oddsAt
2. MK-PL-F-050 simulate
3. MK-CF-O-002 expenses
4. MK-CF-F-132 map
5. MK-PL-F-074 median
6. MK-PL-F-072 mulberry32
7. MK-XS-F-122 n
8. MK-PL-F-073 normal
9. MK-PL-F-075 pctOfSorted
10. MK-ST-F-025 rmdStartAgeFromAge
11. MK-CF-F-151 actualSpending
12. MK-CF-F-150 debtPaymentsCountedAsExpenses
13. MK-CF-F-153 radar
14. MK-CF-F-149 recurringDebtPayments
15. MK-ST-F-024 rmdStartAge
16. MK-CF-F-148 inMonth
17. MK-ST-F-052 toNum
18. MK-CF-F-191 ym
19. MK-ST-F-056 has
20. MK-CF-F-022 paymentShape
21. MK-CF-F-152 isRadarItem
22. MK-CF-F-023 requiredPayment
23. MK-CF-F-021 defaultPaymentType</t>
        </is>
      </c>
      <c r="R407" s="3" t="inlineStr">
        <is>
          <t>1. MK-CF-F-148 inMonth → MK-CF-F-151 actualSpending → MK-CF-O-002 expenses → MK-PL-F-050 simulate → MK-PL-F-069 oddsAt → MK-PL-F-038 spendMoreState
2. MK-ST-F-052 toNum → MK-CF-F-151 actualSpending → MK-CF-O-002 expenses → MK-PL-F-050 simulate → MK-PL-F-069 oddsAt → MK-PL-F-038 spendMoreState
3. MK-CF-F-191 ym → MK-CF-F-151 actualSpending → MK-CF-O-002 expenses → MK-PL-F-050 simulate → MK-PL-F-069 oddsAt → MK-PL-F-038 spendMoreState
4. MK-ST-F-056 has → MK-CF-F-150 debtPaymentsCountedAsExpenses → MK-CF-O-002 expenses → MK-PL-F-050 simulate → MK-PL-F-069 oddsAt → MK-PL-F-038 spendMoreState
5. MK-CF-F-148 inMonth → MK-CF-F-150 debtPaymentsCountedAsExpenses → MK-CF-O-002 expenses → MK-PL-F-050 simulate → MK-PL-F-069 oddsAt → MK-PL-F-038 spendMoreState
6. MK-CF-F-022 paymentShape → MK-CF-F-150 debtPaymentsCountedAsExpenses → MK-CF-O-002 expenses → MK-PL-F-050 simulate → MK-PL-F-069 oddsAt → MK-PL-F-038 spendMoreState
7. MK-ST-F-052 toNum → MK-CF-F-150 debtPaymentsCountedAsExpenses → MK-CF-O-002 expenses → MK-PL-F-050 simulate → MK-PL-F-069 oddsAt → MK-PL-F-038 spendMoreState
8. MK-CF-F-191 ym → MK-CF-F-150 debtPaymentsCountedAsExpenses → MK-CF-O-002 expenses → MK-PL-F-050 simulate → MK-PL-F-069 oddsAt → MK-PL-F-038 spendMoreState
9. … and 4 more paths</t>
        </is>
      </c>
      <c r="S407" s="3" t="inlineStr">
        <is>
          <t>—</t>
        </is>
      </c>
      <c r="T407" s="3" t="inlineStr">
        <is>
          <t>—</t>
        </is>
      </c>
      <c r="U407" s="3" t="inlineStr">
        <is>
          <t>ACTIVE</t>
        </is>
      </c>
      <c r="V407" s="3" t="inlineStr">
        <is>
          <t>2026-08-27</t>
        </is>
      </c>
      <c r="W407" s="3" t="n"/>
      <c r="X407" s="3" t="n"/>
      <c r="Y407" s="3" t="inlineStr">
        <is>
          <t>NOTHING OPEN</t>
        </is>
      </c>
    </row>
    <row r="408" ht="60" customHeight="1">
      <c r="A408" s="3" t="inlineStr">
        <is>
          <t>MK-PL-F-039</t>
        </is>
      </c>
      <c r="B408" s="3" t="inlineStr">
        <is>
          <t>spendMoreSentence</t>
        </is>
      </c>
      <c r="C408" s="3" t="inlineStr">
        <is>
          <t>src/domain/planning/spendMore.ts</t>
        </is>
      </c>
      <c r="D408" s="3" t="n">
        <v>119</v>
      </c>
      <c r="E408" s="3" t="inlineStr">
        <is>
          <t>2 · DISPLAYED</t>
        </is>
      </c>
      <c r="F408" s="3" t="inlineStr">
        <is>
          <t>What the screen says at a given stepper position — a real run every time, never a bucket.</t>
        </is>
      </c>
      <c r="G408" s="11" t="inlineStr">
        <is>
          <t>chance = odds at(base, base.retire monthly spend today + extra)
failing = round(100 − chance, 6 dp)
the answer:
chance = chance
tone = 'watch'
text = `lasts in almost every simulated future — about ${chance} out of 100.`</t>
        </is>
      </c>
      <c r="H408" s="3" t="inlineStr">
        <is>
          <t>Chance is odds at(base, base.retire monthly spend today plus extra). Failing is 100 minus chance, to 6 decimal places. The answer is chance = chance; tone = 'watch'; text = `lasts in almost every simulated future — about ${chance} out of 100.`.</t>
        </is>
      </c>
      <c r="I408" s="3" t="inlineStr">
        <is>
          <t>PARTLY READ — some of the code is still showing through; needs a hand pass</t>
        </is>
      </c>
      <c r="J408" s="3" t="inlineStr">
        <is>
          <t>1. base: RetirementInputs
2. extra: number
3. horizonAge: number
4. oddsToday: number</t>
        </is>
      </c>
      <c r="K408" s="3" t="inlineStr">
        <is>
          <t>NOT DECLARED — the code does not say what it gives back</t>
        </is>
      </c>
      <c r="L408" s="3" t="inlineStr">
        <is>
          <t>NOT FOUND — a screen calls it, but the words printed beside its answer could not be traced automatically. Needs reading.</t>
        </is>
      </c>
      <c r="M408" s="3" t="inlineStr">
        <is>
          <t>· Rounds the answer to 6 decimal places.</t>
        </is>
      </c>
      <c r="N408" s="3" t="inlineStr">
        <is>
          <t>Yes</t>
        </is>
      </c>
      <c r="O408" s="3" t="inlineStr">
        <is>
          <t>MK-PL-F-069 oddsAt</t>
        </is>
      </c>
      <c r="P408" s="3" t="n">
        <v>23</v>
      </c>
      <c r="Q408" s="3" t="inlineStr">
        <is>
          <t>1. MK-PL-F-069 oddsAt
2. MK-PL-F-050 simulate
3. MK-CF-O-002 expenses
4. MK-CF-F-132 map
5. MK-PL-F-074 median
6. MK-PL-F-072 mulberry32
7. MK-XS-F-122 n
8. MK-PL-F-073 normal
9. MK-PL-F-075 pctOfSorted
10. MK-ST-F-025 rmdStartAgeFromAge
11. MK-CF-F-151 actualSpending
12. MK-CF-F-150 debtPaymentsCountedAsExpenses
13. MK-CF-F-153 radar
14. MK-CF-F-149 recurringDebtPayments
15. MK-ST-F-024 rmdStartAge
16. MK-CF-F-148 inMonth
17. MK-ST-F-052 toNum
18. MK-CF-F-191 ym
19. MK-ST-F-056 has
20. MK-CF-F-022 paymentShape
21. MK-CF-F-152 isRadarItem
22. MK-CF-F-023 requiredPayment
23. MK-CF-F-021 defaultPaymentType</t>
        </is>
      </c>
      <c r="R408" s="3" t="inlineStr">
        <is>
          <t>1. MK-CF-F-148 inMonth → MK-CF-F-151 actualSpending → MK-CF-O-002 expenses → MK-PL-F-050 simulate → MK-PL-F-069 oddsAt → MK-PL-F-039 spendMoreSentence
2. MK-ST-F-052 toNum → MK-CF-F-151 actualSpending → MK-CF-O-002 expenses → MK-PL-F-050 simulate → MK-PL-F-069 oddsAt → MK-PL-F-039 spendMoreSentence
3. MK-CF-F-191 ym → MK-CF-F-151 actualSpending → MK-CF-O-002 expenses → MK-PL-F-050 simulate → MK-PL-F-069 oddsAt → MK-PL-F-039 spendMoreSentence
4. MK-ST-F-056 has → MK-CF-F-150 debtPaymentsCountedAsExpenses → MK-CF-O-002 expenses → MK-PL-F-050 simulate → MK-PL-F-069 oddsAt → MK-PL-F-039 spendMoreSentence
5. MK-CF-F-148 inMonth → MK-CF-F-150 debtPaymentsCountedAsExpenses → MK-CF-O-002 expenses → MK-PL-F-050 simulate → MK-PL-F-069 oddsAt → MK-PL-F-039 spendMoreSentence
6. MK-CF-F-022 paymentShape → MK-CF-F-150 debtPaymentsCountedAsExpenses → MK-CF-O-002 expenses → MK-PL-F-050 simulate → MK-PL-F-069 oddsAt → MK-PL-F-039 spendMoreSentence
7. MK-ST-F-052 toNum → MK-CF-F-150 debtPaymentsCountedAsExpenses → MK-CF-O-002 expenses → MK-PL-F-050 simulate → MK-PL-F-069 oddsAt → MK-PL-F-039 spendMoreSentence
8. MK-CF-F-191 ym → MK-CF-F-150 debtPaymentsCountedAsExpenses → MK-CF-O-002 expenses → MK-PL-F-050 simulate → MK-PL-F-069 oddsAt → MK-PL-F-039 spendMoreSentence
9. … and 4 more paths</t>
        </is>
      </c>
      <c r="S408" s="3" t="inlineStr">
        <is>
          <t>—</t>
        </is>
      </c>
      <c r="T408" s="3" t="inlineStr">
        <is>
          <t>—</t>
        </is>
      </c>
      <c r="U408" s="3" t="inlineStr">
        <is>
          <t>ACTIVE</t>
        </is>
      </c>
      <c r="V408" s="3" t="inlineStr">
        <is>
          <t>2026-09-14</t>
        </is>
      </c>
      <c r="W408" s="3" t="n"/>
      <c r="X408" s="3" t="n"/>
      <c r="Y408" s="3" t="inlineStr">
        <is>
          <t>NOTHING OPEN</t>
        </is>
      </c>
    </row>
    <row r="409" ht="60" customHeight="1">
      <c r="A409" s="3" t="inlineStr">
        <is>
          <t>MK-PL-F-040</t>
        </is>
      </c>
      <c r="B409" s="3" t="inlineStr">
        <is>
          <t>targetAtRetirement</t>
        </is>
      </c>
      <c r="C409" s="3" t="inlineStr">
        <is>
          <t>src/domain/planning/target.ts</t>
        </is>
      </c>
      <c r="D409" s="3" t="n">
        <v>107</v>
      </c>
      <c r="E409" s="3" t="inlineStr">
        <is>
          <t>2 · DISPLAYED</t>
        </is>
      </c>
      <c r="F409" s="3" t="inlineStr">
        <is>
          <t>THE TARGET: the balance on day one of retirement that reaches TARGET_ODDS.</t>
        </is>
      </c>
      <c r="G409" s="11" t="inlineStr">
        <is>
          <t>found = smallest that works(0, MAX_TARGET, 5000, (x) =&gt; odds of(at retirement(x)) ≥ TARGET_ODDS)
nothing   when found = nothing
total = round up(found ÷ 10000) × 10000
[LOOP — the answer is found inside a loop the extractor cannot render; the steps above are the ones before it. Read by hand.]</t>
        </is>
      </c>
      <c r="H409" s="3" t="inlineStr">
        <is>
          <t>Found is smallest that works(0, MAX_TARGET, 5000, (x) =&gt; odds of(at retirement(x)) is at least TARGET_ODDS). When found is missing, it answers no answer. Total is found divided by 10000, rounded up times 10000. The answer is total. The answer is found inside a loop that cannot be rendered here; read the code by hand.</t>
        </is>
      </c>
      <c r="I409" s="3" t="inlineStr">
        <is>
          <t>PARTLY READ — the body has a loop the extractor cannot render; the steps shown are the ones before it. Needs a hand pass (G23).</t>
        </is>
      </c>
      <c r="J409" s="3" t="inlineStr">
        <is>
          <t>base: RetirementInputs</t>
        </is>
      </c>
      <c r="K409" s="3" t="inlineStr">
        <is>
          <t>number | null</t>
        </is>
      </c>
      <c r="L409" s="3" t="inlineStr">
        <is>
          <t>NOT FOUND — a screen calls it, but the words printed beside its answer could not be traced automatically. Needs reading.</t>
        </is>
      </c>
      <c r="M409" s="3" t="inlineStr">
        <is>
          <t>None found in this function — anything it assumes comes from the functions it depends on.</t>
        </is>
      </c>
      <c r="N409" s="3" t="inlineStr">
        <is>
          <t>Yes</t>
        </is>
      </c>
      <c r="O409" s="3" t="inlineStr">
        <is>
          <t>1. MK-CF-O-002 expenses
2. MK-PL-F-071 oddsOf
3. MK-PL-F-070 smallestThatWorks</t>
        </is>
      </c>
      <c r="P409" s="3" t="n">
        <v>24</v>
      </c>
      <c r="Q409" s="3" t="inlineStr">
        <is>
          <t>1. MK-CF-O-002 expenses
2. MK-PL-F-071 oddsOf
3. MK-PL-F-070 smallestThatWorks
4. MK-CF-F-151 actualSpending
5. MK-CF-F-150 debtPaymentsCountedAsExpenses
6. MK-CF-F-153 radar
7. MK-CF-F-149 recurringDebtPayments
8. MK-PL-F-050 simulate
9. MK-CF-F-148 inMonth
10. MK-ST-F-052 toNum
11. MK-CF-F-191 ym
12. MK-ST-F-056 has
13. MK-CF-F-022 paymentShape
14. MK-CF-F-152 isRadarItem
15. MK-CF-F-023 requiredPayment
16. MK-CF-F-132 map
17. MK-PL-F-074 median
18. MK-PL-F-072 mulberry32
19. MK-XS-F-122 n
20. MK-PL-F-073 normal
21. MK-PL-F-075 pctOfSorted
22. MK-ST-F-025 rmdStartAgeFromAge
23. MK-CF-F-021 defaultPaymentType
24. MK-ST-F-024 rmdStartAge</t>
        </is>
      </c>
      <c r="R409" s="3" t="inlineStr">
        <is>
          <t>1. MK-CF-F-191 ym → MK-CF-F-148 inMonth → MK-CF-F-151 actualSpending → MK-CF-O-002 expenses → MK-PL-F-040 targetAtRetirement
2. MK-XS-F-122 n → MK-ST-F-052 toNum → MK-CF-F-151 actualSpending → MK-CF-O-002 expenses → MK-PL-F-040 targetAtRetirement
3. MK-CF-F-191 ym → MK-CF-F-151 actualSpending → MK-CF-O-002 expenses → MK-PL-F-040 targetAtRetirement
4. MK-ST-F-056 has → MK-CF-F-150 debtPaymentsCountedAsExpenses → MK-CF-O-002 expenses → MK-PL-F-040 targetAtRetirement
5. MK-CF-F-191 ym → MK-CF-F-148 inMonth → MK-CF-F-150 debtPaymentsCountedAsExpenses → MK-CF-O-002 expenses → MK-PL-F-040 targetAtRetirement
6. MK-CF-F-021 defaultPaymentType → MK-CF-F-022 paymentShape → MK-CF-F-150 debtPaymentsCountedAsExpenses → MK-CF-O-002 expenses → MK-PL-F-040 targetAtRetirement
7. MK-XS-F-122 n → MK-ST-F-052 toNum → MK-CF-F-150 debtPaymentsCountedAsExpenses → MK-CF-O-002 expenses → MK-PL-F-040 targetAtRetirement
8. MK-CF-F-191 ym → MK-CF-F-150 debtPaymentsCountedAsExpenses → MK-CF-O-002 expenses → MK-PL-F-040 targetAtRetirement
9. … and 5 more paths</t>
        </is>
      </c>
      <c r="S409" s="3" t="inlineStr">
        <is>
          <t>—</t>
        </is>
      </c>
      <c r="T409" s="3" t="inlineStr">
        <is>
          <t>—</t>
        </is>
      </c>
      <c r="U409" s="3" t="inlineStr">
        <is>
          <t>ACTIVE</t>
        </is>
      </c>
      <c r="V409" s="3" t="inlineStr">
        <is>
          <t>2026-09-14</t>
        </is>
      </c>
      <c r="W409" s="3" t="n"/>
      <c r="X409" s="3" t="n"/>
      <c r="Y409" s="3" t="inlineStr">
        <is>
          <t>NOTHING OPEN</t>
        </is>
      </c>
    </row>
    <row r="410" ht="60" customHeight="1">
      <c r="A410" s="3" t="inlineStr">
        <is>
          <t>MK-PL-F-041</t>
        </is>
      </c>
      <c r="B410" s="3" t="inlineStr">
        <is>
          <t>requiredAnnualSaving</t>
        </is>
      </c>
      <c r="C410" s="3" t="inlineStr">
        <is>
          <t>src/domain/planning/target.ts</t>
        </is>
      </c>
      <c r="D410" s="3" t="n">
        <v>161</v>
      </c>
      <c r="E410" s="3" t="inlineStr">
        <is>
          <t>3 · DEPENDENT</t>
        </is>
      </c>
      <c r="F410" s="3" t="inlineStr">
        <is>
          <t>THE YEARLY SAVING: the total annual contribution that reaches TARGET_ODDS on the real plan — the one with their age, their years left, their expenses, their big costs.</t>
        </is>
      </c>
      <c r="G410" s="11" t="inlineStr">
        <is>
          <t>with saving = (annual: number): retirement inputs =&gt; ({ ...base, annual contribution: annual })
found = smallest that works(0, MAX_SAVING, 500, (x) =&gt; odds of(with saving(x)) ≥ TARGET_ODDS)
nothing   when found = nothing
total = round up(found ÷ 500) × 500
the answer:
total = total
extra = max(0, total − (base.annual contribution ?? 0))
[LOOP — the answer is found inside a loop the extractor cannot render; the steps above are the ones before it. Read by hand.]</t>
        </is>
      </c>
      <c r="H410" s="3" t="inlineStr">
        <is>
          <t>With saving is (annual: number): retirement inputs =&gt; ({ ...base, annual contribution: annual }). Found is smallest that works(0, MAX_SAVING, 500, (x) =&gt; odds of(with saving(x)) is at least TARGET_ODDS). When found is missing, it answers no answer. Total is found divided by 500, rounded up times 500. The answer is total = total; extra = total minus (base.annual contribution ?? 0, never below zero). The answer is found inside a loop that cannot be rendered here; read the code by hand.</t>
        </is>
      </c>
      <c r="I410" s="3" t="inlineStr">
        <is>
          <t>PARTLY READ — the body has a loop the extractor cannot render; the steps shown are the ones before it. Needs a hand pass (G23).</t>
        </is>
      </c>
      <c r="J410" s="3" t="inlineStr">
        <is>
          <t>base: RetirementInputs</t>
        </is>
      </c>
      <c r="K410" s="3" t="inlineStr">
        <is>
          <t>NOT DECLARED — the code does not say what it gives back</t>
        </is>
      </c>
      <c r="L410" s="3" t="inlineStr">
        <is>
          <t>—</t>
        </is>
      </c>
      <c r="M410" s="3" t="inlineStr">
        <is>
          <t>· If annual contribution is missing it uses 0.</t>
        </is>
      </c>
      <c r="N410" s="3" t="inlineStr">
        <is>
          <t>Yes</t>
        </is>
      </c>
      <c r="O410" s="3" t="inlineStr">
        <is>
          <t>1. MK-PL-F-071 oddsOf
2. MK-PL-F-070 smallestThatWorks</t>
        </is>
      </c>
      <c r="P410" s="3" t="n">
        <v>24</v>
      </c>
      <c r="Q410" s="3" t="inlineStr">
        <is>
          <t>1. MK-PL-F-071 oddsOf
2. MK-PL-F-070 smallestThatWorks
3. MK-PL-F-050 simulate
4. MK-CF-O-002 expenses
5. MK-CF-F-132 map
6. MK-PL-F-074 median
7. MK-PL-F-072 mulberry32
8. MK-XS-F-122 n
9. MK-PL-F-073 normal
10. MK-PL-F-075 pctOfSorted
11. MK-ST-F-025 rmdStartAgeFromAge
12. MK-CF-F-151 actualSpending
13. MK-CF-F-150 debtPaymentsCountedAsExpenses
14. MK-CF-F-153 radar
15. MK-CF-F-149 recurringDebtPayments
16. MK-ST-F-024 rmdStartAge
17. MK-CF-F-148 inMonth
18. MK-ST-F-052 toNum
19. MK-CF-F-191 ym
20. MK-ST-F-056 has
21. MK-CF-F-022 paymentShape
22. MK-CF-F-152 isRadarItem
23. MK-CF-F-023 requiredPayment
24. MK-CF-F-021 defaultPaymentType</t>
        </is>
      </c>
      <c r="R410" s="3" t="inlineStr">
        <is>
          <t>1. MK-CF-F-148 inMonth → MK-CF-F-151 actualSpending → MK-CF-O-002 expenses → MK-PL-F-050 simulate → MK-PL-F-071 oddsOf → MK-PL-F-041 requiredAnnualSaving
2. MK-ST-F-052 toNum → MK-CF-F-151 actualSpending → MK-CF-O-002 expenses → MK-PL-F-050 simulate → MK-PL-F-071 oddsOf → MK-PL-F-041 requiredAnnualSaving
3. MK-CF-F-191 ym → MK-CF-F-151 actualSpending → MK-CF-O-002 expenses → MK-PL-F-050 simulate → MK-PL-F-071 oddsOf → MK-PL-F-041 requiredAnnualSaving
4. MK-ST-F-056 has → MK-CF-F-150 debtPaymentsCountedAsExpenses → MK-CF-O-002 expenses → MK-PL-F-050 simulate → MK-PL-F-071 oddsOf → MK-PL-F-041 requiredAnnualSaving
5. MK-CF-F-148 inMonth → MK-CF-F-150 debtPaymentsCountedAsExpenses → MK-CF-O-002 expenses → MK-PL-F-050 simulate → MK-PL-F-071 oddsOf → MK-PL-F-041 requiredAnnualSaving
6. MK-CF-F-022 paymentShape → MK-CF-F-150 debtPaymentsCountedAsExpenses → MK-CF-O-002 expenses → MK-PL-F-050 simulate → MK-PL-F-071 oddsOf → MK-PL-F-041 requiredAnnualSaving
7. MK-ST-F-052 toNum → MK-CF-F-150 debtPaymentsCountedAsExpenses → MK-CF-O-002 expenses → MK-PL-F-050 simulate → MK-PL-F-071 oddsOf → MK-PL-F-041 requiredAnnualSaving
8. MK-CF-F-191 ym → MK-CF-F-150 debtPaymentsCountedAsExpenses → MK-CF-O-002 expenses → MK-PL-F-050 simulate → MK-PL-F-071 oddsOf → MK-PL-F-041 requiredAnnualSaving
9. … and 5 more paths</t>
        </is>
      </c>
      <c r="S410" s="3" t="inlineStr">
        <is>
          <t>—</t>
        </is>
      </c>
      <c r="T410" s="3" t="inlineStr">
        <is>
          <t>—</t>
        </is>
      </c>
      <c r="U410" s="3" t="inlineStr">
        <is>
          <t>ACTIVE</t>
        </is>
      </c>
      <c r="V410" s="3" t="inlineStr">
        <is>
          <t>2026-09-14</t>
        </is>
      </c>
      <c r="W410" s="3" t="n"/>
      <c r="X410" s="3" t="n"/>
      <c r="Y410" s="3" t="inlineStr">
        <is>
          <t>NOTHING OPEN</t>
        </is>
      </c>
    </row>
    <row r="411" ht="60" customHeight="1">
      <c r="A411" s="3" t="inlineStr">
        <is>
          <t>MK-PL-F-042</t>
        </is>
      </c>
      <c r="B411" s="3" t="inlineStr">
        <is>
          <t>savingToReachTarget</t>
        </is>
      </c>
      <c r="C411" s="3" t="inlineStr">
        <is>
          <t>src/domain/planning/target.ts</t>
        </is>
      </c>
      <c r="D411" s="3" t="n">
        <v>220</v>
      </c>
      <c r="E411" s="3" t="inlineStr">
        <is>
          <t>3 · DEPENDENT</t>
        </is>
      </c>
      <c r="F411" s="3" t="inlineStr">
        <is>
          <t>The yearly saving whose PROJECTION reaches a typed target.</t>
        </is>
      </c>
      <c r="G411" s="11" t="inlineStr">
        <is>
          <t>found = smallest that works(0, MAX_SAVING, 500, (x) =&gt; projected with(x) ≥ typed target)
nothing   when found = nothing
total = round up(found ÷ 500) × 500
the answer:
total = total
extra = max(0, total − (base.annual contribution ?? 0))</t>
        </is>
      </c>
      <c r="H411" s="3" t="inlineStr">
        <is>
          <t>Found is smallest that works(0, MAX_SAVING, 500, (x) =&gt; projected with(x) is at least typed target). When found is missing, it answers no answer. Total is found divided by 500, rounded up times 500. The answer is total = total; extra = total minus (base.annual contribution ?? 0, never below zero).</t>
        </is>
      </c>
      <c r="I411" s="3" t="inlineStr">
        <is>
          <t>PARTLY READ — some of the code is still showing through; needs a hand pass</t>
        </is>
      </c>
      <c r="J411" s="3" t="inlineStr">
        <is>
          <t>1. base: RetirementInputs
2. typedTarget: number</t>
        </is>
      </c>
      <c r="K411" s="3" t="inlineStr">
        <is>
          <t>NOT DECLARED — the code does not say what it gives back</t>
        </is>
      </c>
      <c r="L411" s="3" t="inlineStr">
        <is>
          <t>—</t>
        </is>
      </c>
      <c r="M411" s="3" t="inlineStr">
        <is>
          <t>· If annual contribution is missing it uses 0.</t>
        </is>
      </c>
      <c r="N411" s="3" t="inlineStr">
        <is>
          <t>Yes</t>
        </is>
      </c>
      <c r="O411" s="3" t="inlineStr">
        <is>
          <t>1. MK-PL-F-050 simulate
2. MK-PL-F-070 smallestThatWorks</t>
        </is>
      </c>
      <c r="P411" s="3" t="n">
        <v>23</v>
      </c>
      <c r="Q411" s="3" t="inlineStr">
        <is>
          <t>1. MK-PL-F-050 simulate
2. MK-PL-F-070 smallestThatWorks
3. MK-CF-O-002 expenses
4. MK-CF-F-132 map
5. MK-PL-F-074 median
6. MK-PL-F-072 mulberry32
7. MK-XS-F-122 n
8. MK-PL-F-073 normal
9. MK-PL-F-075 pctOfSorted
10. MK-ST-F-025 rmdStartAgeFromAge
11. MK-CF-F-151 actualSpending
12. MK-CF-F-150 debtPaymentsCountedAsExpenses
13. MK-CF-F-153 radar
14. MK-CF-F-149 recurringDebtPayments
15. MK-ST-F-024 rmdStartAge
16. MK-CF-F-148 inMonth
17. MK-ST-F-052 toNum
18. MK-CF-F-191 ym
19. MK-ST-F-056 has
20. MK-CF-F-022 paymentShape
21. MK-CF-F-152 isRadarItem
22. MK-CF-F-023 requiredPayment
23. MK-CF-F-021 defaultPaymentType</t>
        </is>
      </c>
      <c r="R411" s="3" t="inlineStr">
        <is>
          <t>1. MK-CF-F-191 ym → MK-CF-F-148 inMonth → MK-CF-F-151 actualSpending → MK-CF-O-002 expenses → MK-PL-F-050 simulate → MK-PL-F-042 savingToReachTarget
2. MK-XS-F-122 n → MK-ST-F-052 toNum → MK-CF-F-151 actualSpending → MK-CF-O-002 expenses → MK-PL-F-050 simulate → MK-PL-F-042 savingToReachTarget
3. MK-CF-F-191 ym → MK-CF-F-151 actualSpending → MK-CF-O-002 expenses → MK-PL-F-050 simulate → MK-PL-F-042 savingToReachTarget
4. MK-ST-F-056 has → MK-CF-F-150 debtPaymentsCountedAsExpenses → MK-CF-O-002 expenses → MK-PL-F-050 simulate → MK-PL-F-042 savingToReachTarget
5. MK-CF-F-191 ym → MK-CF-F-148 inMonth → MK-CF-F-150 debtPaymentsCountedAsExpenses → MK-CF-O-002 expenses → MK-PL-F-050 simulate → MK-PL-F-042 savingToReachTarget
6. MK-CF-F-021 defaultPaymentType → MK-CF-F-022 paymentShape → MK-CF-F-150 debtPaymentsCountedAsExpenses → MK-CF-O-002 expenses → MK-PL-F-050 simulate → MK-PL-F-042 savingToReachTarget
7. MK-XS-F-122 n → MK-ST-F-052 toNum → MK-CF-F-150 debtPaymentsCountedAsExpenses → MK-CF-O-002 expenses → MK-PL-F-050 simulate → MK-PL-F-042 savingToReachTarget
8. MK-CF-F-191 ym → MK-CF-F-150 debtPaymentsCountedAsExpenses → MK-CF-O-002 expenses → MK-PL-F-050 simulate → MK-PL-F-042 savingToReachTarget
9. … and 5 more paths</t>
        </is>
      </c>
      <c r="S411" s="3" t="inlineStr">
        <is>
          <t>—</t>
        </is>
      </c>
      <c r="T411" s="3" t="inlineStr">
        <is>
          <t>—</t>
        </is>
      </c>
      <c r="U411" s="3" t="inlineStr">
        <is>
          <t>ACTIVE</t>
        </is>
      </c>
      <c r="V411" s="3" t="inlineStr">
        <is>
          <t>2026-08-27</t>
        </is>
      </c>
      <c r="W411" s="3" t="n"/>
      <c r="X411" s="3" t="n"/>
      <c r="Y411" s="3" t="inlineStr">
        <is>
          <t>NOTHING OPEN</t>
        </is>
      </c>
    </row>
    <row r="412" ht="60" customHeight="1">
      <c r="A412" s="3" t="inlineStr">
        <is>
          <t>MK-PL-F-043</t>
        </is>
      </c>
      <c r="B412" s="3" t="inlineStr">
        <is>
          <t>howTheGapCloses</t>
        </is>
      </c>
      <c r="C412" s="3" t="inlineStr">
        <is>
          <t>src/domain/planning/target.ts</t>
        </is>
      </c>
      <c r="D412" s="3" t="n">
        <v>254</v>
      </c>
      <c r="E412" s="3" t="inlineStr">
        <is>
          <t>2 · DISPLAYED</t>
        </is>
      </c>
      <c r="F412" s="3" t="inlineStr">
        <is>
          <t>Where the money to close the gap actually comes from — the breakdown that stops a person subtracting and concluding the app cannot add up (founder, 2026-08-14).</t>
        </is>
      </c>
      <c r="G412" s="11" t="inlineStr">
        <is>
          <t>years = max(0, base.retire age − base.current age)
no saving = simulate({ ...base, annual contribution: 0 }).projected at retirement
with saving = simulate({ ...base, annual contribution: total annual saving }).projected at retirement
put in = total annual saving × years</t>
        </is>
      </c>
      <c r="H412" s="3" t="inlineStr">
        <is>
          <t>Years is base.retire age minus base.current age, never below zero. No saving is simulate({ ...base, annual contribution: 0 }).projected at retirement. With saving is simulate({ ...base, annual contribution: total annual saving }).projected at retirement. Put in is total annual saving times years.</t>
        </is>
      </c>
      <c r="I412" s="3" t="inlineStr">
        <is>
          <t>PARTLY READ — some of the code is still showing through; needs a hand pass</t>
        </is>
      </c>
      <c r="J412" s="3" t="inlineStr">
        <is>
          <t>1. base: RetirementInputs
2. totalAnnualSaving: number</t>
        </is>
      </c>
      <c r="K412" s="3" t="inlineStr">
        <is>
          <t>NOT DECLARED — the code does not say what it gives back</t>
        </is>
      </c>
      <c r="L412" s="3" t="inlineStr">
        <is>
          <t>NOT FOUND — a screen calls it, but the words printed beside its answer could not be traced automatically. Needs reading.</t>
        </is>
      </c>
      <c r="M412" s="3" t="inlineStr">
        <is>
          <t>None found in this function — anything it assumes comes from the functions it depends on.</t>
        </is>
      </c>
      <c r="N412" s="3" t="inlineStr">
        <is>
          <t>Yes</t>
        </is>
      </c>
      <c r="O412" s="3" t="inlineStr">
        <is>
          <t>1. MK-XS-F-147 call
2. MK-PL-F-050 simulate</t>
        </is>
      </c>
      <c r="P412" s="3" t="n">
        <v>26</v>
      </c>
      <c r="Q412" s="3" t="inlineStr">
        <is>
          <t>1. MK-XS-F-147 call
2. MK-PL-F-050 simulate
3. MK-ST-F-027 accountId
4. MK-XS-F-064 currentIdToken
5. MK-XS-F-112 relayUrl
6. MK-CF-O-002 expenses
7. MK-CF-F-132 map
8. MK-PL-F-074 median
9. MK-PL-F-072 mulberry32
10. MK-XS-F-122 n
11. MK-PL-F-073 normal
12. MK-PL-F-075 pctOfSorted
13. MK-ST-F-025 rmdStartAgeFromAge
14. MK-CF-F-151 actualSpending
15. MK-CF-F-150 debtPaymentsCountedAsExpenses
16. MK-CF-F-153 radar
17. MK-CF-F-149 recurringDebtPayments
18. MK-ST-F-024 rmdStartAge
19. MK-CF-F-148 inMonth
20. MK-ST-F-052 toNum
21. MK-CF-F-191 ym
22. MK-ST-F-056 has
23. MK-CF-F-022 paymentShape
24. MK-CF-F-152 isRadarItem
25. MK-CF-F-023 requiredPayment
26. MK-CF-F-021 defaultPaymentType</t>
        </is>
      </c>
      <c r="R412" s="3" t="inlineStr">
        <is>
          <t>1. MK-ST-F-027 accountId → MK-XS-F-147 call → MK-PL-F-043 howTheGapCloses
2. MK-XS-F-064 currentIdToken → MK-XS-F-147 call → MK-PL-F-043 howTheGapCloses
3. MK-XS-F-112 relayUrl → MK-XS-F-147 call → MK-PL-F-043 howTheGapCloses
4. MK-CF-F-191 ym → MK-CF-F-148 inMonth → MK-CF-F-151 actualSpending → MK-CF-O-002 expenses → MK-PL-F-050 simulate → MK-PL-F-043 howTheGapCloses
5. MK-XS-F-122 n → MK-ST-F-052 toNum → MK-CF-F-151 actualSpending → MK-CF-O-002 expenses → MK-PL-F-050 simulate → MK-PL-F-043 howTheGapCloses
6. MK-CF-F-191 ym → MK-CF-F-151 actualSpending → MK-CF-O-002 expenses → MK-PL-F-050 simulate → MK-PL-F-043 howTheGapCloses
7. MK-ST-F-056 has → MK-CF-F-150 debtPaymentsCountedAsExpenses → MK-CF-O-002 expenses → MK-PL-F-050 simulate → MK-PL-F-043 howTheGapCloses
8. MK-CF-F-191 ym → MK-CF-F-148 inMonth → MK-CF-F-150 debtPaymentsCountedAsExpenses → MK-CF-O-002 expenses → MK-PL-F-050 simulate → MK-PL-F-043 howTheGapCloses
9. … and 4 more paths</t>
        </is>
      </c>
      <c r="S412" s="3" t="inlineStr">
        <is>
          <t>—</t>
        </is>
      </c>
      <c r="T412" s="3" t="inlineStr">
        <is>
          <t>—</t>
        </is>
      </c>
      <c r="U412" s="3" t="inlineStr">
        <is>
          <t>ACTIVE</t>
        </is>
      </c>
      <c r="V412" s="3" t="inlineStr">
        <is>
          <t>2026-09-09</t>
        </is>
      </c>
      <c r="W412" s="3" t="n"/>
      <c r="X412" s="3" t="n"/>
      <c r="Y412" s="3" t="inlineStr">
        <is>
          <t>NOTHING OPEN</t>
        </is>
      </c>
    </row>
    <row r="413" ht="60" customHeight="1">
      <c r="A413" s="3" t="inlineStr">
        <is>
          <t>MK-PL-F-044</t>
        </is>
      </c>
      <c r="B413" s="3" t="inlineStr">
        <is>
          <t>planTarget</t>
        </is>
      </c>
      <c r="C413" s="3" t="inlineStr">
        <is>
          <t>src/domain/planning/target.ts</t>
        </is>
      </c>
      <c r="D413" s="3" t="n">
        <v>323</v>
      </c>
      <c r="E413" s="3" t="inlineStr">
        <is>
          <t>2 · DISPLAYED</t>
        </is>
      </c>
      <c r="F413" s="3" t="inlineStr">
        <is>
          <t>One call, everything the second gauge and the bridge sentence need.</t>
        </is>
      </c>
      <c r="G413" s="11" t="inlineStr">
        <is>
          <t>sim = simulate(base)
odds = sim.chance of success
projected = sim.projected at retirement
already there = odds ≥ TARGET_ODDS
target = target at retirement(base)
typed = typed target   if typed target ≠ nothing and typed target &gt; 0
nothing   otherwise
saving to target = nothing   if typed = nothing
saving to reach target(base, typed)   otherwise
saving = total = base.annual contribution (or 0 when missing)
extra = 0   if already there
required annual saving(base)   otherwise
extra = saving.extra (or nothing when missing)</t>
        </is>
      </c>
      <c r="H413" s="3" t="inlineStr">
        <is>
          <t>Sim is simulate(base). Odds is sim.chance of success. Projected is sim.projected at retirement. Already there is odds is at least TARGET_ODDS. Target is target at retirement(base). Typed is typed target — when typed target is not no answer and typed target &gt; 0; no answer — otherwise. Saving to target is no answer — when typed is missing; saving to reach target(base, typed) — otherwise. Saving is total = base.annual contribution (or 0 — when missing); extra = 0 — when already there; required annual saving(base) — otherwise. Extra is saving.extra (or no answer — when missing).</t>
        </is>
      </c>
      <c r="I413" s="3" t="inlineStr">
        <is>
          <t>PARTLY READ — some of the code is still showing through; needs a hand pass</t>
        </is>
      </c>
      <c r="J413" s="3" t="inlineStr">
        <is>
          <t>1. base: RetirementInputs
2. annualIncome?: number
3. roomAnnual?: number
4. typedTarget?: number | null</t>
        </is>
      </c>
      <c r="K413" s="3" t="inlineStr">
        <is>
          <t>PlanTarget</t>
        </is>
      </c>
      <c r="L413" s="3" t="inlineStr">
        <is>
          <t>NOT FOUND — a screen calls it, but the words printed beside its answer could not be traced automatically. Needs reading.</t>
        </is>
      </c>
      <c r="M413" s="3" t="inlineStr">
        <is>
          <t>1. If annual contribution is missing it uses 0.
2. Rounds the answer to a whole number.</t>
        </is>
      </c>
      <c r="N413" s="3" t="inlineStr">
        <is>
          <t>Yes</t>
        </is>
      </c>
      <c r="O413" s="3" t="inlineStr">
        <is>
          <t>1. MK-PL-F-041 requiredAnnualSaving
2. MK-PL-F-042 savingToReachTarget
3. MK-PL-F-050 simulate
4. MK-PL-F-040 targetAtRetirement</t>
        </is>
      </c>
      <c r="P413" s="3" t="n">
        <v>27</v>
      </c>
      <c r="Q413" s="3" t="inlineStr">
        <is>
          <t>1. MK-PL-F-041 requiredAnnualSaving
2. MK-PL-F-042 savingToReachTarget
3. MK-PL-F-050 simulate
4. MK-PL-F-040 targetAtRetirement
5. MK-PL-F-071 oddsOf
6. MK-PL-F-070 smallestThatWorks
7. MK-CF-O-002 expenses
8. MK-CF-F-132 map
9. MK-PL-F-074 median
10. MK-PL-F-072 mulberry32
11. MK-XS-F-122 n
12. MK-PL-F-073 normal
13. MK-PL-F-075 pctOfSorted
14. MK-ST-F-025 rmdStartAgeFromAge
15. MK-CF-F-151 actualSpending
16. MK-CF-F-150 debtPaymentsCountedAsExpenses
17. MK-CF-F-153 radar
18. MK-CF-F-149 recurringDebtPayments
19. MK-ST-F-024 rmdStartAge
20. MK-CF-F-148 inMonth
21. MK-ST-F-052 toNum
22. MK-CF-F-191 ym
23. MK-ST-F-056 has
24. MK-CF-F-022 paymentShape
25. MK-CF-F-152 isRadarItem
26. MK-CF-F-023 requiredPayment
27. MK-CF-F-021 defaultPaymentType</t>
        </is>
      </c>
      <c r="R413" s="3" t="inlineStr">
        <is>
          <t>1. MK-CF-F-151 actualSpending → MK-CF-O-002 expenses → MK-PL-F-050 simulate → MK-PL-F-071 oddsOf → MK-PL-F-041 requiredAnnualSaving → MK-PL-F-044 planTarget
2. MK-CF-F-150 debtPaymentsCountedAsExpenses → MK-CF-O-002 expenses → MK-PL-F-050 simulate → MK-PL-F-071 oddsOf → MK-PL-F-041 requiredAnnualSaving → MK-PL-F-044 planTarget
3. MK-CF-F-153 radar → MK-CF-O-002 expenses → MK-PL-F-050 simulate → MK-PL-F-071 oddsOf → MK-PL-F-041 requiredAnnualSaving → MK-PL-F-044 planTarget
4. MK-CF-F-149 recurringDebtPayments → MK-CF-O-002 expenses → MK-PL-F-050 simulate → MK-PL-F-071 oddsOf → MK-PL-F-041 requiredAnnualSaving → MK-PL-F-044 planTarget
5. MK-CF-F-132 map → MK-PL-F-050 simulate → MK-PL-F-071 oddsOf → MK-PL-F-041 requiredAnnualSaving → MK-PL-F-044 planTarget
6. MK-PL-F-074 median → MK-PL-F-050 simulate → MK-PL-F-071 oddsOf → MK-PL-F-041 requiredAnnualSaving → MK-PL-F-044 planTarget
7. MK-PL-F-072 mulberry32 → MK-PL-F-050 simulate → MK-PL-F-071 oddsOf → MK-PL-F-041 requiredAnnualSaving → MK-PL-F-044 planTarget
8. MK-XS-F-122 n → MK-PL-F-050 simulate → MK-PL-F-071 oddsOf → MK-PL-F-041 requiredAnnualSaving → MK-PL-F-044 planTarget
9. … and 5 more paths</t>
        </is>
      </c>
      <c r="S413" s="3" t="inlineStr">
        <is>
          <t>—</t>
        </is>
      </c>
      <c r="T413" s="3" t="inlineStr">
        <is>
          <t>—</t>
        </is>
      </c>
      <c r="U413" s="3" t="inlineStr">
        <is>
          <t>ACTIVE</t>
        </is>
      </c>
      <c r="V413" s="3" t="inlineStr">
        <is>
          <t>2026-09-09</t>
        </is>
      </c>
      <c r="W413" s="3" t="n"/>
      <c r="X413" s="3" t="n"/>
      <c r="Y413" s="3" t="inlineStr">
        <is>
          <t>NOTHING OPEN</t>
        </is>
      </c>
    </row>
    <row r="414" ht="60" customHeight="1">
      <c r="A414" s="3" t="inlineStr">
        <is>
          <t>MK-PL-F-045</t>
        </is>
      </c>
      <c r="B414" s="3" t="inlineStr">
        <is>
          <t>ssUpliftFactor</t>
        </is>
      </c>
      <c r="C414" s="3" t="inlineStr">
        <is>
          <t>src/domain/planning/target.ts</t>
        </is>
      </c>
      <c r="D414" s="3" t="n">
        <v>382</v>
      </c>
      <c r="E414" s="3" t="inlineStr">
        <is>
          <t>3 · DEPENDENT</t>
        </is>
      </c>
      <c r="F414" s="3" t="inlineStr">
        <is>
          <t>Social Security pays roughly 8% more for each year you delay past full retirement age — the claim-later lever has to raise the CHECK, not just move its start date.</t>
        </is>
      </c>
      <c r="G414" s="11" t="inlineStr">
        <is>
          <t>1 + 0.08 × max(0, to age − from age)</t>
        </is>
      </c>
      <c r="H414" s="3" t="inlineStr">
        <is>
          <t>1 plus 0.08 times to age minus from age, never below zero.</t>
        </is>
      </c>
      <c r="I414" s="3" t="inlineStr">
        <is>
          <t>READ FROM THE CODE — rendered from the expressions the function runs</t>
        </is>
      </c>
      <c r="J414" s="3" t="inlineStr">
        <is>
          <t>1. fromAge: number
2. toAge: number</t>
        </is>
      </c>
      <c r="K414" s="3" t="inlineStr">
        <is>
          <t>number</t>
        </is>
      </c>
      <c r="L414" s="3" t="inlineStr">
        <is>
          <t>—</t>
        </is>
      </c>
      <c r="M414" s="3" t="inlineStr">
        <is>
          <t>None found in this function — anything it assumes comes from the functions it depends on.</t>
        </is>
      </c>
      <c r="N414" s="3" t="inlineStr">
        <is>
          <t>Yes</t>
        </is>
      </c>
      <c r="O414" s="3" t="inlineStr">
        <is>
          <t>—</t>
        </is>
      </c>
      <c r="P414" s="3" t="n">
        <v>0</v>
      </c>
      <c r="Q414" s="3" t="inlineStr">
        <is>
          <t>None — no dependent function stands behind it</t>
        </is>
      </c>
      <c r="R414" s="3" t="inlineStr">
        <is>
          <t>No dependent function — it reads its inputs and answers</t>
        </is>
      </c>
      <c r="S414" s="3" t="inlineStr">
        <is>
          <t>—</t>
        </is>
      </c>
      <c r="T414" s="3" t="inlineStr">
        <is>
          <t>—</t>
        </is>
      </c>
      <c r="U414" s="3" t="inlineStr">
        <is>
          <t>ACTIVE</t>
        </is>
      </c>
      <c r="V414" s="3" t="inlineStr">
        <is>
          <t>2026-08-27</t>
        </is>
      </c>
      <c r="W414" s="3" t="n"/>
      <c r="X414" s="3" t="n"/>
      <c r="Y414" s="3" t="inlineStr">
        <is>
          <t>NOTHING OPEN</t>
        </is>
      </c>
    </row>
    <row r="415" ht="60" customHeight="1">
      <c r="A415" s="3" t="inlineStr">
        <is>
          <t>MK-PL-F-046</t>
        </is>
      </c>
      <c r="B415" s="3" t="inlineStr">
        <is>
          <t>leverDeltas</t>
        </is>
      </c>
      <c r="C415" s="3" t="inlineStr">
        <is>
          <t>src/domain/planning/target.ts</t>
        </is>
      </c>
      <c r="D415" s="3" t="n">
        <v>417</v>
      </c>
      <c r="E415" s="3" t="inlineStr">
        <is>
          <t>2 · DISPLAYED</t>
        </is>
      </c>
      <c r="F415" s="3" t="inlineStr">
        <is>
          <t>NOT DETERMINED — the code carries no note saying what this is for, and it has no row in the old inventory. Needs reading.</t>
        </is>
      </c>
      <c r="G415" s="11" t="inlineStr">
        <is>
          <t>base odds = odds of(base)
later = opts.retire later years (or 2 when missing)
cut = opts.spend cut monthly (or 400 when missing)
claim = opts.claim age (or 70 when missing)
from = base.guaranteed start age (or base.retire age when missing)
ss now = ss stream of(base).monthly (or base.guaranteed monthly income (or 0 when missing) when missing)
uplifted = with ss stream(base, math.round(ss now × ss uplift factor(from, claim)), claim)</t>
        </is>
      </c>
      <c r="H415" s="3" t="inlineStr">
        <is>
          <t>Base odds is odds of(base). Later is opts.retire later years (or 2 — when missing). Cut is opts.spend cut monthly (or 400 — when missing). Claim is opts.claim age (or 70 — when missing). From is base.guaranteed start age (or base.retire age — when missing). Ss now is ss stream of(base).monthly (or base.guaranteed monthly income (or 0 — when missing) — when missing). Uplifted is with ss stream(base, math.ss now times ss uplift factor(from, claim, to a whole number), claim).</t>
        </is>
      </c>
      <c r="I415" s="3" t="inlineStr">
        <is>
          <t>PARTLY READ — some of the code is still showing through; needs a hand pass</t>
        </is>
      </c>
      <c r="J415" s="3" t="inlineStr">
        <is>
          <t>1. base: RetirementInputs
2. opts: { spendCutMonthly?: number; retireLaterYears?: number; claimAge?: number } = {}</t>
        </is>
      </c>
      <c r="K415" s="3" t="inlineStr">
        <is>
          <t>Lever[]</t>
        </is>
      </c>
      <c r="L415" s="3" t="inlineStr">
        <is>
          <t>NOT FOUND — a screen calls it, but the words printed beside its answer could not be traced automatically. Needs reading.</t>
        </is>
      </c>
      <c r="M415" s="3" t="inlineStr">
        <is>
          <t>1. If retire later years is missing it uses 2.
2. If spend cut monthly is missing it uses 400.
3. If claim age is missing it uses 70.
4. If guaranteed monthly income is missing it uses 0.
5. Rounds the answer to a whole number.</t>
        </is>
      </c>
      <c r="N415" s="3" t="inlineStr">
        <is>
          <t>Yes</t>
        </is>
      </c>
      <c r="O415" s="3" t="inlineStr">
        <is>
          <t>1. MK-CF-F-132 map
2. MK-PL-F-071 oddsOf
3. MK-PL-F-051 ssStreamOf
4. MK-PL-F-045 ssUpliftFactor
5. MK-PL-F-052 withSsStream</t>
        </is>
      </c>
      <c r="P415" s="3" t="n">
        <v>26</v>
      </c>
      <c r="Q415" s="3" t="inlineStr">
        <is>
          <t>1. MK-CF-F-132 map
2. MK-PL-F-071 oddsOf
3. MK-PL-F-051 ssStreamOf
4. MK-PL-F-045 ssUpliftFactor
5. MK-PL-F-052 withSsStream
6. MK-PL-F-050 simulate
7. MK-CF-O-002 expenses
8. MK-PL-F-074 median
9. MK-PL-F-072 mulberry32
10. MK-XS-F-122 n
11. MK-PL-F-073 normal
12. MK-PL-F-075 pctOfSorted
13. MK-ST-F-025 rmdStartAgeFromAge
14. MK-CF-F-151 actualSpending
15. MK-CF-F-150 debtPaymentsCountedAsExpenses
16. MK-CF-F-153 radar
17. MK-CF-F-149 recurringDebtPayments
18. MK-ST-F-024 rmdStartAge
19. MK-CF-F-148 inMonth
20. MK-ST-F-052 toNum
21. MK-CF-F-191 ym
22. MK-ST-F-056 has
23. MK-CF-F-022 paymentShape
24. MK-CF-F-152 isRadarItem
25. MK-CF-F-023 requiredPayment
26. MK-CF-F-021 defaultPaymentType</t>
        </is>
      </c>
      <c r="R415" s="3" t="inlineStr">
        <is>
          <t>1. MK-CF-F-132 map → MK-PL-F-046 leverDeltas
2. MK-CF-F-148 inMonth → MK-CF-F-151 actualSpending → MK-CF-O-002 expenses → MK-PL-F-050 simulate → MK-PL-F-071 oddsOf → MK-PL-F-046 leverDeltas
3. MK-ST-F-052 toNum → MK-CF-F-151 actualSpending → MK-CF-O-002 expenses → MK-PL-F-050 simulate → MK-PL-F-071 oddsOf → MK-PL-F-046 leverDeltas
4. MK-CF-F-191 ym → MK-CF-F-151 actualSpending → MK-CF-O-002 expenses → MK-PL-F-050 simulate → MK-PL-F-071 oddsOf → MK-PL-F-046 leverDeltas
5. MK-ST-F-056 has → MK-CF-F-150 debtPaymentsCountedAsExpenses → MK-CF-O-002 expenses → MK-PL-F-050 simulate → MK-PL-F-071 oddsOf → MK-PL-F-046 leverDeltas
6. MK-CF-F-148 inMonth → MK-CF-F-150 debtPaymentsCountedAsExpenses → MK-CF-O-002 expenses → MK-PL-F-050 simulate → MK-PL-F-071 oddsOf → MK-PL-F-046 leverDeltas
7. MK-CF-F-022 paymentShape → MK-CF-F-150 debtPaymentsCountedAsExpenses → MK-CF-O-002 expenses → MK-PL-F-050 simulate → MK-PL-F-071 oddsOf → MK-PL-F-046 leverDeltas
8. MK-ST-F-052 toNum → MK-CF-F-150 debtPaymentsCountedAsExpenses → MK-CF-O-002 expenses → MK-PL-F-050 simulate → MK-PL-F-071 oddsOf → MK-PL-F-046 leverDeltas
9. … and 5 more paths</t>
        </is>
      </c>
      <c r="S415" s="3" t="inlineStr">
        <is>
          <t>—</t>
        </is>
      </c>
      <c r="T415" s="3" t="inlineStr">
        <is>
          <t>—</t>
        </is>
      </c>
      <c r="U415" s="3" t="inlineStr">
        <is>
          <t>ACTIVE</t>
        </is>
      </c>
      <c r="V415" s="3" t="inlineStr">
        <is>
          <t>2026-08-27</t>
        </is>
      </c>
      <c r="W415" s="3" t="n"/>
      <c r="X415" s="3" t="n"/>
      <c r="Y415" s="3" t="inlineStr">
        <is>
          <t>NOTHING OPEN</t>
        </is>
      </c>
    </row>
    <row r="416" ht="60" customHeight="1">
      <c r="A416" s="3" t="inlineStr">
        <is>
          <t>MK-PL-F-047</t>
        </is>
      </c>
      <c r="B416" s="3" t="inlineStr">
        <is>
          <t>colFactor</t>
        </is>
      </c>
      <c r="C416" s="3" t="inlineStr">
        <is>
          <t>src/domain/retirement/col.ts</t>
        </is>
      </c>
      <c r="D416" s="3" t="n">
        <v>79</v>
      </c>
      <c r="E416" s="3" t="inlineStr">
        <is>
          <t>2 · DISPLAYED</t>
        </is>
      </c>
      <c r="F416" s="3" t="inlineStr">
        <is>
          <t>Cost-of-living factor for a free-text location.</t>
        </is>
      </c>
      <c r="G416" s="11" t="inlineStr">
        <is>
          <t>q = string(location ?? '').trim().to lower case()
factor = 1
name = nothing   when q is missing
the answer:
factor = row.factor
name = row.name
[LOOP — the answer is found inside a loop the extractor cannot render; the steps above are the ones before it. Read by hand.]</t>
        </is>
      </c>
      <c r="H416" s="3" t="inlineStr">
        <is>
          <t>Q is string(location ?? '').trim().to lower case(). When q is missing, it answers factor = 1; name is missing. The answer is factor = row.factor; name = row.name. The answer is found inside a loop that cannot be rendered here; read the code by hand.</t>
        </is>
      </c>
      <c r="I416" s="3" t="inlineStr">
        <is>
          <t>PARTLY READ — the body has a loop the extractor cannot render; the steps shown are the ones before it. Needs a hand pass (G23).</t>
        </is>
      </c>
      <c r="J416" s="3" t="inlineStr">
        <is>
          <t>location?: string | null</t>
        </is>
      </c>
      <c r="K416" s="3" t="inlineStr">
        <is>
          <t>ColMatch</t>
        </is>
      </c>
      <c r="L416" s="3" t="inlineStr">
        <is>
          <t>1. "Country / region" — on the setup questions, which appear on more than one screen
2. "You plan to spend" — on the Retirement cockpit screen</t>
        </is>
      </c>
      <c r="M416" s="3" t="inlineStr">
        <is>
          <t>None found in this function — anything it assumes comes from the functions it depends on.</t>
        </is>
      </c>
      <c r="N416" s="3" t="inlineStr">
        <is>
          <t>Yes</t>
        </is>
      </c>
      <c r="O416" s="3" t="inlineStr">
        <is>
          <t>—</t>
        </is>
      </c>
      <c r="P416" s="3" t="n">
        <v>0</v>
      </c>
      <c r="Q416" s="3" t="inlineStr">
        <is>
          <t>None — no dependent function stands behind it</t>
        </is>
      </c>
      <c r="R416" s="3" t="inlineStr">
        <is>
          <t>No dependent function — it reads its inputs and answers</t>
        </is>
      </c>
      <c r="S416" s="3" t="inlineStr">
        <is>
          <t>—</t>
        </is>
      </c>
      <c r="T416" s="3" t="inlineStr">
        <is>
          <t>COST_OF_LIVING</t>
        </is>
      </c>
      <c r="U416" s="3" t="inlineStr">
        <is>
          <t>ACTIVE</t>
        </is>
      </c>
      <c r="V416" s="3" t="inlineStr">
        <is>
          <t>2026-09-08</t>
        </is>
      </c>
      <c r="W416" s="3" t="n"/>
      <c r="X416" s="3" t="n"/>
      <c r="Y416" s="3" t="inlineStr">
        <is>
          <t>NOTHING OPEN</t>
        </is>
      </c>
    </row>
    <row r="417" ht="60" customHeight="1">
      <c r="A417" s="3" t="inlineStr">
        <is>
          <t>MK-PL-F-048</t>
        </is>
      </c>
      <c r="B417" s="3" t="inlineStr">
        <is>
          <t>capitalNeeded</t>
        </is>
      </c>
      <c r="C417" s="3" t="inlineStr">
        <is>
          <t>src/domain/retirement/index.ts</t>
        </is>
      </c>
      <c r="D417" s="3" t="n">
        <v>61</v>
      </c>
      <c r="E417" s="3" t="inlineStr">
        <is>
          <t>2 · DISPLAYED</t>
        </is>
      </c>
      <c r="F417" s="3" t="inlineStr">
        <is>
          <t>NOT DETERMINED — the code carries no note saying what this is for, and it has no row in the old inventory. Needs reading.</t>
        </is>
      </c>
      <c r="G417" s="11" t="inlineStr">
        <is>
          <t>years = max(1, inp.horizon age − inp.retire age)
net annual = max(0, (inp.monthly spend − inp.guaranteed monthly) × 12)
r = inp.real return
annuity factor = (1 − math.pow(1 + r, -years)) ÷ r   if r &gt; 0
years   otherwise
pv bequest = inp.bequest ÷ (1 + max(0, r))^(years)   if inp.bequest &gt; 0
0   otherwise</t>
        </is>
      </c>
      <c r="H417" s="3" t="inlineStr">
        <is>
          <t>Years: the larger of 1 and inp.horizon age minus inp.retire age. Net annual is (inp.monthly spend minus inp.guaranteed monthly, never below zero times 12). R is inp.real return. Annuity factor is (1 minus math.pow(1 plus r, -years)) divided by r — when r &gt; 0; years — otherwise. Pv bequest is inp.bequest divided by (1 plus r, never below zero)^(years) — when inp.bequest &gt; 0; 0 — otherwise.</t>
        </is>
      </c>
      <c r="I417" s="3" t="inlineStr">
        <is>
          <t>PARTLY READ — some of the code is still showing through; needs a hand pass</t>
        </is>
      </c>
      <c r="J417" s="3" t="inlineStr">
        <is>
          <t>inp: CapitalNeedInputs</t>
        </is>
      </c>
      <c r="K417" s="3" t="inlineStr">
        <is>
          <t>CapitalNeed</t>
        </is>
      </c>
      <c r="L417" s="3" t="inlineStr">
        <is>
          <t>1. "Annuity / other" — on the setup questions, which appear on more than one screen
2. "Capital needed" — on the setup questions, which appear on more than one screen
3. "Leave behind (your legacy goal)" — on the setup questions, which appear on more than one screen
4. "To fund from savings" — on the setup questions, which appear on more than one screen
5. "What are you saving for?" — on the setup questions, which appear on more than one screen
6. "Your retirement outlook" — on the setup questions, which appear on more than one screen</t>
        </is>
      </c>
      <c r="M417" s="3" t="inlineStr">
        <is>
          <t>1. Turns a monthly figure into a year by multiplying by twelve.
2. Never lets r fall below 0.</t>
        </is>
      </c>
      <c r="N417" s="3" t="inlineStr">
        <is>
          <t>Yes</t>
        </is>
      </c>
      <c r="O417" s="3" t="inlineStr">
        <is>
          <t>—</t>
        </is>
      </c>
      <c r="P417" s="3" t="n">
        <v>0</v>
      </c>
      <c r="Q417" s="3" t="inlineStr">
        <is>
          <t>None — no dependent function stands behind it</t>
        </is>
      </c>
      <c r="R417" s="3" t="inlineStr">
        <is>
          <t>No dependent function — it reads its inputs and answers</t>
        </is>
      </c>
      <c r="S417" s="3" t="inlineStr">
        <is>
          <t>—</t>
        </is>
      </c>
      <c r="T417" s="3" t="inlineStr">
        <is>
          <t>—</t>
        </is>
      </c>
      <c r="U417" s="3" t="inlineStr">
        <is>
          <t>ACTIVE</t>
        </is>
      </c>
      <c r="V417" s="3" t="inlineStr">
        <is>
          <t>2026-08-27</t>
        </is>
      </c>
      <c r="W417" s="3" t="n"/>
      <c r="X417" s="3" t="n"/>
      <c r="Y417" s="3" t="inlineStr">
        <is>
          <t>NOTHING OPEN</t>
        </is>
      </c>
    </row>
    <row r="418" ht="60" customHeight="1">
      <c r="A418" s="3" t="inlineStr">
        <is>
          <t>MK-PL-F-049</t>
        </is>
      </c>
      <c r="B418" s="3" t="inlineStr">
        <is>
          <t>retirementSpendMonthly</t>
        </is>
      </c>
      <c r="C418" s="3" t="inlineStr">
        <is>
          <t>src/domain/retirement/index.ts</t>
        </is>
      </c>
      <c r="D418" s="3" t="n">
        <v>113</v>
      </c>
      <c r="E418" s="3" t="inlineStr">
        <is>
          <t>2 · DISPLAYED</t>
        </is>
      </c>
      <c r="F418" s="3" t="inlineStr">
        <is>
          <t>All-in monthly retirement spend = base + travel + medical (annual→monthly), adjusted by the expected trajectory (spend less / same / more later) and the retirement location's cost-of-living factor (retLocation).</t>
        </is>
      </c>
      <c r="G418" s="11" t="inlineStr">
        <is>
          <t>a = op (or none when missing)
base = expected retirement expenses read as a number (0 when it is not one) (or monthly expenses read as a number (0 when it is not one) (or 0 when missing or zero) when missing or zero)
travel = to num(travel budget) ÷ 12
medical = to num(medical budget) ÷ 12
mult = 0.85   if expenses change later = 'less'
1.15   if expenses change later = 'more'
1   otherwise   otherwise
the answer = (base + travel + medical) × mult × col factor(ret location).factor</t>
        </is>
      </c>
      <c r="H418" s="3" t="inlineStr">
        <is>
          <t>A is op (or none — when missing). Base is expected retirement expenses read as a number (0 — when it is one is missing) (or monthly expenses read as a number (0 — when it is one is missing) (or 0 — when missing or zero) — when missing or zero). Travel is to num(travel budget) divided by 12. Medical is to num(medical budget) divided by 12. Mult is 0.85 — when expenses change later = 'less'; 1.15 — when expenses change later = 'more'; 1 — otherwise — otherwise. The answer is (base plus travel plus medical) times mult times col factor(ret location).factor.</t>
        </is>
      </c>
      <c r="I418" s="3" t="inlineStr">
        <is>
          <t>PARTLY READ — some of the code is still showing through; needs a hand pass</t>
        </is>
      </c>
      <c r="J418" s="3" t="inlineStr">
        <is>
          <t>op: OnboardingProfile | null</t>
        </is>
      </c>
      <c r="K418" s="3" t="inlineStr">
        <is>
          <t>number</t>
        </is>
      </c>
      <c r="L418" s="3" t="inlineStr">
        <is>
          <t>NOT FOUND — a screen calls it, but the words printed beside its answer could not be traced automatically. Needs reading.</t>
        </is>
      </c>
      <c r="M418" s="3" t="inlineStr">
        <is>
          <t>None found in this function — anything it assumes comes from the functions it depends on.</t>
        </is>
      </c>
      <c r="N418" s="3" t="inlineStr">
        <is>
          <t>Yes</t>
        </is>
      </c>
      <c r="O418" s="3" t="inlineStr">
        <is>
          <t>1. MK-PL-F-047 colFactor
2. MK-CF-O-002 expenses
3. MK-PL-F-001 taxBucketSplit
4. MK-ST-F-052 toNum</t>
        </is>
      </c>
      <c r="P418" s="3" t="n">
        <v>28</v>
      </c>
      <c r="Q418" s="3" t="inlineStr">
        <is>
          <t>1. MK-PL-F-047 colFactor
2. MK-CF-O-002 expenses
3. MK-PL-F-001 taxBucketSplit
4. MK-ST-F-052 toNum
5. MK-CF-F-151 actualSpending
6. MK-CF-F-150 debtPaymentsCountedAsExpenses
7. MK-CF-F-153 radar
8. MK-CF-F-149 recurringDebtPayments
9. MK-NW-F-032 earmarkedAmount
10. MK-XS-F-122 n
11. MK-CF-F-148 inMonth
12. MK-CF-F-191 ym
13. MK-ST-F-056 has
14. MK-CF-F-022 paymentShape
15. MK-CF-F-152 isRadarItem
16. MK-CF-F-023 requiredPayment
17. MK-CF-F-132 map
18. MK-NW-F-030 earmarkDefault
19. MK-CF-F-021 defaultPaymentType
20. MK-NW-F-011 assetClassOf
21. MK-NW-F-013 realEstateUseOf
22. MK-NW-F-008 incomeBearingClassOf
23. MK-CF-F-155 cash
24. MK-ST-F-010 nameEvidence
25. MK-XS-F-147 call
26. MK-ST-F-027 accountId
27. MK-XS-F-064 currentIdToken
28. MK-XS-F-112 relayUrl</t>
        </is>
      </c>
      <c r="R418" s="3" t="inlineStr">
        <is>
          <t>1. MK-PL-F-047 colFactor → MK-PL-F-049 retirementSpendMonthly
2. MK-CF-F-191 ym → MK-CF-F-148 inMonth → MK-CF-F-151 actualSpending → MK-CF-O-002 expenses → MK-PL-F-049 retirementSpendMonthly
3. MK-XS-F-122 n → MK-ST-F-052 toNum → MK-CF-F-151 actualSpending → MK-CF-O-002 expenses → MK-PL-F-049 retirementSpendMonthly
4. MK-CF-F-191 ym → MK-CF-F-151 actualSpending → MK-CF-O-002 expenses → MK-PL-F-049 retirementSpendMonthly
5. MK-ST-F-056 has → MK-CF-F-150 debtPaymentsCountedAsExpenses → MK-CF-O-002 expenses → MK-PL-F-049 retirementSpendMonthly
6. MK-CF-F-191 ym → MK-CF-F-148 inMonth → MK-CF-F-150 debtPaymentsCountedAsExpenses → MK-CF-O-002 expenses → MK-PL-F-049 retirementSpendMonthly
7. MK-CF-F-021 defaultPaymentType → MK-CF-F-022 paymentShape → MK-CF-F-150 debtPaymentsCountedAsExpenses → MK-CF-O-002 expenses → MK-PL-F-049 retirementSpendMonthly
8. MK-XS-F-122 n → MK-ST-F-052 toNum → MK-CF-F-150 debtPaymentsCountedAsExpenses → MK-CF-O-002 expenses → MK-PL-F-049 retirementSpendMonthly
9. … and 5 more paths</t>
        </is>
      </c>
      <c r="S418" s="3" t="inlineStr">
        <is>
          <t>MK-PL-M-009</t>
        </is>
      </c>
      <c r="T418" s="3" t="inlineStr">
        <is>
          <t>RETIREMENT_SPENDING</t>
        </is>
      </c>
      <c r="U418" s="3" t="inlineStr">
        <is>
          <t>ACTIVE</t>
        </is>
      </c>
      <c r="V418" s="3" t="inlineStr">
        <is>
          <t>2026-09-12</t>
        </is>
      </c>
      <c r="W418" s="3" t="n"/>
      <c r="X418" s="3" t="n"/>
      <c r="Y418" s="3" t="inlineStr">
        <is>
          <t>NOTHING OPEN</t>
        </is>
      </c>
    </row>
    <row r="419" ht="60" customHeight="1">
      <c r="A419" s="3" t="inlineStr">
        <is>
          <t>MK-PL-F-050</t>
        </is>
      </c>
      <c r="B419" s="3" t="inlineStr">
        <is>
          <t>simulate</t>
        </is>
      </c>
      <c r="C419" s="3" t="inlineStr">
        <is>
          <t>src/domain/retirement/index.ts</t>
        </is>
      </c>
      <c r="D419" s="3" t="n">
        <v>372</v>
      </c>
      <c r="E419" s="3" t="inlineStr">
        <is>
          <t>2 · DISPLAYED</t>
        </is>
      </c>
      <c r="F419" s="3" t="inlineStr">
        <is>
          <t>B4 (founder brief 2026-08-20): the RMD rule lives in the ONE dated, sourced table — the Calculation Module's rmd function.</t>
        </is>
      </c>
      <c r="G419" s="11" t="inlineStr">
        <is>
          <t>paths = inp.paths (or 1000 when missing)
n acc = max(0, inp.retire age − inp.current age)
n dec = max(0, inp.horizon age − inp.retire age)
rng = mulberry32(inp.seed ?? 12345)
infl factor = (1 + inp.inflation)^(n acc)
spend at retire = inp.retire monthly spend today × 12 × infl factor
guar at retire = Σ over streams of (annual at retire)
total years = n acc + n dec
now year = inp.now year (or 2026 when missing)
birth year sim = now year − inp.current age
rmd start sim = rmd start age from age(inp.current age, now year)
… the first steps only — the rest of the body needs reading by hand.</t>
        </is>
      </c>
      <c r="H419" s="3" t="inlineStr">
        <is>
          <t>Paths is inp.paths (or 1000 — when missing). N acc is inp.retire age minus inp.current age, never below zero. N dec is inp.horizon age minus inp.retire age, never below zero. Rng is mulberry32(inp.seed ?? 12345). Infl factor is (1 plus inp.inflation)^(n acc). Spend at retire is inp.retire monthly spend today times 12 times infl factor. Guar at retire: the annual at retire added up across streams. Total years is n acc plus n dec. Now year is inp.now year (or 2026 — when missing). Birth year sim is now year minus inp.current age. Rmd start sim is rmd start age from age(inp.current age, now year). Only the first steps are shown; the rest of the body needs reading by hand.</t>
        </is>
      </c>
      <c r="I419" s="3" t="inlineStr">
        <is>
          <t>PARTLY READ — some of the code is still showing through; needs a hand pass</t>
        </is>
      </c>
      <c r="J419" s="3" t="inlineStr">
        <is>
          <t>inp: RetirementInputs</t>
        </is>
      </c>
      <c r="K419" s="3" t="inlineStr">
        <is>
          <t>NOT DECLARED — the code does not say what it gives back</t>
        </is>
      </c>
      <c r="L419" s="3" t="inlineStr">
        <is>
          <t>1. "Claim at age" — on the Retirement cockpit screen
2. "Run Monte Carlo simulation" — on the Retirement cockpit screen</t>
        </is>
      </c>
      <c r="M419" s="3" t="inlineStr">
        <is>
          <t>1. If paths is missing it uses 1000.
2. If seed is missing it uses 12345.
3. If now year is missing it uses 2026.
4. If contribution growth is missing it uses 0.
5. If pre tax share is missing it uses 0.
6. If monthly is missing it counts as zero, so nothing recorded and a real zero look the same.
7. If one off by year[off] is missing it counts as zero, so nothing recorded and a real zero look the same.
8. If recurring by year[y] is missing it counts as zero, so nothing recorded and a real zero look the same.
9. If contrib by year[y] is missing it counts as zero, so nothing recorded and a real zero look the same.
10. Uses a built-in successes of 0.
11. Turns a monthly figure into a year by multiplying by twelve.
12. Never lets off fall below 0.
13. Never lets balance fall below 0.
14. Never lets required withdrawal tax rate fall below 0.
15. The tax on pre-tax withdrawals is the rate the caller passes, capped at 60%; when no rate is passed NO tax is applied and the result says so — never a built-in 22% (G7, founder 2026-09-12).
16. Founder ruling 2026-09-08 (G17): one count, 1,000 futures, on every surface; the guard test simulation_paths.test.ts fails on any other number.</t>
        </is>
      </c>
      <c r="N419" s="3" t="inlineStr">
        <is>
          <t>Yes</t>
        </is>
      </c>
      <c r="O419" s="3" t="inlineStr">
        <is>
          <t>1. MK-CF-O-002 expenses
2. MK-CF-F-132 map
3. MK-PL-F-074 median
4. MK-PL-F-072 mulberry32
5. MK-XS-F-122 n
6. MK-PL-F-073 normal
7. MK-PL-F-075 pctOfSorted
8. MK-ST-F-025 rmdStartAgeFromAge</t>
        </is>
      </c>
      <c r="P419" s="3" t="n">
        <v>21</v>
      </c>
      <c r="Q419" s="3" t="inlineStr">
        <is>
          <t>1. MK-CF-O-002 expenses
2. MK-CF-F-132 map
3. MK-PL-F-074 median
4. MK-PL-F-072 mulberry32
5. MK-XS-F-122 n
6. MK-PL-F-073 normal
7. MK-PL-F-075 pctOfSorted
8. MK-ST-F-025 rmdStartAgeFromAge
9. MK-CF-F-151 actualSpending
10. MK-CF-F-150 debtPaymentsCountedAsExpenses
11. MK-CF-F-153 radar
12. MK-CF-F-149 recurringDebtPayments
13. MK-ST-F-024 rmdStartAge
14. MK-CF-F-148 inMonth
15. MK-ST-F-052 toNum
16. MK-CF-F-191 ym
17. MK-ST-F-056 has
18. MK-CF-F-022 paymentShape
19. MK-CF-F-152 isRadarItem
20. MK-CF-F-023 requiredPayment
21. MK-CF-F-021 defaultPaymentType</t>
        </is>
      </c>
      <c r="R419" s="3" t="inlineStr">
        <is>
          <t>1. MK-CF-F-191 ym → MK-CF-F-148 inMonth → MK-CF-F-151 actualSpending → MK-CF-O-002 expenses → MK-PL-F-050 simulate
2. MK-XS-F-122 n → MK-ST-F-052 toNum → MK-CF-F-151 actualSpending → MK-CF-O-002 expenses → MK-PL-F-050 simulate
3. MK-CF-F-191 ym → MK-CF-F-151 actualSpending → MK-CF-O-002 expenses → MK-PL-F-050 simulate
4. MK-ST-F-056 has → MK-CF-F-150 debtPaymentsCountedAsExpenses → MK-CF-O-002 expenses → MK-PL-F-050 simulate
5. MK-CF-F-191 ym → MK-CF-F-148 inMonth → MK-CF-F-150 debtPaymentsCountedAsExpenses → MK-CF-O-002 expenses → MK-PL-F-050 simulate
6. MK-CF-F-021 defaultPaymentType → MK-CF-F-022 paymentShape → MK-CF-F-150 debtPaymentsCountedAsExpenses → MK-CF-O-002 expenses → MK-PL-F-050 simulate
7. MK-XS-F-122 n → MK-ST-F-052 toNum → MK-CF-F-150 debtPaymentsCountedAsExpenses → MK-CF-O-002 expenses → MK-PL-F-050 simulate
8. MK-CF-F-191 ym → MK-CF-F-150 debtPaymentsCountedAsExpenses → MK-CF-O-002 expenses → MK-PL-F-050 simulate
9. … and 5 more paths</t>
        </is>
      </c>
      <c r="S419" s="3" t="inlineStr">
        <is>
          <t>MK-CF-M-022 · MK-PL-M-034 · MK-XS-M-002</t>
        </is>
      </c>
      <c r="T419" s="3" t="inlineStr">
        <is>
          <t>WILL_IT_LAST</t>
        </is>
      </c>
      <c r="U419" s="3" t="inlineStr">
        <is>
          <t>ACTIVE</t>
        </is>
      </c>
      <c r="V419" s="3" t="inlineStr">
        <is>
          <t>2026-09-08</t>
        </is>
      </c>
      <c r="W419" s="3" t="n"/>
      <c r="X419" s="3" t="n"/>
      <c r="Y419" s="6" t="inlineStr">
        <is>
          <t>TESTED, NOT VERIFIED (G14, G17, G7, Odds — exact, no rounding)</t>
        </is>
      </c>
    </row>
    <row r="420" ht="60" customHeight="1">
      <c r="A420" s="3" t="inlineStr">
        <is>
          <t>MK-PL-F-051</t>
        </is>
      </c>
      <c r="B420" s="3" t="inlineStr">
        <is>
          <t>ssStreamOf</t>
        </is>
      </c>
      <c r="C420" s="3" t="inlineStr">
        <is>
          <t>src/domain/retirement/index.ts</t>
        </is>
      </c>
      <c r="D420" s="3" t="n">
        <v>521</v>
      </c>
      <c r="E420" s="3" t="inlineStr">
        <is>
          <t>3 · DEPENDENT</t>
        </is>
      </c>
      <c r="F420" s="3" t="inlineStr">
        <is>
          <t>The Social Security stream inside an input set, when streams are in use.</t>
        </is>
      </c>
      <c r="G420" s="11" t="inlineStr">
        <is>
          <t>st = (inp.guaranteed streams ?? []).find((x) =&gt; kind = 'ss')
the answer:
monthly = st.monthly
start age = st.start age   if st
nothing   otherwise</t>
        </is>
      </c>
      <c r="H420" s="3" t="inlineStr">
        <is>
          <t>St is (inp.guaranteed streams ?? []).find((x) =&gt; kind = 'ss'). The answer is monthly = st.monthly; start age = st.start age — when st; no answer — otherwise.</t>
        </is>
      </c>
      <c r="I420" s="3" t="inlineStr">
        <is>
          <t>PARTLY READ — some of the code is still showing through; needs a hand pass</t>
        </is>
      </c>
      <c r="J420" s="3" t="inlineStr">
        <is>
          <t>inp: RetirementInputs</t>
        </is>
      </c>
      <c r="K420" s="3" t="inlineStr">
        <is>
          <t>NOT DECLARED — the code does not say what it gives back</t>
        </is>
      </c>
      <c r="L420" s="3" t="inlineStr">
        <is>
          <t>—</t>
        </is>
      </c>
      <c r="M420" s="3" t="inlineStr">
        <is>
          <t>None found in this function — anything it assumes comes from the functions it depends on.</t>
        </is>
      </c>
      <c r="N420" s="3" t="inlineStr">
        <is>
          <t>Yes</t>
        </is>
      </c>
      <c r="O420" s="3" t="inlineStr">
        <is>
          <t>—</t>
        </is>
      </c>
      <c r="P420" s="3" t="n">
        <v>0</v>
      </c>
      <c r="Q420" s="3" t="inlineStr">
        <is>
          <t>None — no dependent function stands behind it</t>
        </is>
      </c>
      <c r="R420" s="3" t="inlineStr">
        <is>
          <t>No dependent function — it reads its inputs and answers</t>
        </is>
      </c>
      <c r="S420" s="3" t="inlineStr">
        <is>
          <t>—</t>
        </is>
      </c>
      <c r="T420" s="3" t="inlineStr">
        <is>
          <t>—</t>
        </is>
      </c>
      <c r="U420" s="3" t="inlineStr">
        <is>
          <t>ACTIVE</t>
        </is>
      </c>
      <c r="V420" s="3" t="inlineStr">
        <is>
          <t>2026-08-27</t>
        </is>
      </c>
      <c r="W420" s="3" t="n"/>
      <c r="X420" s="3" t="n"/>
      <c r="Y420" s="3" t="inlineStr">
        <is>
          <t>NOTHING OPEN</t>
        </is>
      </c>
    </row>
    <row r="421" ht="60" customHeight="1">
      <c r="A421" s="3" t="inlineStr">
        <is>
          <t>MK-PL-F-052</t>
        </is>
      </c>
      <c r="B421" s="3" t="inlineStr">
        <is>
          <t>withSsStream</t>
        </is>
      </c>
      <c r="C421" s="3" t="inlineStr">
        <is>
          <t>src/domain/retirement/index.ts</t>
        </is>
      </c>
      <c r="D421" s="3" t="n">
        <v>550</v>
      </c>
      <c r="E421" s="3" t="inlineStr">
        <is>
          <t>2 · DISPLAYED</t>
        </is>
      </c>
      <c r="F421" s="3" t="inlineStr">
        <is>
          <t>An input set with its Social Security stream replaced — the ONE way a decision screen patches a claim scenario, so the flat streams ride along untouched and the legacy fields stay in step for anything still reading them.</t>
        </is>
      </c>
      <c r="G421" s="11" t="inlineStr">
        <is>
          <t>others = inp.guaranteed streams (or none when missing) where kind ! = 'ss'</t>
        </is>
      </c>
      <c r="H421" s="3" t="inlineStr">
        <is>
          <t>Others is inp.guaranteed streams (or none — when missing) where kind ! = 'ss'.</t>
        </is>
      </c>
      <c r="I421" s="3" t="inlineStr">
        <is>
          <t>PARTLY READ — some of the code is still showing through; needs a hand pass</t>
        </is>
      </c>
      <c r="J421" s="3" t="inlineStr">
        <is>
          <t>1. inp: RetirementInputs
2. monthly: number
3. claimAge: number</t>
        </is>
      </c>
      <c r="K421" s="3" t="inlineStr">
        <is>
          <t>RetirementInputs</t>
        </is>
      </c>
      <c r="L421" s="3" t="inlineStr">
        <is>
          <t>NOT FOUND — a screen calls it, but the words printed beside its answer could not be traced automatically. Needs reading.</t>
        </is>
      </c>
      <c r="M421" s="3" t="inlineStr">
        <is>
          <t>None found in this function — anything it assumes comes from the functions it depends on.</t>
        </is>
      </c>
      <c r="N421" s="3" t="inlineStr">
        <is>
          <t>Yes</t>
        </is>
      </c>
      <c r="O421" s="3" t="inlineStr">
        <is>
          <t>—</t>
        </is>
      </c>
      <c r="P421" s="3" t="n">
        <v>0</v>
      </c>
      <c r="Q421" s="3" t="inlineStr">
        <is>
          <t>None — no dependent function stands behind it</t>
        </is>
      </c>
      <c r="R421" s="3" t="inlineStr">
        <is>
          <t>No dependent function — it reads its inputs and answers</t>
        </is>
      </c>
      <c r="S421" s="3" t="inlineStr">
        <is>
          <t>—</t>
        </is>
      </c>
      <c r="T421" s="3" t="inlineStr">
        <is>
          <t>—</t>
        </is>
      </c>
      <c r="U421" s="3" t="inlineStr">
        <is>
          <t>ACTIVE</t>
        </is>
      </c>
      <c r="V421" s="3" t="inlineStr">
        <is>
          <t>2026-08-27</t>
        </is>
      </c>
      <c r="W421" s="3" t="n"/>
      <c r="X421" s="3" t="n"/>
      <c r="Y421" s="3" t="inlineStr">
        <is>
          <t>NOTHING OPEN</t>
        </is>
      </c>
    </row>
    <row r="422" ht="60" customHeight="1">
      <c r="A422" s="3" t="inlineStr">
        <is>
          <t>MK-PL-F-053</t>
        </is>
      </c>
      <c r="B422" s="3" t="inlineStr">
        <is>
          <t>buildRetirementState</t>
        </is>
      </c>
      <c r="C422" s="3" t="inlineStr">
        <is>
          <t>src/domain/retirement/index.ts</t>
        </is>
      </c>
      <c r="D422" s="3" t="n">
        <v>584</v>
      </c>
      <c r="E422" s="3" t="inlineStr">
        <is>
          <t>3 · DEPENDENT</t>
        </is>
      </c>
      <c r="F422" s="3" t="inlineStr">
        <is>
          <t>NOT DETERMINED — the code carries no note saying what this is for, and it has no row in the old inventory. Needs reading.</t>
        </is>
      </c>
      <c r="G422" s="11" t="inlineStr">
        <is>
          <t>sim = simulate(inp)</t>
        </is>
      </c>
      <c r="H422" s="3" t="inlineStr">
        <is>
          <t>Sim is simulate(inp).</t>
        </is>
      </c>
      <c r="I422" s="3" t="inlineStr">
        <is>
          <t>READ FROM THE CODE — rendered from the expressions the function runs</t>
        </is>
      </c>
      <c r="J422" s="3" t="inlineStr">
        <is>
          <t>1. uid: UserId
2. inp: RetirementInputs</t>
        </is>
      </c>
      <c r="K422" s="3" t="inlineStr">
        <is>
          <t>RetirementState</t>
        </is>
      </c>
      <c r="L422" s="3" t="inlineStr">
        <is>
          <t>—</t>
        </is>
      </c>
      <c r="M422" s="3" t="inlineStr">
        <is>
          <t>· If paths is missing it uses 1000.</t>
        </is>
      </c>
      <c r="N422" s="3" t="inlineStr">
        <is>
          <t>Yes</t>
        </is>
      </c>
      <c r="O422" s="3" t="inlineStr">
        <is>
          <t>1. MK-PL-F-050 simulate
2. MK-XS-F-175 uid</t>
        </is>
      </c>
      <c r="P422" s="3" t="n">
        <v>97</v>
      </c>
      <c r="Q422" s="3" t="inlineStr">
        <is>
          <t>1. MK-PL-F-050 simulate
2. MK-XS-F-175 uid
3. MK-CF-O-002 expenses
4. MK-CF-F-132 map
5. MK-PL-F-074 median
6. MK-PL-F-072 mulberry32
7. MK-XS-F-122 n
8. MK-PL-F-073 normal
9. MK-PL-F-075 pctOfSorted
10. MK-ST-F-025 rmdStartAgeFromAge
11. MK-ST-F-027 accountId
12. MK-CF-F-111 applyTransaction
13. MK-NW-F-040 assetsFromOnboarding
14. MK-PF-F-013 benchmarkTicker
15. MK-ST-F-028 buildDayFromAccounts
16. MK-PF-F-034 closeOnOrBefore
17. MK-CF-F-186 convertTakeHomeMode
18. MK-ST-F-079 dailyWindowStart
19. MK-CF-F-038 debtsFromOnboarding
20. MK-XS-F-083 fetchPriceSeries
21. MK-PL-F-013 goalsFromOnboarding
22. MK-ST-F-056 has
23. MK-CF-F-116 inverseOf
24. MK-ST-F-065 isoLocalDate
25. MK-CF-F-112 makeTransaction
26. MK-ST-F-043 newEntityId
27. MK-XS-F-006 pruneDaily
28. MK-ST-F-073 rebuildDays
29. MK-NW-F-054 reclassifyAccounts
30. MK-XS-F-174 recomputeBalances
31. MK-CF-F-115 restoreUndo
32. MK-CF-F-109 reviewTransactions
33. MK-ST-F-044 setMoneyFormat
34. MK-CF-F-114 undoSnapshot
35. MK-CF-F-191 ym
36. MK-CF-F-151 actualSpending
37. MK-CF-F-150 debtPaymentsCountedAsExpenses
38. MK-CF-F-153 radar
39. MK-CF-F-149 recurringDebtPayments
40. MK-ST-F-024 rmdStartAge
41. MK-CF-F-138 addLot
42. MK-CF-F-136 bumpCash
43. MK-CF-F-137 findPos
44. MK-CF-F-139 removeShares
45. MK-PF-F-001 totalShares
46. MK-ST-F-052 toNum
47. MK-ST-F-053 money
48. MK-CF-F-085 filingStatusOf
49. MK-CF-F-097 grossFromNet
50. MK-CF-F-185 needsTakeHomeConversion
51. MK-CF-F-089 over65CountOf
52. MK-CF-F-037 inferDebtType
53. MK-ST-F-069 amountOf
54. MK-CF-F-133 cashOf
55. MK-ST-F-066 isDayKey
56. MK-ST-F-070 isOpening
57. MK-ST-F-071 rebuildableFrom
58. MK-ST-F-068 stepDay
59. MK-ST-F-072 undo
60. MK-NW-F-053 correctClassOf
61. MK-NW-F-008 incomeBearingClassOf
62. MK-PF-F-002 costBasis
63. MK-PF-F-009 latestClose
64. MK-PF-F-004 marketValue
65. MK-ST-F-030 record
66. MK-XS-F-024 resolveLens
67. MK-ST-F-055 round2
68. MK-CF-F-162 daysApart
69. MK-CF-F-108 isMoneyOut
70. MK-CF-F-131 normPayee
71. MK-CF-F-113 affectedAccountIds
72. MK-CF-F-148 inMonth
73. MK-CF-F-022 paymentShape
74. MK-CF-F-152 isRadarItem
75. MK-CF-F-023 requiredPayment
76. MK-CF-F-134 usesSleeve
77. MK-ST-F-049 formatMoney
78. MK-CF-F-101 taxOwedFor
79. MK-ST-F-067 utcOfDay
80. MK-CF-F-155 cash
81. MK-ST-F-035 covers
82. MK-NW-F-009 maturityClass
83. MK-ST-F-010 nameEvidence
84. MK-PF-F-031 contractMultiplier
85. MK-CF-F-072 currentRetirementIncomeMonthly
86. MK-CF-F-021 defaultPaymentType
87. MK-ST-F-048 currencySymbol
88. MK-ST-F-039 on
89. MK-CF-F-100 taxableIncomeFor
90. MK-ST-F-034 firstDate
91. MK-XS-F-147 call
92. MK-CF-F-075 retirementIncomeMonthly
93. MK-ST-F-047 activeCurrency
94. MK-CF-F-099 deductionFor
95. MK-XS-F-064 currentIdToken
96. MK-XS-F-112 relayUrl
97. MK-CF-F-187 seniorDeductionFor</t>
        </is>
      </c>
      <c r="R422" s="3" t="inlineStr">
        <is>
          <t>1. MK-CF-F-191 ym → MK-CF-F-148 inMonth → MK-CF-F-151 actualSpending → MK-CF-O-002 expenses → MK-PL-F-050 simulate → MK-PL-F-053 buildRetirementState
2. MK-XS-F-122 n → MK-ST-F-052 toNum → MK-CF-F-151 actualSpending → MK-CF-O-002 expenses → MK-PL-F-050 simulate → MK-PL-F-053 buildRetirementState
3. MK-CF-F-191 ym → MK-CF-F-151 actualSpending → MK-CF-O-002 expenses → MK-PL-F-050 simulate → MK-PL-F-053 buildRetirementState
4. MK-ST-F-056 has → MK-CF-F-150 debtPaymentsCountedAsExpenses → MK-CF-O-002 expenses → MK-PL-F-050 simulate → MK-PL-F-053 buildRetirementState
5. MK-CF-F-191 ym → MK-CF-F-148 inMonth → MK-CF-F-150 debtPaymentsCountedAsExpenses → MK-CF-O-002 expenses → MK-PL-F-050 simulate → MK-PL-F-053 buildRetirementState
6. MK-CF-F-021 defaultPaymentType → MK-CF-F-022 paymentShape → MK-CF-F-150 debtPaymentsCountedAsExpenses → MK-CF-O-002 expenses → MK-PL-F-050 simulate → MK-PL-F-053 buildRetirementState
7. MK-XS-F-122 n → MK-ST-F-052 toNum → MK-CF-F-150 debtPaymentsCountedAsExpenses → MK-CF-O-002 expenses → MK-PL-F-050 simulate → MK-PL-F-053 buildRetirementState
8. MK-CF-F-191 ym → MK-CF-F-150 debtPaymentsCountedAsExpenses → MK-CF-O-002 expenses → MK-PL-F-050 simulate → MK-PL-F-053 buildRetirementState
9. … and 5 more paths</t>
        </is>
      </c>
      <c r="S422" s="3" t="inlineStr">
        <is>
          <t>—</t>
        </is>
      </c>
      <c r="T422" s="3" t="inlineStr">
        <is>
          <t>—</t>
        </is>
      </c>
      <c r="U422" s="3" t="inlineStr">
        <is>
          <t>ACTIVE</t>
        </is>
      </c>
      <c r="V422" s="3" t="inlineStr">
        <is>
          <t>2026-08-27</t>
        </is>
      </c>
      <c r="W422" s="3" t="n"/>
      <c r="X422" s="3" t="n"/>
      <c r="Y422" s="3" t="inlineStr">
        <is>
          <t>NOTHING OPEN</t>
        </is>
      </c>
    </row>
    <row r="423" ht="60" customHeight="1">
      <c r="A423" s="3" t="inlineStr">
        <is>
          <t>MK-PL-F-054</t>
        </is>
      </c>
      <c r="B423" s="3" t="inlineStr">
        <is>
          <t>growOneYear</t>
        </is>
      </c>
      <c r="C423" s="3" t="inlineStr">
        <is>
          <t>src/domain/retirement/index.ts</t>
        </is>
      </c>
      <c r="D423" s="3" t="n">
        <v>623</v>
      </c>
      <c r="E423" s="3" t="inlineStr">
        <is>
          <t>3 · DEPENDENT</t>
        </is>
      </c>
      <c r="F423" s="3" t="inlineStr">
        <is>
          <t>── Deterministic projection (instant — drives the live sliders; no RNG) ────────────── Assumes the average return every year (no market swings).</t>
        </is>
      </c>
      <c r="G423" s="11" t="inlineStr">
        <is>
          <t>balance × (1 + (rate or 0))</t>
        </is>
      </c>
      <c r="H423" s="3" t="inlineStr">
        <is>
          <t>balance times (1 plus (rate or 0)).</t>
        </is>
      </c>
      <c r="I423" s="3" t="inlineStr">
        <is>
          <t>READ FROM THE CODE — rendered from the expressions the function runs</t>
        </is>
      </c>
      <c r="J423" s="3" t="inlineStr">
        <is>
          <t>1. balance: number
2. rate: number</t>
        </is>
      </c>
      <c r="K423" s="3" t="inlineStr">
        <is>
          <t>number</t>
        </is>
      </c>
      <c r="L423" s="3" t="inlineStr">
        <is>
          <t>—</t>
        </is>
      </c>
      <c r="M423" s="3" t="inlineStr">
        <is>
          <t>· If rate is missing it counts as zero, so nothing recorded and a real zero look the same.</t>
        </is>
      </c>
      <c r="N423" s="3" t="inlineStr">
        <is>
          <t>Yes</t>
        </is>
      </c>
      <c r="O423" s="3" t="inlineStr">
        <is>
          <t>—</t>
        </is>
      </c>
      <c r="P423" s="3" t="n">
        <v>0</v>
      </c>
      <c r="Q423" s="3" t="inlineStr">
        <is>
          <t>None — no dependent function stands behind it</t>
        </is>
      </c>
      <c r="R423" s="3" t="inlineStr">
        <is>
          <t>No dependent function — it reads its inputs and answers</t>
        </is>
      </c>
      <c r="S423" s="3" t="inlineStr">
        <is>
          <t>—</t>
        </is>
      </c>
      <c r="T423" s="3" t="inlineStr">
        <is>
          <t>—</t>
        </is>
      </c>
      <c r="U423" s="3" t="inlineStr">
        <is>
          <t>ACTIVE</t>
        </is>
      </c>
      <c r="V423" s="3" t="inlineStr">
        <is>
          <t>2026-08-27</t>
        </is>
      </c>
      <c r="W423" s="3" t="n"/>
      <c r="X423" s="3" t="n"/>
      <c r="Y423" s="3" t="inlineStr">
        <is>
          <t>NOTHING OPEN</t>
        </is>
      </c>
    </row>
    <row r="424" ht="60" customHeight="1">
      <c r="A424" s="3" t="inlineStr">
        <is>
          <t>MK-PL-F-055</t>
        </is>
      </c>
      <c r="B424" s="3" t="inlineStr">
        <is>
          <t>projectNestEgg</t>
        </is>
      </c>
      <c r="C424" s="3" t="inlineStr">
        <is>
          <t>src/domain/retirement/index.ts</t>
        </is>
      </c>
      <c r="D424" s="3" t="n">
        <v>669</v>
      </c>
      <c r="E424" s="3" t="inlineStr">
        <is>
          <t>2 · DISPLAYED</t>
        </is>
      </c>
      <c r="F424" s="3" t="inlineStr">
        <is>
          <t>What will the pot be worth at retirement, and how big does it need to be?</t>
        </is>
      </c>
      <c r="G424" s="11" t="inlineStr">
        <is>
          <t>years to retire  n = max(0, retire age − age today)
pot = start balance × (1 + r)^n
    + Σ for year y = 0 … n−1 of ( contribution × (1 + g)^y × (1 + r)^(n − y − 1) )
where r = the assumed return and g = the rate contributions grow</t>
        </is>
      </c>
      <c r="H424" s="3" t="inlineStr">
        <is>
          <t>Compounds what is held today forward to the retirement age, then adds each year's contribution compounded for the years it still has to grow. The code settles two things the master file leaves open: a contribution is treated as arriving at the END of its year (the first one compounds for n−1 years, the last for none), and contributions grow at their own rate, which DEFAULTS TO ZERO when nobody sets it. The return r is a nominal rate; inflation is applied to the expenses side, not here. Finding A44 — the file states none of this.</t>
        </is>
      </c>
      <c r="I424" s="3" t="inlineStr">
        <is>
          <t>READ BY HAND 2026-08-26 — checked line by line against the code</t>
        </is>
      </c>
      <c r="J424" s="3" t="inlineStr">
        <is>
          <t>inp: RetirementInputs</t>
        </is>
      </c>
      <c r="K424" s="3" t="inlineStr">
        <is>
          <t>NestEggProjection</t>
        </is>
      </c>
      <c r="L424" s="3" t="inlineStr">
        <is>
          <t>NOT FOUND — a screen calls it, but the words printed beside its answer could not be traced automatically. Needs reading.</t>
        </is>
      </c>
      <c r="M424" s="3" t="inlineStr">
        <is>
          <t>1. If contribution growth is missing it uses 0.
2. If monthly is missing it counts as zero, so nothing recorded and a real zero look the same.
3. Uses a built-in need of 0.
4. Turns a monthly figure into a year by multiplying by twelve.
5.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t>
        </is>
      </c>
      <c r="N424" s="3" t="inlineStr">
        <is>
          <t>Yes</t>
        </is>
      </c>
      <c r="O424" s="3" t="inlineStr">
        <is>
          <t>1. MK-CF-F-132 map
2. MK-PL-F-050 simulate</t>
        </is>
      </c>
      <c r="P424" s="3" t="n">
        <v>22</v>
      </c>
      <c r="Q424" s="3" t="inlineStr">
        <is>
          <t>1. MK-CF-F-132 map
2. MK-PL-F-050 simulate
3. MK-CF-O-002 expenses
4. MK-PL-F-074 median
5. MK-PL-F-072 mulberry32
6. MK-XS-F-122 n
7. MK-PL-F-073 normal
8. MK-PL-F-075 pctOfSorted
9. MK-ST-F-025 rmdStartAgeFromAge
10. MK-CF-F-151 actualSpending
11. MK-CF-F-150 debtPaymentsCountedAsExpenses
12. MK-CF-F-153 radar
13. MK-CF-F-149 recurringDebtPayments
14. MK-ST-F-024 rmdStartAge
15. MK-CF-F-148 inMonth
16. MK-ST-F-052 toNum
17. MK-CF-F-191 ym
18. MK-ST-F-056 has
19. MK-CF-F-022 paymentShape
20. MK-CF-F-152 isRadarItem
21. MK-CF-F-023 requiredPayment
22. MK-CF-F-021 defaultPaymentType</t>
        </is>
      </c>
      <c r="R424" s="3" t="inlineStr">
        <is>
          <t>1. MK-CF-F-132 map → MK-PL-F-055 projectNestEgg
2. MK-CF-F-191 ym → MK-CF-F-148 inMonth → MK-CF-F-151 actualSpending → MK-CF-O-002 expenses → MK-PL-F-050 simulate → MK-PL-F-055 projectNestEgg
3. MK-XS-F-122 n → MK-ST-F-052 toNum → MK-CF-F-151 actualSpending → MK-CF-O-002 expenses → MK-PL-F-050 simulate → MK-PL-F-055 projectNestEgg
4. MK-CF-F-191 ym → MK-CF-F-151 actualSpending → MK-CF-O-002 expenses → MK-PL-F-050 simulate → MK-PL-F-055 projectNestEgg
5. MK-ST-F-056 has → MK-CF-F-150 debtPaymentsCountedAsExpenses → MK-CF-O-002 expenses → MK-PL-F-050 simulate → MK-PL-F-055 projectNestEgg
6. MK-CF-F-191 ym → MK-CF-F-148 inMonth → MK-CF-F-150 debtPaymentsCountedAsExpenses → MK-CF-O-002 expenses → MK-PL-F-050 simulate → MK-PL-F-055 projectNestEgg
7. MK-CF-F-021 defaultPaymentType → MK-CF-F-022 paymentShape → MK-CF-F-150 debtPaymentsCountedAsExpenses → MK-CF-O-002 expenses → MK-PL-F-050 simulate → MK-PL-F-055 projectNestEgg
8. MK-XS-F-122 n → MK-ST-F-052 toNum → MK-CF-F-150 debtPaymentsCountedAsExpenses → MK-CF-O-002 expenses → MK-PL-F-050 simulate → MK-PL-F-055 projectNestEgg
9. … and 4 more paths</t>
        </is>
      </c>
      <c r="S424" s="3" t="inlineStr">
        <is>
          <t>MK-PL-M-026 · MK-PL-M-033</t>
        </is>
      </c>
      <c r="T424" s="3" t="inlineStr">
        <is>
          <t>POT_AT_RETIREMENT</t>
        </is>
      </c>
      <c r="U424" s="3" t="inlineStr">
        <is>
          <t>ACTIVE</t>
        </is>
      </c>
      <c r="V424" s="3" t="inlineStr">
        <is>
          <t>2026-08-27</t>
        </is>
      </c>
      <c r="W424" s="3" t="n"/>
      <c r="X424" s="3" t="n"/>
      <c r="Y424" s="3" t="inlineStr">
        <is>
          <t>NOTHING OPEN</t>
        </is>
      </c>
    </row>
    <row r="425" ht="60" customHeight="1">
      <c r="A425" s="3" t="inlineStr">
        <is>
          <t>MK-PL-F-056</t>
        </is>
      </c>
      <c r="B425" s="3" t="inlineStr">
        <is>
          <t>solveRetireAge</t>
        </is>
      </c>
      <c r="C425" s="3" t="inlineStr">
        <is>
          <t>src/domain/retirement/index.ts</t>
        </is>
      </c>
      <c r="D425" s="3" t="n">
        <v>727</v>
      </c>
      <c r="E425" s="3" t="inlineStr">
        <is>
          <t>2 · DISPLAYED</t>
        </is>
      </c>
      <c r="F425" s="3" t="inlineStr">
        <is>
          <t>"Even if you never save another dollar, you can retire at age Y." Earliest retire age where the current pot (no further contributions) already covers the plan.</t>
        </is>
      </c>
      <c r="G425" s="11" t="inlineStr">
        <is>
          <t>p = project nest egg({ ...inp, annual contribution: 0, retire age: age, guaranteed start age: inp.guaranteed start age })
age   when will have ≥ will need
the answer = nothing</t>
        </is>
      </c>
      <c r="H425" s="3" t="inlineStr">
        <is>
          <t>P is project nest egg({ ...inp, annual contribution: 0, retire age: age, guaranteed start age: inp.guaranteed start age }). When will have is at least will need, it answers age. The answer is no answer.</t>
        </is>
      </c>
      <c r="I425" s="3" t="inlineStr">
        <is>
          <t>READ FROM THE CODE — rendered from the expressions the function runs</t>
        </is>
      </c>
      <c r="J425" s="3" t="inlineStr">
        <is>
          <t>1. inp: RetirementInputs
2. maxAge = 80</t>
        </is>
      </c>
      <c r="K425" s="3" t="inlineStr">
        <is>
          <t>number | null</t>
        </is>
      </c>
      <c r="L425" s="3" t="inlineStr">
        <is>
          <t>"IF YOU NEVER SAVE AGAIN" — on the Retirement cockpit screen</t>
        </is>
      </c>
      <c r="M425" s="3" t="inlineStr">
        <is>
          <t>None found in this function — anything it assumes comes from the functions it depends on.</t>
        </is>
      </c>
      <c r="N425" s="3" t="inlineStr">
        <is>
          <t>Yes</t>
        </is>
      </c>
      <c r="O425" s="3" t="inlineStr">
        <is>
          <t>MK-PL-F-055 projectNestEgg</t>
        </is>
      </c>
      <c r="P425" s="3" t="n">
        <v>23</v>
      </c>
      <c r="Q425" s="3" t="inlineStr">
        <is>
          <t>1. MK-PL-F-055 projectNestEgg
2. MK-CF-F-132 map
3. MK-PL-F-050 simulate
4. MK-CF-O-002 expenses
5. MK-PL-F-074 median
6. MK-PL-F-072 mulberry32
7. MK-XS-F-122 n
8. MK-PL-F-073 normal
9. MK-PL-F-075 pctOfSorted
10. MK-ST-F-025 rmdStartAgeFromAge
11. MK-CF-F-151 actualSpending
12. MK-CF-F-150 debtPaymentsCountedAsExpenses
13. MK-CF-F-153 radar
14. MK-CF-F-149 recurringDebtPayments
15. MK-ST-F-024 rmdStartAge
16. MK-CF-F-148 inMonth
17. MK-ST-F-052 toNum
18. MK-CF-F-191 ym
19. MK-ST-F-056 has
20. MK-CF-F-022 paymentShape
21. MK-CF-F-152 isRadarItem
22. MK-CF-F-023 requiredPayment
23. MK-CF-F-021 defaultPaymentType</t>
        </is>
      </c>
      <c r="R425" s="3" t="inlineStr">
        <is>
          <t>1. MK-CF-F-132 map → MK-PL-F-055 projectNestEgg → MK-PL-F-056 solveRetireAge
2. MK-CF-F-148 inMonth → MK-CF-F-151 actualSpending → MK-CF-O-002 expenses → MK-PL-F-050 simulate → MK-PL-F-055 projectNestEgg → MK-PL-F-056 solveRetireAge
3. MK-ST-F-052 toNum → MK-CF-F-151 actualSpending → MK-CF-O-002 expenses → MK-PL-F-050 simulate → MK-PL-F-055 projectNestEgg → MK-PL-F-056 solveRetireAge
4. MK-CF-F-191 ym → MK-CF-F-151 actualSpending → MK-CF-O-002 expenses → MK-PL-F-050 simulate → MK-PL-F-055 projectNestEgg → MK-PL-F-056 solveRetireAge
5. MK-ST-F-056 has → MK-CF-F-150 debtPaymentsCountedAsExpenses → MK-CF-O-002 expenses → MK-PL-F-050 simulate → MK-PL-F-055 projectNestEgg → MK-PL-F-056 solveRetireAge
6. MK-CF-F-148 inMonth → MK-CF-F-150 debtPaymentsCountedAsExpenses → MK-CF-O-002 expenses → MK-PL-F-050 simulate → MK-PL-F-055 projectNestEgg → MK-PL-F-056 solveRetireAge
7. MK-CF-F-022 paymentShape → MK-CF-F-150 debtPaymentsCountedAsExpenses → MK-CF-O-002 expenses → MK-PL-F-050 simulate → MK-PL-F-055 projectNestEgg → MK-PL-F-056 solveRetireAge
8. MK-ST-F-052 toNum → MK-CF-F-150 debtPaymentsCountedAsExpenses → MK-CF-O-002 expenses → MK-PL-F-050 simulate → MK-PL-F-055 projectNestEgg → MK-PL-F-056 solveRetireAge
9. … and 4 more paths</t>
        </is>
      </c>
      <c r="S425" s="3" t="inlineStr">
        <is>
          <t>—</t>
        </is>
      </c>
      <c r="T425" s="3" t="inlineStr">
        <is>
          <t>—</t>
        </is>
      </c>
      <c r="U425" s="3" t="inlineStr">
        <is>
          <t>ACTIVE</t>
        </is>
      </c>
      <c r="V425" s="3" t="inlineStr">
        <is>
          <t>2026-08-27</t>
        </is>
      </c>
      <c r="W425" s="3" t="n"/>
      <c r="X425" s="3" t="n"/>
      <c r="Y425" s="3" t="inlineStr">
        <is>
          <t>NOTHING OPEN</t>
        </is>
      </c>
    </row>
    <row r="426" ht="60" customHeight="1">
      <c r="A426" s="3" t="inlineStr">
        <is>
          <t>MK-PL-F-057</t>
        </is>
      </c>
      <c r="B426" s="3" t="inlineStr">
        <is>
          <t>fullRetirementAge</t>
        </is>
      </c>
      <c r="C426" s="3" t="inlineStr">
        <is>
          <t>src/domain/retirement/ssTiming.ts</t>
        </is>
      </c>
      <c r="D426" s="3" t="n">
        <v>48</v>
      </c>
      <c r="E426" s="3" t="inlineStr">
        <is>
          <t>3 · DEPENDENT</t>
        </is>
      </c>
      <c r="F426" s="3" t="inlineStr">
        <is>
          <t>Full retirement age in YEARS (fractional — 66y4m = 66.333…), from the birth year.</t>
        </is>
      </c>
      <c r="G426" s="11" t="inlineStr">
        <is>
          <t>full retirement age = 67                          when born 1960 or later
                      66 + (birth year − 1954) × 2 months   when born 1955-1959
                      66                          when born 1954 or earlier</t>
        </is>
      </c>
      <c r="H426" s="3" t="inlineStr">
        <is>
          <t>The age Social Security pays the full amount, in years and fractions of a year. Anyone born 1954 or earlier answers 66 — the published ages are 65 for 1937 and earlier and 65 plus two to ten months for 1938-1942. A missing birth year answers 67. Finding A39.</t>
        </is>
      </c>
      <c r="I426" s="3" t="inlineStr">
        <is>
          <t>READ BY HAND 2026-08-26 — checked line by line against the code</t>
        </is>
      </c>
      <c r="J426" s="3" t="inlineStr">
        <is>
          <t>birthYear?: number | null</t>
        </is>
      </c>
      <c r="K426" s="3" t="inlineStr">
        <is>
          <t>number</t>
        </is>
      </c>
      <c r="L426" s="3" t="inlineStr">
        <is>
          <t>—</t>
        </is>
      </c>
      <c r="M426" s="3" t="inlineStr">
        <is>
          <t>None found in this function — anything it assumes comes from the functions it depends on.</t>
        </is>
      </c>
      <c r="N426" s="3" t="inlineStr">
        <is>
          <t>Yes</t>
        </is>
      </c>
      <c r="O426" s="3" t="inlineStr">
        <is>
          <t>—</t>
        </is>
      </c>
      <c r="P426" s="3" t="n">
        <v>0</v>
      </c>
      <c r="Q426" s="3" t="inlineStr">
        <is>
          <t>None — no dependent function stands behind it</t>
        </is>
      </c>
      <c r="R426" s="3" t="inlineStr">
        <is>
          <t>No dependent function — it reads its inputs and answers</t>
        </is>
      </c>
      <c r="S426" s="3" t="inlineStr">
        <is>
          <t>—</t>
        </is>
      </c>
      <c r="T426" s="3" t="inlineStr">
        <is>
          <t>SS_FULL_RETIREMENT_AGE</t>
        </is>
      </c>
      <c r="U426" s="3" t="inlineStr">
        <is>
          <t>ACTIVE</t>
        </is>
      </c>
      <c r="V426" s="3" t="inlineStr">
        <is>
          <t>2026-08-27</t>
        </is>
      </c>
      <c r="W426" s="3" t="n"/>
      <c r="X426" s="3" t="n"/>
      <c r="Y426" s="3" t="inlineStr">
        <is>
          <t>NOTHING OPEN</t>
        </is>
      </c>
    </row>
    <row r="427" ht="60" customHeight="1">
      <c r="A427" s="3" t="inlineStr">
        <is>
          <t>MK-PL-F-058</t>
        </is>
      </c>
      <c r="B427" s="3" t="inlineStr">
        <is>
          <t>ssClaimFactorFor</t>
        </is>
      </c>
      <c r="C427" s="3" t="inlineStr">
        <is>
          <t>src/domain/retirement/ssTiming.ts</t>
        </is>
      </c>
      <c r="D427" s="3" t="n">
        <v>95</v>
      </c>
      <c r="E427" s="3" t="inlineStr">
        <is>
          <t>3 · DEPENDENT</t>
        </is>
      </c>
      <c r="F427" s="3" t="inlineStr">
        <is>
          <t>SSA factor for a claim age (62–70), relative to the statement amount at the person's OWN full retirement age.</t>
        </is>
      </c>
      <c r="G427" s="11" t="inlineStr">
        <is>
          <t>months = round(claim age) × 12 − full retirement age × 12
factor = 1                                                   when months = 0
         1 − (first 36 early months × 5/9 of 1%)
           − (each further early month × 5/12 of 1%)          when claiming early
         1 + (each month claimed late × 2/3 of 1%)            when claiming late</t>
        </is>
      </c>
      <c r="H427" s="3" t="inlineStr">
        <is>
          <t>How much of the full-retirement amount is paid at the age chosen, held between 62 and 70. The SSA rates are right. But the claim age is ROUNDED TO A WHOLE YEAR before the months are counted, so claiming at 62 and six months is priced as 63 — about 3.3% of the benefit, roughly $83 a month for life on a $2,500 benefit. Finding A38.</t>
        </is>
      </c>
      <c r="I427" s="3" t="inlineStr">
        <is>
          <t>READ BY HAND 2026-08-26 — checked line by line against the code</t>
        </is>
      </c>
      <c r="J427" s="3" t="inlineStr">
        <is>
          <t>1. claimAge: number
2. birthYear?: number | null</t>
        </is>
      </c>
      <c r="K427" s="3" t="inlineStr">
        <is>
          <t>number</t>
        </is>
      </c>
      <c r="L427" s="3" t="inlineStr">
        <is>
          <t>—</t>
        </is>
      </c>
      <c r="M427" s="3" t="inlineStr">
        <is>
          <t>1. Turns a monthly figure into a year by multiplying by twelve.
2. Caps early at 36.
3. Rounds the answer to a whole number.</t>
        </is>
      </c>
      <c r="N427" s="3" t="inlineStr">
        <is>
          <t>Yes</t>
        </is>
      </c>
      <c r="O427" s="3" t="inlineStr">
        <is>
          <t>MK-PL-F-057 fullRetirementAge</t>
        </is>
      </c>
      <c r="P427" s="3" t="n">
        <v>1</v>
      </c>
      <c r="Q427" s="3" t="inlineStr">
        <is>
          <t>MK-PL-F-057 fullRetirementAge</t>
        </is>
      </c>
      <c r="R427" s="3" t="inlineStr">
        <is>
          <t>MK-PL-F-057 fullRetirementAge → MK-PL-F-058 ssClaimFactorFor</t>
        </is>
      </c>
      <c r="S427" s="3" t="inlineStr">
        <is>
          <t>MK-PL-M-019</t>
        </is>
      </c>
      <c r="T427" s="3" t="inlineStr">
        <is>
          <t>SS_CLAIM_FACTOR</t>
        </is>
      </c>
      <c r="U427" s="3" t="inlineStr">
        <is>
          <t>ACTIVE</t>
        </is>
      </c>
      <c r="V427" s="3" t="inlineStr">
        <is>
          <t>2026-08-27</t>
        </is>
      </c>
      <c r="W427" s="3" t="n"/>
      <c r="X427" s="3" t="n"/>
      <c r="Y427" s="3" t="inlineStr">
        <is>
          <t>NOTHING OPEN</t>
        </is>
      </c>
    </row>
    <row r="428" ht="45" customHeight="1">
      <c r="A428" s="3" t="inlineStr">
        <is>
          <t>MK-PL-F-059</t>
        </is>
      </c>
      <c r="B428" s="3" t="inlineStr">
        <is>
          <t>ssClaimFactor</t>
        </is>
      </c>
      <c r="C428" s="3" t="inlineStr">
        <is>
          <t>src/domain/retirement/ssTiming.ts</t>
        </is>
      </c>
      <c r="D428" s="3" t="n">
        <v>126</v>
      </c>
      <c r="E428" s="3" t="inlineStr">
        <is>
          <t>3 · DEPENDENT (feeds an action only)</t>
        </is>
      </c>
      <c r="F428" s="3" t="inlineStr">
        <is>
          <t>The pre-table factor, anchored at 67 — unchanged behaviour for anyone born 1960+.</t>
        </is>
      </c>
      <c r="G428" s="11" t="inlineStr">
        <is>
          <t>ss claim factor for(claim age, nothing)</t>
        </is>
      </c>
      <c r="H428" s="3" t="inlineStr">
        <is>
          <t>ss claim factor for(claim age, no answer).</t>
        </is>
      </c>
      <c r="I428" s="3" t="inlineStr">
        <is>
          <t>READ FROM THE CODE — rendered from the expressions the function runs</t>
        </is>
      </c>
      <c r="J428" s="3" t="inlineStr">
        <is>
          <t>claimAge: number</t>
        </is>
      </c>
      <c r="K428" s="3" t="inlineStr">
        <is>
          <t>number</t>
        </is>
      </c>
      <c r="L428" s="3" t="inlineStr">
        <is>
          <t>—</t>
        </is>
      </c>
      <c r="M428" s="3" t="inlineStr">
        <is>
          <t>None found in this function — anything it assumes comes from the functions it depends on.</t>
        </is>
      </c>
      <c r="N428" s="3" t="inlineStr">
        <is>
          <t>No</t>
        </is>
      </c>
      <c r="O428" s="3" t="inlineStr">
        <is>
          <t>MK-PL-F-058 ssClaimFactorFor</t>
        </is>
      </c>
      <c r="P428" s="3" t="n">
        <v>2</v>
      </c>
      <c r="Q428" s="3" t="inlineStr">
        <is>
          <t>1. MK-PL-F-058 ssClaimFactorFor
2. MK-PL-F-057 fullRetirementAge</t>
        </is>
      </c>
      <c r="R428" s="3" t="inlineStr">
        <is>
          <t>MK-PL-F-057 fullRetirementAge → MK-PL-F-058 ssClaimFactorFor → MK-PL-F-059 ssClaimFactor</t>
        </is>
      </c>
      <c r="S428" s="3" t="inlineStr">
        <is>
          <t>—</t>
        </is>
      </c>
      <c r="T428" s="3" t="inlineStr">
        <is>
          <t>—</t>
        </is>
      </c>
      <c r="U428" s="3" t="inlineStr">
        <is>
          <t>ACTIVE</t>
        </is>
      </c>
      <c r="V428" s="3" t="inlineStr">
        <is>
          <t>2026-08-27</t>
        </is>
      </c>
      <c r="W428" s="3" t="n"/>
      <c r="X428" s="3" t="n"/>
      <c r="Y428" s="3" t="inlineStr">
        <is>
          <t>NOTHING OPEN</t>
        </is>
      </c>
    </row>
    <row r="429" ht="60" customHeight="1">
      <c r="A429" s="3" t="inlineStr">
        <is>
          <t>MK-PL-F-060</t>
        </is>
      </c>
      <c r="B429" s="3" t="inlineStr">
        <is>
          <t>ssBenefitAt</t>
        </is>
      </c>
      <c r="C429" s="3" t="inlineStr">
        <is>
          <t>src/domain/retirement/ssTiming.ts</t>
        </is>
      </c>
      <c r="D429" s="3" t="n">
        <v>158</v>
      </c>
      <c r="E429" s="3" t="inlineStr">
        <is>
          <t>2 · DISPLAYED</t>
        </is>
      </c>
      <c r="F429" s="3" t="inlineStr">
        <is>
          <t>Monthly benefit at a claim age from the at-FRA statement amount (today's dollars, whole $).</t>
        </is>
      </c>
      <c r="G429" s="11" t="inlineStr">
        <is>
          <t>monthly benefit = statement amount at full retirement age × factor(claim age)</t>
        </is>
      </c>
      <c r="H429" s="3" t="inlineStr">
        <is>
          <t>The amount on the Social Security statement, scaled by the claim-age factor and rounded to whole dollars. In today's money — no inflation is applied here.</t>
        </is>
      </c>
      <c r="I429" s="3" t="inlineStr">
        <is>
          <t>READ BY HAND 2026-08-26 — checked line by line against the code</t>
        </is>
      </c>
      <c r="J429" s="3" t="inlineStr">
        <is>
          <t>1. statementMonthly: number
2. claimAge: number
3. birthYear?: number | null</t>
        </is>
      </c>
      <c r="K429" s="3" t="inlineStr">
        <is>
          <t>number</t>
        </is>
      </c>
      <c r="L429" s="3" t="inlineStr">
        <is>
          <t>NOT FOUND — a screen calls it, but the words printed beside its answer could not be traced automatically. Needs reading.</t>
        </is>
      </c>
      <c r="M429" s="3" t="inlineStr">
        <is>
          <t>· If statement monthly is missing it counts as zero, so nothing recorded and a real zero look the same.</t>
        </is>
      </c>
      <c r="N429" s="3" t="inlineStr">
        <is>
          <t>Yes</t>
        </is>
      </c>
      <c r="O429" s="3" t="inlineStr">
        <is>
          <t>MK-PL-F-058 ssClaimFactorFor</t>
        </is>
      </c>
      <c r="P429" s="3" t="n">
        <v>2</v>
      </c>
      <c r="Q429" s="3" t="inlineStr">
        <is>
          <t>1. MK-PL-F-058 ssClaimFactorFor
2. MK-PL-F-057 fullRetirementAge</t>
        </is>
      </c>
      <c r="R429" s="3" t="inlineStr">
        <is>
          <t>MK-PL-F-057 fullRetirementAge → MK-PL-F-058 ssClaimFactorFor → MK-PL-F-060 ssBenefitAt</t>
        </is>
      </c>
      <c r="S429" s="3" t="inlineStr">
        <is>
          <t>MK-PL-M-017 · MK-PL-M-019</t>
        </is>
      </c>
      <c r="T429" s="3" t="inlineStr">
        <is>
          <t>SS_BENEFIT_AT_AGE</t>
        </is>
      </c>
      <c r="U429" s="3" t="inlineStr">
        <is>
          <t>ACTIVE</t>
        </is>
      </c>
      <c r="V429" s="3" t="inlineStr">
        <is>
          <t>2026-09-09</t>
        </is>
      </c>
      <c r="W429" s="3" t="n"/>
      <c r="X429" s="3" t="n"/>
      <c r="Y429" s="3" t="inlineStr">
        <is>
          <t>NOTHING OPEN</t>
        </is>
      </c>
    </row>
    <row r="430" ht="45" customHeight="1">
      <c r="A430" s="3" t="inlineStr">
        <is>
          <t>MK-PL-F-061</t>
        </is>
      </c>
      <c r="B430" s="3" t="inlineStr">
        <is>
          <t>ssBenefitAtClaimAge</t>
        </is>
      </c>
      <c r="C430" s="3" t="inlineStr">
        <is>
          <t>src/domain/retirement/ssTiming.ts</t>
        </is>
      </c>
      <c r="D430" s="3" t="n">
        <v>179</v>
      </c>
      <c r="E430" s="3" t="inlineStr">
        <is>
          <t>2 · DISPLAYED</t>
        </is>
      </c>
      <c r="F430" s="3" t="inlineStr">
        <is>
          <t>Kept for callers not yet passing a birth year (behaves as born-1960+).</t>
        </is>
      </c>
      <c r="G430" s="11" t="inlineStr">
        <is>
          <t>ss benefit at(statement monthly, claim age, nothing)</t>
        </is>
      </c>
      <c r="H430" s="3" t="inlineStr">
        <is>
          <t>ss benefit at(statement monthly, claim age, no answer).</t>
        </is>
      </c>
      <c r="I430" s="3" t="inlineStr">
        <is>
          <t>READ FROM THE CODE — rendered from the expressions the function runs</t>
        </is>
      </c>
      <c r="J430" s="3" t="inlineStr">
        <is>
          <t>1. statementMonthly: number
2. claimAge: number</t>
        </is>
      </c>
      <c r="K430" s="3" t="inlineStr">
        <is>
          <t>number</t>
        </is>
      </c>
      <c r="L430" s="3" t="inlineStr">
        <is>
          <t>"When should I claim Social Security?" — on a card used on more than one screen (ClaimAgeRow)</t>
        </is>
      </c>
      <c r="M430" s="3" t="inlineStr">
        <is>
          <t>None found in this function — anything it assumes comes from the functions it depends on.</t>
        </is>
      </c>
      <c r="N430" s="3" t="inlineStr">
        <is>
          <t>Yes</t>
        </is>
      </c>
      <c r="O430" s="3" t="inlineStr">
        <is>
          <t>MK-PL-F-060 ssBenefitAt</t>
        </is>
      </c>
      <c r="P430" s="3" t="n">
        <v>3</v>
      </c>
      <c r="Q430" s="3" t="inlineStr">
        <is>
          <t>1. MK-PL-F-060 ssBenefitAt
2. MK-PL-F-058 ssClaimFactorFor
3. MK-PL-F-057 fullRetirementAge</t>
        </is>
      </c>
      <c r="R430" s="3" t="inlineStr">
        <is>
          <t>MK-PL-F-057 fullRetirementAge → MK-PL-F-058 ssClaimFactorFor → MK-PL-F-060 ssBenefitAt → MK-PL-F-061 ssBenefitAtClaimAge</t>
        </is>
      </c>
      <c r="S430" s="3" t="inlineStr">
        <is>
          <t>—</t>
        </is>
      </c>
      <c r="T430" s="3" t="inlineStr">
        <is>
          <t>—</t>
        </is>
      </c>
      <c r="U430" s="3" t="inlineStr">
        <is>
          <t>ACTIVE</t>
        </is>
      </c>
      <c r="V430" s="3" t="inlineStr">
        <is>
          <t>2026-08-27</t>
        </is>
      </c>
      <c r="W430" s="3" t="n"/>
      <c r="X430" s="3" t="n"/>
      <c r="Y430" s="3" t="inlineStr">
        <is>
          <t>NOTHING OPEN</t>
        </is>
      </c>
    </row>
    <row r="431" ht="60" customHeight="1">
      <c r="A431" s="3" t="inlineStr">
        <is>
          <t>MK-PL-F-062</t>
        </is>
      </c>
      <c r="B431" s="3" t="inlineStr">
        <is>
          <t>ssLifetimeTotal</t>
        </is>
      </c>
      <c r="C431" s="3" t="inlineStr">
        <is>
          <t>src/domain/retirement/ssTiming.ts</t>
        </is>
      </c>
      <c r="D431" s="3" t="n">
        <v>208</v>
      </c>
      <c r="E431" s="3" t="inlineStr">
        <is>
          <t>2 · DISPLAYED</t>
        </is>
      </c>
      <c r="F431" s="3" t="inlineStr">
        <is>
          <t>Total collected from claim age to a live-to age the USER sets (months × monthly, today's dollars).</t>
        </is>
      </c>
      <c r="G431" s="11" t="inlineStr">
        <is>
          <t>months = max(0, round((live to age − claim age) × 12))
the answer = ss benefit at(statement monthly, claim age, birth year) × months</t>
        </is>
      </c>
      <c r="H431" s="3" t="inlineStr">
        <is>
          <t>Months is (live to age minus claim age, to a whole number times 12, never below zero). The answer is ss benefit at(statement monthly, claim age, birth year) times months.</t>
        </is>
      </c>
      <c r="I431" s="3" t="inlineStr">
        <is>
          <t>READ FROM THE CODE — rendered from the expressions the function runs</t>
        </is>
      </c>
      <c r="J431" s="3" t="inlineStr">
        <is>
          <t>1. statementMonthly: number
2. claimAge: number
3. liveToAge: number
4. birthYear?: number | null</t>
        </is>
      </c>
      <c r="K431" s="3" t="inlineStr">
        <is>
          <t>number</t>
        </is>
      </c>
      <c r="L431" s="3" t="inlineStr">
        <is>
          <t>NOT FOUND — a screen calls it, but the words printed beside its answer could not be traced automatically. Needs reading.</t>
        </is>
      </c>
      <c r="M431" s="3" t="inlineStr">
        <is>
          <t>1. Turns a monthly figure into a year by multiplying by twelve.
2. Rounds the answer to a whole number.
3. Monthly benefit × the months from the claim age to the life expectancy, in today's dollars — no cost-of-living rise and no discounting (A40). The retirement paycheck on another screen grows Social Security with inflation; this figure is the real-terms total, and the screen does not yet say so.</t>
        </is>
      </c>
      <c r="N431" s="3" t="inlineStr">
        <is>
          <t>Yes</t>
        </is>
      </c>
      <c r="O431" s="3" t="inlineStr">
        <is>
          <t>MK-PL-F-060 ssBenefitAt</t>
        </is>
      </c>
      <c r="P431" s="3" t="n">
        <v>3</v>
      </c>
      <c r="Q431" s="3" t="inlineStr">
        <is>
          <t>1. MK-PL-F-060 ssBenefitAt
2. MK-PL-F-058 ssClaimFactorFor
3. MK-PL-F-057 fullRetirementAge</t>
        </is>
      </c>
      <c r="R431" s="3" t="inlineStr">
        <is>
          <t>MK-PL-F-057 fullRetirementAge → MK-PL-F-058 ssClaimFactorFor → MK-PL-F-060 ssBenefitAt → MK-PL-F-062 ssLifetimeTotal</t>
        </is>
      </c>
      <c r="S431" s="3" t="inlineStr">
        <is>
          <t>—</t>
        </is>
      </c>
      <c r="T431" s="3" t="inlineStr">
        <is>
          <t>—</t>
        </is>
      </c>
      <c r="U431" s="3" t="inlineStr">
        <is>
          <t>ACTIVE</t>
        </is>
      </c>
      <c r="V431" s="3" t="inlineStr">
        <is>
          <t>2026-08-27</t>
        </is>
      </c>
      <c r="W431" s="3" t="n"/>
      <c r="X431" s="3" t="n"/>
      <c r="Y431" s="3" t="inlineStr">
        <is>
          <t>NOTHING OPEN</t>
        </is>
      </c>
    </row>
    <row r="432" ht="60" customHeight="1">
      <c r="A432" s="3" t="inlineStr">
        <is>
          <t>MK-PL-F-063</t>
        </is>
      </c>
      <c r="B432" s="3" t="inlineStr">
        <is>
          <t>fraLabel</t>
        </is>
      </c>
      <c r="C432" s="3" t="inlineStr">
        <is>
          <t>src/domain/retirement/ssTiming.ts</t>
        </is>
      </c>
      <c r="D432" s="3" t="n">
        <v>239</v>
      </c>
      <c r="E432" s="3" t="inlineStr">
        <is>
          <t>2 · DISPLAYED</t>
        </is>
      </c>
      <c r="F432" s="3" t="inlineStr">
        <is>
          <t>The FRA as words a person recognises — "67", or "66 and 4 months".</t>
        </is>
      </c>
      <c r="G432" s="11" t="inlineStr">
        <is>
          <t>fra = full retirement age(birth year)
years = round down(fra)
months = round((fra − years) × 12)
the answer:
string(years)   if months = 0
`${years} and ${months} months`   otherwise</t>
        </is>
      </c>
      <c r="H432" s="3" t="inlineStr">
        <is>
          <t>Fra is full retirement age(birth year). Years is fra, rounded down. Months is (fra minus years, to a whole number times 12). The answer is string(years) — when months = 0; `${years} and ${months} months` — otherwise.</t>
        </is>
      </c>
      <c r="I432" s="3" t="inlineStr">
        <is>
          <t>PARTLY READ — some of the code is still showing through; needs a hand pass</t>
        </is>
      </c>
      <c r="J432" s="3" t="inlineStr">
        <is>
          <t>birthYear?: number | null</t>
        </is>
      </c>
      <c r="K432" s="3" t="inlineStr">
        <is>
          <t>string</t>
        </is>
      </c>
      <c r="L432" s="3" t="inlineStr">
        <is>
          <t>"We lay it out. You decide." — on the Social Security timing screen</t>
        </is>
      </c>
      <c r="M432" s="3" t="inlineStr">
        <is>
          <t>1. Turns a monthly figure into a year by multiplying by twelve.
2. Rounds the answer to a whole number.</t>
        </is>
      </c>
      <c r="N432" s="3" t="inlineStr">
        <is>
          <t>Yes</t>
        </is>
      </c>
      <c r="O432" s="3" t="inlineStr">
        <is>
          <t>MK-PL-F-057 fullRetirementAge</t>
        </is>
      </c>
      <c r="P432" s="3" t="n">
        <v>1</v>
      </c>
      <c r="Q432" s="3" t="inlineStr">
        <is>
          <t>MK-PL-F-057 fullRetirementAge</t>
        </is>
      </c>
      <c r="R432" s="3" t="inlineStr">
        <is>
          <t>MK-PL-F-057 fullRetirementAge → MK-PL-F-063 fraLabel</t>
        </is>
      </c>
      <c r="S432" s="3" t="inlineStr">
        <is>
          <t>—</t>
        </is>
      </c>
      <c r="T432" s="3" t="inlineStr">
        <is>
          <t>—</t>
        </is>
      </c>
      <c r="U432" s="3" t="inlineStr">
        <is>
          <t>ACTIVE</t>
        </is>
      </c>
      <c r="V432" s="3" t="inlineStr">
        <is>
          <t>2026-08-27</t>
        </is>
      </c>
      <c r="W432" s="3" t="n"/>
      <c r="X432" s="3" t="n"/>
      <c r="Y432" s="3" t="inlineStr">
        <is>
          <t>NOTHING OPEN</t>
        </is>
      </c>
    </row>
    <row r="433" ht="60" customHeight="1">
      <c r="A433" s="3" t="inlineStr">
        <is>
          <t>MK-PL-F-064</t>
        </is>
      </c>
      <c r="B433" s="3" t="inlineStr">
        <is>
          <t>claimWindow</t>
        </is>
      </c>
      <c r="C433" s="3" t="inlineStr">
        <is>
          <t>src/domain/retirement/ssTiming.ts</t>
        </is>
      </c>
      <c r="D433" s="3" t="n">
        <v>271</v>
      </c>
      <c r="E433" s="3" t="inlineStr">
        <is>
          <t>2 · DISPLAYED</t>
        </is>
      </c>
      <c r="F433" s="3" t="inlineStr">
        <is>
          <t>The claim window: the month the person turns 62 → the month they turn 70.</t>
        </is>
      </c>
      <c r="G433" s="11" t="inlineStr">
        <is>
          <t>nothing   when birth year is missing
m = birth month   if birth month and birth month ≥ 1 and birth month ≤ 12
1   otherwise
fmt = (y: number) =&gt; `${y}-${string(m).pad start(2, '0')}`
the answer:
opens = fmt(birth year + EARLIEST_CLAIM_AGE)
closes = fmt(birth year + LATEST_CREDIT_AGE)
opens year = birth year + EARLIEST_CLAIM_AGE
opens month = m</t>
        </is>
      </c>
      <c r="H433" s="3" t="inlineStr">
        <is>
          <t>When birth year is missing, it answers no answer. M is birth month — when birth month and birth month is at least 1 and birth month is at most 12; 1 — otherwise. Fmt is (y: number) =&gt; `${y}-${string(m).pad start(2, '0')}`. The answer is opens = fmt(birth year plus EARLIEST_CLAIM_AGE); closes = fmt(birth year plus LATEST_CREDIT_AGE); opens year = birth year plus EARLIEST_CLAIM_AGE; opens month = m.</t>
        </is>
      </c>
      <c r="I433" s="3" t="inlineStr">
        <is>
          <t>PARTLY READ — some of the code is still showing through; needs a hand pass</t>
        </is>
      </c>
      <c r="J433" s="3" t="inlineStr">
        <is>
          <t>1. birthYear: number | null
2. birthMonth: number | null</t>
        </is>
      </c>
      <c r="K433" s="3" t="inlineStr">
        <is>
          <t>NOT DECLARED — the code does not say what it gives back</t>
        </is>
      </c>
      <c r="L433" s="3" t="inlineStr">
        <is>
          <t>"Your assumption, not our prediction." — on the Social Security timing screen</t>
        </is>
      </c>
      <c r="M433" s="3" t="inlineStr">
        <is>
          <t>None found in this function — anything it assumes comes from the functions it depends on.</t>
        </is>
      </c>
      <c r="N433" s="3" t="inlineStr">
        <is>
          <t>Yes</t>
        </is>
      </c>
      <c r="O433" s="3" t="inlineStr">
        <is>
          <t>—</t>
        </is>
      </c>
      <c r="P433" s="3" t="n">
        <v>0</v>
      </c>
      <c r="Q433" s="3" t="inlineStr">
        <is>
          <t>None — no dependent function stands behind it</t>
        </is>
      </c>
      <c r="R433" s="3" t="inlineStr">
        <is>
          <t>No dependent function — it reads its inputs and answers</t>
        </is>
      </c>
      <c r="S433" s="3" t="inlineStr">
        <is>
          <t>—</t>
        </is>
      </c>
      <c r="T433" s="3" t="inlineStr">
        <is>
          <t>—</t>
        </is>
      </c>
      <c r="U433" s="3" t="inlineStr">
        <is>
          <t>ACTIVE</t>
        </is>
      </c>
      <c r="V433" s="3" t="inlineStr">
        <is>
          <t>2026-08-27</t>
        </is>
      </c>
      <c r="W433" s="3" t="n"/>
      <c r="X433" s="3" t="n"/>
      <c r="Y433" s="3" t="inlineStr">
        <is>
          <t>NOTHING OPEN</t>
        </is>
      </c>
    </row>
    <row r="434" ht="60" customHeight="1">
      <c r="A434" s="3" t="inlineStr">
        <is>
          <t>MK-PL-F-065</t>
        </is>
      </c>
      <c r="B434" s="3" t="inlineStr">
        <is>
          <t>volOf</t>
        </is>
      </c>
      <c r="C434" s="3" t="inlineStr">
        <is>
          <t>src/domain/retirement/willItLast.ts</t>
        </is>
      </c>
      <c r="D434" s="3" t="n">
        <v>86</v>
      </c>
      <c r="E434" s="3" t="inlineStr">
        <is>
          <t>2 · DISPLAYED</t>
        </is>
      </c>
      <c r="F434" s="3" t="inlineStr">
        <is>
          <t>Same volatility convention as the cockpit: higher return ⇒ more volatility.</t>
        </is>
      </c>
      <c r="G434" s="11" t="inlineStr">
        <is>
          <t>hold ret × 1.7 between 0.05 and 0.2</t>
        </is>
      </c>
      <c r="H434" s="3" t="inlineStr">
        <is>
          <t>hold ret times 1.7 between 0.05 and 0.2</t>
        </is>
      </c>
      <c r="I434" s="3" t="inlineStr">
        <is>
          <t>READ FROM THE CODE — rendered from the expressions the function runs</t>
        </is>
      </c>
      <c r="J434" s="3" t="inlineStr">
        <is>
          <t>ret: number</t>
        </is>
      </c>
      <c r="K434" s="3" t="inlineStr">
        <is>
          <t>NOT DECLARED — the code does not say what it gives back</t>
        </is>
      </c>
      <c r="L434" s="3" t="inlineStr">
        <is>
          <t>NOT FOUND — a screen calls it, but the words printed beside its answer could not be traced automatically. Needs reading.</t>
        </is>
      </c>
      <c r="M434" s="3" t="inlineStr">
        <is>
          <t>· Never lets the answer fall below 5% or rise above 20%.</t>
        </is>
      </c>
      <c r="N434" s="3" t="inlineStr">
        <is>
          <t>Yes</t>
        </is>
      </c>
      <c r="O434" s="3" t="inlineStr">
        <is>
          <t>1. MK-PL-F-077 clamp
2. MK-CF-O-002 expenses
3. MK-PL-F-050 simulate</t>
        </is>
      </c>
      <c r="P434" s="3" t="n">
        <v>36</v>
      </c>
      <c r="Q434" s="3" t="inlineStr">
        <is>
          <t>1. MK-PL-F-077 clamp
2. MK-CF-O-002 expenses
3. MK-PL-F-050 simulate
4. MK-NW-F-035 blendedVolatility
5. MK-CF-F-151 actualSpending
6. MK-CF-F-150 debtPaymentsCountedAsExpenses
7. MK-CF-F-153 radar
8. MK-CF-F-149 recurringDebtPayments
9. MK-CF-F-132 map
10. MK-PL-F-074 median
11. MK-PL-F-072 mulberry32
12. MK-XS-F-122 n
13. MK-PL-F-073 normal
14. MK-PL-F-075 pctOfSorted
15. MK-ST-F-025 rmdStartAgeFromAge
16. MK-CF-F-155 cash
17. MK-NW-F-032 earmarkedAmount
18. MK-NW-F-031 primaryCarIdOf
19. MK-CF-F-148 inMonth
20. MK-ST-F-052 toNum
21. MK-CF-F-191 ym
22. MK-ST-F-056 has
23. MK-CF-F-022 paymentShape
24. MK-CF-F-152 isRadarItem
25. MK-CF-F-023 requiredPayment
26. MK-ST-F-024 rmdStartAge
27. MK-NW-F-030 earmarkDefault
28. MK-NW-F-011 assetClassOf
29. MK-CF-F-021 defaultPaymentType
30. MK-NW-F-013 realEstateUseOf
31. MK-NW-F-008 incomeBearingClassOf
32. MK-ST-F-010 nameEvidence
33. MK-XS-F-147 call
34. MK-ST-F-027 accountId
35. MK-XS-F-064 currentIdToken
36. MK-XS-F-112 relayUrl</t>
        </is>
      </c>
      <c r="R434" s="3" t="inlineStr">
        <is>
          <t>1. MK-XS-F-122 n → MK-CF-F-155 cash → MK-NW-F-035 blendedVolatility → MK-PL-F-077 clamp → MK-PL-F-065 volOf
2. MK-NW-F-011 assetClassOf → MK-NW-F-030 earmarkDefault → MK-NW-F-032 earmarkedAmount → MK-NW-F-035 blendedVolatility → MK-PL-F-077 clamp → MK-PL-F-065 volOf
3. MK-NW-F-013 realEstateUseOf → MK-NW-F-030 earmarkDefault → MK-NW-F-032 earmarkedAmount → MK-NW-F-035 blendedVolatility → MK-PL-F-077 clamp → MK-PL-F-065 volOf
4. MK-NW-F-008 incomeBearingClassOf → MK-NW-F-011 assetClassOf → MK-NW-F-031 primaryCarIdOf → MK-NW-F-035 blendedVolatility → MK-PL-F-077 clamp → MK-PL-F-065 volOf
5. MK-CF-F-191 ym → MK-CF-F-148 inMonth → MK-CF-F-151 actualSpending → MK-CF-O-002 expenses → MK-PL-F-065 volOf
6. MK-XS-F-122 n → MK-ST-F-052 toNum → MK-CF-F-151 actualSpending → MK-CF-O-002 expenses → MK-PL-F-065 volOf
7. MK-CF-F-191 ym → MK-CF-F-151 actualSpending → MK-CF-O-002 expenses → MK-PL-F-065 volOf
8. MK-ST-F-056 has → MK-CF-F-150 debtPaymentsCountedAsExpenses → MK-CF-O-002 expenses → MK-PL-F-065 volOf
9. … and 5 more paths</t>
        </is>
      </c>
      <c r="S434" s="3" t="inlineStr">
        <is>
          <t>—</t>
        </is>
      </c>
      <c r="T434" s="3" t="inlineStr">
        <is>
          <t>SWING_FROM_RETURN</t>
        </is>
      </c>
      <c r="U434" s="3" t="inlineStr">
        <is>
          <t>ACTIVE</t>
        </is>
      </c>
      <c r="V434" s="3" t="inlineStr">
        <is>
          <t>2026-08-27</t>
        </is>
      </c>
      <c r="W434" s="3" t="n"/>
      <c r="X434" s="3" t="n"/>
      <c r="Y434" s="3" t="inlineStr">
        <is>
          <t>NOTHING OPEN</t>
        </is>
      </c>
    </row>
    <row r="435" ht="60" customHeight="1">
      <c r="A435" s="3" t="inlineStr">
        <is>
          <t>MK-PL-F-066</t>
        </is>
      </c>
      <c r="B435" s="3" t="inlineStr">
        <is>
          <t>displayOdds</t>
        </is>
      </c>
      <c r="C435" s="3" t="inlineStr">
        <is>
          <t>src/domain/retirement/willItLast.ts</t>
        </is>
      </c>
      <c r="D435" s="3" t="n">
        <v>143</v>
      </c>
      <c r="E435" s="3" t="inlineStr">
        <is>
          <t>2 · DISPLAYED</t>
        </is>
      </c>
      <c r="F435" s="3" t="inlineStr">
        <is>
          <t>B6 (founder brief 2026-08-20): the odds a person sees, to the nearest 5 — with one honesty guard at each end: 100 means "every simulated future worked" and 0 means "none did", and neither claim may be minted by rounding.</t>
        </is>
      </c>
      <c r="G435" s="11" t="inlineStr">
        <is>
          <t>min(100, max(0, round(chance, 6 dp)))</t>
        </is>
      </c>
      <c r="H435" s="3" t="inlineStr">
        <is>
          <t>the smaller of 100 and chance, to 6 decimal places, never below zero.</t>
        </is>
      </c>
      <c r="I435" s="3" t="inlineStr">
        <is>
          <t>READ FROM THE CODE — rendered from the expressions the function runs</t>
        </is>
      </c>
      <c r="J435" s="3" t="inlineStr">
        <is>
          <t>chance: number</t>
        </is>
      </c>
      <c r="K435" s="3" t="inlineStr">
        <is>
          <t>number</t>
        </is>
      </c>
      <c r="L435" s="3" t="inlineStr">
        <is>
          <t>"Claim at age" — on the Retirement cockpit screen</t>
        </is>
      </c>
      <c r="M435" s="3" t="inlineStr">
        <is>
          <t>· Rounds the answer to 6 decimal places.</t>
        </is>
      </c>
      <c r="N435" s="3" t="inlineStr">
        <is>
          <t>Yes</t>
        </is>
      </c>
      <c r="O435" s="3" t="inlineStr">
        <is>
          <t>—</t>
        </is>
      </c>
      <c r="P435" s="3" t="n">
        <v>0</v>
      </c>
      <c r="Q435" s="3" t="inlineStr">
        <is>
          <t>None — no dependent function stands behind it</t>
        </is>
      </c>
      <c r="R435" s="3" t="inlineStr">
        <is>
          <t>No dependent function — it reads its inputs and answers</t>
        </is>
      </c>
      <c r="S435" s="3" t="inlineStr">
        <is>
          <t>—</t>
        </is>
      </c>
      <c r="T435" s="3" t="inlineStr">
        <is>
          <t>ODDS_DISPLAY</t>
        </is>
      </c>
      <c r="U435" s="3" t="inlineStr">
        <is>
          <t>ACTIVE</t>
        </is>
      </c>
      <c r="V435" s="3" t="inlineStr">
        <is>
          <t>2026-09-14</t>
        </is>
      </c>
      <c r="W435" s="3" t="n"/>
      <c r="X435" s="3" t="n"/>
      <c r="Y435" s="3" t="inlineStr">
        <is>
          <t>NOTHING OPEN</t>
        </is>
      </c>
    </row>
    <row r="436" ht="60" customHeight="1">
      <c r="A436" s="3" t="inlineStr">
        <is>
          <t>MK-PL-F-067</t>
        </is>
      </c>
      <c r="B436" s="3" t="inlineStr">
        <is>
          <t>willItLastInputs</t>
        </is>
      </c>
      <c r="C436" s="3" t="inlineStr">
        <is>
          <t>src/domain/retirement/willItLast.ts</t>
        </is>
      </c>
      <c r="D436" s="3" t="n">
        <v>196</v>
      </c>
      <c r="E436" s="3" t="inlineStr">
        <is>
          <t>2 · DISPLAYED</t>
        </is>
      </c>
      <c r="F436" s="3" t="inlineStr">
        <is>
          <t>What goes into working out the odds?</t>
        </is>
      </c>
      <c r="G436" s="11" t="inlineStr">
        <is>
          <t>op = op (or none when missing)
a = assumptions (or none when missing)
age = age attained in year(num or zero(op.birth year) or nothing)
nothing   when age = nothing
nest egg = retirement earmarked value(accounts)
bequest = num or zero(op.legacy target)
spendable egg = max(0, nest egg − bequest)
bench blended = blended return(accounts)
actual blended = portfolio actual return(accounts)
return basis = A.return basis (or 'benchmark' when missing)
scenario return = A.expected return (or bench blended when missing)
… the first steps only — the rest of the body needs reading by hand.</t>
        </is>
      </c>
      <c r="H436" s="3" t="inlineStr">
        <is>
          <t>Op is op (or none — when missing). A is assumptions (or none — when missing). Age is age attained in year(num or zero(op.birth year) or no answer). When age is missing, it answers no answer. Nest egg is retirement earmarked value(accounts). Bequest is num or zero(op.legacy target). Spendable egg is nest egg minus bequest, never below zero. Bench blended is blended return(accounts). Actual blended is portfolio actual return(accounts). Return basis is A.return basis (or 'benchmark' — when missing). Scenario return is A.expected return (or bench blended — when missing). Only the first steps are shown; the rest of the body needs reading by hand.</t>
        </is>
      </c>
      <c r="I436" s="3" t="inlineStr">
        <is>
          <t>PARTLY READ — some of the code is still showing through; needs a hand pass</t>
        </is>
      </c>
      <c r="J436" s="3" t="inlineStr">
        <is>
          <t>a: WillItLastArgs</t>
        </is>
      </c>
      <c r="K436" s="3" t="inlineStr">
        <is>
          <t>RetirementInputs | null</t>
        </is>
      </c>
      <c r="L436" s="3" t="inlineStr">
        <is>
          <t>NOT FOUND — a screen calls it, but the words printed beside its answer could not be traced automatically. Needs reading.</t>
        </is>
      </c>
      <c r="M436" s="3" t="inlineStr">
        <is>
          <t>1. If social security claim age is missing it uses 67.
2. If monthly is missing it uses 0.
3. If salary growth is missing it uses 0.
4. Turns a monthly figure into a year by multiplying by twelve.
5. Uses today's date from the device clock, so the answer changes by itself overnight.
6. Rounds the answer to a whole number.
7. The current age is birthday-aware when the birth month is known, else the year-attained age (G9, 2026-09-12).
8. Inflation: the percent figure entered (2.5) is divided by 100 before use — 0.025 a year (G5). The effective tax rate on pre-tax withdrawals is the person's own, from filing status and income (income floored at $30,000), clamped between 10% and 60% (G7 / G35).</t>
        </is>
      </c>
      <c r="N436" s="3" t="inlineStr">
        <is>
          <t>Yes</t>
        </is>
      </c>
      <c r="O436" s="3" t="inlineStr">
        <is>
          <t>1. MK-CF-F-197 ageAttainedInYear
2. MK-XS-F-179 ageToday
3. MK-NW-F-037 blendedReturn
4. MK-NW-F-035 blendedVolatility
5. MK-CF-F-102 effectiveRateOnGrossFor
6. MK-CF-O-002 expenses
7. MK-CF-F-085 filingStatusOf
8. MK-CF-F-076 guaranteedOutsideStreams
9. MK-PL-F-083 inflationRateInForce
10. MK-CF-F-132 map
11. MK-NW-F-041 monthlyContributionsFromOnboarding
12. MK-PL-F-079 numOrZero
13. MK-CF-F-089 over65CountOf
14. MK-NW-F-004 portfolioActualReturn
15. MK-NW-F-033 retirementEarmarkedValue
16. MK-PL-F-049 retirementSpendMonthly
17. MK-PL-F-060 ssBenefitAt
18. MK-CF-F-086 stateRateOf
19. MK-PL-F-001 taxBucketSplit
20. MK-CF-F-083 totalGrossAnnual
21. MK-PL-F-065 volOf</t>
        </is>
      </c>
      <c r="P436" s="3" t="n">
        <v>91</v>
      </c>
      <c r="Q436" s="3" t="inlineStr">
        <is>
          <t>1. MK-CF-F-197 ageAttainedInYear
2. MK-XS-F-179 ageToday
3. MK-NW-F-037 blendedReturn
4. MK-NW-F-035 blendedVolatility
5. MK-CF-F-102 effectiveRateOnGrossFor
6. MK-CF-O-002 expenses
7. MK-CF-F-085 filingStatusOf
8. MK-CF-F-076 guaranteedOutsideStreams
9. MK-PL-F-083 inflationRateInForce
10. MK-CF-F-132 map
11. MK-NW-F-041 monthlyContributionsFromOnboarding
12. MK-PL-F-079 numOrZero
13. MK-CF-F-089 over65CountOf
14. MK-NW-F-004 portfolioActualReturn
15. MK-NW-F-033 retirementEarmarkedValue
16. MK-PL-F-049 retirementSpendMonthly
17. MK-PL-F-060 ssBenefitAt
18. MK-CF-F-086 stateRateOf
19. MK-PL-F-001 taxBucketSplit
20. MK-CF-F-083 totalGrossAnnual
21. MK-PL-F-065 volOf
22. MK-XS-F-017 currentAge
23. MK-NW-F-034 benchmarkReturn
24. MK-NW-F-032 earmarkedAmount
25. MK-NW-F-031 primaryCarIdOf
26. MK-CF-F-155 cash
27. MK-CF-F-101 taxOwedFor
28. MK-CF-F-151 actualSpending
29. MK-CF-F-150 debtPaymentsCountedAsExpenses
30. MK-CF-F-153 radar
31. MK-CF-F-149 recurringDebtPayments
32. MK-ST-F-052 toNum
33. MK-CF-F-078 employerMatchMonthly
34. MK-XS-F-122 n
35. MK-PL-F-047 colFactor
36. MK-PL-F-058 ssClaimFactorFor
37. MK-CF-F-072 currentRetirementIncomeMonthly
38. MK-CF-F-071 extraIncome
39. MK-CF-F-068 rentalNetAnnual
40. MK-CF-F-066 rsuAnnual
41. MK-CF-F-082 salaryAnnual
42. MK-CF-F-074 tipsAnnual
43. MK-PL-F-077 clamp
44. MK-PL-F-050 simulate
45. MK-NW-F-007 assetKind
46. MK-NW-F-030 earmarkDefault
47. MK-NW-F-011 assetClassOf
48. MK-CF-F-100 taxableIncomeFor
49. MK-CF-F-148 inMonth
50. MK-CF-F-191 ym
51. MK-ST-F-056 has
52. MK-CF-F-022 paymentShape
53. MK-CF-F-152 isRadarItem
54. MK-CF-F-023 requiredPayment
55. MK-CF-F-175 sumOverEarners
56. MK-CF-F-178 wageMatchMonthly
57. MK-PL-F-057 fullRetirementAge
58. MK-CF-F-075 retirementIncomeMonthly
59. MK-CF-F-070 benefitAnnual
60. MK-ST-F-039 on
61. MK-CF-F-067 rentalList
62. MK-CF-F-062 equityRowValue
63. MK-CF-F-063 rowVestYear
64. MK-CF-F-060 salaryGrossByMonth
65. MK-CF-F-081 salaryActiveMonths
66. MK-PL-F-074 median
67. MK-PL-F-072 mulberry32
68. MK-PL-F-073 normal
69. MK-PL-F-075 pctOfSorted
70. MK-ST-F-025 rmdStartAgeFromAge
71. MK-NW-F-013 realEstateUseOf
72. MK-NW-F-008 incomeBearingClassOf
73. MK-CF-F-099 deductionFor
74. MK-CF-F-021 defaultPaymentType
75. MK-CF-F-173 earnerWages
76. MK-CF-F-069 benefitActiveMonths
77. MK-CF-F-176 sumMonthsOverEarners
78. MK-CF-F-177 wageGrossByMonth
79. MK-ST-F-024 rmdStartAge
80. MK-ST-F-010 nameEvidence
81. MK-CF-F-187 seniorDeductionFor
82. MK-CF-F-172 hasWage
83. MK-CF-F-130 enteredMonthlyRaw
84. MK-CF-F-166 hasMonthlySalaryTable
85. MK-ST-F-036 reconcile
86. MK-CF-F-167 salaryCalendarYear
87. MK-XS-F-147 call
88. MK-CF-F-165 salaryMonths
89. MK-ST-F-027 accountId
90. MK-XS-F-064 currentIdToken
91. MK-XS-F-112 relayUrl</t>
        </is>
      </c>
      <c r="R436" s="3" t="inlineStr">
        <is>
          <t>1. MK-CF-F-197 ageAttainedInYear → MK-PL-F-067 willItLastInputs
2. MK-XS-F-017 currentAge → MK-XS-F-179 ageToday → MK-PL-F-067 willItLastInputs
3. MK-NW-F-008 incomeBearingClassOf → MK-NW-F-011 assetClassOf → MK-NW-F-007 assetKind → MK-NW-F-034 benchmarkReturn → MK-NW-F-037 blendedReturn → MK-PL-F-067 willItLastInputs
4. MK-XS-F-122 n → MK-CF-F-155 cash → MK-NW-F-007 assetKind → MK-NW-F-034 benchmarkReturn → MK-NW-F-037 blendedReturn → MK-PL-F-067 willItLastInputs
5. MK-NW-F-008 incomeBearingClassOf → MK-NW-F-011 assetClassOf → MK-NW-F-030 earmarkDefault → MK-NW-F-032 earmarkedAmount → MK-NW-F-037 blendedReturn → MK-PL-F-067 willItLastInputs
6. MK-NW-F-013 realEstateUseOf → MK-NW-F-030 earmarkDefault → MK-NW-F-032 earmarkedAmount → MK-NW-F-037 blendedReturn → MK-PL-F-067 willItLastInputs
7. MK-CF-F-155 cash → MK-NW-F-008 incomeBearingClassOf → MK-NW-F-011 assetClassOf → MK-NW-F-031 primaryCarIdOf → MK-NW-F-037 blendedReturn → MK-PL-F-067 willItLastInputs
8. MK-ST-F-010 nameEvidence → MK-NW-F-008 incomeBearingClassOf → MK-NW-F-011 assetClassOf → MK-NW-F-031 primaryCarIdOf → MK-NW-F-037 blendedReturn → MK-PL-F-067 willItLastInputs
9. … and 5 more paths</t>
        </is>
      </c>
      <c r="S436" s="3" t="inlineStr">
        <is>
          <t>MK-PL-M-008 · MK-PL-M-011 · MK-PL-M-029</t>
        </is>
      </c>
      <c r="T436" s="3" t="inlineStr">
        <is>
          <t>WILL_IT_LAST_INPUTS</t>
        </is>
      </c>
      <c r="U436" s="3" t="inlineStr">
        <is>
          <t>ACTIVE</t>
        </is>
      </c>
      <c r="V436" s="3" t="inlineStr">
        <is>
          <t>2026-09-12</t>
        </is>
      </c>
      <c r="W436" s="3" t="n"/>
      <c r="X436" s="3" t="n"/>
      <c r="Y436" s="6" t="inlineStr">
        <is>
          <t>TESTED, NOT VERIFIED (G5, G7, G9)</t>
        </is>
      </c>
    </row>
    <row r="437" ht="60" customHeight="1">
      <c r="A437" s="3" t="inlineStr">
        <is>
          <t>MK-PL-F-068</t>
        </is>
      </c>
      <c r="B437" s="3" t="inlineStr">
        <is>
          <t>selectWillItLast</t>
        </is>
      </c>
      <c r="C437" s="3" t="inlineStr">
        <is>
          <t>src/domain/retirement/willItLast.ts</t>
        </is>
      </c>
      <c r="D437" s="3" t="n">
        <v>316</v>
      </c>
      <c r="E437" s="3" t="inlineStr">
        <is>
          <t>2 · DISPLAYED</t>
        </is>
      </c>
      <c r="F437" s="3" t="inlineStr">
        <is>
          <t>The one will-it-last read.</t>
        </is>
      </c>
      <c r="G437" s="11" t="inlineStr">
        <is>
          <t>op = op (or none when missing)
inputs = will it last inputs(a)
nest egg = retirement earmarked value(accounts)
spend known = (retirement spend monthly(op) or num or zero(op.monthly expenses)) &gt; 0 (or (assumptions.spend monthly ?? nothing) ≠ nothing when missing or zero)
captured = inputs ≠ nothing and spend known and nest egg &gt; 0
the answer:
captured = false
chance = nothing
chance exact = nothing
band = nothing
horizon age = inputs.horizon age (or num or zero(op.horizon age) (or 90 when missing or zero) when missing)
inputs = inputs
sim = simulate(with band ? { ...inputs, with band: true } : inputs) as any
exact = sim.chance of success as number</t>
        </is>
      </c>
      <c r="H437" s="3" t="inlineStr">
        <is>
          <t>Op is op (or none — when missing). Inputs is will it last inputs(a). Nest egg is retirement earmarked value(accounts). Spend known is (retirement spend monthly(op) or num or zero(op.monthly expenses)) &gt; 0 (or (assumptions.spend monthly ?? no answer) is not no answer — when missing or zero). Captured is inputs is not no answer and spend known and nest egg &gt; 0. The answer is captured = false; chance is missing; chance exact is missing; band is missing; horizon age = inputs.horizon age (or num or zero(op.horizon age) (or 90 — when missing or zero) — when missing); inputs = inputs. Sim is simulate(with band ? { ...inputs, with band: true } : inputs) as any. Exact is sim.chance of success as number.</t>
        </is>
      </c>
      <c r="I437" s="3" t="inlineStr">
        <is>
          <t>PARTLY READ — some of the code is still showing through; needs a hand pass</t>
        </is>
      </c>
      <c r="J437" s="3" t="inlineStr">
        <is>
          <t>a: WillItLastArgs</t>
        </is>
      </c>
      <c r="K437" s="3" t="inlineStr">
        <is>
          <t>WillItLastResult</t>
        </is>
      </c>
      <c r="L437" s="3" t="inlineStr">
        <is>
          <t>1. "Draw from savings" — on the Cash flow screen, under "YOUR FUTURE PAYCHECK"
2. "WILL MY MONEY LAST?" — on the Cash flow screen, under "WILL MY MONEY LAST?"</t>
        </is>
      </c>
      <c r="M437" s="3" t="inlineStr">
        <is>
          <t>None found in this function — anything it assumes comes from the functions it depends on.</t>
        </is>
      </c>
      <c r="N437" s="3" t="inlineStr">
        <is>
          <t>Yes</t>
        </is>
      </c>
      <c r="O437" s="3" t="inlineStr">
        <is>
          <t>1. MK-PL-F-066 displayOdds
2. MK-PL-F-079 numOrZero
3. MK-NW-F-033 retirementEarmarkedValue
4. MK-PL-F-049 retirementSpendMonthly
5. MK-PL-F-050 simulate
6. MK-PL-F-067 willItLastInputs</t>
        </is>
      </c>
      <c r="P437" s="3" t="n">
        <v>93</v>
      </c>
      <c r="Q437" s="3" t="inlineStr">
        <is>
          <t>1. MK-PL-F-066 displayOdds
2. MK-PL-F-079 numOrZero
3. MK-NW-F-033 retirementEarmarkedValue
4. MK-PL-F-049 retirementSpendMonthly
5. MK-PL-F-050 simulate
6. MK-PL-F-067 willItLastInputs
7. MK-XS-F-122 n
8. MK-NW-F-032 earmarkedAmount
9. MK-NW-F-031 primaryCarIdOf
10. MK-PL-F-047 colFactor
11. MK-CF-O-002 expenses
12. MK-PL-F-001 taxBucketSplit
13. MK-ST-F-052 toNum
14. MK-CF-F-132 map
15. MK-PL-F-074 median
16. MK-PL-F-072 mulberry32
17. MK-PL-F-073 normal
18. MK-PL-F-075 pctOfSorted
19. MK-ST-F-025 rmdStartAgeFromAge
20. MK-CF-F-197 ageAttainedInYear
21. MK-XS-F-179 ageToday
22. MK-NW-F-037 blendedReturn
23. MK-NW-F-035 blendedVolatility
24. MK-CF-F-102 effectiveRateOnGrossFor
25. MK-CF-F-085 filingStatusOf
26. MK-CF-F-076 guaranteedOutsideStreams
27. MK-PL-F-083 inflationRateInForce
28. MK-NW-F-041 monthlyContributionsFromOnboarding
29. MK-CF-F-089 over65CountOf
30. MK-NW-F-004 portfolioActualReturn
31. MK-PL-F-060 ssBenefitAt
32. MK-CF-F-086 stateRateOf
33. MK-CF-F-083 totalGrossAnnual
34. MK-PL-F-065 volOf
35. MK-NW-F-030 earmarkDefault
36. MK-NW-F-011 assetClassOf
37. MK-CF-F-151 actualSpending
38. MK-CF-F-150 debtPaymentsCountedAsExpenses
39. MK-CF-F-153 radar
40. MK-CF-F-149 recurringDebtPayments
41. MK-ST-F-024 rmdStartAge
42. MK-XS-F-017 currentAge
43. MK-NW-F-034 benchmarkReturn
44. MK-CF-F-155 cash
45. MK-CF-F-101 taxOwedFor
46. MK-CF-F-078 employerMatchMonthly
47. MK-PL-F-058 ssClaimFactorFor
48. MK-CF-F-072 currentRetirementIncomeMonthly
49. MK-CF-F-071 extraIncome
50. MK-CF-F-068 rentalNetAnnual
51. MK-CF-F-066 rsuAnnual
52. MK-CF-F-082 salaryAnnual
53. MK-CF-F-074 tipsAnnual
54. MK-PL-F-077 clamp
55. MK-NW-F-013 realEstateUseOf
56. MK-NW-F-008 incomeBearingClassOf
57. MK-CF-F-148 inMonth
58. MK-CF-F-191 ym
59. MK-ST-F-056 has
60. MK-CF-F-022 paymentShape
61. MK-CF-F-152 isRadarItem
62. MK-CF-F-023 requiredPayment
63. MK-NW-F-007 assetKind
64. MK-CF-F-100 taxableIncomeFor
65. MK-CF-F-175 sumOverEarners
66. MK-CF-F-178 wageMatchMonthly
67. MK-PL-F-057 fullRetirementAge
68. MK-CF-F-075 retirementIncomeMonthly
69. MK-CF-F-070 benefitAnnual
70. MK-ST-F-039 on
71. MK-CF-F-067 rentalList
72. MK-CF-F-062 equityRowValue
73. MK-CF-F-063 rowVestYear
74. MK-CF-F-060 salaryGrossByMonth
75. MK-CF-F-081 salaryActiveMonths
76. MK-ST-F-010 nameEvidence
77. MK-CF-F-021 defaultPaymentType
78. MK-CF-F-099 deductionFor
79. MK-CF-F-173 earnerWages
80. MK-CF-F-069 benefitActiveMonths
81. MK-CF-F-176 sumMonthsOverEarners
82. MK-CF-F-177 wageGrossByMonth
83. MK-XS-F-147 call
84. MK-CF-F-187 seniorDeductionFor
85. MK-CF-F-172 hasWage
86. MK-CF-F-130 enteredMonthlyRaw
87. MK-CF-F-166 hasMonthlySalaryTable
88. MK-ST-F-036 reconcile
89. MK-CF-F-167 salaryCalendarYear
90. MK-ST-F-027 accountId
91. MK-XS-F-064 currentIdToken
92. MK-XS-F-112 relayUrl
93. MK-CF-F-165 salaryMonths</t>
        </is>
      </c>
      <c r="R437" s="3" t="inlineStr">
        <is>
          <t>1. MK-PL-F-066 displayOdds → MK-PL-F-068 selectWillItLast
2. MK-XS-F-122 n → MK-PL-F-079 numOrZero → MK-PL-F-068 selectWillItLast
3. MK-NW-F-008 incomeBearingClassOf → MK-NW-F-011 assetClassOf → MK-NW-F-030 earmarkDefault → MK-NW-F-032 earmarkedAmount → MK-NW-F-033 retirementEarmarkedValue → MK-PL-F-068 selectWillItLast
4. MK-NW-F-013 realEstateUseOf → MK-NW-F-030 earmarkDefault → MK-NW-F-032 earmarkedAmount → MK-NW-F-033 retirementEarmarkedValue → MK-PL-F-068 selectWillItLast
5. MK-CF-F-155 cash → MK-NW-F-008 incomeBearingClassOf → MK-NW-F-011 assetClassOf → MK-NW-F-031 primaryCarIdOf → MK-NW-F-033 retirementEarmarkedValue → MK-PL-F-068 selectWillItLast
6. MK-ST-F-010 nameEvidence → MK-NW-F-008 incomeBearingClassOf → MK-NW-F-011 assetClassOf → MK-NW-F-031 primaryCarIdOf → MK-NW-F-033 retirementEarmarkedValue → MK-PL-F-068 selectWillItLast
7. MK-PL-F-047 colFactor → MK-PL-F-049 retirementSpendMonthly → MK-PL-F-068 selectWillItLast
8. MK-CF-F-191 ym → MK-CF-F-148 inMonth → MK-CF-F-151 actualSpending → MK-CF-O-002 expenses → MK-PL-F-049 retirementSpendMonthly → MK-PL-F-068 selectWillItLast
9. … and 5 more paths</t>
        </is>
      </c>
      <c r="S437" s="3" t="inlineStr">
        <is>
          <t>MK-PL-M-034 · MK-XS-M-002</t>
        </is>
      </c>
      <c r="T437" s="3" t="inlineStr">
        <is>
          <t>WILL_IT_LAST_RESULT</t>
        </is>
      </c>
      <c r="U437" s="3" t="inlineStr">
        <is>
          <t>ACTIVE</t>
        </is>
      </c>
      <c r="V437" s="3" t="inlineStr">
        <is>
          <t>2026-09-12</t>
        </is>
      </c>
      <c r="W437" s="3" t="n"/>
      <c r="X437" s="3" t="n"/>
      <c r="Y437" s="3" t="inlineStr">
        <is>
          <t>NOTHING OPEN</t>
        </is>
      </c>
    </row>
    <row r="438" ht="60" customHeight="1">
      <c r="A438" s="3" t="inlineStr">
        <is>
          <t>MK-PL-F-069</t>
        </is>
      </c>
      <c r="B438" s="3" t="inlineStr">
        <is>
          <t>oddsAt</t>
        </is>
      </c>
      <c r="C438" s="3" t="inlineStr">
        <is>
          <t>src/domain/planning/spendMore.ts</t>
        </is>
      </c>
      <c r="D438" s="3" t="n">
        <v>45</v>
      </c>
      <c r="E438" s="3" t="inlineStr">
        <is>
          <t>1 · ACTION</t>
        </is>
      </c>
      <c r="F438" s="3" t="inlineStr">
        <is>
          <t>NOT DETERMINED — the code carries no note saying what this is for, and it has no row in the old inventory. Needs reading.</t>
        </is>
      </c>
      <c r="G438" s="11" t="inlineStr">
        <is>
          <t>the answer = simulate({ …base, retire monthly spend today: monthly spend }).chance of success</t>
        </is>
      </c>
      <c r="H438" s="3" t="inlineStr">
        <is>
          <t>The odds the money lasts when the monthly expenses in retirement are set to a given figure — one full run of the simulation (MK-PL-F-050) with that one input changed.</t>
        </is>
      </c>
      <c r="I438" s="3" t="inlineStr">
        <is>
          <t>READ BY HAND 2026-08-26 — checked line by line against the code</t>
        </is>
      </c>
      <c r="J438" s="3" t="inlineStr">
        <is>
          <t>1. base: RetirementInputs
2. monthlySpend: number</t>
        </is>
      </c>
      <c r="K438" s="3" t="inlineStr">
        <is>
          <t>NOT DECLARED — the code does not say what it gives back</t>
        </is>
      </c>
      <c r="L438" s="3" t="inlineStr">
        <is>
          <t>—</t>
        </is>
      </c>
      <c r="M438" s="3" t="inlineStr">
        <is>
          <t>None found in this function — anything it assumes comes from the functions it depends on.</t>
        </is>
      </c>
      <c r="N438" s="3" t="inlineStr">
        <is>
          <t>Yes</t>
        </is>
      </c>
      <c r="O438" s="3" t="inlineStr">
        <is>
          <t>MK-PL-F-050 simulate</t>
        </is>
      </c>
      <c r="P438" s="3" t="n">
        <v>22</v>
      </c>
      <c r="Q438" s="3" t="inlineStr">
        <is>
          <t>1. MK-PL-F-050 simulate
2. MK-CF-O-002 expenses
3. MK-CF-F-132 map
4. MK-PL-F-074 median
5. MK-PL-F-072 mulberry32
6. MK-XS-F-122 n
7. MK-PL-F-073 normal
8. MK-PL-F-075 pctOfSorted
9. MK-ST-F-025 rmdStartAgeFromAge
10. MK-CF-F-151 actualSpending
11. MK-CF-F-150 debtPaymentsCountedAsExpenses
12. MK-CF-F-153 radar
13. MK-CF-F-149 recurringDebtPayments
14. MK-ST-F-024 rmdStartAge
15. MK-CF-F-148 inMonth
16. MK-ST-F-052 toNum
17. MK-CF-F-191 ym
18. MK-ST-F-056 has
19. MK-CF-F-022 paymentShape
20. MK-CF-F-152 isRadarItem
21. MK-CF-F-023 requiredPayment
22. MK-CF-F-021 defaultPaymentType</t>
        </is>
      </c>
      <c r="R438" s="3" t="inlineStr">
        <is>
          <t>1. MK-CF-F-191 ym → MK-CF-F-148 inMonth → MK-CF-F-151 actualSpending → MK-CF-O-002 expenses → MK-PL-F-050 simulate → MK-PL-F-069 oddsAt
2. MK-XS-F-122 n → MK-ST-F-052 toNum → MK-CF-F-151 actualSpending → MK-CF-O-002 expenses → MK-PL-F-050 simulate → MK-PL-F-069 oddsAt
3. MK-CF-F-191 ym → MK-CF-F-151 actualSpending → MK-CF-O-002 expenses → MK-PL-F-050 simulate → MK-PL-F-069 oddsAt
4. MK-ST-F-056 has → MK-CF-F-150 debtPaymentsCountedAsExpenses → MK-CF-O-002 expenses → MK-PL-F-050 simulate → MK-PL-F-069 oddsAt
5. MK-CF-F-191 ym → MK-CF-F-148 inMonth → MK-CF-F-150 debtPaymentsCountedAsExpenses → MK-CF-O-002 expenses → MK-PL-F-050 simulate → MK-PL-F-069 oddsAt
6. MK-CF-F-021 defaultPaymentType → MK-CF-F-022 paymentShape → MK-CF-F-150 debtPaymentsCountedAsExpenses → MK-CF-O-002 expenses → MK-PL-F-050 simulate → MK-PL-F-069 oddsAt
7. MK-XS-F-122 n → MK-ST-F-052 toNum → MK-CF-F-150 debtPaymentsCountedAsExpenses → MK-CF-O-002 expenses → MK-PL-F-050 simulate → MK-PL-F-069 oddsAt
8. MK-CF-F-191 ym → MK-CF-F-150 debtPaymentsCountedAsExpenses → MK-CF-O-002 expenses → MK-PL-F-050 simulate → MK-PL-F-069 oddsAt
9. … and 4 more paths</t>
        </is>
      </c>
      <c r="S438" s="3" t="inlineStr">
        <is>
          <t>—</t>
        </is>
      </c>
      <c r="T438" s="3" t="inlineStr">
        <is>
          <t>—</t>
        </is>
      </c>
      <c r="U438" s="3" t="inlineStr">
        <is>
          <t>ACTIVE</t>
        </is>
      </c>
      <c r="V438" s="3" t="inlineStr">
        <is>
          <t>2026-09-12</t>
        </is>
      </c>
      <c r="W438" s="3" t="n"/>
      <c r="X438" s="3" t="n"/>
      <c r="Y438" s="3" t="inlineStr">
        <is>
          <t>NOTHING OPEN</t>
        </is>
      </c>
    </row>
    <row r="439" ht="60" customHeight="1">
      <c r="A439" s="3" t="inlineStr">
        <is>
          <t>MK-PL-F-070</t>
        </is>
      </c>
      <c r="B439" s="3" t="inlineStr">
        <is>
          <t>smallestThatWorks</t>
        </is>
      </c>
      <c r="C439" s="3" t="inlineStr">
        <is>
          <t>src/domain/planning/target.ts</t>
        </is>
      </c>
      <c r="D439" s="3" t="n">
        <v>48</v>
      </c>
      <c r="E439" s="3" t="inlineStr">
        <is>
          <t>3 · DEPENDENT</t>
        </is>
      </c>
      <c r="F439" s="3" t="inlineStr">
        <is>
          <t>Smallest x in [lo, hi] where reaching(x) is true, to `tol`.</t>
        </is>
      </c>
      <c r="G439" s="11" t="inlineStr">
        <is>
          <t>lo   when works(lo)
nothing   when !works(hi)
a = lo, b = hi
mid = (a + b) ÷ 2
the answer = b</t>
        </is>
      </c>
      <c r="H439" s="3" t="inlineStr">
        <is>
          <t>When works(lo), it answers lo. When !works(hi), it answers no answer. A is lo, b = hi. Mid is (a plus b) divided by 2. The answer is b.</t>
        </is>
      </c>
      <c r="I439" s="3" t="inlineStr">
        <is>
          <t>READ FROM THE CODE — rendered from the expressions the function runs</t>
        </is>
      </c>
      <c r="J439" s="3" t="inlineStr">
        <is>
          <t>1. lo: number
2. hi: number
3. tol: number
4. works: (x: number) =&gt; boolean</t>
        </is>
      </c>
      <c r="K439" s="3" t="inlineStr">
        <is>
          <t>number | null</t>
        </is>
      </c>
      <c r="L439" s="3" t="inlineStr">
        <is>
          <t>—</t>
        </is>
      </c>
      <c r="M439" s="3" t="inlineStr">
        <is>
          <t>None found in this function — anything it assumes comes from the functions it depends on.</t>
        </is>
      </c>
      <c r="N439" s="3" t="inlineStr">
        <is>
          <t>Yes</t>
        </is>
      </c>
      <c r="O439" s="3" t="inlineStr">
        <is>
          <t>—</t>
        </is>
      </c>
      <c r="P439" s="3" t="n">
        <v>0</v>
      </c>
      <c r="Q439" s="3" t="inlineStr">
        <is>
          <t>None — no dependent function stands behind it</t>
        </is>
      </c>
      <c r="R439" s="3" t="inlineStr">
        <is>
          <t>No dependent function — it reads its inputs and answers</t>
        </is>
      </c>
      <c r="S439" s="3" t="inlineStr">
        <is>
          <t>—</t>
        </is>
      </c>
      <c r="T439" s="3" t="inlineStr">
        <is>
          <t>—</t>
        </is>
      </c>
      <c r="U439" s="3" t="inlineStr">
        <is>
          <t>ACTIVE</t>
        </is>
      </c>
      <c r="V439" s="3" t="inlineStr">
        <is>
          <t>2026-08-27</t>
        </is>
      </c>
      <c r="W439" s="3" t="n"/>
      <c r="X439" s="3" t="n"/>
      <c r="Y439" s="3" t="inlineStr">
        <is>
          <t>NOTHING OPEN</t>
        </is>
      </c>
    </row>
    <row r="440" ht="60" customHeight="1">
      <c r="A440" s="3" t="inlineStr">
        <is>
          <t>MK-PL-F-071</t>
        </is>
      </c>
      <c r="B440" s="3" t="inlineStr">
        <is>
          <t>oddsOf</t>
        </is>
      </c>
      <c r="C440" s="3" t="inlineStr">
        <is>
          <t>src/domain/planning/target.ts</t>
        </is>
      </c>
      <c r="D440" s="3" t="n">
        <v>79</v>
      </c>
      <c r="E440" s="3" t="inlineStr">
        <is>
          <t>1 · ACTION</t>
        </is>
      </c>
      <c r="F440" s="3" t="inlineStr">
        <is>
          <t>NOT DETERMINED — the code carries no note saying what this is for, and it has no row in the old inventory. Needs reading.</t>
        </is>
      </c>
      <c r="G440" s="11" t="inlineStr">
        <is>
          <t>simulate(inp).chance of success</t>
        </is>
      </c>
      <c r="H440" s="3" t="inlineStr">
        <is>
          <t>simulate(inp).chance of success</t>
        </is>
      </c>
      <c r="I440" s="3" t="inlineStr">
        <is>
          <t>PARTLY READ — some of the code is still showing through; needs a hand pass</t>
        </is>
      </c>
      <c r="J440" s="3" t="inlineStr">
        <is>
          <t>inp: RetirementInputs</t>
        </is>
      </c>
      <c r="K440" s="3" t="inlineStr">
        <is>
          <t>NOT DECLARED — the code does not say what it gives back</t>
        </is>
      </c>
      <c r="L440" s="3" t="inlineStr">
        <is>
          <t>—</t>
        </is>
      </c>
      <c r="M440" s="3" t="inlineStr">
        <is>
          <t>None found in this function — anything it assumes comes from the functions it depends on.</t>
        </is>
      </c>
      <c r="N440" s="3" t="inlineStr">
        <is>
          <t>Yes</t>
        </is>
      </c>
      <c r="O440" s="3" t="inlineStr">
        <is>
          <t>MK-PL-F-050 simulate</t>
        </is>
      </c>
      <c r="P440" s="3" t="n">
        <v>22</v>
      </c>
      <c r="Q440" s="3" t="inlineStr">
        <is>
          <t>1. MK-PL-F-050 simulate
2. MK-CF-O-002 expenses
3. MK-CF-F-132 map
4. MK-PL-F-074 median
5. MK-PL-F-072 mulberry32
6. MK-XS-F-122 n
7. MK-PL-F-073 normal
8. MK-PL-F-075 pctOfSorted
9. MK-ST-F-025 rmdStartAgeFromAge
10. MK-CF-F-151 actualSpending
11. MK-CF-F-150 debtPaymentsCountedAsExpenses
12. MK-CF-F-153 radar
13. MK-CF-F-149 recurringDebtPayments
14. MK-ST-F-024 rmdStartAge
15. MK-CF-F-148 inMonth
16. MK-ST-F-052 toNum
17. MK-CF-F-191 ym
18. MK-ST-F-056 has
19. MK-CF-F-022 paymentShape
20. MK-CF-F-152 isRadarItem
21. MK-CF-F-023 requiredPayment
22. MK-CF-F-021 defaultPaymentType</t>
        </is>
      </c>
      <c r="R440" s="3" t="inlineStr">
        <is>
          <t>1. MK-CF-F-191 ym → MK-CF-F-148 inMonth → MK-CF-F-151 actualSpending → MK-CF-O-002 expenses → MK-PL-F-050 simulate → MK-PL-F-071 oddsOf
2. MK-XS-F-122 n → MK-ST-F-052 toNum → MK-CF-F-151 actualSpending → MK-CF-O-002 expenses → MK-PL-F-050 simulate → MK-PL-F-071 oddsOf
3. MK-CF-F-191 ym → MK-CF-F-151 actualSpending → MK-CF-O-002 expenses → MK-PL-F-050 simulate → MK-PL-F-071 oddsOf
4. MK-ST-F-056 has → MK-CF-F-150 debtPaymentsCountedAsExpenses → MK-CF-O-002 expenses → MK-PL-F-050 simulate → MK-PL-F-071 oddsOf
5. MK-CF-F-191 ym → MK-CF-F-148 inMonth → MK-CF-F-150 debtPaymentsCountedAsExpenses → MK-CF-O-002 expenses → MK-PL-F-050 simulate → MK-PL-F-071 oddsOf
6. MK-CF-F-021 defaultPaymentType → MK-CF-F-022 paymentShape → MK-CF-F-150 debtPaymentsCountedAsExpenses → MK-CF-O-002 expenses → MK-PL-F-050 simulate → MK-PL-F-071 oddsOf
7. MK-XS-F-122 n → MK-ST-F-052 toNum → MK-CF-F-150 debtPaymentsCountedAsExpenses → MK-CF-O-002 expenses → MK-PL-F-050 simulate → MK-PL-F-071 oddsOf
8. MK-CF-F-191 ym → MK-CF-F-150 debtPaymentsCountedAsExpenses → MK-CF-O-002 expenses → MK-PL-F-050 simulate → MK-PL-F-071 oddsOf
9. … and 4 more paths</t>
        </is>
      </c>
      <c r="S440" s="3" t="inlineStr">
        <is>
          <t>—</t>
        </is>
      </c>
      <c r="T440" s="3" t="inlineStr">
        <is>
          <t>—</t>
        </is>
      </c>
      <c r="U440" s="3" t="inlineStr">
        <is>
          <t>ACTIVE</t>
        </is>
      </c>
      <c r="V440" s="3" t="inlineStr">
        <is>
          <t>2026-08-27</t>
        </is>
      </c>
      <c r="W440" s="3" t="n"/>
      <c r="X440" s="3" t="n"/>
      <c r="Y440" s="3" t="inlineStr">
        <is>
          <t>NOTHING OPEN</t>
        </is>
      </c>
    </row>
    <row r="441" ht="45" customHeight="1">
      <c r="A441" s="3" t="inlineStr">
        <is>
          <t>MK-PL-F-072</t>
        </is>
      </c>
      <c r="B441" s="3" t="inlineStr">
        <is>
          <t>mulberry32</t>
        </is>
      </c>
      <c r="C441" s="3" t="inlineStr">
        <is>
          <t>src/domain/retirement/index.ts</t>
        </is>
      </c>
      <c r="D441" s="3" t="n">
        <v>218</v>
      </c>
      <c r="E441" s="3" t="inlineStr">
        <is>
          <t>3 · DEPENDENT</t>
        </is>
      </c>
      <c r="F441" s="3" t="inlineStr">
        <is>
          <t>deterministic RNG so results/tests are reproducible</t>
        </is>
      </c>
      <c r="G441" s="11" t="inlineStr">
        <is>
          <t>t = seed += 0x6d2b79f5
the answer = ((t ^ (t &gt;&gt;&gt; 14)) &gt;&gt;&gt; 0) ÷ 4294967296</t>
        </is>
      </c>
      <c r="H441" s="3" t="inlineStr">
        <is>
          <t>T is seed += 0x6d2b79f5. The answer is ((t ^ (t &gt;&gt;&gt; 14)) &gt;&gt;&gt; 0) divided by 4294967296.</t>
        </is>
      </c>
      <c r="I441" s="3" t="inlineStr">
        <is>
          <t>READ FROM THE CODE — rendered from the expressions the function runs</t>
        </is>
      </c>
      <c r="J441" s="3" t="inlineStr">
        <is>
          <t>seed: number</t>
        </is>
      </c>
      <c r="K441" s="3" t="inlineStr">
        <is>
          <t>NOT DECLARED — the code does not say what it gives back</t>
        </is>
      </c>
      <c r="L441" s="3" t="inlineStr">
        <is>
          <t>—</t>
        </is>
      </c>
      <c r="M441" s="3" t="inlineStr">
        <is>
          <t>None found in this function — anything it assumes comes from the functions it depends on.</t>
        </is>
      </c>
      <c r="N441" s="3" t="inlineStr">
        <is>
          <t>Yes</t>
        </is>
      </c>
      <c r="O441" s="3" t="inlineStr">
        <is>
          <t>—</t>
        </is>
      </c>
      <c r="P441" s="3" t="n">
        <v>0</v>
      </c>
      <c r="Q441" s="3" t="inlineStr">
        <is>
          <t>None — no dependent function stands behind it</t>
        </is>
      </c>
      <c r="R441" s="3" t="inlineStr">
        <is>
          <t>No dependent function — it reads its inputs and answers</t>
        </is>
      </c>
      <c r="S441" s="3" t="inlineStr">
        <is>
          <t>—</t>
        </is>
      </c>
      <c r="T441" s="3" t="inlineStr">
        <is>
          <t>—</t>
        </is>
      </c>
      <c r="U441" s="3" t="inlineStr">
        <is>
          <t>ACTIVE</t>
        </is>
      </c>
      <c r="V441" s="3" t="inlineStr">
        <is>
          <t>2026-08-27</t>
        </is>
      </c>
      <c r="W441" s="3" t="n"/>
      <c r="X441" s="3" t="n"/>
      <c r="Y441" s="3" t="inlineStr">
        <is>
          <t>NOTHING OPEN</t>
        </is>
      </c>
    </row>
    <row r="442" ht="60" customHeight="1">
      <c r="A442" s="3" t="inlineStr">
        <is>
          <t>MK-PL-F-073</t>
        </is>
      </c>
      <c r="B442" s="3" t="inlineStr">
        <is>
          <t>normal</t>
        </is>
      </c>
      <c r="C442" s="3" t="inlineStr">
        <is>
          <t>src/domain/retirement/index.ts</t>
        </is>
      </c>
      <c r="D442" s="3" t="n">
        <v>254</v>
      </c>
      <c r="E442" s="3" t="inlineStr">
        <is>
          <t>3 · DEPENDENT</t>
        </is>
      </c>
      <c r="F442" s="3" t="inlineStr">
        <is>
          <t>NOT DETERMINED — the code carries no note saying what this is for, and it has no row in the old inventory. Needs reading.</t>
        </is>
      </c>
      <c r="G442" s="11" t="inlineStr">
        <is>
          <t>u = 0, v = 0
[LOOP — the answer is found inside a loop the extractor cannot render; the steps above are the ones before it. Read by hand.]</t>
        </is>
      </c>
      <c r="H442" s="3" t="inlineStr">
        <is>
          <t>U is 0, v = 0. The answer is mean plus sd times √(-2 times math.log(u)) times math.cos(2 times math.PI times v). The answer is found inside a loop that cannot be rendered here; read the code by hand.</t>
        </is>
      </c>
      <c r="I442" s="3" t="inlineStr">
        <is>
          <t>PARTLY READ — the body has a loop the extractor cannot render; the steps shown are the ones before it. Needs a hand pass (G23).</t>
        </is>
      </c>
      <c r="J442" s="3" t="inlineStr">
        <is>
          <t>rng: () =&gt; number, mean: number, sd: number</t>
        </is>
      </c>
      <c r="K442" s="3" t="inlineStr">
        <is>
          <t>number</t>
        </is>
      </c>
      <c r="L442" s="3" t="inlineStr">
        <is>
          <t>—</t>
        </is>
      </c>
      <c r="M442" s="3" t="inlineStr">
        <is>
          <t>None found in this function — anything it assumes comes from the functions it depends on.</t>
        </is>
      </c>
      <c r="N442" s="3" t="inlineStr">
        <is>
          <t>Yes</t>
        </is>
      </c>
      <c r="O442" s="3" t="inlineStr">
        <is>
          <t>—</t>
        </is>
      </c>
      <c r="P442" s="3" t="n">
        <v>0</v>
      </c>
      <c r="Q442" s="3" t="inlineStr">
        <is>
          <t>None — no dependent function stands behind it</t>
        </is>
      </c>
      <c r="R442" s="3" t="inlineStr">
        <is>
          <t>No dependent function — it reads its inputs and answers</t>
        </is>
      </c>
      <c r="S442" s="3" t="inlineStr">
        <is>
          <t>—</t>
        </is>
      </c>
      <c r="T442" s="3" t="inlineStr">
        <is>
          <t>—</t>
        </is>
      </c>
      <c r="U442" s="3" t="inlineStr">
        <is>
          <t>ACTIVE</t>
        </is>
      </c>
      <c r="V442" s="3" t="inlineStr">
        <is>
          <t>2026-09-08</t>
        </is>
      </c>
      <c r="W442" s="3" t="n"/>
      <c r="X442" s="3" t="n"/>
      <c r="Y442" s="3" t="inlineStr">
        <is>
          <t>NOTHING OPEN</t>
        </is>
      </c>
    </row>
    <row r="443" ht="60" customHeight="1">
      <c r="A443" s="3" t="inlineStr">
        <is>
          <t>MK-PL-F-074</t>
        </is>
      </c>
      <c r="B443" s="3" t="inlineStr">
        <is>
          <t>median</t>
        </is>
      </c>
      <c r="C443" s="3" t="inlineStr">
        <is>
          <t>src/domain/_shared/num.ts</t>
        </is>
      </c>
      <c r="D443" s="3" t="n">
        <v>157</v>
      </c>
      <c r="E443" s="3" t="inlineStr">
        <is>
          <t>2 · DISPLAYED</t>
        </is>
      </c>
      <c r="F443" s="3" t="inlineStr">
        <is>
          <t>The middle value of a list, 0 when it is empty.</t>
        </is>
      </c>
      <c r="G443" s="11" t="inlineStr">
        <is>
          <t>0   when count of xs is missing
s = [...xs].sort((a, b) =&gt; a − b)
m = round down(length ÷ 2)
the answer:
s[m]   if length % 2
(s[m − 1] + s[m]) ÷ 2   otherwise</t>
        </is>
      </c>
      <c r="H443" s="3" t="inlineStr">
        <is>
          <t>When how many xs is missing there are, it answers 0. S is [...xs].sort((a, b) =&gt; a minus b). M is length divided by 2, rounded down. The answer is s[m] — when length % 2; (s[m minus 1] plus s[m]) divided by 2 — otherwise.</t>
        </is>
      </c>
      <c r="I443" s="3" t="inlineStr">
        <is>
          <t>PARTLY READ — some of the code is still showing through; needs a hand pass</t>
        </is>
      </c>
      <c r="J443" s="3" t="inlineStr">
        <is>
          <t>xs: number[]</t>
        </is>
      </c>
      <c r="K443" s="3" t="inlineStr">
        <is>
          <t>number</t>
        </is>
      </c>
      <c r="L443" s="3" t="inlineStr">
        <is>
          <t>NOT FOUND — a screen calls it, but the words printed beside its answer could not be traced automatically. Needs reading.</t>
        </is>
      </c>
      <c r="M443" s="3" t="inlineStr">
        <is>
          <t>None found in this function — anything it assumes comes from the functions it depends on.</t>
        </is>
      </c>
      <c r="N443" s="3" t="inlineStr">
        <is>
          <t>Yes</t>
        </is>
      </c>
      <c r="O443" s="3" t="inlineStr">
        <is>
          <t>—</t>
        </is>
      </c>
      <c r="P443" s="3" t="n">
        <v>0</v>
      </c>
      <c r="Q443" s="3" t="inlineStr">
        <is>
          <t>None — no dependent function stands behind it</t>
        </is>
      </c>
      <c r="R443" s="3" t="inlineStr">
        <is>
          <t>No dependent function — it reads its inputs and answers</t>
        </is>
      </c>
      <c r="S443" s="3" t="inlineStr">
        <is>
          <t>—</t>
        </is>
      </c>
      <c r="T443" s="3" t="inlineStr">
        <is>
          <t>—</t>
        </is>
      </c>
      <c r="U443" s="3" t="inlineStr">
        <is>
          <t>ACTIVE</t>
        </is>
      </c>
      <c r="V443" s="3" t="inlineStr">
        <is>
          <t>2026-08-27</t>
        </is>
      </c>
      <c r="W443" s="3" t="n"/>
      <c r="X443" s="3" t="n"/>
      <c r="Y443" s="3" t="inlineStr">
        <is>
          <t>NOTHING OPEN</t>
        </is>
      </c>
    </row>
    <row r="444" ht="60" customHeight="1">
      <c r="A444" s="3" t="inlineStr">
        <is>
          <t>MK-PL-F-075</t>
        </is>
      </c>
      <c r="B444" s="3" t="inlineStr">
        <is>
          <t>pctOfSorted</t>
        </is>
      </c>
      <c r="C444" s="3" t="inlineStr">
        <is>
          <t>src/domain/retirement/index.ts</t>
        </is>
      </c>
      <c r="D444" s="3" t="n">
        <v>293</v>
      </c>
      <c r="E444" s="3" t="inlineStr">
        <is>
          <t>3 · DEPENDENT</t>
        </is>
      </c>
      <c r="F444" s="3" t="inlineStr">
        <is>
          <t>p in [0,1] over a pre-sorted ascending array (nearest-rank)</t>
        </is>
      </c>
      <c r="G444" s="11" t="inlineStr">
        <is>
          <t>0   when count of sorted is missing
idx = min(sorted.length − 1, max(0, round(p × (sorted.length − 1))))
the answer = sorted[idx]</t>
        </is>
      </c>
      <c r="H444" s="3" t="inlineStr">
        <is>
          <t>When how many sorted is missing there are, it answers 0. Idx: the smaller of sorted.length minus 1 and p times (sorted.length minus 1, to a whole number, never below zero). The answer is sorted[idx].</t>
        </is>
      </c>
      <c r="I444" s="3" t="inlineStr">
        <is>
          <t>READ FROM THE CODE — rendered from the expressions the function runs</t>
        </is>
      </c>
      <c r="J444" s="3" t="inlineStr">
        <is>
          <t>1. sorted: number[]
2. p: number</t>
        </is>
      </c>
      <c r="K444" s="3" t="inlineStr">
        <is>
          <t>number</t>
        </is>
      </c>
      <c r="L444" s="3" t="inlineStr">
        <is>
          <t>—</t>
        </is>
      </c>
      <c r="M444" s="3" t="inlineStr">
        <is>
          <t>· Rounds the answer to a whole number.</t>
        </is>
      </c>
      <c r="N444" s="3" t="inlineStr">
        <is>
          <t>Yes</t>
        </is>
      </c>
      <c r="O444" s="3" t="inlineStr">
        <is>
          <t>—</t>
        </is>
      </c>
      <c r="P444" s="3" t="n">
        <v>0</v>
      </c>
      <c r="Q444" s="3" t="inlineStr">
        <is>
          <t>None — no dependent function stands behind it</t>
        </is>
      </c>
      <c r="R444" s="3" t="inlineStr">
        <is>
          <t>No dependent function — it reads its inputs and answers</t>
        </is>
      </c>
      <c r="S444" s="3" t="inlineStr">
        <is>
          <t>—</t>
        </is>
      </c>
      <c r="T444" s="3" t="inlineStr">
        <is>
          <t>—</t>
        </is>
      </c>
      <c r="U444" s="3" t="inlineStr">
        <is>
          <t>ACTIVE</t>
        </is>
      </c>
      <c r="V444" s="3" t="inlineStr">
        <is>
          <t>2026-08-27</t>
        </is>
      </c>
      <c r="W444" s="3" t="n"/>
      <c r="X444" s="3" t="n"/>
      <c r="Y444" s="3" t="inlineStr">
        <is>
          <t>NOTHING OPEN</t>
        </is>
      </c>
    </row>
    <row r="445" ht="60" customHeight="1">
      <c r="A445" s="3" t="inlineStr">
        <is>
          <t>MK-PL-F-077</t>
        </is>
      </c>
      <c r="B445" s="3" t="inlineStr">
        <is>
          <t>clamp</t>
        </is>
      </c>
      <c r="C445" s="3" t="inlineStr">
        <is>
          <t>src/domain/retirement/willItLast.ts</t>
        </is>
      </c>
      <c r="D445" s="3" t="n">
        <v>56</v>
      </c>
      <c r="E445" s="3" t="inlineStr">
        <is>
          <t>2 · DISPLAYED</t>
        </is>
      </c>
      <c r="F445" s="3" t="inlineStr">
        <is>
          <t>NOT DETERMINED — the code carries no note saying what this is for, and it has no row in the old inventory. Needs reading.</t>
        </is>
      </c>
      <c r="G445" s="11" t="inlineStr">
        <is>
          <t>max(lo, min(hi, v))</t>
        </is>
      </c>
      <c r="H445" s="3" t="inlineStr">
        <is>
          <t>the larger of lo and the smaller of hi and v</t>
        </is>
      </c>
      <c r="I445" s="3" t="inlineStr">
        <is>
          <t>READ FROM THE CODE — rendered from the expressions the function runs</t>
        </is>
      </c>
      <c r="J445" s="3" t="inlineStr">
        <is>
          <t>1. v: number
2. lo: number
3. hi: number</t>
        </is>
      </c>
      <c r="K445" s="3" t="inlineStr">
        <is>
          <t>NOT DECLARED — the code does not say what it gives back</t>
        </is>
      </c>
      <c r="L445" s="3" t="inlineStr">
        <is>
          <t>1. "Claim at age" — on the Retirement cockpit screen
2. "Save" — on the Retirement cockpit screen
3. "Test retiring earlier, saving more, market ups &amp; downs." — on the Retirement cockpit screen
4. "What counts toward retirement?" — on the Retirement cockpit screen</t>
        </is>
      </c>
      <c r="M445" s="3" t="inlineStr">
        <is>
          <t>None found in this function — anything it assumes comes from the functions it depends on.</t>
        </is>
      </c>
      <c r="N445" s="3" t="inlineStr">
        <is>
          <t>Yes</t>
        </is>
      </c>
      <c r="O445" s="3" t="inlineStr">
        <is>
          <t>MK-NW-F-035 blendedVolatility</t>
        </is>
      </c>
      <c r="P445" s="3" t="n">
        <v>16</v>
      </c>
      <c r="Q445" s="3" t="inlineStr">
        <is>
          <t>1. MK-NW-F-035 blendedVolatility
2. MK-CF-F-155 cash
3. MK-NW-F-032 earmarkedAmount
4. MK-NW-F-031 primaryCarIdOf
5. MK-XS-F-122 n
6. MK-NW-F-030 earmarkDefault
7. MK-NW-F-011 assetClassOf
8. MK-NW-F-013 realEstateUseOf
9. MK-NW-F-008 incomeBearingClassOf
10. MK-ST-F-010 nameEvidence
11. MK-XS-F-147 call
12. MK-ST-F-056 has
13. MK-CF-F-132 map
14. MK-ST-F-027 accountId
15. MK-XS-F-064 currentIdToken
16. MK-XS-F-112 relayUrl</t>
        </is>
      </c>
      <c r="R445" s="3" t="inlineStr">
        <is>
          <t>1. MK-XS-F-122 n → MK-CF-F-155 cash → MK-NW-F-035 blendedVolatility → MK-PL-F-077 clamp
2. MK-NW-F-008 incomeBearingClassOf → MK-NW-F-011 assetClassOf → MK-NW-F-030 earmarkDefault → MK-NW-F-032 earmarkedAmount → MK-NW-F-035 blendedVolatility → MK-PL-F-077 clamp
3. MK-NW-F-013 realEstateUseOf → MK-NW-F-030 earmarkDefault → MK-NW-F-032 earmarkedAmount → MK-NW-F-035 blendedVolatility → MK-PL-F-077 clamp
4. MK-CF-F-155 cash → MK-NW-F-008 incomeBearingClassOf → MK-NW-F-011 assetClassOf → MK-NW-F-031 primaryCarIdOf → MK-NW-F-035 blendedVolatility → MK-PL-F-077 clamp
5. MK-ST-F-010 nameEvidence → MK-NW-F-008 incomeBearingClassOf → MK-NW-F-011 assetClassOf → MK-NW-F-031 primaryCarIdOf → MK-NW-F-035 blendedVolatility → MK-PL-F-077 clamp</t>
        </is>
      </c>
      <c r="S445" s="3" t="inlineStr">
        <is>
          <t>—</t>
        </is>
      </c>
      <c r="T445" s="3" t="inlineStr">
        <is>
          <t>—</t>
        </is>
      </c>
      <c r="U445" s="3" t="inlineStr">
        <is>
          <t>ACTIVE</t>
        </is>
      </c>
      <c r="V445" s="3" t="inlineStr">
        <is>
          <t>2026-08-27</t>
        </is>
      </c>
      <c r="W445" s="3" t="n"/>
      <c r="X445" s="3" t="n"/>
      <c r="Y445" s="3" t="inlineStr">
        <is>
          <t>NOTHING OPEN</t>
        </is>
      </c>
    </row>
    <row r="446" ht="60" customHeight="1">
      <c r="A446" s="3" t="inlineStr">
        <is>
          <t>MK-PL-F-078</t>
        </is>
      </c>
      <c r="B446" s="3" t="inlineStr">
        <is>
          <t>rmdDivisorAtAge</t>
        </is>
      </c>
      <c r="C446" s="3" t="inlineStr">
        <is>
          <t>src/domain/decumulation/index.ts</t>
        </is>
      </c>
      <c r="D446" s="3" t="n">
        <v>303</v>
      </c>
      <c r="E446" s="3" t="inlineStr">
        <is>
          <t>2 · DISPLAYED</t>
        </is>
      </c>
      <c r="F446" s="3" t="inlineStr">
        <is>
          <t>NOT DETERMINED — the code carries no note saying what this is for, and it has no row in the old inventory. Needs reading.</t>
        </is>
      </c>
      <c r="G446" s="11" t="inlineStr">
        <is>
          <t>table rmd divisor(age, now year − age)</t>
        </is>
      </c>
      <c r="H446" s="3" t="inlineStr">
        <is>
          <t>table rmd divisor(age, now year minus age).</t>
        </is>
      </c>
      <c r="I446" s="3" t="inlineStr">
        <is>
          <t>READ FROM THE CODE — rendered from the expressions the function runs</t>
        </is>
      </c>
      <c r="J446" s="3" t="inlineStr">
        <is>
          <t>1. age: number
2. nowYear = new Date().getFullYear()</t>
        </is>
      </c>
      <c r="K446" s="3" t="inlineStr">
        <is>
          <t>number</t>
        </is>
      </c>
      <c r="L446" s="3" t="inlineStr">
        <is>
          <t>"Suggested withdrawal order" — on the Retirement cockpit screen</t>
        </is>
      </c>
      <c r="M446" s="3" t="inlineStr">
        <is>
          <t>· Uses today's date from the device clock, so the answer changes by itself overnight.</t>
        </is>
      </c>
      <c r="N446" s="3" t="inlineStr">
        <is>
          <t>Yes</t>
        </is>
      </c>
      <c r="O446" s="3" t="inlineStr">
        <is>
          <t>—</t>
        </is>
      </c>
      <c r="P446" s="3" t="n">
        <v>0</v>
      </c>
      <c r="Q446" s="3" t="inlineStr">
        <is>
          <t>None — no dependent function stands behind it</t>
        </is>
      </c>
      <c r="R446" s="3" t="inlineStr">
        <is>
          <t>No dependent function — it reads its inputs and answers</t>
        </is>
      </c>
      <c r="S446" s="3" t="inlineStr">
        <is>
          <t>—</t>
        </is>
      </c>
      <c r="T446" s="3" t="inlineStr">
        <is>
          <t>—</t>
        </is>
      </c>
      <c r="U446" s="3" t="inlineStr">
        <is>
          <t>ACTIVE</t>
        </is>
      </c>
      <c r="V446" s="3" t="inlineStr">
        <is>
          <t>2026-09-13</t>
        </is>
      </c>
      <c r="W446" s="3" t="n"/>
      <c r="X446" s="3" t="n"/>
      <c r="Y446" s="3" t="inlineStr">
        <is>
          <t>NOTHING OPEN</t>
        </is>
      </c>
    </row>
    <row r="447" ht="60" customHeight="1">
      <c r="A447" s="3" t="inlineStr">
        <is>
          <t>MK-PL-F-079</t>
        </is>
      </c>
      <c r="B447" s="3" t="inlineStr">
        <is>
          <t>numOrZero</t>
        </is>
      </c>
      <c r="C447" s="3" t="inlineStr">
        <is>
          <t>src/domain/retirement/willItLast.ts</t>
        </is>
      </c>
      <c r="D447" s="3" t="n">
        <v>35</v>
      </c>
      <c r="E447" s="3" t="inlineStr">
        <is>
          <t>3 · DEPENDENT</t>
        </is>
      </c>
      <c r="F447" s="3" t="inlineStr">
        <is>
          <t>NOT DETERMINED — the code carries no note saying what this is for, and it has no row in the old inventory. Needs reading.</t>
        </is>
      </c>
      <c r="G447" s="11" t="inlineStr">
        <is>
          <t>n = the number in the text after every character but digits and the decimal point is removed
the answer = 0 when that is not a number, else n</t>
        </is>
      </c>
      <c r="H447" s="3" t="inlineStr">
        <is>
          <t>Reads a typed amount as a number — strips dollar signs, commas and spaces — and gives 0 when nothing numeric is left.</t>
        </is>
      </c>
      <c r="I447" s="3" t="inlineStr">
        <is>
          <t>READ BY HAND 2026-08-26 — checked line by line against the code</t>
        </is>
      </c>
      <c r="J447" s="3" t="inlineStr">
        <is>
          <t>v: any</t>
        </is>
      </c>
      <c r="K447" s="3" t="inlineStr">
        <is>
          <t>n; };</t>
        </is>
      </c>
      <c r="L447" s="3" t="inlineStr">
        <is>
          <t>—</t>
        </is>
      </c>
      <c r="M447" s="3" t="inlineStr">
        <is>
          <t>None found in this function — anything it assumes comes from the functions it depends on.</t>
        </is>
      </c>
      <c r="N447" s="3" t="inlineStr">
        <is>
          <t>Yes</t>
        </is>
      </c>
      <c r="O447" s="3" t="inlineStr">
        <is>
          <t>MK-XS-F-122 n</t>
        </is>
      </c>
      <c r="P447" s="3" t="n">
        <v>1</v>
      </c>
      <c r="Q447" s="3" t="inlineStr">
        <is>
          <t>MK-XS-F-122 n</t>
        </is>
      </c>
      <c r="R447" s="3" t="inlineStr">
        <is>
          <t>MK-XS-F-122 n → MK-PL-F-079 numOrZero</t>
        </is>
      </c>
      <c r="S447" s="3" t="inlineStr">
        <is>
          <t>—</t>
        </is>
      </c>
      <c r="T447" s="3" t="inlineStr">
        <is>
          <t>—</t>
        </is>
      </c>
      <c r="U447" s="3" t="inlineStr">
        <is>
          <t>ACTIVE</t>
        </is>
      </c>
      <c r="V447" s="3" t="inlineStr">
        <is>
          <t>2026-09-12</t>
        </is>
      </c>
      <c r="W447" s="3" t="n"/>
      <c r="X447" s="3" t="n"/>
      <c r="Y447" s="3" t="inlineStr">
        <is>
          <t>NOTHING OPEN</t>
        </is>
      </c>
    </row>
    <row r="448" ht="60" customHeight="1">
      <c r="A448" s="3" t="inlineStr">
        <is>
          <t>MK-PL-F-080</t>
        </is>
      </c>
      <c r="B448" s="3" t="inlineStr">
        <is>
          <t>rmdRequiredThisYear</t>
        </is>
      </c>
      <c r="C448" s="3" t="inlineStr">
        <is>
          <t>src/domain/decumulation/index.ts</t>
        </is>
      </c>
      <c r="D448" s="3" t="n">
        <v>367</v>
      </c>
      <c r="E448" s="3" t="inlineStr">
        <is>
          <t>2 · DISPLAYED</t>
        </is>
      </c>
      <c r="F448" s="3" t="inlineStr">
        <is>
          <t>What must be taken out this year, and which balance is it based on?</t>
        </is>
      </c>
      <c r="G448" s="11" t="inlineStr">
        <is>
          <t>balance used = the pre-tax balance on 31 December last year, when the person entered one (&gt; 0); otherwise today's pre-tax balance
amount = rmd at age(balance used, age)
basis = 'prior_year_end' or 'today' — so the screen can say which</t>
        </is>
      </c>
      <c r="H448" s="3" t="inlineStr">
        <is>
          <t>If the person has entered last 31 December's pre-tax balance, the required amount is that balance divided by the life-expectancy factor for their age. If not, today's balance is used instead, and the answer carries a flag saying so, which the screen prints.</t>
        </is>
      </c>
      <c r="I448" s="3" t="inlineStr">
        <is>
          <t>READ BY HAND 2026-08-26 — checked line by line against the code</t>
        </is>
      </c>
      <c r="J448" s="3" t="inlineStr">
        <is>
          <t>1. preTaxToday: number
2. priorYearEndPreTax: number | null | undefined
3. age: number</t>
        </is>
      </c>
      <c r="K448" s="3" t="inlineStr">
        <is>
          <t>RmdThisYear</t>
        </is>
      </c>
      <c r="L448" s="3" t="inlineStr">
        <is>
          <t>NOT FOUND — a screen calls it, but the words printed beside its answer could not be traced automatically. Needs reading.</t>
        </is>
      </c>
      <c r="M448" s="3" t="inlineStr">
        <is>
          <t>1. If pre tax today is missing it counts as zero, so nothing recorded and a real zero look the same.
2. The law bases the year's required withdrawal on the prior 31 December balance (Treas. Reg. §1.401(a)(9)-5); when that balance is not entered, today's balance stands in and the screen says so — founder ruling 2026-09-08 (second verification G8).</t>
        </is>
      </c>
      <c r="N448" s="3" t="inlineStr">
        <is>
          <t>Yes</t>
        </is>
      </c>
      <c r="O448" s="3" t="inlineStr">
        <is>
          <t>MK-PL-F-007 rmdAtAge</t>
        </is>
      </c>
      <c r="P448" s="3" t="n">
        <v>2</v>
      </c>
      <c r="Q448" s="3" t="inlineStr">
        <is>
          <t>1. MK-PL-F-007 rmdAtAge
2. MK-PL-F-078 rmdDivisorAtAge</t>
        </is>
      </c>
      <c r="R448" s="3" t="inlineStr">
        <is>
          <t>MK-PL-F-078 rmdDivisorAtAge → MK-PL-F-007 rmdAtAge → MK-PL-F-080 rmdRequiredThisYear</t>
        </is>
      </c>
      <c r="S448" s="3" t="inlineStr">
        <is>
          <t>MK-PL-M-013</t>
        </is>
      </c>
      <c r="T448" s="3" t="inlineStr">
        <is>
          <t>—</t>
        </is>
      </c>
      <c r="U448" s="3" t="inlineStr">
        <is>
          <t>ACTIVE</t>
        </is>
      </c>
      <c r="V448" s="3" t="inlineStr">
        <is>
          <t>2026-09-08</t>
        </is>
      </c>
      <c r="W448" s="3" t="n"/>
      <c r="X448" s="3" t="n"/>
      <c r="Y448" s="6" t="inlineStr">
        <is>
          <t>TESTED, NOT VERIFIED (G8)</t>
        </is>
      </c>
    </row>
    <row r="449" ht="60" customHeight="1">
      <c r="A449" s="3" t="inlineStr">
        <is>
          <t>MK-PL-F-081</t>
        </is>
      </c>
      <c r="B449" s="3" t="inlineStr">
        <is>
          <t>taxableGainShare</t>
        </is>
      </c>
      <c r="C449" s="3" t="inlineStr">
        <is>
          <t>src/domain/decumulation/index.ts</t>
        </is>
      </c>
      <c r="D449" s="3" t="n">
        <v>575</v>
      </c>
      <c r="E449" s="3" t="inlineStr">
        <is>
          <t>2 · DISPLAYED</t>
        </is>
      </c>
      <c r="F449" s="3" t="inlineStr">
        <is>
          <t>What share of the person's taxable holdings is unrealised gain?</t>
        </is>
      </c>
      <c r="G449" s="11" t="inlineStr">
        <is>
          <t>over every holding in a TAXABLE account that has a price (the broker's mark, else the price feed): value += market value(holding, price) · basis += cost basis(holding)
nothing   when value ≤ 0 (no priced taxable holding)
the answer = min(1, max(0, (value − basis) ÷ value))</t>
        </is>
      </c>
      <c r="H449" s="3" t="inlineStr">
        <is>
          <t>Add up what the taxable holdings are worth today and what was paid for them; the gain share is the difference as a fraction of today's value, never below zero and never above one. With no priced taxable holding there is no answer.</t>
        </is>
      </c>
      <c r="I449" s="3" t="inlineStr">
        <is>
          <t>READ BY HAND 2026-08-26 — checked line by line against the code</t>
        </is>
      </c>
      <c r="J449" s="3" t="inlineStr">
        <is>
          <t>1. accounts: AssetAccount[]
2. priceOf: (ticker: string) =&gt; number | null</t>
        </is>
      </c>
      <c r="K449" s="3" t="inlineStr">
        <is>
          <t>number | null</t>
        </is>
      </c>
      <c r="L449" s="3" t="inlineStr">
        <is>
          <t>NOT FOUND — a screen calls it, but the words printed beside its answer could not be traced automatically. Needs reading.</t>
        </is>
      </c>
      <c r="M449" s="3" t="inlineStr">
        <is>
          <t>1. A holding with no price is left out; no priced taxable holding at all → nothing, never a guessed 50% (founder ruling 2026-09-08, G6).
2. A loss overall counts as a 0% gain share (no tax on drawing at a loss), never negative.</t>
        </is>
      </c>
      <c r="N449" s="3" t="inlineStr">
        <is>
          <t>Yes</t>
        </is>
      </c>
      <c r="O449" s="3" t="inlineStr">
        <is>
          <t>1. MK-PF-F-002 costBasis
2. MK-PF-F-004 marketValue</t>
        </is>
      </c>
      <c r="P449" s="3" t="n">
        <v>4</v>
      </c>
      <c r="Q449" s="3" t="inlineStr">
        <is>
          <t>1. MK-PF-F-002 costBasis
2. MK-PF-F-004 marketValue
3. MK-PF-F-031 contractMultiplier
4. MK-PF-F-001 totalShares</t>
        </is>
      </c>
      <c r="R449" s="3" t="inlineStr">
        <is>
          <t>1. MK-PF-F-031 contractMultiplier → MK-PF-F-002 costBasis → MK-PL-F-081 taxableGainShare
2. MK-PF-F-031 contractMultiplier → MK-PF-F-004 marketValue → MK-PL-F-081 taxableGainShare
3. MK-PF-F-001 totalShares → MK-PF-F-004 marketValue → MK-PL-F-081 taxableGainShare</t>
        </is>
      </c>
      <c r="S449" s="3" t="inlineStr">
        <is>
          <t>—</t>
        </is>
      </c>
      <c r="T449" s="3" t="inlineStr">
        <is>
          <t>—</t>
        </is>
      </c>
      <c r="U449" s="3" t="inlineStr">
        <is>
          <t>ACTIVE</t>
        </is>
      </c>
      <c r="V449" s="3" t="inlineStr">
        <is>
          <t>2026-09-08</t>
        </is>
      </c>
      <c r="W449" s="3" t="n"/>
      <c r="X449" s="3" t="n"/>
      <c r="Y449" s="6" t="inlineStr">
        <is>
          <t>TESTED, NOT VERIFIED (G6)</t>
        </is>
      </c>
    </row>
    <row r="450" ht="60" customHeight="1">
      <c r="A450" s="3" t="inlineStr">
        <is>
          <t>MK-PL-F-082</t>
        </is>
      </c>
      <c r="B450" s="3" t="inlineStr">
        <is>
          <t>taxableIncomeSteps</t>
        </is>
      </c>
      <c r="C450" s="3" t="inlineStr">
        <is>
          <t>src/domain/planning/index.ts</t>
        </is>
      </c>
      <c r="D450" s="3" t="n">
        <v>65</v>
      </c>
      <c r="E450" s="3" t="inlineStr">
        <is>
          <t>3 · DEPENDENT</t>
        </is>
      </c>
      <c r="F450" s="3" t="inlineStr">
        <is>
          <t>From everything earned to what is actually taxed — the four lines a return shows (founder ruling brief Q-46 (2026-08-20), 2026-09-08).</t>
        </is>
      </c>
      <c r="G450" s="11" t="inlineStr">
        <is>
          <t>gross income = Σ of the organizer's income lines of a taxable type
401(k) contribution = household pre-tax contributions annual(op)
standard deduction = deduction for(filing status, people 65+, gross − 401(k))   — base figure + 65+ add-on + senior deduction
taxable income = max(0, gross income − 401(k) contribution − standard deduction)</t>
        </is>
      </c>
      <c r="H450" s="3" t="inlineStr">
        <is>
          <t>Add up every income line of a taxable type; take off the household's pre-tax 401(k) contributions; take off the standard deduction for the filing status, the number of people 65 or older and the income; what is left is taxable income, never below zero. The deduction line says when it includes the 65+ add-on and the senior deduction.</t>
        </is>
      </c>
      <c r="I450" s="3" t="inlineStr">
        <is>
          <t>READ BY HAND 2026-08-26 — checked line by line against the code</t>
        </is>
      </c>
      <c r="J450" s="3" t="inlineStr">
        <is>
          <t>1. op: OnboardingProfile | null
2. grossIncome: number</t>
        </is>
      </c>
      <c r="K450" s="3" t="inlineStr">
        <is>
          <t>TaxableIncomeSteps</t>
        </is>
      </c>
      <c r="L450" s="3" t="inlineStr">
        <is>
          <t>—</t>
        </is>
      </c>
      <c r="M450" s="3" t="inlineStr">
        <is>
          <t>1. Never lets over65 fall below 0.
2. Founder ruling brief Q-46 (2026-08-20) (2026-09-08): the organizer shows gross income, the 401(k) contribution, the standard deduction and taxable income — not one unexplained total.
3. The senior deduction phases out on gross income less the 401(k) contribution (the nearest figure the app holds to modified adjusted gross income).
4. Only pre-tax 401(k) contributions come off; a Roth contribution does not reduce taxable income.</t>
        </is>
      </c>
      <c r="N450" s="3" t="inlineStr">
        <is>
          <t>Yes</t>
        </is>
      </c>
      <c r="O450" s="3" t="inlineStr">
        <is>
          <t>1. MK-CF-F-099 deductionFor
2. MK-CF-F-085 filingStatusOf
3. MK-CF-F-188 householdPreTaxContributionsAnnual
4. MK-ST-F-039 on
5. MK-CF-F-089 over65CountOf
6. MK-CF-F-187 seniorDeductionFor</t>
        </is>
      </c>
      <c r="P450" s="3" t="n">
        <v>12</v>
      </c>
      <c r="Q450" s="3" t="inlineStr">
        <is>
          <t>1. MK-CF-F-099 deductionFor
2. MK-CF-F-085 filingStatusOf
3. MK-CF-F-188 householdPreTaxContributionsAnnual
4. MK-ST-F-039 on
5. MK-CF-F-089 over65CountOf
6. MK-CF-F-187 seniorDeductionFor
7. MK-CF-F-175 sumOverEarners
8. MK-ST-F-052 toNum
9. MK-CF-F-173 earnerWages
10. MK-XS-F-122 n
11. MK-CF-F-172 hasWage
12. MK-ST-F-056 has</t>
        </is>
      </c>
      <c r="R450" s="3" t="inlineStr">
        <is>
          <t>1. MK-CF-F-187 seniorDeductionFor → MK-CF-F-099 deductionFor → MK-PL-F-082 taxableIncomeSteps
2. MK-CF-F-085 filingStatusOf → MK-PL-F-082 taxableIncomeSteps
3. MK-ST-F-056 has → MK-CF-F-172 hasWage → MK-CF-F-173 earnerWages → MK-CF-F-175 sumOverEarners → MK-CF-F-188 householdPreTaxContributionsAnnual → MK-PL-F-082 taxableIncomeSteps
4. MK-XS-F-122 n → MK-ST-F-052 toNum → MK-CF-F-188 householdPreTaxContributionsAnnual → MK-PL-F-082 taxableIncomeSteps
5. MK-ST-F-039 on → MK-PL-F-082 taxableIncomeSteps
6. MK-XS-F-122 n → MK-ST-F-052 toNum → MK-CF-F-089 over65CountOf → MK-PL-F-082 taxableIncomeSteps
7. MK-CF-F-187 seniorDeductionFor → MK-PL-F-082 taxableIncomeSteps</t>
        </is>
      </c>
      <c r="S450" s="3" t="inlineStr">
        <is>
          <t>MK-MN-M-027 · MK-MN-M-028</t>
        </is>
      </c>
      <c r="T450" s="3" t="inlineStr">
        <is>
          <t>—</t>
        </is>
      </c>
      <c r="U450" s="3" t="inlineStr">
        <is>
          <t>ACTIVE</t>
        </is>
      </c>
      <c r="V450" s="3" t="inlineStr">
        <is>
          <t>2026-09-08</t>
        </is>
      </c>
      <c r="W450" s="3" t="n"/>
      <c r="X450" s="3" t="n"/>
      <c r="Y450" s="6" t="inlineStr">
        <is>
          <t>TESTED, NOT VERIFIED (G22 / Q46)</t>
        </is>
      </c>
    </row>
    <row r="451" ht="60" customHeight="1">
      <c r="A451" s="3" t="inlineStr">
        <is>
          <t>MK-PL-F-083</t>
        </is>
      </c>
      <c r="B451" s="3" t="inlineStr">
        <is>
          <t>inflationRateInForce</t>
        </is>
      </c>
      <c r="C451" s="3" t="inlineStr">
        <is>
          <t>src/domain/retirement/inflation.ts</t>
        </is>
      </c>
      <c r="D451" s="3" t="n">
        <v>48</v>
      </c>
      <c r="E451" s="3" t="inlineStr">
        <is>
          <t>2 · DISPLAYED</t>
        </is>
      </c>
      <c r="F451" s="3" t="inlineStr">
        <is>
          <t>The inflation rate a plan runs on, and where it came from.</t>
        </is>
      </c>
      <c r="G451" s="11" t="inlineStr">
        <is>
          <t>entered = the person's own rate from the cockpit, when set
the answer = { rate: entered, basis 'entered', label 'you entered' }   when entered exists
             { rate: 2.5%, basis 'default', label '2.5% — the 30-year average of consumer prices (Bureau of Labor Statistics, 1996–2025)' }   otherwise</t>
        </is>
      </c>
      <c r="H451" s="3" t="inlineStr">
        <is>
          <t>The person's own inflation rate when they set one on the cockpit; otherwise the dated default — 2.5% a year, the 30-year average of consumer prices — with its source, so the screen can say where the figure came from.</t>
        </is>
      </c>
      <c r="I451" s="3" t="inlineStr">
        <is>
          <t>READ BY HAND 2026-08-26 — checked line by line against the code</t>
        </is>
      </c>
      <c r="J451" s="3" t="inlineStr">
        <is>
          <t>entered: number | null | undefined</t>
        </is>
      </c>
      <c r="K451" s="3" t="inlineStr">
        <is>
          <t>InflationInForce</t>
        </is>
      </c>
      <c r="L451" s="3" t="inlineStr">
        <is>
          <t>NOT FOUND — a screen calls it, but the words printed beside its answer could not be traced automatically. Needs reading.</t>
        </is>
      </c>
      <c r="M451" s="3" t="inlineStr">
        <is>
          <t>· Founder ruling brief Q-50 (2026-08-20), executed 2026-09-08 (G30): the default is the dated 30-year average — 2.5% a year, Bureau of Labor Statistics CPI-U 1996–2025, checked 2026-09-08 — never a live feed; the person's own rate outranks it.</t>
        </is>
      </c>
      <c r="N451" s="3" t="inlineStr">
        <is>
          <t>Yes</t>
        </is>
      </c>
      <c r="O451" s="3" t="inlineStr">
        <is>
          <t>—</t>
        </is>
      </c>
      <c r="P451" s="3" t="n">
        <v>0</v>
      </c>
      <c r="Q451" s="3" t="inlineStr">
        <is>
          <t>None — no dependent function stands behind it</t>
        </is>
      </c>
      <c r="R451" s="3" t="inlineStr">
        <is>
          <t>No dependent function — it reads its inputs and answers</t>
        </is>
      </c>
      <c r="S451" s="3" t="inlineStr">
        <is>
          <t>—</t>
        </is>
      </c>
      <c r="T451" s="3" t="inlineStr">
        <is>
          <t>—</t>
        </is>
      </c>
      <c r="U451" s="3" t="inlineStr">
        <is>
          <t>ACTIVE</t>
        </is>
      </c>
      <c r="V451" s="3" t="inlineStr">
        <is>
          <t>2026-09-11</t>
        </is>
      </c>
      <c r="W451" s="3" t="n"/>
      <c r="X451" s="3" t="n"/>
      <c r="Y451" s="6" t="inlineStr">
        <is>
          <t>TESTED, NOT VERIFIED (Brief D7 — inflation lever, G30)</t>
        </is>
      </c>
    </row>
    <row r="452" ht="60" customHeight="1">
      <c r="A452" s="3" t="inlineStr">
        <is>
          <t>MK-PL-F-084</t>
        </is>
      </c>
      <c r="B452" s="3" t="inlineStr">
        <is>
          <t>rateBandWords</t>
        </is>
      </c>
      <c r="C452" s="3" t="inlineStr">
        <is>
          <t>src/domain/decumulation/index.ts</t>
        </is>
      </c>
      <c r="D452" s="3" t="n">
        <v>87</v>
      </c>
      <c r="E452" s="3" t="inlineStr">
        <is>
          <t>2 · DISPLAYED</t>
        </is>
      </c>
      <c r="F452" s="3" t="inlineStr">
        <is>
          <t>HOW A WITHDRAWAL RATE READS, IN HIS OWN-MATH FRAMING — DEC-0036, and ONE place for it (DEC-0215).</t>
        </is>
      </c>
      <c r="G452" s="11" t="inlineStr">
        <is>
          <t>NOT READ YET — the body is not a shape this can render faithfully, so nothing is claimed rather than something being guessed. It needs reading by hand.</t>
        </is>
      </c>
      <c r="H452" s="3" t="inlineStr">
        <is>
          <t>NOT READ YET — the body is not a shape this can render faithfully, so nothing is claimed rather than something being guessed. It needs reading by hand.</t>
        </is>
      </c>
      <c r="I452" s="3" t="inlineStr">
        <is>
          <t>NOT READ — nothing is claimed rather than something guessed</t>
        </is>
      </c>
      <c r="J452" s="3" t="inlineStr">
        <is>
          <t>1. band: RateBand | null | undefined
2. opts?: { short?: boolean }</t>
        </is>
      </c>
      <c r="K452" s="3" t="inlineStr">
        <is>
          <t>string</t>
        </is>
      </c>
      <c r="L452" s="3" t="inlineStr">
        <is>
          <t>1. "From your portfolio" — on the Retirement cockpit screen
2. "WILL YOUR MONEY LAST?" — on the Retirement cockpit screen, under "RETIREMENT
3. WHERE YOU STAND"</t>
        </is>
      </c>
      <c r="M452" s="3" t="inlineStr">
        <is>
          <t>None found in this function — anything it assumes comes from the functions it depends on.</t>
        </is>
      </c>
      <c r="N452" s="3" t="inlineStr">
        <is>
          <t>Yes</t>
        </is>
      </c>
      <c r="O452" s="3" t="inlineStr">
        <is>
          <t>—</t>
        </is>
      </c>
      <c r="P452" s="3" t="n">
        <v>0</v>
      </c>
      <c r="Q452" s="3" t="inlineStr">
        <is>
          <t>None — no dependent function stands behind it</t>
        </is>
      </c>
      <c r="R452" s="3" t="inlineStr">
        <is>
          <t>No dependent function — it reads its inputs and answers</t>
        </is>
      </c>
      <c r="S452" s="3" t="inlineStr">
        <is>
          <t>—</t>
        </is>
      </c>
      <c r="T452" s="3" t="inlineStr">
        <is>
          <t>—</t>
        </is>
      </c>
      <c r="U452" s="3" t="inlineStr">
        <is>
          <t>ACTIVE</t>
        </is>
      </c>
      <c r="V452" s="3" t="inlineStr">
        <is>
          <t>2026-10-01</t>
        </is>
      </c>
      <c r="W452" s="3" t="n"/>
      <c r="X452" s="3" t="n"/>
      <c r="Y452" s="3" t="inlineStr">
        <is>
          <t>NOTHING OPEN</t>
        </is>
      </c>
    </row>
    <row r="453" ht="45" customHeight="1">
      <c r="A453" s="3" t="inlineStr">
        <is>
          <t>MK-PL-F-085</t>
        </is>
      </c>
      <c r="B453" s="3" t="inlineStr">
        <is>
          <t>oddsTail</t>
        </is>
      </c>
      <c r="C453" s="3" t="inlineStr">
        <is>
          <t>src/domain/planning/hub.ts</t>
        </is>
      </c>
      <c r="D453" s="3" t="n">
        <v>68</v>
      </c>
      <c r="E453" s="3" t="inlineStr">
        <is>
          <t>2 · DISPLAYED</t>
        </is>
      </c>
      <c r="F453" s="3" t="inlineStr">
        <is>
          <t>THE WORDS WITHOUT THE NUMBER — for the gauge, which prints the number large and the words beneath it.</t>
        </is>
      </c>
      <c r="G453" s="11" t="inlineStr">
        <is>
          <t>`odds of lasting to age ${horizon age}`</t>
        </is>
      </c>
      <c r="H453" s="3" t="inlineStr">
        <is>
          <t>`odds of lasting to age ${horizon age}`.</t>
        </is>
      </c>
      <c r="I453" s="3" t="inlineStr">
        <is>
          <t>PARTLY READ — some of the code is still showing through; needs a hand pass</t>
        </is>
      </c>
      <c r="J453" s="3" t="inlineStr">
        <is>
          <t>horizonAge: number</t>
        </is>
      </c>
      <c r="K453" s="3" t="inlineStr">
        <is>
          <t>string</t>
        </is>
      </c>
      <c r="L453" s="3" t="inlineStr">
        <is>
          <t>NOT FOUND — a screen calls it, but the words printed beside its answer could not be traced automatically. Needs reading.</t>
        </is>
      </c>
      <c r="M453" s="3" t="inlineStr">
        <is>
          <t>None found in this function — anything it assumes comes from the functions it depends on.</t>
        </is>
      </c>
      <c r="N453" s="3" t="inlineStr">
        <is>
          <t>Yes</t>
        </is>
      </c>
      <c r="O453" s="3" t="inlineStr">
        <is>
          <t>—</t>
        </is>
      </c>
      <c r="P453" s="3" t="n">
        <v>0</v>
      </c>
      <c r="Q453" s="3" t="inlineStr">
        <is>
          <t>None — no dependent function stands behind it</t>
        </is>
      </c>
      <c r="R453" s="3" t="inlineStr">
        <is>
          <t>No dependent function — it reads its inputs and answers</t>
        </is>
      </c>
      <c r="S453" s="3" t="inlineStr">
        <is>
          <t>—</t>
        </is>
      </c>
      <c r="T453" s="3" t="inlineStr">
        <is>
          <t>—</t>
        </is>
      </c>
      <c r="U453" s="3" t="inlineStr">
        <is>
          <t>ACTIVE</t>
        </is>
      </c>
      <c r="V453" s="3" t="inlineStr">
        <is>
          <t>2026-10-01</t>
        </is>
      </c>
      <c r="W453" s="3" t="n"/>
      <c r="X453" s="3" t="n"/>
      <c r="Y453" s="3" t="inlineStr">
        <is>
          <t>NOTHING OPEN</t>
        </is>
      </c>
    </row>
    <row r="454" ht="60" customHeight="1">
      <c r="A454" s="3" t="inlineStr">
        <is>
          <t>MK-ST-F-001</t>
        </is>
      </c>
      <c r="B454" s="3" t="inlineStr">
        <is>
          <t>looksFixedIncome</t>
        </is>
      </c>
      <c r="C454" s="3" t="inlineStr">
        <is>
          <t>Calculation Module code/engines/classify.ts</t>
        </is>
      </c>
      <c r="D454" s="3" t="n">
        <v>266</v>
      </c>
      <c r="E454" s="3" t="inlineStr">
        <is>
          <t>3 · DEPENDENT (feeds an action only)</t>
        </is>
      </c>
      <c r="F454" s="3" t="inlineStr">
        <is>
          <t>Fixed income by its words.</t>
        </is>
      </c>
      <c r="G454" s="11" t="inlineStr">
        <is>
          <t>t = text.to upper case()
true   when ÷ \b(CD|CERTIFICATE OF DEPOSIT|T-?BILL|TREASURY BILLS?|TREAS BILLS?|TREASURY NOTE|TREAS NOTE|TREASURY BOND|TREAS |DEBENTURE|MUNI|ZERO CPN)\b ÷ .test(t)
true   when ÷ \b bds\b|\b bond\b|\b notes?\b ÷ .test(t) and ! ÷ \b noted\b ÷ .test(t)
true   when ÷ \b bd\b\s × (INDEX|FD|FUND) ÷ .test(t)
true   when ÷ \d(\.\d+)?\s × %. × \b(20\d\d|DUE|MTD)\b ÷ .test(t)
true   when ÷ \b cpn\b\s × [\d.] ÷ .test(t)
the answer = false</t>
        </is>
      </c>
      <c r="H454" s="3" t="inlineStr">
        <is>
          <t>T is text.to upper case(). When ÷ \b(CD|CERTIFICATE OF DEPOSIT|T-?BILL|TREASURY BILLS?|TREAS BILLS?|TREASURY NOTE|TREAS NOTE|TREASURY BOND|TREAS |DEBENTURE|MUNI|ZERO CPN)\b divided by .test(t), it answers true. When ÷ \b bds\b|\b bond\b|\b notes?\b divided by .test(t) and ! divided by \b noted\b divided by .test(t), it answers true. When ÷ \b bd\b\s times (INDEX|FD|FUND) divided by .test(t), it answers true. When ÷ \d(\.\d+)?\s times %. times \b(20\d\d|DUE|MTD)\b divided by .test(t), it answers true. When ÷ \b cpn\b\s times [\d.] divided by .test(t), it answers true. The answer is false.</t>
        </is>
      </c>
      <c r="I454" s="3" t="inlineStr">
        <is>
          <t>PARTLY READ — some of the code is still showing through; needs a hand pass</t>
        </is>
      </c>
      <c r="J454" s="3" t="inlineStr">
        <is>
          <t>text: string</t>
        </is>
      </c>
      <c r="K454" s="3" t="inlineStr">
        <is>
          <t>boolean</t>
        </is>
      </c>
      <c r="L454" s="3" t="inlineStr">
        <is>
          <t>—</t>
        </is>
      </c>
      <c r="M454" s="3" t="inlineStr">
        <is>
          <t>None found in this function — anything it assumes comes from the functions it depends on.</t>
        </is>
      </c>
      <c r="N454" s="3" t="inlineStr">
        <is>
          <t>No</t>
        </is>
      </c>
      <c r="O454" s="3" t="inlineStr">
        <is>
          <t>—</t>
        </is>
      </c>
      <c r="P454" s="3" t="n">
        <v>0</v>
      </c>
      <c r="Q454" s="3" t="inlineStr">
        <is>
          <t>None — no dependent function stands behind it</t>
        </is>
      </c>
      <c r="R454" s="3" t="inlineStr">
        <is>
          <t>No dependent function — it reads its inputs and answers</t>
        </is>
      </c>
      <c r="S454" s="3" t="inlineStr">
        <is>
          <t>—</t>
        </is>
      </c>
      <c r="T454" s="3" t="inlineStr">
        <is>
          <t>—</t>
        </is>
      </c>
      <c r="U454" s="3" t="inlineStr">
        <is>
          <t>ACTIVE</t>
        </is>
      </c>
      <c r="V454" s="3" t="inlineStr">
        <is>
          <t>2026-08-27</t>
        </is>
      </c>
      <c r="W454" s="3" t="n"/>
      <c r="X454" s="3" t="n"/>
      <c r="Y454" s="3" t="inlineStr">
        <is>
          <t>NOTHING OPEN</t>
        </is>
      </c>
    </row>
    <row r="455" ht="45" customHeight="1">
      <c r="A455" s="3" t="inlineStr">
        <is>
          <t>MK-ST-F-002</t>
        </is>
      </c>
      <c r="B455" s="3" t="inlineStr">
        <is>
          <t>monthWords</t>
        </is>
      </c>
      <c r="C455" s="3" t="inlineStr">
        <is>
          <t>Calculation Module code/engines/coverage.ts</t>
        </is>
      </c>
      <c r="D455" s="3" t="n">
        <v>55</v>
      </c>
      <c r="E455" s="3" t="inlineStr">
        <is>
          <t>3 · DEPENDENT</t>
        </is>
      </c>
      <c r="F455" s="3" t="inlineStr">
        <is>
          <t>"March 2022" — a month a person reads, not a date stamp.</t>
        </is>
      </c>
      <c r="G455" s="11" t="inlineStr">
        <is>
          <t>''   when iso is missing
`${MONTHS[m − 1]} ${y}`   if m
string(y)   otherwise</t>
        </is>
      </c>
      <c r="H455" s="3" t="inlineStr">
        <is>
          <t>When iso is missing, it answers ''. `${MONTHS[m minus 1]} ${y}` — when m; string(y) — otherwise.</t>
        </is>
      </c>
      <c r="I455" s="3" t="inlineStr">
        <is>
          <t>PARTLY READ — some of the code is still showing through; needs a hand pass</t>
        </is>
      </c>
      <c r="J455" s="3" t="inlineStr">
        <is>
          <t>iso: string | null</t>
        </is>
      </c>
      <c r="K455" s="3" t="inlineStr">
        <is>
          <t>string</t>
        </is>
      </c>
      <c r="L455" s="3" t="inlineStr">
        <is>
          <t>—</t>
        </is>
      </c>
      <c r="M455" s="3" t="inlineStr">
        <is>
          <t>None found in this function — anything it assumes comes from the functions it depends on.</t>
        </is>
      </c>
      <c r="N455" s="3" t="inlineStr">
        <is>
          <t>Yes</t>
        </is>
      </c>
      <c r="O455" s="3" t="inlineStr">
        <is>
          <t>MK-CF-F-132 map</t>
        </is>
      </c>
      <c r="P455" s="3" t="n">
        <v>1</v>
      </c>
      <c r="Q455" s="3" t="inlineStr">
        <is>
          <t>MK-CF-F-132 map</t>
        </is>
      </c>
      <c r="R455" s="3" t="inlineStr">
        <is>
          <t>MK-CF-F-132 map → MK-ST-F-002 monthWords</t>
        </is>
      </c>
      <c r="S455" s="3" t="inlineStr">
        <is>
          <t>—</t>
        </is>
      </c>
      <c r="T455" s="3" t="inlineStr">
        <is>
          <t>—</t>
        </is>
      </c>
      <c r="U455" s="3" t="inlineStr">
        <is>
          <t>ACTIVE</t>
        </is>
      </c>
      <c r="V455" s="3" t="inlineStr">
        <is>
          <t>2026-08-27</t>
        </is>
      </c>
      <c r="W455" s="3" t="n"/>
      <c r="X455" s="3" t="n"/>
      <c r="Y455" s="3" t="inlineStr">
        <is>
          <t>NOTHING OPEN</t>
        </is>
      </c>
    </row>
    <row r="456" ht="45" customHeight="1">
      <c r="A456" s="3" t="inlineStr">
        <is>
          <t>MK-ST-F-003</t>
        </is>
      </c>
      <c r="B456" s="3" t="inlineStr">
        <is>
          <t>dayWords</t>
        </is>
      </c>
      <c r="C456" s="3" t="inlineStr">
        <is>
          <t>Calculation Module code/engines/coverage.ts</t>
        </is>
      </c>
      <c r="D456" s="3" t="n">
        <v>82</v>
      </c>
      <c r="E456" s="3" t="inlineStr">
        <is>
          <t>2 · DISPLAYED</t>
        </is>
      </c>
      <c r="F456" s="3" t="inlineStr">
        <is>
          <t>"14 March 2022".</t>
        </is>
      </c>
      <c r="G456" s="11" t="inlineStr">
        <is>
          <t>''   when iso is missing
`${d} ${MONTHS[m − 1]} ${y}`   if m and d
month words(iso)   otherwise</t>
        </is>
      </c>
      <c r="H456" s="3" t="inlineStr">
        <is>
          <t>When iso is missing, it answers ''. `${d} ${MONTHS[m minus 1]} ${y}` — when m and d; month words(iso) — otherwise.</t>
        </is>
      </c>
      <c r="I456" s="3" t="inlineStr">
        <is>
          <t>PARTLY READ — some of the code is still showing through; needs a hand pass</t>
        </is>
      </c>
      <c r="J456" s="3" t="inlineStr">
        <is>
          <t>iso: string | null</t>
        </is>
      </c>
      <c r="K456" s="3" t="inlineStr">
        <is>
          <t>string</t>
        </is>
      </c>
      <c r="L456" s="3" t="inlineStr">
        <is>
          <t>"Nothing received yet this month." — on the Cash flow screen, under "current ?"</t>
        </is>
      </c>
      <c r="M456" s="3" t="inlineStr">
        <is>
          <t>None found in this function — anything it assumes comes from the functions it depends on.</t>
        </is>
      </c>
      <c r="N456" s="3" t="inlineStr">
        <is>
          <t>Yes</t>
        </is>
      </c>
      <c r="O456" s="3" t="inlineStr">
        <is>
          <t>1. MK-CF-F-132 map
2. MK-ST-F-002 monthWords</t>
        </is>
      </c>
      <c r="P456" s="3" t="n">
        <v>2</v>
      </c>
      <c r="Q456" s="3" t="inlineStr">
        <is>
          <t>1. MK-CF-F-132 map
2. MK-ST-F-002 monthWords</t>
        </is>
      </c>
      <c r="R456" s="3" t="inlineStr">
        <is>
          <t>1. MK-CF-F-132 map → MK-ST-F-003 dayWords
2. MK-CF-F-132 map → MK-ST-F-002 monthWords → MK-ST-F-003 dayWords</t>
        </is>
      </c>
      <c r="S456" s="3" t="inlineStr">
        <is>
          <t>—</t>
        </is>
      </c>
      <c r="T456" s="3" t="inlineStr">
        <is>
          <t>—</t>
        </is>
      </c>
      <c r="U456" s="3" t="inlineStr">
        <is>
          <t>ACTIVE</t>
        </is>
      </c>
      <c r="V456" s="3" t="inlineStr">
        <is>
          <t>2026-10-03</t>
        </is>
      </c>
      <c r="W456" s="3" t="n"/>
      <c r="X456" s="3" t="n"/>
      <c r="Y456" s="3" t="inlineStr">
        <is>
          <t>NOTHING OPEN</t>
        </is>
      </c>
    </row>
    <row r="457" ht="60" customHeight="1">
      <c r="A457" s="3" t="inlineStr">
        <is>
          <t>MK-ST-F-004</t>
        </is>
      </c>
      <c r="B457" s="3" t="inlineStr">
        <is>
          <t>coverageFor</t>
        </is>
      </c>
      <c r="C457" s="3" t="inlineStr">
        <is>
          <t>Calculation Module code/engines/coverage.ts</t>
        </is>
      </c>
      <c r="D457" s="3" t="n">
        <v>119</v>
      </c>
      <c r="E457" s="3" t="inlineStr">
        <is>
          <t>2 · DISPLAYED</t>
        </is>
      </c>
      <c r="F457" s="3" t="inlineStr">
        <is>
          <t>What can we honestly say about a window starting on `from`?</t>
        </is>
      </c>
      <c r="G457" s="11" t="inlineStr">
        <is>
          <t>start = first date(days)
daily cut = the date today
daily from = the first 10) ? start : daily cut.to isostring().slice(0, 10 of start &gt; daily cut.to isostring()   if start
nothing   otherwise
the answer:
from = start
daily from = daily from
covers = true
measured from = from
sentence = ''
has monthly only = daily from ≠ nothing and start &lt; daily from</t>
        </is>
      </c>
      <c r="H457" s="3" t="inlineStr">
        <is>
          <t>Start is first date(days). Daily cut: the date today. Daily from: the first 10) ? start : daily cut.to isostring().slice(0, 10 of start &gt; daily cut.to isostring() — when start; no answer — otherwise. The answer is from = start; daily from = daily from; covers = true; measured from = from; sentence = ''. Has monthly only is daily from is not no answer and start &lt; daily from.</t>
        </is>
      </c>
      <c r="I457" s="3" t="inlineStr">
        <is>
          <t>PARTLY READ — some of the code is still showing through; needs a hand pass</t>
        </is>
      </c>
      <c r="J457" s="3" t="inlineStr">
        <is>
          <t>1. days: Dated[]
2. from: string
3. today: string</t>
        </is>
      </c>
      <c r="K457" s="3" t="inlineStr">
        <is>
          <t>Coverage</t>
        </is>
      </c>
      <c r="L457" s="3" t="inlineStr">
        <is>
          <t>NOT FOUND — a screen calls it, but the words printed beside its answer could not be traced automatically. Needs reading.</t>
        </is>
      </c>
      <c r="M457" s="3" t="inlineStr">
        <is>
          <t>None found in this function — anything it assumes comes from the functions it depends on.</t>
        </is>
      </c>
      <c r="N457" s="3" t="inlineStr">
        <is>
          <t>Yes</t>
        </is>
      </c>
      <c r="O457" s="3" t="inlineStr">
        <is>
          <t>1. MK-ST-F-003 dayWords
2. MK-ST-F-034 firstDate
3. MK-ST-F-002 monthWords</t>
        </is>
      </c>
      <c r="P457" s="3" t="n">
        <v>4</v>
      </c>
      <c r="Q457" s="3" t="inlineStr">
        <is>
          <t>1. MK-ST-F-003 dayWords
2. MK-ST-F-034 firstDate
3. MK-ST-F-002 monthWords
4. MK-CF-F-132 map</t>
        </is>
      </c>
      <c r="R457" s="3" t="inlineStr">
        <is>
          <t>1. MK-CF-F-132 map → MK-ST-F-003 dayWords → MK-ST-F-004 coverageFor
2. MK-CF-F-132 map → MK-ST-F-002 monthWords → MK-ST-F-003 dayWords → MK-ST-F-004 coverageFor
3. MK-ST-F-034 firstDate → MK-ST-F-004 coverageFor
4. MK-CF-F-132 map → MK-ST-F-002 monthWords → MK-ST-F-004 coverageFor</t>
        </is>
      </c>
      <c r="S457" s="3" t="inlineStr">
        <is>
          <t>—</t>
        </is>
      </c>
      <c r="T457" s="3" t="inlineStr">
        <is>
          <t>—</t>
        </is>
      </c>
      <c r="U457" s="3" t="inlineStr">
        <is>
          <t>ACTIVE</t>
        </is>
      </c>
      <c r="V457" s="3" t="inlineStr">
        <is>
          <t>2026-08-27</t>
        </is>
      </c>
      <c r="W457" s="3" t="n"/>
      <c r="X457" s="3" t="n"/>
      <c r="Y457" s="3" t="inlineStr">
        <is>
          <t>NOTHING OPEN</t>
        </is>
      </c>
    </row>
    <row r="458" ht="60" customHeight="1">
      <c r="A458" s="3" t="inlineStr">
        <is>
          <t>MK-ST-F-005</t>
        </is>
      </c>
      <c r="B458" s="3" t="inlineStr">
        <is>
          <t>measuredFromLabel</t>
        </is>
      </c>
      <c r="C458" s="3" t="inlineStr">
        <is>
          <t>Calculation Module code/engines/coverage.ts</t>
        </is>
      </c>
      <c r="D458" s="3" t="n">
        <v>168</v>
      </c>
      <c r="E458" s="3" t="inlineStr">
        <is>
          <t>2 · DISPLAYED</t>
        </is>
      </c>
      <c r="F458" s="3" t="inlineStr">
        <is>
          <t>The short label that rides beside a change figure, always — whether the window is covered or not.</t>
        </is>
      </c>
      <c r="G458" s="11" t="inlineStr">
        <is>
          <t>start = first date(days)
''   when start is missing
actual = start   if start &gt; from
from   otherwise
the answer = `since ${day words(actual)}`</t>
        </is>
      </c>
      <c r="H458" s="3" t="inlineStr">
        <is>
          <t>Start is first date(days). When start is missing, it answers ''. Actual is start — when start &gt; from; from — otherwise. The answer is `since ${day words(actual)}`.</t>
        </is>
      </c>
      <c r="I458" s="3" t="inlineStr">
        <is>
          <t>PARTLY READ — some of the code is still showing through; needs a hand pass</t>
        </is>
      </c>
      <c r="J458" s="3" t="inlineStr">
        <is>
          <t>1. days: Dated[]
2. from: string</t>
        </is>
      </c>
      <c r="K458" s="3" t="inlineStr">
        <is>
          <t>string</t>
        </is>
      </c>
      <c r="L458" s="3" t="inlineStr">
        <is>
          <t>NOT FOUND — a screen calls it, but the words printed beside its answer could not be traced automatically. Needs reading.</t>
        </is>
      </c>
      <c r="M458" s="3" t="inlineStr">
        <is>
          <t>None found in this function — anything it assumes comes from the functions it depends on.</t>
        </is>
      </c>
      <c r="N458" s="3" t="inlineStr">
        <is>
          <t>Yes</t>
        </is>
      </c>
      <c r="O458" s="3" t="inlineStr">
        <is>
          <t>1. MK-ST-F-003 dayWords
2. MK-ST-F-034 firstDate</t>
        </is>
      </c>
      <c r="P458" s="3" t="n">
        <v>4</v>
      </c>
      <c r="Q458" s="3" t="inlineStr">
        <is>
          <t>1. MK-ST-F-003 dayWords
2. MK-ST-F-034 firstDate
3. MK-CF-F-132 map
4. MK-ST-F-002 monthWords</t>
        </is>
      </c>
      <c r="R458" s="3" t="inlineStr">
        <is>
          <t>1. MK-CF-F-132 map → MK-ST-F-003 dayWords → MK-ST-F-005 measuredFromLabel
2. MK-CF-F-132 map → MK-ST-F-002 monthWords → MK-ST-F-003 dayWords → MK-ST-F-005 measuredFromLabel
3. MK-ST-F-034 firstDate → MK-ST-F-005 measuredFromLabel</t>
        </is>
      </c>
      <c r="S458" s="3" t="inlineStr">
        <is>
          <t>—</t>
        </is>
      </c>
      <c r="T458" s="3" t="inlineStr">
        <is>
          <t>—</t>
        </is>
      </c>
      <c r="U458" s="3" t="inlineStr">
        <is>
          <t>ACTIVE</t>
        </is>
      </c>
      <c r="V458" s="3" t="inlineStr">
        <is>
          <t>2026-08-27</t>
        </is>
      </c>
      <c r="W458" s="3" t="n"/>
      <c r="X458" s="3" t="n"/>
      <c r="Y458" s="3" t="inlineStr">
        <is>
          <t>NOTHING OPEN</t>
        </is>
      </c>
    </row>
    <row r="459" ht="45" customHeight="1">
      <c r="A459" s="3" t="inlineStr">
        <is>
          <t>MK-ST-F-006</t>
        </is>
      </c>
      <c r="B459" s="3" t="inlineStr">
        <is>
          <t>canAnswer</t>
        </is>
      </c>
      <c r="C459" s="3" t="inlineStr">
        <is>
          <t>Calculation Module code/engines/coverage.ts</t>
        </is>
      </c>
      <c r="D459" s="3" t="n">
        <v>192</v>
      </c>
      <c r="E459" s="3" t="inlineStr">
        <is>
          <t>3 · DEPENDENT (feeds an action only)</t>
        </is>
      </c>
      <c r="F459" s="3" t="inlineStr">
        <is>
          <t>Is there any record at all on or before this date?</t>
        </is>
      </c>
      <c r="G459" s="11" t="inlineStr">
        <is>
          <t>on or before(days, from) ≠ nothing</t>
        </is>
      </c>
      <c r="H459" s="3" t="inlineStr">
        <is>
          <t>on or before(days, from) is not no answer.</t>
        </is>
      </c>
      <c r="I459" s="3" t="inlineStr">
        <is>
          <t>READ FROM THE CODE — rendered from the expressions the function runs</t>
        </is>
      </c>
      <c r="J459" s="3" t="inlineStr">
        <is>
          <t>1. days: Dated[]
2. from: string</t>
        </is>
      </c>
      <c r="K459" s="3" t="inlineStr">
        <is>
          <t>boolean</t>
        </is>
      </c>
      <c r="L459" s="3" t="inlineStr">
        <is>
          <t>—</t>
        </is>
      </c>
      <c r="M459" s="3" t="inlineStr">
        <is>
          <t>None found in this function — anything it assumes comes from the functions it depends on.</t>
        </is>
      </c>
      <c r="N459" s="3" t="inlineStr">
        <is>
          <t>No</t>
        </is>
      </c>
      <c r="O459" s="3" t="inlineStr">
        <is>
          <t>1. MK-ST-F-034 firstDate
2. MK-ST-F-033 onOrBefore</t>
        </is>
      </c>
      <c r="P459" s="3" t="n">
        <v>2</v>
      </c>
      <c r="Q459" s="3" t="inlineStr">
        <is>
          <t>1. MK-ST-F-034 firstDate
2. MK-ST-F-033 onOrBefore</t>
        </is>
      </c>
      <c r="R459" s="3" t="inlineStr">
        <is>
          <t>1. MK-ST-F-034 firstDate → MK-ST-F-006 canAnswer
2. MK-ST-F-033 onOrBefore → MK-ST-F-006 canAnswer</t>
        </is>
      </c>
      <c r="S459" s="3" t="inlineStr">
        <is>
          <t>—</t>
        </is>
      </c>
      <c r="T459" s="3" t="inlineStr">
        <is>
          <t>—</t>
        </is>
      </c>
      <c r="U459" s="3" t="inlineStr">
        <is>
          <t>ACTIVE</t>
        </is>
      </c>
      <c r="V459" s="3" t="inlineStr">
        <is>
          <t>2026-08-27</t>
        </is>
      </c>
      <c r="W459" s="3" t="n"/>
      <c r="X459" s="3" t="n"/>
      <c r="Y459" s="3" t="inlineStr">
        <is>
          <t>NOTHING OPEN</t>
        </is>
      </c>
    </row>
    <row r="460" ht="60" customHeight="1">
      <c r="A460" s="3" t="inlineStr">
        <is>
          <t>MK-ST-F-007</t>
        </is>
      </c>
      <c r="B460" s="3" t="inlineStr">
        <is>
          <t>classifyEvent</t>
        </is>
      </c>
      <c r="C460" s="3" t="inlineStr">
        <is>
          <t>Calculation Module code/engines/events.ts</t>
        </is>
      </c>
      <c r="D460" s="3" t="n">
        <v>208</v>
      </c>
      <c r="E460" s="3" t="inlineStr">
        <is>
          <t>3 · DEPENDENT (feeds an action only)</t>
        </is>
      </c>
      <c r="F460" s="3" t="inlineStr">
        <is>
          <t>Classify one institution word.</t>
        </is>
      </c>
      <c r="G460" s="11" t="inlineStr">
        <is>
          <t>w = string(word ?? '').trim()
event = 'UNKNOWN'
rule = EVENTS.UNKNOWN
word = ''
recognised = false   when w is missing
the answer:
event = event
rule = EVENTS[event]
word = w
matched by = source
recognised = true
[LOOP — the answer is found inside a loop the extractor cannot render; the steps above are the ones before it. Read by hand.]</t>
        </is>
      </c>
      <c r="H460" s="3" t="inlineStr">
        <is>
          <t>W is string(word ?? '').trim(). When w is missing, it answers event = 'UNKNOWN'; rule = EVENTS.UNKNOWN; word = ''; recognised = false. The answer is event = event; rule = EVENTS[event]; word = w; matched by = source; recognised = true. The answer is found inside a loop that cannot be rendered here; read the code by hand.</t>
        </is>
      </c>
      <c r="I460" s="3" t="inlineStr">
        <is>
          <t>PARTLY READ — the body has a loop the extractor cannot render; the steps shown are the ones before it. Needs a hand pass (G23).</t>
        </is>
      </c>
      <c r="J460" s="3" t="inlineStr">
        <is>
          <t>word: string | null | undefined</t>
        </is>
      </c>
      <c r="K460" s="3" t="inlineStr">
        <is>
          <t>Classified</t>
        </is>
      </c>
      <c r="L460" s="3" t="inlineStr">
        <is>
          <t>—</t>
        </is>
      </c>
      <c r="M460" s="3" t="inlineStr">
        <is>
          <t>None found in this function — anything it assumes comes from the functions it depends on.</t>
        </is>
      </c>
      <c r="N460" s="3" t="inlineStr">
        <is>
          <t>No</t>
        </is>
      </c>
      <c r="O460" s="3" t="inlineStr">
        <is>
          <t>—</t>
        </is>
      </c>
      <c r="P460" s="3" t="n">
        <v>0</v>
      </c>
      <c r="Q460" s="3" t="inlineStr">
        <is>
          <t>None — no dependent function stands behind it</t>
        </is>
      </c>
      <c r="R460" s="3" t="inlineStr">
        <is>
          <t>No dependent function — it reads its inputs and answers</t>
        </is>
      </c>
      <c r="S460" s="3" t="inlineStr">
        <is>
          <t>—</t>
        </is>
      </c>
      <c r="T460" s="3" t="inlineStr">
        <is>
          <t>—</t>
        </is>
      </c>
      <c r="U460" s="3" t="inlineStr">
        <is>
          <t>ACTIVE</t>
        </is>
      </c>
      <c r="V460" s="3" t="inlineStr">
        <is>
          <t>2026-09-08</t>
        </is>
      </c>
      <c r="W460" s="3" t="n"/>
      <c r="X460" s="3" t="n"/>
      <c r="Y460" s="3" t="inlineStr">
        <is>
          <t>NOTHING OPEN</t>
        </is>
      </c>
    </row>
    <row r="461" ht="60" customHeight="1">
      <c r="A461" s="3" t="inlineStr">
        <is>
          <t>MK-ST-F-008</t>
        </is>
      </c>
      <c r="B461" s="3" t="inlineStr">
        <is>
          <t>touches</t>
        </is>
      </c>
      <c r="C461" s="3" t="inlineStr">
        <is>
          <t>Calculation Module code/engines/events.ts</t>
        </is>
      </c>
      <c r="D461" s="3" t="n">
        <v>236</v>
      </c>
      <c r="E461" s="3" t="inlineStr">
        <is>
          <t>3 · DEPENDENT (feeds an action only)</t>
        </is>
      </c>
      <c r="F461" s="3" t="inlineStr">
        <is>
          <t>Does this event add to that total?</t>
        </is>
      </c>
      <c r="G461" s="11" t="inlineStr">
        <is>
          <t>EVENTS[e].totals.includes(total)</t>
        </is>
      </c>
      <c r="H461" s="3" t="inlineStr">
        <is>
          <t>EVENTS[e].totals.includes(total).</t>
        </is>
      </c>
      <c r="I461" s="3" t="inlineStr">
        <is>
          <t>PARTLY READ — some of the code is still showing through; needs a hand pass</t>
        </is>
      </c>
      <c r="J461" s="3" t="inlineStr">
        <is>
          <t>1. e: CanonicalEvent
2. total: 'contributions' | 'withdrawals' | 'income' | 'costs' | 'units' | 'costBasis' | 'realisedGain'</t>
        </is>
      </c>
      <c r="K461" s="3" t="inlineStr">
        <is>
          <t>boolean</t>
        </is>
      </c>
      <c r="L461" s="3" t="inlineStr">
        <is>
          <t>—</t>
        </is>
      </c>
      <c r="M461" s="3" t="inlineStr">
        <is>
          <t>None found in this function — anything it assumes comes from the functions it depends on.</t>
        </is>
      </c>
      <c r="N461" s="3" t="inlineStr">
        <is>
          <t>No</t>
        </is>
      </c>
      <c r="O461" s="3" t="inlineStr">
        <is>
          <t>—</t>
        </is>
      </c>
      <c r="P461" s="3" t="n">
        <v>0</v>
      </c>
      <c r="Q461" s="3" t="inlineStr">
        <is>
          <t>None — no dependent function stands behind it</t>
        </is>
      </c>
      <c r="R461" s="3" t="inlineStr">
        <is>
          <t>No dependent function — it reads its inputs and answers</t>
        </is>
      </c>
      <c r="S461" s="3" t="inlineStr">
        <is>
          <t>—</t>
        </is>
      </c>
      <c r="T461" s="3" t="inlineStr">
        <is>
          <t>—</t>
        </is>
      </c>
      <c r="U461" s="3" t="inlineStr">
        <is>
          <t>ACTIVE</t>
        </is>
      </c>
      <c r="V461" s="3" t="inlineStr">
        <is>
          <t>2026-08-27</t>
        </is>
      </c>
      <c r="W461" s="3" t="n"/>
      <c r="X461" s="3" t="n"/>
      <c r="Y461" s="3" t="inlineStr">
        <is>
          <t>NOTHING OPEN</t>
        </is>
      </c>
    </row>
    <row r="462" ht="45" customHeight="1">
      <c r="A462" s="3" t="inlineStr">
        <is>
          <t>MK-ST-F-009</t>
        </is>
      </c>
      <c r="B462" s="3" t="inlineStr">
        <is>
          <t>directionOf</t>
        </is>
      </c>
      <c r="C462" s="3" t="inlineStr">
        <is>
          <t>Calculation Module code/engines/events.ts</t>
        </is>
      </c>
      <c r="D462" s="3" t="n">
        <v>256</v>
      </c>
      <c r="E462" s="3" t="inlineStr">
        <is>
          <t>3 · DEPENDENT (feeds an action only)</t>
        </is>
      </c>
      <c r="F462" s="3" t="inlineStr">
        <is>
          <t>The direction an event implies, where the event itself decides it.</t>
        </is>
      </c>
      <c r="G462" s="11" t="inlineStr">
        <is>
          <t>EVENTS[e].direction (or 'NONE' when missing)</t>
        </is>
      </c>
      <c r="H462" s="3" t="inlineStr">
        <is>
          <t>EVENTS[e].direction (or 'NONE' — when missing).</t>
        </is>
      </c>
      <c r="I462" s="3" t="inlineStr">
        <is>
          <t>PARTLY READ — some of the code is still showing through; needs a hand pass</t>
        </is>
      </c>
      <c r="J462" s="3" t="inlineStr">
        <is>
          <t>e: CanonicalEvent</t>
        </is>
      </c>
      <c r="K462" s="3" t="inlineStr">
        <is>
          <t>Money['direction']</t>
        </is>
      </c>
      <c r="L462" s="3" t="inlineStr">
        <is>
          <t>—</t>
        </is>
      </c>
      <c r="M462" s="3" t="inlineStr">
        <is>
          <t>None found in this function — anything it assumes comes from the functions it depends on.</t>
        </is>
      </c>
      <c r="N462" s="3" t="inlineStr">
        <is>
          <t>No</t>
        </is>
      </c>
      <c r="O462" s="3" t="inlineStr">
        <is>
          <t>—</t>
        </is>
      </c>
      <c r="P462" s="3" t="n">
        <v>0</v>
      </c>
      <c r="Q462" s="3" t="inlineStr">
        <is>
          <t>None — no dependent function stands behind it</t>
        </is>
      </c>
      <c r="R462" s="3" t="inlineStr">
        <is>
          <t>No dependent function — it reads its inputs and answers</t>
        </is>
      </c>
      <c r="S462" s="3" t="inlineStr">
        <is>
          <t>—</t>
        </is>
      </c>
      <c r="T462" s="3" t="inlineStr">
        <is>
          <t>—</t>
        </is>
      </c>
      <c r="U462" s="3" t="inlineStr">
        <is>
          <t>ACTIVE</t>
        </is>
      </c>
      <c r="V462" s="3" t="inlineStr">
        <is>
          <t>2026-08-27</t>
        </is>
      </c>
      <c r="W462" s="3" t="n"/>
      <c r="X462" s="3" t="n"/>
      <c r="Y462" s="3" t="inlineStr">
        <is>
          <t>NOTHING OPEN</t>
        </is>
      </c>
    </row>
    <row r="463" ht="60" customHeight="1">
      <c r="A463" s="3" t="inlineStr">
        <is>
          <t>MK-ST-F-010</t>
        </is>
      </c>
      <c r="B463" s="3" t="inlineStr">
        <is>
          <t>nameEvidence</t>
        </is>
      </c>
      <c r="C463" s="3" t="inlineStr">
        <is>
          <t>Calculation Module code/engines/holding-class.ts</t>
        </is>
      </c>
      <c r="D463" s="3" t="n">
        <v>91</v>
      </c>
      <c r="E463" s="3" t="inlineStr">
        <is>
          <t>3 · DEPENDENT</t>
        </is>
      </c>
      <c r="F463" s="3" t="inlineStr">
        <is>
          <t>What the NAME (symbol + description together) says, or null when it says nothing.</t>
        </is>
      </c>
      <c r="G463" s="11" t="inlineStr">
        <is>
          <t>t = string(label ?? '').trim()
nothing   when t is missing
words = for each of split( ÷ [\s·—-]+ ÷ ): to upper case()
'cash'   when SWEEP_RE.test(t)
'stocks_etf'   when MONEY_MARKET_RE.test(t) (or words.some((w) =&gt; MONEY_MARKET_TICKERS.has(w)) when missing or zero)
'bonds'   when words.some((w) =&gt; TBILL_ETF_TICKERS.has(w))
'alternatives'   when OCC_OPTION.test(replace( ÷ \s+ ÷ g, '').to upper case())
'alternatives'   when DATE_STYLE_OPTION.test(t) (or ÷ \b(put|call)s?\b ÷ test(t) when missing or zero)
'alternatives'   when words.some((w) =&gt; CRYPTO_TICKERS.has(w)) (or ÷ \b(bitcoin|ethereum|crypto(currenc(y|ies))?)\b ÷ test(t) when missing or zero)
'alternatives'   when words.some((w) =&gt; COMMODITY_TICKERS.has(w))
'alternatives'   when ÷ \b(gold|silver|platinum|palladium|commodit(y|ies))\b ÷ test(t) and !COMPANY_WORDS.test(t)
… the first steps only — the rest of the body needs reading by hand.</t>
        </is>
      </c>
      <c r="H463" s="3" t="inlineStr">
        <is>
          <t>T is string(label ?? '').trim(). When t is missing, it answers no answer. Words is for each of split( divided by [\s·—-]+ divided by ): to upper case(). When SWEEP_RE.test(t), it answers 'cash'. When MONEY_MARKET_RE.test(t) (or words.some((w) =&gt; MONEY_MARKET_TICKERS.has(w)) — when missing or zero), it answers 'stocks_etf'. When words.some((w) =&gt; TBILL_ETF_TICKERS.has(w)), it answers 'bonds'. When OCC_OPTION.test(replace( divided by \s+ divided by g, '').to upper case()), it answers 'alternatives'. When DATE_STYLE_OPTION.test(t) (or divided by \b(put|call)s?\b divided by test(t) — when missing or zero), it answers 'alternatives'. When words.some((w) =&gt; CRYPTO_TICKERS.has(w)) (or divided by \b(bitcoin|ethereum|crypto(currenc(y|ies))?)\b divided by test(t) — when missing or zero), it answers 'alternatives'. When words.some((w) =&gt; COMMODITY_TICKERS.has(w)), it answers 'alternatives'. When ÷ \b(gold|silver|platinum|palladium|commodit(y|ies))\b divided by test(t) and !COMPANY_WORDS.test(t), it answers 'alternatives'. Only the first steps are shown; the rest of the body needs reading by hand.</t>
        </is>
      </c>
      <c r="I463" s="3" t="inlineStr">
        <is>
          <t>PARTLY READ — some of the code is still showing through; needs a hand pass</t>
        </is>
      </c>
      <c r="J463" s="3" t="inlineStr">
        <is>
          <t>label?: string | null</t>
        </is>
      </c>
      <c r="K463" s="3" t="inlineStr">
        <is>
          <t>HoldingClass | null</t>
        </is>
      </c>
      <c r="L463" s="3" t="inlineStr">
        <is>
          <t>—</t>
        </is>
      </c>
      <c r="M463" s="3" t="inlineStr">
        <is>
          <t>None found in this function — anything it assumes comes from the functions it depends on.</t>
        </is>
      </c>
      <c r="N463" s="3" t="inlineStr">
        <is>
          <t>Yes</t>
        </is>
      </c>
      <c r="O463" s="3" t="inlineStr">
        <is>
          <t>1. MK-XS-F-147 call
2. MK-ST-F-056 has
3. MK-CF-F-132 map</t>
        </is>
      </c>
      <c r="P463" s="3" t="n">
        <v>6</v>
      </c>
      <c r="Q463" s="3" t="inlineStr">
        <is>
          <t>1. MK-XS-F-147 call
2. MK-ST-F-056 has
3. MK-CF-F-132 map
4. MK-ST-F-027 accountId
5. MK-XS-F-064 currentIdToken
6. MK-XS-F-112 relayUrl</t>
        </is>
      </c>
      <c r="R463" s="3" t="inlineStr">
        <is>
          <t>1. MK-ST-F-027 accountId → MK-XS-F-147 call → MK-ST-F-010 nameEvidence
2. MK-XS-F-064 currentIdToken → MK-XS-F-147 call → MK-ST-F-010 nameEvidence
3. MK-XS-F-112 relayUrl → MK-XS-F-147 call → MK-ST-F-010 nameEvidence
4. MK-ST-F-056 has → MK-ST-F-010 nameEvidence
5. MK-CF-F-132 map → MK-ST-F-010 nameEvidence</t>
        </is>
      </c>
      <c r="S463" s="3" t="inlineStr">
        <is>
          <t>—</t>
        </is>
      </c>
      <c r="T463" s="3" t="inlineStr">
        <is>
          <t>—</t>
        </is>
      </c>
      <c r="U463" s="3" t="inlineStr">
        <is>
          <t>ACTIVE</t>
        </is>
      </c>
      <c r="V463" s="3" t="inlineStr">
        <is>
          <t>2026-08-27</t>
        </is>
      </c>
      <c r="W463" s="3" t="n"/>
      <c r="X463" s="3" t="n"/>
      <c r="Y463" s="3" t="inlineStr">
        <is>
          <t>NOTHING OPEN</t>
        </is>
      </c>
    </row>
    <row r="464" ht="60" customHeight="1">
      <c r="A464" s="3" t="inlineStr">
        <is>
          <t>MK-ST-F-011</t>
        </is>
      </c>
      <c r="B464" s="3" t="inlineStr">
        <is>
          <t>classifyHoldingClass</t>
        </is>
      </c>
      <c r="C464" s="3" t="inlineStr">
        <is>
          <t>Calculation Module code/engines/holding-class.ts</t>
        </is>
      </c>
      <c r="D464" s="3" t="n">
        <v>193</v>
      </c>
      <c r="E464" s="3" t="inlineStr">
        <is>
          <t>3 · DEPENDENT</t>
        </is>
      </c>
      <c r="F464" s="3" t="inlineStr">
        <is>
          <t>NOT DETERMINED — the code carries no note saying what this is for, and it has no row in the old inventory. Needs reading.</t>
        </is>
      </c>
      <c r="G464" s="11" t="inlineStr">
        <is>
          <t>cls = user answer
source = 'user'
why = 'your own answer — it outranks every automatic rule and survives every sync'   when user answer
by name = name evidence(`${ticker ?? ''} ${name ?? ''}`)
cls = by name
source = 'name'
why = 'the institution\'s own words for it'   when by name
cls = 'bonds'
source = 'maturity'
why = 'it carries a maturity date'   when maturity date and string(maturity date).trim()
cls = 'stocks_etf'
source = 'flag'
why = 'the broker\'s cash − equivalent flag — a money − market fund
measured where its income lands' = measured where its income lands'   when cash equivalent
tag = TAG_CLASS[string(broker tag ?? '').to lower case()]
cls = tag
source = 'broker − tag'
why = 'the broker\'s type tag — fallback only
a name would have outranked it' = a name would have outranked it'   when tag
cls = 'stocks_etf'
source = 'security − default'
why = 'a priced security with units is an investment; with no other evidence it sits in stocks ÷ Funds'   when has security identity
the answer:
cls = 'cash'
source = 'unlabelled'
why = 'an unlabelled broker balance is cash'</t>
        </is>
      </c>
      <c r="H464" s="3" t="inlineStr">
        <is>
          <t>When user answer, it answers cls = user answer; source = 'user'; why = 'your own answer — it outranks every automatic rule and survives every sync'. By name is name evidence(`${ticker ?? ''} ${name ?? ''}`). When by name, it answers cls = by name; source = 'name'; why = 'the institution\'s own words for it'. When maturity date and string(maturity date).trim(), it answers cls = 'bonds'; source = 'maturity'; why = 'it carries a maturity date'. When cash equivalent, it answers cls = 'stocks_etf'; source = 'flag'; why = 'the broker\'s cash minus equivalent flag — a money minus market fund; measured where its income lands' = measured where its income lands'. Tag is TAG_CLASS[string(broker tag ?? '').to lower case()]. When tag, it answers cls = tag; source = 'broker minus tag'; why = 'the broker\'s type tag — fallback only; a name would have outranked it' = a name would have outranked it'. When has security identity, it answers cls = 'stocks_etf'; source = 'security minus default'; why = 'a priced security with units is an investment; with no other evidence it sits in stocks divided by Funds'. The answer is cls = 'cash'; source = 'unlabelled'; why = 'an unlabelled broker balance is cash'.</t>
        </is>
      </c>
      <c r="I464" s="3" t="inlineStr">
        <is>
          <t>PARTLY READ — some of the code is still showing through; needs a hand pass</t>
        </is>
      </c>
      <c r="J464" s="3" t="inlineStr">
        <is>
          <t>e: ClassEvidence</t>
        </is>
      </c>
      <c r="K464" s="3" t="inlineStr">
        <is>
          <t>ClassVerdict</t>
        </is>
      </c>
      <c r="L464" s="3" t="inlineStr">
        <is>
          <t>—</t>
        </is>
      </c>
      <c r="M464" s="3" t="inlineStr">
        <is>
          <t>None found in this function — anything it assumes comes from the functions it depends on.</t>
        </is>
      </c>
      <c r="N464" s="3" t="inlineStr">
        <is>
          <t>Yes</t>
        </is>
      </c>
      <c r="O464" s="3" t="inlineStr">
        <is>
          <t>MK-ST-F-010 nameEvidence</t>
        </is>
      </c>
      <c r="P464" s="3" t="n">
        <v>7</v>
      </c>
      <c r="Q464" s="3" t="inlineStr">
        <is>
          <t>1. MK-ST-F-010 nameEvidence
2. MK-XS-F-147 call
3. MK-ST-F-056 has
4. MK-CF-F-132 map
5. MK-ST-F-027 accountId
6. MK-XS-F-064 currentIdToken
7. MK-XS-F-112 relayUrl</t>
        </is>
      </c>
      <c r="R464" s="3" t="inlineStr">
        <is>
          <t>1. MK-ST-F-027 accountId → MK-XS-F-147 call → MK-ST-F-010 nameEvidence → MK-ST-F-011 classifyHoldingClass
2. MK-XS-F-064 currentIdToken → MK-XS-F-147 call → MK-ST-F-010 nameEvidence → MK-ST-F-011 classifyHoldingClass
3. MK-XS-F-112 relayUrl → MK-XS-F-147 call → MK-ST-F-010 nameEvidence → MK-ST-F-011 classifyHoldingClass
4. MK-ST-F-056 has → MK-ST-F-010 nameEvidence → MK-ST-F-011 classifyHoldingClass
5. MK-CF-F-132 map → MK-ST-F-010 nameEvidence → MK-ST-F-011 classifyHoldingClass</t>
        </is>
      </c>
      <c r="S464" s="3" t="inlineStr">
        <is>
          <t>—</t>
        </is>
      </c>
      <c r="T464" s="3" t="inlineStr">
        <is>
          <t>—</t>
        </is>
      </c>
      <c r="U464" s="3" t="inlineStr">
        <is>
          <t>ACTIVE</t>
        </is>
      </c>
      <c r="V464" s="3" t="inlineStr">
        <is>
          <t>2026-08-27</t>
        </is>
      </c>
      <c r="W464" s="3" t="n"/>
      <c r="X464" s="3" t="n"/>
      <c r="Y464" s="3" t="inlineStr">
        <is>
          <t>NOTHING OPEN</t>
        </is>
      </c>
    </row>
    <row r="465" ht="60" customHeight="1">
      <c r="A465" s="3" t="inlineStr">
        <is>
          <t>MK-ST-F-012</t>
        </is>
      </c>
      <c r="B465" s="3" t="inlineStr">
        <is>
          <t>toLedgerRow</t>
        </is>
      </c>
      <c r="C465" s="3" t="inlineStr">
        <is>
          <t>Calculation Module code/engines/ledger.ts</t>
        </is>
      </c>
      <c r="D465" s="3" t="n">
        <v>131</v>
      </c>
      <c r="E465" s="3" t="inlineStr">
        <is>
          <t>3 · DEPENDENT (feeds an action only)</t>
        </is>
      </c>
      <c r="F465" s="3" t="inlineStr">
        <is>
          <t>Read one institution row into one ledger row.</t>
        </is>
      </c>
      <c r="G465" s="11" t="inlineStr">
        <is>
          <t>c = classify event(raw.word)
money = read money(raw.amount, convention, rule.direction)
units = number or undefined(raw.units)
legacy = TO_LEGACY[event]
is trade = legacy = 'BUY' (or legacy = 'SELL' when missing or zero)</t>
        </is>
      </c>
      <c r="H465" s="3" t="inlineStr">
        <is>
          <t>C is classify event(raw.word). Money is read money(raw.amount, convention, rule.direction). Units is number or undefined(raw.units). Legacy is TO_LEGACY[event]. Is trade is legacy = 'BUY' (or legacy = 'SELL' — when missing or zero).</t>
        </is>
      </c>
      <c r="I465" s="3" t="inlineStr">
        <is>
          <t>PARTLY READ — some of the code is still showing through; needs a hand pass</t>
        </is>
      </c>
      <c r="J465" s="3" t="inlineStr">
        <is>
          <t>1. raw: RawActivity
2. convention: SignConvention</t>
        </is>
      </c>
      <c r="K465" s="3" t="inlineStr">
        <is>
          <t>LedgerRow</t>
        </is>
      </c>
      <c r="L465" s="3" t="inlineStr">
        <is>
          <t>—</t>
        </is>
      </c>
      <c r="M465" s="3" t="inlineStr">
        <is>
          <t>None found in this function — anything it assumes comes from the functions it depends on.</t>
        </is>
      </c>
      <c r="N465" s="3" t="inlineStr">
        <is>
          <t>No</t>
        </is>
      </c>
      <c r="O465" s="3" t="inlineStr">
        <is>
          <t>1. MK-ST-F-007 classifyEvent
2. MK-ST-F-053 money
3. MK-ST-F-058 numberOrUndefined
4. MK-ST-F-018 readMoney
5. MK-ST-F-019 signed
6. MK-ST-F-021 toNumber</t>
        </is>
      </c>
      <c r="P465" s="3" t="n">
        <v>11</v>
      </c>
      <c r="Q465" s="3" t="inlineStr">
        <is>
          <t>1. MK-ST-F-007 classifyEvent
2. MK-ST-F-053 money
3. MK-ST-F-058 numberOrUndefined
4. MK-ST-F-018 readMoney
5. MK-ST-F-019 signed
6. MK-ST-F-021 toNumber
7. MK-ST-F-049 formatMoney
8. MK-XS-F-122 n
9. MK-ST-F-048 currencySymbol
10. MK-ST-F-039 on
11. MK-ST-F-047 activeCurrency</t>
        </is>
      </c>
      <c r="R465" s="3" t="inlineStr">
        <is>
          <t>1. MK-ST-F-007 classifyEvent → MK-ST-F-012 toLedgerRow
2. MK-ST-F-047 activeCurrency → MK-ST-F-048 currencySymbol → MK-ST-F-049 formatMoney → MK-ST-F-053 money → MK-ST-F-012 toLedgerRow
3. MK-XS-F-122 n → MK-ST-F-049 formatMoney → MK-ST-F-053 money → MK-ST-F-012 toLedgerRow
4. MK-ST-F-039 on → MK-ST-F-049 formatMoney → MK-ST-F-053 money → MK-ST-F-012 toLedgerRow
5. MK-XS-F-122 n → MK-ST-F-053 money → MK-ST-F-012 toLedgerRow
6. MK-XS-F-122 n → MK-ST-F-058 numberOrUndefined → MK-ST-F-012 toLedgerRow
7. MK-ST-F-018 readMoney → MK-ST-F-012 toLedgerRow
8. MK-ST-F-019 signed → MK-ST-F-012 toLedgerRow
9. … and 1 more paths</t>
        </is>
      </c>
      <c r="S465" s="3" t="inlineStr">
        <is>
          <t>—</t>
        </is>
      </c>
      <c r="T465" s="3" t="inlineStr">
        <is>
          <t>—</t>
        </is>
      </c>
      <c r="U465" s="3" t="inlineStr">
        <is>
          <t>ACTIVE</t>
        </is>
      </c>
      <c r="V465" s="3" t="inlineStr">
        <is>
          <t>2026-08-27</t>
        </is>
      </c>
      <c r="W465" s="3" t="n"/>
      <c r="X465" s="3" t="n"/>
      <c r="Y465" s="3" t="inlineStr">
        <is>
          <t>NOTHING OPEN</t>
        </is>
      </c>
    </row>
    <row r="466" ht="60" customHeight="1">
      <c r="A466" s="3" t="inlineStr">
        <is>
          <t>MK-ST-F-013</t>
        </is>
      </c>
      <c r="B466" s="3" t="inlineStr">
        <is>
          <t>personalFlowTotals</t>
        </is>
      </c>
      <c r="C466" s="3" t="inlineStr">
        <is>
          <t>Calculation Module code/engines/ledger.ts</t>
        </is>
      </c>
      <c r="D466" s="3" t="n">
        <v>227</v>
      </c>
      <c r="E466" s="3" t="inlineStr">
        <is>
          <t>2 · DISPLAYED</t>
        </is>
      </c>
      <c r="F466" s="3" t="inlineStr">
        <is>
          <t>NOT DETERMINED — the code carries no note saying what this is for, and it has no row in the old inventory. Needs reading.</t>
        </is>
      </c>
      <c r="G466" s="11" t="inlineStr">
        <is>
          <t>bucket = STORED_TYPE_BUCKET[string(type ?? '')] (or 'none' when missing)
d = dec.parse(amount)
the answer = t</t>
        </is>
      </c>
      <c r="H466" s="3" t="inlineStr">
        <is>
          <t>Bucket is STORED_TYPE_BUCKET[string(type ?? '')] (or 'none' — when missing). D is dec.parse(amount). The answer is t.</t>
        </is>
      </c>
      <c r="I466" s="3" t="inlineStr">
        <is>
          <t>PARTLY READ — some of the code is still showing through; needs a hand pass</t>
        </is>
      </c>
      <c r="J466" s="3" t="inlineStr">
        <is>
          <t>rows: StoredFlowRow[]</t>
        </is>
      </c>
      <c r="K466" s="3" t="inlineStr">
        <is>
          <t>PersonalFlowTotals</t>
        </is>
      </c>
      <c r="L466" s="3" t="inlineStr">
        <is>
          <t>NOT FOUND — a screen calls it, but the words printed beside its answer could not be traced automatically. Needs reading.</t>
        </is>
      </c>
      <c r="M466" s="3" t="inlineStr">
        <is>
          <t>None found in this function — anything it assumes comes from the functions it depends on.</t>
        </is>
      </c>
      <c r="N466" s="3" t="inlineStr">
        <is>
          <t>Yes</t>
        </is>
      </c>
      <c r="O466" s="3" t="inlineStr">
        <is>
          <t>—</t>
        </is>
      </c>
      <c r="P466" s="3" t="n">
        <v>0</v>
      </c>
      <c r="Q466" s="3" t="inlineStr">
        <is>
          <t>None — no dependent function stands behind it</t>
        </is>
      </c>
      <c r="R466" s="3" t="inlineStr">
        <is>
          <t>No dependent function — it reads its inputs and answers</t>
        </is>
      </c>
      <c r="S466" s="3" t="inlineStr">
        <is>
          <t>—</t>
        </is>
      </c>
      <c r="T466" s="3" t="inlineStr">
        <is>
          <t>—</t>
        </is>
      </c>
      <c r="U466" s="3" t="inlineStr">
        <is>
          <t>ACTIVE</t>
        </is>
      </c>
      <c r="V466" s="3" t="inlineStr">
        <is>
          <t>2026-08-27</t>
        </is>
      </c>
      <c r="W466" s="3" t="n"/>
      <c r="X466" s="3" t="n"/>
      <c r="Y466" s="3" t="inlineStr">
        <is>
          <t>NOTHING OPEN</t>
        </is>
      </c>
    </row>
    <row r="467" ht="60" customHeight="1">
      <c r="A467" s="3" t="inlineStr">
        <is>
          <t>MK-ST-F-014</t>
        </is>
      </c>
      <c r="B467" s="3" t="inlineStr">
        <is>
          <t>importKey</t>
        </is>
      </c>
      <c r="C467" s="3" t="inlineStr">
        <is>
          <t>Calculation Module code/engines/ledger.ts</t>
        </is>
      </c>
      <c r="D467" s="3" t="n">
        <v>279</v>
      </c>
      <c r="E467" s="3" t="inlineStr">
        <is>
          <t>3 · DEPENDENT (feeds an action only)</t>
        </is>
      </c>
      <c r="F467" s="3" t="inlineStr">
        <is>
          <t>NOT DETERMINED — the code carries no note saying what this is for, and it has no row in the old inventory. Needs reading.</t>
        </is>
      </c>
      <c r="G467" s="11" t="inlineStr">
        <is>
          <t>the answer = account | date | WORD | amount | units | security | ref | description, joined with '|' (missing parts empty)</t>
        </is>
      </c>
      <c r="H467" s="3" t="inlineStr">
        <is>
          <t>The stable identity of an imported row: the account, the date, the institution's word in capitals, the amount, the units, the security, the reference and the description, joined with vertical bars. Re-importing the same row builds the same key, so it is never doubled.</t>
        </is>
      </c>
      <c r="I467" s="3" t="inlineStr">
        <is>
          <t>READ BY HAND 2026-08-26 — checked line by line against the code</t>
        </is>
      </c>
      <c r="J467" s="3" t="inlineStr">
        <is>
          <t>id: ImportIdentity</t>
        </is>
      </c>
      <c r="K467" s="3" t="inlineStr">
        <is>
          <t>string</t>
        </is>
      </c>
      <c r="L467" s="3" t="inlineStr">
        <is>
          <t>—</t>
        </is>
      </c>
      <c r="M467" s="3" t="inlineStr">
        <is>
          <t>None found in this function — anything it assumes comes from the functions it depends on.</t>
        </is>
      </c>
      <c r="N467" s="3" t="inlineStr">
        <is>
          <t>No</t>
        </is>
      </c>
      <c r="O467" s="3" t="inlineStr">
        <is>
          <t>—</t>
        </is>
      </c>
      <c r="P467" s="3" t="n">
        <v>0</v>
      </c>
      <c r="Q467" s="3" t="inlineStr">
        <is>
          <t>None — no dependent function stands behind it</t>
        </is>
      </c>
      <c r="R467" s="3" t="inlineStr">
        <is>
          <t>No dependent function — it reads its inputs and answers</t>
        </is>
      </c>
      <c r="S467" s="3" t="inlineStr">
        <is>
          <t>—</t>
        </is>
      </c>
      <c r="T467" s="3" t="inlineStr">
        <is>
          <t>—</t>
        </is>
      </c>
      <c r="U467" s="3" t="inlineStr">
        <is>
          <t>ACTIVE</t>
        </is>
      </c>
      <c r="V467" s="3" t="inlineStr">
        <is>
          <t>2026-09-12</t>
        </is>
      </c>
      <c r="W467" s="3" t="n"/>
      <c r="X467" s="3" t="n"/>
      <c r="Y467" s="3" t="inlineStr">
        <is>
          <t>NOTHING OPEN</t>
        </is>
      </c>
    </row>
    <row r="468" ht="60" customHeight="1">
      <c r="A468" s="3" t="inlineStr">
        <is>
          <t>MK-ST-F-015</t>
        </is>
      </c>
      <c r="B468" s="3" t="inlineStr">
        <is>
          <t>rowsFor</t>
        </is>
      </c>
      <c r="C468" s="3" t="inlineStr">
        <is>
          <t>Calculation Module code/engines/ledger.ts</t>
        </is>
      </c>
      <c r="D468" s="3" t="n">
        <v>310</v>
      </c>
      <c r="E468" s="3" t="inlineStr">
        <is>
          <t>3 · DEPENDENT (feeds an action only)</t>
        </is>
      </c>
      <c r="F468" s="3" t="inlineStr">
        <is>
          <t>NOT DETERMINED — the code carries no note saying what this is for, and it has no row in the old inventory. Needs reading.</t>
        </is>
      </c>
      <c r="G468" s="11" t="inlineStr">
        <is>
          <t>rows where EVENTS[event].totals.includes(total)</t>
        </is>
      </c>
      <c r="H468" s="3" t="inlineStr">
        <is>
          <t>rows where EVENTS[event].totals.includes(total).</t>
        </is>
      </c>
      <c r="I468" s="3" t="inlineStr">
        <is>
          <t>PARTLY READ — some of the code is still showing through; needs a hand pass</t>
        </is>
      </c>
      <c r="J468" s="3" t="inlineStr">
        <is>
          <t>Nothing is handed to it</t>
        </is>
      </c>
      <c r="K468" s="3" t="inlineStr">
        <is>
          <t>NOT DECLARED — the code does not say what it gives back</t>
        </is>
      </c>
      <c r="L468" s="3" t="inlineStr">
        <is>
          <t>—</t>
        </is>
      </c>
      <c r="M468" s="3" t="inlineStr">
        <is>
          <t>None found in this function — anything it assumes comes from the functions it depends on.</t>
        </is>
      </c>
      <c r="N468" s="3" t="inlineStr">
        <is>
          <t>No</t>
        </is>
      </c>
      <c r="O468" s="3" t="inlineStr">
        <is>
          <t>—</t>
        </is>
      </c>
      <c r="P468" s="3" t="n">
        <v>0</v>
      </c>
      <c r="Q468" s="3" t="inlineStr">
        <is>
          <t>None — no dependent function stands behind it</t>
        </is>
      </c>
      <c r="R468" s="3" t="inlineStr">
        <is>
          <t>No dependent function — it reads its inputs and answers</t>
        </is>
      </c>
      <c r="S468" s="3" t="inlineStr">
        <is>
          <t>—</t>
        </is>
      </c>
      <c r="T468" s="3" t="inlineStr">
        <is>
          <t>—</t>
        </is>
      </c>
      <c r="U468" s="3" t="inlineStr">
        <is>
          <t>ACTIVE</t>
        </is>
      </c>
      <c r="V468" s="3" t="inlineStr">
        <is>
          <t>2026-08-27</t>
        </is>
      </c>
      <c r="W468" s="3" t="n"/>
      <c r="X468" s="3" t="n"/>
      <c r="Y468" s="3" t="inlineStr">
        <is>
          <t>NOTHING OPEN</t>
        </is>
      </c>
    </row>
    <row r="469" ht="45" customHeight="1">
      <c r="A469" s="3" t="inlineStr">
        <is>
          <t>MK-ST-F-016</t>
        </is>
      </c>
      <c r="B469" s="3" t="inlineStr">
        <is>
          <t>totalOf</t>
        </is>
      </c>
      <c r="C469" s="3" t="inlineStr">
        <is>
          <t>Calculation Module code/engines/ledger.ts</t>
        </is>
      </c>
      <c r="D469" s="3" t="n">
        <v>334</v>
      </c>
      <c r="E469" s="3" t="inlineStr">
        <is>
          <t>3 · DEPENDENT (feeds an action only)</t>
        </is>
      </c>
      <c r="F469" s="3" t="inlineStr">
        <is>
          <t>A total, summed SIGNED and EXACT — a reversal reduces its total instead of inflating it.</t>
        </is>
      </c>
      <c r="G469" s="11" t="inlineStr">
        <is>
          <t>dec.sum(rows for(rows, total).map((r) =&gt; signed amount))</t>
        </is>
      </c>
      <c r="H469" s="3" t="inlineStr">
        <is>
          <t>dec.sum(rows for(rows, total).map((r) =&gt; signed amount)).</t>
        </is>
      </c>
      <c r="I469" s="3" t="inlineStr">
        <is>
          <t>PARTLY READ — some of the code is still showing through; needs a hand pass</t>
        </is>
      </c>
      <c r="J469" s="3" t="inlineStr">
        <is>
          <t>1. rows: LedgerRow[]
2. total: 'contributions' | 'withdrawals' | 'income' | 'costs'</t>
        </is>
      </c>
      <c r="K469" s="3" t="inlineStr">
        <is>
          <t>Dec</t>
        </is>
      </c>
      <c r="L469" s="3" t="inlineStr">
        <is>
          <t>—</t>
        </is>
      </c>
      <c r="M469" s="3" t="inlineStr">
        <is>
          <t>None found in this function — anything it assumes comes from the functions it depends on.</t>
        </is>
      </c>
      <c r="N469" s="3" t="inlineStr">
        <is>
          <t>No</t>
        </is>
      </c>
      <c r="O469" s="3" t="inlineStr">
        <is>
          <t>1. MK-CF-F-132 map
2. MK-ST-F-015 rowsFor</t>
        </is>
      </c>
      <c r="P469" s="3" t="n">
        <v>2</v>
      </c>
      <c r="Q469" s="3" t="inlineStr">
        <is>
          <t>1. MK-CF-F-132 map
2. MK-ST-F-015 rowsFor</t>
        </is>
      </c>
      <c r="R469" s="3" t="inlineStr">
        <is>
          <t>1. MK-CF-F-132 map → MK-ST-F-016 totalOf
2. MK-ST-F-015 rowsFor → MK-ST-F-016 totalOf</t>
        </is>
      </c>
      <c r="S469" s="3" t="inlineStr">
        <is>
          <t>—</t>
        </is>
      </c>
      <c r="T469" s="3" t="inlineStr">
        <is>
          <t>—</t>
        </is>
      </c>
      <c r="U469" s="3" t="inlineStr">
        <is>
          <t>ACTIVE</t>
        </is>
      </c>
      <c r="V469" s="3" t="inlineStr">
        <is>
          <t>2026-08-27</t>
        </is>
      </c>
      <c r="W469" s="3" t="n"/>
      <c r="X469" s="3" t="n"/>
      <c r="Y469" s="3" t="inlineStr">
        <is>
          <t>NOTHING OPEN</t>
        </is>
      </c>
    </row>
    <row r="470" ht="45" customHeight="1">
      <c r="A470" s="3" t="inlineStr">
        <is>
          <t>MK-ST-F-017</t>
        </is>
      </c>
      <c r="B470" s="3" t="inlineStr">
        <is>
          <t>unclassified</t>
        </is>
      </c>
      <c r="C470" s="3" t="inlineStr">
        <is>
          <t>Calculation Module code/engines/ledger.ts</t>
        </is>
      </c>
      <c r="D470" s="3" t="n">
        <v>354</v>
      </c>
      <c r="E470" s="3" t="inlineStr">
        <is>
          <t>3 · DEPENDENT (feeds an action only)</t>
        </is>
      </c>
      <c r="F470" s="3" t="inlineStr">
        <is>
          <t>Everything we could not name, for the honest line on screen: "12 entries we could not classify".</t>
        </is>
      </c>
      <c r="G470" s="11" t="inlineStr">
        <is>
          <t>rows where recognised is missing</t>
        </is>
      </c>
      <c r="H470" s="3" t="inlineStr">
        <is>
          <t>rows where recognised is missing.</t>
        </is>
      </c>
      <c r="I470" s="3" t="inlineStr">
        <is>
          <t>READ FROM THE CODE — rendered from the expressions the function runs</t>
        </is>
      </c>
      <c r="J470" s="3" t="inlineStr">
        <is>
          <t>rows: LedgerRow[]</t>
        </is>
      </c>
      <c r="K470" s="3" t="inlineStr">
        <is>
          <t>LedgerRow[]</t>
        </is>
      </c>
      <c r="L470" s="3" t="inlineStr">
        <is>
          <t>—</t>
        </is>
      </c>
      <c r="M470" s="3" t="inlineStr">
        <is>
          <t>None found in this function — anything it assumes comes from the functions it depends on.</t>
        </is>
      </c>
      <c r="N470" s="3" t="inlineStr">
        <is>
          <t>No</t>
        </is>
      </c>
      <c r="O470" s="3" t="inlineStr">
        <is>
          <t>—</t>
        </is>
      </c>
      <c r="P470" s="3" t="n">
        <v>0</v>
      </c>
      <c r="Q470" s="3" t="inlineStr">
        <is>
          <t>None — no dependent function stands behind it</t>
        </is>
      </c>
      <c r="R470" s="3" t="inlineStr">
        <is>
          <t>No dependent function — it reads its inputs and answers</t>
        </is>
      </c>
      <c r="S470" s="3" t="inlineStr">
        <is>
          <t>—</t>
        </is>
      </c>
      <c r="T470" s="3" t="inlineStr">
        <is>
          <t>—</t>
        </is>
      </c>
      <c r="U470" s="3" t="inlineStr">
        <is>
          <t>ACTIVE</t>
        </is>
      </c>
      <c r="V470" s="3" t="inlineStr">
        <is>
          <t>2026-08-27</t>
        </is>
      </c>
      <c r="W470" s="3" t="n"/>
      <c r="X470" s="3" t="n"/>
      <c r="Y470" s="3" t="inlineStr">
        <is>
          <t>NOTHING OPEN</t>
        </is>
      </c>
    </row>
    <row r="471" ht="60" customHeight="1">
      <c r="A471" s="3" t="inlineStr">
        <is>
          <t>MK-ST-F-018</t>
        </is>
      </c>
      <c r="B471" s="3" t="inlineStr">
        <is>
          <t>readMoney</t>
        </is>
      </c>
      <c r="C471" s="3" t="inlineStr">
        <is>
          <t>Calculation Module code/engines/money.ts</t>
        </is>
      </c>
      <c r="D471" s="3" t="n">
        <v>65</v>
      </c>
      <c r="E471" s="3" t="inlineStr">
        <is>
          <t>3 · DEPENDENT (feeds an action only)</t>
        </is>
      </c>
      <c r="F471" s="3" t="inlineStr">
        <is>
          <t>Read a raw amount into a Money, given how that source signs things.</t>
        </is>
      </c>
      <c r="G471" s="11" t="inlineStr">
        <is>
          <t>d = dec.parse(raw)
amount = dec.ZERO
direction = 'NONE'   when d = nothing
amount = dec.ZERO
direction = 'NONE'   when is zero()
negative means out = convention ! = 'POSITIVE_IS_OUT'
the answer:
amount = abs()
direction = stated (or 'NONE' when missing)
out = is neg()   if negative means out
!is neg()   otherwise</t>
        </is>
      </c>
      <c r="H471" s="3" t="inlineStr">
        <is>
          <t>D is dec.parse(raw). When d is missing, it answers amount = dec.ZERO; direction = 'NONE'. When is zero(), it answers amount = dec.ZERO; direction = 'NONE'. Negative means out is convention ! = 'POSITIVE_IS_OUT'. The answer is amount = abs(); direction = stated (or 'NONE' — when missing). Out is is neg() — when negative means out; !is neg() — otherwise.</t>
        </is>
      </c>
      <c r="I471" s="3" t="inlineStr">
        <is>
          <t>PARTLY READ — some of the code is still showing through; needs a hand pass</t>
        </is>
      </c>
      <c r="J471" s="3" t="inlineStr">
        <is>
          <t>Nothing is handed to it</t>
        </is>
      </c>
      <c r="K471" s="3" t="inlineStr">
        <is>
          <t>NOT DECLARED — the code does not say what it gives back</t>
        </is>
      </c>
      <c r="L471" s="3" t="inlineStr">
        <is>
          <t>—</t>
        </is>
      </c>
      <c r="M471" s="3" t="inlineStr">
        <is>
          <t>None found in this function — anything it assumes comes from the functions it depends on.</t>
        </is>
      </c>
      <c r="N471" s="3" t="inlineStr">
        <is>
          <t>No</t>
        </is>
      </c>
      <c r="O471" s="3" t="inlineStr">
        <is>
          <t>—</t>
        </is>
      </c>
      <c r="P471" s="3" t="n">
        <v>0</v>
      </c>
      <c r="Q471" s="3" t="inlineStr">
        <is>
          <t>None — no dependent function stands behind it</t>
        </is>
      </c>
      <c r="R471" s="3" t="inlineStr">
        <is>
          <t>No dependent function — it reads its inputs and answers</t>
        </is>
      </c>
      <c r="S471" s="3" t="inlineStr">
        <is>
          <t>—</t>
        </is>
      </c>
      <c r="T471" s="3" t="inlineStr">
        <is>
          <t>—</t>
        </is>
      </c>
      <c r="U471" s="3" t="inlineStr">
        <is>
          <t>ACTIVE</t>
        </is>
      </c>
      <c r="V471" s="3" t="inlineStr">
        <is>
          <t>2026-08-27</t>
        </is>
      </c>
      <c r="W471" s="3" t="n"/>
      <c r="X471" s="3" t="n"/>
      <c r="Y471" s="3" t="inlineStr">
        <is>
          <t>NOTHING OPEN</t>
        </is>
      </c>
    </row>
    <row r="472" ht="60" customHeight="1">
      <c r="A472" s="3" t="inlineStr">
        <is>
          <t>MK-ST-F-019</t>
        </is>
      </c>
      <c r="B472" s="3" t="inlineStr">
        <is>
          <t>signed</t>
        </is>
      </c>
      <c r="C472" s="3" t="inlineStr">
        <is>
          <t>Calculation Module code/engines/money.ts</t>
        </is>
      </c>
      <c r="D472" s="3" t="n">
        <v>108</v>
      </c>
      <c r="E472" s="3" t="inlineStr">
        <is>
          <t>2 · DISPLAYED</t>
        </is>
      </c>
      <c r="F472" s="3" t="inlineStr">
        <is>
          <t>The signed value, for arithmetic.</t>
        </is>
      </c>
      <c r="G472" s="11" t="inlineStr">
        <is>
          <t>amount.neg()   if direction = 'OUT'
amount   if direction = 'IN'
dec.ZERO   otherwise   otherwise</t>
        </is>
      </c>
      <c r="H472" s="3" t="inlineStr">
        <is>
          <t>amount.neg() — when direction = 'OUT'; amount — when direction = 'IN'; dec.ZERO — otherwise — otherwise.</t>
        </is>
      </c>
      <c r="I472" s="3" t="inlineStr">
        <is>
          <t>PARTLY READ — some of the code is still showing through; needs a hand pass</t>
        </is>
      </c>
      <c r="J472" s="3" t="inlineStr">
        <is>
          <t>m: Money</t>
        </is>
      </c>
      <c r="K472" s="3" t="inlineStr">
        <is>
          <t>Dec</t>
        </is>
      </c>
      <c r="L472" s="3" t="inlineStr">
        <is>
          <t>1. "ACTUAL
2. SO FAR" — on the Cash flow screen, under "ACTUAL
3. SO FAR"
4. "Surplus after your budget" — on the Cash flow screen, under "PLANNED
5. $"</t>
        </is>
      </c>
      <c r="M472" s="3" t="inlineStr">
        <is>
          <t>None found in this function — anything it assumes comes from the functions it depends on.</t>
        </is>
      </c>
      <c r="N472" s="3" t="inlineStr">
        <is>
          <t>Yes</t>
        </is>
      </c>
      <c r="O472" s="3" t="inlineStr">
        <is>
          <t>—</t>
        </is>
      </c>
      <c r="P472" s="3" t="n">
        <v>0</v>
      </c>
      <c r="Q472" s="3" t="inlineStr">
        <is>
          <t>None — no dependent function stands behind it</t>
        </is>
      </c>
      <c r="R472" s="3" t="inlineStr">
        <is>
          <t>No dependent function — it reads its inputs and answers</t>
        </is>
      </c>
      <c r="S472" s="3" t="inlineStr">
        <is>
          <t>—</t>
        </is>
      </c>
      <c r="T472" s="3" t="inlineStr">
        <is>
          <t>—</t>
        </is>
      </c>
      <c r="U472" s="3" t="inlineStr">
        <is>
          <t>ACTIVE</t>
        </is>
      </c>
      <c r="V472" s="3" t="inlineStr">
        <is>
          <t>2026-10-03</t>
        </is>
      </c>
      <c r="W472" s="3" t="n"/>
      <c r="X472" s="3" t="n"/>
      <c r="Y472" s="3" t="inlineStr">
        <is>
          <t>NOTHING OPEN</t>
        </is>
      </c>
    </row>
    <row r="473" ht="60" customHeight="1">
      <c r="A473" s="3" t="inlineStr">
        <is>
          <t>MK-ST-F-020</t>
        </is>
      </c>
      <c r="B473" s="3" t="inlineStr">
        <is>
          <t>sumSigned</t>
        </is>
      </c>
      <c r="C473" s="3" t="inlineStr">
        <is>
          <t>Calculation Module code/engines/money.ts</t>
        </is>
      </c>
      <c r="D473" s="3" t="n">
        <v>129</v>
      </c>
      <c r="E473" s="3" t="inlineStr">
        <is>
          <t>3 · DEPENDENT (feeds an action only)</t>
        </is>
      </c>
      <c r="F473" s="3" t="inlineStr">
        <is>
          <t>Add money SIGNED and EXACTLY — a credit and its reversal cancel to true zero, so a reconciliation can assert equality rather than a tolerance.</t>
        </is>
      </c>
      <c r="G473" s="11" t="inlineStr">
        <is>
          <t>dec.sum(items.map(signed))</t>
        </is>
      </c>
      <c r="H473" s="3" t="inlineStr">
        <is>
          <t>dec.sum(items.map(signed)).</t>
        </is>
      </c>
      <c r="I473" s="3" t="inlineStr">
        <is>
          <t>PARTLY READ — some of the code is still showing through; needs a hand pass</t>
        </is>
      </c>
      <c r="J473" s="3" t="inlineStr">
        <is>
          <t>items: Money[]</t>
        </is>
      </c>
      <c r="K473" s="3" t="inlineStr">
        <is>
          <t>Dec</t>
        </is>
      </c>
      <c r="L473" s="3" t="inlineStr">
        <is>
          <t>—</t>
        </is>
      </c>
      <c r="M473" s="3" t="inlineStr">
        <is>
          <t>None found in this function — anything it assumes comes from the functions it depends on.</t>
        </is>
      </c>
      <c r="N473" s="3" t="inlineStr">
        <is>
          <t>No</t>
        </is>
      </c>
      <c r="O473" s="3" t="inlineStr">
        <is>
          <t>1. MK-CF-F-132 map
2. MK-ST-F-019 signed</t>
        </is>
      </c>
      <c r="P473" s="3" t="n">
        <v>2</v>
      </c>
      <c r="Q473" s="3" t="inlineStr">
        <is>
          <t>1. MK-CF-F-132 map
2. MK-ST-F-019 signed</t>
        </is>
      </c>
      <c r="R473" s="3" t="inlineStr">
        <is>
          <t>1. MK-CF-F-132 map → MK-ST-F-020 sumSigned
2. MK-ST-F-019 signed → MK-ST-F-020 sumSigned</t>
        </is>
      </c>
      <c r="S473" s="3" t="inlineStr">
        <is>
          <t>—</t>
        </is>
      </c>
      <c r="T473" s="3" t="inlineStr">
        <is>
          <t>—</t>
        </is>
      </c>
      <c r="U473" s="3" t="inlineStr">
        <is>
          <t>ACTIVE</t>
        </is>
      </c>
      <c r="V473" s="3" t="inlineStr">
        <is>
          <t>2026-08-27</t>
        </is>
      </c>
      <c r="W473" s="3" t="n"/>
      <c r="X473" s="3" t="n"/>
      <c r="Y473" s="3" t="inlineStr">
        <is>
          <t>NOTHING OPEN</t>
        </is>
      </c>
    </row>
    <row r="474" ht="60" customHeight="1">
      <c r="A474" s="3" t="inlineStr">
        <is>
          <t>MK-ST-F-021</t>
        </is>
      </c>
      <c r="B474" s="3" t="inlineStr">
        <is>
          <t>toNumber</t>
        </is>
      </c>
      <c r="C474" s="3" t="inlineStr">
        <is>
          <t>Calculation Module code/engines/money.ts</t>
        </is>
      </c>
      <c r="D474" s="3" t="n">
        <v>173</v>
      </c>
      <c r="E474" s="3" t="inlineStr">
        <is>
          <t>2 · DISPLAYED</t>
        </is>
      </c>
      <c r="F474" s="3" t="inlineStr">
        <is>
          <t>Institution files write money as text: "$8,502.00 ", "($0.53)", "--", "1,234.56".</t>
        </is>
      </c>
      <c r="G474" s="11" t="inlineStr">
        <is>
          <t>nothing   when raw = nothing
raw   if number.is finite(raw)
nothing   otherwise   when raw is a number
t = string(raw).trim()
nothing   when t is missing (or t = '--' (or t = '-' (or t = 'n ÷ a' (or t = 'N ÷ A' when missing or zero) when missing or zero) when missing or zero) when missing or zero)
parenthesised = ÷ ^\(. × \)$ ÷ .test(t)
nothing   when t is missing (or ! ÷ ^-?\d × \.?\d+$ ÷ .test(t) when missing or zero)
n = parse float(t)
nothing   when !number.is finite(n)
the answer:
-size of(n)   if parenthesised
n   otherwise</t>
        </is>
      </c>
      <c r="H474" s="3" t="inlineStr">
        <is>
          <t>When raw is missing, it answers no answer. When raw is a number, it answers raw — when number.is finite(raw); no answer — otherwise. T is string(raw).trim(). When t is missing (or t = '--' (or t = '-' (or t = 'n divided by a' (or t = 'N divided by A' — when missing or zero) — when missing or zero) — when missing or zero) — when missing or zero), it answers no answer. Parenthesised is ÷ ^\(. times \)$ divided by .test(t). When t is missing (or ! divided by ^-?\d times \.?\d+$ divided by .test(t) — when missing or zero), it answers no answer. N is parse float(t). When !number.is finite(n), it answers no answer. The answer is -size of(n) — when parenthesised; n — otherwise.</t>
        </is>
      </c>
      <c r="I474" s="3" t="inlineStr">
        <is>
          <t>PARTLY READ — some of the code is still showing through; needs a hand pass</t>
        </is>
      </c>
      <c r="J474" s="3" t="inlineStr">
        <is>
          <t>raw: number | string | null | undefined</t>
        </is>
      </c>
      <c r="K474" s="3" t="inlineStr">
        <is>
          <t>number | null</t>
        </is>
      </c>
      <c r="L474" s="3" t="inlineStr">
        <is>
          <t>NOT FOUND — a screen calls it, but the words printed beside its answer could not be traced automatically. Needs reading.</t>
        </is>
      </c>
      <c r="M474" s="3" t="inlineStr">
        <is>
          <t>None found in this function — anything it assumes comes from the functions it depends on.</t>
        </is>
      </c>
      <c r="N474" s="3" t="inlineStr">
        <is>
          <t>Yes</t>
        </is>
      </c>
      <c r="O474" s="3" t="inlineStr">
        <is>
          <t>MK-XS-F-122 n</t>
        </is>
      </c>
      <c r="P474" s="3" t="n">
        <v>1</v>
      </c>
      <c r="Q474" s="3" t="inlineStr">
        <is>
          <t>MK-XS-F-122 n</t>
        </is>
      </c>
      <c r="R474" s="3" t="inlineStr">
        <is>
          <t>MK-XS-F-122 n → MK-ST-F-021 toNumber</t>
        </is>
      </c>
      <c r="S474" s="3" t="inlineStr">
        <is>
          <t>—</t>
        </is>
      </c>
      <c r="T474" s="3" t="inlineStr">
        <is>
          <t>—</t>
        </is>
      </c>
      <c r="U474" s="3" t="inlineStr">
        <is>
          <t>ACTIVE</t>
        </is>
      </c>
      <c r="V474" s="3" t="inlineStr">
        <is>
          <t>2026-08-27</t>
        </is>
      </c>
      <c r="W474" s="3" t="n"/>
      <c r="X474" s="3" t="n"/>
      <c r="Y474" s="3" t="inlineStr">
        <is>
          <t>NOTHING OPEN</t>
        </is>
      </c>
    </row>
    <row r="475" ht="60" customHeight="1">
      <c r="A475" s="3" t="inlineStr">
        <is>
          <t>MK-ST-F-022</t>
        </is>
      </c>
      <c r="B475" s="3" t="inlineStr">
        <is>
          <t>reconcileAccountTotal</t>
        </is>
      </c>
      <c r="C475" s="3" t="inlineStr">
        <is>
          <t>Calculation Module code/engines/reconcile.ts</t>
        </is>
      </c>
      <c r="D475" s="3" t="n">
        <v>79</v>
      </c>
      <c r="E475" s="3" t="inlineStr">
        <is>
          <t>3 · DEPENDENT (feeds an action only)</t>
        </is>
      </c>
      <c r="F475" s="3" t="inlineStr">
        <is>
          <t>ASSERTION 1 — holdings + cash = the broker's stated total.</t>
        </is>
      </c>
      <c r="G475" s="11" t="inlineStr">
        <is>
          <t>stated = dec.parse(stated total) (or dec.ZERO when missing)
the answer = verdict(parts, stated, 'what the account holds and the broker\'s own total')</t>
        </is>
      </c>
      <c r="H475" s="3" t="inlineStr">
        <is>
          <t>Stated is dec.parse(stated total) (or dec.ZERO — when missing). The answer is verdict(parts, stated, 'what the account holds and the broker\'s own total').</t>
        </is>
      </c>
      <c r="I475" s="3" t="inlineStr">
        <is>
          <t>PARTLY READ — some of the code is still showing through; needs a hand pass</t>
        </is>
      </c>
      <c r="J475" s="3" t="inlineStr">
        <is>
          <t>Nothing is handed to it</t>
        </is>
      </c>
      <c r="K475" s="3" t="inlineStr">
        <is>
          <t>NOT DECLARED — the code does not say what it gives back</t>
        </is>
      </c>
      <c r="L475" s="3" t="inlineStr">
        <is>
          <t>—</t>
        </is>
      </c>
      <c r="M475" s="3" t="inlineStr">
        <is>
          <t>None found in this function — anything it assumes comes from the functions it depends on.</t>
        </is>
      </c>
      <c r="N475" s="3" t="inlineStr">
        <is>
          <t>No</t>
        </is>
      </c>
      <c r="O475" s="3" t="inlineStr">
        <is>
          <t>1. MK-CF-F-132 map
2. MK-ST-F-060 verdict</t>
        </is>
      </c>
      <c r="P475" s="3" t="n">
        <v>2</v>
      </c>
      <c r="Q475" s="3" t="inlineStr">
        <is>
          <t>1. MK-CF-F-132 map
2. MK-ST-F-060 verdict</t>
        </is>
      </c>
      <c r="R475" s="3" t="inlineStr">
        <is>
          <t>1. MK-CF-F-132 map → MK-ST-F-022 reconcileAccountTotal
2. MK-ST-F-060 verdict → MK-ST-F-022 reconcileAccountTotal</t>
        </is>
      </c>
      <c r="S475" s="3" t="inlineStr">
        <is>
          <t>—</t>
        </is>
      </c>
      <c r="T475" s="3" t="inlineStr">
        <is>
          <t>—</t>
        </is>
      </c>
      <c r="U475" s="3" t="inlineStr">
        <is>
          <t>ACTIVE</t>
        </is>
      </c>
      <c r="V475" s="3" t="inlineStr">
        <is>
          <t>2026-08-27</t>
        </is>
      </c>
      <c r="W475" s="3" t="n"/>
      <c r="X475" s="3" t="n"/>
      <c r="Y475" s="3" t="inlineStr">
        <is>
          <t>NOTHING OPEN</t>
        </is>
      </c>
    </row>
    <row r="476" ht="60" customHeight="1">
      <c r="A476" s="3" t="inlineStr">
        <is>
          <t>MK-ST-F-023</t>
        </is>
      </c>
      <c r="B476" s="3" t="inlineStr">
        <is>
          <t>reconcileLedgerIdentity</t>
        </is>
      </c>
      <c r="C476" s="3" t="inlineStr">
        <is>
          <t>Calculation Module code/engines/reconcile.ts</t>
        </is>
      </c>
      <c r="D476" s="3" t="n">
        <v>107</v>
      </c>
      <c r="E476" s="3" t="inlineStr">
        <is>
          <t>3 · DEPENDENT (feeds an action only)</t>
        </is>
      </c>
      <c r="F476" s="3" t="inlineStr">
        <is>
          <t>ASSERTION 2 — the accounting identity every statement satisfies, exactly.</t>
        </is>
      </c>
      <c r="G476" s="11" t="inlineStr">
        <is>
          <t>d = (v: unknown) =&gt; dec.parse(v) (or dec.ZERO when missing)
the answer = verdict(computed, D(ending), 'the change walk and the ending value')</t>
        </is>
      </c>
      <c r="H476" s="3" t="inlineStr">
        <is>
          <t>D is (v: unknown) =&gt; dec.parse(v) (or dec.ZERO — when missing). The answer is verdict(computed, D(ending), 'the change walk and the ending value').</t>
        </is>
      </c>
      <c r="I476" s="3" t="inlineStr">
        <is>
          <t>PARTLY READ — some of the code is still showing through; needs a hand pass</t>
        </is>
      </c>
      <c r="J476" s="3" t="inlineStr">
        <is>
          <t>Nothing is handed to it</t>
        </is>
      </c>
      <c r="K476" s="3" t="inlineStr">
        <is>
          <t>NOT DECLARED — the code does not say what it gives back</t>
        </is>
      </c>
      <c r="L476" s="3" t="inlineStr">
        <is>
          <t>—</t>
        </is>
      </c>
      <c r="M476" s="3" t="inlineStr">
        <is>
          <t>None found in this function — anything it assumes comes from the functions it depends on.</t>
        </is>
      </c>
      <c r="N476" s="3" t="inlineStr">
        <is>
          <t>No</t>
        </is>
      </c>
      <c r="O476" s="3" t="inlineStr">
        <is>
          <t>MK-ST-F-060 verdict</t>
        </is>
      </c>
      <c r="P476" s="3" t="n">
        <v>1</v>
      </c>
      <c r="Q476" s="3" t="inlineStr">
        <is>
          <t>MK-ST-F-060 verdict</t>
        </is>
      </c>
      <c r="R476" s="3" t="inlineStr">
        <is>
          <t>MK-ST-F-060 verdict → MK-ST-F-023 reconcileLedgerIdentity</t>
        </is>
      </c>
      <c r="S476" s="3" t="inlineStr">
        <is>
          <t>—</t>
        </is>
      </c>
      <c r="T476" s="3" t="inlineStr">
        <is>
          <t>—</t>
        </is>
      </c>
      <c r="U476" s="3" t="inlineStr">
        <is>
          <t>ACTIVE</t>
        </is>
      </c>
      <c r="V476" s="3" t="inlineStr">
        <is>
          <t>2026-08-27</t>
        </is>
      </c>
      <c r="W476" s="3" t="n"/>
      <c r="X476" s="3" t="n"/>
      <c r="Y476" s="3" t="inlineStr">
        <is>
          <t>NOTHING OPEN</t>
        </is>
      </c>
    </row>
    <row r="477" ht="60" customHeight="1">
      <c r="A477" s="3" t="inlineStr">
        <is>
          <t>MK-ST-F-024</t>
        </is>
      </c>
      <c r="B477" s="3" t="inlineStr">
        <is>
          <t>rmdStartAge</t>
        </is>
      </c>
      <c r="C477" s="3" t="inlineStr">
        <is>
          <t>Calculation Module code/engines/rmd.ts</t>
        </is>
      </c>
      <c r="D477" s="3" t="n">
        <v>55</v>
      </c>
      <c r="E477" s="3" t="inlineStr">
        <is>
          <t>2 · DISPLAYED</t>
        </is>
      </c>
      <c r="F477" s="3" t="inlineStr">
        <is>
          <t>The age required withdrawals begin, by birth year.</t>
        </is>
      </c>
      <c r="G477" s="11" t="inlineStr">
        <is>
          <t>start age = 75   when born 1960 or later
            73   otherwise</t>
        </is>
      </c>
      <c r="H477" s="3" t="inlineStr">
        <is>
          <t>The age required withdrawals begin. Born 1960 or later, 75; everyone else, 73 — including birth years before 1951, whose real start age was 72 or 70 and a half. An unknown birth year silently answers 73 rather than refusing. Finding A36.</t>
        </is>
      </c>
      <c r="I477" s="3" t="inlineStr">
        <is>
          <t>READ BY HAND 2026-08-26 — checked line by line against the code</t>
        </is>
      </c>
      <c r="J477" s="3" t="inlineStr">
        <is>
          <t>birthYear?: number | null</t>
        </is>
      </c>
      <c r="K477" s="3" t="inlineStr">
        <is>
          <t>number</t>
        </is>
      </c>
      <c r="L477" s="3" t="inlineStr">
        <is>
          <t>1. "Everything taken out, as a share of your gross" — on the setup questions, which appear on more than one screen
2. "Operating expense /month" — on the setup questions, which appear on more than one screen
3. "Surplus by month" — on the setup questions, which appear on more than one screen
4. "Your contribution (per month)" — on the setup questions, which appear on more than one screen
5. "Your retirement outlook" — on the setup questions, which appear on more than one screen</t>
        </is>
      </c>
      <c r="M477" s="3" t="inlineStr">
        <is>
          <t>· When the birth year is missing the start age is taken as 73 — the rule for those born 1951–1959, the middle of the 55–70 audience (A36). The whole schedule is coded: 70½ before 1949, 72 for 1949–1950, 73 for 1951–1959, 75 from 1960.</t>
        </is>
      </c>
      <c r="N477" s="3" t="inlineStr">
        <is>
          <t>Yes</t>
        </is>
      </c>
      <c r="O477" s="3" t="inlineStr">
        <is>
          <t>MK-ST-F-056 has</t>
        </is>
      </c>
      <c r="P477" s="3" t="n">
        <v>1</v>
      </c>
      <c r="Q477" s="3" t="inlineStr">
        <is>
          <t>MK-ST-F-056 has</t>
        </is>
      </c>
      <c r="R477" s="3" t="inlineStr">
        <is>
          <t>MK-ST-F-056 has → MK-ST-F-024 rmdStartAge</t>
        </is>
      </c>
      <c r="S477" s="3" t="inlineStr">
        <is>
          <t>—</t>
        </is>
      </c>
      <c r="T477" s="3" t="inlineStr">
        <is>
          <t>—</t>
        </is>
      </c>
      <c r="U477" s="3" t="inlineStr">
        <is>
          <t>ACTIVE</t>
        </is>
      </c>
      <c r="V477" s="3" t="inlineStr">
        <is>
          <t>2026-08-27</t>
        </is>
      </c>
      <c r="W477" s="3" t="n"/>
      <c r="X477" s="3" t="n"/>
      <c r="Y477" s="3" t="inlineStr">
        <is>
          <t>NOTHING OPEN</t>
        </is>
      </c>
    </row>
    <row r="478" ht="60" customHeight="1">
      <c r="A478" s="3" t="inlineStr">
        <is>
          <t>MK-ST-F-025</t>
        </is>
      </c>
      <c r="B478" s="3" t="inlineStr">
        <is>
          <t>rmdStartAgeFromAge</t>
        </is>
      </c>
      <c r="C478" s="3" t="inlineStr">
        <is>
          <t>Calculation Module code/engines/rmd.ts</t>
        </is>
      </c>
      <c r="D478" s="3" t="n">
        <v>94</v>
      </c>
      <c r="E478" s="3" t="inlineStr">
        <is>
          <t>3 · DEPENDENT</t>
        </is>
      </c>
      <c r="F478" s="3" t="inlineStr">
        <is>
          <t>The same rule when only an age is known (birth year ≈ this year − age; ±1 year of precision, which is what an age-only caller has).</t>
        </is>
      </c>
      <c r="G478" s="11" t="inlineStr">
        <is>
          <t>rmd start age(now year − age)</t>
        </is>
      </c>
      <c r="H478" s="3" t="inlineStr">
        <is>
          <t>rmd start age(now year minus age).</t>
        </is>
      </c>
      <c r="I478" s="3" t="inlineStr">
        <is>
          <t>READ FROM THE CODE — rendered from the expressions the function runs</t>
        </is>
      </c>
      <c r="J478" s="3" t="inlineStr">
        <is>
          <t>1. age: number
2. nowYear: number</t>
        </is>
      </c>
      <c r="K478" s="3" t="inlineStr">
        <is>
          <t>number</t>
        </is>
      </c>
      <c r="L478" s="3" t="inlineStr">
        <is>
          <t>—</t>
        </is>
      </c>
      <c r="M478" s="3" t="inlineStr">
        <is>
          <t>None found in this function — anything it assumes comes from the functions it depends on.</t>
        </is>
      </c>
      <c r="N478" s="3" t="inlineStr">
        <is>
          <t>Yes</t>
        </is>
      </c>
      <c r="O478" s="3" t="inlineStr">
        <is>
          <t>MK-ST-F-024 rmdStartAge</t>
        </is>
      </c>
      <c r="P478" s="3" t="n">
        <v>2</v>
      </c>
      <c r="Q478" s="3" t="inlineStr">
        <is>
          <t>1. MK-ST-F-024 rmdStartAge
2. MK-ST-F-056 has</t>
        </is>
      </c>
      <c r="R478" s="3" t="inlineStr">
        <is>
          <t>MK-ST-F-056 has → MK-ST-F-024 rmdStartAge → MK-ST-F-025 rmdStartAgeFromAge</t>
        </is>
      </c>
      <c r="S478" s="3" t="inlineStr">
        <is>
          <t>—</t>
        </is>
      </c>
      <c r="T478" s="3" t="inlineStr">
        <is>
          <t>—</t>
        </is>
      </c>
      <c r="U478" s="3" t="inlineStr">
        <is>
          <t>ACTIVE</t>
        </is>
      </c>
      <c r="V478" s="3" t="inlineStr">
        <is>
          <t>2026-08-27</t>
        </is>
      </c>
      <c r="W478" s="3" t="n"/>
      <c r="X478" s="3" t="n"/>
      <c r="Y478" s="3" t="inlineStr">
        <is>
          <t>NOTHING OPEN</t>
        </is>
      </c>
    </row>
    <row r="479" ht="60" customHeight="1">
      <c r="A479" s="3" t="inlineStr">
        <is>
          <t>MK-ST-F-026</t>
        </is>
      </c>
      <c r="B479" s="3" t="inlineStr">
        <is>
          <t>holdingId</t>
        </is>
      </c>
      <c r="C479" s="3" t="inlineStr">
        <is>
          <t>Calculation Module code/engines/snapshots.ts</t>
        </is>
      </c>
      <c r="D479" s="3" t="n">
        <v>81</v>
      </c>
      <c r="E479" s="3" t="inlineStr">
        <is>
          <t>1 · ACTION</t>
        </is>
      </c>
      <c r="F479" s="3" t="inlineStr">
        <is>
          <t>NOT DETERMINED — the code carries no note saying what this is for, and it has no row in the old inventory. Needs reading.</t>
        </is>
      </c>
      <c r="G479" s="11" t="inlineStr">
        <is>
          <t>the answer = date | account id | security key</t>
        </is>
      </c>
      <c r="H479" s="3" t="inlineStr">
        <is>
          <t>The identity of one holding snapshot: its date, account and security, joined with vertical bars. No arithmetic.</t>
        </is>
      </c>
      <c r="I479" s="3" t="inlineStr">
        <is>
          <t>READ BY HAND 2026-08-26 — checked line by line against the code</t>
        </is>
      </c>
      <c r="J479" s="3" t="inlineStr">
        <is>
          <t>s: Pick&lt;HoldingSnapshot, 'date' | 'accountId' | 'securityKey'&gt;</t>
        </is>
      </c>
      <c r="K479" s="3" t="inlineStr">
        <is>
          <t>string</t>
        </is>
      </c>
      <c r="L479" s="3" t="inlineStr">
        <is>
          <t>—</t>
        </is>
      </c>
      <c r="M479" s="3" t="inlineStr">
        <is>
          <t>None found in this function — anything it assumes comes from the functions it depends on.</t>
        </is>
      </c>
      <c r="N479" s="3" t="inlineStr">
        <is>
          <t>No</t>
        </is>
      </c>
      <c r="O479" s="3" t="inlineStr">
        <is>
          <t>—</t>
        </is>
      </c>
      <c r="P479" s="3" t="n">
        <v>0</v>
      </c>
      <c r="Q479" s="3" t="inlineStr">
        <is>
          <t>None — no dependent function stands behind it</t>
        </is>
      </c>
      <c r="R479" s="3" t="inlineStr">
        <is>
          <t>No dependent function — it reads its inputs and answers</t>
        </is>
      </c>
      <c r="S479" s="3" t="inlineStr">
        <is>
          <t>—</t>
        </is>
      </c>
      <c r="T479" s="3" t="inlineStr">
        <is>
          <t>—</t>
        </is>
      </c>
      <c r="U479" s="3" t="inlineStr">
        <is>
          <t>ACTIVE</t>
        </is>
      </c>
      <c r="V479" s="3" t="inlineStr">
        <is>
          <t>2026-09-12</t>
        </is>
      </c>
      <c r="W479" s="3" t="n"/>
      <c r="X479" s="3" t="n"/>
      <c r="Y479" s="3" t="inlineStr">
        <is>
          <t>NOTHING OPEN</t>
        </is>
      </c>
    </row>
    <row r="480" ht="60" customHeight="1">
      <c r="A480" s="3" t="inlineStr">
        <is>
          <t>MK-ST-F-027</t>
        </is>
      </c>
      <c r="B480" s="3" t="inlineStr">
        <is>
          <t>accountId</t>
        </is>
      </c>
      <c r="C480" s="3" t="inlineStr">
        <is>
          <t>Calculation Module code/engines/snapshots.ts</t>
        </is>
      </c>
      <c r="D480" s="3" t="n">
        <v>118</v>
      </c>
      <c r="E480" s="3" t="inlineStr">
        <is>
          <t>1 · ACTION</t>
        </is>
      </c>
      <c r="F480" s="3" t="inlineStr">
        <is>
          <t>NOT DETERMINED — the code carries no note saying what this is for, and it has no row in the old inventory. Needs reading.</t>
        </is>
      </c>
      <c r="G480" s="11" t="inlineStr">
        <is>
          <t>the answer = date | account id</t>
        </is>
      </c>
      <c r="H480" s="3" t="inlineStr">
        <is>
          <t>The identity of one account snapshot: its date and account, joined with a vertical bar. No arithmetic.</t>
        </is>
      </c>
      <c r="I480" s="3" t="inlineStr">
        <is>
          <t>READ BY HAND 2026-08-26 — checked line by line against the code</t>
        </is>
      </c>
      <c r="J480" s="3" t="inlineStr">
        <is>
          <t>s: Pick&lt;AccountSnapshot, 'date' | 'accountId'&gt;</t>
        </is>
      </c>
      <c r="K480" s="3" t="inlineStr">
        <is>
          <t>string</t>
        </is>
      </c>
      <c r="L480" s="3" t="inlineStr">
        <is>
          <t>—</t>
        </is>
      </c>
      <c r="M480" s="3" t="inlineStr">
        <is>
          <t>None found in this function — anything it assumes comes from the functions it depends on.</t>
        </is>
      </c>
      <c r="N480" s="3" t="inlineStr">
        <is>
          <t>No</t>
        </is>
      </c>
      <c r="O480" s="3" t="inlineStr">
        <is>
          <t>—</t>
        </is>
      </c>
      <c r="P480" s="3" t="n">
        <v>0</v>
      </c>
      <c r="Q480" s="3" t="inlineStr">
        <is>
          <t>None — no dependent function stands behind it</t>
        </is>
      </c>
      <c r="R480" s="3" t="inlineStr">
        <is>
          <t>No dependent function — it reads its inputs and answers</t>
        </is>
      </c>
      <c r="S480" s="3" t="inlineStr">
        <is>
          <t>—</t>
        </is>
      </c>
      <c r="T480" s="3" t="inlineStr">
        <is>
          <t>—</t>
        </is>
      </c>
      <c r="U480" s="3" t="inlineStr">
        <is>
          <t>ACTIVE</t>
        </is>
      </c>
      <c r="V480" s="3" t="inlineStr">
        <is>
          <t>2026-09-12</t>
        </is>
      </c>
      <c r="W480" s="3" t="n"/>
      <c r="X480" s="3" t="n"/>
      <c r="Y480" s="3" t="inlineStr">
        <is>
          <t>NOTHING OPEN</t>
        </is>
      </c>
    </row>
    <row r="481" ht="60" customHeight="1">
      <c r="A481" s="3" t="inlineStr">
        <is>
          <t>MK-ST-F-028</t>
        </is>
      </c>
      <c r="B481" s="3" t="inlineStr">
        <is>
          <t>buildDayFromAccounts</t>
        </is>
      </c>
      <c r="C481" s="3" t="inlineStr">
        <is>
          <t>Calculation Module code/engines/snapshots.ts</t>
        </is>
      </c>
      <c r="D481" s="3" t="n">
        <v>191</v>
      </c>
      <c r="E481" s="3" t="inlineStr">
        <is>
          <t>3 · DEPENDENT</t>
        </is>
      </c>
      <c r="F481" s="3" t="inlineStr">
        <is>
          <t>Today's SnapshotDay, observed from the live account state.</t>
        </is>
      </c>
      <c r="G481" s="11" t="inlineStr">
        <is>
          <t>holdings = []
accts = []
ps = positions (or none when missing)
units = Σ over lots (or none when missing) of (shares (or 0 when missing or zero))
basis = Σ over lots (or none when missing) of ((shares or 0) × (cost per share or 0))
the answer:
date = date
holdings = holdings
accounts = accts
origin = 'observed'
written at = written at</t>
        </is>
      </c>
      <c r="H481" s="3" t="inlineStr">
        <is>
          <t>Holdings is []. Accts is []. Ps is positions (or none — when missing). Units: the shares (or 0 — when missing or zero) added up across lots (or none — when missing). Basis: the (shares or 0) times (cost per share or 0) added up across lots (or none — when missing). The answer is date = date; holdings = holdings; accounts = accts; origin = 'observed'; written at = written at.</t>
        </is>
      </c>
      <c r="I481" s="3" t="inlineStr">
        <is>
          <t>READ FROM THE CODE — rendered from the expressions the function runs</t>
        </is>
      </c>
      <c r="J481" s="3" t="inlineStr">
        <is>
          <t>1. accounts: AccountLike[]
2. date: string
3. writtenAt: string</t>
        </is>
      </c>
      <c r="K481" s="3" t="inlineStr">
        <is>
          <t>SnapshotDay</t>
        </is>
      </c>
      <c r="L481" s="3" t="inlineStr">
        <is>
          <t>—</t>
        </is>
      </c>
      <c r="M481" s="3" t="inlineStr">
        <is>
          <t>1. If balance is missing it uses 0.
2. If shares is missing it counts as zero, so nothing recorded and a real zero look the same.
3. If cost per share is missing it counts as zero, so nothing recorded and a real zero look the same.
4. Uses a built-in d a i l y y e a r s of 2.</t>
        </is>
      </c>
      <c r="N481" s="3" t="inlineStr">
        <is>
          <t>Yes</t>
        </is>
      </c>
      <c r="O481" s="3" t="inlineStr">
        <is>
          <t>—</t>
        </is>
      </c>
      <c r="P481" s="3" t="n">
        <v>0</v>
      </c>
      <c r="Q481" s="3" t="inlineStr">
        <is>
          <t>None — no dependent function stands behind it</t>
        </is>
      </c>
      <c r="R481" s="3" t="inlineStr">
        <is>
          <t>No dependent function — it reads its inputs and answers</t>
        </is>
      </c>
      <c r="S481" s="3" t="inlineStr">
        <is>
          <t>—</t>
        </is>
      </c>
      <c r="T481" s="3" t="inlineStr">
        <is>
          <t>—</t>
        </is>
      </c>
      <c r="U481" s="3" t="inlineStr">
        <is>
          <t>ACTIVE</t>
        </is>
      </c>
      <c r="V481" s="3" t="inlineStr">
        <is>
          <t>2026-09-12</t>
        </is>
      </c>
      <c r="W481" s="3" t="n"/>
      <c r="X481" s="3" t="n"/>
      <c r="Y481" s="3" t="inlineStr">
        <is>
          <t>NOTHING OPEN</t>
        </is>
      </c>
    </row>
    <row r="482" ht="60" customHeight="1">
      <c r="A482" s="3" t="inlineStr">
        <is>
          <t>MK-ST-F-029</t>
        </is>
      </c>
      <c r="B482" s="3" t="inlineStr">
        <is>
          <t>prune</t>
        </is>
      </c>
      <c r="C482" s="3" t="inlineStr">
        <is>
          <t>Calculation Module code/engines/snapshots.ts</t>
        </is>
      </c>
      <c r="D482" s="3" t="n">
        <v>325</v>
      </c>
      <c r="E482" s="3" t="inlineStr">
        <is>
          <t>3 · DEPENDENT (feeds an action only)</t>
        </is>
      </c>
      <c r="F482" s="3" t="inlineStr">
        <is>
          <t>Which days survive.</t>
        </is>
      </c>
      <c r="G482" s="11" t="inlineStr">
        <is>
          <t>cutoff key = daily window start(today)
all = a list with no repeats of for each of days: date
the answer = days where date ≥ cutoff key (or is month end(date, all) when missing or zero)</t>
        </is>
      </c>
      <c r="H482" s="3" t="inlineStr">
        <is>
          <t>Cutoff key is daily window start(today). All is a list with no repeats of for each of days: date. The answer is days where date is at least cutoff key (or is month end(date, all) — when missing or zero).</t>
        </is>
      </c>
      <c r="I482" s="3" t="inlineStr">
        <is>
          <t>READ FROM THE CODE — rendered from the expressions the function runs</t>
        </is>
      </c>
      <c r="J482" s="3" t="inlineStr">
        <is>
          <t>1. days: SnapshotDay[]
2. today: string</t>
        </is>
      </c>
      <c r="K482" s="3" t="inlineStr">
        <is>
          <t>SnapshotDay[]</t>
        </is>
      </c>
      <c r="L482" s="3" t="inlineStr">
        <is>
          <t>—</t>
        </is>
      </c>
      <c r="M482" s="3" t="inlineStr">
        <is>
          <t>None found in this function — anything it assumes comes from the functions it depends on.</t>
        </is>
      </c>
      <c r="N482" s="3" t="inlineStr">
        <is>
          <t>No</t>
        </is>
      </c>
      <c r="O482" s="3" t="inlineStr">
        <is>
          <t>1. MK-ST-F-079 dailyWindowStart
2. MK-ST-F-061 isMonthEnd
3. MK-CF-F-132 map</t>
        </is>
      </c>
      <c r="P482" s="3" t="n">
        <v>4</v>
      </c>
      <c r="Q482" s="3" t="inlineStr">
        <is>
          <t>1. MK-ST-F-079 dailyWindowStart
2. MK-ST-F-061 isMonthEnd
3. MK-CF-F-132 map
4. MK-ST-F-056 has</t>
        </is>
      </c>
      <c r="R482" s="3" t="inlineStr">
        <is>
          <t>1. MK-ST-F-079 dailyWindowStart → MK-ST-F-029 prune
2. MK-ST-F-056 has → MK-ST-F-061 isMonthEnd → MK-ST-F-029 prune
3. MK-CF-F-132 map → MK-ST-F-061 isMonthEnd → MK-ST-F-029 prune
4. MK-CF-F-132 map → MK-ST-F-029 prune</t>
        </is>
      </c>
      <c r="S482" s="3" t="inlineStr">
        <is>
          <t>—</t>
        </is>
      </c>
      <c r="T482" s="3" t="inlineStr">
        <is>
          <t>—</t>
        </is>
      </c>
      <c r="U482" s="3" t="inlineStr">
        <is>
          <t>ACTIVE</t>
        </is>
      </c>
      <c r="V482" s="3" t="inlineStr">
        <is>
          <t>2026-10-03</t>
        </is>
      </c>
      <c r="W482" s="3" t="n"/>
      <c r="X482" s="3" t="n"/>
      <c r="Y482" s="3" t="inlineStr">
        <is>
          <t>NOTHING OPEN</t>
        </is>
      </c>
    </row>
    <row r="483" ht="45" customHeight="1">
      <c r="A483" s="3" t="inlineStr">
        <is>
          <t>MK-ST-F-030</t>
        </is>
      </c>
      <c r="B483" s="3" t="inlineStr">
        <is>
          <t>record</t>
        </is>
      </c>
      <c r="C483" s="3" t="inlineStr">
        <is>
          <t>Calculation Module code/engines/snapshots.ts</t>
        </is>
      </c>
      <c r="D483" s="3" t="n">
        <v>365</v>
      </c>
      <c r="E483" s="3" t="inlineStr">
        <is>
          <t>2 · DISPLAYED</t>
        </is>
      </c>
      <c r="F483" s="3" t="inlineStr">
        <is>
          <t>── writing ───────────────────────────────────────────────────────────────────────────────────── Add a day.</t>
        </is>
      </c>
      <c r="G483" s="11" t="inlineStr">
        <is>
          <t>rest = days where date ! = day.date
the answer = [...rest, day].sort((a, b) =&gt; date.locale compare(date))</t>
        </is>
      </c>
      <c r="H483" s="3" t="inlineStr">
        <is>
          <t>Rest is days where date ! = day.date. The answer is [...rest, day].sort((a, b) =&gt; date.locale compare(date)).</t>
        </is>
      </c>
      <c r="I483" s="3" t="inlineStr">
        <is>
          <t>PARTLY READ — some of the code is still showing through; needs a hand pass</t>
        </is>
      </c>
      <c r="J483" s="3" t="inlineStr">
        <is>
          <t>1. days: SnapshotDay[]
2. day: SnapshotDay</t>
        </is>
      </c>
      <c r="K483" s="3" t="inlineStr">
        <is>
          <t>SnapshotDay[]</t>
        </is>
      </c>
      <c r="L483" s="3" t="inlineStr">
        <is>
          <t>NOT FOUND — a screen calls it, but the words printed beside its answer could not be traced automatically. Needs reading.</t>
        </is>
      </c>
      <c r="M483" s="3" t="inlineStr">
        <is>
          <t>None found in this function — anything it assumes comes from the functions it depends on.</t>
        </is>
      </c>
      <c r="N483" s="3" t="inlineStr">
        <is>
          <t>Yes</t>
        </is>
      </c>
      <c r="O483" s="3" t="inlineStr">
        <is>
          <t>—</t>
        </is>
      </c>
      <c r="P483" s="3" t="n">
        <v>0</v>
      </c>
      <c r="Q483" s="3" t="inlineStr">
        <is>
          <t>None — no dependent function stands behind it</t>
        </is>
      </c>
      <c r="R483" s="3" t="inlineStr">
        <is>
          <t>No dependent function — it reads its inputs and answers</t>
        </is>
      </c>
      <c r="S483" s="3" t="inlineStr">
        <is>
          <t>—</t>
        </is>
      </c>
      <c r="T483" s="3" t="inlineStr">
        <is>
          <t>—</t>
        </is>
      </c>
      <c r="U483" s="3" t="inlineStr">
        <is>
          <t>ACTIVE</t>
        </is>
      </c>
      <c r="V483" s="3" t="inlineStr">
        <is>
          <t>2026-09-25</t>
        </is>
      </c>
      <c r="W483" s="3" t="n"/>
      <c r="X483" s="3" t="n"/>
      <c r="Y483" s="3" t="inlineStr">
        <is>
          <t>NOTHING OPEN</t>
        </is>
      </c>
    </row>
    <row r="484" ht="60" customHeight="1">
      <c r="A484" s="3" t="inlineStr">
        <is>
          <t>MK-ST-F-031</t>
        </is>
      </c>
      <c r="B484" s="3" t="inlineStr">
        <is>
          <t>valueOn</t>
        </is>
      </c>
      <c r="C484" s="3" t="inlineStr">
        <is>
          <t>Calculation Module code/engines/snapshots.ts</t>
        </is>
      </c>
      <c r="D484" s="3" t="n">
        <v>407</v>
      </c>
      <c r="E484" s="3" t="inlineStr">
        <is>
          <t>2 · DISPLAYED</t>
        </is>
      </c>
      <c r="F484" s="3" t="inlineStr">
        <is>
          <t>── reading ───────────────────────────────────────────────────────────────────────────────────── What one account was worth on a date — the figure the old code had to back-solve.</t>
        </is>
      </c>
      <c r="G484" s="11" t="inlineStr">
        <is>
          <t>day = on or before(days, date)
nothing   when day is missing
in set = (id: string) =&gt; account ids.size = 0 (or account ids.has(id) when missing or zero)
holdings = Σ over day.holdings where in set(account id) of (value)
cash = Σ over day.accounts where in set(account id) of (cash + (typed value ?? 0))
nothing   when !day.holdings.some((h) =&gt; in set(account id)) and !day.accounts.some((a) =&gt; in set(account id))
the answer = holdings + cash</t>
        </is>
      </c>
      <c r="H484" s="3" t="inlineStr">
        <is>
          <t>Day is on or before(days, date). When day is missing, it answers no answer. In set is (id: string) =&gt; account ids.size = 0 (or account ids.has(id) — when missing or zero). Holdings: the value added up across day.holdings where in set(account id). Cash: the cash plus (typed value ?? 0) added up across day.accounts where in set(account id). When !day.holdings.some((h) =&gt; in set(account id)) and !day.accounts.some((a) =&gt; in set(account id)), it answers no answer. The answer is holdings plus cash.</t>
        </is>
      </c>
      <c r="I484" s="3" t="inlineStr">
        <is>
          <t>PARTLY READ — some of the code is still showing through; needs a hand pass</t>
        </is>
      </c>
      <c r="J484" s="3" t="inlineStr">
        <is>
          <t>1. days: SnapshotDay[]
2. accountIds: Set&lt;string&gt;
3. date: string</t>
        </is>
      </c>
      <c r="K484" s="3" t="inlineStr">
        <is>
          <t>number | null</t>
        </is>
      </c>
      <c r="L484" s="3" t="inlineStr">
        <is>
          <t>NOT FOUND — a screen calls it, but the words printed beside its answer could not be traced automatically. Needs reading.</t>
        </is>
      </c>
      <c r="M484" s="3" t="inlineStr">
        <is>
          <t>· If typed value is missing it uses 0.</t>
        </is>
      </c>
      <c r="N484" s="3" t="inlineStr">
        <is>
          <t>Yes</t>
        </is>
      </c>
      <c r="O484" s="3" t="inlineStr">
        <is>
          <t>1. MK-ST-F-027 accountId
2. MK-CF-F-155 cash
3. MK-ST-F-056 has
4. MK-ST-F-033 onOrBefore</t>
        </is>
      </c>
      <c r="P484" s="3" t="n">
        <v>5</v>
      </c>
      <c r="Q484" s="3" t="inlineStr">
        <is>
          <t>1. MK-ST-F-027 accountId
2. MK-CF-F-155 cash
3. MK-ST-F-056 has
4. MK-ST-F-033 onOrBefore
5. MK-XS-F-122 n</t>
        </is>
      </c>
      <c r="R484" s="3" t="inlineStr">
        <is>
          <t>1. MK-ST-F-027 accountId → MK-ST-F-031 valueOn
2. MK-XS-F-122 n → MK-CF-F-155 cash → MK-ST-F-031 valueOn
3. MK-ST-F-056 has → MK-ST-F-031 valueOn
4. MK-ST-F-033 onOrBefore → MK-ST-F-031 valueOn</t>
        </is>
      </c>
      <c r="S484" s="3" t="inlineStr">
        <is>
          <t>MK-PF-M-001 · MK-PF-M-004</t>
        </is>
      </c>
      <c r="T484" s="3" t="inlineStr">
        <is>
          <t>—</t>
        </is>
      </c>
      <c r="U484" s="3" t="inlineStr">
        <is>
          <t>ACTIVE</t>
        </is>
      </c>
      <c r="V484" s="3" t="inlineStr">
        <is>
          <t>2026-09-09</t>
        </is>
      </c>
      <c r="W484" s="3" t="n"/>
      <c r="X484" s="3" t="n"/>
      <c r="Y484" s="3" t="inlineStr">
        <is>
          <t>NOTHING OPEN</t>
        </is>
      </c>
    </row>
    <row r="485" ht="60" customHeight="1">
      <c r="A485" s="3" t="inlineStr">
        <is>
          <t>MK-ST-F-032</t>
        </is>
      </c>
      <c r="B485" s="3" t="inlineStr">
        <is>
          <t>unitsOn</t>
        </is>
      </c>
      <c r="C485" s="3" t="inlineStr">
        <is>
          <t>Calculation Module code/engines/snapshots.ts</t>
        </is>
      </c>
      <c r="D485" s="3" t="n">
        <v>439</v>
      </c>
      <c r="E485" s="3" t="inlineStr">
        <is>
          <t>3 · DEPENDENT (feeds an action only)</t>
        </is>
      </c>
      <c r="F485" s="3" t="inlineStr">
        <is>
          <t>How many units of one holding were held on a date — what the trend chart needs and never had.</t>
        </is>
      </c>
      <c r="G485" s="11" t="inlineStr">
        <is>
          <t>day = on or before(days, date)
h = day.holdings.find((x) =&gt; account id = acc id and security key = security key)
the answer:
units   if h
nothing   otherwise</t>
        </is>
      </c>
      <c r="H485" s="3" t="inlineStr">
        <is>
          <t>Day is on or before(days, date). H is day.holdings.find((x) =&gt; account id = acc id and security key = security key). The answer is units — when h; no answer — otherwise.</t>
        </is>
      </c>
      <c r="I485" s="3" t="inlineStr">
        <is>
          <t>PARTLY READ — some of the code is still showing through; needs a hand pass</t>
        </is>
      </c>
      <c r="J485" s="3" t="inlineStr">
        <is>
          <t>1. days: SnapshotDay[]
2. accId: string
3. securityKey: string
4. date: string</t>
        </is>
      </c>
      <c r="K485" s="3" t="inlineStr">
        <is>
          <t>number | null</t>
        </is>
      </c>
      <c r="L485" s="3" t="inlineStr">
        <is>
          <t>—</t>
        </is>
      </c>
      <c r="M485" s="3" t="inlineStr">
        <is>
          <t>None found in this function — anything it assumes comes from the functions it depends on.</t>
        </is>
      </c>
      <c r="N485" s="3" t="inlineStr">
        <is>
          <t>No</t>
        </is>
      </c>
      <c r="O485" s="3" t="inlineStr">
        <is>
          <t>MK-ST-F-033 onOrBefore</t>
        </is>
      </c>
      <c r="P485" s="3" t="n">
        <v>1</v>
      </c>
      <c r="Q485" s="3" t="inlineStr">
        <is>
          <t>MK-ST-F-033 onOrBefore</t>
        </is>
      </c>
      <c r="R485" s="3" t="inlineStr">
        <is>
          <t>MK-ST-F-033 onOrBefore → MK-ST-F-032 unitsOn</t>
        </is>
      </c>
      <c r="S485" s="3" t="inlineStr">
        <is>
          <t>—</t>
        </is>
      </c>
      <c r="T485" s="3" t="inlineStr">
        <is>
          <t>—</t>
        </is>
      </c>
      <c r="U485" s="3" t="inlineStr">
        <is>
          <t>ACTIVE</t>
        </is>
      </c>
      <c r="V485" s="3" t="inlineStr">
        <is>
          <t>2026-08-27</t>
        </is>
      </c>
      <c r="W485" s="3" t="n"/>
      <c r="X485" s="3" t="n"/>
      <c r="Y485" s="3" t="inlineStr">
        <is>
          <t>NOTHING OPEN</t>
        </is>
      </c>
    </row>
    <row r="486" ht="60" customHeight="1">
      <c r="A486" s="3" t="inlineStr">
        <is>
          <t>MK-ST-F-033</t>
        </is>
      </c>
      <c r="B486" s="3" t="inlineStr">
        <is>
          <t>onOrBefore</t>
        </is>
      </c>
      <c r="C486" s="3" t="inlineStr">
        <is>
          <t>Calculation Module code/engines/snapshots.ts</t>
        </is>
      </c>
      <c r="D486" s="3" t="n">
        <v>470</v>
      </c>
      <c r="E486" s="3" t="inlineStr">
        <is>
          <t>3 · DEPENDENT</t>
        </is>
      </c>
      <c r="F486" s="3" t="inlineStr">
        <is>
          <t>The latest day at or before a date, or nothing when the record does not reach back that far.</t>
        </is>
      </c>
      <c r="G486" s="11" t="inlineStr">
        <is>
          <t>best = nothing
[LOOP — the answer is found inside a loop the extractor cannot render; the steps above are the ones before it. Read by hand.]</t>
        </is>
      </c>
      <c r="H486" s="3" t="inlineStr">
        <is>
          <t>Best is no answer. The answer is best. The answer is found inside a loop that cannot be rendered here; read the code by hand.</t>
        </is>
      </c>
      <c r="I486" s="3" t="inlineStr">
        <is>
          <t>PARTLY READ — the body has a loop the extractor cannot render; the steps shown are the ones before it. Needs a hand pass (G23).</t>
        </is>
      </c>
      <c r="J486" s="3" t="inlineStr">
        <is>
          <t>1. days: T[]
2. date: string</t>
        </is>
      </c>
      <c r="K486" s="3" t="inlineStr">
        <is>
          <t>T | null</t>
        </is>
      </c>
      <c r="L486" s="3" t="inlineStr">
        <is>
          <t>—</t>
        </is>
      </c>
      <c r="M486" s="3" t="inlineStr">
        <is>
          <t>None found in this function — anything it assumes comes from the functions it depends on.</t>
        </is>
      </c>
      <c r="N486" s="3" t="inlineStr">
        <is>
          <t>Yes</t>
        </is>
      </c>
      <c r="O486" s="3" t="inlineStr">
        <is>
          <t>—</t>
        </is>
      </c>
      <c r="P486" s="3" t="n">
        <v>0</v>
      </c>
      <c r="Q486" s="3" t="inlineStr">
        <is>
          <t>None — no dependent function stands behind it</t>
        </is>
      </c>
      <c r="R486" s="3" t="inlineStr">
        <is>
          <t>No dependent function — it reads its inputs and answers</t>
        </is>
      </c>
      <c r="S486" s="3" t="inlineStr">
        <is>
          <t>—</t>
        </is>
      </c>
      <c r="T486" s="3" t="inlineStr">
        <is>
          <t>—</t>
        </is>
      </c>
      <c r="U486" s="3" t="inlineStr">
        <is>
          <t>ACTIVE</t>
        </is>
      </c>
      <c r="V486" s="3" t="inlineStr">
        <is>
          <t>2026-09-08</t>
        </is>
      </c>
      <c r="W486" s="3" t="n"/>
      <c r="X486" s="3" t="n"/>
      <c r="Y486" s="3" t="inlineStr">
        <is>
          <t>NOTHING OPEN</t>
        </is>
      </c>
    </row>
    <row r="487" ht="60" customHeight="1">
      <c r="A487" s="3" t="inlineStr">
        <is>
          <t>MK-ST-F-034</t>
        </is>
      </c>
      <c r="B487" s="3" t="inlineStr">
        <is>
          <t>firstDate</t>
        </is>
      </c>
      <c r="C487" s="3" t="inlineStr">
        <is>
          <t>Calculation Module code/engines/snapshots.ts</t>
        </is>
      </c>
      <c r="D487" s="3" t="n">
        <v>507</v>
      </c>
      <c r="E487" s="3" t="inlineStr">
        <is>
          <t>3 · DEPENDENT</t>
        </is>
      </c>
      <c r="F487" s="3" t="inlineStr">
        <is>
          <t>The first date the record covers — so a change figure can say what it is measured FROM, rather than presenting a figure measured from install day as though it covered the year.</t>
        </is>
      </c>
      <c r="G487" s="11" t="inlineStr">
        <is>
          <t>days.reduce((a, b) =&gt; (date &lt; date ? a : b)).date   if count of days
nothing   otherwise</t>
        </is>
      </c>
      <c r="H487" s="3" t="inlineStr">
        <is>
          <t>days.reduce((a, b) =&gt; (date &lt; date ? a : b)).date — when how many days there are; no answer — otherwise.</t>
        </is>
      </c>
      <c r="I487" s="3" t="inlineStr">
        <is>
          <t>PARTLY READ — some of the code is still showing through; needs a hand pass</t>
        </is>
      </c>
      <c r="J487" s="3" t="inlineStr">
        <is>
          <t>days: T[]</t>
        </is>
      </c>
      <c r="K487" s="3" t="inlineStr">
        <is>
          <t>string | null</t>
        </is>
      </c>
      <c r="L487" s="3" t="inlineStr">
        <is>
          <t>—</t>
        </is>
      </c>
      <c r="M487" s="3" t="inlineStr">
        <is>
          <t>None found in this function — anything it assumes comes from the functions it depends on.</t>
        </is>
      </c>
      <c r="N487" s="3" t="inlineStr">
        <is>
          <t>Yes</t>
        </is>
      </c>
      <c r="O487" s="3" t="inlineStr">
        <is>
          <t>—</t>
        </is>
      </c>
      <c r="P487" s="3" t="n">
        <v>0</v>
      </c>
      <c r="Q487" s="3" t="inlineStr">
        <is>
          <t>None — no dependent function stands behind it</t>
        </is>
      </c>
      <c r="R487" s="3" t="inlineStr">
        <is>
          <t>No dependent function — it reads its inputs and answers</t>
        </is>
      </c>
      <c r="S487" s="3" t="inlineStr">
        <is>
          <t>—</t>
        </is>
      </c>
      <c r="T487" s="3" t="inlineStr">
        <is>
          <t>—</t>
        </is>
      </c>
      <c r="U487" s="3" t="inlineStr">
        <is>
          <t>ACTIVE</t>
        </is>
      </c>
      <c r="V487" s="3" t="inlineStr">
        <is>
          <t>2026-08-27</t>
        </is>
      </c>
      <c r="W487" s="3" t="n"/>
      <c r="X487" s="3" t="n"/>
      <c r="Y487" s="3" t="inlineStr">
        <is>
          <t>NOTHING OPEN</t>
        </is>
      </c>
    </row>
    <row r="488" ht="45" customHeight="1">
      <c r="A488" s="3" t="inlineStr">
        <is>
          <t>MK-ST-F-035</t>
        </is>
      </c>
      <c r="B488" s="3" t="inlineStr">
        <is>
          <t>covers</t>
        </is>
      </c>
      <c r="C488" s="3" t="inlineStr">
        <is>
          <t>Calculation Module code/engines/snapshots.ts</t>
        </is>
      </c>
      <c r="D488" s="3" t="n">
        <v>543</v>
      </c>
      <c r="E488" s="3" t="inlineStr">
        <is>
          <t>3 · DEPENDENT (feeds an action only)</t>
        </is>
      </c>
      <c r="F488" s="3" t="inlineStr">
        <is>
          <t>Does the record actually cover this window?</t>
        </is>
      </c>
      <c r="G488" s="11" t="inlineStr">
        <is>
          <t>f = first date(days)
the answer = f ≠ nothing and f ≤ from</t>
        </is>
      </c>
      <c r="H488" s="3" t="inlineStr">
        <is>
          <t>F is first date(days). The answer is f is not no answer and f is at most from.</t>
        </is>
      </c>
      <c r="I488" s="3" t="inlineStr">
        <is>
          <t>READ FROM THE CODE — rendered from the expressions the function runs</t>
        </is>
      </c>
      <c r="J488" s="3" t="inlineStr">
        <is>
          <t>1. days: SnapshotDay[]
2. from: string</t>
        </is>
      </c>
      <c r="K488" s="3" t="inlineStr">
        <is>
          <t>boolean</t>
        </is>
      </c>
      <c r="L488" s="3" t="inlineStr">
        <is>
          <t>—</t>
        </is>
      </c>
      <c r="M488" s="3" t="inlineStr">
        <is>
          <t>None found in this function — anything it assumes comes from the functions it depends on.</t>
        </is>
      </c>
      <c r="N488" s="3" t="inlineStr">
        <is>
          <t>No</t>
        </is>
      </c>
      <c r="O488" s="3" t="inlineStr">
        <is>
          <t>MK-ST-F-034 firstDate</t>
        </is>
      </c>
      <c r="P488" s="3" t="n">
        <v>1</v>
      </c>
      <c r="Q488" s="3" t="inlineStr">
        <is>
          <t>MK-ST-F-034 firstDate</t>
        </is>
      </c>
      <c r="R488" s="3" t="inlineStr">
        <is>
          <t>MK-ST-F-034 firstDate → MK-ST-F-035 covers</t>
        </is>
      </c>
      <c r="S488" s="3" t="inlineStr">
        <is>
          <t>—</t>
        </is>
      </c>
      <c r="T488" s="3" t="inlineStr">
        <is>
          <t>—</t>
        </is>
      </c>
      <c r="U488" s="3" t="inlineStr">
        <is>
          <t>ACTIVE</t>
        </is>
      </c>
      <c r="V488" s="3" t="inlineStr">
        <is>
          <t>2026-08-27</t>
        </is>
      </c>
      <c r="W488" s="3" t="n"/>
      <c r="X488" s="3" t="n"/>
      <c r="Y488" s="3" t="inlineStr">
        <is>
          <t>NOTHING OPEN</t>
        </is>
      </c>
    </row>
    <row r="489" ht="60" customHeight="1">
      <c r="A489" s="3" t="inlineStr">
        <is>
          <t>MK-ST-F-036</t>
        </is>
      </c>
      <c r="B489" s="3" t="inlineStr">
        <is>
          <t>reconcile</t>
        </is>
      </c>
      <c r="C489" s="3" t="inlineStr">
        <is>
          <t>Calculation Module code/engines/snapshots.ts</t>
        </is>
      </c>
      <c r="D489" s="3" t="n">
        <v>587</v>
      </c>
      <c r="E489" s="3" t="inlineStr">
        <is>
          <t>3 · DEPENDENT (feeds an action only)</t>
        </is>
      </c>
      <c r="F489" s="3" t="inlineStr">
        <is>
          <t>── the outside check ─────────────────────────────────────────────────────────────────────────── Our figure against the broker's own stated total.</t>
        </is>
      </c>
      <c r="G489" s="11" t="inlineStr">
        <is>
          <t>theirs = day.accounts.find((a) =&gt; account id = acc id).stated total (or nothing when missing)
the answer:
ours = ours
theirs = theirs
difference = nothing   if theirs = nothing
ours − theirs   otherwise</t>
        </is>
      </c>
      <c r="H489" s="3" t="inlineStr">
        <is>
          <t>Theirs is day.accounts.find((a) =&gt; account id = acc id).stated total (or no answer — when missing). The answer is ours = ours; theirs = theirs; difference is missing — when theirs is missing; ours minus theirs — otherwise.</t>
        </is>
      </c>
      <c r="I489" s="3" t="inlineStr">
        <is>
          <t>PARTLY READ — some of the code is still showing through; needs a hand pass</t>
        </is>
      </c>
      <c r="J489" s="3" t="inlineStr">
        <is>
          <t>1. day: SnapshotDay
2. accId: string</t>
        </is>
      </c>
      <c r="K489" s="3" t="inlineStr">
        <is>
          <t>NOT DECLARED — the code does not say what it gives back</t>
        </is>
      </c>
      <c r="L489" s="3" t="inlineStr">
        <is>
          <t>—</t>
        </is>
      </c>
      <c r="M489" s="3" t="inlineStr">
        <is>
          <t>· If cash is missing it uses 0.</t>
        </is>
      </c>
      <c r="N489" s="3" t="inlineStr">
        <is>
          <t>No</t>
        </is>
      </c>
      <c r="O489" s="3" t="inlineStr">
        <is>
          <t>—</t>
        </is>
      </c>
      <c r="P489" s="3" t="n">
        <v>0</v>
      </c>
      <c r="Q489" s="3" t="inlineStr">
        <is>
          <t>None — no dependent function stands behind it</t>
        </is>
      </c>
      <c r="R489" s="3" t="inlineStr">
        <is>
          <t>No dependent function — it reads its inputs and answers</t>
        </is>
      </c>
      <c r="S489" s="3" t="inlineStr">
        <is>
          <t>—</t>
        </is>
      </c>
      <c r="T489" s="3" t="inlineStr">
        <is>
          <t>—</t>
        </is>
      </c>
      <c r="U489" s="3" t="inlineStr">
        <is>
          <t>ACTIVE</t>
        </is>
      </c>
      <c r="V489" s="3" t="inlineStr">
        <is>
          <t>2026-09-09</t>
        </is>
      </c>
      <c r="W489" s="3" t="n"/>
      <c r="X489" s="3" t="n"/>
      <c r="Y489" s="3" t="inlineStr">
        <is>
          <t>NOTHING OPEN</t>
        </is>
      </c>
    </row>
    <row r="490" ht="60" customHeight="1">
      <c r="A490" s="3" t="inlineStr">
        <is>
          <t>MK-ST-F-037</t>
        </is>
      </c>
      <c r="B490" s="3" t="inlineStr">
        <is>
          <t>pendingUpload</t>
        </is>
      </c>
      <c r="C490" s="3" t="inlineStr">
        <is>
          <t>Calculation Module code/engines/snapshots.ts</t>
        </is>
      </c>
      <c r="D490" s="3" t="n">
        <v>615</v>
      </c>
      <c r="E490" s="3" t="inlineStr">
        <is>
          <t>3 · DEPENDENT (feeds an action only)</t>
        </is>
      </c>
      <c r="F490" s="3" t="inlineStr">
        <is>
          <t>── the later cloud sync ──────────────────────────────────────────────────────────────────────── Everything not yet uploaded, oldest first.</t>
        </is>
      </c>
      <c r="G490" s="11" t="inlineStr">
        <is>
          <t>days where last uploaded is missing (or date &gt; last uploaded when missing or zero)</t>
        </is>
      </c>
      <c r="H490" s="3" t="inlineStr">
        <is>
          <t>days where last uploaded is missing (or date &gt; last uploaded — when missing or zero).</t>
        </is>
      </c>
      <c r="I490" s="3" t="inlineStr">
        <is>
          <t>READ FROM THE CODE — rendered from the expressions the function runs</t>
        </is>
      </c>
      <c r="J490" s="3" t="inlineStr">
        <is>
          <t>1. days: SnapshotDay[]
2. lastUploaded: string | null</t>
        </is>
      </c>
      <c r="K490" s="3" t="inlineStr">
        <is>
          <t>SnapshotDay[]</t>
        </is>
      </c>
      <c r="L490" s="3" t="inlineStr">
        <is>
          <t>—</t>
        </is>
      </c>
      <c r="M490" s="3" t="inlineStr">
        <is>
          <t>None found in this function — anything it assumes comes from the functions it depends on.</t>
        </is>
      </c>
      <c r="N490" s="3" t="inlineStr">
        <is>
          <t>No</t>
        </is>
      </c>
      <c r="O490" s="3" t="inlineStr">
        <is>
          <t>—</t>
        </is>
      </c>
      <c r="P490" s="3" t="n">
        <v>0</v>
      </c>
      <c r="Q490" s="3" t="inlineStr">
        <is>
          <t>None — no dependent function stands behind it</t>
        </is>
      </c>
      <c r="R490" s="3" t="inlineStr">
        <is>
          <t>No dependent function — it reads its inputs and answers</t>
        </is>
      </c>
      <c r="S490" s="3" t="inlineStr">
        <is>
          <t>—</t>
        </is>
      </c>
      <c r="T490" s="3" t="inlineStr">
        <is>
          <t>—</t>
        </is>
      </c>
      <c r="U490" s="3" t="inlineStr">
        <is>
          <t>ACTIVE</t>
        </is>
      </c>
      <c r="V490" s="3" t="inlineStr">
        <is>
          <t>2026-08-27</t>
        </is>
      </c>
      <c r="W490" s="3" t="n"/>
      <c r="X490" s="3" t="n"/>
      <c r="Y490" s="3" t="inlineStr">
        <is>
          <t>NOTHING OPEN</t>
        </is>
      </c>
    </row>
    <row r="491" ht="60" customHeight="1">
      <c r="A491" s="3" t="inlineStr">
        <is>
          <t>MK-ST-F-038</t>
        </is>
      </c>
      <c r="B491" s="3" t="inlineStr">
        <is>
          <t>windowBounds</t>
        </is>
      </c>
      <c r="C491" s="3" t="inlineStr">
        <is>
          <t>Calculation Module code/engines/window-return.ts</t>
        </is>
      </c>
      <c r="D491" s="3" t="n">
        <v>109</v>
      </c>
      <c r="E491" s="3" t="inlineStr">
        <is>
          <t>2 · DISPLAYED</t>
        </is>
      </c>
      <c r="F491" s="3" t="inlineStr">
        <is>
          <t>NOT DETERMINED — the code carries no note saying what this is for, and it has no row in the old inventory. Needs reading.</t>
        </is>
      </c>
      <c r="G491" s="11" t="inlineStr">
        <is>
          <t>beginning as of = the day before the start
days = round((end − start) in days) + 1</t>
        </is>
      </c>
      <c r="H491" s="3" t="inlineStr">
        <is>
          <t>The bounds of a return window: the beginning value is read on the day BEFORE the start, and the window's length counts both boundary days (brief D3, 2026-08-20).</t>
        </is>
      </c>
      <c r="I491" s="3" t="inlineStr">
        <is>
          <t>READ BY HAND 2026-08-26 — checked line by line against the code</t>
        </is>
      </c>
      <c r="J491" s="3" t="inlineStr">
        <is>
          <t>1. start: string
2. end: string</t>
        </is>
      </c>
      <c r="K491" s="3" t="inlineStr">
        <is>
          <t>WindowBounds</t>
        </is>
      </c>
      <c r="L491" s="3" t="inlineStr">
        <is>
          <t>NOT FOUND — a screen calls it, but the words printed beside its answer could not be traced automatically. Needs reading.</t>
        </is>
      </c>
      <c r="M491" s="3" t="inlineStr">
        <is>
          <t>· Rounds the answer to a whole number.</t>
        </is>
      </c>
      <c r="N491" s="3" t="inlineStr">
        <is>
          <t>Yes</t>
        </is>
      </c>
      <c r="O491" s="3" t="inlineStr">
        <is>
          <t>1. MK-ST-F-063 shiftDay
2. MK-ST-F-062 toUtc</t>
        </is>
      </c>
      <c r="P491" s="3" t="n">
        <v>2</v>
      </c>
      <c r="Q491" s="3" t="inlineStr">
        <is>
          <t>1. MK-ST-F-063 shiftDay
2. MK-ST-F-062 toUtc</t>
        </is>
      </c>
      <c r="R491" s="3" t="inlineStr">
        <is>
          <t>1. MK-ST-F-062 toUtc → MK-ST-F-063 shiftDay → MK-ST-F-038 windowBounds
2. MK-ST-F-062 toUtc → MK-ST-F-038 windowBounds</t>
        </is>
      </c>
      <c r="S491" s="3" t="inlineStr">
        <is>
          <t>—</t>
        </is>
      </c>
      <c r="T491" s="3" t="inlineStr">
        <is>
          <t>—</t>
        </is>
      </c>
      <c r="U491" s="3" t="inlineStr">
        <is>
          <t>ACTIVE</t>
        </is>
      </c>
      <c r="V491" s="3" t="inlineStr">
        <is>
          <t>2026-09-12</t>
        </is>
      </c>
      <c r="W491" s="3" t="n"/>
      <c r="X491" s="3" t="n"/>
      <c r="Y491" s="3" t="inlineStr">
        <is>
          <t>NOTHING OPEN</t>
        </is>
      </c>
    </row>
    <row r="492" ht="60" customHeight="1">
      <c r="A492" s="3" t="inlineStr">
        <is>
          <t>MK-ST-F-039</t>
        </is>
      </c>
      <c r="B492" s="3" t="inlineStr">
        <is>
          <t>on</t>
        </is>
      </c>
      <c r="C492" s="3" t="inlineStr">
        <is>
          <t>src/domain/_shared/eventBus.ts</t>
        </is>
      </c>
      <c r="D492" s="3" t="n">
        <v>41</v>
      </c>
      <c r="E492" s="3" t="inlineStr">
        <is>
          <t>2 · DISPLAYED</t>
        </is>
      </c>
      <c r="F492" s="3" t="inlineStr">
        <is>
          <t>NOT DETERMINED — the code carries no note saying what this is for, and it has no row in the old inventory. Needs reading.</t>
        </is>
      </c>
      <c r="G492" s="11" t="inlineStr">
        <is>
          <t>() =&gt; handlers[event type].delete(handler as handler)</t>
        </is>
      </c>
      <c r="H492" s="3" t="inlineStr">
        <is>
          <t>() =&gt; handlers[event type].delete(handler as handler).</t>
        </is>
      </c>
      <c r="I492" s="3" t="inlineStr">
        <is>
          <t>PARTLY READ — some of the code is still showing through; needs a hand pass</t>
        </is>
      </c>
      <c r="J492" s="3" t="inlineStr">
        <is>
          <t>1. eventType: string
2. handler: Handler&lt;T&gt;</t>
        </is>
      </c>
      <c r="K492" s="3" t="inlineStr">
        <is>
          <t>()</t>
        </is>
      </c>
      <c r="L492" s="3" t="inlineStr">
        <is>
          <t>NOT FOUND — a screen calls it, but the words printed beside its answer could not be traced automatically. Needs reading.</t>
        </is>
      </c>
      <c r="M492" s="3" t="inlineStr">
        <is>
          <t>None found in this function — anything it assumes comes from the functions it depends on.</t>
        </is>
      </c>
      <c r="N492" s="3" t="inlineStr">
        <is>
          <t>Yes</t>
        </is>
      </c>
      <c r="O492" s="3" t="inlineStr">
        <is>
          <t>—</t>
        </is>
      </c>
      <c r="P492" s="3" t="n">
        <v>0</v>
      </c>
      <c r="Q492" s="3" t="inlineStr">
        <is>
          <t>None — no dependent function stands behind it</t>
        </is>
      </c>
      <c r="R492" s="3" t="inlineStr">
        <is>
          <t>No dependent function — it reads its inputs and answers</t>
        </is>
      </c>
      <c r="S492" s="3" t="inlineStr">
        <is>
          <t>—</t>
        </is>
      </c>
      <c r="T492" s="3" t="inlineStr">
        <is>
          <t>—</t>
        </is>
      </c>
      <c r="U492" s="3" t="inlineStr">
        <is>
          <t>ACTIVE</t>
        </is>
      </c>
      <c r="V492" s="3" t="inlineStr">
        <is>
          <t>2026-08-27</t>
        </is>
      </c>
      <c r="W492" s="3" t="n"/>
      <c r="X492" s="3" t="n"/>
      <c r="Y492" s="3" t="inlineStr">
        <is>
          <t>NOTHING OPEN</t>
        </is>
      </c>
    </row>
    <row r="493" ht="60" customHeight="1">
      <c r="A493" s="3" t="inlineStr">
        <is>
          <t>MK-ST-F-040</t>
        </is>
      </c>
      <c r="B493" s="3" t="inlineStr">
        <is>
          <t>emit</t>
        </is>
      </c>
      <c r="C493" s="3" t="inlineStr">
        <is>
          <t>src/domain/_shared/eventBus.ts</t>
        </is>
      </c>
      <c r="D493" s="3" t="n">
        <v>68</v>
      </c>
      <c r="E493" s="3" t="inlineStr">
        <is>
          <t>1 · ACTION</t>
        </is>
      </c>
      <c r="F493" s="3" t="inlineStr">
        <is>
          <t>NOT DETERMINED — the code carries no note saying what this is for, and it has no row in the old inventory. Needs reading.</t>
        </is>
      </c>
      <c r="G493" s="11" t="inlineStr">
        <is>
          <t>It records or announces something and returns no figure — no arithmetic of its own.</t>
        </is>
      </c>
      <c r="H493" s="3" t="inlineStr">
        <is>
          <t>It records or announces something and returns no figure — no arithmetic of its own.</t>
        </is>
      </c>
      <c r="I493" s="3" t="inlineStr">
        <is>
          <t>NO ARITHMETIC — there is no formula to state</t>
        </is>
      </c>
      <c r="J493" s="3" t="inlineStr">
        <is>
          <t>1. eventType: string
2. payload: T</t>
        </is>
      </c>
      <c r="K493" s="3" t="inlineStr">
        <is>
          <t>void</t>
        </is>
      </c>
      <c r="L493" s="3" t="inlineStr">
        <is>
          <t>—</t>
        </is>
      </c>
      <c r="M493" s="3" t="inlineStr">
        <is>
          <t>None found in this function — anything it assumes comes from the functions it depends on.</t>
        </is>
      </c>
      <c r="N493" s="3" t="inlineStr">
        <is>
          <t>Yes</t>
        </is>
      </c>
      <c r="O493" s="3" t="inlineStr">
        <is>
          <t>—</t>
        </is>
      </c>
      <c r="P493" s="3" t="n">
        <v>0</v>
      </c>
      <c r="Q493" s="3" t="inlineStr">
        <is>
          <t>None — no dependent function stands behind it</t>
        </is>
      </c>
      <c r="R493" s="3" t="inlineStr">
        <is>
          <t>No dependent function — it reads its inputs and answers</t>
        </is>
      </c>
      <c r="S493" s="3" t="inlineStr">
        <is>
          <t>—</t>
        </is>
      </c>
      <c r="T493" s="3" t="inlineStr">
        <is>
          <t>—</t>
        </is>
      </c>
      <c r="U493" s="3" t="inlineStr">
        <is>
          <t>ACTIVE</t>
        </is>
      </c>
      <c r="V493" s="3" t="inlineStr">
        <is>
          <t>2026-08-27</t>
        </is>
      </c>
      <c r="W493" s="3" t="n"/>
      <c r="X493" s="3" t="n"/>
      <c r="Y493" s="3" t="inlineStr">
        <is>
          <t>NOTHING OPEN</t>
        </is>
      </c>
    </row>
    <row r="494" ht="60" customHeight="1">
      <c r="A494" s="3" t="inlineStr">
        <is>
          <t>MK-ST-F-041</t>
        </is>
      </c>
      <c r="B494" s="3" t="inlineStr">
        <is>
          <t>getUserDoc</t>
        </is>
      </c>
      <c r="C494" s="3" t="inlineStr">
        <is>
          <t>src/domain/_shared/firestore.ts</t>
        </is>
      </c>
      <c r="D494" s="3" t="n">
        <v>27</v>
      </c>
      <c r="E494" s="3" t="inlineStr">
        <is>
          <t>4 · BRINGS DATA IN</t>
        </is>
      </c>
      <c r="F494" s="3" t="inlineStr">
        <is>
          <t>Read a single-document-per-user collection (e.g.</t>
        </is>
      </c>
      <c r="G494" s="11" t="inlineStr">
        <is>
          <t>snap = await get doc(doc(db, collection name, uid))
the answer:
snap.data() as T   if snap.exists()
nothing   otherwise</t>
        </is>
      </c>
      <c r="H494" s="3" t="inlineStr">
        <is>
          <t>Snap is await get doc(doc(db, collection name, uid)). The answer is snap.data() as T — when snap.exists(); no answer — otherwise.</t>
        </is>
      </c>
      <c r="I494" s="3" t="inlineStr">
        <is>
          <t>PARTLY READ — some of the code is still showing through; needs a hand pass</t>
        </is>
      </c>
      <c r="J494" s="3" t="inlineStr">
        <is>
          <t>1. collectionName: string
2. uid: UserId</t>
        </is>
      </c>
      <c r="K494" s="3" t="inlineStr">
        <is>
          <t>Promise&lt;T | null&gt;</t>
        </is>
      </c>
      <c r="L494" s="3" t="inlineStr">
        <is>
          <t>—</t>
        </is>
      </c>
      <c r="M494" s="3" t="inlineStr">
        <is>
          <t>None found in this function — anything it assumes comes from the functions it depends on.</t>
        </is>
      </c>
      <c r="N494" s="3" t="inlineStr">
        <is>
          <t>No</t>
        </is>
      </c>
      <c r="O494" s="3" t="inlineStr">
        <is>
          <t>MK-XS-F-175 uid</t>
        </is>
      </c>
      <c r="P494" s="3" t="n">
        <v>81</v>
      </c>
      <c r="Q494"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494" s="3" t="inlineStr">
        <is>
          <t>1. MK-ST-F-027 accountId → MK-XS-F-175 uid → MK-ST-F-041 getUserDoc
2. MK-CF-F-137 findPos → MK-CF-F-138 addLot → MK-CF-F-111 applyTransaction → MK-XS-F-175 uid → MK-ST-F-041 getUserDoc
3. MK-CF-F-132 map → MK-CF-F-138 addLot → MK-CF-F-111 applyTransaction → MK-XS-F-175 uid → MK-ST-F-041 getUserDoc
4. MK-ST-F-043 newEntityId → MK-CF-F-138 addLot → MK-CF-F-111 applyTransaction → MK-XS-F-175 uid → MK-ST-F-041 getUserDoc
5. MK-CF-F-134 usesSleeve → MK-CF-F-136 bumpCash → MK-CF-F-111 applyTransaction → MK-XS-F-175 uid → MK-ST-F-041 getUserDoc
6. MK-CF-F-137 findPos → MK-CF-F-111 applyTransaction → MK-XS-F-175 uid → MK-ST-F-041 getUserDoc
7. MK-CF-F-132 map → MK-CF-F-111 applyTransaction → MK-XS-F-175 uid → MK-ST-F-041 getUserDoc
8. MK-CF-F-137 findPos → MK-CF-F-139 removeShares → MK-CF-F-111 applyTransaction → MK-XS-F-175 uid → MK-ST-F-041 getUserDoc
9. … and 4 more paths</t>
        </is>
      </c>
      <c r="S494" s="3" t="inlineStr">
        <is>
          <t>—</t>
        </is>
      </c>
      <c r="T494" s="3" t="inlineStr">
        <is>
          <t>—</t>
        </is>
      </c>
      <c r="U494" s="3" t="inlineStr">
        <is>
          <t>ACTIVE</t>
        </is>
      </c>
      <c r="V494" s="3" t="inlineStr">
        <is>
          <t>2026-08-27</t>
        </is>
      </c>
      <c r="W494" s="3" t="n"/>
      <c r="X494" s="3" t="n"/>
      <c r="Y494" s="3" t="inlineStr">
        <is>
          <t>NOTHING OPEN</t>
        </is>
      </c>
    </row>
    <row r="495" ht="60" customHeight="1">
      <c r="A495" s="3" t="inlineStr">
        <is>
          <t>MK-ST-F-042</t>
        </is>
      </c>
      <c r="B495" s="3" t="inlineStr">
        <is>
          <t>setUserDoc</t>
        </is>
      </c>
      <c r="C495" s="3" t="inlineStr">
        <is>
          <t>src/domain/_shared/firestore.ts</t>
        </is>
      </c>
      <c r="D495" s="3" t="n">
        <v>55</v>
      </c>
      <c r="E495" s="3" t="inlineStr">
        <is>
          <t>1 · ACTION</t>
        </is>
      </c>
      <c r="F495" s="3" t="inlineStr">
        <is>
          <t>Write/merge a single-document-per-user collection, stamping last_updated.</t>
        </is>
      </c>
      <c r="G495" s="11" t="inlineStr">
        <is>
          <t>It reaches outside the app for data and hands back what came back — no arithmetic of its own.</t>
        </is>
      </c>
      <c r="H495" s="3" t="inlineStr">
        <is>
          <t>It reaches outside the app for data and hands back what came back — no arithmetic of its own.</t>
        </is>
      </c>
      <c r="I495" s="3" t="inlineStr">
        <is>
          <t>NO ARITHMETIC — there is no formula to state</t>
        </is>
      </c>
      <c r="J495" s="3" t="inlineStr">
        <is>
          <t>1. collectionName: string
2. uid: UserId
3. data: T</t>
        </is>
      </c>
      <c r="K495" s="3" t="inlineStr">
        <is>
          <t>Promise&lt;void&gt;</t>
        </is>
      </c>
      <c r="L495" s="3" t="inlineStr">
        <is>
          <t>—</t>
        </is>
      </c>
      <c r="M495" s="3" t="inlineStr">
        <is>
          <t>None found in this function — anything it assumes comes from the functions it depends on.</t>
        </is>
      </c>
      <c r="N495" s="3" t="inlineStr">
        <is>
          <t>Yes</t>
        </is>
      </c>
      <c r="O495" s="3" t="inlineStr">
        <is>
          <t>MK-XS-F-175 uid</t>
        </is>
      </c>
      <c r="P495" s="3" t="n">
        <v>81</v>
      </c>
      <c r="Q495"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495" s="3" t="inlineStr">
        <is>
          <t>1. MK-ST-F-027 accountId → MK-XS-F-175 uid → MK-ST-F-042 setUserDoc
2. MK-CF-F-137 findPos → MK-CF-F-138 addLot → MK-CF-F-111 applyTransaction → MK-XS-F-175 uid → MK-ST-F-042 setUserDoc
3. MK-CF-F-132 map → MK-CF-F-138 addLot → MK-CF-F-111 applyTransaction → MK-XS-F-175 uid → MK-ST-F-042 setUserDoc
4. MK-ST-F-043 newEntityId → MK-CF-F-138 addLot → MK-CF-F-111 applyTransaction → MK-XS-F-175 uid → MK-ST-F-042 setUserDoc
5. MK-CF-F-134 usesSleeve → MK-CF-F-136 bumpCash → MK-CF-F-111 applyTransaction → MK-XS-F-175 uid → MK-ST-F-042 setUserDoc
6. MK-CF-F-137 findPos → MK-CF-F-111 applyTransaction → MK-XS-F-175 uid → MK-ST-F-042 setUserDoc
7. MK-CF-F-132 map → MK-CF-F-111 applyTransaction → MK-XS-F-175 uid → MK-ST-F-042 setUserDoc
8. MK-CF-F-137 findPos → MK-CF-F-139 removeShares → MK-CF-F-111 applyTransaction → MK-XS-F-175 uid → MK-ST-F-042 setUserDoc
9. … and 4 more paths</t>
        </is>
      </c>
      <c r="S495" s="3" t="inlineStr">
        <is>
          <t>—</t>
        </is>
      </c>
      <c r="T495" s="3" t="inlineStr">
        <is>
          <t>—</t>
        </is>
      </c>
      <c r="U495" s="3" t="inlineStr">
        <is>
          <t>ACTIVE</t>
        </is>
      </c>
      <c r="V495" s="3" t="inlineStr">
        <is>
          <t>2026-08-27</t>
        </is>
      </c>
      <c r="W495" s="3" t="n"/>
      <c r="X495" s="3" t="n"/>
      <c r="Y495" s="3" t="inlineStr">
        <is>
          <t>NOTHING OPEN</t>
        </is>
      </c>
    </row>
    <row r="496" ht="45" customHeight="1">
      <c r="A496" s="3" t="inlineStr">
        <is>
          <t>MK-ST-F-043</t>
        </is>
      </c>
      <c r="B496" s="3" t="inlineStr">
        <is>
          <t>newEntityId</t>
        </is>
      </c>
      <c r="C496" s="3" t="inlineStr">
        <is>
          <t>src/domain/_shared/ids.ts</t>
        </is>
      </c>
      <c r="D496" s="3" t="n">
        <v>40</v>
      </c>
      <c r="E496" s="3" t="inlineStr">
        <is>
          <t>2 · DISPLAYED</t>
        </is>
      </c>
      <c r="F496" s="3" t="inlineStr">
        <is>
          <t>What do we call this new thing?</t>
        </is>
      </c>
      <c r="G496" s="11" t="inlineStr">
        <is>
          <t>`${prefix}_${date.now().to string(36)}${math.random().to string(36).slice(2, 8)}`</t>
        </is>
      </c>
      <c r="H496" s="3" t="inlineStr">
        <is>
          <t>`${prefix}_${date.now().to string(36)}${math.random().to string(36).slice(2, 8)}`.</t>
        </is>
      </c>
      <c r="I496" s="3" t="inlineStr">
        <is>
          <t>PARTLY READ — some of the code is still showing through; needs a hand pass</t>
        </is>
      </c>
      <c r="J496" s="3" t="inlineStr">
        <is>
          <t>prefix: string</t>
        </is>
      </c>
      <c r="K496" s="3" t="inlineStr">
        <is>
          <t>EntityId</t>
        </is>
      </c>
      <c r="L496" s="3" t="inlineStr">
        <is>
          <t>NOT FOUND — a screen calls it, but the words printed beside its answer could not be traced automatically. Needs reading.</t>
        </is>
      </c>
      <c r="M496" s="3" t="inlineStr">
        <is>
          <t>· Uses today's date from the device clock, so the answer changes by itself overnight.</t>
        </is>
      </c>
      <c r="N496" s="3" t="inlineStr">
        <is>
          <t>Yes</t>
        </is>
      </c>
      <c r="O496" s="3" t="inlineStr">
        <is>
          <t>—</t>
        </is>
      </c>
      <c r="P496" s="3" t="n">
        <v>0</v>
      </c>
      <c r="Q496" s="3" t="inlineStr">
        <is>
          <t>None — no dependent function stands behind it</t>
        </is>
      </c>
      <c r="R496" s="3" t="inlineStr">
        <is>
          <t>No dependent function — it reads its inputs and answers</t>
        </is>
      </c>
      <c r="S496" s="3" t="inlineStr">
        <is>
          <t>—</t>
        </is>
      </c>
      <c r="T496" s="3" t="inlineStr">
        <is>
          <t>NEW_ID</t>
        </is>
      </c>
      <c r="U496" s="3" t="inlineStr">
        <is>
          <t>ACTIVE</t>
        </is>
      </c>
      <c r="V496" s="3" t="inlineStr">
        <is>
          <t>2026-08-27</t>
        </is>
      </c>
      <c r="W496" s="3" t="n"/>
      <c r="X496" s="3" t="n"/>
      <c r="Y496" s="3" t="inlineStr">
        <is>
          <t>NOTHING OPEN</t>
        </is>
      </c>
    </row>
    <row r="497" ht="60" customHeight="1">
      <c r="A497" s="3" t="inlineStr">
        <is>
          <t>MK-ST-F-044</t>
        </is>
      </c>
      <c r="B497" s="3" t="inlineStr">
        <is>
          <t>setMoneyFormat</t>
        </is>
      </c>
      <c r="C497" s="3" t="inlineStr">
        <is>
          <t>src/domain/_shared/money.ts</t>
        </is>
      </c>
      <c r="D497" s="3" t="n">
        <v>56</v>
      </c>
      <c r="E497" s="3" t="inlineStr">
        <is>
          <t>1 · ACTION</t>
        </is>
      </c>
      <c r="F497" s="3" t="inlineStr">
        <is>
          <t>NOT DETERMINED — the code carries no note saying what this is for, and it has no row in the old inventory. Needs reading.</t>
        </is>
      </c>
      <c r="G497" s="11" t="inlineStr">
        <is>
          <t>c = CURRENCIES.find((x) =&gt; code = currency)</t>
        </is>
      </c>
      <c r="H497" s="3" t="inlineStr">
        <is>
          <t>C is CURRENCIES.find((x) =&gt; code = currency).</t>
        </is>
      </c>
      <c r="I497" s="3" t="inlineStr">
        <is>
          <t>PARTLY READ — some of the code is still showing through; needs a hand pass</t>
        </is>
      </c>
      <c r="J497" s="3" t="inlineStr">
        <is>
          <t>1. currency?: string | null
2. locale?: string | null</t>
        </is>
      </c>
      <c r="K497" s="3" t="inlineStr">
        <is>
          <t>NOT DECLARED — the code does not say what it gives back</t>
        </is>
      </c>
      <c r="L497" s="3" t="inlineStr">
        <is>
          <t>—</t>
        </is>
      </c>
      <c r="M497" s="3" t="inlineStr">
        <is>
          <t>None found in this function — anything it assumes comes from the functions it depends on.</t>
        </is>
      </c>
      <c r="N497" s="3" t="inlineStr">
        <is>
          <t>Yes</t>
        </is>
      </c>
      <c r="O497" s="3" t="inlineStr">
        <is>
          <t>1. MK-ST-F-053 money
2. MK-ST-F-055 round2</t>
        </is>
      </c>
      <c r="P497" s="3" t="n">
        <v>7</v>
      </c>
      <c r="Q497" s="3" t="inlineStr">
        <is>
          <t>1. MK-ST-F-053 money
2. MK-ST-F-055 round2
3. MK-ST-F-049 formatMoney
4. MK-XS-F-122 n
5. MK-ST-F-048 currencySymbol
6. MK-ST-F-039 on
7. MK-ST-F-047 activeCurrency</t>
        </is>
      </c>
      <c r="R497" s="3" t="inlineStr">
        <is>
          <t>1. MK-ST-F-047 activeCurrency → MK-ST-F-048 currencySymbol → MK-ST-F-049 formatMoney → MK-ST-F-053 money → MK-ST-F-044 setMoneyFormat
2. MK-XS-F-122 n → MK-ST-F-049 formatMoney → MK-ST-F-053 money → MK-ST-F-044 setMoneyFormat
3. MK-ST-F-039 on → MK-ST-F-049 formatMoney → MK-ST-F-053 money → MK-ST-F-044 setMoneyFormat
4. MK-XS-F-122 n → MK-ST-F-053 money → MK-ST-F-044 setMoneyFormat
5. MK-ST-F-055 round2 → MK-ST-F-044 setMoneyFormat</t>
        </is>
      </c>
      <c r="S497" s="3" t="inlineStr">
        <is>
          <t>—</t>
        </is>
      </c>
      <c r="T497" s="3" t="inlineStr">
        <is>
          <t>—</t>
        </is>
      </c>
      <c r="U497" s="3" t="inlineStr">
        <is>
          <t>ACTIVE</t>
        </is>
      </c>
      <c r="V497" s="3" t="inlineStr">
        <is>
          <t>2026-08-27</t>
        </is>
      </c>
      <c r="W497" s="3" t="n"/>
      <c r="X497" s="3" t="n"/>
      <c r="Y497" s="3" t="inlineStr">
        <is>
          <t>NOTHING OPEN</t>
        </is>
      </c>
    </row>
    <row r="498" ht="60" customHeight="1">
      <c r="A498" s="3" t="inlineStr">
        <is>
          <t>MK-ST-F-045</t>
        </is>
      </c>
      <c r="B498" s="3" t="inlineStr">
        <is>
          <t>setHideBalances</t>
        </is>
      </c>
      <c r="C498" s="3" t="inlineStr">
        <is>
          <t>src/domain/_shared/money.ts</t>
        </is>
      </c>
      <c r="D498" s="3" t="n">
        <v>88</v>
      </c>
      <c r="E498" s="3" t="inlineStr">
        <is>
          <t>1 · ACTION</t>
        </is>
      </c>
      <c r="F498" s="3" t="inlineStr">
        <is>
          <t>NOT DETERMINED — the code carries no note saying what this is for, and it has no row in the old inventory. Needs reading.</t>
        </is>
      </c>
      <c r="G498" s="11" t="inlineStr">
        <is>
          <t>It records or announces something and returns no figure — no arithmetic of its own.</t>
        </is>
      </c>
      <c r="H498" s="3" t="inlineStr">
        <is>
          <t>It records or announces something and returns no figure — no arithmetic of its own.</t>
        </is>
      </c>
      <c r="I498" s="3" t="inlineStr">
        <is>
          <t>NO ARITHMETIC — there is no formula to state</t>
        </is>
      </c>
      <c r="J498" s="3" t="inlineStr">
        <is>
          <t>b: boolean</t>
        </is>
      </c>
      <c r="K498" s="3" t="inlineStr">
        <is>
          <t>NOT DECLARED — the code does not say what it gives back</t>
        </is>
      </c>
      <c r="L498" s="3" t="inlineStr">
        <is>
          <t>—</t>
        </is>
      </c>
      <c r="M498" s="3" t="inlineStr">
        <is>
          <t>None found in this function — anything it assumes comes from the functions it depends on.</t>
        </is>
      </c>
      <c r="N498" s="3" t="inlineStr">
        <is>
          <t>Yes</t>
        </is>
      </c>
      <c r="O498" s="3" t="inlineStr">
        <is>
          <t>—</t>
        </is>
      </c>
      <c r="P498" s="3" t="n">
        <v>0</v>
      </c>
      <c r="Q498" s="3" t="inlineStr">
        <is>
          <t>None — no dependent function stands behind it</t>
        </is>
      </c>
      <c r="R498" s="3" t="inlineStr">
        <is>
          <t>No dependent function — it reads its inputs and answers</t>
        </is>
      </c>
      <c r="S498" s="3" t="inlineStr">
        <is>
          <t>—</t>
        </is>
      </c>
      <c r="T498" s="3" t="inlineStr">
        <is>
          <t>—</t>
        </is>
      </c>
      <c r="U498" s="3" t="inlineStr">
        <is>
          <t>ACTIVE</t>
        </is>
      </c>
      <c r="V498" s="3" t="inlineStr">
        <is>
          <t>2026-08-27</t>
        </is>
      </c>
      <c r="W498" s="3" t="n"/>
      <c r="X498" s="3" t="n"/>
      <c r="Y498" s="3" t="inlineStr">
        <is>
          <t>NOTHING OPEN</t>
        </is>
      </c>
    </row>
    <row r="499" ht="60" customHeight="1">
      <c r="A499" s="3" t="inlineStr">
        <is>
          <t>MK-ST-F-046</t>
        </is>
      </c>
      <c r="B499" s="3" t="inlineStr">
        <is>
          <t>balancesHidden</t>
        </is>
      </c>
      <c r="C499" s="3" t="inlineStr">
        <is>
          <t>src/domain/_shared/money.ts</t>
        </is>
      </c>
      <c r="D499" s="3" t="n">
        <v>104</v>
      </c>
      <c r="E499" s="3" t="inlineStr">
        <is>
          <t>3 · DEPENDENT (feeds an action only)</t>
        </is>
      </c>
      <c r="F499" s="3" t="inlineStr">
        <is>
          <t>NOT DETERMINED — the code carries no note saying what this is for, and it has no row in the old inventory. Needs reading.</t>
        </is>
      </c>
      <c r="G499" s="11" t="inlineStr">
        <is>
          <t>the answer = the hide-balances switch</t>
        </is>
      </c>
      <c r="H499" s="3" t="inlineStr">
        <is>
          <t>Whether the person has hidden balances on screen. No arithmetic.</t>
        </is>
      </c>
      <c r="I499" s="3" t="inlineStr">
        <is>
          <t>READ BY HAND 2026-08-26 — checked line by line against the code</t>
        </is>
      </c>
      <c r="J499" s="3" t="inlineStr">
        <is>
          <t>Nothing is handed to it</t>
        </is>
      </c>
      <c r="K499" s="3" t="inlineStr">
        <is>
          <t>boolean</t>
        </is>
      </c>
      <c r="L499" s="3" t="inlineStr">
        <is>
          <t>—</t>
        </is>
      </c>
      <c r="M499" s="3" t="inlineStr">
        <is>
          <t>None found in this function — anything it assumes comes from the functions it depends on.</t>
        </is>
      </c>
      <c r="N499" s="3" t="inlineStr">
        <is>
          <t>No</t>
        </is>
      </c>
      <c r="O499" s="3" t="inlineStr">
        <is>
          <t>—</t>
        </is>
      </c>
      <c r="P499" s="3" t="n">
        <v>0</v>
      </c>
      <c r="Q499" s="3" t="inlineStr">
        <is>
          <t>None — no dependent function stands behind it</t>
        </is>
      </c>
      <c r="R499" s="3" t="inlineStr">
        <is>
          <t>No dependent function — it reads its inputs and answers</t>
        </is>
      </c>
      <c r="S499" s="3" t="inlineStr">
        <is>
          <t>—</t>
        </is>
      </c>
      <c r="T499" s="3" t="inlineStr">
        <is>
          <t>—</t>
        </is>
      </c>
      <c r="U499" s="3" t="inlineStr">
        <is>
          <t>ACTIVE</t>
        </is>
      </c>
      <c r="V499" s="3" t="inlineStr">
        <is>
          <t>2026-09-12</t>
        </is>
      </c>
      <c r="W499" s="3" t="n"/>
      <c r="X499" s="3" t="n"/>
      <c r="Y499" s="3" t="inlineStr">
        <is>
          <t>NOTHING OPEN</t>
        </is>
      </c>
    </row>
    <row r="500" ht="45" customHeight="1">
      <c r="A500" s="3" t="inlineStr">
        <is>
          <t>MK-ST-F-047</t>
        </is>
      </c>
      <c r="B500" s="3" t="inlineStr">
        <is>
          <t>activeCurrency</t>
        </is>
      </c>
      <c r="C500" s="3" t="inlineStr">
        <is>
          <t>src/domain/_shared/money.ts</t>
        </is>
      </c>
      <c r="D500" s="3" t="n">
        <v>133</v>
      </c>
      <c r="E500" s="3" t="inlineStr">
        <is>
          <t>3 · DEPENDENT</t>
        </is>
      </c>
      <c r="F500" s="3" t="inlineStr">
        <is>
          <t>Which currency is the app showing?</t>
        </is>
      </c>
      <c r="G500" s="11" t="inlineStr">
        <is>
          <t>the first of CURRENCIES.find((c) =&gt; code = code) (or CURRENCIES when missing)</t>
        </is>
      </c>
      <c r="H500" s="3" t="inlineStr">
        <is>
          <t>the first of CURRENCIES.find((c) =&gt; code = code) (or CURRENCIES — when missing).</t>
        </is>
      </c>
      <c r="I500" s="3" t="inlineStr">
        <is>
          <t>PARTLY READ — some of the code is still showing through; needs a hand pass</t>
        </is>
      </c>
      <c r="J500" s="3" t="inlineStr">
        <is>
          <t>Nothing is handed to it</t>
        </is>
      </c>
      <c r="K500" s="3" t="inlineStr">
        <is>
          <t>Currency</t>
        </is>
      </c>
      <c r="L500" s="3" t="inlineStr">
        <is>
          <t>—</t>
        </is>
      </c>
      <c r="M500" s="3" t="inlineStr">
        <is>
          <t>None found in this function — anything it assumes comes from the functions it depends on.</t>
        </is>
      </c>
      <c r="N500" s="3" t="inlineStr">
        <is>
          <t>Yes</t>
        </is>
      </c>
      <c r="O500" s="3" t="inlineStr">
        <is>
          <t>—</t>
        </is>
      </c>
      <c r="P500" s="3" t="n">
        <v>0</v>
      </c>
      <c r="Q500" s="3" t="inlineStr">
        <is>
          <t>None — no dependent function stands behind it</t>
        </is>
      </c>
      <c r="R500" s="3" t="inlineStr">
        <is>
          <t>No dependent function — it reads its inputs and answers</t>
        </is>
      </c>
      <c r="S500" s="3" t="inlineStr">
        <is>
          <t>—</t>
        </is>
      </c>
      <c r="T500" s="3" t="inlineStr">
        <is>
          <t>CURRENCY</t>
        </is>
      </c>
      <c r="U500" s="3" t="inlineStr">
        <is>
          <t>ACTIVE</t>
        </is>
      </c>
      <c r="V500" s="3" t="inlineStr">
        <is>
          <t>2026-08-27</t>
        </is>
      </c>
      <c r="W500" s="3" t="n"/>
      <c r="X500" s="3" t="n"/>
      <c r="Y500" s="3" t="inlineStr">
        <is>
          <t>NOTHING OPEN</t>
        </is>
      </c>
    </row>
    <row r="501" ht="60" customHeight="1">
      <c r="A501" s="3" t="inlineStr">
        <is>
          <t>MK-ST-F-048</t>
        </is>
      </c>
      <c r="B501" s="3" t="inlineStr">
        <is>
          <t>currencySymbol</t>
        </is>
      </c>
      <c r="C501" s="3" t="inlineStr">
        <is>
          <t>src/domain/_shared/money.ts</t>
        </is>
      </c>
      <c r="D501" s="3" t="n">
        <v>164</v>
      </c>
      <c r="E501" s="3" t="inlineStr">
        <is>
          <t>2 · DISPLAYED</t>
        </is>
      </c>
      <c r="F501" s="3" t="inlineStr">
        <is>
          <t>NOT DETERMINED — the code carries no note saying what this is for, and it has no row in the old inventory. Needs reading.</t>
        </is>
      </c>
      <c r="G501" s="11" t="inlineStr">
        <is>
          <t>active currency().symbol</t>
        </is>
      </c>
      <c r="H501" s="3" t="inlineStr">
        <is>
          <t>active currency().symbol.</t>
        </is>
      </c>
      <c r="I501" s="3" t="inlineStr">
        <is>
          <t>PARTLY READ — some of the code is still showing through; needs a hand pass</t>
        </is>
      </c>
      <c r="J501" s="3" t="inlineStr">
        <is>
          <t>Nothing is handed to it</t>
        </is>
      </c>
      <c r="K501" s="3" t="inlineStr">
        <is>
          <t>string</t>
        </is>
      </c>
      <c r="L501" s="3" t="inlineStr">
        <is>
          <t>1. "Amount" — on the Look back screen
2. "Estimated benefit" — on the Retirement cockpit screen
3. "HOW MUCH WILL YOU INVEST PER YEAR?" — on the setup questions, which appear on more than one screen
4. "How much (this disbursement)" — on the setup questions, which appear on more than one screen
5. "How much per month" — on the setup questions, which appear on more than one screen
6. "How often?" — on the setup questions, which appear on more than one screen</t>
        </is>
      </c>
      <c r="M501" s="3" t="inlineStr">
        <is>
          <t>None found in this function — anything it assumes comes from the functions it depends on.</t>
        </is>
      </c>
      <c r="N501" s="3" t="inlineStr">
        <is>
          <t>Yes</t>
        </is>
      </c>
      <c r="O501" s="3" t="inlineStr">
        <is>
          <t>MK-ST-F-047 activeCurrency</t>
        </is>
      </c>
      <c r="P501" s="3" t="n">
        <v>1</v>
      </c>
      <c r="Q501" s="3" t="inlineStr">
        <is>
          <t>MK-ST-F-047 activeCurrency</t>
        </is>
      </c>
      <c r="R501" s="3" t="inlineStr">
        <is>
          <t>MK-ST-F-047 activeCurrency → MK-ST-F-048 currencySymbol</t>
        </is>
      </c>
      <c r="S501" s="3" t="inlineStr">
        <is>
          <t>—</t>
        </is>
      </c>
      <c r="T501" s="3" t="inlineStr">
        <is>
          <t>—</t>
        </is>
      </c>
      <c r="U501" s="3" t="inlineStr">
        <is>
          <t>ACTIVE</t>
        </is>
      </c>
      <c r="V501" s="3" t="inlineStr">
        <is>
          <t>2026-08-27</t>
        </is>
      </c>
      <c r="W501" s="3" t="n"/>
      <c r="X501" s="3" t="n"/>
      <c r="Y501" s="3" t="inlineStr">
        <is>
          <t>NOTHING OPEN</t>
        </is>
      </c>
    </row>
    <row r="502" ht="60" customHeight="1">
      <c r="A502" s="3" t="inlineStr">
        <is>
          <t>MK-ST-F-049</t>
        </is>
      </c>
      <c r="B502" s="3" t="inlineStr">
        <is>
          <t>formatMoney</t>
        </is>
      </c>
      <c r="C502" s="3" t="inlineStr">
        <is>
          <t>src/domain/_shared/money.ts</t>
        </is>
      </c>
      <c r="D502" s="3" t="n">
        <v>207</v>
      </c>
      <c r="E502" s="3" t="inlineStr">
        <is>
          <t>2 · DISPLAYED</t>
        </is>
      </c>
      <c r="F502" s="3" t="inlineStr">
        <is>
          <t>Full amount, no minor units (matches the app's whole-number money style), locale-grouped.</t>
        </is>
      </c>
      <c r="G502" s="11" t="inlineStr">
        <is>
          <t>BALANCE_MASK   when hide
NOT_A_NUMBER   when !number.is finite(n)
v = round(n)
the answer = new intl.number format(locale, { style: 'currency', currency: code, maximum fraction digits: 0 }).format(v)
neg = '-'   if v &lt; 0
''   otherwise</t>
        </is>
      </c>
      <c r="H502" s="3" t="inlineStr">
        <is>
          <t>When hide, it answers BALANCE_MASK. When !number.is finite(n), it answers NOT_A_NUMBER. V is n, to a whole number. The answer is new intl.number format(locale, { style: 'currency', currency: code, maximum fraction digits: 0 }).format(v). Neg is '-' — when v &lt; 0; '' — otherwise.</t>
        </is>
      </c>
      <c r="I502" s="3" t="inlineStr">
        <is>
          <t>PARTLY READ — some of the code is still showing through; needs a hand pass</t>
        </is>
      </c>
      <c r="J502" s="3" t="inlineStr">
        <is>
          <t>n: number</t>
        </is>
      </c>
      <c r="K502" s="3" t="inlineStr">
        <is>
          <t>string</t>
        </is>
      </c>
      <c r="L502" s="3" t="inlineStr">
        <is>
          <t>NOT FOUND — a screen calls it, but the words printed beside its answer could not be traced automatically. Needs reading.</t>
        </is>
      </c>
      <c r="M502" s="3" t="inlineStr">
        <is>
          <t>· Rounds the answer to a whole number.</t>
        </is>
      </c>
      <c r="N502" s="3" t="inlineStr">
        <is>
          <t>Yes</t>
        </is>
      </c>
      <c r="O502" s="3" t="inlineStr">
        <is>
          <t>1. MK-ST-F-048 currencySymbol
2. MK-XS-F-122 n
3. MK-ST-F-039 on</t>
        </is>
      </c>
      <c r="P502" s="3" t="n">
        <v>4</v>
      </c>
      <c r="Q502" s="3" t="inlineStr">
        <is>
          <t>1. MK-ST-F-048 currencySymbol
2. MK-XS-F-122 n
3. MK-ST-F-039 on
4. MK-ST-F-047 activeCurrency</t>
        </is>
      </c>
      <c r="R502" s="3" t="inlineStr">
        <is>
          <t>1. MK-ST-F-047 activeCurrency → MK-ST-F-048 currencySymbol → MK-ST-F-049 formatMoney
2. MK-XS-F-122 n → MK-ST-F-049 formatMoney
3. MK-ST-F-039 on → MK-ST-F-049 formatMoney</t>
        </is>
      </c>
      <c r="S502" s="3" t="inlineStr">
        <is>
          <t>—</t>
        </is>
      </c>
      <c r="T502" s="3" t="inlineStr">
        <is>
          <t>MONEY_IN_WORDS</t>
        </is>
      </c>
      <c r="U502" s="3" t="inlineStr">
        <is>
          <t>ACTIVE</t>
        </is>
      </c>
      <c r="V502" s="3" t="inlineStr">
        <is>
          <t>2026-08-27</t>
        </is>
      </c>
      <c r="W502" s="3" t="n"/>
      <c r="X502" s="3" t="n"/>
      <c r="Y502" s="3" t="inlineStr">
        <is>
          <t>NOTHING OPEN</t>
        </is>
      </c>
    </row>
    <row r="503" ht="60" customHeight="1">
      <c r="A503" s="3" t="inlineStr">
        <is>
          <t>MK-ST-F-050</t>
        </is>
      </c>
      <c r="B503" s="3" t="inlineStr">
        <is>
          <t>formatMoneyCents</t>
        </is>
      </c>
      <c r="C503" s="3" t="inlineStr">
        <is>
          <t>src/domain/_shared/money.ts</t>
        </is>
      </c>
      <c r="D503" s="3" t="n">
        <v>246</v>
      </c>
      <c r="E503" s="3" t="inlineStr">
        <is>
          <t>3 · DEPENDENT</t>
        </is>
      </c>
      <c r="F503" s="3" t="inlineStr">
        <is>
          <t>Same as formatMoney but keeps 2 decimal places — for precise amounts (transactions, holdings, recurring lines).</t>
        </is>
      </c>
      <c r="G503" s="11" t="inlineStr">
        <is>
          <t>BALANCE_MASK   when hide
NOT_A_NUMBER   when !number.is finite(n)
v = n
the answer = new intl.number format(locale, { style: 'currency', currency: code, minimum fraction digits: 2, maximum fraction digits: 2 }).format(v)
neg = '-'   if v &lt; 0
''   otherwise</t>
        </is>
      </c>
      <c r="H503" s="3" t="inlineStr">
        <is>
          <t>When hide, it answers BALANCE_MASK. When !number.is finite(n), it answers NOT_A_NUMBER. V is n. The answer is new intl.number format(locale, { style: 'currency', currency: code, minimum fraction digits: 2, maximum fraction digits: 2 }).format(v). Neg is '-' — when v &lt; 0; '' — otherwise.</t>
        </is>
      </c>
      <c r="I503" s="3" t="inlineStr">
        <is>
          <t>PARTLY READ — some of the code is still showing through; needs a hand pass</t>
        </is>
      </c>
      <c r="J503" s="3" t="inlineStr">
        <is>
          <t>n: number</t>
        </is>
      </c>
      <c r="K503" s="3" t="inlineStr">
        <is>
          <t>string</t>
        </is>
      </c>
      <c r="L503" s="3" t="inlineStr">
        <is>
          <t>—</t>
        </is>
      </c>
      <c r="M503" s="3" t="inlineStr">
        <is>
          <t>None found in this function — anything it assumes comes from the functions it depends on.</t>
        </is>
      </c>
      <c r="N503" s="3" t="inlineStr">
        <is>
          <t>Yes</t>
        </is>
      </c>
      <c r="O503" s="3" t="inlineStr">
        <is>
          <t>1. MK-ST-F-048 currencySymbol
2. MK-XS-F-122 n</t>
        </is>
      </c>
      <c r="P503" s="3" t="n">
        <v>3</v>
      </c>
      <c r="Q503" s="3" t="inlineStr">
        <is>
          <t>1. MK-ST-F-048 currencySymbol
2. MK-XS-F-122 n
3. MK-ST-F-047 activeCurrency</t>
        </is>
      </c>
      <c r="R503" s="3" t="inlineStr">
        <is>
          <t>1. MK-ST-F-047 activeCurrency → MK-ST-F-048 currencySymbol → MK-ST-F-050 formatMoneyCents
2. MK-XS-F-122 n → MK-ST-F-050 formatMoneyCents</t>
        </is>
      </c>
      <c r="S503" s="3" t="inlineStr">
        <is>
          <t>—</t>
        </is>
      </c>
      <c r="T503" s="3" t="inlineStr">
        <is>
          <t>MONEY_IN_WORDS_WITH_CENTS</t>
        </is>
      </c>
      <c r="U503" s="3" t="inlineStr">
        <is>
          <t>ACTIVE</t>
        </is>
      </c>
      <c r="V503" s="3" t="inlineStr">
        <is>
          <t>2026-08-27</t>
        </is>
      </c>
      <c r="W503" s="3" t="n"/>
      <c r="X503" s="3" t="n"/>
      <c r="Y503" s="3" t="inlineStr">
        <is>
          <t>NOTHING OPEN</t>
        </is>
      </c>
    </row>
    <row r="504" ht="60" customHeight="1">
      <c r="A504" s="3" t="inlineStr">
        <is>
          <t>MK-ST-F-051</t>
        </is>
      </c>
      <c r="B504" s="3" t="inlineStr">
        <is>
          <t>moneyCompact</t>
        </is>
      </c>
      <c r="C504" s="3" t="inlineStr">
        <is>
          <t>src/domain/_shared/money.ts</t>
        </is>
      </c>
      <c r="D504" s="3" t="n">
        <v>289</v>
      </c>
      <c r="E504" s="3" t="inlineStr">
        <is>
          <t>2 · DISPLAYED</t>
        </is>
      </c>
      <c r="F504" s="3" t="inlineStr">
        <is>
          <t>Compact form for tight spaces (chart labels, donut center).</t>
        </is>
      </c>
      <c r="G504" s="11" t="inlineStr">
        <is>
          <t>BALANCE_MASK   when hide
s = currency symbol()
neg = '-'   if n &lt; 0
''   otherwise
a = size of(n)
`${neg}${s}${(a ÷ 1e6).to fixed(2).replace( ÷ \.?0+$ ÷ , '')}${style}`   when a ≥ 1e6
`${neg}${s}${math.round(a ÷ 1e3)}K`   when a ≥ 1e3
the answer = `${neg}${s}${math.round(a)}`</t>
        </is>
      </c>
      <c r="H504" s="3" t="inlineStr">
        <is>
          <t>When hide, it answers BALANCE_MASK. S is currency symbol(). Neg is '-' — when n &lt; 0; '' — otherwise. A is size of(n). When a is at least 1e6, it answers `${neg}${s}${(a divided by 1e6).to fixed(2).replace( divided by \.?0+$ divided by , '')}${style}`. When a is at least 1e3, it answers `${neg}${s}${math.a divided by 1e3, to a whole number}K`. The answer is `${neg}${s}${math.a, to a whole number}`.</t>
        </is>
      </c>
      <c r="I504" s="3" t="inlineStr">
        <is>
          <t>PARTLY READ — some of the code is still showing through; needs a hand pass</t>
        </is>
      </c>
      <c r="J504" s="3" t="inlineStr">
        <is>
          <t>1. n: number
2. style: 'M' | 'MM' = 'MM'</t>
        </is>
      </c>
      <c r="K504" s="3" t="inlineStr">
        <is>
          <t>string</t>
        </is>
      </c>
      <c r="L504" s="3" t="inlineStr">
        <is>
          <t>1. "NEST EGG" — on the Retirement cockpit screen
2. "Nest egg today" — on the Retirement cockpit screen, under "scRetired ?"
3. "Nest egg" — on the Retirement cockpit screen, under "RETIREMENT
4. WHERE YOU STAND"
5. "Projected nest egg" — on the Retirement cockpit screen
6. "Suggested withdrawal order" — on the Retirement cockpit screen
7. "Surplus" — on the Retirement cockpit screen, under "RETIREMENT
8. WHERE YOU STAND"</t>
        </is>
      </c>
      <c r="M504" s="3" t="inlineStr">
        <is>
          <t>1. Rounds the answer to a whole number.
2. Shows 2 decimal places.</t>
        </is>
      </c>
      <c r="N504" s="3" t="inlineStr">
        <is>
          <t>Yes</t>
        </is>
      </c>
      <c r="O504" s="3" t="inlineStr">
        <is>
          <t>1. MK-ST-F-048 currencySymbol
2. MK-XS-F-122 n</t>
        </is>
      </c>
      <c r="P504" s="3" t="n">
        <v>3</v>
      </c>
      <c r="Q504" s="3" t="inlineStr">
        <is>
          <t>1. MK-ST-F-048 currencySymbol
2. MK-XS-F-122 n
3. MK-ST-F-047 activeCurrency</t>
        </is>
      </c>
      <c r="R504" s="3" t="inlineStr">
        <is>
          <t>1. MK-ST-F-047 activeCurrency → MK-ST-F-048 currencySymbol → MK-ST-F-051 moneyCompact
2. MK-XS-F-122 n → MK-ST-F-051 moneyCompact</t>
        </is>
      </c>
      <c r="S504" s="3" t="inlineStr">
        <is>
          <t>—</t>
        </is>
      </c>
      <c r="T504" s="3" t="inlineStr">
        <is>
          <t>—</t>
        </is>
      </c>
      <c r="U504" s="3" t="inlineStr">
        <is>
          <t>ACTIVE</t>
        </is>
      </c>
      <c r="V504" s="3" t="inlineStr">
        <is>
          <t>2026-08-27</t>
        </is>
      </c>
      <c r="W504" s="3" t="n"/>
      <c r="X504" s="3" t="n"/>
      <c r="Y504" s="3" t="inlineStr">
        <is>
          <t>NOTHING OPEN</t>
        </is>
      </c>
    </row>
    <row r="505" ht="60" customHeight="1">
      <c r="A505" s="3" t="inlineStr">
        <is>
          <t>MK-ST-F-052</t>
        </is>
      </c>
      <c r="B505" s="3" t="inlineStr">
        <is>
          <t>toNum</t>
        </is>
      </c>
      <c r="C505" s="3" t="inlineStr">
        <is>
          <t>src/domain/_shared/num.ts</t>
        </is>
      </c>
      <c r="D505" s="3" t="n">
        <v>66</v>
      </c>
      <c r="E505" s="3" t="inlineStr">
        <is>
          <t>3 · DEPENDENT</t>
        </is>
      </c>
      <c r="F505" s="3" t="inlineStr">
        <is>
          <t>What number did the person actually type?</t>
        </is>
      </c>
      <c r="G505" s="11" t="inlineStr">
        <is>
          <t>n = parse float(string(v ?? '').replace( ÷ [^0 − 9.\-] ÷ g, ''))
the answer:
n   if number.is finite(n)
0   otherwise</t>
        </is>
      </c>
      <c r="H505" s="3" t="inlineStr">
        <is>
          <t>N is parse float(string(v ?? '').replace( divided by [^0 minus 9.\-] divided by g, '')). The answer is n — when number.is finite(n); 0 — otherwise.</t>
        </is>
      </c>
      <c r="I505" s="3" t="inlineStr">
        <is>
          <t>PARTLY READ — some of the code is still showing through; needs a hand pass</t>
        </is>
      </c>
      <c r="J505" s="3" t="inlineStr">
        <is>
          <t>v: any</t>
        </is>
      </c>
      <c r="K505" s="3" t="inlineStr">
        <is>
          <t>number</t>
        </is>
      </c>
      <c r="L505" s="3" t="inlineStr">
        <is>
          <t>—</t>
        </is>
      </c>
      <c r="M505" s="3" t="inlineStr">
        <is>
          <t>None found in this function — anything it assumes comes from the functions it depends on.</t>
        </is>
      </c>
      <c r="N505" s="3" t="inlineStr">
        <is>
          <t>Yes</t>
        </is>
      </c>
      <c r="O505" s="3" t="inlineStr">
        <is>
          <t>MK-XS-F-122 n</t>
        </is>
      </c>
      <c r="P505" s="3" t="n">
        <v>1</v>
      </c>
      <c r="Q505" s="3" t="inlineStr">
        <is>
          <t>MK-XS-F-122 n</t>
        </is>
      </c>
      <c r="R505" s="3" t="inlineStr">
        <is>
          <t>MK-XS-F-122 n → MK-ST-F-052 toNum</t>
        </is>
      </c>
      <c r="S505" s="3" t="inlineStr">
        <is>
          <t>—</t>
        </is>
      </c>
      <c r="T505" s="3" t="inlineStr">
        <is>
          <t>READ_A_NUMBER</t>
        </is>
      </c>
      <c r="U505" s="3" t="inlineStr">
        <is>
          <t>ACTIVE</t>
        </is>
      </c>
      <c r="V505" s="3" t="inlineStr">
        <is>
          <t>2026-08-27</t>
        </is>
      </c>
      <c r="W505" s="3" t="n"/>
      <c r="X505" s="3" t="n"/>
      <c r="Y505" s="3" t="inlineStr">
        <is>
          <t>NOTHING OPEN</t>
        </is>
      </c>
    </row>
    <row r="506" ht="60" customHeight="1">
      <c r="A506" s="3" t="inlineStr">
        <is>
          <t>MK-ST-F-053</t>
        </is>
      </c>
      <c r="B506" s="3" t="inlineStr">
        <is>
          <t>money</t>
        </is>
      </c>
      <c r="C506" s="3" t="inlineStr">
        <is>
          <t>src/domain/_shared/num.ts</t>
        </is>
      </c>
      <c r="D506" s="3" t="n">
        <v>104</v>
      </c>
      <c r="E506" s="3" t="inlineStr">
        <is>
          <t>1 · ACTION</t>
        </is>
      </c>
      <c r="F506" s="3" t="inlineStr">
        <is>
          <t>Currency/locale-aware (delegates to the active money format; defaults to USD/en-US).</t>
        </is>
      </c>
      <c r="G506" s="11" t="inlineStr">
        <is>
          <t>format money(n)</t>
        </is>
      </c>
      <c r="H506" s="3" t="inlineStr">
        <is>
          <t>format money(n)</t>
        </is>
      </c>
      <c r="I506" s="3" t="inlineStr">
        <is>
          <t>READ FROM THE CODE — rendered from the expressions the function runs</t>
        </is>
      </c>
      <c r="J506" s="3" t="inlineStr">
        <is>
          <t>n: number</t>
        </is>
      </c>
      <c r="K506" s="3" t="inlineStr">
        <is>
          <t>string</t>
        </is>
      </c>
      <c r="L506" s="3" t="inlineStr">
        <is>
          <t>1. "ACCOUNTS (year-end)" — on the Tax organiser screen, under "ACCOUNTS (year-end)"
2. "Allocate to this goal ›" — on the Goals screen, under "YOUR GOALS"
3. "Annual vesting cash flow" — on the setup questions, which appear on more than one screen
4. "Annuity / other" — on the setup questions, which appear on more than one screen
5. "Available /year" — on the setup questions, which appear on more than one screen
6. "Capital needed" — on the setup questions, which appear on more than one screen</t>
        </is>
      </c>
      <c r="M506" s="3" t="inlineStr">
        <is>
          <t>None found in this function — anything it assumes comes from the functions it depends on.</t>
        </is>
      </c>
      <c r="N506" s="3" t="inlineStr">
        <is>
          <t>Yes</t>
        </is>
      </c>
      <c r="O506" s="3" t="inlineStr">
        <is>
          <t>1. MK-ST-F-049 formatMoney
2. MK-XS-F-122 n</t>
        </is>
      </c>
      <c r="P506" s="3" t="n">
        <v>5</v>
      </c>
      <c r="Q506" s="3" t="inlineStr">
        <is>
          <t>1. MK-ST-F-049 formatMoney
2. MK-XS-F-122 n
3. MK-ST-F-048 currencySymbol
4. MK-ST-F-039 on
5. MK-ST-F-047 activeCurrency</t>
        </is>
      </c>
      <c r="R506" s="3" t="inlineStr">
        <is>
          <t>1. MK-ST-F-047 activeCurrency → MK-ST-F-048 currencySymbol → MK-ST-F-049 formatMoney → MK-ST-F-053 money
2. MK-XS-F-122 n → MK-ST-F-049 formatMoney → MK-ST-F-053 money
3. MK-ST-F-039 on → MK-ST-F-049 formatMoney → MK-ST-F-053 money
4. MK-XS-F-122 n → MK-ST-F-053 money</t>
        </is>
      </c>
      <c r="S506" s="3" t="inlineStr">
        <is>
          <t>—</t>
        </is>
      </c>
      <c r="T506" s="3" t="inlineStr">
        <is>
          <t>—</t>
        </is>
      </c>
      <c r="U506" s="3" t="inlineStr">
        <is>
          <t>ACTIVE</t>
        </is>
      </c>
      <c r="V506" s="3" t="inlineStr">
        <is>
          <t>2026-08-27</t>
        </is>
      </c>
      <c r="W506" s="3" t="n"/>
      <c r="X506" s="3" t="n"/>
      <c r="Y506" s="3" t="inlineStr">
        <is>
          <t>NOTHING OPEN</t>
        </is>
      </c>
    </row>
    <row r="507" ht="60" customHeight="1">
      <c r="A507" s="3" t="inlineStr">
        <is>
          <t>MK-ST-F-054</t>
        </is>
      </c>
      <c r="B507" s="3" t="inlineStr">
        <is>
          <t>money2</t>
        </is>
      </c>
      <c r="C507" s="3" t="inlineStr">
        <is>
          <t>src/domain/_shared/num.ts</t>
        </is>
      </c>
      <c r="D507" s="3" t="n">
        <v>121</v>
      </c>
      <c r="E507" s="3" t="inlineStr">
        <is>
          <t>1 · ACTION</t>
        </is>
      </c>
      <c r="F507" s="3" t="inlineStr">
        <is>
          <t>Same, but keeps cents — for precise amounts (transactions, holdings).</t>
        </is>
      </c>
      <c r="G507" s="11" t="inlineStr">
        <is>
          <t>format money cents(n)</t>
        </is>
      </c>
      <c r="H507" s="3" t="inlineStr">
        <is>
          <t>format money cents(n)</t>
        </is>
      </c>
      <c r="I507" s="3" t="inlineStr">
        <is>
          <t>READ FROM THE CODE — rendered from the expressions the function runs</t>
        </is>
      </c>
      <c r="J507" s="3" t="inlineStr">
        <is>
          <t>n: number</t>
        </is>
      </c>
      <c r="K507" s="3" t="inlineStr">
        <is>
          <t>string</t>
        </is>
      </c>
      <c r="L507" s="3" t="inlineStr">
        <is>
          <t>1. "Total" — on the Import holdings screen
2. "Value" — on the Import holdings screen, under "REVIEW YOUR HOLDINGS"</t>
        </is>
      </c>
      <c r="M507" s="3" t="inlineStr">
        <is>
          <t>None found in this function — anything it assumes comes from the functions it depends on.</t>
        </is>
      </c>
      <c r="N507" s="3" t="inlineStr">
        <is>
          <t>Yes</t>
        </is>
      </c>
      <c r="O507" s="3" t="inlineStr">
        <is>
          <t>1. MK-ST-F-050 formatMoneyCents
2. MK-XS-F-122 n</t>
        </is>
      </c>
      <c r="P507" s="3" t="n">
        <v>4</v>
      </c>
      <c r="Q507" s="3" t="inlineStr">
        <is>
          <t>1. MK-ST-F-050 formatMoneyCents
2. MK-XS-F-122 n
3. MK-ST-F-048 currencySymbol
4. MK-ST-F-047 activeCurrency</t>
        </is>
      </c>
      <c r="R507" s="3" t="inlineStr">
        <is>
          <t>1. MK-ST-F-047 activeCurrency → MK-ST-F-048 currencySymbol → MK-ST-F-050 formatMoneyCents → MK-ST-F-054 money2
2. MK-XS-F-122 n → MK-ST-F-050 formatMoneyCents → MK-ST-F-054 money2
3. MK-XS-F-122 n → MK-ST-F-054 money2</t>
        </is>
      </c>
      <c r="S507" s="3" t="inlineStr">
        <is>
          <t>—</t>
        </is>
      </c>
      <c r="T507" s="3" t="inlineStr">
        <is>
          <t>—</t>
        </is>
      </c>
      <c r="U507" s="3" t="inlineStr">
        <is>
          <t>ACTIVE</t>
        </is>
      </c>
      <c r="V507" s="3" t="inlineStr">
        <is>
          <t>2026-08-27</t>
        </is>
      </c>
      <c r="W507" s="3" t="n"/>
      <c r="X507" s="3" t="n"/>
      <c r="Y507" s="3" t="inlineStr">
        <is>
          <t>NOTHING OPEN</t>
        </is>
      </c>
    </row>
    <row r="508" ht="60" customHeight="1">
      <c r="A508" s="3" t="inlineStr">
        <is>
          <t>MK-ST-F-055</t>
        </is>
      </c>
      <c r="B508" s="3" t="inlineStr">
        <is>
          <t>round2</t>
        </is>
      </c>
      <c r="C508" s="3" t="inlineStr">
        <is>
          <t>Calculation Module code/engines/money.ts</t>
        </is>
      </c>
      <c r="D508" s="3" t="n">
        <v>218</v>
      </c>
      <c r="E508" s="3" t="inlineStr">
        <is>
          <t>3 · DEPENDENT</t>
        </is>
      </c>
      <c r="F508" s="3" t="inlineStr">
        <is>
          <t>Rounds a money figure to the cent — two decimals.</t>
        </is>
      </c>
      <c r="G508" s="11" t="inlineStr">
        <is>
          <t>round2(n) = round(n × 100) ÷ 100</t>
        </is>
      </c>
      <c r="H508" s="3" t="inlineStr">
        <is>
          <t>Rounds to two decimal places — the cent. The hundred is the rounding scale, nothing to do with percentages or with an option contract being a hundred shares.</t>
        </is>
      </c>
      <c r="I508" s="3" t="inlineStr">
        <is>
          <t>READ BY HAND 2026-08-26 — checked line by line against the code</t>
        </is>
      </c>
      <c r="J508" s="3" t="inlineStr">
        <is>
          <t>n: number</t>
        </is>
      </c>
      <c r="K508" s="3" t="inlineStr">
        <is>
          <t>number</t>
        </is>
      </c>
      <c r="L508" s="3" t="inlineStr">
        <is>
          <t>—</t>
        </is>
      </c>
      <c r="M508" s="3" t="inlineStr">
        <is>
          <t>· Rounds the answer to two decimals (cents).</t>
        </is>
      </c>
      <c r="N508" s="3" t="inlineStr">
        <is>
          <t>Yes</t>
        </is>
      </c>
      <c r="O508" s="3" t="inlineStr">
        <is>
          <t>—</t>
        </is>
      </c>
      <c r="P508" s="3" t="n">
        <v>0</v>
      </c>
      <c r="Q508" s="3" t="inlineStr">
        <is>
          <t>None — no dependent function stands behind it</t>
        </is>
      </c>
      <c r="R508" s="3" t="inlineStr">
        <is>
          <t>No dependent function — it reads its inputs and answers</t>
        </is>
      </c>
      <c r="S508" s="3" t="inlineStr">
        <is>
          <t>—</t>
        </is>
      </c>
      <c r="T508" s="3" t="inlineStr">
        <is>
          <t>—</t>
        </is>
      </c>
      <c r="U508" s="3" t="inlineStr">
        <is>
          <t>ACTIVE</t>
        </is>
      </c>
      <c r="V508" s="3" t="inlineStr">
        <is>
          <t>2026-09-08</t>
        </is>
      </c>
      <c r="W508" s="3" t="inlineStr">
        <is>
          <t>[from MK-NW-M-043, Assumptions; typed A15] does it round to 2 decimals or a whole number? Two contradicting statements.</t>
        </is>
      </c>
      <c r="X508" s="6" t="inlineStr">
        <is>
          <t>Two decimals: round(n × 100) ÷ 100. Both file lines are false (A15, C4); the generator misreads the idiom. Fix the generator and re-extract; the row then reads 'Rounds to two decimals (cents)'. Code right.</t>
        </is>
      </c>
      <c r="Y508" s="6" t="inlineStr">
        <is>
          <t>WAITING ON YOU — answer to read · CODED, NOT TESTED (C4)</t>
        </is>
      </c>
    </row>
    <row r="509" ht="60" customHeight="1">
      <c r="A509" s="3" t="inlineStr">
        <is>
          <t>MK-ST-F-056</t>
        </is>
      </c>
      <c r="B509" s="3" t="inlineStr">
        <is>
          <t>has</t>
        </is>
      </c>
      <c r="C509" s="3" t="inlineStr">
        <is>
          <t>Calculation Module code/engines/classify.ts</t>
        </is>
      </c>
      <c r="D509" s="3" t="n">
        <v>121</v>
      </c>
      <c r="E509" s="3" t="inlineStr">
        <is>
          <t>1 · ACTION</t>
        </is>
      </c>
      <c r="F509" s="3" t="inlineStr">
        <is>
          <t>NOT DETERMINED — the code carries no note saying what this is for, and it has no row in the old inventory. Needs reading.</t>
        </is>
      </c>
      <c r="G509" s="11" t="inlineStr">
        <is>
          <t>re.test(s)</t>
        </is>
      </c>
      <c r="H509" s="3" t="inlineStr">
        <is>
          <t>re.test(s)</t>
        </is>
      </c>
      <c r="I509" s="3" t="inlineStr">
        <is>
          <t>PARTLY READ — some of the code is still showing through; needs a hand pass</t>
        </is>
      </c>
      <c r="J509" s="3" t="inlineStr">
        <is>
          <t>1. s: string
2. re: RegExp</t>
        </is>
      </c>
      <c r="K509" s="3" t="inlineStr">
        <is>
          <t>NOT DECLARED — the code does not say what it gives back</t>
        </is>
      </c>
      <c r="L509" s="3" t="inlineStr">
        <is>
          <t>—</t>
        </is>
      </c>
      <c r="M509" s="3" t="inlineStr">
        <is>
          <t>None found in this function — anything it assumes comes from the functions it depends on.</t>
        </is>
      </c>
      <c r="N509" s="3" t="inlineStr">
        <is>
          <t>Yes</t>
        </is>
      </c>
      <c r="O509" s="3" t="inlineStr">
        <is>
          <t>—</t>
        </is>
      </c>
      <c r="P509" s="3" t="n">
        <v>0</v>
      </c>
      <c r="Q509" s="3" t="inlineStr">
        <is>
          <t>None — no dependent function stands behind it</t>
        </is>
      </c>
      <c r="R509" s="3" t="inlineStr">
        <is>
          <t>No dependent function — it reads its inputs and answers</t>
        </is>
      </c>
      <c r="S509" s="3" t="inlineStr">
        <is>
          <t>—</t>
        </is>
      </c>
      <c r="T509" s="3" t="inlineStr">
        <is>
          <t>—</t>
        </is>
      </c>
      <c r="U509" s="3" t="inlineStr">
        <is>
          <t>ACTIVE</t>
        </is>
      </c>
      <c r="V509" s="3" t="inlineStr">
        <is>
          <t>2026-08-27</t>
        </is>
      </c>
      <c r="W509" s="3" t="n"/>
      <c r="X509" s="3" t="n"/>
      <c r="Y509" s="3" t="inlineStr">
        <is>
          <t>NOTHING OPEN</t>
        </is>
      </c>
    </row>
    <row r="510" ht="60" customHeight="1">
      <c r="A510" s="3" t="inlineStr">
        <is>
          <t>MK-ST-F-057</t>
        </is>
      </c>
      <c r="B510" s="3" t="inlineStr">
        <is>
          <t>divRounded</t>
        </is>
      </c>
      <c r="C510" s="3" t="inlineStr">
        <is>
          <t>Calculation Module code/engines/decimal.ts</t>
        </is>
      </c>
      <c r="D510" s="3" t="n">
        <v>127</v>
      </c>
      <c r="E510" s="3" t="inlineStr">
        <is>
          <t>3 · DEPENDENT (feeds an action only)</t>
        </is>
      </c>
      <c r="F510" s="3" t="inlineStr">
        <is>
          <t>Round-half-even division on bigints.</t>
        </is>
      </c>
      <c r="G510" s="11" t="inlineStr">
        <is>
          <t>negative = (num &lt; 0n) ! = (den &lt; 0n)
n = -num   if num &lt; 0n
-den   if num, d = den &lt; 0n
den   otherwise   otherwise
q = n ÷ d, r = (n % d) × 2n
out = q
the answer:
-out   if negative
out   otherwise</t>
        </is>
      </c>
      <c r="H510" s="3" t="inlineStr">
        <is>
          <t>Negative is (num &lt; 0n) ! = (den &lt; 0n). N is -num — when num &lt; 0n; -den — when num, d = den &lt; 0n; den — otherwise — otherwise. Q is n divided by d, r = (n % d) times 2n. Out is q. The answer is -out — when negative; out — otherwise.</t>
        </is>
      </c>
      <c r="I510" s="3" t="inlineStr">
        <is>
          <t>READ FROM THE CODE — rendered from the expressions the function runs</t>
        </is>
      </c>
      <c r="J510" s="3" t="inlineStr">
        <is>
          <t>1. num: bigint
2. den: bigint</t>
        </is>
      </c>
      <c r="K510" s="3" t="inlineStr">
        <is>
          <t>bigint</t>
        </is>
      </c>
      <c r="L510" s="3" t="inlineStr">
        <is>
          <t>—</t>
        </is>
      </c>
      <c r="M510" s="3" t="inlineStr">
        <is>
          <t>None found in this function — anything it assumes comes from the functions it depends on.</t>
        </is>
      </c>
      <c r="N510" s="3" t="inlineStr">
        <is>
          <t>No</t>
        </is>
      </c>
      <c r="O510" s="3" t="inlineStr">
        <is>
          <t>—</t>
        </is>
      </c>
      <c r="P510" s="3" t="n">
        <v>0</v>
      </c>
      <c r="Q510" s="3" t="inlineStr">
        <is>
          <t>None — no dependent function stands behind it</t>
        </is>
      </c>
      <c r="R510" s="3" t="inlineStr">
        <is>
          <t>No dependent function — it reads its inputs and answers</t>
        </is>
      </c>
      <c r="S510" s="3" t="inlineStr">
        <is>
          <t>—</t>
        </is>
      </c>
      <c r="T510" s="3" t="inlineStr">
        <is>
          <t>—</t>
        </is>
      </c>
      <c r="U510" s="3" t="inlineStr">
        <is>
          <t>ACTIVE</t>
        </is>
      </c>
      <c r="V510" s="3" t="inlineStr">
        <is>
          <t>2026-08-27</t>
        </is>
      </c>
      <c r="W510" s="3" t="n"/>
      <c r="X510" s="3" t="n"/>
      <c r="Y510" s="3" t="inlineStr">
        <is>
          <t>NOTHING OPEN</t>
        </is>
      </c>
    </row>
    <row r="511" ht="60" customHeight="1">
      <c r="A511" s="3" t="inlineStr">
        <is>
          <t>MK-ST-F-058</t>
        </is>
      </c>
      <c r="B511" s="3" t="inlineStr">
        <is>
          <t>numberOrUndefined</t>
        </is>
      </c>
      <c r="C511" s="3" t="inlineStr">
        <is>
          <t>Calculation Module code/engines/ledger.ts</t>
        </is>
      </c>
      <c r="D511" s="3" t="n">
        <v>381</v>
      </c>
      <c r="E511" s="3" t="inlineStr">
        <is>
          <t>3 · DEPENDENT (feeds an action only)</t>
        </is>
      </c>
      <c r="F511" s="3" t="inlineStr">
        <is>
          <t>NOT DETERMINED — the code carries no note saying what this is for, and it has no row in the old inventory. Needs reading.</t>
        </is>
      </c>
      <c r="G511" s="11" t="inlineStr">
        <is>
          <t>n = v   if v is a number
na n   if v = nothing
parse float(string(v).replace( ÷ [$,\s] ÷ g, ''))   otherwise   otherwise
the answer:
n   if number.is finite(n)
undefined   otherwise</t>
        </is>
      </c>
      <c r="H511" s="3" t="inlineStr">
        <is>
          <t>N is v — when v is a number; na n — when v is missing; parse float(string(v).replace( divided by [$,\s] divided by g, '')) — otherwise — otherwise. The answer is n — when number.is finite(n); undefined — otherwise.</t>
        </is>
      </c>
      <c r="I511" s="3" t="inlineStr">
        <is>
          <t>PARTLY READ — some of the code is still showing through; needs a hand pass</t>
        </is>
      </c>
      <c r="J511" s="3" t="inlineStr">
        <is>
          <t>v: unknown</t>
        </is>
      </c>
      <c r="K511" s="3" t="inlineStr">
        <is>
          <t>number | undefined</t>
        </is>
      </c>
      <c r="L511" s="3" t="inlineStr">
        <is>
          <t>—</t>
        </is>
      </c>
      <c r="M511" s="3" t="inlineStr">
        <is>
          <t>None found in this function — anything it assumes comes from the functions it depends on.</t>
        </is>
      </c>
      <c r="N511" s="3" t="inlineStr">
        <is>
          <t>No</t>
        </is>
      </c>
      <c r="O511" s="3" t="inlineStr">
        <is>
          <t>MK-XS-F-122 n</t>
        </is>
      </c>
      <c r="P511" s="3" t="n">
        <v>1</v>
      </c>
      <c r="Q511" s="3" t="inlineStr">
        <is>
          <t>MK-XS-F-122 n</t>
        </is>
      </c>
      <c r="R511" s="3" t="inlineStr">
        <is>
          <t>MK-XS-F-122 n → MK-ST-F-058 numberOrUndefined</t>
        </is>
      </c>
      <c r="S511" s="3" t="inlineStr">
        <is>
          <t>—</t>
        </is>
      </c>
      <c r="T511" s="3" t="inlineStr">
        <is>
          <t>—</t>
        </is>
      </c>
      <c r="U511" s="3" t="inlineStr">
        <is>
          <t>ACTIVE</t>
        </is>
      </c>
      <c r="V511" s="3" t="inlineStr">
        <is>
          <t>2026-08-27</t>
        </is>
      </c>
      <c r="W511" s="3" t="n"/>
      <c r="X511" s="3" t="n"/>
      <c r="Y511" s="3" t="inlineStr">
        <is>
          <t>NOTHING OPEN</t>
        </is>
      </c>
    </row>
    <row r="512" ht="60" customHeight="1">
      <c r="A512" s="3" t="inlineStr">
        <is>
          <t>MK-ST-F-059</t>
        </is>
      </c>
      <c r="B512" s="3" t="inlineStr">
        <is>
          <t>round8</t>
        </is>
      </c>
      <c r="C512" s="3" t="inlineStr">
        <is>
          <t>Calculation Module code/engines/ledger.ts</t>
        </is>
      </c>
      <c r="D512" s="3" t="n">
        <v>403</v>
      </c>
      <c r="E512" s="3" t="inlineStr">
        <is>
          <t>1 · ACTION</t>
        </is>
      </c>
      <c r="F512" s="3" t="inlineStr">
        <is>
          <t>NOT DETERMINED — the code carries no note saying what this is for, and it has no row in the old inventory. Needs reading.</t>
        </is>
      </c>
      <c r="G512" s="11" t="inlineStr">
        <is>
          <t>round(n × 1e8) ÷ 1e8</t>
        </is>
      </c>
      <c r="H512" s="3" t="inlineStr">
        <is>
          <t>n times 1e8, to a whole number divided by 1e8</t>
        </is>
      </c>
      <c r="I512" s="3" t="inlineStr">
        <is>
          <t>READ FROM THE CODE — rendered from the expressions the function runs</t>
        </is>
      </c>
      <c r="J512" s="3" t="inlineStr">
        <is>
          <t>n: number</t>
        </is>
      </c>
      <c r="K512" s="3" t="inlineStr">
        <is>
          <t>NOT DECLARED — the code does not say what it gives back</t>
        </is>
      </c>
      <c r="L512" s="3" t="inlineStr">
        <is>
          <t>—</t>
        </is>
      </c>
      <c r="M512" s="3" t="inlineStr">
        <is>
          <t>· Rounds the answer to 8 decimal places.</t>
        </is>
      </c>
      <c r="N512" s="3" t="inlineStr">
        <is>
          <t>No</t>
        </is>
      </c>
      <c r="O512" s="3" t="inlineStr">
        <is>
          <t>—</t>
        </is>
      </c>
      <c r="P512" s="3" t="n">
        <v>0</v>
      </c>
      <c r="Q512" s="3" t="inlineStr">
        <is>
          <t>None — no dependent function stands behind it</t>
        </is>
      </c>
      <c r="R512" s="3" t="inlineStr">
        <is>
          <t>No dependent function — it reads its inputs and answers</t>
        </is>
      </c>
      <c r="S512" s="3" t="inlineStr">
        <is>
          <t>—</t>
        </is>
      </c>
      <c r="T512" s="3" t="inlineStr">
        <is>
          <t>—</t>
        </is>
      </c>
      <c r="U512" s="3" t="inlineStr">
        <is>
          <t>ACTIVE</t>
        </is>
      </c>
      <c r="V512" s="3" t="inlineStr">
        <is>
          <t>2026-08-27</t>
        </is>
      </c>
      <c r="W512" s="3" t="n"/>
      <c r="X512" s="3" t="n"/>
      <c r="Y512" s="3" t="inlineStr">
        <is>
          <t>NOTHING OPEN</t>
        </is>
      </c>
    </row>
    <row r="513" ht="60" customHeight="1">
      <c r="A513" s="3" t="inlineStr">
        <is>
          <t>MK-ST-F-060</t>
        </is>
      </c>
      <c r="B513" s="3" t="inlineStr">
        <is>
          <t>verdict</t>
        </is>
      </c>
      <c r="C513" s="3" t="inlineStr">
        <is>
          <t>Calculation Module code/engines/reconcile.ts</t>
        </is>
      </c>
      <c r="D513" s="3" t="n">
        <v>47</v>
      </c>
      <c r="E513" s="3" t="inlineStr">
        <is>
          <t>2 · DISPLAYED</t>
        </is>
      </c>
      <c r="F513" s="3" t="inlineStr">
        <is>
          <t>NOT DETERMINED — the code carries no note saying what this is for, and it has no row in the old inventory. Needs reading.</t>
        </is>
      </c>
      <c r="G513" s="11" t="inlineStr">
        <is>
          <t>difference = computed.sub(stated)</t>
        </is>
      </c>
      <c r="H513" s="3" t="inlineStr">
        <is>
          <t>Difference is computed.sub(stated).</t>
        </is>
      </c>
      <c r="I513" s="3" t="inlineStr">
        <is>
          <t>PARTLY READ — some of the code is still showing through; needs a hand pass</t>
        </is>
      </c>
      <c r="J513" s="3" t="inlineStr">
        <is>
          <t>1. computed: Dec
2. stated: Dec
3. what: string</t>
        </is>
      </c>
      <c r="K513" s="3" t="inlineStr">
        <is>
          <t>Reconciliation</t>
        </is>
      </c>
      <c r="L513" s="3" t="inlineStr">
        <is>
          <t>NOT FOUND — a screen calls it, but the words printed beside its answer could not be traced automatically. Needs reading.</t>
        </is>
      </c>
      <c r="M513" s="3" t="inlineStr">
        <is>
          <t>None found in this function — anything it assumes comes from the functions it depends on.</t>
        </is>
      </c>
      <c r="N513" s="3" t="inlineStr">
        <is>
          <t>Yes</t>
        </is>
      </c>
      <c r="O513" s="3" t="inlineStr">
        <is>
          <t>—</t>
        </is>
      </c>
      <c r="P513" s="3" t="n">
        <v>0</v>
      </c>
      <c r="Q513" s="3" t="inlineStr">
        <is>
          <t>None — no dependent function stands behind it</t>
        </is>
      </c>
      <c r="R513" s="3" t="inlineStr">
        <is>
          <t>No dependent function — it reads its inputs and answers</t>
        </is>
      </c>
      <c r="S513" s="3" t="inlineStr">
        <is>
          <t>—</t>
        </is>
      </c>
      <c r="T513" s="3" t="inlineStr">
        <is>
          <t>—</t>
        </is>
      </c>
      <c r="U513" s="3" t="inlineStr">
        <is>
          <t>ACTIVE</t>
        </is>
      </c>
      <c r="V513" s="3" t="inlineStr">
        <is>
          <t>2026-08-27</t>
        </is>
      </c>
      <c r="W513" s="3" t="n"/>
      <c r="X513" s="3" t="n"/>
      <c r="Y513" s="3" t="inlineStr">
        <is>
          <t>NOTHING OPEN</t>
        </is>
      </c>
    </row>
    <row r="514" ht="60" customHeight="1">
      <c r="A514" s="3" t="inlineStr">
        <is>
          <t>MK-ST-F-061</t>
        </is>
      </c>
      <c r="B514" s="3" t="inlineStr">
        <is>
          <t>isMonthEnd</t>
        </is>
      </c>
      <c r="C514" s="3" t="inlineStr">
        <is>
          <t>Calculation Module code/engines/snapshots.ts</t>
        </is>
      </c>
      <c r="D514" s="3" t="n">
        <v>294</v>
      </c>
      <c r="E514" s="3" t="inlineStr">
        <is>
          <t>3 · DEPENDENT (feeds an action only)</t>
        </is>
      </c>
      <c r="F514" s="3" t="inlineStr">
        <is>
          <t>NOT DETERMINED — the code carries no note saying what this is for, and it has no row in the old inventory. Needs reading.</t>
        </is>
      </c>
      <c r="G514" s="11" t="inlineStr">
        <is>
          <t>last = the date y, m, 0).get date(
false   when the first 7)}-${string(d).pad start(2, '0')}` of all dates.has(`${date
the answer = true</t>
        </is>
      </c>
      <c r="H514" s="3" t="inlineStr">
        <is>
          <t>Last: the date y, m, 0).get date(. When the first 7)}-${string(d).pad start(2, '0')}` of all dates.has(`${date, it answers false. The answer is true.</t>
        </is>
      </c>
      <c r="I514" s="3" t="inlineStr">
        <is>
          <t>PARTLY READ — some of the code is still showing through; needs a hand pass</t>
        </is>
      </c>
      <c r="J514" s="3" t="inlineStr">
        <is>
          <t>1. date: string
2. allDates: Set&lt;string&gt;</t>
        </is>
      </c>
      <c r="K514" s="3" t="inlineStr">
        <is>
          <t>boolean</t>
        </is>
      </c>
      <c r="L514" s="3" t="inlineStr">
        <is>
          <t>—</t>
        </is>
      </c>
      <c r="M514" s="3" t="inlineStr">
        <is>
          <t>None found in this function — anything it assumes comes from the functions it depends on.</t>
        </is>
      </c>
      <c r="N514" s="3" t="inlineStr">
        <is>
          <t>No</t>
        </is>
      </c>
      <c r="O514" s="3" t="inlineStr">
        <is>
          <t>1. MK-ST-F-056 has
2. MK-CF-F-132 map</t>
        </is>
      </c>
      <c r="P514" s="3" t="n">
        <v>2</v>
      </c>
      <c r="Q514" s="3" t="inlineStr">
        <is>
          <t>1. MK-ST-F-056 has
2. MK-CF-F-132 map</t>
        </is>
      </c>
      <c r="R514" s="3" t="inlineStr">
        <is>
          <t>1. MK-ST-F-056 has → MK-ST-F-061 isMonthEnd
2. MK-CF-F-132 map → MK-ST-F-061 isMonthEnd</t>
        </is>
      </c>
      <c r="S514" s="3" t="inlineStr">
        <is>
          <t>—</t>
        </is>
      </c>
      <c r="T514" s="3" t="inlineStr">
        <is>
          <t>—</t>
        </is>
      </c>
      <c r="U514" s="3" t="inlineStr">
        <is>
          <t>ACTIVE</t>
        </is>
      </c>
      <c r="V514" s="3" t="inlineStr">
        <is>
          <t>2026-08-27</t>
        </is>
      </c>
      <c r="W514" s="3" t="n"/>
      <c r="X514" s="3" t="n"/>
      <c r="Y514" s="3" t="inlineStr">
        <is>
          <t>NOTHING OPEN</t>
        </is>
      </c>
    </row>
    <row r="515" ht="60" customHeight="1">
      <c r="A515" s="3" t="inlineStr">
        <is>
          <t>MK-ST-F-062</t>
        </is>
      </c>
      <c r="B515" s="3" t="inlineStr">
        <is>
          <t>toUtc</t>
        </is>
      </c>
      <c r="C515" s="3" t="inlineStr">
        <is>
          <t>Calculation Module code/engines/window-return.ts</t>
        </is>
      </c>
      <c r="D515" s="3" t="n">
        <v>54</v>
      </c>
      <c r="E515" s="3" t="inlineStr">
        <is>
          <t>1 · ACTION</t>
        </is>
      </c>
      <c r="F515" s="3" t="inlineStr">
        <is>
          <t>NOT DETERMINED — the code carries no note saying what this is for, and it has no row in the old inventory. Needs reading.</t>
        </is>
      </c>
      <c r="G515" s="11" t="inlineStr">
        <is>
          <t>the answer = the milliseconds since 1970 of the date at midnight UTC</t>
        </is>
      </c>
      <c r="H515" s="3" t="inlineStr">
        <is>
          <t>A 'YYYY-MM-DD' text as a moment in time at midnight UTC, so day arithmetic is unaffected by the device's timezone.</t>
        </is>
      </c>
      <c r="I515" s="3" t="inlineStr">
        <is>
          <t>READ BY HAND 2026-08-26 — checked line by line against the code</t>
        </is>
      </c>
      <c r="J515" s="3" t="inlineStr">
        <is>
          <t>d: string</t>
        </is>
      </c>
      <c r="K515" s="3" t="inlineStr">
        <is>
          <t>00:00Z`);</t>
        </is>
      </c>
      <c r="L515" s="3" t="inlineStr">
        <is>
          <t>—</t>
        </is>
      </c>
      <c r="M515" s="3" t="inlineStr">
        <is>
          <t>None found in this function — anything it assumes comes from the functions it depends on.</t>
        </is>
      </c>
      <c r="N515" s="3" t="inlineStr">
        <is>
          <t>Yes</t>
        </is>
      </c>
      <c r="O515" s="3" t="inlineStr">
        <is>
          <t>—</t>
        </is>
      </c>
      <c r="P515" s="3" t="n">
        <v>0</v>
      </c>
      <c r="Q515" s="3" t="inlineStr">
        <is>
          <t>None — no dependent function stands behind it</t>
        </is>
      </c>
      <c r="R515" s="3" t="inlineStr">
        <is>
          <t>No dependent function — it reads its inputs and answers</t>
        </is>
      </c>
      <c r="S515" s="3" t="inlineStr">
        <is>
          <t>—</t>
        </is>
      </c>
      <c r="T515" s="3" t="inlineStr">
        <is>
          <t>—</t>
        </is>
      </c>
      <c r="U515" s="3" t="inlineStr">
        <is>
          <t>ACTIVE</t>
        </is>
      </c>
      <c r="V515" s="3" t="inlineStr">
        <is>
          <t>2026-09-12</t>
        </is>
      </c>
      <c r="W515" s="3" t="n"/>
      <c r="X515" s="3" t="n"/>
      <c r="Y515" s="3" t="inlineStr">
        <is>
          <t>NOTHING OPEN</t>
        </is>
      </c>
    </row>
    <row r="516" ht="60" customHeight="1">
      <c r="A516" s="3" t="inlineStr">
        <is>
          <t>MK-ST-F-063</t>
        </is>
      </c>
      <c r="B516" s="3" t="inlineStr">
        <is>
          <t>shiftDay</t>
        </is>
      </c>
      <c r="C516" s="3" t="inlineStr">
        <is>
          <t>Calculation Module code/engines/window-return.ts</t>
        </is>
      </c>
      <c r="D516" s="3" t="n">
        <v>76</v>
      </c>
      <c r="E516" s="3" t="inlineStr">
        <is>
          <t>1 · ACTION</t>
        </is>
      </c>
      <c r="F516" s="3" t="inlineStr">
        <is>
          <t>NOT DETERMINED — the code carries no note saying what this is for, and it has no row in the old inventory. Needs reading.</t>
        </is>
      </c>
      <c r="G516" s="11" t="inlineStr">
        <is>
          <t>the first 10 of the date to utc(d) + by × day ms).to isostring(</t>
        </is>
      </c>
      <c r="H516" s="3" t="inlineStr">
        <is>
          <t>the first 10 of the date to utc(d) plus by times day ms).to isostring(</t>
        </is>
      </c>
      <c r="I516" s="3" t="inlineStr">
        <is>
          <t>PARTLY READ — some of the code is still showing through; needs a hand pass</t>
        </is>
      </c>
      <c r="J516" s="3" t="inlineStr">
        <is>
          <t>1. d: string
2. by: number</t>
        </is>
      </c>
      <c r="K516" s="3" t="inlineStr">
        <is>
          <t>NOT DECLARED — the code does not say what it gives back</t>
        </is>
      </c>
      <c r="L516" s="3" t="inlineStr">
        <is>
          <t>—</t>
        </is>
      </c>
      <c r="M516" s="3" t="inlineStr">
        <is>
          <t>None found in this function — anything it assumes comes from the functions it depends on.</t>
        </is>
      </c>
      <c r="N516" s="3" t="inlineStr">
        <is>
          <t>Yes</t>
        </is>
      </c>
      <c r="O516" s="3" t="inlineStr">
        <is>
          <t>MK-ST-F-062 toUtc</t>
        </is>
      </c>
      <c r="P516" s="3" t="n">
        <v>1</v>
      </c>
      <c r="Q516" s="3" t="inlineStr">
        <is>
          <t>MK-ST-F-062 toUtc</t>
        </is>
      </c>
      <c r="R516" s="3" t="inlineStr">
        <is>
          <t>MK-ST-F-062 toUtc → MK-ST-F-063 shiftDay</t>
        </is>
      </c>
      <c r="S516" s="3" t="inlineStr">
        <is>
          <t>—</t>
        </is>
      </c>
      <c r="T516" s="3" t="inlineStr">
        <is>
          <t>—</t>
        </is>
      </c>
      <c r="U516" s="3" t="inlineStr">
        <is>
          <t>ACTIVE</t>
        </is>
      </c>
      <c r="V516" s="3" t="inlineStr">
        <is>
          <t>2026-08-27</t>
        </is>
      </c>
      <c r="W516" s="3" t="n"/>
      <c r="X516" s="3" t="n"/>
      <c r="Y516" s="3" t="inlineStr">
        <is>
          <t>NOTHING OPEN</t>
        </is>
      </c>
    </row>
    <row r="517" ht="60" customHeight="1">
      <c r="A517" s="3" t="inlineStr">
        <is>
          <t>MK-ST-F-064</t>
        </is>
      </c>
      <c r="B517" s="3" t="inlineStr">
        <is>
          <t>modifiedDietzOverWindow</t>
        </is>
      </c>
      <c r="C517" s="3" t="inlineStr">
        <is>
          <t>Calculation Module code/engines/window-return.ts</t>
        </is>
      </c>
      <c r="D517" s="3" t="n">
        <v>170</v>
      </c>
      <c r="E517" s="3" t="inlineStr">
        <is>
          <t>3 · DEPENDENT</t>
        </is>
      </c>
      <c r="F517" s="3" t="inlineStr">
        <is>
          <t>NOT DETERMINED — the code carries no note saying what this is for, and it has no row in the old inventory. Needs reading.</t>
        </is>
      </c>
      <c r="G517" s="11" t="inlineStr">
        <is>
          <t>w = window bounds(start, end)
flows = flows (or none when missing)
net flows = dec.sum(flows.map((f) =&gt; amount))
gain = ending.sub(beginning).sub(net flows)
t = min(max(round((to utc(date) − to utc(start)) ÷ day ms), 0), days − 1)
the answer = (days − t) ÷ days
denom = Σ over flows of (amount.to number(8) × weight(each))  starting from beginning.to number(8)
dateless = flows.some((f) =&gt; !date)
limit = beginning.abs().to number(8) × DATELESS_FLOW_LIMIT
r = rate with(() =&gt; 0.5)
rate = rate with((f) =&gt; weight of(date!))
… the first steps only — the rest of the body needs reading by hand.</t>
        </is>
      </c>
      <c r="H517" s="3" t="inlineStr">
        <is>
          <t>W is window bounds(start, end). Flows is flows (or none — when missing). Net flows is dec.sum(flows.map((f) =&gt; amount)). Gain is ending.sub(beginning).sub(net flows). T: the smaller of the larger of (to utc(date and to a whole number minus to utc(start) divided by day ms) and 0, days minus 1). The answer is (days minus t) divided by days. Denom: the amount.to number(8) times weight(each)) starting from beginning.to number(8 added up across flows. Dateless is flows.some((f) =&gt; !date). Limit is beginning.abs().to number(8) times DATELESS_FLOW_LIMIT. R is rate with(() =&gt; 0.5). Rate is rate with((f) =&gt; weight of(date!)). Only the first steps are shown; the rest of the body needs reading by hand.</t>
        </is>
      </c>
      <c r="I517" s="3" t="inlineStr">
        <is>
          <t>PARTLY READ — some of the code is still showing through; needs a hand pass</t>
        </is>
      </c>
      <c r="J517" s="3" t="inlineStr">
        <is>
          <t>Nothing is handed to it</t>
        </is>
      </c>
      <c r="K517" s="3" t="inlineStr">
        <is>
          <t>NOT DECLARED — the code does not say what it gives back</t>
        </is>
      </c>
      <c r="L517" s="3" t="inlineStr">
        <is>
          <t>—</t>
        </is>
      </c>
      <c r="M517" s="3" t="inlineStr">
        <is>
          <t>· Rounds the answer to a whole number.</t>
        </is>
      </c>
      <c r="N517" s="3" t="inlineStr">
        <is>
          <t>Yes</t>
        </is>
      </c>
      <c r="O517" s="3" t="inlineStr">
        <is>
          <t>1. MK-CF-F-132 map
2. MK-ST-F-053 money
3. MK-ST-F-021 toNumber
4. MK-ST-F-062 toUtc
5. MK-ST-F-038 windowBounds</t>
        </is>
      </c>
      <c r="P517" s="3" t="n">
        <v>11</v>
      </c>
      <c r="Q517" s="3" t="inlineStr">
        <is>
          <t>1. MK-CF-F-132 map
2. MK-ST-F-053 money
3. MK-ST-F-021 toNumber
4. MK-ST-F-062 toUtc
5. MK-ST-F-038 windowBounds
6. MK-ST-F-049 formatMoney
7. MK-XS-F-122 n
8. MK-ST-F-063 shiftDay
9. MK-ST-F-048 currencySymbol
10. MK-ST-F-039 on
11. MK-ST-F-047 activeCurrency</t>
        </is>
      </c>
      <c r="R517" s="3" t="inlineStr">
        <is>
          <t>1. MK-CF-F-132 map → MK-ST-F-064 modifiedDietzOverWindow
2. MK-ST-F-047 activeCurrency → MK-ST-F-048 currencySymbol → MK-ST-F-049 formatMoney → MK-ST-F-053 money → MK-ST-F-064 modifiedDietzOverWindow
3. MK-XS-F-122 n → MK-ST-F-049 formatMoney → MK-ST-F-053 money → MK-ST-F-064 modifiedDietzOverWindow
4. MK-ST-F-039 on → MK-ST-F-049 formatMoney → MK-ST-F-053 money → MK-ST-F-064 modifiedDietzOverWindow
5. MK-XS-F-122 n → MK-ST-F-053 money → MK-ST-F-064 modifiedDietzOverWindow
6. MK-XS-F-122 n → MK-ST-F-021 toNumber → MK-ST-F-064 modifiedDietzOverWindow
7. MK-ST-F-062 toUtc → MK-ST-F-064 modifiedDietzOverWindow
8. MK-ST-F-062 toUtc → MK-ST-F-063 shiftDay → MK-ST-F-038 windowBounds → MK-ST-F-064 modifiedDietzOverWindow
9. … and 1 more paths</t>
        </is>
      </c>
      <c r="S517" s="3" t="inlineStr">
        <is>
          <t>—</t>
        </is>
      </c>
      <c r="T517" s="3" t="inlineStr">
        <is>
          <t>—</t>
        </is>
      </c>
      <c r="U517" s="3" t="inlineStr">
        <is>
          <t>ACTIVE</t>
        </is>
      </c>
      <c r="V517" s="3" t="inlineStr">
        <is>
          <t>2026-10-01</t>
        </is>
      </c>
      <c r="W517" s="3" t="n"/>
      <c r="X517" s="3" t="n"/>
      <c r="Y517" s="3" t="inlineStr">
        <is>
          <t>NOTHING OPEN</t>
        </is>
      </c>
    </row>
    <row r="518" ht="60" customHeight="1">
      <c r="A518" s="3" t="inlineStr">
        <is>
          <t>MK-ST-F-065</t>
        </is>
      </c>
      <c r="B518" s="3" t="inlineStr">
        <is>
          <t>isoLocalDate</t>
        </is>
      </c>
      <c r="C518" s="3" t="inlineStr">
        <is>
          <t>src/domain/_shared/dates.ts</t>
        </is>
      </c>
      <c r="D518" s="3" t="n">
        <v>36</v>
      </c>
      <c r="E518" s="3" t="inlineStr">
        <is>
          <t>2 · DISPLAYED</t>
        </is>
      </c>
      <c r="F518" s="3" t="inlineStr">
        <is>
          <t>THE DATE A PERSON IS LIVING IN, not the one UTC is.</t>
        </is>
      </c>
      <c r="G518" s="11" t="inlineStr">
        <is>
          <t>`${get full year()}-${string(get month() + 1).pad start(2, '0')}-${string(get date()).pad start(2, '0')}`</t>
        </is>
      </c>
      <c r="H518" s="3" t="inlineStr">
        <is>
          <t>`${get full year()}-${string(get month() plus 1).pad start(2, '0')}-${string(get date()).pad start(2, '0')}`.</t>
        </is>
      </c>
      <c r="I518" s="3" t="inlineStr">
        <is>
          <t>PARTLY READ — some of the code is still showing through; needs a hand pass</t>
        </is>
      </c>
      <c r="J518" s="3" t="inlineStr">
        <is>
          <t>d: Date</t>
        </is>
      </c>
      <c r="K518" s="3" t="inlineStr">
        <is>
          <t>string</t>
        </is>
      </c>
      <c r="L518" s="3" t="inlineStr">
        <is>
          <t>1. "Date (opt)" — on the Performance screen
2. "Nothing needs you today — nice." — on the Home screen, under "CHIEF OF STAFF — WHAT NEEDS YOU $"
3. "Performance" — on the Performance screen</t>
        </is>
      </c>
      <c r="M518" s="3" t="inlineStr">
        <is>
          <t>None found in this function — anything it assumes comes from the functions it depends on.</t>
        </is>
      </c>
      <c r="N518" s="3" t="inlineStr">
        <is>
          <t>Yes</t>
        </is>
      </c>
      <c r="O518" s="3" t="inlineStr">
        <is>
          <t>—</t>
        </is>
      </c>
      <c r="P518" s="3" t="n">
        <v>0</v>
      </c>
      <c r="Q518" s="3" t="inlineStr">
        <is>
          <t>None — no dependent function stands behind it</t>
        </is>
      </c>
      <c r="R518" s="3" t="inlineStr">
        <is>
          <t>No dependent function — it reads its inputs and answers</t>
        </is>
      </c>
      <c r="S518" s="3" t="inlineStr">
        <is>
          <t>—</t>
        </is>
      </c>
      <c r="T518" s="3" t="inlineStr">
        <is>
          <t>—</t>
        </is>
      </c>
      <c r="U518" s="3" t="inlineStr">
        <is>
          <t>ACTIVE</t>
        </is>
      </c>
      <c r="V518" s="3" t="inlineStr">
        <is>
          <t>2026-08-27</t>
        </is>
      </c>
      <c r="W518" s="3" t="n"/>
      <c r="X518" s="3" t="n"/>
      <c r="Y518" s="3" t="inlineStr">
        <is>
          <t>NOTHING OPEN</t>
        </is>
      </c>
    </row>
    <row r="519" ht="60" customHeight="1">
      <c r="A519" s="3" t="inlineStr">
        <is>
          <t>MK-ST-F-066</t>
        </is>
      </c>
      <c r="B519" s="3" t="inlineStr">
        <is>
          <t>isDayKey</t>
        </is>
      </c>
      <c r="C519" s="3" t="inlineStr">
        <is>
          <t>Calculation Module code/engines/rebuild-history.ts</t>
        </is>
      </c>
      <c r="D519" s="3" t="n">
        <v>70</v>
      </c>
      <c r="E519" s="3" t="inlineStr">
        <is>
          <t>1 · ACTION</t>
        </is>
      </c>
      <c r="F519" s="3" t="inlineStr">
        <is>
          <t>NOT DETERMINED — the code carries no note saying what this is for, and it has no row in the old inventory. Needs reading.</t>
        </is>
      </c>
      <c r="G519" s="11" t="inlineStr">
        <is>
          <t>NOT READ YET — the body is not a shape this can render faithfully, so nothing is claimed rather than something being guessed. It needs reading by hand.</t>
        </is>
      </c>
      <c r="H519" s="3" t="inlineStr">
        <is>
          <t>NOT READ YET — the body is not a shape this can render faithfully, so nothing is claimed rather than something being guessed. It needs reading by hand.</t>
        </is>
      </c>
      <c r="I519" s="3" t="inlineStr">
        <is>
          <t>NOT READ — nothing is claimed rather than something guessed</t>
        </is>
      </c>
      <c r="J519" s="3" t="inlineStr">
        <is>
          <t>d: unknown</t>
        </is>
      </c>
      <c r="K519" s="3" t="inlineStr">
        <is>
          <t>d is string</t>
        </is>
      </c>
      <c r="L519" s="3" t="inlineStr">
        <is>
          <t>—</t>
        </is>
      </c>
      <c r="M519" s="3" t="inlineStr">
        <is>
          <t>None found in this function — anything it assumes comes from the functions it depends on.</t>
        </is>
      </c>
      <c r="N519" s="3" t="inlineStr">
        <is>
          <t>Yes</t>
        </is>
      </c>
      <c r="O519" s="3" t="inlineStr">
        <is>
          <t>—</t>
        </is>
      </c>
      <c r="P519" s="3" t="n">
        <v>0</v>
      </c>
      <c r="Q519" s="3" t="inlineStr">
        <is>
          <t>None — no dependent function stands behind it</t>
        </is>
      </c>
      <c r="R519" s="3" t="inlineStr">
        <is>
          <t>No dependent function — it reads its inputs and answers</t>
        </is>
      </c>
      <c r="S519" s="3" t="inlineStr">
        <is>
          <t>—</t>
        </is>
      </c>
      <c r="T519" s="3" t="inlineStr">
        <is>
          <t>—</t>
        </is>
      </c>
      <c r="U519" s="3" t="inlineStr">
        <is>
          <t>ACTIVE</t>
        </is>
      </c>
      <c r="V519" s="3" t="inlineStr">
        <is>
          <t>2026-09-25</t>
        </is>
      </c>
      <c r="W519" s="3" t="n"/>
      <c r="X519" s="3" t="n"/>
      <c r="Y519" s="3" t="inlineStr">
        <is>
          <t>NOTHING OPEN</t>
        </is>
      </c>
    </row>
    <row r="520" ht="60" customHeight="1">
      <c r="A520" s="3" t="inlineStr">
        <is>
          <t>MK-ST-F-067</t>
        </is>
      </c>
      <c r="B520" s="3" t="inlineStr">
        <is>
          <t>utcOfDay</t>
        </is>
      </c>
      <c r="C520" s="3" t="inlineStr">
        <is>
          <t>Calculation Module code/engines/rebuild-history.ts</t>
        </is>
      </c>
      <c r="D520" s="3" t="n">
        <v>98</v>
      </c>
      <c r="E520" s="3" t="inlineStr">
        <is>
          <t>1 · ACTION</t>
        </is>
      </c>
      <c r="F520" s="3" t="inlineStr">
        <is>
          <t>NOT DETERMINED — the code carries no note saying what this is for, and it has no row in the old inventory. Needs reading.</t>
        </is>
      </c>
      <c r="G520" s="11" t="inlineStr">
        <is>
          <t>the first 4), +slice(5, 7) − 1, +slice(8, 10) of date.UTC(+d</t>
        </is>
      </c>
      <c r="H520" s="3" t="inlineStr">
        <is>
          <t>the first 4), +slice(5, 7) minus 1, +slice(8, 10) of date.UTC(+d</t>
        </is>
      </c>
      <c r="I520" s="3" t="inlineStr">
        <is>
          <t>PARTLY READ — some of the code is still showing through; needs a hand pass</t>
        </is>
      </c>
      <c r="J520" s="3" t="inlineStr">
        <is>
          <t>d: string</t>
        </is>
      </c>
      <c r="K520" s="3" t="inlineStr">
        <is>
          <t>NOT DECLARED — the code does not say what it gives back</t>
        </is>
      </c>
      <c r="L520" s="3" t="inlineStr">
        <is>
          <t>—</t>
        </is>
      </c>
      <c r="M520" s="3" t="inlineStr">
        <is>
          <t>None found in this function — anything it assumes comes from the functions it depends on.</t>
        </is>
      </c>
      <c r="N520" s="3" t="inlineStr">
        <is>
          <t>Yes</t>
        </is>
      </c>
      <c r="O520" s="3" t="inlineStr">
        <is>
          <t>—</t>
        </is>
      </c>
      <c r="P520" s="3" t="n">
        <v>0</v>
      </c>
      <c r="Q520" s="3" t="inlineStr">
        <is>
          <t>None — no dependent function stands behind it</t>
        </is>
      </c>
      <c r="R520" s="3" t="inlineStr">
        <is>
          <t>No dependent function — it reads its inputs and answers</t>
        </is>
      </c>
      <c r="S520" s="3" t="inlineStr">
        <is>
          <t>—</t>
        </is>
      </c>
      <c r="T520" s="3" t="inlineStr">
        <is>
          <t>—</t>
        </is>
      </c>
      <c r="U520" s="3" t="inlineStr">
        <is>
          <t>ACTIVE</t>
        </is>
      </c>
      <c r="V520" s="3" t="inlineStr">
        <is>
          <t>2026-09-25</t>
        </is>
      </c>
      <c r="W520" s="3" t="n"/>
      <c r="X520" s="3" t="n"/>
      <c r="Y520" s="3" t="inlineStr">
        <is>
          <t>NOTHING OPEN</t>
        </is>
      </c>
    </row>
    <row r="521" ht="60" customHeight="1">
      <c r="A521" s="3" t="inlineStr">
        <is>
          <t>MK-ST-F-068</t>
        </is>
      </c>
      <c r="B521" s="3" t="inlineStr">
        <is>
          <t>stepDay</t>
        </is>
      </c>
      <c r="C521" s="3" t="inlineStr">
        <is>
          <t>Calculation Module code/engines/rebuild-history.ts</t>
        </is>
      </c>
      <c r="D521" s="3" t="n">
        <v>126</v>
      </c>
      <c r="E521" s="3" t="inlineStr">
        <is>
          <t>1 · ACTION</t>
        </is>
      </c>
      <c r="F521" s="3" t="inlineStr">
        <is>
          <t>NOT DETERMINED — the code carries no note saying what this is for, and it has no row in the old inventory. Needs reading.</t>
        </is>
      </c>
      <c r="G521" s="11" t="inlineStr">
        <is>
          <t>the first 10 of the date utc of day(d) + days × DAY).to isostring(</t>
        </is>
      </c>
      <c r="H521" s="3" t="inlineStr">
        <is>
          <t>the first 10 of the date utc of day(d) plus days times DAY).to isostring(</t>
        </is>
      </c>
      <c r="I521" s="3" t="inlineStr">
        <is>
          <t>PARTLY READ — some of the code is still showing through; needs a hand pass</t>
        </is>
      </c>
      <c r="J521" s="3" t="inlineStr">
        <is>
          <t>1. d: string
2. days: number</t>
        </is>
      </c>
      <c r="K521" s="3" t="inlineStr">
        <is>
          <t>NOT DECLARED — the code does not say what it gives back</t>
        </is>
      </c>
      <c r="L521" s="3" t="inlineStr">
        <is>
          <t>—</t>
        </is>
      </c>
      <c r="M521" s="3" t="inlineStr">
        <is>
          <t>None found in this function — anything it assumes comes from the functions it depends on.</t>
        </is>
      </c>
      <c r="N521" s="3" t="inlineStr">
        <is>
          <t>Yes</t>
        </is>
      </c>
      <c r="O521" s="3" t="inlineStr">
        <is>
          <t>MK-ST-F-067 utcOfDay</t>
        </is>
      </c>
      <c r="P521" s="3" t="n">
        <v>1</v>
      </c>
      <c r="Q521" s="3" t="inlineStr">
        <is>
          <t>MK-ST-F-067 utcOfDay</t>
        </is>
      </c>
      <c r="R521" s="3" t="inlineStr">
        <is>
          <t>MK-ST-F-067 utcOfDay → MK-ST-F-068 stepDay</t>
        </is>
      </c>
      <c r="S521" s="3" t="inlineStr">
        <is>
          <t>—</t>
        </is>
      </c>
      <c r="T521" s="3" t="inlineStr">
        <is>
          <t>—</t>
        </is>
      </c>
      <c r="U521" s="3" t="inlineStr">
        <is>
          <t>ACTIVE</t>
        </is>
      </c>
      <c r="V521" s="3" t="inlineStr">
        <is>
          <t>2026-09-25</t>
        </is>
      </c>
      <c r="W521" s="3" t="n"/>
      <c r="X521" s="3" t="n"/>
      <c r="Y521" s="3" t="inlineStr">
        <is>
          <t>NOTHING OPEN</t>
        </is>
      </c>
    </row>
    <row r="522" ht="60" customHeight="1">
      <c r="A522" s="3" t="inlineStr">
        <is>
          <t>MK-ST-F-069</t>
        </is>
      </c>
      <c r="B522" s="3" t="inlineStr">
        <is>
          <t>amountOf</t>
        </is>
      </c>
      <c r="C522" s="3" t="inlineStr">
        <is>
          <t>Calculation Module code/engines/rebuild-history.ts</t>
        </is>
      </c>
      <c r="D522" s="3" t="n">
        <v>155</v>
      </c>
      <c r="E522" s="3" t="inlineStr">
        <is>
          <t>1 · ACTION</t>
        </is>
      </c>
      <c r="F522" s="3" t="inlineStr">
        <is>
          <t>NOT DETERMINED — the code carries no note saying what this is for, and it has no row in the old inventory. Needs reading.</t>
        </is>
      </c>
      <c r="G522" s="11" t="inlineStr">
        <is>
          <t>v   if typeof v = 'number' and number.is finite(v)
0   otherwise</t>
        </is>
      </c>
      <c r="H522" s="3" t="inlineStr">
        <is>
          <t>v — when typeof v = 'number' and number.is finite(v); 0 — otherwise</t>
        </is>
      </c>
      <c r="I522" s="3" t="inlineStr">
        <is>
          <t>PARTLY READ — some of the code is still showing through; needs a hand pass</t>
        </is>
      </c>
      <c r="J522" s="3" t="inlineStr">
        <is>
          <t>v: unknown</t>
        </is>
      </c>
      <c r="K522" s="3" t="inlineStr">
        <is>
          <t>0);</t>
        </is>
      </c>
      <c r="L522" s="3" t="inlineStr">
        <is>
          <t>1. "Certain months" — on the setup questions, which appear on more than one screen
2. "How many kids or dependents?" — on the setup questions, which appear on more than one screen
3. "Total interest" — on the setup questions, which appear on more than one screen
4. "When does it land? (pick the months)" — on the setup questions, which appear on more than one screen
5. "When is it due? (pick the months)" — on the setup questions, which appear on more than one screen</t>
        </is>
      </c>
      <c r="M522" s="3" t="inlineStr">
        <is>
          <t>None found in this function — anything it assumes comes from the functions it depends on.</t>
        </is>
      </c>
      <c r="N522" s="3" t="inlineStr">
        <is>
          <t>Yes</t>
        </is>
      </c>
      <c r="O522" s="3" t="inlineStr">
        <is>
          <t>—</t>
        </is>
      </c>
      <c r="P522" s="3" t="n">
        <v>0</v>
      </c>
      <c r="Q522" s="3" t="inlineStr">
        <is>
          <t>None — no dependent function stands behind it</t>
        </is>
      </c>
      <c r="R522" s="3" t="inlineStr">
        <is>
          <t>No dependent function — it reads its inputs and answers</t>
        </is>
      </c>
      <c r="S522" s="3" t="inlineStr">
        <is>
          <t>—</t>
        </is>
      </c>
      <c r="T522" s="3" t="inlineStr">
        <is>
          <t>—</t>
        </is>
      </c>
      <c r="U522" s="3" t="inlineStr">
        <is>
          <t>ACTIVE</t>
        </is>
      </c>
      <c r="V522" s="3" t="inlineStr">
        <is>
          <t>2026-09-28</t>
        </is>
      </c>
      <c r="W522" s="3" t="n"/>
      <c r="X522" s="3" t="n"/>
      <c r="Y522" s="3" t="inlineStr">
        <is>
          <t>NOTHING OPEN</t>
        </is>
      </c>
    </row>
    <row r="523" ht="45" customHeight="1">
      <c r="A523" s="3" t="inlineStr">
        <is>
          <t>MK-ST-F-070</t>
        </is>
      </c>
      <c r="B523" s="3" t="inlineStr">
        <is>
          <t>isOpening</t>
        </is>
      </c>
      <c r="C523" s="3" t="inlineStr">
        <is>
          <t>Calculation Module code/engines/rebuild-history.ts</t>
        </is>
      </c>
      <c r="D523" s="3" t="n">
        <v>186</v>
      </c>
      <c r="E523" s="3" t="inlineStr">
        <is>
          <t>1 · ACTION</t>
        </is>
      </c>
      <c r="F523" s="3" t="inlineStr">
        <is>
          <t>An opening row is the first capture of something that already existed — proof that the records do NOT reach behind it.</t>
        </is>
      </c>
      <c r="G523" s="11" t="inlineStr">
        <is>
          <t>type = 'OPENING_POSITION' (or type = 'OPENING_CASH' when missing or zero)</t>
        </is>
      </c>
      <c r="H523" s="3" t="inlineStr">
        <is>
          <t>type = 'OPENING_POSITION' (or type = 'OPENING_CASH' — when missing or zero)</t>
        </is>
      </c>
      <c r="I523" s="3" t="inlineStr">
        <is>
          <t>READ FROM THE CODE — rendered from the expressions the function runs</t>
        </is>
      </c>
      <c r="J523" s="3" t="inlineStr">
        <is>
          <t>t: RebuildTxn</t>
        </is>
      </c>
      <c r="K523" s="3" t="inlineStr">
        <is>
          <t>NOT DECLARED — the code does not say what it gives back</t>
        </is>
      </c>
      <c r="L523" s="3" t="inlineStr">
        <is>
          <t>—</t>
        </is>
      </c>
      <c r="M523" s="3" t="inlineStr">
        <is>
          <t>None found in this function — anything it assumes comes from the functions it depends on.</t>
        </is>
      </c>
      <c r="N523" s="3" t="inlineStr">
        <is>
          <t>Yes</t>
        </is>
      </c>
      <c r="O523" s="3" t="inlineStr">
        <is>
          <t>—</t>
        </is>
      </c>
      <c r="P523" s="3" t="n">
        <v>0</v>
      </c>
      <c r="Q523" s="3" t="inlineStr">
        <is>
          <t>None — no dependent function stands behind it</t>
        </is>
      </c>
      <c r="R523" s="3" t="inlineStr">
        <is>
          <t>No dependent function — it reads its inputs and answers</t>
        </is>
      </c>
      <c r="S523" s="3" t="inlineStr">
        <is>
          <t>—</t>
        </is>
      </c>
      <c r="T523" s="3" t="inlineStr">
        <is>
          <t>—</t>
        </is>
      </c>
      <c r="U523" s="3" t="inlineStr">
        <is>
          <t>ACTIVE</t>
        </is>
      </c>
      <c r="V523" s="3" t="inlineStr">
        <is>
          <t>2026-09-25</t>
        </is>
      </c>
      <c r="W523" s="3" t="n"/>
      <c r="X523" s="3" t="n"/>
      <c r="Y523" s="3" t="inlineStr">
        <is>
          <t>NOTHING OPEN</t>
        </is>
      </c>
    </row>
    <row r="524" ht="60" customHeight="1">
      <c r="A524" s="3" t="inlineStr">
        <is>
          <t>MK-ST-F-071</t>
        </is>
      </c>
      <c r="B524" s="3" t="inlineStr">
        <is>
          <t>rebuildableFrom</t>
        </is>
      </c>
      <c r="C524" s="3" t="inlineStr">
        <is>
          <t>Calculation Module code/engines/rebuild-history.ts</t>
        </is>
      </c>
      <c r="D524" s="3" t="n">
        <v>227</v>
      </c>
      <c r="E524" s="3" t="inlineStr">
        <is>
          <t>3 · DEPENDENT</t>
        </is>
      </c>
      <c r="F524" s="3" t="inlineStr">
        <is>
          <t>The earliest day this account's past can honestly be rebuilt to: the first record it gave us, but never behind an opening capture, because nothing explains what sat there before it.</t>
        </is>
      </c>
      <c r="G524" s="11" t="inlineStr">
        <is>
          <t>first = nothing
last opening = nothing
nothing   when first = nothing
the answer:
last opening   if last opening ≠ nothing and last opening &gt; first
first   otherwise</t>
        </is>
      </c>
      <c r="H524" s="3" t="inlineStr">
        <is>
          <t>First is no answer. Last opening is no answer. When first is missing, it answers no answer. The answer is last opening — when last opening is not no answer and last opening &gt; first; first — otherwise.</t>
        </is>
      </c>
      <c r="I524" s="3" t="inlineStr">
        <is>
          <t>READ FROM THE CODE — rendered from the expressions the function runs</t>
        </is>
      </c>
      <c r="J524" s="3" t="inlineStr">
        <is>
          <t>1. txns: RebuildTxn[]
2. accountId: string</t>
        </is>
      </c>
      <c r="K524" s="3" t="inlineStr">
        <is>
          <t>string | null</t>
        </is>
      </c>
      <c r="L524" s="3" t="inlineStr">
        <is>
          <t>—</t>
        </is>
      </c>
      <c r="M524" s="3" t="inlineStr">
        <is>
          <t>None found in this function — anything it assumes comes from the functions it depends on.</t>
        </is>
      </c>
      <c r="N524" s="3" t="inlineStr">
        <is>
          <t>Yes</t>
        </is>
      </c>
      <c r="O524" s="3" t="inlineStr">
        <is>
          <t>1. MK-ST-F-066 isDayKey
2. MK-ST-F-070 isOpening</t>
        </is>
      </c>
      <c r="P524" s="3" t="n">
        <v>2</v>
      </c>
      <c r="Q524" s="3" t="inlineStr">
        <is>
          <t>1. MK-ST-F-066 isDayKey
2. MK-ST-F-070 isOpening</t>
        </is>
      </c>
      <c r="R524" s="3" t="inlineStr">
        <is>
          <t>1. MK-ST-F-066 isDayKey → MK-ST-F-071 rebuildableFrom
2. MK-ST-F-070 isOpening → MK-ST-F-071 rebuildableFrom</t>
        </is>
      </c>
      <c r="S524" s="3" t="inlineStr">
        <is>
          <t>—</t>
        </is>
      </c>
      <c r="T524" s="3" t="inlineStr">
        <is>
          <t>—</t>
        </is>
      </c>
      <c r="U524" s="3" t="inlineStr">
        <is>
          <t>ACTIVE</t>
        </is>
      </c>
      <c r="V524" s="3" t="inlineStr">
        <is>
          <t>2026-09-25</t>
        </is>
      </c>
      <c r="W524" s="3" t="n"/>
      <c r="X524" s="3" t="n"/>
      <c r="Y524" s="3" t="inlineStr">
        <is>
          <t>NOTHING OPEN</t>
        </is>
      </c>
    </row>
    <row r="525" ht="60" customHeight="1">
      <c r="A525" s="3" t="inlineStr">
        <is>
          <t>MK-ST-F-072</t>
        </is>
      </c>
      <c r="B525" s="3" t="inlineStr">
        <is>
          <t>undo</t>
        </is>
      </c>
      <c r="C525" s="3" t="inlineStr">
        <is>
          <t>Calculation Module code/engines/rebuild-history.ts</t>
        </is>
      </c>
      <c r="D525" s="3" t="n">
        <v>275</v>
      </c>
      <c r="E525" s="3" t="inlineStr">
        <is>
          <t>1 · ACTION</t>
        </is>
      </c>
      <c r="F525" s="3" t="inlineStr">
        <is>
          <t>Undo one record: take the state on the day AFTER it back to the state before it happened.</t>
        </is>
      </c>
      <c r="G525" s="11" t="inlineStr">
        <is>
          <t>acc = account id
key = (ticker ?? '').trim().to upper case()
cash = (id: string, by: number) =&gt; cash of.set(id, (cash of.get(id) ?? 0) + by)
m = `${id}|${k}`
cur = held.get(m) (or units = 0 when missing)</t>
        </is>
      </c>
      <c r="H525" s="3" t="inlineStr">
        <is>
          <t>Acc is account id. Key is (ticker ?? '').trim().to upper case(). Cash is (id: string, by: number) =&gt; cash of.set(id, (cash of.get(id) ?? 0) plus by). M is `${id}|${k}`. Cur is held.get(m) (or units = 0 — when missing).</t>
        </is>
      </c>
      <c r="I525" s="3" t="inlineStr">
        <is>
          <t>PARTLY READ — some of the code is still showing through; needs a hand pass</t>
        </is>
      </c>
      <c r="J525" s="3" t="inlineStr">
        <is>
          <t>1. t: RebuildTxn
2. held: Map&lt;string, Held&gt;
3. cashOf: Map&lt;string, number&gt;</t>
        </is>
      </c>
      <c r="K525" s="3" t="inlineStr">
        <is>
          <t>void</t>
        </is>
      </c>
      <c r="L525" s="3" t="inlineStr">
        <is>
          <t>—</t>
        </is>
      </c>
      <c r="M525" s="3" t="inlineStr">
        <is>
          <t>None found in this function — anything it assumes comes from the functions it depends on.</t>
        </is>
      </c>
      <c r="N525" s="3" t="inlineStr">
        <is>
          <t>Yes</t>
        </is>
      </c>
      <c r="O525" s="3" t="inlineStr">
        <is>
          <t>1. MK-ST-F-069 amountOf
2. MK-CF-F-155 cash
3. MK-ST-F-035 covers</t>
        </is>
      </c>
      <c r="P525" s="3" t="n">
        <v>5</v>
      </c>
      <c r="Q525" s="3" t="inlineStr">
        <is>
          <t>1. MK-ST-F-069 amountOf
2. MK-CF-F-155 cash
3. MK-ST-F-035 covers
4. MK-XS-F-122 n
5. MK-ST-F-034 firstDate</t>
        </is>
      </c>
      <c r="R525" s="3" t="inlineStr">
        <is>
          <t>1. MK-ST-F-069 amountOf → MK-ST-F-072 undo
2. MK-XS-F-122 n → MK-CF-F-155 cash → MK-ST-F-072 undo
3. MK-ST-F-034 firstDate → MK-ST-F-035 covers → MK-ST-F-072 undo</t>
        </is>
      </c>
      <c r="S525" s="3" t="inlineStr">
        <is>
          <t>—</t>
        </is>
      </c>
      <c r="T525" s="3" t="inlineStr">
        <is>
          <t>—</t>
        </is>
      </c>
      <c r="U525" s="3" t="inlineStr">
        <is>
          <t>ACTIVE</t>
        </is>
      </c>
      <c r="V525" s="3" t="inlineStr">
        <is>
          <t>2026-09-25</t>
        </is>
      </c>
      <c r="W525" s="3" t="n"/>
      <c r="X525" s="3" t="n"/>
      <c r="Y525" s="3" t="inlineStr">
        <is>
          <t>NOTHING OPEN</t>
        </is>
      </c>
    </row>
    <row r="526" ht="60" customHeight="1">
      <c r="A526" s="3" t="inlineStr">
        <is>
          <t>MK-ST-F-073</t>
        </is>
      </c>
      <c r="B526" s="3" t="inlineStr">
        <is>
          <t>rebuildDays</t>
        </is>
      </c>
      <c r="C526" s="3" t="inlineStr">
        <is>
          <t>Calculation Module code/engines/rebuild-history.ts</t>
        </is>
      </c>
      <c r="D526" s="3" t="n">
        <v>407</v>
      </c>
      <c r="E526" s="3" t="inlineStr">
        <is>
          <t>3 · DEPENDENT</t>
        </is>
      </c>
      <c r="F526" s="3" t="inlineStr">
        <is>
          <t>Rebuild the daily record backwards from today, for the accounts whose records can explain it.</t>
        </is>
      </c>
      <c r="G526" s="11" t="inlineStr">
        <is>
          <t>days = []
start by account = {}
skipped = []   when !is day key(today) (or !is day key(earliest) (or earliest &gt; today when missing or zero) when missing or zero)
wanted = accounts (or none when missing) where account ids.has(string(asset id))
days = []
start by account = {}
skipped = []   when count of wanted is missing
start by account = {}
from = rebuildable from(input.transactions ?? [], string(asset id))
starts = object.values(start by account)
days = []
start by account = {}
skipped = []   when count of starts is missing
floor = starts.reduce((m, d) =&gt; (d &lt; m ? d : m))
held = new map&lt;string, held&gt;()
cash of = new map&lt;string, number&gt;()
symbol of = new map&lt;string, string&gt;()
… the first steps only — the rest of the body needs reading by hand.</t>
        </is>
      </c>
      <c r="H526" s="3" t="inlineStr">
        <is>
          <t>When !is day key(today) (or !is day key(earliest) (or earliest &gt; today — when missing or zero) — when missing or zero), it answers days = []; start by account = {}; skipped = []. Wanted is accounts (or none — when missing) where account ids.has(string(asset id)). When how many wanted is missing there are, it answers days = []; start by account = {}; skipped = []. Start by account is {}. From is rebuildable from(input.transactions ?? [], string(asset id)). Starts is object.values(start by account). When how many starts is missing there are, it answers days = []; start by account = {}; skipped = []. Floor is starts.reduce((m, d) =&gt; (d &lt; m ? d : m)). Held is new map&lt;string, held&gt;(). Cash of is new map&lt;string, number&gt;(). Symbol of is new map&lt;string, string&gt;(). Only the first steps are shown; the rest of the body needs reading by hand.</t>
        </is>
      </c>
      <c r="I526" s="3" t="inlineStr">
        <is>
          <t>PARTLY READ — some of the code is still showing through; needs a hand pass</t>
        </is>
      </c>
      <c r="J526" s="3" t="inlineStr">
        <is>
          <t>input: RebuildInput</t>
        </is>
      </c>
      <c r="K526" s="3" t="inlineStr">
        <is>
          <t>RebuildResult</t>
        </is>
      </c>
      <c r="L526" s="3" t="inlineStr">
        <is>
          <t>—</t>
        </is>
      </c>
      <c r="M526" s="3" t="inlineStr">
        <is>
          <t>· Uses a built-in cursor of 0.</t>
        </is>
      </c>
      <c r="N526" s="3" t="inlineStr">
        <is>
          <t>Yes</t>
        </is>
      </c>
      <c r="O526" s="3" t="inlineStr">
        <is>
          <t>1. MK-ST-F-069 amountOf
2. MK-CF-F-133 cashOf
3. MK-ST-F-056 has
4. MK-ST-F-066 isDayKey
5. MK-ST-F-070 isOpening
6. MK-CF-F-132 map
7. MK-ST-F-071 rebuildableFrom
8. MK-ST-F-068 stepDay
9. MK-ST-F-072 undo</t>
        </is>
      </c>
      <c r="P526" s="3" t="n">
        <v>14</v>
      </c>
      <c r="Q526" s="3" t="inlineStr">
        <is>
          <t>1. MK-ST-F-069 amountOf
2. MK-CF-F-133 cashOf
3. MK-ST-F-056 has
4. MK-ST-F-066 isDayKey
5. MK-ST-F-070 isOpening
6. MK-CF-F-132 map
7. MK-ST-F-071 rebuildableFrom
8. MK-ST-F-068 stepDay
9. MK-ST-F-072 undo
10. MK-ST-F-067 utcOfDay
11. MK-CF-F-155 cash
12. MK-ST-F-035 covers
13. MK-XS-F-122 n
14. MK-ST-F-034 firstDate</t>
        </is>
      </c>
      <c r="R526" s="3" t="inlineStr">
        <is>
          <t>1. MK-ST-F-069 amountOf → MK-ST-F-073 rebuildDays
2. MK-CF-F-133 cashOf → MK-ST-F-073 rebuildDays
3. MK-ST-F-056 has → MK-ST-F-073 rebuildDays
4. MK-ST-F-066 isDayKey → MK-ST-F-073 rebuildDays
5. MK-ST-F-070 isOpening → MK-ST-F-073 rebuildDays
6. MK-CF-F-132 map → MK-ST-F-073 rebuildDays
7. MK-ST-F-066 isDayKey → MK-ST-F-071 rebuildableFrom → MK-ST-F-073 rebuildDays
8. MK-ST-F-070 isOpening → MK-ST-F-071 rebuildableFrom → MK-ST-F-073 rebuildDays
9. … and 4 more paths</t>
        </is>
      </c>
      <c r="S526" s="3" t="inlineStr">
        <is>
          <t>—</t>
        </is>
      </c>
      <c r="T526" s="3" t="inlineStr">
        <is>
          <t>—</t>
        </is>
      </c>
      <c r="U526" s="3" t="inlineStr">
        <is>
          <t>ACTIVE</t>
        </is>
      </c>
      <c r="V526" s="3" t="inlineStr">
        <is>
          <t>2026-09-25</t>
        </is>
      </c>
      <c r="W526" s="3" t="n"/>
      <c r="X526" s="3" t="n"/>
      <c r="Y526" s="3" t="inlineStr">
        <is>
          <t>NOTHING OPEN</t>
        </is>
      </c>
    </row>
    <row r="527" ht="60" customHeight="1">
      <c r="A527" s="3" t="inlineStr">
        <is>
          <t>MK-ST-F-074</t>
        </is>
      </c>
      <c r="B527" s="3" t="inlineStr">
        <is>
          <t>rebuiltSentence</t>
        </is>
      </c>
      <c r="C527" s="3" t="inlineStr">
        <is>
          <t>Calculation Module code/engines/rebuild-history.ts</t>
        </is>
      </c>
      <c r="D527" s="3" t="n">
        <v>518</v>
      </c>
      <c r="E527" s="3" t="inlineStr">
        <is>
          <t>2 · DISPLAYED</t>
        </is>
      </c>
      <c r="F527" s="3" t="inlineStr">
        <is>
          <t>The one sentence the screen says about a rebuilt line: where it came from and where it starts.</t>
        </is>
      </c>
      <c r="G527" s="11" t="inlineStr">
        <is>
          <t>''   when from is missing
who = (institution ?? '').trim()
day = the date `${from}T12:00:00`).to locale date string('en − US', { month: 'short', day: 'numeric', year: 'numeric' }</t>
        </is>
      </c>
      <c r="H527" s="3" t="inlineStr">
        <is>
          <t>When from is missing, it answers ''. Who is (institution ?? '').trim(). Day: the date `${from}T12:00:00`).to locale date string('en minus US', { month: 'short', day: 'numeric', year: 'numeric' }.</t>
        </is>
      </c>
      <c r="I527" s="3" t="inlineStr">
        <is>
          <t>PARTLY READ — some of the code is still showing through; needs a hand pass</t>
        </is>
      </c>
      <c r="J527" s="3" t="inlineStr">
        <is>
          <t>1. institution: string | null | undefined
2. from: string | null</t>
        </is>
      </c>
      <c r="K527" s="3" t="inlineStr">
        <is>
          <t>string</t>
        </is>
      </c>
      <c r="L527" s="3" t="inlineStr">
        <is>
          <t>NOT FOUND — a screen calls it, but the words printed beside its answer could not be traced automatically. Needs reading.</t>
        </is>
      </c>
      <c r="M527" s="3" t="inlineStr">
        <is>
          <t>None found in this function — anything it assumes comes from the functions it depends on.</t>
        </is>
      </c>
      <c r="N527" s="3" t="inlineStr">
        <is>
          <t>Yes</t>
        </is>
      </c>
      <c r="O527" s="3" t="inlineStr">
        <is>
          <t>—</t>
        </is>
      </c>
      <c r="P527" s="3" t="n">
        <v>0</v>
      </c>
      <c r="Q527" s="3" t="inlineStr">
        <is>
          <t>None — no dependent function stands behind it</t>
        </is>
      </c>
      <c r="R527" s="3" t="inlineStr">
        <is>
          <t>No dependent function — it reads its inputs and answers</t>
        </is>
      </c>
      <c r="S527" s="3" t="inlineStr">
        <is>
          <t>—</t>
        </is>
      </c>
      <c r="T527" s="3" t="inlineStr">
        <is>
          <t>—</t>
        </is>
      </c>
      <c r="U527" s="3" t="inlineStr">
        <is>
          <t>ACTIVE</t>
        </is>
      </c>
      <c r="V527" s="3" t="inlineStr">
        <is>
          <t>2026-09-25</t>
        </is>
      </c>
      <c r="W527" s="3" t="n"/>
      <c r="X527" s="3" t="n"/>
      <c r="Y527" s="3" t="inlineStr">
        <is>
          <t>NOTHING OPEN</t>
        </is>
      </c>
    </row>
    <row r="528" ht="60" customHeight="1">
      <c r="A528" s="3" t="inlineStr">
        <is>
          <t>MK-ST-F-075</t>
        </is>
      </c>
      <c r="B528" s="3" t="inlineStr">
        <is>
          <t>agoLabel</t>
        </is>
      </c>
      <c r="C528" s="3" t="inlineStr">
        <is>
          <t>src/domain/_shared/freshness.ts</t>
        </is>
      </c>
      <c r="D528" s="3" t="n">
        <v>83</v>
      </c>
      <c r="E528" s="3" t="inlineStr">
        <is>
          <t>3 · DEPENDENT</t>
        </is>
      </c>
      <c r="F528" s="3" t="inlineStr">
        <is>
          <t>How long ago, in words a person reads — never a raw date.</t>
        </is>
      </c>
      <c r="G528" s="11" t="inlineStr">
        <is>
          <t>days = days since(when, now)
nothing   when days = nothing
`${days} day${days &gt; 1 ? 's' : ''} ago`   when days ≥ 1
hours = round down((now − (typeof when = 'number' ? when : date.parse(string(when)))) ÷ 3600000)
the answer:
`${hours}h ago`   if hours ≥ 1
'just now'   otherwise</t>
        </is>
      </c>
      <c r="H528" s="3" t="inlineStr">
        <is>
          <t>Days is days since(when, now). When days is missing, it answers no answer. When days is at least 1, it answers `${days} day${days &gt; 1 ? 's' : ''} ago`. Hours is (now minus (typeof — when = 'number' ? — when : date.parse(string(when, rounded down))) divided by 3600000). The answer is `${hours}h ago` — when hours is at least 1; 'just now' — otherwise.</t>
        </is>
      </c>
      <c r="I528" s="3" t="inlineStr">
        <is>
          <t>PARTLY READ — some of the code is still showing through; needs a hand pass</t>
        </is>
      </c>
      <c r="J528" s="3" t="inlineStr">
        <is>
          <t>1. when: string | number | null | undefined
2. now: number</t>
        </is>
      </c>
      <c r="K528" s="3" t="inlineStr">
        <is>
          <t>string | null</t>
        </is>
      </c>
      <c r="L528" s="3" t="inlineStr">
        <is>
          <t>—</t>
        </is>
      </c>
      <c r="M528" s="3" t="inlineStr">
        <is>
          <t>None found in this function — anything it assumes comes from the functions it depends on.</t>
        </is>
      </c>
      <c r="N528" s="3" t="inlineStr">
        <is>
          <t>Yes</t>
        </is>
      </c>
      <c r="O528" s="3" t="inlineStr">
        <is>
          <t>MK-XS-F-170 daysSince</t>
        </is>
      </c>
      <c r="P528" s="3" t="n">
        <v>1</v>
      </c>
      <c r="Q528" s="3" t="inlineStr">
        <is>
          <t>MK-XS-F-170 daysSince</t>
        </is>
      </c>
      <c r="R528" s="3" t="inlineStr">
        <is>
          <t>MK-XS-F-170 daysSince → MK-ST-F-075 agoLabel</t>
        </is>
      </c>
      <c r="S528" s="3" t="inlineStr">
        <is>
          <t>—</t>
        </is>
      </c>
      <c r="T528" s="3" t="inlineStr">
        <is>
          <t>—</t>
        </is>
      </c>
      <c r="U528" s="3" t="inlineStr">
        <is>
          <t>ACTIVE</t>
        </is>
      </c>
      <c r="V528" s="3" t="inlineStr">
        <is>
          <t>2026-10-01</t>
        </is>
      </c>
      <c r="W528" s="3" t="n"/>
      <c r="X528" s="3" t="n"/>
      <c r="Y528" s="3" t="inlineStr">
        <is>
          <t>NOTHING OPEN</t>
        </is>
      </c>
    </row>
    <row r="529" ht="60" customHeight="1">
      <c r="A529" s="3" t="inlineStr">
        <is>
          <t>MK-ST-F-076</t>
        </is>
      </c>
      <c r="B529" s="3" t="inlineStr">
        <is>
          <t>ageLabel</t>
        </is>
      </c>
      <c r="C529" s="3" t="inlineStr">
        <is>
          <t>src/domain/_shared/freshness.ts</t>
        </is>
      </c>
      <c r="D529" s="3" t="n">
        <v>123</v>
      </c>
      <c r="E529" s="3" t="inlineStr">
        <is>
          <t>3 · DEPENDENT</t>
        </is>
      </c>
      <c r="F529" s="3" t="inlineStr">
        <is>
          <t>HOW OLD, IN DAYS, IN THE WORDS HE APPROVED — 'today', 'yesterday', '3 days old'.</t>
        </is>
      </c>
      <c r="G529" s="11" t="inlineStr">
        <is>
          <t>days = days since(when, now)
nothing   when days = nothing
'today'   when days = 0
'yesterday'   when days = 1
the answer = `${days} days old`</t>
        </is>
      </c>
      <c r="H529" s="3" t="inlineStr">
        <is>
          <t>Days is days since(when, now). When days is missing, it answers no answer. When days = 0, it answers 'today'. When days = 1, it answers 'yesterday'. The answer is `${days} days old`.</t>
        </is>
      </c>
      <c r="I529" s="3" t="inlineStr">
        <is>
          <t>PARTLY READ — some of the code is still showing through; needs a hand pass</t>
        </is>
      </c>
      <c r="J529" s="3" t="inlineStr">
        <is>
          <t>1. when: string | number | null | undefined
2. now: number</t>
        </is>
      </c>
      <c r="K529" s="3" t="inlineStr">
        <is>
          <t>string | null</t>
        </is>
      </c>
      <c r="L529" s="3" t="inlineStr">
        <is>
          <t>—</t>
        </is>
      </c>
      <c r="M529" s="3" t="inlineStr">
        <is>
          <t>None found in this function — anything it assumes comes from the functions it depends on.</t>
        </is>
      </c>
      <c r="N529" s="3" t="inlineStr">
        <is>
          <t>Yes</t>
        </is>
      </c>
      <c r="O529" s="3" t="inlineStr">
        <is>
          <t>MK-XS-F-170 daysSince</t>
        </is>
      </c>
      <c r="P529" s="3" t="n">
        <v>1</v>
      </c>
      <c r="Q529" s="3" t="inlineStr">
        <is>
          <t>MK-XS-F-170 daysSince</t>
        </is>
      </c>
      <c r="R529" s="3" t="inlineStr">
        <is>
          <t>MK-XS-F-170 daysSince → MK-ST-F-076 ageLabel</t>
        </is>
      </c>
      <c r="S529" s="3" t="inlineStr">
        <is>
          <t>—</t>
        </is>
      </c>
      <c r="T529" s="3" t="inlineStr">
        <is>
          <t>—</t>
        </is>
      </c>
      <c r="U529" s="3" t="inlineStr">
        <is>
          <t>ACTIVE</t>
        </is>
      </c>
      <c r="V529" s="3" t="inlineStr">
        <is>
          <t>2026-10-01</t>
        </is>
      </c>
      <c r="W529" s="3" t="n"/>
      <c r="X529" s="3" t="n"/>
      <c r="Y529" s="3" t="inlineStr">
        <is>
          <t>NOTHING OPEN</t>
        </is>
      </c>
    </row>
    <row r="530" ht="45" customHeight="1">
      <c r="A530" s="3" t="inlineStr">
        <is>
          <t>MK-ST-F-077</t>
        </is>
      </c>
      <c r="B530" s="3" t="inlineStr">
        <is>
          <t>isStale</t>
        </is>
      </c>
      <c r="C530" s="3" t="inlineStr">
        <is>
          <t>src/domain/_shared/freshness.ts</t>
        </is>
      </c>
      <c r="D530" s="3" t="n">
        <v>154</v>
      </c>
      <c r="E530" s="3" t="inlineStr">
        <is>
          <t>3 · DEPENDENT</t>
        </is>
      </c>
      <c r="F530" s="3" t="inlineStr">
        <is>
          <t>Stale, by the one threshold.</t>
        </is>
      </c>
      <c r="G530" s="11" t="inlineStr">
        <is>
          <t>days = days since(when, now)
the answer = days = nothing (or days ≥ STALE_AFTER_DAYS when missing or zero)</t>
        </is>
      </c>
      <c r="H530" s="3" t="inlineStr">
        <is>
          <t>Days is days since(when, now). The answer is days is missing (or days is at least STALE_AFTER_DAYS — when missing or zero).</t>
        </is>
      </c>
      <c r="I530" s="3" t="inlineStr">
        <is>
          <t>READ FROM THE CODE — rendered from the expressions the function runs</t>
        </is>
      </c>
      <c r="J530" s="3" t="inlineStr">
        <is>
          <t>1. when: string | number | null | undefined
2. now: number</t>
        </is>
      </c>
      <c r="K530" s="3" t="inlineStr">
        <is>
          <t>boolean</t>
        </is>
      </c>
      <c r="L530" s="3" t="inlineStr">
        <is>
          <t>—</t>
        </is>
      </c>
      <c r="M530" s="3" t="inlineStr">
        <is>
          <t>None found in this function — anything it assumes comes from the functions it depends on.</t>
        </is>
      </c>
      <c r="N530" s="3" t="inlineStr">
        <is>
          <t>Yes</t>
        </is>
      </c>
      <c r="O530" s="3" t="inlineStr">
        <is>
          <t>MK-XS-F-170 daysSince</t>
        </is>
      </c>
      <c r="P530" s="3" t="n">
        <v>1</v>
      </c>
      <c r="Q530" s="3" t="inlineStr">
        <is>
          <t>MK-XS-F-170 daysSince</t>
        </is>
      </c>
      <c r="R530" s="3" t="inlineStr">
        <is>
          <t>MK-XS-F-170 daysSince → MK-ST-F-077 isStale</t>
        </is>
      </c>
      <c r="S530" s="3" t="inlineStr">
        <is>
          <t>—</t>
        </is>
      </c>
      <c r="T530" s="3" t="inlineStr">
        <is>
          <t>—</t>
        </is>
      </c>
      <c r="U530" s="3" t="inlineStr">
        <is>
          <t>ACTIVE</t>
        </is>
      </c>
      <c r="V530" s="3" t="inlineStr">
        <is>
          <t>2026-10-01</t>
        </is>
      </c>
      <c r="W530" s="3" t="n"/>
      <c r="X530" s="3" t="n"/>
      <c r="Y530" s="3" t="inlineStr">
        <is>
          <t>NOTHING OPEN</t>
        </is>
      </c>
    </row>
    <row r="531" ht="60" customHeight="1">
      <c r="A531" s="3" t="inlineStr">
        <is>
          <t>MK-ST-F-078</t>
        </is>
      </c>
      <c r="B531" s="3" t="inlineStr">
        <is>
          <t>dateShown</t>
        </is>
      </c>
      <c r="C531" s="3" t="inlineStr">
        <is>
          <t>src/domain/_shared/dates.ts</t>
        </is>
      </c>
      <c r="D531" s="3" t="n">
        <v>64</v>
      </c>
      <c r="E531" s="3" t="inlineStr">
        <is>
          <t>2 · DISPLAYED</t>
        </is>
      </c>
      <c r="F531" s="3" t="inlineStr">
        <is>
          <t>NOT DETERMINED — the code carries no note saying what this is for, and it has no row in the old inventory. Needs reading.</t>
        </is>
      </c>
      <c r="G531" s="11" t="inlineStr">
        <is>
          <t>''   when iso is missing
`${MONTH_SHORT[(m or 1) − 1]} ${d}, ${y}`   if y
''   otherwise</t>
        </is>
      </c>
      <c r="H531" s="3" t="inlineStr">
        <is>
          <t>When iso is missing, it answers ''. `${MONTH_SHORT[(m or 1) minus 1]} ${d}, ${y}` — when y; '' — otherwise.</t>
        </is>
      </c>
      <c r="I531" s="3" t="inlineStr">
        <is>
          <t>PARTLY READ — some of the code is still showing through; needs a hand pass</t>
        </is>
      </c>
      <c r="J531" s="3" t="inlineStr">
        <is>
          <t>iso: string | null | undefined</t>
        </is>
      </c>
      <c r="K531" s="3" t="inlineStr">
        <is>
          <t>string</t>
        </is>
      </c>
      <c r="L531" s="3" t="inlineStr">
        <is>
          <t>"Performance" — on the Performance screen</t>
        </is>
      </c>
      <c r="M531" s="3" t="inlineStr">
        <is>
          <t>None found in this function — anything it assumes comes from the functions it depends on.</t>
        </is>
      </c>
      <c r="N531" s="3" t="inlineStr">
        <is>
          <t>Yes</t>
        </is>
      </c>
      <c r="O531" s="3" t="inlineStr">
        <is>
          <t>MK-CF-F-132 map</t>
        </is>
      </c>
      <c r="P531" s="3" t="n">
        <v>1</v>
      </c>
      <c r="Q531" s="3" t="inlineStr">
        <is>
          <t>MK-CF-F-132 map</t>
        </is>
      </c>
      <c r="R531" s="3" t="inlineStr">
        <is>
          <t>MK-CF-F-132 map → MK-ST-F-078 dateShown</t>
        </is>
      </c>
      <c r="S531" s="3" t="inlineStr">
        <is>
          <t>—</t>
        </is>
      </c>
      <c r="T531" s="3" t="inlineStr">
        <is>
          <t>—</t>
        </is>
      </c>
      <c r="U531" s="3" t="inlineStr">
        <is>
          <t>ACTIVE</t>
        </is>
      </c>
      <c r="V531" s="3" t="inlineStr">
        <is>
          <t>2026-10-01</t>
        </is>
      </c>
      <c r="W531" s="3" t="n"/>
      <c r="X531" s="3" t="n"/>
      <c r="Y531" s="3" t="inlineStr">
        <is>
          <t>NOTHING OPEN</t>
        </is>
      </c>
    </row>
    <row r="532" ht="45" customHeight="1">
      <c r="A532" s="3" t="inlineStr">
        <is>
          <t>MK-ST-F-079</t>
        </is>
      </c>
      <c r="B532" s="3" t="inlineStr">
        <is>
          <t>dailyWindowStart</t>
        </is>
      </c>
      <c r="C532" s="3" t="inlineStr">
        <is>
          <t>Calculation Module code/engines/snapshots.ts</t>
        </is>
      </c>
      <c r="D532" s="3" t="n">
        <v>264</v>
      </c>
      <c r="E532" s="3" t="inlineStr">
        <is>
          <t>3 · DEPENDENT</t>
        </is>
      </c>
      <c r="F532" s="3" t="inlineStr">
        <is>
          <t>THE FIRST DAY OF THE DAILY RECORD: two years back AND THE DAY BEFORE THAT.</t>
        </is>
      </c>
      <c r="G532" s="11" t="inlineStr">
        <is>
          <t>cutoff = the first 10)}T12:00:00Z` of new date(`${today
the answer = the first 10 of cutoff.to isostring()</t>
        </is>
      </c>
      <c r="H532" s="3" t="inlineStr">
        <is>
          <t>Cutoff: the first 10)}T12:00:00Z` of new date(`${today. The answer: the first 10 of cutoff.to isostring().</t>
        </is>
      </c>
      <c r="I532" s="3" t="inlineStr">
        <is>
          <t>PARTLY READ — some of the code is still showing through; needs a hand pass</t>
        </is>
      </c>
      <c r="J532" s="3" t="inlineStr">
        <is>
          <t>today: string</t>
        </is>
      </c>
      <c r="K532" s="3" t="inlineStr">
        <is>
          <t>string</t>
        </is>
      </c>
      <c r="L532" s="3" t="inlineStr">
        <is>
          <t>—</t>
        </is>
      </c>
      <c r="M532" s="3" t="inlineStr">
        <is>
          <t>None found in this function — anything it assumes comes from the functions it depends on.</t>
        </is>
      </c>
      <c r="N532" s="3" t="inlineStr">
        <is>
          <t>Yes</t>
        </is>
      </c>
      <c r="O532" s="3" t="inlineStr">
        <is>
          <t>—</t>
        </is>
      </c>
      <c r="P532" s="3" t="n">
        <v>0</v>
      </c>
      <c r="Q532" s="3" t="inlineStr">
        <is>
          <t>None — no dependent function stands behind it</t>
        </is>
      </c>
      <c r="R532" s="3" t="inlineStr">
        <is>
          <t>No dependent function — it reads its inputs and answers</t>
        </is>
      </c>
      <c r="S532" s="3" t="inlineStr">
        <is>
          <t>—</t>
        </is>
      </c>
      <c r="T532" s="3" t="inlineStr">
        <is>
          <t>—</t>
        </is>
      </c>
      <c r="U532" s="3" t="inlineStr">
        <is>
          <t>ACTIVE</t>
        </is>
      </c>
      <c r="V532" s="3" t="inlineStr">
        <is>
          <t>2026-10-03</t>
        </is>
      </c>
      <c r="W532" s="3" t="n"/>
      <c r="X532" s="3" t="n"/>
      <c r="Y532" s="3" t="inlineStr">
        <is>
          <t>NOTHING OPEN</t>
        </is>
      </c>
    </row>
    <row r="533" ht="60" customHeight="1">
      <c r="A533" s="3" t="inlineStr">
        <is>
          <t>MK-XS-F-001</t>
        </is>
      </c>
      <c r="B533" s="3" t="inlineStr">
        <is>
          <t>planCompleteness</t>
        </is>
      </c>
      <c r="C533" s="3" t="inlineStr">
        <is>
          <t>src/domain/completeness/index.ts</t>
        </is>
      </c>
      <c r="D533" s="3" t="n">
        <v>40</v>
      </c>
      <c r="E533" s="3" t="inlineStr">
        <is>
          <t>2 · DISPLAYED</t>
        </is>
      </c>
      <c r="F533" s="3" t="inlineStr">
        <is>
          <t>NOT DETERMINED — the code carries no note saying what this is for, and it has no row in the old inventory. Needs reading.</t>
        </is>
      </c>
      <c r="G533" s="11" t="inlineStr">
        <is>
          <t>done count = checks where donecount of 
total = count of checks
the answer:
checks = checks
done count = done count
total = total
pct = round((done count ÷ total) × 100)</t>
        </is>
      </c>
      <c r="H533" s="3" t="inlineStr">
        <is>
          <t>Done count is checks where donecount of. Total: how many checks there are. The answer is checks = checks; done count = done count; total = total; pct = (done count divided by total, to a whole number times 100).</t>
        </is>
      </c>
      <c r="I533" s="3" t="inlineStr">
        <is>
          <t>READ FROM THE CODE — rendered from the expressions the function runs</t>
        </is>
      </c>
      <c r="J533" s="3" t="inlineStr">
        <is>
          <t>i: CompletenessInput</t>
        </is>
      </c>
      <c r="K533" s="3" t="inlineStr">
        <is>
          <t>NOT DECLARED — the code does not say what it gives back</t>
        </is>
      </c>
      <c r="L533" s="3" t="inlineStr">
        <is>
          <t>NOT FOUND — a screen calls it, but the words printed beside its answer could not be traced automatically. Needs reading.</t>
        </is>
      </c>
      <c r="M533" s="3" t="inlineStr">
        <is>
          <t>· Rounds the answer to a whole number.</t>
        </is>
      </c>
      <c r="N533" s="3" t="inlineStr">
        <is>
          <t>Yes</t>
        </is>
      </c>
      <c r="O533" s="3" t="inlineStr">
        <is>
          <t>—</t>
        </is>
      </c>
      <c r="P533" s="3" t="n">
        <v>0</v>
      </c>
      <c r="Q533" s="3" t="inlineStr">
        <is>
          <t>None — no dependent function stands behind it</t>
        </is>
      </c>
      <c r="R533" s="3" t="inlineStr">
        <is>
          <t>No dependent function — it reads its inputs and answers</t>
        </is>
      </c>
      <c r="S533" s="3" t="inlineStr">
        <is>
          <t>—</t>
        </is>
      </c>
      <c r="T533" s="3" t="inlineStr">
        <is>
          <t>—</t>
        </is>
      </c>
      <c r="U533" s="3" t="inlineStr">
        <is>
          <t>ACTIVE</t>
        </is>
      </c>
      <c r="V533" s="3" t="inlineStr">
        <is>
          <t>2026-08-27</t>
        </is>
      </c>
      <c r="W533" s="3" t="n"/>
      <c r="X533" s="3" t="n"/>
      <c r="Y533" s="3" t="inlineStr">
        <is>
          <t>NOTHING OPEN</t>
        </is>
      </c>
    </row>
    <row r="534" ht="60" customHeight="1">
      <c r="A534" s="3" t="inlineStr">
        <is>
          <t>MK-XS-F-002</t>
        </is>
      </c>
      <c r="B534" s="3" t="inlineStr">
        <is>
          <t>dataGaps</t>
        </is>
      </c>
      <c r="C534" s="3" t="inlineStr">
        <is>
          <t>src/domain/gaps/index.ts</t>
        </is>
      </c>
      <c r="D534" s="3" t="n">
        <v>149</v>
      </c>
      <c r="E534" s="3" t="inlineStr">
        <is>
          <t>2 · DISPLAYED</t>
        </is>
      </c>
      <c r="F534" s="3" t="inlineStr">
        <is>
          <t>Every incomplete promise across the given accounts.</t>
        </is>
      </c>
      <c r="G534" s="11" t="inlineStr">
        <is>
          <t>gaps = []
names = names for(accounts ?? [])
who = name of(a, names)
priced = price ≠ nothing and price &gt; 0
d = days since(last synced, now)
unreachable = (failures ?? []).find((f) =&gt; account id = asset id)
has activity = (transactions ?? []).some((t) =&gt; account id = asset id and (type = 'DIVIDEND' or type = 'INTEREST'))
cov = history coverage(a, window start, new date(now))   if window start
nothing   otherwise
d = days since(value as of, now)
the answer = gaps</t>
        </is>
      </c>
      <c r="H534" s="3" t="inlineStr">
        <is>
          <t>Gaps is []. Names is names for(accounts ?? []). Who is name of(a, names). Priced is price is not no answer and price &gt; 0. D is days since(last synced, now). Unreachable is (failures ?? []).find((f) =&gt; account id = asset id). Has activity is (transactions ?? []).some((t) =&gt; account id = asset id and (type = 'DIVIDEND' or type = 'INTEREST')). Cov is history coverage(a, window start, new date(now)) — when window start; no answer — otherwise. D is days since(value as of, now). The answer is gaps.</t>
        </is>
      </c>
      <c r="I534" s="3" t="inlineStr">
        <is>
          <t>PARTLY READ — some of the code is still showing through; needs a hand pass</t>
        </is>
      </c>
      <c r="J534" s="3" t="inlineStr">
        <is>
          <t>Nothing is handed to it</t>
        </is>
      </c>
      <c r="K534" s="3" t="inlineStr">
        <is>
          <t>NOT DECLARED — the code does not say what it gives back</t>
        </is>
      </c>
      <c r="L534" s="3" t="inlineStr">
        <is>
          <t>NOT FOUND — a screen calls it, but the words printed beside its answer could not be traced automatically. Needs reading.</t>
        </is>
      </c>
      <c r="M534" s="3" t="inlineStr">
        <is>
          <t>1. If shares is missing it uses 0.
2. Treats a year as 365 days.
3. Uses today's date from the device clock, so the answer changes by itself overnight.</t>
        </is>
      </c>
      <c r="N534" s="3" t="inlineStr">
        <is>
          <t>Yes</t>
        </is>
      </c>
      <c r="O534" s="3" t="inlineStr">
        <is>
          <t>1. MK-XS-F-170 daysSince
2. MK-NW-F-046 historyCoverage
3. MK-CF-F-204 line
4. MK-XS-F-120 nameOf
5. MK-XS-F-119 namesFor
6. MK-XS-F-118 prettyDate</t>
        </is>
      </c>
      <c r="P534" s="3" t="n">
        <v>112</v>
      </c>
      <c r="Q534" s="3" t="inlineStr">
        <is>
          <t>1. MK-XS-F-170 daysSince
2. MK-NW-F-046 historyCoverage
3. MK-CF-F-204 line
4. MK-XS-F-120 nameOf
5. MK-XS-F-119 namesFor
6. MK-XS-F-118 prettyDate
7. MK-CF-F-132 map
8. MK-NW-F-068 prettyDay
9. MK-CF-F-203 MONTH
10. MK-XS-F-180 declareFigures
11. MK-NW-F-026 accountDisplayNames
12. MK-CF-O-010 theMonth
13. MK-NW-F-025 accountDisplayName
14. MK-CF-F-155 cash
15. MK-XS-F-122 n
16. MK-CF-O-002 expenses
17. MK-CF-O-003 thisMonth
18. MK-NW-F-024 accountLastFour
19. MK-NW-F-012 taxTreatmentOf
20. MK-NW-F-023 wrapperWord
21. MK-CF-F-151 actualSpending
22. MK-CF-F-150 debtPaymentsCountedAsExpenses
23. MK-CF-F-153 radar
24. MK-CF-F-149 recurringDebtPayments
25. MK-CF-F-005 actualMonthFlow
26. MK-CF-F-156 plannedMonthFlow
27. MK-CF-F-148 inMonth
28. MK-ST-F-052 toNum
29. MK-CF-F-191 ym
30. MK-ST-F-056 has
31. MK-CF-F-022 paymentShape
32. MK-CF-F-152 isRadarItem
33. MK-CF-F-023 requiredPayment
34. MK-NW-F-078 ONE
35. MK-CF-F-157 debtPaymentsByDebt
36. MK-CF-F-192 inflowLabel
37. MK-XS-F-027 takeHomeMonthly
38. MK-CF-F-021 defaultPaymentType
39. MK-NW-F-077 ALL
40. MK-NW-F-059 currentYield
41. MK-ST-F-049 formatMoney
42. MK-ST-F-053 money
43. MK-NW-O-001 theBonds
44. MK-CF-F-193 inflowSourceWord
45. MK-CF-F-092 incomeMonthlyGrid
46. MK-CF-F-011 savingsByMonth
47. MK-NW-F-057 annualCoupon
48. MK-ST-F-048 currencySymbol
49. MK-ST-F-039 on
50. MK-ST-F-027 accountId
51. MK-NW-F-056 bondInfo
52. MK-NW-F-064 bondRateSensitivity
53. MK-NW-F-061 bondSummary
54. MK-NW-F-055 isBond
55. MK-NW-F-072 rowOf
56. MK-CF-F-069 benefitActiveMonths
57. MK-CF-F-072 currentRetirementIncomeMonthly
58. MK-CF-F-173 earnerWages
59. MK-CF-F-065 equityVestWeights
60. MK-CF-F-071 extraIncome
61. MK-CF-F-206 householdK401ByMonth
62. MK-CF-F-087 monthlyTaxRates
63. MK-CF-F-073 otherIncomeMonth
64. MK-CF-F-181 rateInForce
65. MK-CF-F-068 rentalNetAnnual
66. MK-CF-F-066 rsuAnnual
67. MK-CF-F-060 salaryGrossByMonth
68. MK-CF-F-077 scholarshipByCalendarMonth
69. MK-CF-F-088 taxableByCalendarMonth
70. MK-CF-F-177 wageGrossByMonth
71. MK-PL-F-012 waterfall
72. MK-CF-F-008 spendByMonth
73. MK-ST-F-047 activeCurrency
74. MK-NW-F-060 approxYTM
75. MK-NW-F-069 priceAtYield
76. MK-NW-F-011 assetClassOf
77. MK-NW-F-070 accruedInterestCaveat
78. MK-NW-F-071 isCertificateOfDeposit
79. MK-NW-F-058 yearsToMaturity
80. MK-CF-F-075 retirementIncomeMonthly
81. MK-CF-F-172 hasWage
82. MK-CF-F-062 equityRowValue
83. MK-CF-F-070 benefitAnnual
84. MK-CF-F-176 sumMonthsOverEarners
85. MK-CF-F-090 effectiveRate
86. MK-CF-F-180 enteredLandsAnnual
87. MK-CF-F-085 filingStatusOf
88. MK-CF-F-089 over65CountOf
89. MK-CF-F-082 salaryAnnual
90. MK-CF-F-086 stateRateOf
91. MK-CF-F-101 taxOwedFor
92. MK-CF-F-084 taxableAnnual
93. MK-CF-F-067 rentalList
94. MK-CF-F-063 rowVestYear
95. MK-CF-F-130 enteredMonthlyRaw
96. MK-CF-F-166 hasMonthlySalaryTable
97. MK-ST-F-036 reconcile
98. MK-CF-F-167 salaryCalendarYear
99. MK-CF-F-120 pctBaseMonthly
100. MK-CF-F-004 spendBuckets
101. MK-NW-F-008 incomeBearingClassOf
102. MK-CF-F-100 taxableIncomeFor
103. MK-CF-F-074 tipsAnnual
104. MK-CF-F-165 salaryMonths
105. MK-CF-F-003 categoryMonthly
106. MK-ST-F-010 nameEvidence
107. MK-CF-F-099 deductionFor
108. MK-CF-F-081 salaryActiveMonths
109. MK-XS-F-147 call
110. MK-CF-F-187 seniorDeductionFor
111. MK-XS-F-064 currentIdToken
112. MK-XS-F-112 relayUrl</t>
        </is>
      </c>
      <c r="R534" s="3" t="inlineStr">
        <is>
          <t>1. MK-XS-F-170 daysSince → MK-XS-F-002 dataGaps
2. MK-CF-F-132 map → MK-NW-F-046 historyCoverage → MK-XS-F-002 dataGaps
3. MK-CF-F-132 map → MK-NW-F-068 prettyDay → MK-NW-F-046 historyCoverage → MK-XS-F-002 dataGaps
4. MONTH (already above — a loop) → MK-CF-O-010 theMonth → MK-CF-F-203 MONTH → MK-CF-F-204 line → MK-XS-F-002 dataGaps
5. MK-XS-F-122 n → MK-CF-F-155 cash → MK-CF-O-010 theMonth → MK-CF-F-203 MONTH → MK-CF-F-204 line → MK-XS-F-002 dataGaps
6. MK-CF-F-151 actualSpending → MK-CF-O-002 expenses → MK-CF-O-010 theMonth → MK-CF-F-203 MONTH → MK-CF-F-204 line → MK-XS-F-002 dataGaps
7. MK-CF-F-150 debtPaymentsCountedAsExpenses → MK-CF-O-002 expenses → MK-CF-O-010 theMonth → MK-CF-F-203 MONTH → MK-CF-F-204 line → MK-XS-F-002 dataGaps
8. MK-CF-F-153 radar → MK-CF-O-002 expenses → MK-CF-O-010 theMonth → MK-CF-F-203 MONTH → MK-CF-F-204 line → MK-XS-F-002 dataGaps
9. … and 5 more paths</t>
        </is>
      </c>
      <c r="S534" s="3" t="inlineStr">
        <is>
          <t>—</t>
        </is>
      </c>
      <c r="T534" s="3" t="inlineStr">
        <is>
          <t>WHAT_IS_MISSING</t>
        </is>
      </c>
      <c r="U534" s="3" t="inlineStr">
        <is>
          <t>ACTIVE</t>
        </is>
      </c>
      <c r="V534" s="3" t="inlineStr">
        <is>
          <t>2026-08-27</t>
        </is>
      </c>
      <c r="W534" s="3" t="n"/>
      <c r="X534" s="3" t="n"/>
      <c r="Y534" s="3" t="inlineStr">
        <is>
          <t>NOTHING OPEN</t>
        </is>
      </c>
    </row>
    <row r="535" ht="60" customHeight="1">
      <c r="A535" s="3" t="inlineStr">
        <is>
          <t>MK-XS-F-003</t>
        </is>
      </c>
      <c r="B535" s="3" t="inlineStr">
        <is>
          <t>gapsHeadline</t>
        </is>
      </c>
      <c r="C535" s="3" t="inlineStr">
        <is>
          <t>src/domain/gaps/index.ts</t>
        </is>
      </c>
      <c r="D535" s="3" t="n">
        <v>262</v>
      </c>
      <c r="E535" s="3" t="inlineStr">
        <is>
          <t>2 · DISPLAYED (presentation only)</t>
        </is>
      </c>
      <c r="F535" s="3" t="inlineStr">
        <is>
          <t>The banner sentence — plural-correct, and absent (null) when nothing is missing.</t>
        </is>
      </c>
      <c r="G535" s="11" t="inlineStr">
        <is>
          <t>nothing   when count of gaps is missing
'1 number needs more information'   if gaps.length = 1
`${gaps.length} numbers need more information`   otherwise</t>
        </is>
      </c>
      <c r="H535" s="3" t="inlineStr">
        <is>
          <t>When how many gaps is missing there are, it answers no answer. '1 number needs more information' — when gaps.length = 1; `${gaps.length} numbers need more information` — otherwise.</t>
        </is>
      </c>
      <c r="I535" s="3" t="inlineStr">
        <is>
          <t>PARTLY READ — some of the code is still showing through; needs a hand pass</t>
        </is>
      </c>
      <c r="J535" s="3" t="inlineStr">
        <is>
          <t>gaps: DataGap[]</t>
        </is>
      </c>
      <c r="K535" s="3" t="inlineStr">
        <is>
          <t>string | null</t>
        </is>
      </c>
      <c r="L535" s="3" t="inlineStr">
        <is>
          <t>NOT FOUND — a screen calls it, but the words printed beside its answer could not be traced automatically. Needs reading.</t>
        </is>
      </c>
      <c r="M535" s="3" t="inlineStr">
        <is>
          <t>None found in this function — anything it assumes comes from the functions it depends on.</t>
        </is>
      </c>
      <c r="N535" s="3" t="inlineStr">
        <is>
          <t>Yes</t>
        </is>
      </c>
      <c r="O535" s="3" t="inlineStr">
        <is>
          <t>—</t>
        </is>
      </c>
      <c r="P535" s="3" t="n">
        <v>0</v>
      </c>
      <c r="Q535" s="3" t="inlineStr">
        <is>
          <t>None — no dependent function stands behind it</t>
        </is>
      </c>
      <c r="R535" s="3" t="inlineStr">
        <is>
          <t>No dependent function — it reads its inputs and answers</t>
        </is>
      </c>
      <c r="S535" s="3" t="inlineStr">
        <is>
          <t>—</t>
        </is>
      </c>
      <c r="T535" s="3" t="inlineStr">
        <is>
          <t>—</t>
        </is>
      </c>
      <c r="U535" s="3" t="inlineStr">
        <is>
          <t>ACTIVE</t>
        </is>
      </c>
      <c r="V535" s="3" t="inlineStr">
        <is>
          <t>2026-08-27</t>
        </is>
      </c>
      <c r="W535" s="3" t="n"/>
      <c r="X535" s="3" t="n"/>
      <c r="Y535" s="3" t="inlineStr">
        <is>
          <t>NOTHING OPEN</t>
        </is>
      </c>
    </row>
    <row r="536" ht="60" customHeight="1">
      <c r="A536" s="3" t="inlineStr">
        <is>
          <t>MK-XS-F-004</t>
        </is>
      </c>
      <c r="B536" s="3" t="inlineStr">
        <is>
          <t>buildDatedGrid</t>
        </is>
      </c>
      <c r="C536" s="3" t="inlineStr">
        <is>
          <t>src/domain/grid/index.ts</t>
        </is>
      </c>
      <c r="D536" s="3" t="n">
        <v>114</v>
      </c>
      <c r="E536" s="3" t="inlineStr">
        <is>
          <t>2 · DISPLAYED</t>
        </is>
      </c>
      <c r="F536" s="3" t="inlineStr">
        <is>
          <t>Build the dated 12-month grid.</t>
        </is>
      </c>
      <c r="G536" s="11" t="inlineStr">
        <is>
          <t>a = op (or none when missing)
now = opts.now (or new date() when missing)
rates = monthly tax rates(op, opts.now ?? new date())
net at = (s: number, gross: number) =&gt; gross × (1 − rates[cal month(s)])
start month = now.get month()
start year = now.get full year()
now idx = start year × 12 + start month
cal month = (s: number) =&gt; (start month + s) % 12
slot of = (m1to12: number) =&gt; ((m1to12 − 1) − start month + 12) % 12
slot of(m1to12)   when year is missing
idx = year × 12 + (m1to12 − 1) − now idx
[LOOP — the answer is found inside a loop the extractor cannot render; the steps above are the ones before it. Read by hand.]
… the first steps only — the rest of the body needs reading by hand.</t>
        </is>
      </c>
      <c r="H536" s="3" t="inlineStr">
        <is>
          <t>A is op (or none — when missing). Now is opts.now (or new date() — when missing). Rates is monthly tax rates(op, opts.now ?? new date()). Net at is (s: number, gross: number) =&gt; gross times (1 minus rates[cal month(s)]). Start month is now.get month(). Start year is now.get full year(). Now idx is start year times 12 plus start month. Cal month is (s: number) =&gt; (start month plus s) % 12. Slot of is (m1to12: number) =&gt; ((m1to12 minus 1) minus start month plus 12) % 12. When year is missing, it answers slot of(m1to12). Idx is year times 12 plus (m1to12 minus 1) minus now idx. The answer is found inside a loop that cannot be rendered here; read the code by hand. Only the first steps are shown; the rest of the body needs reading by hand.</t>
        </is>
      </c>
      <c r="I536" s="3" t="inlineStr">
        <is>
          <t>PARTLY READ — the body has a loop the extractor cannot render; the steps shown are the ones before it. Needs a hand pass (G23).</t>
        </is>
      </c>
      <c r="J536" s="3" t="inlineStr">
        <is>
          <t>1. op: OnboardingProfile | null
2. opts: GridOptions = {}</t>
        </is>
      </c>
      <c r="K536" s="3" t="inlineStr">
        <is>
          <t>DatedGrid</t>
        </is>
      </c>
      <c r="L536" s="3" t="inlineStr">
        <is>
          <t>NOT FOUND — a screen calls it, but the words printed beside its answer could not be traced automatically. Needs reading.</t>
        </is>
      </c>
      <c r="M536" s="3" t="inlineStr">
        <is>
          <t>1. If year is missing it uses 0.
2. If a year is missing it uses 0.
3. If start balance is missing it uses 0.
4. Turns a monthly figure into a year by multiplying by twelve.
5. Uses today's date from the device clock, so the answer changes by itself overnight.
6. Never lets start idx fall below 0.
7. Caps end idx at 11.</t>
        </is>
      </c>
      <c r="N536" s="3" t="inlineStr">
        <is>
          <t>Yes</t>
        </is>
      </c>
      <c r="O536" s="3" t="inlineStr">
        <is>
          <t>1. MK-CF-F-069 benefitActiveMonths
2. MK-CF-F-072 currentRetirementIncomeMonthly
3. MK-CF-F-018 equityByMonth
4. MK-CF-O-002 expenses
5. MK-ST-F-056 has
6. MK-CF-F-204 line
7. MK-CF-F-132 map
8. MK-ST-F-053 money
9. MK-CF-F-087 monthlyTaxRates
10. MK-CF-F-073 otherIncomeMonth
11. MK-CF-F-022 paymentShape
12. MK-CF-F-068 rentalNetAnnual
13. MK-CF-F-023 requiredPayment
14. MK-CF-F-060 salaryGrossByMonth
15. MK-CF-F-008 spendByMonth
16. MK-ST-F-052 toNum</t>
        </is>
      </c>
      <c r="P536" s="3" t="n">
        <v>103</v>
      </c>
      <c r="Q536" s="3" t="inlineStr">
        <is>
          <t>1. MK-CF-F-069 benefitActiveMonths
2. MK-CF-F-072 currentRetirementIncomeMonthly
3. MK-CF-F-018 equityByMonth
4. MK-CF-O-002 expenses
5. MK-ST-F-056 has
6. MK-CF-F-204 line
7. MK-CF-F-132 map
8. MK-ST-F-053 money
9. MK-CF-F-087 monthlyTaxRates
10. MK-CF-F-073 otherIncomeMonth
11. MK-CF-F-022 paymentShape
12. MK-CF-F-068 rentalNetAnnual
13. MK-CF-F-023 requiredPayment
14. MK-CF-F-060 salaryGrossByMonth
15. MK-CF-F-008 spendByMonth
16. MK-ST-F-052 toNum
17. MK-CF-F-075 retirementIncomeMonthly
18. MK-CF-F-062 equityRowValue
19. MK-CF-F-066 rsuAnnual
20. MK-CF-F-121 zero12
21. MK-CF-F-151 actualSpending
22. MK-CF-F-150 debtPaymentsCountedAsExpenses
23. MK-CF-F-153 radar
24. MK-CF-F-149 recurringDebtPayments
25. MK-CF-F-203 MONTH
26. MK-XS-F-180 declareFigures
27. MK-ST-F-049 formatMoney
28. MK-XS-F-122 n
29. MK-CF-F-090 effectiveRate
30. MK-ST-F-039 on
31. MK-CF-F-021 defaultPaymentType
32. MK-CF-F-067 rentalList
33. MK-CF-F-176 sumMonthsOverEarners
34. MK-CF-F-177 wageGrossByMonth
35. MK-CF-F-120 pctBaseMonthly
36. MK-CF-F-004 spendBuckets
37. MK-CF-F-063 rowVestYear
38. MK-CF-F-148 inMonth
39. MK-CF-F-191 ym
40. MK-CF-F-152 isRadarItem
41. MK-CF-O-010 theMonth
42. MK-ST-F-048 currencySymbol
43. MK-CF-F-181 rateInForce
44. MK-CF-F-173 earnerWages
45. MK-CF-F-130 enteredMonthlyRaw
46. MK-CF-F-166 hasMonthlySalaryTable
47. MK-ST-F-036 reconcile
48. MK-CF-F-167 salaryCalendarYear
49. MK-CF-F-092 incomeMonthlyGrid
50. MK-CF-F-003 categoryMonthly
51. MK-CF-F-155 cash
52. MK-CF-O-003 thisMonth
53. MK-ST-F-047 activeCurrency
54. MK-CF-F-180 enteredLandsAnnual
55. MK-CF-F-085 filingStatusOf
56. MK-CF-F-206 householdK401ByMonth
57. MK-CF-F-089 over65CountOf
58. MK-CF-F-082 salaryAnnual
59. MK-CF-F-086 stateRateOf
60. MK-CF-F-101 taxOwedFor
61. MK-CF-F-084 taxableAnnual
62. MK-CF-F-172 hasWage
63. MK-CF-F-165 salaryMonths
64. MK-CF-F-065 equityVestWeights
65. MK-CF-F-071 extraIncome
66. MK-CF-F-077 scholarshipByCalendarMonth
67. MK-CF-F-088 taxableByCalendarMonth
68. MK-PL-F-012 waterfall
69. MK-XS-F-027 takeHomeMonthly
70. MK-CF-F-005 actualMonthFlow
71. MK-CF-F-156 plannedMonthFlow
72. MK-CF-F-100 taxableIncomeFor
73. MK-CF-F-074 tipsAnnual
74. MK-CF-F-070 benefitAnnual
75. MK-CF-F-011 savingsByMonth
76. MK-NW-F-078 ONE
77. MK-CF-F-157 debtPaymentsByDebt
78. MK-CF-F-192 inflowLabel
79. MK-CF-F-099 deductionFor
80. MK-CF-F-081 salaryActiveMonths
81. MK-NW-F-077 ALL
82. MK-NW-F-059 currentYield
83. MK-NW-O-001 theBonds
84. MK-CF-F-193 inflowSourceWord
85. MK-CF-F-187 seniorDeductionFor
86. MK-NW-F-057 annualCoupon
87. MK-ST-F-027 accountId
88. MK-NW-F-056 bondInfo
89. MK-NW-F-064 bondRateSensitivity
90. MK-NW-F-061 bondSummary
91. MK-NW-F-055 isBond
92. MK-NW-F-072 rowOf
93. MK-NW-F-060 approxYTM
94. MK-NW-F-069 priceAtYield
95. MK-NW-F-011 assetClassOf
96. MK-NW-F-070 accruedInterestCaveat
97. MK-NW-F-071 isCertificateOfDeposit
98. MK-NW-F-058 yearsToMaturity
99. MK-NW-F-008 incomeBearingClassOf
100. MK-ST-F-010 nameEvidence
101. MK-XS-F-147 call
102. MK-XS-F-064 currentIdToken
103. MK-XS-F-112 relayUrl</t>
        </is>
      </c>
      <c r="R536" s="3" t="inlineStr">
        <is>
          <t>1. MK-CF-F-069 benefitActiveMonths → MK-XS-F-004 buildDatedGrid
2. MK-XS-F-122 n → MK-ST-F-052 toNum → MK-CF-F-075 retirementIncomeMonthly → MK-CF-F-072 currentRetirementIncomeMonthly → MK-XS-F-004 buildDatedGrid
3. MK-XS-F-122 n → MK-ST-F-052 toNum → MK-CF-F-062 equityRowValue → MK-CF-F-018 equityByMonth → MK-XS-F-004 buildDatedGrid
4. MK-XS-F-122 n → MK-ST-F-052 toNum → MK-CF-F-062 equityRowValue → MK-CF-F-066 rsuAnnual → MK-CF-F-018 equityByMonth → MK-XS-F-004 buildDatedGrid
5. MK-CF-F-132 map → MK-CF-F-066 rsuAnnual → MK-CF-F-018 equityByMonth → MK-XS-F-004 buildDatedGrid
6. MK-CF-F-063 rowVestYear → MK-CF-F-066 rsuAnnual → MK-CF-F-018 equityByMonth → MK-XS-F-004 buildDatedGrid
7. MK-XS-F-122 n → MK-ST-F-052 toNum → MK-CF-F-066 rsuAnnual → MK-CF-F-018 equityByMonth → MK-XS-F-004 buildDatedGrid
8. MK-CF-F-121 zero12 → MK-CF-F-018 equityByMonth → MK-XS-F-004 buildDatedGrid
9. … and 5 more paths</t>
        </is>
      </c>
      <c r="S536" s="3" t="inlineStr">
        <is>
          <t>—</t>
        </is>
      </c>
      <c r="T536" s="3" t="inlineStr">
        <is>
          <t>—</t>
        </is>
      </c>
      <c r="U536" s="3" t="inlineStr">
        <is>
          <t>ACTIVE</t>
        </is>
      </c>
      <c r="V536" s="3" t="inlineStr">
        <is>
          <t>2026-09-08</t>
        </is>
      </c>
      <c r="W536" s="3" t="n"/>
      <c r="X536" s="3" t="n"/>
      <c r="Y536" s="3" t="inlineStr">
        <is>
          <t>NOTHING OPEN</t>
        </is>
      </c>
    </row>
    <row r="537" ht="60" customHeight="1">
      <c r="A537" s="3" t="inlineStr">
        <is>
          <t>MK-XS-F-005</t>
        </is>
      </c>
      <c r="B537" s="3" t="inlineStr">
        <is>
          <t>trendPoints</t>
        </is>
      </c>
      <c r="C537" s="3" t="inlineStr">
        <is>
          <t>src/domain/history.ts</t>
        </is>
      </c>
      <c r="D537" s="3" t="n">
        <v>64</v>
      </c>
      <c r="E537" s="3" t="inlineStr">
        <is>
          <t>2 · DISPLAYED</t>
        </is>
      </c>
      <c r="F537" s="3" t="inlineStr">
        <is>
          <t>Chart series = monthly snapshots + daily points, chronological ('YYYY-MM' sorts before its days).</t>
        </is>
      </c>
      <c r="G537" s="11" t="inlineStr">
        <is>
          <t>pts = for each of read history(monthly): key = month
nw = net worth
the answer = pts.sort((a, b) =&gt; key.locale compare(key))</t>
        </is>
      </c>
      <c r="H537" s="3" t="inlineStr">
        <is>
          <t>Pts is for each of read history(monthly): key = month; nw = net worth. The answer is pts.sort((a, b) =&gt; key.locale compare(key)).</t>
        </is>
      </c>
      <c r="I537" s="3" t="inlineStr">
        <is>
          <t>PARTLY READ — some of the code is still showing through; needs a hand pass</t>
        </is>
      </c>
      <c r="J537" s="3" t="inlineStr">
        <is>
          <t>Nothing is handed to it</t>
        </is>
      </c>
      <c r="K537" s="3" t="inlineStr">
        <is>
          <t>NOT DECLARED — the code does not say what it gives back</t>
        </is>
      </c>
      <c r="L537" s="3" t="inlineStr">
        <is>
          <t>NOT FOUND — a screen calls it, but the words printed beside its answer could not be traced automatically. Needs reading.</t>
        </is>
      </c>
      <c r="M537" s="3" t="inlineStr">
        <is>
          <t>None found in this function — anything it assumes comes from the functions it depends on.</t>
        </is>
      </c>
      <c r="N537" s="3" t="inlineStr">
        <is>
          <t>Yes</t>
        </is>
      </c>
      <c r="O537" s="3" t="inlineStr">
        <is>
          <t>1. MK-CF-F-132 map
2. MK-XS-F-009 readHistory</t>
        </is>
      </c>
      <c r="P537" s="3" t="n">
        <v>6</v>
      </c>
      <c r="Q537" s="3" t="inlineStr">
        <is>
          <t>1. MK-CF-F-132 map
2. MK-XS-F-009 readHistory
3. MK-XS-F-008 normalizeSnapshot
4. MK-CF-F-191 ym
5. MK-XS-F-121 isYm
6. MK-XS-F-122 n</t>
        </is>
      </c>
      <c r="R537" s="3" t="inlineStr">
        <is>
          <t>1. MK-CF-F-132 map → MK-XS-F-005 trendPoints
2. MK-CF-F-132 map → MK-XS-F-009 readHistory → MK-XS-F-005 trendPoints
3. MK-XS-F-121 isYm → MK-XS-F-008 normalizeSnapshot → MK-XS-F-009 readHistory → MK-XS-F-005 trendPoints
4. MK-XS-F-122 n → MK-XS-F-008 normalizeSnapshot → MK-XS-F-009 readHistory → MK-XS-F-005 trendPoints
5. MK-CF-F-191 ym → MK-XS-F-008 normalizeSnapshot → MK-XS-F-009 readHistory → MK-XS-F-005 trendPoints
6. MK-CF-F-191 ym → MK-XS-F-009 readHistory → MK-XS-F-005 trendPoints</t>
        </is>
      </c>
      <c r="S537" s="3" t="inlineStr">
        <is>
          <t>—</t>
        </is>
      </c>
      <c r="T537" s="3" t="inlineStr">
        <is>
          <t>TREND_SERIES</t>
        </is>
      </c>
      <c r="U537" s="3" t="inlineStr">
        <is>
          <t>ACTIVE</t>
        </is>
      </c>
      <c r="V537" s="3" t="inlineStr">
        <is>
          <t>2026-08-27</t>
        </is>
      </c>
      <c r="W537" s="3" t="n"/>
      <c r="X537" s="3" t="n"/>
      <c r="Y537" s="3" t="inlineStr">
        <is>
          <t>NOTHING OPEN</t>
        </is>
      </c>
    </row>
    <row r="538" ht="60" customHeight="1">
      <c r="A538" s="3" t="inlineStr">
        <is>
          <t>MK-XS-F-006</t>
        </is>
      </c>
      <c r="B538" s="3" t="inlineStr">
        <is>
          <t>pruneDaily</t>
        </is>
      </c>
      <c r="C538" s="3" t="inlineStr">
        <is>
          <t>src/domain/history.ts</t>
        </is>
      </c>
      <c r="D538" s="3" t="n">
        <v>106</v>
      </c>
      <c r="E538" s="3" t="inlineStr">
        <is>
          <t>3 · DEPENDENT</t>
        </is>
      </c>
      <c r="F538" s="3" t="inlineStr">
        <is>
          <t>Prune helper for the store writer: newest DAILY_KEEP days survive.</t>
        </is>
      </c>
      <c r="G538" s="11" t="inlineStr">
        <is>
          <t>keys = the names in daily, in order
daily   when keys.length ≤ DAILY_KEEP
keep = a list with no repeats of keys.slice(-DAILY_KEEP)
the answer = object.from entries(object.entries(daily).filter(([k]) =&gt; keep.has(k)))</t>
        </is>
      </c>
      <c r="H538" s="3" t="inlineStr">
        <is>
          <t>Keys: the names in daily, in order. When keys.length is at most DAILY_KEEP, it answers daily. Keep is a list with no repeats of keys.slice(-DAILY_KEEP). The answer is object.from entries(object.entries(daily).filter(([k]) =&gt; keep.has(k))).</t>
        </is>
      </c>
      <c r="I538" s="3" t="inlineStr">
        <is>
          <t>PARTLY READ — some of the code is still showing through; needs a hand pass</t>
        </is>
      </c>
      <c r="J538" s="3" t="inlineStr">
        <is>
          <t>daily: Record&lt;string, number&gt;</t>
        </is>
      </c>
      <c r="K538" s="3" t="inlineStr">
        <is>
          <t>Record&lt;string, number&gt;</t>
        </is>
      </c>
      <c r="L538" s="3" t="inlineStr">
        <is>
          <t>—</t>
        </is>
      </c>
      <c r="M538" s="3" t="inlineStr">
        <is>
          <t>None found in this function — anything it assumes comes from the functions it depends on.</t>
        </is>
      </c>
      <c r="N538" s="3" t="inlineStr">
        <is>
          <t>Yes</t>
        </is>
      </c>
      <c r="O538" s="3" t="inlineStr">
        <is>
          <t>MK-ST-F-056 has</t>
        </is>
      </c>
      <c r="P538" s="3" t="n">
        <v>1</v>
      </c>
      <c r="Q538" s="3" t="inlineStr">
        <is>
          <t>MK-ST-F-056 has</t>
        </is>
      </c>
      <c r="R538" s="3" t="inlineStr">
        <is>
          <t>MK-ST-F-056 has → MK-XS-F-006 pruneDaily</t>
        </is>
      </c>
      <c r="S538" s="3" t="inlineStr">
        <is>
          <t>—</t>
        </is>
      </c>
      <c r="T538" s="3" t="inlineStr">
        <is>
          <t>—</t>
        </is>
      </c>
      <c r="U538" s="3" t="inlineStr">
        <is>
          <t>ACTIVE</t>
        </is>
      </c>
      <c r="V538" s="3" t="inlineStr">
        <is>
          <t>2026-09-12</t>
        </is>
      </c>
      <c r="W538" s="3" t="n"/>
      <c r="X538" s="3" t="n"/>
      <c r="Y538" s="3" t="inlineStr">
        <is>
          <t>NOTHING OPEN</t>
        </is>
      </c>
    </row>
    <row r="539" ht="60" customHeight="1">
      <c r="A539" s="3" t="inlineStr">
        <is>
          <t>MK-XS-F-007</t>
        </is>
      </c>
      <c r="B539" s="3" t="inlineStr">
        <is>
          <t>makeMonthlySnapshot</t>
        </is>
      </c>
      <c r="C539" s="3" t="inlineStr">
        <is>
          <t>src/domain/history.ts</t>
        </is>
      </c>
      <c r="D539" s="3" t="n">
        <v>194</v>
      </c>
      <c r="E539" s="3" t="inlineStr">
        <is>
          <t>2 · DISPLAYED</t>
        </is>
      </c>
      <c r="F539" s="3" t="inlineStr">
        <is>
          <t>The ONE writer — stamps the version and keeps the arithmetic identity by construction.</t>
        </is>
      </c>
      <c r="G539" s="11" t="inlineStr">
        <is>
          <t>net worth = gross assets − gross debt
v = the snapshot version</t>
        </is>
      </c>
      <c r="H539" s="3" t="inlineStr">
        <is>
          <t>Builds a month-end snapshot: net worth is assets minus debts, computed here and never stored as a third figure that could disagree with its own halves.</t>
        </is>
      </c>
      <c r="I539" s="3" t="inlineStr">
        <is>
          <t>READ BY HAND 2026-08-26 — checked line by line against the code</t>
        </is>
      </c>
      <c r="J539" s="3" t="inlineStr">
        <is>
          <t>i: Omit&lt;MonthlySnapshot, 'v' | 'net_worth'&gt; &amp; { net_worth?: number }</t>
        </is>
      </c>
      <c r="K539" s="3" t="inlineStr">
        <is>
          <t>MonthlySnapshot</t>
        </is>
      </c>
      <c r="L539" s="3" t="inlineStr">
        <is>
          <t>NOT FOUND — a screen calls it, but the words printed beside its answer could not be traced automatically. Needs reading.</t>
        </is>
      </c>
      <c r="M539" s="3" t="inlineStr">
        <is>
          <t>None found in this function — anything it assumes comes from the functions it depends on.</t>
        </is>
      </c>
      <c r="N539" s="3" t="inlineStr">
        <is>
          <t>Yes</t>
        </is>
      </c>
      <c r="O539" s="3" t="inlineStr">
        <is>
          <t>MK-XS-F-122 n</t>
        </is>
      </c>
      <c r="P539" s="3" t="n">
        <v>1</v>
      </c>
      <c r="Q539" s="3" t="inlineStr">
        <is>
          <t>MK-XS-F-122 n</t>
        </is>
      </c>
      <c r="R539" s="3" t="inlineStr">
        <is>
          <t>MK-XS-F-122 n → MK-XS-F-007 makeMonthlySnapshot</t>
        </is>
      </c>
      <c r="S539" s="3" t="inlineStr">
        <is>
          <t>—</t>
        </is>
      </c>
      <c r="T539" s="3" t="inlineStr">
        <is>
          <t>—</t>
        </is>
      </c>
      <c r="U539" s="3" t="inlineStr">
        <is>
          <t>ACTIVE</t>
        </is>
      </c>
      <c r="V539" s="3" t="inlineStr">
        <is>
          <t>2026-09-12</t>
        </is>
      </c>
      <c r="W539" s="3" t="n"/>
      <c r="X539" s="3" t="n"/>
      <c r="Y539" s="3" t="inlineStr">
        <is>
          <t>NOTHING OPEN</t>
        </is>
      </c>
    </row>
    <row r="540" ht="60" customHeight="1">
      <c r="A540" s="3" t="inlineStr">
        <is>
          <t>MK-XS-F-008</t>
        </is>
      </c>
      <c r="B540" s="3" t="inlineStr">
        <is>
          <t>normalizeSnapshot</t>
        </is>
      </c>
      <c r="C540" s="3" t="inlineStr">
        <is>
          <t>src/domain/history.ts</t>
        </is>
      </c>
      <c r="D540" s="3" t="n">
        <v>234</v>
      </c>
      <c r="E540" s="3" t="inlineStr">
        <is>
          <t>3 · DEPENDENT</t>
        </is>
      </c>
      <c r="F540" s="3" t="inlineStr">
        <is>
          <t>Normalize ONE stored entry: v1 passes validated; a legacy blob (no `v`) maps best-effort; anything without a real month + net worth is dropped (null), never charted.</t>
        </is>
      </c>
      <c r="G540" s="11" t="inlineStr">
        <is>
          <t>nothing   when raw = nothing (or raw is not a object when missing or zero)
r = raw as record&lt;string, unknown&gt;
month = month as string   if is ym(month)
ym   if is ym(ym)
nothing   otherwise   otherwise
nothing   when month is missing
gross assets = n(gross assets, na n)
gross debt = n(gross debt, na n)
net worth = n(net worth, number.is finite(gross assets − gross debt) ? (gross assets − gross debt) : na n)
nothing   when !number.is finite(net worth)</t>
        </is>
      </c>
      <c r="H540" s="3" t="inlineStr">
        <is>
          <t>When raw is missing (or raw is a is missing object — when missing or zero), it answers no answer. R is raw as record&lt;string, unknown&gt;. Month is month as string — when is ym(month); ym — when is ym(ym); no answer — otherwise — otherwise. When month is missing, it answers no answer. Gross assets is n(gross assets, na n). Gross debt is n(gross debt, na n). Net worth is n(net worth, number.is finite(gross assets minus gross debt) ? (gross assets minus gross debt) : na n). When !number.is finite(net worth), it answers no answer.</t>
        </is>
      </c>
      <c r="I540" s="3" t="inlineStr">
        <is>
          <t>PARTLY READ — some of the code is still showing through; needs a hand pass</t>
        </is>
      </c>
      <c r="J540" s="3" t="inlineStr">
        <is>
          <t>1. ym: string
2. raw: unknown</t>
        </is>
      </c>
      <c r="K540" s="3" t="inlineStr">
        <is>
          <t>MonthlySnapshot | null</t>
        </is>
      </c>
      <c r="L540" s="3" t="inlineStr">
        <is>
          <t>—</t>
        </is>
      </c>
      <c r="M540" s="3" t="inlineStr">
        <is>
          <t>None found in this function — anything it assumes comes from the functions it depends on.</t>
        </is>
      </c>
      <c r="N540" s="3" t="inlineStr">
        <is>
          <t>Yes</t>
        </is>
      </c>
      <c r="O540" s="3" t="inlineStr">
        <is>
          <t>1. MK-XS-F-121 isYm
2. MK-XS-F-122 n
3. MK-CF-F-191 ym</t>
        </is>
      </c>
      <c r="P540" s="3" t="n">
        <v>3</v>
      </c>
      <c r="Q540" s="3" t="inlineStr">
        <is>
          <t>1. MK-XS-F-121 isYm
2. MK-XS-F-122 n
3. MK-CF-F-191 ym</t>
        </is>
      </c>
      <c r="R540" s="3" t="inlineStr">
        <is>
          <t>1. MK-XS-F-121 isYm → MK-XS-F-008 normalizeSnapshot
2. MK-XS-F-122 n → MK-XS-F-008 normalizeSnapshot
3. MK-CF-F-191 ym → MK-XS-F-008 normalizeSnapshot</t>
        </is>
      </c>
      <c r="S540" s="3" t="inlineStr">
        <is>
          <t>—</t>
        </is>
      </c>
      <c r="T540" s="3" t="inlineStr">
        <is>
          <t>SNAPSHOT_READ_ONE</t>
        </is>
      </c>
      <c r="U540" s="3" t="inlineStr">
        <is>
          <t>ACTIVE</t>
        </is>
      </c>
      <c r="V540" s="3" t="inlineStr">
        <is>
          <t>2026-09-09</t>
        </is>
      </c>
      <c r="W540" s="3" t="n"/>
      <c r="X540" s="3" t="n"/>
      <c r="Y540" s="3" t="inlineStr">
        <is>
          <t>NOTHING OPEN</t>
        </is>
      </c>
    </row>
    <row r="541" ht="60" customHeight="1">
      <c r="A541" s="3" t="inlineStr">
        <is>
          <t>MK-XS-F-009</t>
        </is>
      </c>
      <c r="B541" s="3" t="inlineStr">
        <is>
          <t>readHistory</t>
        </is>
      </c>
      <c r="C541" s="3" t="inlineStr">
        <is>
          <t>src/domain/history.ts</t>
        </is>
      </c>
      <c r="D541" s="3" t="n">
        <v>285</v>
      </c>
      <c r="E541" s="3" t="inlineStr">
        <is>
          <t>2 · DISPLAYED</t>
        </is>
      </c>
      <c r="F541" s="3" t="inlineStr">
        <is>
          <t>The ONE reader every history surface uses: normalized, garbage-free, sorted by month.</t>
        </is>
      </c>
      <c r="G541" s="11" t="inlineStr">
        <is>
          <t>for each stored month: normalize snapshot(month, value); drop the unreadable ones; sort by month, oldest first</t>
        </is>
      </c>
      <c r="H541" s="3" t="inlineStr">
        <is>
          <t>Reads the stored monthly snapshots, drops any that cannot be read, and sorts them oldest first. No arithmetic beyond the ordering.</t>
        </is>
      </c>
      <c r="I541" s="3" t="inlineStr">
        <is>
          <t>READ BY HAND 2026-08-26 — checked line by line against the code</t>
        </is>
      </c>
      <c r="J541" s="3" t="inlineStr">
        <is>
          <t>raw: Record&lt;string, unknown&gt; | null | undefined</t>
        </is>
      </c>
      <c r="K541" s="3" t="inlineStr">
        <is>
          <t>MonthlySnapshot[]</t>
        </is>
      </c>
      <c r="L541" s="3" t="inlineStr">
        <is>
          <t>NOT FOUND — a screen calls it, but the words printed beside its answer could not be traced automatically. Needs reading.</t>
        </is>
      </c>
      <c r="M541" s="3" t="inlineStr">
        <is>
          <t>None found in this function — anything it assumes comes from the functions it depends on.</t>
        </is>
      </c>
      <c r="N541" s="3" t="inlineStr">
        <is>
          <t>Yes</t>
        </is>
      </c>
      <c r="O541" s="3" t="inlineStr">
        <is>
          <t>1. MK-CF-F-132 map
2. MK-XS-F-008 normalizeSnapshot
3. MK-CF-F-191 ym</t>
        </is>
      </c>
      <c r="P541" s="3" t="n">
        <v>5</v>
      </c>
      <c r="Q541" s="3" t="inlineStr">
        <is>
          <t>1. MK-CF-F-132 map
2. MK-XS-F-008 normalizeSnapshot
3. MK-CF-F-191 ym
4. MK-XS-F-121 isYm
5. MK-XS-F-122 n</t>
        </is>
      </c>
      <c r="R541" s="3" t="inlineStr">
        <is>
          <t>1. MK-CF-F-132 map → MK-XS-F-009 readHistory
2. MK-XS-F-121 isYm → MK-XS-F-008 normalizeSnapshot → MK-XS-F-009 readHistory
3. MK-XS-F-122 n → MK-XS-F-008 normalizeSnapshot → MK-XS-F-009 readHistory
4. MK-CF-F-191 ym → MK-XS-F-008 normalizeSnapshot → MK-XS-F-009 readHistory
5. MK-CF-F-191 ym → MK-XS-F-009 readHistory</t>
        </is>
      </c>
      <c r="S541" s="3" t="inlineStr">
        <is>
          <t>—</t>
        </is>
      </c>
      <c r="T541" s="3" t="inlineStr">
        <is>
          <t>SNAPSHOT_READ_ALL</t>
        </is>
      </c>
      <c r="U541" s="3" t="inlineStr">
        <is>
          <t>ACTIVE</t>
        </is>
      </c>
      <c r="V541" s="3" t="inlineStr">
        <is>
          <t>2026-09-12</t>
        </is>
      </c>
      <c r="W541" s="3" t="n"/>
      <c r="X541" s="3" t="n"/>
      <c r="Y541" s="3" t="inlineStr">
        <is>
          <t>NOTHING OPEN</t>
        </is>
      </c>
    </row>
    <row r="542" ht="60" customHeight="1">
      <c r="A542" s="3" t="inlineStr">
        <is>
          <t>MK-XS-F-010</t>
        </is>
      </c>
      <c r="B542" s="3" t="inlineStr">
        <is>
          <t>investableChangePct</t>
        </is>
      </c>
      <c r="C542" s="3" t="inlineStr">
        <is>
          <t>src/domain/history.ts</t>
        </is>
      </c>
      <c r="D542" s="3" t="n">
        <v>319</v>
      </c>
      <c r="E542" s="3" t="inlineStr">
        <is>
          <t>3 · DEPENDENT</t>
        </is>
      </c>
      <c r="F542" s="3" t="inlineStr">
        <is>
          <t>FOUNDER RULE 2026-08-04: the NW change PERCENT is measured on cash + investments only — property values move only when someone retypes them, so a total-net-worth percent is noise.</t>
        </is>
      </c>
      <c r="G542" s="11" t="inlineStr">
        <is>
          <t>nothing   when since key is missing (or not (current investable &gt; 0) when missing or zero)
base = (inv daily as any)[base key]   if base key ≠ nothing
nothing   otherwise
nothing   when base is not a number (or not (base &gt; 0) when missing or zero)
the answer = ((current investable − base) ÷ base) × 100</t>
        </is>
      </c>
      <c r="H542" s="3" t="inlineStr">
        <is>
          <t>When since key is missing (or not (current investable &gt; 0) — when missing or zero), it answers no answer. Base is (inv daily as any)[base key] — when base key is not no answer; no answer — otherwise. When base is a is missing number (or not (base &gt; 0) — when missing or zero), it answers no answer. The answer is ((current investable minus base) divided by base) times 100.</t>
        </is>
      </c>
      <c r="I542" s="3" t="inlineStr">
        <is>
          <t>READ FROM THE CODE — rendered from the expressions the function runs</t>
        </is>
      </c>
      <c r="J542" s="3" t="inlineStr">
        <is>
          <t>Nothing is handed to it</t>
        </is>
      </c>
      <c r="K542" s="3" t="inlineStr">
        <is>
          <t>NOT DECLARED — the code does not say what it gives back</t>
        </is>
      </c>
      <c r="L542" s="3" t="inlineStr">
        <is>
          <t>—</t>
        </is>
      </c>
      <c r="M542" s="3" t="inlineStr">
        <is>
          <t>None found in this function — anything it assumes comes from the functions it depends on.</t>
        </is>
      </c>
      <c r="N542" s="3" t="inlineStr">
        <is>
          <t>Yes</t>
        </is>
      </c>
      <c r="O542" s="3" t="inlineStr">
        <is>
          <t>—</t>
        </is>
      </c>
      <c r="P542" s="3" t="n">
        <v>0</v>
      </c>
      <c r="Q542" s="3" t="inlineStr">
        <is>
          <t>None — no dependent function stands behind it</t>
        </is>
      </c>
      <c r="R542" s="3" t="inlineStr">
        <is>
          <t>No dependent function — it reads its inputs and answers</t>
        </is>
      </c>
      <c r="S542" s="3" t="inlineStr">
        <is>
          <t>—</t>
        </is>
      </c>
      <c r="T542" s="3" t="inlineStr">
        <is>
          <t>NW_CHANGE_PCT</t>
        </is>
      </c>
      <c r="U542" s="3" t="inlineStr">
        <is>
          <t>ACTIVE</t>
        </is>
      </c>
      <c r="V542" s="3" t="inlineStr">
        <is>
          <t>2026-09-27</t>
        </is>
      </c>
      <c r="W542" s="3" t="n"/>
      <c r="X542" s="3" t="n"/>
      <c r="Y542" s="3" t="inlineStr">
        <is>
          <t>NOTHING OPEN</t>
        </is>
      </c>
    </row>
    <row r="543" ht="60" customHeight="1">
      <c r="A543" s="3" t="inlineStr">
        <is>
          <t>MK-XS-F-011</t>
        </is>
      </c>
      <c r="B543" s="3" t="inlineStr">
        <is>
          <t>buildChangeWalk</t>
        </is>
      </c>
      <c r="C543" s="3" t="inlineStr">
        <is>
          <t>src/domain/history.ts</t>
        </is>
      </c>
      <c r="D543" s="3" t="n">
        <v>381</v>
      </c>
      <c r="E543" s="3" t="inlineStr">
        <is>
          <t>2 · DISPLAYED</t>
        </is>
      </c>
      <c r="F543" s="3" t="inlineStr">
        <is>
          <t>My net worth changed since last time — what actually caused it?</t>
        </is>
      </c>
      <c r="G543" s="11" t="inlineStr">
        <is>
          <t>contributions = max(0, args.contributions (or 0 when missing))
withdrawals = max(0, args.withdrawals (or 0 when missing))
dividends = max(0, args.dividends (or 0 when missing))
interest = max(0, args.interest (or 0 when missing))
debt principal = max(0, args.debt principal (or 0 when missing))
total = args.ending − args.beginning
wealth generated = total − contributions + withdrawals − debt principal
market change = wealth generated − dividends − interest</t>
        </is>
      </c>
      <c r="H543" s="3" t="inlineStr">
        <is>
          <t>Contributions is args.contributions (or 0 — when missing, never below zero). Withdrawals is args.withdrawals (or 0 — when missing, never below zero). Dividends is args.dividends (or 0 — when missing, never below zero). Interest is args.interest (or 0 — when missing, never below zero). Debt principal is args.debt principal (or 0 — when missing, never below zero). Total is args.ending minus args.beginning. Wealth generated is total minus contributions plus withdrawals minus debt principal. Market change is wealth generated minus dividends minus interest.</t>
        </is>
      </c>
      <c r="I543" s="3" t="inlineStr">
        <is>
          <t>PARTLY READ — some of the code is still showing through; needs a hand pass</t>
        </is>
      </c>
      <c r="J543" s="3" t="inlineStr">
        <is>
          <t>Nothing is handed to it</t>
        </is>
      </c>
      <c r="K543" s="3" t="inlineStr">
        <is>
          <t>NOT DECLARED — the code does not say what it gives back</t>
        </is>
      </c>
      <c r="L543" s="3" t="inlineStr">
        <is>
          <t>NOT FOUND — a screen calls it, but the words printed beside its answer could not be traced automatically. Needs reading.</t>
        </is>
      </c>
      <c r="M543" s="3" t="inlineStr">
        <is>
          <t>1. If contributions is missing it uses 0.
2. If withdrawals is missing it uses 0.
3. If dividends is missing it uses 0.
4. If interest is missing it uses 0.
5. If debt principal is missing it uses 0.</t>
        </is>
      </c>
      <c r="N543" s="3" t="inlineStr">
        <is>
          <t>Yes</t>
        </is>
      </c>
      <c r="O543" s="3" t="inlineStr">
        <is>
          <t>—</t>
        </is>
      </c>
      <c r="P543" s="3" t="n">
        <v>0</v>
      </c>
      <c r="Q543" s="3" t="inlineStr">
        <is>
          <t>None — no dependent function stands behind it</t>
        </is>
      </c>
      <c r="R543" s="3" t="inlineStr">
        <is>
          <t>No dependent function — it reads its inputs and answers</t>
        </is>
      </c>
      <c r="S543" s="3" t="inlineStr">
        <is>
          <t>—</t>
        </is>
      </c>
      <c r="T543" s="3" t="inlineStr">
        <is>
          <t>NW_CHANGE_WALK</t>
        </is>
      </c>
      <c r="U543" s="3" t="inlineStr">
        <is>
          <t>ACTIVE</t>
        </is>
      </c>
      <c r="V543" s="3" t="inlineStr">
        <is>
          <t>2026-09-09</t>
        </is>
      </c>
      <c r="W543" s="3" t="n"/>
      <c r="X543" s="3" t="n"/>
      <c r="Y543" s="3" t="inlineStr">
        <is>
          <t>NOTHING OPEN</t>
        </is>
      </c>
    </row>
    <row r="544" ht="60" customHeight="1">
      <c r="A544" s="3" t="inlineStr">
        <is>
          <t>MK-XS-F-012</t>
        </is>
      </c>
      <c r="B544" s="3" t="inlineStr">
        <is>
          <t>decodeCsvBase64</t>
        </is>
      </c>
      <c r="C544" s="3" t="inlineStr">
        <is>
          <t>src/domain/import/holdingsImport.ts</t>
        </is>
      </c>
      <c r="D544" s="3" t="n">
        <v>149</v>
      </c>
      <c r="E544" s="3" t="inlineStr">
        <is>
          <t>2 · DISPLAYED</t>
        </is>
      </c>
      <c r="F544" s="3" t="inlineStr">
        <is>
          <t>What is the text of the file that was picked?</t>
        </is>
      </c>
      <c r="G544" s="11" t="inlineStr">
        <is>
          <t>b = base64 to bytes(b64)
decode utf16(b, 2, true)   when length ≥ 2 and b[0] = 0xFF and b[1] = 0xFE
decode utf16(b, 2, false)   when length ≥ 2 and b[0] = 0xFE and b[1] = 0xFF
start = 0
nul = 0; const probe = min(count of b, 400)
decode utf16(b, 0, b[1] = 0)   when nul &gt; probe ÷ 4
[LOOP — the answer is found inside a loop the extractor cannot render; the steps above are the ones before it. Read by hand.]</t>
        </is>
      </c>
      <c r="H544" s="3" t="inlineStr">
        <is>
          <t>B is base64 to bytes(b64). When length is at least 2 and b[0] = 0xFF and b[1] = 0xFE, it answers decode utf16(b, 2, true). When length is at least 2 and b[0] = 0xFE and b[1] = 0xFF, it answers decode utf16(b, 2, false). Start is 0. Nul is 0; const probe = the smaller of how many b and 400 there are. When nul &gt; probe divided by 4, it answers decode utf16(b, 0, b[1] = 0). The answer is decode utf8(b, start). The answer is found inside a loop that cannot be rendered here; read the code by hand.</t>
        </is>
      </c>
      <c r="I544" s="3" t="inlineStr">
        <is>
          <t>PARTLY READ — the body has a loop the extractor cannot render; the steps shown are the ones before it. Needs a hand pass (G23).</t>
        </is>
      </c>
      <c r="J544" s="3" t="inlineStr">
        <is>
          <t>b64: string</t>
        </is>
      </c>
      <c r="K544" s="3" t="inlineStr">
        <is>
          <t>string</t>
        </is>
      </c>
      <c r="L544" s="3" t="inlineStr">
        <is>
          <t>NOT FOUND — a screen calls it, but the words printed beside its answer could not be traced automatically. Needs reading.</t>
        </is>
      </c>
      <c r="M544" s="3" t="inlineStr">
        <is>
          <t>1. Uses a built-in start of 0.
2. Uses a built-in nul of 0.
3. Caps length at 400.</t>
        </is>
      </c>
      <c r="N544" s="3" t="inlineStr">
        <is>
          <t>Yes</t>
        </is>
      </c>
      <c r="O544" s="3" t="inlineStr">
        <is>
          <t>1. MK-XS-F-123 base64ToBytes
2. MK-XS-F-125 decodeUtf16
3. MK-XS-F-124 decodeUtf8</t>
        </is>
      </c>
      <c r="P544" s="3" t="n">
        <v>3</v>
      </c>
      <c r="Q544" s="3" t="inlineStr">
        <is>
          <t>1. MK-XS-F-123 base64ToBytes
2. MK-XS-F-125 decodeUtf16
3. MK-XS-F-124 decodeUtf8</t>
        </is>
      </c>
      <c r="R544" s="3" t="inlineStr">
        <is>
          <t>1. MK-XS-F-123 base64ToBytes → MK-XS-F-012 decodeCsvBase64
2. MK-XS-F-125 decodeUtf16 → MK-XS-F-012 decodeCsvBase64
3. MK-XS-F-124 decodeUtf8 → MK-XS-F-012 decodeCsvBase64</t>
        </is>
      </c>
      <c r="S544" s="3" t="inlineStr">
        <is>
          <t>—</t>
        </is>
      </c>
      <c r="T544" s="3" t="inlineStr">
        <is>
          <t>FILE_DECODE</t>
        </is>
      </c>
      <c r="U544" s="3" t="inlineStr">
        <is>
          <t>ACTIVE</t>
        </is>
      </c>
      <c r="V544" s="3" t="inlineStr">
        <is>
          <t>2026-09-08</t>
        </is>
      </c>
      <c r="W544" s="3" t="n"/>
      <c r="X544" s="3" t="n"/>
      <c r="Y544" s="3" t="inlineStr">
        <is>
          <t>NOTHING OPEN</t>
        </is>
      </c>
    </row>
    <row r="545" ht="60" customHeight="1">
      <c r="A545" s="3" t="inlineStr">
        <is>
          <t>MK-XS-F-013</t>
        </is>
      </c>
      <c r="B545" s="3" t="inlineStr">
        <is>
          <t>parseCsv</t>
        </is>
      </c>
      <c r="C545" s="3" t="inlineStr">
        <is>
          <t>src/domain/import/holdingsImport.ts</t>
        </is>
      </c>
      <c r="D545" s="3" t="n">
        <v>186</v>
      </c>
      <c r="E545" s="3" t="inlineStr">
        <is>
          <t>3 · DEPENDENT</t>
        </is>
      </c>
      <c r="F545" s="3" t="inlineStr">
        <is>
          <t>Minimal RFC-4180-ish CSV parser: handles quoted fields, embedded commas, "" escapes, CR/LF, BOM.</t>
        </is>
      </c>
      <c r="G545" s="11" t="inlineStr">
        <is>
          <t>rows = []
row = []
field = ''
in quotes = false
s = (text.char code at(0) = 0xFEFF ? text.slice(1) : text).replace( ÷ \r\n ÷ g, "\n").replace( ÷ \r ÷ g, "\n")
c = s[i]
the answer = rows where some((cell) =&gt; cell.trim() ! = '')</t>
        </is>
      </c>
      <c r="H545" s="3" t="inlineStr">
        <is>
          <t>Rows is []. Row is []. Field is ''. In quotes is false. S is (text.char code at(0) = 0xFEFF ? text.slice(1) : text).replace( divided by \r\n divided by g, "\n").replace( divided by \r divided by g, "\n"). C is s[i]. The answer is rows where some((cell) =&gt; cell.trim() ! = '').</t>
        </is>
      </c>
      <c r="I545" s="3" t="inlineStr">
        <is>
          <t>PARTLY READ — some of the code is still showing through; needs a hand pass</t>
        </is>
      </c>
      <c r="J545" s="3" t="inlineStr">
        <is>
          <t>text: string</t>
        </is>
      </c>
      <c r="K545" s="3" t="inlineStr">
        <is>
          <t>string[][]</t>
        </is>
      </c>
      <c r="L545" s="3" t="inlineStr">
        <is>
          <t>—</t>
        </is>
      </c>
      <c r="M545" s="3" t="inlineStr">
        <is>
          <t>None found in this function — anything it assumes comes from the functions it depends on.</t>
        </is>
      </c>
      <c r="N545" s="3" t="inlineStr">
        <is>
          <t>Yes</t>
        </is>
      </c>
      <c r="O545" s="3" t="inlineStr">
        <is>
          <t>—</t>
        </is>
      </c>
      <c r="P545" s="3" t="n">
        <v>0</v>
      </c>
      <c r="Q545" s="3" t="inlineStr">
        <is>
          <t>None — no dependent function stands behind it</t>
        </is>
      </c>
      <c r="R545" s="3" t="inlineStr">
        <is>
          <t>No dependent function — it reads its inputs and answers</t>
        </is>
      </c>
      <c r="S545" s="3" t="inlineStr">
        <is>
          <t>—</t>
        </is>
      </c>
      <c r="T545" s="3" t="inlineStr">
        <is>
          <t>FILE_PARSE</t>
        </is>
      </c>
      <c r="U545" s="3" t="inlineStr">
        <is>
          <t>ACTIVE</t>
        </is>
      </c>
      <c r="V545" s="3" t="inlineStr">
        <is>
          <t>2026-08-27</t>
        </is>
      </c>
      <c r="W545" s="3" t="n"/>
      <c r="X545" s="3" t="n"/>
      <c r="Y545" s="3" t="inlineStr">
        <is>
          <t>NOTHING OPEN</t>
        </is>
      </c>
    </row>
    <row r="546" ht="60" customHeight="1">
      <c r="A546" s="3" t="inlineStr">
        <is>
          <t>MK-XS-F-014</t>
        </is>
      </c>
      <c r="B546" s="3" t="inlineStr">
        <is>
          <t>classifyHolding</t>
        </is>
      </c>
      <c r="C546" s="3" t="inlineStr">
        <is>
          <t>Calculation Module code/engines/classify.ts</t>
        </is>
      </c>
      <c r="D546" s="3" t="n">
        <v>151</v>
      </c>
      <c r="E546" s="3" t="inlineStr">
        <is>
          <t>3 · DEPENDENT (feeds an action only)</t>
        </is>
      </c>
      <c r="F546" s="3" t="inlineStr">
        <is>
          <t>For a line in a FILE you upload: which class is it?</t>
        </is>
      </c>
      <c r="G546" s="11" t="inlineStr">
        <is>
          <t>ticker = string(input.ticker ?? '').trim().replace( ÷ \ × +$ ÷ , '').replace( ÷ ^- ÷ , '').to upper case()
name = string(input.name ?? '').trim()
both = `${ticker} ${name}`.trim()
itype = string(input.institution type ?? '').trim().to upper case()
isub = string(input.institution sub type ?? '').trim().to upper case()
out(input.stated, 'you set this yourself')   when input.stated
out('stocks_funds', 'the institution says it is a money − market fund')   when isub = 'MONEYMARKET'
out('cash', 'the institution says it is cash')   when isub = 'CASH'
out(STRONG_TYPE[itype], `the institution's own type says ${itype}`)   when STRONG_TYPE[itype]
weak type = a list with no repeats of ['STOCK', 'MUTUALFUND', 'ETF', 'CS', 'ET', 'MF', 'OEF', 'CEF', 'ADR']
the answer = out('alternatives', 'the symbol is shaped like an option contract')
… the first steps only — the rest of the body needs reading by hand.</t>
        </is>
      </c>
      <c r="H546" s="3" t="inlineStr">
        <is>
          <t>Ticker is string(input.ticker ?? '').trim().replace( divided by \ times +$ divided by , '').replace( divided by ^- divided by , '').to upper case(). Name is string(input.name ?? '').trim(). Both is `${ticker} ${name}`.trim(). Itype is string(input.institution type ?? '').trim().to upper case(). Isub is string(input.institution sub type ?? '').trim().to upper case(). When input.stated, it answers out(input.stated, 'you set this yourself'). When isub = 'MONEYMARKET', it answers out('stocks_funds', 'the institution says it is a money minus market fund'). When isub = 'CASH', it answers out('cash', 'the institution says it is cash'). When STRONG_TYPE[itype], it answers out(STRONG_TYPE[itype], `the institution's own type says ${itype}`). Weak type is a list with no repeats of ['STOCK', 'MUTUALFUND', 'ETF', 'CS', 'ET', 'MF', 'OEF', 'CEF', 'ADR']. The answer is out('alternatives', 'the symbol is shaped like an option contract'). Only the first steps are shown; the rest of the body needs reading by hand.</t>
        </is>
      </c>
      <c r="I546" s="3" t="inlineStr">
        <is>
          <t>PARTLY READ — some of the code is still showing through; needs a hand pass</t>
        </is>
      </c>
      <c r="J546" s="3" t="inlineStr">
        <is>
          <t>input: ClassifyInput</t>
        </is>
      </c>
      <c r="K546" s="3" t="inlineStr">
        <is>
          <t>Classified</t>
        </is>
      </c>
      <c r="L546" s="3" t="inlineStr">
        <is>
          <t>—</t>
        </is>
      </c>
      <c r="M546" s="3" t="inlineStr">
        <is>
          <t>None found in this function — anything it assumes comes from the functions it depends on.</t>
        </is>
      </c>
      <c r="N546" s="3" t="inlineStr">
        <is>
          <t>No</t>
        </is>
      </c>
      <c r="O546" s="3" t="inlineStr">
        <is>
          <t>1. MK-XS-F-147 call
2. MK-ST-F-056 has
3. MK-ST-F-001 looksFixedIncome</t>
        </is>
      </c>
      <c r="P546" s="3" t="n">
        <v>6</v>
      </c>
      <c r="Q546" s="3" t="inlineStr">
        <is>
          <t>1. MK-XS-F-147 call
2. MK-ST-F-056 has
3. MK-ST-F-001 looksFixedIncome
4. MK-ST-F-027 accountId
5. MK-XS-F-064 currentIdToken
6. MK-XS-F-112 relayUrl</t>
        </is>
      </c>
      <c r="R546" s="3" t="inlineStr">
        <is>
          <t>1. MK-ST-F-027 accountId → MK-XS-F-147 call → MK-XS-F-014 classifyHolding
2. MK-XS-F-064 currentIdToken → MK-XS-F-147 call → MK-XS-F-014 classifyHolding
3. MK-XS-F-112 relayUrl → MK-XS-F-147 call → MK-XS-F-014 classifyHolding
4. MK-ST-F-056 has → MK-XS-F-014 classifyHolding
5. MK-ST-F-001 looksFixedIncome → MK-XS-F-014 classifyHolding</t>
        </is>
      </c>
      <c r="S546" s="3" t="inlineStr">
        <is>
          <t>—</t>
        </is>
      </c>
      <c r="T546" s="3" t="inlineStr">
        <is>
          <t>CLASS_FROM_FILE</t>
        </is>
      </c>
      <c r="U546" s="3" t="inlineStr">
        <is>
          <t>ACTIVE</t>
        </is>
      </c>
      <c r="V546" s="3" t="inlineStr">
        <is>
          <t>2026-08-27</t>
        </is>
      </c>
      <c r="W546" s="3" t="n"/>
      <c r="X546" s="3" t="n"/>
      <c r="Y546" s="3" t="inlineStr">
        <is>
          <t>NOTHING OPEN</t>
        </is>
      </c>
    </row>
    <row r="547" ht="60" customHeight="1">
      <c r="A547" s="3" t="inlineStr">
        <is>
          <t>MK-XS-F-015</t>
        </is>
      </c>
      <c r="B547" s="3" t="inlineStr">
        <is>
          <t>importHoldings</t>
        </is>
      </c>
      <c r="C547" s="3" t="inlineStr">
        <is>
          <t>src/domain/import/holdingsImport.ts</t>
        </is>
      </c>
      <c r="D547" s="3" t="n">
        <v>426</v>
      </c>
      <c r="E547" s="3" t="inlineStr">
        <is>
          <t>2 · DISPLAYED</t>
        </is>
      </c>
      <c r="F547" s="3" t="inlineStr">
        <is>
          <t>What holdings are in this file?</t>
        </is>
      </c>
      <c r="G547" s="11" t="inlineStr">
        <is>
          <t>rows = parse csv(text)
holdings = []
total = 0
skipped = 0
mapped = {}   when rows.length &lt; 2
h idx = find header row(rows)
headers = for each of rows[h idx]: trim()
symbol col = find col(headers, [ ÷ ^symbol$ ÷ i, ÷ ^ticker$ ÷ i, ÷ symbol|ticker ÷ i])
shares col = find col(headers, [ ÷ ^quantity$ ÷ i, ÷ quantity|shares|qty|units ÷ i])
per share col = find col(headers, [ ÷ cost. × (per|\ ÷ ). × sh|cost\ ÷ sh|average cost|avg\.? cost|price paid|purchase price|unit cost ÷ i])
total cost col = find col(headers, [ ÷ cost basis|total cost|cost amount|book cost ÷ i])
value col = find col(headers, [ ÷ ^value\s × \$?$ ÷ i, ÷ market value|current value|^value ÷ i])
date col = find col(headers, [ ÷ purchase date|acquired|acquisition|trade date|date ÷ i])
name col = find col(headers, [ ÷ description|security|name|fund|investment|holding|instrument ÷ i])
… the first steps only — the rest of the body needs reading by hand.</t>
        </is>
      </c>
      <c r="H547" s="3" t="inlineStr">
        <is>
          <t>Rows is parse csv(text). When rows.length &lt; 2, it answers holdings = []; total = 0; skipped = 0; mapped = {}. H idx is find header row(rows). Headers is for each of rows[h idx]: trim(). Symbol col is find col(headers, [ divided by ^symbol$ divided by i, divided by ^ticker$ divided by i, divided by symbol|ticker divided by i]). Shares col is find col(headers, [ divided by ^quantity$ divided by i, divided by quantity|shares|qty|units divided by i]). Per share col is find col(headers, [ divided by cost. times (per|\ divided by ). times sh|cost\ divided by sh|average cost|avg\.? cost|price paid|purchase price|unit cost divided by i]). Total cost col is find col(headers, [ divided by cost basis|total cost|cost amount|book cost divided by i]). Value col is find col(headers, [ divided by ^value\s times \$?$ divided by i, divided by market value|current value|^value divided by i]). Date col is find col(headers, [ divided by purchase date|acquired|acquisition|trade date|date divided by i]). Name col is find col(headers, [ divided by description|security|name|fund|investment|holding|instrument divided by i]). Only the first steps are shown; the rest of the body needs reading by hand.</t>
        </is>
      </c>
      <c r="I547" s="3" t="inlineStr">
        <is>
          <t>PARTLY READ — some of the code is still showing through; needs a hand pass</t>
        </is>
      </c>
      <c r="J547" s="3" t="inlineStr">
        <is>
          <t>text: string</t>
        </is>
      </c>
      <c r="K547" s="3" t="inlineStr">
        <is>
          <t>ImportResult</t>
        </is>
      </c>
      <c r="L547" s="3" t="inlineStr">
        <is>
          <t>NOT FOUND — a screen calls it, but the words printed beside its answer could not be traced automatically. Needs reading.</t>
        </is>
      </c>
      <c r="M547" s="3" t="inlineStr">
        <is>
          <t>· Uses a built-in skipped of 0.</t>
        </is>
      </c>
      <c r="N547" s="3" t="inlineStr">
        <is>
          <t>Yes</t>
        </is>
      </c>
      <c r="O547" s="3" t="inlineStr">
        <is>
          <t>1. MK-XS-F-172 assetClassForSymbol
2. MK-XS-F-128 cleanTicker
3. MK-XS-F-126 findCol
4. MK-XS-F-129 findHeaderRow
5. MK-CF-F-132 map
6. MK-XS-F-171 numOrNaN
7. MK-XS-F-013 parseCsv
8. MK-XS-F-127 toIsoDate</t>
        </is>
      </c>
      <c r="P547" s="3" t="n">
        <v>16</v>
      </c>
      <c r="Q547" s="3" t="inlineStr">
        <is>
          <t>1. MK-XS-F-172 assetClassForSymbol
2. MK-XS-F-128 cleanTicker
3. MK-XS-F-126 findCol
4. MK-XS-F-129 findHeaderRow
5. MK-CF-F-132 map
6. MK-XS-F-171 numOrNaN
7. MK-XS-F-013 parseCsv
8. MK-XS-F-127 toIsoDate
9. MK-ST-F-011 classifyHoldingClass
10. MK-XS-F-122 n
11. MK-ST-F-010 nameEvidence
12. MK-XS-F-147 call
13. MK-ST-F-056 has
14. MK-ST-F-027 accountId
15. MK-XS-F-064 currentIdToken
16. MK-XS-F-112 relayUrl</t>
        </is>
      </c>
      <c r="R547" s="3" t="inlineStr">
        <is>
          <t>1. MK-ST-F-027 accountId → MK-XS-F-147 call → MK-ST-F-010 nameEvidence → MK-ST-F-011 classifyHoldingClass → MK-XS-F-172 assetClassForSymbol → MK-XS-F-015 importHoldings
2. MK-XS-F-064 currentIdToken → MK-XS-F-147 call → MK-ST-F-010 nameEvidence → MK-ST-F-011 classifyHoldingClass → MK-XS-F-172 assetClassForSymbol → MK-XS-F-015 importHoldings
3. MK-XS-F-112 relayUrl → MK-XS-F-147 call → MK-ST-F-010 nameEvidence → MK-ST-F-011 classifyHoldingClass → MK-XS-F-172 assetClassForSymbol → MK-XS-F-015 importHoldings
4. MK-ST-F-056 has → MK-ST-F-010 nameEvidence → MK-ST-F-011 classifyHoldingClass → MK-XS-F-172 assetClassForSymbol → MK-XS-F-015 importHoldings
5. MK-CF-F-132 map → MK-ST-F-010 nameEvidence → MK-ST-F-011 classifyHoldingClass → MK-XS-F-172 assetClassForSymbol → MK-XS-F-015 importHoldings
6. MK-XS-F-128 cleanTicker → MK-XS-F-015 importHoldings
7. MK-XS-F-126 findCol → MK-XS-F-015 importHoldings
8. MK-CF-F-132 map → MK-XS-F-129 findHeaderRow → MK-XS-F-015 importHoldings
9. … and 4 more paths</t>
        </is>
      </c>
      <c r="S547" s="3" t="inlineStr">
        <is>
          <t>—</t>
        </is>
      </c>
      <c r="T547" s="3" t="inlineStr">
        <is>
          <t>FILE_IMPORT</t>
        </is>
      </c>
      <c r="U547" s="3" t="inlineStr">
        <is>
          <t>ACTIVE</t>
        </is>
      </c>
      <c r="V547" s="3" t="inlineStr">
        <is>
          <t>2026-08-27</t>
        </is>
      </c>
      <c r="W547" s="3" t="n"/>
      <c r="X547" s="3" t="n"/>
      <c r="Y547" s="3" t="inlineStr">
        <is>
          <t>NOTHING OPEN</t>
        </is>
      </c>
    </row>
    <row r="548" ht="45" customHeight="1">
      <c r="A548" s="3" t="inlineStr">
        <is>
          <t>MK-XS-F-016</t>
        </is>
      </c>
      <c r="B548" s="3" t="inlineStr">
        <is>
          <t>matchImportAccount</t>
        </is>
      </c>
      <c r="C548" s="3" t="inlineStr">
        <is>
          <t>src/domain/import/holdingsImport.ts</t>
        </is>
      </c>
      <c r="D548" s="3" t="n">
        <v>538</v>
      </c>
      <c r="E548" s="3" t="inlineStr">
        <is>
          <t>2 · DISPLAYED</t>
        </is>
      </c>
      <c r="F548" s="3" t="inlineStr">
        <is>
          <t>The existing account a fresh import from `institution` should offer to update (or null).</t>
        </is>
      </c>
      <c r="G548" s="11" t="inlineStr">
        <is>
          <t>target = norm inst(institution)
nothing   when target is missing
nothing   when count of candidates is missing</t>
        </is>
      </c>
      <c r="H548" s="3" t="inlineStr">
        <is>
          <t>Target is norm inst(institution). When target is missing, it answers no answer. When how many candidates is missing there are, it answers no answer.</t>
        </is>
      </c>
      <c r="I548" s="3" t="inlineStr">
        <is>
          <t>READ FROM THE CODE — rendered from the expressions the function runs</t>
        </is>
      </c>
      <c r="J548" s="3" t="inlineStr">
        <is>
          <t>1. accounts: AssetAccount[]
2. institution: string</t>
        </is>
      </c>
      <c r="K548" s="3" t="inlineStr">
        <is>
          <t>AssetAccount | null</t>
        </is>
      </c>
      <c r="L548" s="3" t="inlineStr">
        <is>
          <t>"Account name" — on the Import holdings screen, under "REVIEW YOUR HOLDINGS"</t>
        </is>
      </c>
      <c r="M548" s="3" t="inlineStr">
        <is>
          <t>· If balance is missing it counts as zero, so nothing recorded and a real zero look the same.</t>
        </is>
      </c>
      <c r="N548" s="3" t="inlineStr">
        <is>
          <t>Yes</t>
        </is>
      </c>
      <c r="O548" s="3" t="inlineStr">
        <is>
          <t>MK-XS-F-130 normInst</t>
        </is>
      </c>
      <c r="P548" s="3" t="n">
        <v>1</v>
      </c>
      <c r="Q548" s="3" t="inlineStr">
        <is>
          <t>MK-XS-F-130 normInst</t>
        </is>
      </c>
      <c r="R548" s="3" t="inlineStr">
        <is>
          <t>MK-XS-F-130 normInst → MK-XS-F-016 matchImportAccount</t>
        </is>
      </c>
      <c r="S548" s="3" t="inlineStr">
        <is>
          <t>—</t>
        </is>
      </c>
      <c r="T548" s="3" t="inlineStr">
        <is>
          <t>IMPORT_ACCOUNT_MATCH</t>
        </is>
      </c>
      <c r="U548" s="3" t="inlineStr">
        <is>
          <t>ACTIVE</t>
        </is>
      </c>
      <c r="V548" s="3" t="inlineStr">
        <is>
          <t>2026-08-27</t>
        </is>
      </c>
      <c r="W548" s="3" t="n"/>
      <c r="X548" s="3" t="n"/>
      <c r="Y548" s="3" t="inlineStr">
        <is>
          <t>NOTHING OPEN</t>
        </is>
      </c>
    </row>
    <row r="549" ht="60" customHeight="1">
      <c r="A549" s="3" t="inlineStr">
        <is>
          <t>MK-XS-F-017</t>
        </is>
      </c>
      <c r="B549" s="3" t="inlineStr">
        <is>
          <t>currentAge</t>
        </is>
      </c>
      <c r="C549" s="3" t="inlineStr">
        <is>
          <t>src/domain/profile/calc.ts</t>
        </is>
      </c>
      <c r="D549" s="3" t="n">
        <v>35</v>
      </c>
      <c r="E549" s="3" t="inlineStr">
        <is>
          <t>3 · DEPENDENT</t>
        </is>
      </c>
      <c r="F549" s="3" t="inlineStr">
        <is>
          <t>Age in whole years from birth month/year, as of `asOf` (defaults to now).</t>
        </is>
      </c>
      <c r="G549" s="11" t="inlineStr">
        <is>
          <t>nothing   when birth year is missing (or birth month is missing when missing or zero)
age = as of.get full year() − birth year
month idx = birth month − 1
the answer:
age   if age ≥ 0
nothing   otherwise</t>
        </is>
      </c>
      <c r="H549" s="3" t="inlineStr">
        <is>
          <t>When birth year is missing (or birth month is missing — when missing or zero), it answers no answer. Age is as of.get full year() minus birth year. Month idx is birth month minus 1. The answer is age — when age is at least 0; no answer — otherwise.</t>
        </is>
      </c>
      <c r="I549" s="3" t="inlineStr">
        <is>
          <t>PARTLY READ — some of the code is still showing through; needs a hand pass</t>
        </is>
      </c>
      <c r="J549" s="3" t="inlineStr">
        <is>
          <t>Nothing is handed to it</t>
        </is>
      </c>
      <c r="K549" s="3" t="inlineStr">
        <is>
          <t>NOT DECLARED — the code does not say what it gives back</t>
        </is>
      </c>
      <c r="L549" s="3" t="inlineStr">
        <is>
          <t>—</t>
        </is>
      </c>
      <c r="M549" s="3" t="inlineStr">
        <is>
          <t>· Uses today's date from the device clock, so the answer changes by itself overnight.</t>
        </is>
      </c>
      <c r="N549" s="3" t="inlineStr">
        <is>
          <t>Yes</t>
        </is>
      </c>
      <c r="O549" s="3" t="inlineStr">
        <is>
          <t>—</t>
        </is>
      </c>
      <c r="P549" s="3" t="n">
        <v>0</v>
      </c>
      <c r="Q549" s="3" t="inlineStr">
        <is>
          <t>None — no dependent function stands behind it</t>
        </is>
      </c>
      <c r="R549" s="3" t="inlineStr">
        <is>
          <t>No dependent function — it reads its inputs and answers</t>
        </is>
      </c>
      <c r="S549" s="3" t="inlineStr">
        <is>
          <t>—</t>
        </is>
      </c>
      <c r="T549" s="3" t="inlineStr">
        <is>
          <t>—</t>
        </is>
      </c>
      <c r="U549" s="3" t="inlineStr">
        <is>
          <t>ACTIVE</t>
        </is>
      </c>
      <c r="V549" s="3" t="inlineStr">
        <is>
          <t>2026-08-27</t>
        </is>
      </c>
      <c r="W549" s="3" t="n"/>
      <c r="X549" s="3" t="n"/>
      <c r="Y549" s="6" t="inlineStr">
        <is>
          <t>TESTED, NOT VERIFIED (G9)</t>
        </is>
      </c>
    </row>
    <row r="550" ht="60" customHeight="1">
      <c r="A550" s="3" t="inlineStr">
        <is>
          <t>MK-XS-F-018</t>
        </is>
      </c>
      <c r="B550" s="3" t="inlineStr">
        <is>
          <t>yearsToRetirement</t>
        </is>
      </c>
      <c r="C550" s="3" t="inlineStr">
        <is>
          <t>src/domain/profile/calc.ts</t>
        </is>
      </c>
      <c r="D550" s="3" t="n">
        <v>108</v>
      </c>
      <c r="E550" s="3" t="inlineStr">
        <is>
          <t>3 · DEPENDENT</t>
        </is>
      </c>
      <c r="F550" s="3" t="inlineStr">
        <is>
          <t>Years until the target retirement age (never negative).</t>
        </is>
      </c>
      <c r="G550" s="11" t="inlineStr">
        <is>
          <t>nothing   when age = nothing (or target retirement age is missing when missing or zero)
max(0, target retirement age − age)</t>
        </is>
      </c>
      <c r="H550" s="3" t="inlineStr">
        <is>
          <t>When age is missing (or target retirement age is missing — when missing or zero), it answers no answer. target retirement age minus age, never below zero.</t>
        </is>
      </c>
      <c r="I550" s="3" t="inlineStr">
        <is>
          <t>READ FROM THE CODE — rendered from the expressions the function runs</t>
        </is>
      </c>
      <c r="J550" s="3" t="inlineStr">
        <is>
          <t>1. age: number | null
2. targetRetirementAge: number | null</t>
        </is>
      </c>
      <c r="K550" s="3" t="inlineStr">
        <is>
          <t>number | null</t>
        </is>
      </c>
      <c r="L550" s="3" t="inlineStr">
        <is>
          <t>—</t>
        </is>
      </c>
      <c r="M550" s="3" t="inlineStr">
        <is>
          <t>None found in this function — anything it assumes comes from the functions it depends on.</t>
        </is>
      </c>
      <c r="N550" s="3" t="inlineStr">
        <is>
          <t>Yes</t>
        </is>
      </c>
      <c r="O550" s="3" t="inlineStr">
        <is>
          <t>—</t>
        </is>
      </c>
      <c r="P550" s="3" t="n">
        <v>0</v>
      </c>
      <c r="Q550" s="3" t="inlineStr">
        <is>
          <t>None — no dependent function stands behind it</t>
        </is>
      </c>
      <c r="R550" s="3" t="inlineStr">
        <is>
          <t>No dependent function — it reads its inputs and answers</t>
        </is>
      </c>
      <c r="S550" s="3" t="inlineStr">
        <is>
          <t>—</t>
        </is>
      </c>
      <c r="T550" s="3" t="inlineStr">
        <is>
          <t>—</t>
        </is>
      </c>
      <c r="U550" s="3" t="inlineStr">
        <is>
          <t>ACTIVE</t>
        </is>
      </c>
      <c r="V550" s="3" t="inlineStr">
        <is>
          <t>2026-08-27</t>
        </is>
      </c>
      <c r="W550" s="3" t="n"/>
      <c r="X550" s="3" t="n"/>
      <c r="Y550" s="3" t="inlineStr">
        <is>
          <t>NOTHING OPEN</t>
        </is>
      </c>
    </row>
    <row r="551" ht="60" customHeight="1">
      <c r="A551" s="3" t="inlineStr">
        <is>
          <t>MK-XS-F-019</t>
        </is>
      </c>
      <c r="B551" s="3" t="inlineStr">
        <is>
          <t>retirementHorizonYears</t>
        </is>
      </c>
      <c r="C551" s="3" t="inlineStr">
        <is>
          <t>src/domain/profile/calc.ts</t>
        </is>
      </c>
      <c r="D551" s="3" t="n">
        <v>138</v>
      </c>
      <c r="E551" s="3" t="inlineStr">
        <is>
          <t>3 · DEPENDENT</t>
        </is>
      </c>
      <c r="F551" s="3" t="inlineStr">
        <is>
          <t>Years the money must last: retirement → plan-to age (default horizon if unset).</t>
        </is>
      </c>
      <c r="G551" s="11" t="inlineStr">
        <is>
          <t>nothing   when target retirement age is missing
horizon = (plan to age ?? DEFAULT_PLAN_TO_AGE) − target retirement age
the answer:
horizon   if horizon &gt; 0
nothing   otherwise</t>
        </is>
      </c>
      <c r="H551" s="3" t="inlineStr">
        <is>
          <t>When target retirement age is missing, it answers no answer. Horizon is (plan to age ?? DEFAULT_PLAN_TO_AGE) minus target retirement age. The answer is horizon — when horizon &gt; 0; no answer — otherwise.</t>
        </is>
      </c>
      <c r="I551" s="3" t="inlineStr">
        <is>
          <t>PARTLY READ — some of the code is still showing through; needs a hand pass</t>
        </is>
      </c>
      <c r="J551" s="3" t="inlineStr">
        <is>
          <t>1. targetRetirementAge: number | null
2. planToAge: number | null</t>
        </is>
      </c>
      <c r="K551" s="3" t="inlineStr">
        <is>
          <t>number | null</t>
        </is>
      </c>
      <c r="L551" s="3" t="inlineStr">
        <is>
          <t>—</t>
        </is>
      </c>
      <c r="M551" s="3" t="inlineStr">
        <is>
          <t>None found in this function — anything it assumes comes from the functions it depends on.</t>
        </is>
      </c>
      <c r="N551" s="3" t="inlineStr">
        <is>
          <t>Yes</t>
        </is>
      </c>
      <c r="O551" s="3" t="inlineStr">
        <is>
          <t>—</t>
        </is>
      </c>
      <c r="P551" s="3" t="n">
        <v>0</v>
      </c>
      <c r="Q551" s="3" t="inlineStr">
        <is>
          <t>None — no dependent function stands behind it</t>
        </is>
      </c>
      <c r="R551" s="3" t="inlineStr">
        <is>
          <t>No dependent function — it reads its inputs and answers</t>
        </is>
      </c>
      <c r="S551" s="3" t="inlineStr">
        <is>
          <t>—</t>
        </is>
      </c>
      <c r="T551" s="3" t="inlineStr">
        <is>
          <t>—</t>
        </is>
      </c>
      <c r="U551" s="3" t="inlineStr">
        <is>
          <t>ACTIVE</t>
        </is>
      </c>
      <c r="V551" s="3" t="inlineStr">
        <is>
          <t>2026-08-27</t>
        </is>
      </c>
      <c r="W551" s="3" t="n"/>
      <c r="X551" s="3" t="n"/>
      <c r="Y551" s="3" t="inlineStr">
        <is>
          <t>NOTHING OPEN</t>
        </is>
      </c>
    </row>
    <row r="552" ht="60" customHeight="1">
      <c r="A552" s="3" t="inlineStr">
        <is>
          <t>MK-XS-F-020</t>
        </is>
      </c>
      <c r="B552" s="3" t="inlineStr">
        <is>
          <t>toReadModel</t>
        </is>
      </c>
      <c r="C552" s="3" t="inlineStr">
        <is>
          <t>src/domain/profile/calc.ts</t>
        </is>
      </c>
      <c r="D552" s="3" t="n">
        <v>168</v>
      </c>
      <c r="E552" s="3" t="inlineStr">
        <is>
          <t>3 · DEPENDENT</t>
        </is>
      </c>
      <c r="F552" s="3" t="inlineStr">
        <is>
          <t>Build the public read-model (profile + derived planning values).</t>
        </is>
      </c>
      <c r="G552" s="11" t="inlineStr">
        <is>
          <t>age = current age(birth year, birth month, as of)</t>
        </is>
      </c>
      <c r="H552" s="3" t="inlineStr">
        <is>
          <t>Age is current age(birth year, birth month, as of).</t>
        </is>
      </c>
      <c r="I552" s="3" t="inlineStr">
        <is>
          <t>READ FROM THE CODE — rendered from the expressions the function runs</t>
        </is>
      </c>
      <c r="J552" s="3" t="inlineStr">
        <is>
          <t>1. p: Profile
2. asOf: Date = new Date()</t>
        </is>
      </c>
      <c r="K552" s="3" t="inlineStr">
        <is>
          <t>ProfileReadModel</t>
        </is>
      </c>
      <c r="L552" s="3" t="inlineStr">
        <is>
          <t>—</t>
        </is>
      </c>
      <c r="M552" s="3" t="inlineStr">
        <is>
          <t>· Uses today's date from the device clock, so the answer changes by itself overnight.</t>
        </is>
      </c>
      <c r="N552" s="3" t="inlineStr">
        <is>
          <t>Yes</t>
        </is>
      </c>
      <c r="O552" s="3" t="inlineStr">
        <is>
          <t>1. MK-XS-F-017 currentAge
2. MK-XS-F-019 retirementHorizonYears
3. MK-XS-F-018 yearsToRetirement</t>
        </is>
      </c>
      <c r="P552" s="3" t="n">
        <v>3</v>
      </c>
      <c r="Q552" s="3" t="inlineStr">
        <is>
          <t>1. MK-XS-F-017 currentAge
2. MK-XS-F-019 retirementHorizonYears
3. MK-XS-F-018 yearsToRetirement</t>
        </is>
      </c>
      <c r="R552" s="3" t="inlineStr">
        <is>
          <t>1. MK-XS-F-017 currentAge → MK-XS-F-020 toReadModel
2. MK-XS-F-019 retirementHorizonYears → MK-XS-F-020 toReadModel
3. MK-XS-F-018 yearsToRetirement → MK-XS-F-020 toReadModel</t>
        </is>
      </c>
      <c r="S552" s="3" t="inlineStr">
        <is>
          <t>—</t>
        </is>
      </c>
      <c r="T552" s="3" t="inlineStr">
        <is>
          <t>—</t>
        </is>
      </c>
      <c r="U552" s="3" t="inlineStr">
        <is>
          <t>ACTIVE</t>
        </is>
      </c>
      <c r="V552" s="3" t="inlineStr">
        <is>
          <t>2026-08-27</t>
        </is>
      </c>
      <c r="W552" s="3" t="n"/>
      <c r="X552" s="3" t="n"/>
      <c r="Y552" s="3" t="inlineStr">
        <is>
          <t>NOTHING OPEN</t>
        </is>
      </c>
    </row>
    <row r="553" ht="60" customHeight="1">
      <c r="A553" s="3" t="inlineStr">
        <is>
          <t>MK-XS-F-021</t>
        </is>
      </c>
      <c r="B553" s="3" t="inlineStr">
        <is>
          <t>loadProfile</t>
        </is>
      </c>
      <c r="C553" s="3" t="inlineStr">
        <is>
          <t>src/domain/profile/index.ts</t>
        </is>
      </c>
      <c r="D553" s="3" t="n">
        <v>35</v>
      </c>
      <c r="E553" s="3" t="inlineStr">
        <is>
          <t>3 · DEPENDENT (feeds an action only)</t>
        </is>
      </c>
      <c r="F553" s="3" t="inlineStr">
        <is>
          <t>NOT DETERMINED — the code carries no note saying what this is for, and it has no row in the old inventory. Needs reading.</t>
        </is>
      </c>
      <c r="G553" s="11" t="inlineStr">
        <is>
          <t>get user doc&lt;profile&gt;(COLLECTION, uid)</t>
        </is>
      </c>
      <c r="H553" s="3" t="inlineStr">
        <is>
          <t>get user doc&lt;profile&gt;(COLLECTION, uid).</t>
        </is>
      </c>
      <c r="I553" s="3" t="inlineStr">
        <is>
          <t>READ FROM THE CODE — rendered from the expressions the function runs</t>
        </is>
      </c>
      <c r="J553" s="3" t="inlineStr">
        <is>
          <t>uid: UserId</t>
        </is>
      </c>
      <c r="K553" s="3" t="inlineStr">
        <is>
          <t>Promise&lt;Profile | null&gt;</t>
        </is>
      </c>
      <c r="L553" s="3" t="inlineStr">
        <is>
          <t>—</t>
        </is>
      </c>
      <c r="M553" s="3" t="inlineStr">
        <is>
          <t>None found in this function — anything it assumes comes from the functions it depends on.</t>
        </is>
      </c>
      <c r="N553" s="3" t="inlineStr">
        <is>
          <t>No</t>
        </is>
      </c>
      <c r="O553" s="3" t="inlineStr">
        <is>
          <t>MK-XS-F-175 uid</t>
        </is>
      </c>
      <c r="P553" s="3" t="n">
        <v>81</v>
      </c>
      <c r="Q553"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553" s="3" t="inlineStr">
        <is>
          <t>1. MK-ST-F-027 accountId → MK-XS-F-175 uid → MK-XS-F-021 loadProfile
2. MK-CF-F-137 findPos → MK-CF-F-138 addLot → MK-CF-F-111 applyTransaction → MK-XS-F-175 uid → MK-XS-F-021 loadProfile
3. MK-CF-F-132 map → MK-CF-F-138 addLot → MK-CF-F-111 applyTransaction → MK-XS-F-175 uid → MK-XS-F-021 loadProfile
4. MK-ST-F-043 newEntityId → MK-CF-F-138 addLot → MK-CF-F-111 applyTransaction → MK-XS-F-175 uid → MK-XS-F-021 loadProfile
5. MK-CF-F-134 usesSleeve → MK-CF-F-136 bumpCash → MK-CF-F-111 applyTransaction → MK-XS-F-175 uid → MK-XS-F-021 loadProfile
6. MK-CF-F-137 findPos → MK-CF-F-111 applyTransaction → MK-XS-F-175 uid → MK-XS-F-021 loadProfile
7. MK-CF-F-132 map → MK-CF-F-111 applyTransaction → MK-XS-F-175 uid → MK-XS-F-021 loadProfile
8. MK-CF-F-137 findPos → MK-CF-F-139 removeShares → MK-CF-F-111 applyTransaction → MK-XS-F-175 uid → MK-XS-F-021 loadProfile
9. … and 4 more paths</t>
        </is>
      </c>
      <c r="S553" s="3" t="inlineStr">
        <is>
          <t>—</t>
        </is>
      </c>
      <c r="T553" s="3" t="inlineStr">
        <is>
          <t>—</t>
        </is>
      </c>
      <c r="U553" s="3" t="inlineStr">
        <is>
          <t>ACTIVE</t>
        </is>
      </c>
      <c r="V553" s="3" t="inlineStr">
        <is>
          <t>2026-08-27</t>
        </is>
      </c>
      <c r="W553" s="3" t="n"/>
      <c r="X553" s="3" t="n"/>
      <c r="Y553" s="3" t="inlineStr">
        <is>
          <t>NOTHING OPEN</t>
        </is>
      </c>
    </row>
    <row r="554" ht="60" customHeight="1">
      <c r="A554" s="3" t="inlineStr">
        <is>
          <t>MK-XS-F-022</t>
        </is>
      </c>
      <c r="B554" s="3" t="inlineStr">
        <is>
          <t>saveProfile</t>
        </is>
      </c>
      <c r="C554" s="3" t="inlineStr">
        <is>
          <t>src/domain/profile/index.ts</t>
        </is>
      </c>
      <c r="D554" s="3" t="n">
        <v>54</v>
      </c>
      <c r="E554" s="3" t="inlineStr">
        <is>
          <t>1 · ACTION</t>
        </is>
      </c>
      <c r="F554" s="3" t="inlineStr">
        <is>
          <t>NOT DETERMINED — the code carries no note saying what this is for, and it has no row in the old inventory. Needs reading.</t>
        </is>
      </c>
      <c r="G554" s="11" t="inlineStr">
        <is>
          <t>It records or announces something and returns no figure — no arithmetic of its own.</t>
        </is>
      </c>
      <c r="H554" s="3" t="inlineStr">
        <is>
          <t>It records or announces something and returns no figure — no arithmetic of its own.</t>
        </is>
      </c>
      <c r="I554" s="3" t="inlineStr">
        <is>
          <t>NO ARITHMETIC — there is no formula to state</t>
        </is>
      </c>
      <c r="J554" s="3" t="inlineStr">
        <is>
          <t>profile: Profile</t>
        </is>
      </c>
      <c r="K554" s="3" t="inlineStr">
        <is>
          <t>Promise&lt;void&gt;</t>
        </is>
      </c>
      <c r="L554" s="3" t="inlineStr">
        <is>
          <t>—</t>
        </is>
      </c>
      <c r="M554" s="3" t="inlineStr">
        <is>
          <t>None found in this function — anything it assumes comes from the functions it depends on.</t>
        </is>
      </c>
      <c r="N554" s="3" t="inlineStr">
        <is>
          <t>Yes</t>
        </is>
      </c>
      <c r="O554" s="3" t="inlineStr">
        <is>
          <t>1. MK-ST-F-040 emit
2. MK-ST-F-042 setUserDoc</t>
        </is>
      </c>
      <c r="P554" s="3" t="n">
        <v>83</v>
      </c>
      <c r="Q554" s="3" t="inlineStr">
        <is>
          <t>1. MK-ST-F-040 emit
2. MK-ST-F-042 setUserDoc
3. MK-XS-F-175 uid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554" s="3" t="inlineStr">
        <is>
          <t>1. MK-ST-F-040 emit → MK-XS-F-022 saveProfile
2. MK-ST-F-027 accountId → MK-XS-F-175 uid → MK-ST-F-042 setUserDoc → MK-XS-F-022 saveProfile
3. MK-CF-F-137 findPos → MK-CF-F-138 addLot → MK-CF-F-111 applyTransaction → MK-XS-F-175 uid → MK-ST-F-042 setUserDoc → MK-XS-F-022 saveProfile
4. MK-CF-F-132 map → MK-CF-F-138 addLot → MK-CF-F-111 applyTransaction → MK-XS-F-175 uid → MK-ST-F-042 setUserDoc → MK-XS-F-022 saveProfile
5. MK-ST-F-043 newEntityId → MK-CF-F-138 addLot → MK-CF-F-111 applyTransaction → MK-XS-F-175 uid → MK-ST-F-042 setUserDoc → MK-XS-F-022 saveProfile
6. MK-CF-F-134 usesSleeve → MK-CF-F-136 bumpCash → MK-CF-F-111 applyTransaction → MK-XS-F-175 uid → MK-ST-F-042 setUserDoc → MK-XS-F-022 saveProfile
7. MK-CF-F-137 findPos → MK-CF-F-111 applyTransaction → MK-XS-F-175 uid → MK-ST-F-042 setUserDoc → MK-XS-F-022 saveProfile
8. MK-CF-F-132 map → MK-CF-F-111 applyTransaction → MK-XS-F-175 uid → MK-ST-F-042 setUserDoc → MK-XS-F-022 saveProfile
9. … and 4 more paths</t>
        </is>
      </c>
      <c r="S554" s="3" t="inlineStr">
        <is>
          <t>—</t>
        </is>
      </c>
      <c r="T554" s="3" t="inlineStr">
        <is>
          <t>—</t>
        </is>
      </c>
      <c r="U554" s="3" t="inlineStr">
        <is>
          <t>ACTIVE</t>
        </is>
      </c>
      <c r="V554" s="3" t="inlineStr">
        <is>
          <t>2026-08-27</t>
        </is>
      </c>
      <c r="W554" s="3" t="n"/>
      <c r="X554" s="3" t="n"/>
      <c r="Y554" s="3" t="inlineStr">
        <is>
          <t>NOTHING OPEN</t>
        </is>
      </c>
    </row>
    <row r="555" ht="60" customHeight="1">
      <c r="A555" s="3" t="inlineStr">
        <is>
          <t>MK-XS-F-023</t>
        </is>
      </c>
      <c r="B555" s="3" t="inlineStr">
        <is>
          <t>getProfileReadModel</t>
        </is>
      </c>
      <c r="C555" s="3" t="inlineStr">
        <is>
          <t>src/domain/profile/index.ts</t>
        </is>
      </c>
      <c r="D555" s="3" t="n">
        <v>78</v>
      </c>
      <c r="E555" s="3" t="inlineStr">
        <is>
          <t>3 · DEPENDENT (feeds an action only)</t>
        </is>
      </c>
      <c r="F555" s="3" t="inlineStr">
        <is>
          <t>Profile + derived planning values (current age, years to retirement, horizon).</t>
        </is>
      </c>
      <c r="G555" s="11" t="inlineStr">
        <is>
          <t>p = await load profile(uid)
the answer:
to read model(p)   if p
nothing   otherwise</t>
        </is>
      </c>
      <c r="H555" s="3" t="inlineStr">
        <is>
          <t>P is await load profile(uid). The answer is to read model(p) — when p; no answer — otherwise.</t>
        </is>
      </c>
      <c r="I555" s="3" t="inlineStr">
        <is>
          <t>READ FROM THE CODE — rendered from the expressions the function runs</t>
        </is>
      </c>
      <c r="J555" s="3" t="inlineStr">
        <is>
          <t>uid: UserId</t>
        </is>
      </c>
      <c r="K555" s="3" t="inlineStr">
        <is>
          <t>Promise&lt;ProfileReadModel | null&gt;</t>
        </is>
      </c>
      <c r="L555" s="3" t="inlineStr">
        <is>
          <t>—</t>
        </is>
      </c>
      <c r="M555" s="3" t="inlineStr">
        <is>
          <t>None found in this function — anything it assumes comes from the functions it depends on.</t>
        </is>
      </c>
      <c r="N555" s="3" t="inlineStr">
        <is>
          <t>No</t>
        </is>
      </c>
      <c r="O555" s="3" t="inlineStr">
        <is>
          <t>1. MK-XS-F-021 loadProfile
2. MK-XS-F-020 toReadModel
3. MK-XS-F-175 uid</t>
        </is>
      </c>
      <c r="P555" s="3" t="n">
        <v>86</v>
      </c>
      <c r="Q555" s="3" t="inlineStr">
        <is>
          <t>1. MK-XS-F-021 loadProfile
2. MK-XS-F-020 toReadModel
3. MK-XS-F-175 uid
4. MK-XS-F-017 currentAge
5. MK-XS-F-019 retirementHorizonYears
6. MK-XS-F-018 yearsToRetirement
7. MK-ST-F-027 accountId
8. MK-CF-F-111 applyTransaction
9. MK-NW-F-040 assetsFromOnboarding
10. MK-PF-F-013 benchmarkTicker
11. MK-ST-F-028 buildDayFromAccounts
12. MK-PF-F-034 closeOnOrBefore
13. MK-CF-F-186 convertTakeHomeMode
14. MK-ST-F-079 dailyWindowStart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is>
      </c>
      <c r="R555" s="3" t="inlineStr">
        <is>
          <t>1. MK-ST-F-027 accountId → MK-XS-F-175 uid → MK-XS-F-021 loadProfile → MK-XS-F-023 getProfileReadModel
2. MK-CF-F-137 findPos → MK-CF-F-138 addLot → MK-CF-F-111 applyTransaction → MK-XS-F-175 uid → MK-XS-F-021 loadProfile → MK-XS-F-023 getProfileReadModel
3. MK-CF-F-132 map → MK-CF-F-138 addLot → MK-CF-F-111 applyTransaction → MK-XS-F-175 uid → MK-XS-F-021 loadProfile → MK-XS-F-023 getProfileReadModel
4. MK-ST-F-043 newEntityId → MK-CF-F-138 addLot → MK-CF-F-111 applyTransaction → MK-XS-F-175 uid → MK-XS-F-021 loadProfile → MK-XS-F-023 getProfileReadModel
5. MK-CF-F-134 usesSleeve → MK-CF-F-136 bumpCash → MK-CF-F-111 applyTransaction → MK-XS-F-175 uid → MK-XS-F-021 loadProfile → MK-XS-F-023 getProfileReadModel
6. MK-CF-F-137 findPos → MK-CF-F-111 applyTransaction → MK-XS-F-175 uid → MK-XS-F-021 loadProfile → MK-XS-F-023 getProfileReadModel
7. MK-CF-F-132 map → MK-CF-F-111 applyTransaction → MK-XS-F-175 uid → MK-XS-F-021 loadProfile → MK-XS-F-023 getProfileReadModel
8. MK-CF-F-137 findPos → MK-CF-F-139 removeShares → MK-CF-F-111 applyTransaction → MK-XS-F-175 uid → MK-XS-F-021 loadProfile → MK-XS-F-023 getProfileReadModel
9. … and 5 more paths</t>
        </is>
      </c>
      <c r="S555" s="3" t="inlineStr">
        <is>
          <t>—</t>
        </is>
      </c>
      <c r="T555" s="3" t="inlineStr">
        <is>
          <t>—</t>
        </is>
      </c>
      <c r="U555" s="3" t="inlineStr">
        <is>
          <t>ACTIVE</t>
        </is>
      </c>
      <c r="V555" s="3" t="inlineStr">
        <is>
          <t>2026-08-27</t>
        </is>
      </c>
      <c r="W555" s="3" t="n"/>
      <c r="X555" s="3" t="n"/>
      <c r="Y555" s="3" t="inlineStr">
        <is>
          <t>NOTHING OPEN</t>
        </is>
      </c>
    </row>
    <row r="556" ht="60" customHeight="1">
      <c r="A556" s="3" t="inlineStr">
        <is>
          <t>MK-XS-F-024</t>
        </is>
      </c>
      <c r="B556" s="3" t="inlineStr">
        <is>
          <t>resolveLens</t>
        </is>
      </c>
      <c r="C556" s="3" t="inlineStr">
        <is>
          <t>src/domain/profile/lens.ts</t>
        </is>
      </c>
      <c r="D556" s="3" t="n">
        <v>48</v>
      </c>
      <c r="E556" s="3" t="inlineStr">
        <is>
          <t>2 · DISPLAYED</t>
        </is>
      </c>
      <c r="F556" s="3" t="inlineStr">
        <is>
          <t>The person's explicit choice (first-run stage question / Settings → Your setup) wins.</t>
        </is>
      </c>
      <c r="G556" s="11" t="inlineStr">
        <is>
          <t>override   when override = 'working' (or override = 'retired' when missing or zero)
status = op.status
'retired'   when status = 'retired'
'retired'   when status = 'partial' and current retirement income monthly(op ?? {}) &gt; 0
the answer = 'working'</t>
        </is>
      </c>
      <c r="H556" s="3" t="inlineStr">
        <is>
          <t>When override = 'working' (or override = 'retired' — when missing or zero), it answers override. Status is op.status. When status = 'retired', it answers 'retired'. When status = 'partial' and current retirement income monthly(op ?? {}) &gt; 0, it answers 'retired'. The answer is 'working'.</t>
        </is>
      </c>
      <c r="I556" s="3" t="inlineStr">
        <is>
          <t>PARTLY READ — some of the code is still showing through; needs a hand pass</t>
        </is>
      </c>
      <c r="J556" s="3" t="inlineStr">
        <is>
          <t>1. op: Record&lt;string, any&gt; | null | undefined
2. override?: Lens | null</t>
        </is>
      </c>
      <c r="K556" s="3" t="inlineStr">
        <is>
          <t>Lens</t>
        </is>
      </c>
      <c r="L556" s="3" t="inlineStr">
        <is>
          <t>1. "Draw from savings" — on the Cash flow screen, under "YOUR FUTURE PAYCHECK"
2. "WILL MY MONEY LAST?" — on the Home screen, under "WILL MY MONEY LAST?"
3. "YOUR FIVE TABS — same order as the bar below" — on a card used on more than one screen (TopBar)</t>
        </is>
      </c>
      <c r="M556" s="3" t="inlineStr">
        <is>
          <t>None found in this function — anything it assumes comes from the functions it depends on.</t>
        </is>
      </c>
      <c r="N556" s="3" t="inlineStr">
        <is>
          <t>Yes</t>
        </is>
      </c>
      <c r="O556" s="3" t="inlineStr">
        <is>
          <t>MK-CF-F-072 currentRetirementIncomeMonthly</t>
        </is>
      </c>
      <c r="P556" s="3" t="n">
        <v>4</v>
      </c>
      <c r="Q556" s="3" t="inlineStr">
        <is>
          <t>1. MK-CF-F-072 currentRetirementIncomeMonthly
2. MK-CF-F-075 retirementIncomeMonthly
3. MK-ST-F-052 toNum
4. MK-XS-F-122 n</t>
        </is>
      </c>
      <c r="R556" s="3" t="inlineStr">
        <is>
          <t>MK-XS-F-122 n → MK-ST-F-052 toNum → MK-CF-F-075 retirementIncomeMonthly → MK-CF-F-072 currentRetirementIncomeMonthly → MK-XS-F-024 resolveLens</t>
        </is>
      </c>
      <c r="S556" s="3" t="inlineStr">
        <is>
          <t>—</t>
        </is>
      </c>
      <c r="T556" s="3" t="inlineStr">
        <is>
          <t>WHICH_VIEW</t>
        </is>
      </c>
      <c r="U556" s="3" t="inlineStr">
        <is>
          <t>ACTIVE</t>
        </is>
      </c>
      <c r="V556" s="3" t="inlineStr">
        <is>
          <t>2026-08-27</t>
        </is>
      </c>
      <c r="W556" s="3" t="n"/>
      <c r="X556" s="3" t="n"/>
      <c r="Y556" s="3" t="inlineStr">
        <is>
          <t>NOTHING OPEN</t>
        </is>
      </c>
    </row>
    <row r="557" ht="45" customHeight="1">
      <c r="A557" s="3" t="inlineStr">
        <is>
          <t>MK-XS-F-025</t>
        </is>
      </c>
      <c r="B557" s="3" t="inlineStr">
        <is>
          <t>tabOrder</t>
        </is>
      </c>
      <c r="C557" s="3" t="inlineStr">
        <is>
          <t>src/domain/profile/lens.ts</t>
        </is>
      </c>
      <c r="D557" s="3" t="n">
        <v>79</v>
      </c>
      <c r="E557" s="3" t="inlineStr">
        <is>
          <t>2 · DISPLAYED</t>
        </is>
      </c>
      <c r="F557" s="3" t="inlineStr">
        <is>
          <t>Bottom-bar order per lens (design pin: "Tab order is set once from stage; identical across sessions").</t>
        </is>
      </c>
      <c r="G557" s="11" t="inlineStr">
        <is>
          <t>retired → home, cashflow, analytics, plan, invest
otherwise → home, analytics, invest, cashflow, plan</t>
        </is>
      </c>
      <c r="H557" s="3" t="inlineStr">
        <is>
          <t>The order of the tabs for the person's lens — cash flow comes second for someone retired. No arithmetic.</t>
        </is>
      </c>
      <c r="I557" s="3" t="inlineStr">
        <is>
          <t>READ BY HAND 2026-08-26 — checked line by line against the code</t>
        </is>
      </c>
      <c r="J557" s="3" t="inlineStr">
        <is>
          <t>lens: Lens</t>
        </is>
      </c>
      <c r="K557" s="3" t="inlineStr">
        <is>
          <t>FccTab[]</t>
        </is>
      </c>
      <c r="L557" s="3" t="inlineStr">
        <is>
          <t>"YOUR FIVE TABS — same order as the bar below" — on a card used on more than one screen (TopBar)</t>
        </is>
      </c>
      <c r="M557" s="3" t="inlineStr">
        <is>
          <t>None found in this function — anything it assumes comes from the functions it depends on.</t>
        </is>
      </c>
      <c r="N557" s="3" t="inlineStr">
        <is>
          <t>Yes</t>
        </is>
      </c>
      <c r="O557" s="3" t="inlineStr">
        <is>
          <t>—</t>
        </is>
      </c>
      <c r="P557" s="3" t="n">
        <v>0</v>
      </c>
      <c r="Q557" s="3" t="inlineStr">
        <is>
          <t>None — no dependent function stands behind it</t>
        </is>
      </c>
      <c r="R557" s="3" t="inlineStr">
        <is>
          <t>No dependent function — it reads its inputs and answers</t>
        </is>
      </c>
      <c r="S557" s="3" t="inlineStr">
        <is>
          <t>—</t>
        </is>
      </c>
      <c r="T557" s="3" t="inlineStr">
        <is>
          <t>—</t>
        </is>
      </c>
      <c r="U557" s="3" t="inlineStr">
        <is>
          <t>ACTIVE</t>
        </is>
      </c>
      <c r="V557" s="3" t="inlineStr">
        <is>
          <t>2026-09-12</t>
        </is>
      </c>
      <c r="W557" s="3" t="n"/>
      <c r="X557" s="3" t="n"/>
      <c r="Y557" s="3" t="inlineStr">
        <is>
          <t>NOTHING OPEN</t>
        </is>
      </c>
    </row>
    <row r="558" ht="60" customHeight="1">
      <c r="A558" s="3" t="inlineStr">
        <is>
          <t>MK-XS-F-026</t>
        </is>
      </c>
      <c r="B558" s="3" t="inlineStr">
        <is>
          <t>profileFromOnboarding</t>
        </is>
      </c>
      <c r="C558" s="3" t="inlineStr">
        <is>
          <t>src/domain/profile/onboarding.ts</t>
        </is>
      </c>
      <c r="D558" s="3" t="n">
        <v>55</v>
      </c>
      <c r="E558" s="3" t="inlineStr">
        <is>
          <t>2 · DISPLAYED</t>
        </is>
      </c>
      <c r="F558" s="3" t="inlineStr">
        <is>
          <t>`op` is the consolidated onboardingProfile: { status, name, ...answers }.</t>
        </is>
      </c>
      <c r="G558" s="11" t="inlineStr">
        <is>
          <t>a = op (or none when missing)</t>
        </is>
      </c>
      <c r="H558" s="3" t="inlineStr">
        <is>
          <t>A is op (or none — when missing).</t>
        </is>
      </c>
      <c r="I558" s="3" t="inlineStr">
        <is>
          <t>READ FROM THE CODE — rendered from the expressions the function runs</t>
        </is>
      </c>
      <c r="J558" s="3" t="inlineStr">
        <is>
          <t>1. uid: UserId
2. op: Record&lt;string, any&gt; | null</t>
        </is>
      </c>
      <c r="K558" s="3" t="inlineStr">
        <is>
          <t>Profile</t>
        </is>
      </c>
      <c r="L558" s="3" t="inlineStr">
        <is>
          <t>NOT FOUND — a screen calls it, but the words printed beside its answer could not be traced automatically. Needs reading.</t>
        </is>
      </c>
      <c r="M558" s="3" t="inlineStr">
        <is>
          <t>None found in this function — anything it assumes comes from the functions it depends on.</t>
        </is>
      </c>
      <c r="N558" s="3" t="inlineStr">
        <is>
          <t>Yes</t>
        </is>
      </c>
      <c r="O558" s="3" t="inlineStr">
        <is>
          <t>1. MK-XS-F-131 toInt
2. MK-XS-F-175 uid</t>
        </is>
      </c>
      <c r="P558" s="3" t="n">
        <v>82</v>
      </c>
      <c r="Q558" s="3" t="inlineStr">
        <is>
          <t>1. MK-XS-F-131 toInt
2. MK-XS-F-175 uid
3. MK-XS-F-122 n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is>
      </c>
      <c r="R558" s="3" t="inlineStr">
        <is>
          <t>1. MK-XS-F-122 n → MK-XS-F-131 toInt → MK-XS-F-026 profileFromOnboarding
2. MK-ST-F-027 accountId → MK-XS-F-175 uid → MK-XS-F-026 profileFromOnboarding
3. MK-CF-F-137 findPos → MK-CF-F-138 addLot → MK-CF-F-111 applyTransaction → MK-XS-F-175 uid → MK-XS-F-026 profileFromOnboarding
4. MK-CF-F-132 map → MK-CF-F-138 addLot → MK-CF-F-111 applyTransaction → MK-XS-F-175 uid → MK-XS-F-026 profileFromOnboarding
5. MK-ST-F-043 newEntityId → MK-CF-F-138 addLot → MK-CF-F-111 applyTransaction → MK-XS-F-175 uid → MK-XS-F-026 profileFromOnboarding
6. MK-CF-F-134 usesSleeve → MK-CF-F-136 bumpCash → MK-CF-F-111 applyTransaction → MK-XS-F-175 uid → MK-XS-F-026 profileFromOnboarding
7. MK-CF-F-137 findPos → MK-CF-F-111 applyTransaction → MK-XS-F-175 uid → MK-XS-F-026 profileFromOnboarding
8. MK-CF-F-132 map → MK-CF-F-111 applyTransaction → MK-XS-F-175 uid → MK-XS-F-026 profileFromOnboarding
9. … and 4 more paths</t>
        </is>
      </c>
      <c r="S558" s="3" t="inlineStr">
        <is>
          <t>—</t>
        </is>
      </c>
      <c r="T558" s="3" t="inlineStr">
        <is>
          <t>—</t>
        </is>
      </c>
      <c r="U558" s="3" t="inlineStr">
        <is>
          <t>ACTIVE</t>
        </is>
      </c>
      <c r="V558" s="3" t="inlineStr">
        <is>
          <t>2026-08-27</t>
        </is>
      </c>
      <c r="W558" s="3" t="n"/>
      <c r="X558" s="3" t="n"/>
      <c r="Y558" s="3" t="inlineStr">
        <is>
          <t>NOTHING OPEN</t>
        </is>
      </c>
    </row>
    <row r="559" ht="60" customHeight="1">
      <c r="A559" s="3" t="inlineStr">
        <is>
          <t>MK-XS-F-027</t>
        </is>
      </c>
      <c r="B559" s="3" t="inlineStr">
        <is>
          <t>takeHomeMonthly</t>
        </is>
      </c>
      <c r="C559" s="3" t="inlineStr">
        <is>
          <t>src/domain/savings/index.ts</t>
        </is>
      </c>
      <c r="D559" s="3" t="n">
        <v>42</v>
      </c>
      <c r="E559" s="3" t="inlineStr">
        <is>
          <t>2 · DISPLAYED</t>
        </is>
      </c>
      <c r="F559" s="3" t="inlineStr">
        <is>
          <t>True take-home per month: after tax AND after the 401(k) deduction (the cash that hits your account).</t>
        </is>
      </c>
      <c r="G559" s="11" t="inlineStr">
        <is>
          <t>grid = income monthly grid(op, 'available')
the answer = Σ over grid of (amount)÷ 12</t>
        </is>
      </c>
      <c r="H559" s="3" t="inlineStr">
        <is>
          <t>Grid is income monthly grid(op, 'available'). The answer: the amount added up across grid÷ 12.</t>
        </is>
      </c>
      <c r="I559" s="3" t="inlineStr">
        <is>
          <t>READ FROM THE CODE — rendered from the expressions the function runs</t>
        </is>
      </c>
      <c r="J559" s="3" t="inlineStr">
        <is>
          <t>op: OnboardingProfile | null</t>
        </is>
      </c>
      <c r="K559" s="3" t="inlineStr">
        <is>
          <t>number</t>
        </is>
      </c>
      <c r="L559" s="3" t="inlineStr">
        <is>
          <t>"Income (take-home)" — on the budget screen</t>
        </is>
      </c>
      <c r="M559" s="3" t="inlineStr">
        <is>
          <t>None found in this function — anything it assumes comes from the functions it depends on.</t>
        </is>
      </c>
      <c r="N559" s="3" t="inlineStr">
        <is>
          <t>Yes</t>
        </is>
      </c>
      <c r="O559" s="3" t="inlineStr">
        <is>
          <t>1. MK-CF-F-092 incomeMonthlyGrid
2. MK-CF-F-011 savingsByMonth</t>
        </is>
      </c>
      <c r="P559" s="3" t="n">
        <v>99</v>
      </c>
      <c r="Q559" s="3" t="inlineStr">
        <is>
          <t>1. MK-CF-F-092 incomeMonthlyGrid
2. MK-CF-F-011 savingsByMonth
3. MK-CF-F-069 benefitActiveMonths
4. MK-CF-F-072 currentRetirementIncomeMonthly
5. MK-CF-F-173 earnerWages
6. MK-CF-F-065 equityVestWeights
7. MK-CF-F-071 extraIncome
8. MK-ST-F-056 has
9. MK-CF-F-206 householdK401ByMonth
10. MK-CF-F-132 map
11. MK-CF-F-087 monthlyTaxRates
12. MK-CF-F-073 otherIncomeMonth
13. MK-CF-F-181 rateInForce
14. MK-CF-F-068 rentalNetAnnual
15. MK-CF-F-066 rsuAnnual
16. MK-CF-F-060 salaryGrossByMonth
17. MK-CF-F-077 scholarshipByCalendarMonth
18. MK-CF-F-088 taxableByCalendarMonth
19. MK-ST-F-052 toNum
20. MK-CF-F-177 wageGrossByMonth
21. MK-PL-F-012 waterfall
22. MK-CF-F-008 spendByMonth
23. MK-CF-F-075 retirementIncomeMonthly
24. MK-CF-F-172 hasWage
25. MK-CF-F-062 equityRowValue
26. MK-CF-F-070 benefitAnnual
27. MK-ST-F-039 on
28. MK-CF-F-176 sumMonthsOverEarners
29. MK-CF-F-203 MONTH
30. MK-CF-F-090 effectiveRate
31. MK-CF-F-180 enteredLandsAnnual
32. MK-CF-F-085 filingStatusOf
33. MK-CF-F-089 over65CountOf
34. MK-CF-F-082 salaryAnnual
35. MK-CF-F-086 stateRateOf
36. MK-CF-F-101 taxOwedFor
37. MK-CF-F-084 taxableAnnual
38. MK-CF-O-002 expenses
39. MK-CF-F-067 rentalList
40. MK-CF-F-063 rowVestYear
41. MK-XS-F-122 n
42. MK-CF-F-130 enteredMonthlyRaw
43. MK-CF-F-166 hasMonthlySalaryTable
44. MK-ST-F-036 reconcile
45. MK-CF-F-167 salaryCalendarYear
46. MK-CF-F-120 pctBaseMonthly
47. MK-CF-F-004 spendBuckets
48. MK-CF-O-010 theMonth
49. MK-CF-F-100 taxableIncomeFor
50. MK-CF-F-074 tipsAnnual
51. MK-CF-F-151 actualSpending
52. MK-CF-F-150 debtPaymentsCountedAsExpenses
53. MK-CF-F-153 radar
54. MK-CF-F-149 recurringDebtPayments
55. MK-CF-F-165 salaryMonths
56. MK-CF-F-003 categoryMonthly
57. MK-CF-F-155 cash
58. MK-CF-O-003 thisMonth
59. MK-CF-F-099 deductionFor
60. MK-CF-F-081 salaryActiveMonths
61. MK-CF-F-148 inMonth
62. MK-CF-F-191 ym
63. MK-CF-F-022 paymentShape
64. MK-CF-F-152 isRadarItem
65. MK-CF-F-023 requiredPayment
66. MK-CF-F-005 actualMonthFlow
67. MK-CF-F-156 plannedMonthFlow
68. MK-CF-F-187 seniorDeductionFor
69. MK-CF-F-021 defaultPaymentType
70. MK-NW-F-078 ONE
71. MK-CF-F-157 debtPaymentsByDebt
72. MK-CF-F-192 inflowLabel
73. MK-NW-F-077 ALL
74. MK-NW-F-059 currentYield
75. MK-XS-F-180 declareFigures
76. MK-ST-F-049 formatMoney
77. MK-ST-F-053 money
78. MK-NW-O-001 theBonds
79. MK-CF-F-193 inflowSourceWord
80. MK-NW-F-057 annualCoupon
81. MK-ST-F-048 currencySymbol
82. MK-ST-F-027 accountId
83. MK-NW-F-056 bondInfo
84. MK-NW-F-064 bondRateSensitivity
85. MK-NW-F-061 bondSummary
86. MK-NW-F-055 isBond
87. MK-NW-F-072 rowOf
88. MK-ST-F-047 activeCurrency
89. MK-NW-F-060 approxYTM
90. MK-NW-F-069 priceAtYield
91. MK-NW-F-011 assetClassOf
92. MK-NW-F-070 accruedInterestCaveat
93. MK-NW-F-071 isCertificateOfDeposit
94. MK-NW-F-058 yearsToMaturity
95. MK-NW-F-008 incomeBearingClassOf
96. MK-ST-F-010 nameEvidence
97. MK-XS-F-147 call
98. MK-XS-F-064 currentIdToken
99. MK-XS-F-112 relayUrl</t>
        </is>
      </c>
      <c r="R559" s="3" t="inlineStr">
        <is>
          <t>1. MK-CF-F-069 benefitActiveMonths → MK-CF-F-092 incomeMonthlyGrid → MK-XS-F-027 takeHomeMonthly
2. MK-XS-F-122 n → MK-ST-F-052 toNum → MK-CF-F-075 retirementIncomeMonthly → MK-CF-F-072 currentRetirementIncomeMonthly → MK-CF-F-092 incomeMonthlyGrid → MK-XS-F-027 takeHomeMonthly
3. MK-ST-F-056 has → MK-CF-F-172 hasWage → MK-CF-F-173 earnerWages → MK-CF-F-092 incomeMonthlyGrid → MK-XS-F-027 takeHomeMonthly
4. MK-XS-F-122 n → MK-ST-F-052 toNum → MK-CF-F-062 equityRowValue → MK-CF-F-065 equityVestWeights → MK-CF-F-092 incomeMonthlyGrid → MK-XS-F-027 takeHomeMonthly
5. MK-CF-F-132 map → MK-CF-F-065 equityVestWeights → MK-CF-F-092 incomeMonthlyGrid → MK-XS-F-027 takeHomeMonthly
6. MK-CF-F-069 benefitActiveMonths → MK-CF-F-070 benefitAnnual → MK-CF-F-071 extraIncome → MK-CF-F-092 incomeMonthlyGrid → MK-XS-F-027 takeHomeMonthly
7. MK-XS-F-122 n → MK-ST-F-052 toNum → MK-CF-F-070 benefitAnnual → MK-CF-F-071 extraIncome → MK-CF-F-092 incomeMonthlyGrid → MK-XS-F-027 takeHomeMonthly
8. MK-ST-F-039 on → MK-CF-F-071 extraIncome → MK-CF-F-092 incomeMonthlyGrid → MK-XS-F-027 takeHomeMonthly
9. … and 5 more paths</t>
        </is>
      </c>
      <c r="S559" s="3" t="inlineStr">
        <is>
          <t>—</t>
        </is>
      </c>
      <c r="T559" s="3" t="inlineStr">
        <is>
          <t>—</t>
        </is>
      </c>
      <c r="U559" s="3" t="inlineStr">
        <is>
          <t>ACTIVE</t>
        </is>
      </c>
      <c r="V559" s="3" t="inlineStr">
        <is>
          <t>2026-09-09</t>
        </is>
      </c>
      <c r="W559" s="3" t="n"/>
      <c r="X559" s="3" t="n"/>
      <c r="Y559" s="3" t="inlineStr">
        <is>
          <t>NOTHING OPEN</t>
        </is>
      </c>
    </row>
    <row r="560" ht="60" customHeight="1">
      <c r="A560" s="3" t="inlineStr">
        <is>
          <t>MK-XS-F-028</t>
        </is>
      </c>
      <c r="B560" s="3" t="inlineStr">
        <is>
          <t>surplusByMonth</t>
        </is>
      </c>
      <c r="C560" s="3" t="inlineStr">
        <is>
          <t>src/domain/savings/index.ts</t>
        </is>
      </c>
      <c r="D560" s="3" t="n">
        <v>71</v>
      </c>
      <c r="E560" s="3" t="inlineStr">
        <is>
          <t>2 · DISPLAYED</t>
        </is>
      </c>
      <c r="F560" s="3" t="inlineStr">
        <is>
          <t>Planned SURPLUS, month by month, AFTER debt (the canonical word, per the 2026-06-23 decision).</t>
        </is>
      </c>
      <c r="G560" s="11" t="inlineStr">
        <is>
          <t>debt = actual debt payment(debts)
the answer:
for each of savings by month(op): label = label
amount = amount − debt</t>
        </is>
      </c>
      <c r="H560" s="3" t="inlineStr">
        <is>
          <t>Debt is actual debt payment(debts). The answer is for each of savings by month(op): label = label; amount = amount minus debt.</t>
        </is>
      </c>
      <c r="I560" s="3" t="inlineStr">
        <is>
          <t>READ FROM THE CODE — rendered from the expressions the function runs</t>
        </is>
      </c>
      <c r="J560" s="3" t="inlineStr">
        <is>
          <t>1. op: OnboardingProfile | null
2. debts: Debt[] = []</t>
        </is>
      </c>
      <c r="K560" s="3" t="inlineStr">
        <is>
          <t>NOT DECLARED — the code does not say what it gives back</t>
        </is>
      </c>
      <c r="L560" s="3" t="inlineStr">
        <is>
          <t>"Plan" — on the Goals screen</t>
        </is>
      </c>
      <c r="M560" s="3" t="inlineStr">
        <is>
          <t>None found in this function — anything it assumes comes from the functions it depends on.</t>
        </is>
      </c>
      <c r="N560" s="3" t="inlineStr">
        <is>
          <t>Yes</t>
        </is>
      </c>
      <c r="O560" s="3" t="inlineStr">
        <is>
          <t>1. MK-CF-F-026 actualDebtPayment
2. MK-CF-F-132 map
3. MK-ST-F-036 reconcile
4. MK-CF-F-011 savingsByMonth</t>
        </is>
      </c>
      <c r="P560" s="3" t="n">
        <v>124</v>
      </c>
      <c r="Q560" s="3" t="inlineStr">
        <is>
          <t>1. MK-CF-F-026 actualDebtPayment
2. MK-CF-F-132 map
3. MK-ST-F-036 reconcile
4. MK-CF-F-011 savingsByMonth
5. MK-CF-F-024 totalDebtMonthly
6. MK-CF-F-092 incomeMonthlyGrid
7. MK-CF-F-008 spendByMonth
8. MK-CF-F-201 INCOME
9. MK-CF-F-023 requiredPayment
10. MK-CF-F-069 benefitActiveMonths
11. MK-CF-F-072 currentRetirementIncomeMonthly
12. MK-CF-F-173 earnerWages
13. MK-CF-F-065 equityVestWeights
14. MK-CF-F-071 extraIncome
15. MK-ST-F-056 has
16. MK-CF-F-206 householdK401ByMonth
17. MK-CF-F-087 monthlyTaxRates
18. MK-CF-F-073 otherIncomeMonth
19. MK-CF-F-181 rateInForce
20. MK-CF-F-068 rentalNetAnnual
21. MK-CF-F-066 rsuAnnual
22. MK-CF-F-060 salaryGrossByMonth
23. MK-CF-F-077 scholarshipByCalendarMonth
24. MK-CF-F-088 taxableByCalendarMonth
25. MK-ST-F-052 toNum
26. MK-CF-F-177 wageGrossByMonth
27. MK-PL-F-012 waterfall
28. MK-CF-F-120 pctBaseMonthly
29. MK-CF-F-004 spendBuckets
30. MK-CF-F-207 SOURCE
31. MK-CF-O-004 incomeSummary
32. MK-CF-F-022 paymentShape
33. MK-CF-F-075 retirementIncomeMonthly
34. MK-CF-F-172 hasWage
35. MK-CF-F-062 equityRowValue
36. MK-CF-F-070 benefitAnnual
37. MK-ST-F-039 on
38. MK-CF-F-176 sumMonthsOverEarners
39. MK-CF-F-203 MONTH
40. MK-CF-F-090 effectiveRate
41. MK-CF-F-180 enteredLandsAnnual
42. MK-CF-F-085 filingStatusOf
43. MK-CF-F-089 over65CountOf
44. MK-CF-F-082 salaryAnnual
45. MK-CF-F-086 stateRateOf
46. MK-CF-F-101 taxOwedFor
47. MK-CF-F-084 taxableAnnual
48. MK-CF-O-002 expenses
49. MK-CF-F-067 rentalList
50. MK-CF-F-063 rowVestYear
51. MK-XS-F-122 n
52. MK-CF-F-130 enteredMonthlyRaw
53. MK-CF-F-166 hasMonthlySalaryTable
54. MK-CF-F-167 salaryCalendarYear
55. MK-CF-F-003 categoryMonthly
56. MK-CF-O-016 incomeSources
57. MK-CF-O-001 basePay
58. MK-CF-F-179 entryFromWage
59. MK-CF-F-192 inflowLabel
60. MK-CF-F-103 marginalBracketFor
61. MK-CF-F-021 defaultPaymentType
62. MK-CF-O-010 theMonth
63. MK-CF-F-100 taxableIncomeFor
64. MK-CF-F-074 tipsAnnual
65. MK-CF-F-151 actualSpending
66. MK-CF-F-150 debtPaymentsCountedAsExpenses
67. MK-CF-F-153 radar
68. MK-CF-F-149 recurringDebtPayments
69. MK-CF-F-165 salaryMonths
70. MK-XS-F-027 takeHomeMonthly
71. MK-ST-F-035 covers
72. MK-CF-F-171 earnerPay
73. MK-CF-F-204 line
74. MK-ST-F-053 money
75. MK-HM-F-006 money0
76. MK-CF-F-198 payrollTaxWithheld
77. MK-CF-F-193 inflowSourceWord
78. MK-CF-F-155 cash
79. MK-CF-O-003 thisMonth
80. MK-CF-F-099 deductionFor
81. MK-CF-F-081 salaryActiveMonths
82. MK-CF-F-148 inMonth
83. MK-CF-F-191 ym
84. MK-CF-F-152 isRadarItem
85. MK-ST-F-034 firstDate
86. MK-CF-F-143 annualisedGross
87. MK-CF-F-145 deductionsFromPay
88. MK-CF-F-128 grossByMonth
89. MK-CF-F-146 payFiguresAgree
90. MK-CF-F-144 takeHomeAsEntered
91. MK-XS-F-180 declareFigures
92. MK-ST-F-049 formatMoney
93. MK-HM-F-005 pctTxt
94. MK-CF-F-005 actualMonthFlow
95. MK-CF-F-156 plannedMonthFlow
96. MK-CF-F-187 seniorDeductionFor
97. MK-CF-F-142 monthsOf
98. MK-CF-F-141 perMonth
99. MK-ST-F-048 currencySymbol
100. MK-NW-F-078 ONE
101. MK-CF-F-157 debtPaymentsByDebt
102. MK-CF-F-140 periodsAYear
103. MK-ST-F-047 activeCurrency
104. MK-NW-F-077 ALL
105. MK-NW-F-059 currentYield
106. MK-NW-O-001 theBonds
107. MK-NW-F-057 annualCoupon
108. MK-ST-F-027 accountId
109. MK-NW-F-056 bondInfo
110. MK-NW-F-064 bondRateSensitivity
111. MK-NW-F-061 bondSummary
112. MK-NW-F-055 isBond
113. MK-NW-F-072 rowOf
114. MK-NW-F-060 approxYTM
115. MK-NW-F-069 priceAtYield
116. MK-NW-F-011 assetClassOf
117. MK-NW-F-070 accruedInterestCaveat
118. MK-NW-F-071 isCertificateOfDeposit
119. MK-NW-F-058 yearsToMaturity
120. MK-NW-F-008 incomeBearingClassOf
121. MK-ST-F-010 nameEvidence
122. MK-XS-F-147 call
123. MK-XS-F-064 currentIdToken
124. MK-XS-F-112 relayUrl</t>
        </is>
      </c>
      <c r="R560" s="3" t="inlineStr">
        <is>
          <t>1. MK-CF-O-016 incomeSources → MK-CF-F-207 SOURCE → MK-CF-F-201 INCOME → MK-CF-F-024 totalDebtMonthly → MK-CF-F-026 actualDebtPayment → MK-XS-F-028 surplusByMonth
2. MK-CF-F-203 MONTH → MK-CF-O-004 incomeSummary → MK-CF-F-201 INCOME → MK-CF-F-024 totalDebtMonthly → MK-CF-F-026 actualDebtPayment → MK-XS-F-028 surplusByMonth
3. MK-CF-O-001 basePay → MK-CF-O-004 incomeSummary → MK-CF-F-201 INCOME → MK-CF-F-024 totalDebtMonthly → MK-CF-F-026 actualDebtPayment → MK-XS-F-028 surplusByMonth
4. MK-CF-F-069 benefitActiveMonths → MK-CF-O-004 incomeSummary → MK-CF-F-201 INCOME → MK-CF-F-024 totalDebtMonthly → MK-CF-F-026 actualDebtPayment → MK-XS-F-028 surplusByMonth
5. MK-CF-F-072 currentRetirementIncomeMonthly → MK-CF-O-004 incomeSummary → MK-CF-F-201 INCOME → MK-CF-F-024 totalDebtMonthly → MK-CF-F-026 actualDebtPayment → MK-XS-F-028 surplusByMonth
6. MK-CF-F-173 earnerWages → MK-CF-O-004 incomeSummary → MK-CF-F-201 INCOME → MK-CF-F-024 totalDebtMonthly → MK-CF-F-026 actualDebtPayment → MK-XS-F-028 surplusByMonth
7. MK-CF-F-179 entryFromWage → MK-CF-O-004 incomeSummary → MK-CF-F-201 INCOME → MK-CF-F-024 totalDebtMonthly → MK-CF-F-026 actualDebtPayment → MK-XS-F-028 surplusByMonth
8. MK-CF-F-071 extraIncome → MK-CF-O-004 incomeSummary → MK-CF-F-201 INCOME → MK-CF-F-024 totalDebtMonthly → MK-CF-F-026 actualDebtPayment → MK-XS-F-028 surplusByMonth
9. … and 5 more paths</t>
        </is>
      </c>
      <c r="S560" s="3" t="inlineStr">
        <is>
          <t>—</t>
        </is>
      </c>
      <c r="T560" s="3" t="inlineStr">
        <is>
          <t>—</t>
        </is>
      </c>
      <c r="U560" s="3" t="inlineStr">
        <is>
          <t>ACTIVE</t>
        </is>
      </c>
      <c r="V560" s="3" t="inlineStr">
        <is>
          <t>2026-09-09</t>
        </is>
      </c>
      <c r="W560" s="3" t="n"/>
      <c r="X560" s="3" t="n"/>
      <c r="Y560" s="3" t="inlineStr">
        <is>
          <t>NOTHING OPEN</t>
        </is>
      </c>
    </row>
    <row r="561" ht="60" customHeight="1">
      <c r="A561" s="3" t="inlineStr">
        <is>
          <t>MK-XS-F-029</t>
        </is>
      </c>
      <c r="B561" s="3" t="inlineStr">
        <is>
          <t>monthlySavings</t>
        </is>
      </c>
      <c r="C561" s="3" t="inlineStr">
        <is>
          <t>src/domain/savings/index.ts</t>
        </is>
      </c>
      <c r="D561" s="3" t="n">
        <v>95</v>
      </c>
      <c r="E561" s="3" t="inlineStr">
        <is>
          <t>2 · DISPLAYED</t>
        </is>
      </c>
      <c r="F561" s="3" t="inlineStr">
        <is>
          <t>Monthly savings (the FLOW) — Build-47 walk row 7: DERIVED as the 12-month average of surplusByMonth, so the flat figure and the by-month figures can never drift apart (they used to be two parallel formulas that merely CLAIMED to reconcile).</t>
        </is>
      </c>
      <c r="G561" s="11" t="inlineStr">
        <is>
          <t>months = surplus by month(op, debts)
the answer = Σ over months of (amount)÷ 12</t>
        </is>
      </c>
      <c r="H561" s="3" t="inlineStr">
        <is>
          <t>Months is surplus by month(op, debts). The answer: the amount added up across months÷ 12.</t>
        </is>
      </c>
      <c r="I561" s="3" t="inlineStr">
        <is>
          <t>READ FROM THE CODE — rendered from the expressions the function runs</t>
        </is>
      </c>
      <c r="J561" s="3" t="inlineStr">
        <is>
          <t>1. op: OnboardingProfile | null
2. debts: Debt[] = []</t>
        </is>
      </c>
      <c r="K561" s="3" t="inlineStr">
        <is>
          <t>number</t>
        </is>
      </c>
      <c r="L561" s="3" t="inlineStr">
        <is>
          <t>"Free to put to work each month" — on the Goals together screen, under "CAN YOU DO IT ALL?"</t>
        </is>
      </c>
      <c r="M561" s="3" t="inlineStr">
        <is>
          <t>None found in this function — anything it assumes comes from the functions it depends on.</t>
        </is>
      </c>
      <c r="N561" s="3" t="inlineStr">
        <is>
          <t>Yes</t>
        </is>
      </c>
      <c r="O561" s="3" t="inlineStr">
        <is>
          <t>MK-XS-F-028 surplusByMonth</t>
        </is>
      </c>
      <c r="P561" s="3" t="n">
        <v>125</v>
      </c>
      <c r="Q561" s="3" t="inlineStr">
        <is>
          <t>1. MK-XS-F-028 surplusByMonth
2. MK-CF-F-026 actualDebtPayment
3. MK-CF-F-132 map
4. MK-ST-F-036 reconcile
5. MK-CF-F-011 savingsByMonth
6. MK-CF-F-024 totalDebtMonthly
7. MK-CF-F-092 incomeMonthlyGrid
8. MK-CF-F-008 spendByMonth
9. MK-CF-F-201 INCOME
10. MK-CF-F-023 requiredPayment
11. MK-CF-F-069 benefitActiveMonths
12. MK-CF-F-072 currentRetirementIncomeMonthly
13. MK-CF-F-173 earnerWages
14. MK-CF-F-065 equityVestWeights
15. MK-CF-F-071 extraIncome
16. MK-ST-F-056 has
17. MK-CF-F-206 householdK401ByMonth
18. MK-CF-F-087 monthlyTaxRates
19. MK-CF-F-073 otherIncomeMonth
20. MK-CF-F-181 rateInForce
21. MK-CF-F-068 rentalNetAnnual
22. MK-CF-F-066 rsuAnnual
23. MK-CF-F-060 salaryGrossByMonth
24. MK-CF-F-077 scholarshipByCalendarMonth
25. MK-CF-F-088 taxableByCalendarMonth
26. MK-ST-F-052 toNum
27. MK-CF-F-177 wageGrossByMonth
28. MK-PL-F-012 waterfall
29. MK-CF-F-120 pctBaseMonthly
30. MK-CF-F-004 spendBuckets
31. MK-CF-F-207 SOURCE
32. MK-CF-O-004 incomeSummary
33. MK-CF-F-022 paymentShape
34. MK-CF-F-075 retirementIncomeMonthly
35. MK-CF-F-172 hasWage
36. MK-CF-F-062 equityRowValue
37. MK-CF-F-070 benefitAnnual
38. MK-ST-F-039 on
39. MK-CF-F-176 sumMonthsOverEarners
40. MK-CF-F-203 MONTH
41. MK-CF-F-090 effectiveRate
42. MK-CF-F-180 enteredLandsAnnual
43. MK-CF-F-085 filingStatusOf
44. MK-CF-F-089 over65CountOf
45. MK-CF-F-082 salaryAnnual
46. MK-CF-F-086 stateRateOf
47. MK-CF-F-101 taxOwedFor
48. MK-CF-F-084 taxableAnnual
49. MK-CF-O-002 expenses
50. MK-CF-F-067 rentalList
51. MK-CF-F-063 rowVestYear
52. MK-XS-F-122 n
53. MK-CF-F-130 enteredMonthlyRaw
54. MK-CF-F-166 hasMonthlySalaryTable
55. MK-CF-F-167 salaryCalendarYear
56. MK-CF-F-003 categoryMonthly
57. MK-CF-O-016 incomeSources
58. MK-CF-O-001 basePay
59. MK-CF-F-179 entryFromWage
60. MK-CF-F-192 inflowLabel
61. MK-CF-F-103 marginalBracketFor
62. MK-CF-F-021 defaultPaymentType
63. MK-CF-O-010 theMonth
64. MK-CF-F-100 taxableIncomeFor
65. MK-CF-F-074 tipsAnnual
66. MK-CF-F-151 actualSpending
67. MK-CF-F-150 debtPaymentsCountedAsExpenses
68. MK-CF-F-153 radar
69. MK-CF-F-149 recurringDebtPayments
70. MK-CF-F-165 salaryMonths
71. MK-XS-F-027 takeHomeMonthly
72. MK-ST-F-035 covers
73. MK-CF-F-171 earnerPay
74. MK-CF-F-204 line
75. MK-ST-F-053 money
76. MK-HM-F-006 money0
77. MK-CF-F-198 payrollTaxWithheld
78. MK-CF-F-193 inflowSourceWord
79. MK-CF-F-155 cash
80. MK-CF-O-003 thisMonth
81. MK-CF-F-099 deductionFor
82. MK-CF-F-081 salaryActiveMonths
83. MK-CF-F-148 inMonth
84. MK-CF-F-191 ym
85. MK-CF-F-152 isRadarItem
86. MK-ST-F-034 firstDate
87. MK-CF-F-143 annualisedGross
88. MK-CF-F-145 deductionsFromPay
89. MK-CF-F-128 grossByMonth
90. MK-CF-F-146 payFiguresAgree
91. MK-CF-F-144 takeHomeAsEntered
92. MK-XS-F-180 declareFigures
93. MK-ST-F-049 formatMoney
94. MK-HM-F-005 pctTxt
95. MK-CF-F-005 actualMonthFlow
96. MK-CF-F-156 plannedMonthFlow
97. MK-CF-F-187 seniorDeductionFor
98. MK-CF-F-142 monthsOf
99. MK-CF-F-141 perMonth
100. MK-ST-F-048 currencySymbol
101. MK-NW-F-078 ONE
102. MK-CF-F-157 debtPaymentsByDebt
103. MK-CF-F-140 periodsAYear
104. MK-ST-F-047 activeCurrency
105. MK-NW-F-077 ALL
106. MK-NW-F-059 currentYield
107. MK-NW-O-001 theBonds
108. MK-NW-F-057 annualCoupon
109. MK-ST-F-027 accountId
110. MK-NW-F-056 bondInfo
111. MK-NW-F-064 bondRateSensitivity
112. MK-NW-F-061 bondSummary
113. MK-NW-F-055 isBond
114. MK-NW-F-072 rowOf
115. MK-NW-F-060 approxYTM
116. MK-NW-F-069 priceAtYield
117. MK-NW-F-011 assetClassOf
118. MK-NW-F-070 accruedInterestCaveat
119. MK-NW-F-071 isCertificateOfDeposit
120. MK-NW-F-058 yearsToMaturity
121. MK-NW-F-008 incomeBearingClassOf
122. MK-ST-F-010 nameEvidence
123. MK-XS-F-147 call
124. MK-XS-F-064 currentIdToken
125. MK-XS-F-112 relayUrl</t>
        </is>
      </c>
      <c r="R561" s="3" t="inlineStr">
        <is>
          <t>1. MK-CF-F-207 SOURCE → MK-CF-F-201 INCOME → MK-CF-F-024 totalDebtMonthly → MK-CF-F-026 actualDebtPayment → MK-XS-F-028 surplusByMonth → MK-XS-F-029 monthlySavings
2. MK-CF-O-004 incomeSummary → MK-CF-F-201 INCOME → MK-CF-F-024 totalDebtMonthly → MK-CF-F-026 actualDebtPayment → MK-XS-F-028 surplusByMonth → MK-XS-F-029 monthlySavings
3. MK-CF-F-022 paymentShape → MK-CF-F-023 requiredPayment → MK-CF-F-024 totalDebtMonthly → MK-CF-F-026 actualDebtPayment → MK-XS-F-028 surplusByMonth → MK-XS-F-029 monthlySavings
4. MK-CF-F-132 map → MK-XS-F-028 surplusByMonth → MK-XS-F-029 monthlySavings
5. MK-ST-F-036 reconcile → MK-XS-F-028 surplusByMonth → MK-XS-F-029 monthlySavings
6. MK-CF-F-069 benefitActiveMonths → MK-CF-F-092 incomeMonthlyGrid → MK-CF-F-011 savingsByMonth → MK-XS-F-028 surplusByMonth → MK-XS-F-029 monthlySavings
7. MK-CF-F-075 retirementIncomeMonthly → MK-CF-F-072 currentRetirementIncomeMonthly → MK-CF-F-092 incomeMonthlyGrid → MK-CF-F-011 savingsByMonth → MK-XS-F-028 surplusByMonth → MK-XS-F-029 monthlySavings
8. MK-CF-F-172 hasWage → MK-CF-F-173 earnerWages → MK-CF-F-092 incomeMonthlyGrid → MK-CF-F-011 savingsByMonth → MK-XS-F-028 surplusByMonth → MK-XS-F-029 monthlySavings
9. … and 4 more paths</t>
        </is>
      </c>
      <c r="S561" s="3" t="inlineStr">
        <is>
          <t>—</t>
        </is>
      </c>
      <c r="T561" s="3" t="inlineStr">
        <is>
          <t>—</t>
        </is>
      </c>
      <c r="U561" s="3" t="inlineStr">
        <is>
          <t>ACTIVE</t>
        </is>
      </c>
      <c r="V561" s="3" t="inlineStr">
        <is>
          <t>2026-09-09</t>
        </is>
      </c>
      <c r="W561" s="3" t="n"/>
      <c r="X561" s="3" t="n"/>
      <c r="Y561" s="3" t="inlineStr">
        <is>
          <t>NOTHING OPEN</t>
        </is>
      </c>
    </row>
    <row r="562" ht="60" customHeight="1">
      <c r="A562" s="3" t="inlineStr">
        <is>
          <t>MK-XS-F-030</t>
        </is>
      </c>
      <c r="B562" s="3" t="inlineStr">
        <is>
          <t>effectiveAnnualContribution</t>
        </is>
      </c>
      <c r="C562" s="3" t="inlineStr">
        <is>
          <t>src/domain/snapshot.ts</t>
        </is>
      </c>
      <c r="D562" s="3" t="n">
        <v>65</v>
      </c>
      <c r="E562" s="3" t="inlineStr">
        <is>
          <t>3 · DEPENDENT</t>
        </is>
      </c>
      <c r="F562" s="3" t="inlineStr">
        <is>
          <t>NEGATIVE CASH FLOW DRAINS WEALTH — committed contributions don't create money.</t>
        </is>
      </c>
      <c r="G562" s="11" t="inlineStr">
        <is>
          <t>a = op (or none when missing)
stated annual = monthly contributions from onboarding(op) × 12
has spend data = to num(monthly expenses) &gt; 0 (or array.is array(spend cats) and spend cats.length &gt; 0 when missing or zero)
stated annual   when has spend data is missing
free cash annual = Σ over savings by month(a as any) of (amount)
non401k annual = (to num(c roth) + to num(c invest) + to num(c property)) × 12
the answer = stated annual + min(0, free cash annual − non401k annual)</t>
        </is>
      </c>
      <c r="H562" s="3" t="inlineStr">
        <is>
          <t>A is op (or none — when missing). Stated annual is monthly contributions from onboarding(op) times 12. Has spend data is to num(monthly expenses) &gt; 0 (or array.is array(spend cats) and spend cats.length &gt; 0 — when missing or zero). When has spend data is missing, it answers stated annual. Free cash annual: the amount added up across savings by month(a as any). Non401k annual is (to num(c roth) plus to num(c invest) plus to num(c property)) times 12. The answer is stated annual plus the smaller of 0 and free cash annual minus non401k annual.</t>
        </is>
      </c>
      <c r="I562" s="3" t="inlineStr">
        <is>
          <t>PARTLY READ — some of the code is still showing through; needs a hand pass</t>
        </is>
      </c>
      <c r="J562" s="3" t="inlineStr">
        <is>
          <t>op: Record&lt;string, any&gt; | null</t>
        </is>
      </c>
      <c r="K562" s="3" t="inlineStr">
        <is>
          <t>number</t>
        </is>
      </c>
      <c r="L562" s="3" t="inlineStr">
        <is>
          <t>—</t>
        </is>
      </c>
      <c r="M562" s="3" t="inlineStr">
        <is>
          <t>· Turns a monthly figure into a year by multiplying by twelve.</t>
        </is>
      </c>
      <c r="N562" s="3" t="inlineStr">
        <is>
          <t>Yes</t>
        </is>
      </c>
      <c r="O562" s="3" t="inlineStr">
        <is>
          <t>1. MK-NW-F-041 monthlyContributionsFromOnboarding
2. MK-CF-F-011 savingsByMonth
3. MK-ST-F-052 toNum</t>
        </is>
      </c>
      <c r="P562" s="3" t="n">
        <v>104</v>
      </c>
      <c r="Q562" s="3" t="inlineStr">
        <is>
          <t>1. MK-NW-F-041 monthlyContributionsFromOnboarding
2. MK-CF-F-011 savingsByMonth
3. MK-ST-F-052 toNum
4. MK-CF-F-078 employerMatchMonthly
5. MK-CF-F-092 incomeMonthlyGrid
6. MK-CF-F-132 map
7. MK-CF-F-008 spendByMonth
8. MK-XS-F-122 n
9. MK-CF-F-175 sumOverEarners
10. MK-CF-F-178 wageMatchMonthly
11. MK-CF-F-069 benefitActiveMonths
12. MK-CF-F-072 currentRetirementIncomeMonthly
13. MK-CF-F-173 earnerWages
14. MK-CF-F-065 equityVestWeights
15. MK-CF-F-071 extraIncome
16. MK-ST-F-056 has
17. MK-CF-F-206 householdK401ByMonth
18. MK-CF-F-087 monthlyTaxRates
19. MK-CF-F-073 otherIncomeMonth
20. MK-CF-F-181 rateInForce
21. MK-CF-F-068 rentalNetAnnual
22. MK-CF-F-066 rsuAnnual
23. MK-CF-F-060 salaryGrossByMonth
24. MK-CF-F-077 scholarshipByCalendarMonth
25. MK-CF-F-088 taxableByCalendarMonth
26. MK-CF-F-177 wageGrossByMonth
27. MK-PL-F-012 waterfall
28. MK-CF-F-120 pctBaseMonthly
29. MK-CF-F-004 spendBuckets
30. MK-CF-F-075 retirementIncomeMonthly
31. MK-CF-F-172 hasWage
32. MK-CF-F-062 equityRowValue
33. MK-CF-F-070 benefitAnnual
34. MK-ST-F-039 on
35. MK-CF-F-176 sumMonthsOverEarners
36. MK-CF-F-203 MONTH
37. MK-CF-F-090 effectiveRate
38. MK-CF-F-180 enteredLandsAnnual
39. MK-CF-F-085 filingStatusOf
40. MK-CF-F-089 over65CountOf
41. MK-CF-F-082 salaryAnnual
42. MK-CF-F-086 stateRateOf
43. MK-CF-F-101 taxOwedFor
44. MK-CF-F-084 taxableAnnual
45. MK-CF-O-002 expenses
46. MK-CF-F-067 rentalList
47. MK-CF-F-063 rowVestYear
48. MK-CF-F-130 enteredMonthlyRaw
49. MK-CF-F-166 hasMonthlySalaryTable
50. MK-ST-F-036 reconcile
51. MK-CF-F-167 salaryCalendarYear
52. MK-CF-F-003 categoryMonthly
53. MK-CF-O-010 theMonth
54. MK-CF-F-100 taxableIncomeFor
55. MK-CF-F-074 tipsAnnual
56. MK-CF-F-151 actualSpending
57. MK-CF-F-150 debtPaymentsCountedAsExpenses
58. MK-CF-F-153 radar
59. MK-CF-F-149 recurringDebtPayments
60. MK-CF-F-165 salaryMonths
61. MK-XS-F-027 takeHomeMonthly
62. MK-CF-F-155 cash
63. MK-CF-O-003 thisMonth
64. MK-CF-F-099 deductionFor
65. MK-CF-F-081 salaryActiveMonths
66. MK-CF-F-148 inMonth
67. MK-CF-F-191 ym
68. MK-CF-F-022 paymentShape
69. MK-CF-F-152 isRadarItem
70. MK-CF-F-023 requiredPayment
71. MK-CF-F-005 actualMonthFlow
72. MK-CF-F-156 plannedMonthFlow
73. MK-CF-F-187 seniorDeductionFor
74. MK-CF-F-021 defaultPaymentType
75. MK-NW-F-078 ONE
76. MK-CF-F-157 debtPaymentsByDebt
77. MK-CF-F-192 inflowLabel
78. MK-NW-F-077 ALL
79. MK-NW-F-059 currentYield
80. MK-XS-F-180 declareFigures
81. MK-ST-F-049 formatMoney
82. MK-ST-F-053 money
83. MK-NW-O-001 theBonds
84. MK-CF-F-193 inflowSourceWord
85. MK-NW-F-057 annualCoupon
86. MK-ST-F-048 currencySymbol
87. MK-ST-F-027 accountId
88. MK-NW-F-056 bondInfo
89. MK-NW-F-064 bondRateSensitivity
90. MK-NW-F-061 bondSummary
91. MK-NW-F-055 isBond
92. MK-NW-F-072 rowOf
93. MK-ST-F-047 activeCurrency
94. MK-NW-F-060 approxYTM
95. MK-NW-F-069 priceAtYield
96. MK-NW-F-011 assetClassOf
97. MK-NW-F-070 accruedInterestCaveat
98. MK-NW-F-071 isCertificateOfDeposit
99. MK-NW-F-058 yearsToMaturity
100. MK-NW-F-008 incomeBearingClassOf
101. MK-ST-F-010 nameEvidence
102. MK-XS-F-147 call
103. MK-XS-F-064 currentIdToken
104. MK-XS-F-112 relayUrl</t>
        </is>
      </c>
      <c r="R562" s="3" t="inlineStr">
        <is>
          <t>1. MK-CF-F-172 hasWage → MK-CF-F-173 earnerWages → MK-CF-F-175 sumOverEarners → MK-CF-F-078 employerMatchMonthly → MK-NW-F-041 monthlyContributionsFromOnboarding → MK-XS-F-030 effectiveAnnualContribution
2. MK-XS-F-122 n → MK-ST-F-052 toNum → MK-CF-F-178 wageMatchMonthly → MK-CF-F-078 employerMatchMonthly → MK-NW-F-041 monthlyContributionsFromOnboarding → MK-XS-F-030 effectiveAnnualContribution
3. MK-XS-F-122 n → MK-ST-F-052 toNum → MK-NW-F-041 monthlyContributionsFromOnboarding → MK-XS-F-030 effectiveAnnualContribution
4. MK-CF-F-069 benefitActiveMonths → MK-CF-F-092 incomeMonthlyGrid → MK-CF-F-011 savingsByMonth → MK-XS-F-030 effectiveAnnualContribution
5. MK-ST-F-052 toNum → MK-CF-F-075 retirementIncomeMonthly → MK-CF-F-072 currentRetirementIncomeMonthly → MK-CF-F-092 incomeMonthlyGrid → MK-CF-F-011 savingsByMonth → MK-XS-F-030 effectiveAnnualContribution
6. MK-ST-F-056 has → MK-CF-F-172 hasWage → MK-CF-F-173 earnerWages → MK-CF-F-092 incomeMonthlyGrid → MK-CF-F-011 savingsByMonth → MK-XS-F-030 effectiveAnnualContribution
7. MK-ST-F-052 toNum → MK-CF-F-062 equityRowValue → MK-CF-F-065 equityVestWeights → MK-CF-F-092 incomeMonthlyGrid → MK-CF-F-011 savingsByMonth → MK-XS-F-030 effectiveAnnualContribution
8. MK-CF-F-132 map → MK-CF-F-065 equityVestWeights → MK-CF-F-092 incomeMonthlyGrid → MK-CF-F-011 savingsByMonth → MK-XS-F-030 effectiveAnnualContribution
9. … and 5 more paths</t>
        </is>
      </c>
      <c r="S562" s="3" t="inlineStr">
        <is>
          <t>—</t>
        </is>
      </c>
      <c r="T562" s="3" t="inlineStr">
        <is>
          <t>—</t>
        </is>
      </c>
      <c r="U562" s="3" t="inlineStr">
        <is>
          <t>ACTIVE</t>
        </is>
      </c>
      <c r="V562" s="3" t="inlineStr">
        <is>
          <t>2026-09-12</t>
        </is>
      </c>
      <c r="W562" s="3" t="n"/>
      <c r="X562" s="3" t="n"/>
      <c r="Y562" s="3" t="inlineStr">
        <is>
          <t>NOTHING OPEN</t>
        </is>
      </c>
    </row>
    <row r="563" ht="60" customHeight="1">
      <c r="A563" s="3" t="inlineStr">
        <is>
          <t>MK-XS-F-031</t>
        </is>
      </c>
      <c r="B563" s="3" t="inlineStr">
        <is>
          <t>buildSnapshot</t>
        </is>
      </c>
      <c r="C563" s="3" t="inlineStr">
        <is>
          <t>src/domain/snapshot.ts</t>
        </is>
      </c>
      <c r="D563" s="3" t="n">
        <v>124</v>
      </c>
      <c r="E563" s="3" t="inlineStr">
        <is>
          <t>2 · DISPLAYED</t>
        </is>
      </c>
      <c r="F563" s="3" t="inlineStr">
        <is>
          <t>Build a snapshot from EXPLICIT net-worth rows.</t>
        </is>
      </c>
      <c r="G563" s="11" t="inlineStr">
        <is>
          <t>a = op (or none when missing)
profile = to read model(profile from onboarding(uid, op))
income doc = income from onboarding(uid, op)
income = build income state(uid, income doc.sources, income doc.tax)
acct rows = accounts
debt rows = liabilities
assets = build assets state(uid, acct rows)
debt = build debt state(uid, debt rows)
networth = build net worth(uid, assets.total asset value, debt.total debt balance)
budget = build budget state(uid, income.net monthly income, budget from onboarding(uid, op))
invest mo = to num(c roth) + to num(c invest) + to num(c property)
… the first steps only — the rest of the body needs reading by hand.</t>
        </is>
      </c>
      <c r="H563" s="3" t="inlineStr">
        <is>
          <t>A is op (or none — when missing). Profile is to read model(profile from onboarding(uid, op)). Income doc is income from onboarding(uid, op). Income is build income state(uid, income doc.sources, income doc.tax). Acct rows is accounts. Debt rows is liabilities. Assets is build assets state(uid, acct rows). Debt is build debt state(uid, debt rows). Networth is build net worth(uid, assets.total asset value, debt.total debt balance). Budget is build budget state(uid, income.net monthly income, budget from onboarding(uid, op)). Invest mo is to num(c roth) plus to num(c invest) plus to num(c property). Only the first steps are shown; the rest of the body needs reading by hand.</t>
        </is>
      </c>
      <c r="I563" s="3" t="inlineStr">
        <is>
          <t>READ FROM THE CODE — rendered from the expressions the function runs</t>
        </is>
      </c>
      <c r="J563" s="3" t="inlineStr">
        <is>
          <t>Nothing is handed to it</t>
        </is>
      </c>
      <c r="K563" s="3" t="inlineStr">
        <is>
          <t>NOT DECLARED — the code does not say what it gives back</t>
        </is>
      </c>
      <c r="L563" s="3" t="inlineStr">
        <is>
          <t>NOT FOUND — a screen calls it, but the words printed beside its answer could not be traced automatically. Needs reading.</t>
        </is>
      </c>
      <c r="M563" s="3" t="inlineStr">
        <is>
          <t>1. If current age is missing it uses 35.
2. If target retirement age is missing it uses 65.
3. If plan to age is missing it uses 90.</t>
        </is>
      </c>
      <c r="N563" s="3" t="inlineStr">
        <is>
          <t>Yes</t>
        </is>
      </c>
      <c r="O563" s="3" t="inlineStr">
        <is>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
22. MK-XS-F-175 uid</t>
        </is>
      </c>
      <c r="P563" s="3" t="n">
        <v>228</v>
      </c>
      <c r="Q563" s="3" t="inlineStr">
        <is>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
22. MK-XS-F-175 uid
23. MK-NW-F-034 benchmarkReturn
24. MK-NW-F-032 earmarkedAmount
25. MK-NW-F-031 primaryCarIdOf
26. MK-CF-F-002 plannedMonthlySpend
27. MK-CF-F-004 spendBuckets
28. MK-CF-F-026 actualDebtPayment
29. MK-CF-F-204 line
30. MK-CF-F-025 minimumDebtService
31. MK-PL-F-012 waterfall
32. MK-CF-F-048 effectiveTaxRate
33. MK-CF-F-046 employerMatchAnnual
34. MK-CF-F-045 grossAnnualBaseline
35. MK-CF-F-161 monthlyGrossOfSource
36. MK-CF-F-098 progressiveMonthlyTax
37. MK-CF-F-129 round4
38. MK-PL-F-050 simulate
39. MK-XS-F-122 n
40. MK-NW-F-041 monthlyContributionsFromOnboarding
41. MK-CF-F-011 savingsByMonth
42. MK-ST-F-043 newEntityId
43. MK-CF-F-070 benefitAnnual
44. MK-CF-F-072 currentRetirementIncomeMonthly
45. MK-CF-F-078 employerMatchMonthly
46. MK-CF-F-065 equityVestWeights
47. MK-CF-O-002 expenses
48. MK-CF-F-067 rentalList
49. MK-CF-F-066 rsuAnnual
50. MK-CF-F-082 salaryAnnual
51. MK-CF-F-074 tipsAnnual
52. MK-XS-F-131 toInt
53. MK-PL-F-047 colFactor
54. MK-PL-F-001 taxBucketSplit
55. MK-XS-F-017 currentAge
56. MK-XS-F-019 retirementHorizonYears
57. MK-XS-F-018 yearsToRetirement
58. MK-ST-F-027 accountId
59. MK-CF-F-111 applyTransaction
60. MK-NW-F-040 assetsFromOnboarding
61. MK-PF-F-013 benchmarkTicker
62. MK-ST-F-028 buildDayFromAccounts
63. MK-PF-F-034 closeOnOrBefore
64. MK-CF-F-186 convertTakeHomeMode
65. MK-ST-F-079 dailyWindowStart
66. MK-CF-F-038 debtsFromOnboarding
67. MK-XS-F-083 fetchPriceSeries
68. MK-ST-F-056 has
69. MK-CF-F-116 inverseOf
70. MK-ST-F-065 isoLocalDate
71. MK-CF-F-112 makeTransaction
72. MK-XS-F-006 pruneDaily
73. MK-ST-F-073 rebuildDays
74. MK-NW-F-054 reclassifyAccounts
75. MK-XS-F-174 recomputeBalances
76. MK-CF-F-115 restoreUndo
77. MK-CF-F-109 reviewTransactions
78. MK-ST-F-044 setMoneyFormat
79. MK-CF-F-114 undoSnapshot
80. MK-CF-F-191 ym
81. MK-NW-F-007 assetKind
82. MK-NW-F-030 earmarkDefault
83. MK-NW-F-011 assetClassOf
84. MK-CF-F-092 incomeMonthlyGrid
85. MK-XS-F-027 takeHomeMonthly
86. MK-CF-F-003 categoryMonthly
87. MK-CF-F-024 totalDebtMonthly
88. MK-CF-F-203 MONTH
89. MK-XS-F-180 declareFigures
90. MK-CF-F-022 paymentShape
91. MK-CF-F-102 effectiveRateOnGrossFor
92. MK-CF-F-044 annualNet
93. MK-CF-F-127 isRental
94. MK-CF-F-101 taxOwedFor
95. MK-CF-F-100 taxableIncomeFor
96. MK-PL-F-074 median
97. MK-PL-F-072 mulberry32
98. MK-PL-F-073 normal
99. MK-PL-F-075 pctOfSorted
100. MK-ST-F-025 rmdStartAgeFromAge
101. MK-CF-F-008 spendByMonth
102. MK-CF-F-069 benefitActiveMonths
103. MK-CF-F-075 retirementIncomeMonthly
104. MK-CF-F-175 sumOverEarners
105. MK-CF-F-178 wageMatchMonthly
106. MK-CF-F-062 equityRowValue
107. MK-CF-F-151 actualSpending
108. MK-CF-F-150 debtPaymentsCountedAsExpenses
109. MK-CF-F-153 radar
110. MK-CF-F-149 recurringDebtPayments
111. MK-CF-F-063 rowVestYear
112. MK-CF-F-060 salaryGrossByMonth
113. MK-CF-F-081 salaryActiveMonths
114. MK-CF-F-138 addLot
115. MK-CF-F-136 bumpCash
116. MK-CF-F-137 findPos
117. MK-CF-F-139 removeShares
118. MK-PF-F-001 totalShares
119. MK-ST-F-053 money
120. MK-CF-F-085 filingStatusOf
121. MK-CF-F-097 grossFromNet
122. MK-CF-F-185 needsTakeHomeConversion
123. MK-CF-F-089 over65CountOf
124. MK-CF-F-037 inferDebtType
125. MK-ST-F-069 amountOf
126. MK-CF-F-133 cashOf
127. MK-ST-F-066 isDayKey
128. MK-ST-F-070 isOpening
129. MK-ST-F-071 rebuildableFrom
130. MK-ST-F-068 stepDay
131. MK-ST-F-072 undo
132. MK-NW-F-053 correctClassOf
133. MK-NW-F-008 incomeBearingClassOf
134. MK-PF-F-002 costBasis
135. MK-PF-F-009 latestClose
136. MK-PF-F-004 marketValue
137. MK-ST-F-030 record
138. MK-XS-F-024 resolveLens
139. MK-ST-F-055 round2
140. MK-CF-F-162 daysApart
141. MK-CF-F-108 isMoneyOut
142. MK-CF-F-131 normPayee
143. MK-CF-F-113 affectedAccountIds
144. MK-NW-F-013 realEstateUseOf
145. MK-CF-F-173 earnerWages
146. MK-CF-F-071 extraIncome
147. MK-CF-F-206 householdK401ByMonth
148. MK-CF-F-087 monthlyTaxRates
149. MK-CF-F-073 otherIncomeMonth
150. MK-CF-F-181 rateInForce
151. MK-CF-F-068 rentalNetAnnual
152. MK-CF-F-077 scholarshipByCalendarMonth
153. MK-CF-F-088 taxableByCalendarMonth
154. MK-CF-F-177 wageGrossByMonth
155. MK-CF-F-120 pctBaseMonthly
156. MK-CF-F-201 INCOME
157. MK-CF-F-023 requiredPayment
158. MK-CF-O-010 theMonth
159. MK-CF-F-021 defaultPaymentType
160. MK-CF-F-099 deductionFor
161. MK-ST-F-024 rmdStartAge
162. MK-CF-F-148 inMonth
163. MK-CF-F-152 isRadarItem
164. MK-CF-F-176 sumMonthsOverEarners
165. MK-CF-F-134 usesSleeve
166. MK-ST-F-049 formatMoney
167. MK-ST-F-067 utcOfDay
168. MK-ST-F-035 covers
169. MK-NW-F-009 maturityClass
170. MK-ST-F-010 nameEvidence
171. MK-PF-F-031 contractMultiplier
172. MK-CF-F-172 hasWage
173. MK-ST-F-039 on
174. MK-CF-F-090 effectiveRate
175. MK-CF-F-180 enteredLandsAnnual
176. MK-CF-F-086 stateRateOf
177. MK-CF-F-084 taxableAnnual
178. MK-CF-F-130 enteredMonthlyRaw
179. MK-CF-F-166 hasMonthlySalaryTable
180. MK-ST-F-036 reconcile
181. MK-CF-F-167 salaryCalendarYear
182. MK-CF-F-207 SOURCE
183. MK-CF-O-004 incomeSummary
184. MK-CF-O-003 thisMonth
185. MK-CF-F-187 seniorDeductionFor
186. MK-ST-F-048 currencySymbol
187. MK-ST-F-034 firstDate
188. MK-XS-F-147 call
189. MK-CF-F-165 salaryMonths
190. MK-CF-O-016 incomeSources
191. MK-CF-O-001 basePay
192. MK-CF-F-179 entryFromWage
193. MK-CF-F-192 inflowLabel
194. MK-CF-F-103 marginalBracketFor
195. MK-CF-F-005 actualMonthFlow
196. MK-CF-F-156 plannedMonthFlow
197. MK-ST-F-047 activeCurrency
198. MK-XS-F-064 currentIdToken
199. MK-XS-F-112 relayUrl
200. MK-CF-F-171 earnerPay
201. MK-HM-F-006 money0
202. MK-CF-F-198 payrollTaxWithheld
203. MK-CF-F-193 inflowSourceWord
204. MK-NW-F-078 ONE
205. MK-CF-F-157 debtPaymentsByDebt
206. MK-CF-F-143 annualisedGross
207. MK-CF-F-145 deductionsFromPay
208. MK-CF-F-128 grossByMonth
209. MK-CF-F-146 payFiguresAgree
210. MK-CF-F-144 takeHomeAsEntered
211. MK-HM-F-005 pctTxt
212. MK-NW-F-077 ALL
213. MK-NW-F-059 currentYield
214. MK-NW-O-001 theBonds
215. MK-CF-F-142 monthsOf
216. MK-CF-F-141 perMonth
217. MK-NW-F-057 annualCoupon
218. MK-NW-F-056 bondInfo
219. MK-NW-F-064 bondRateSensitivity
220. MK-NW-F-061 bondSummary
221. MK-NW-F-055 isBond
222. MK-NW-F-072 rowOf
223. MK-CF-F-140 periodsAYear
224. MK-NW-F-060 approxYTM
225. MK-NW-F-069 priceAtYield
226. MK-NW-F-070 accruedInterestCaveat
227. MK-NW-F-071 isCertificateOfDeposit
228. MK-NW-F-058 yearsToMaturity</t>
        </is>
      </c>
      <c r="R563" s="3" t="inlineStr">
        <is>
          <t>1. MK-NW-F-008 incomeBearingClassOf → MK-NW-F-011 assetClassOf → MK-NW-F-007 assetKind → MK-NW-F-034 benchmarkReturn → MK-NW-F-037 blendedReturn → MK-XS-F-031 buildSnapshot
2. MK-XS-F-122 n → MK-CF-F-155 cash → MK-NW-F-007 assetKind → MK-NW-F-034 benchmarkReturn → MK-NW-F-037 blendedReturn → MK-XS-F-031 buildSnapshot
3. MK-NW-F-008 incomeBearingClassOf → MK-NW-F-011 assetClassOf → MK-NW-F-030 earmarkDefault → MK-NW-F-032 earmarkedAmount → MK-NW-F-037 blendedReturn → MK-XS-F-031 buildSnapshot
4. MK-NW-F-013 realEstateUseOf → MK-NW-F-030 earmarkDefault → MK-NW-F-032 earmarkedAmount → MK-NW-F-037 blendedReturn → MK-XS-F-031 buildSnapshot
5. MK-CF-F-155 cash → MK-NW-F-008 incomeBearingClassOf → MK-NW-F-011 assetClassOf → MK-NW-F-031 primaryCarIdOf → MK-NW-F-037 blendedReturn → MK-XS-F-031 buildSnapshot
6. MK-ST-F-010 nameEvidence → MK-NW-F-008 incomeBearingClassOf → MK-NW-F-011 assetClassOf → MK-NW-F-031 primaryCarIdOf → MK-NW-F-037 blendedReturn → MK-XS-F-031 buildSnapshot
7. MK-CF-F-069 benefitActiveMonths → MK-CF-F-092 incomeMonthlyGrid → MK-CF-F-002 plannedMonthlySpend → MK-CF-F-013 budgetFromOnboarding → MK-XS-F-031 buildSnapshot
8. MK-CF-F-075 retirementIncomeMonthly → MK-CF-F-072 currentRetirementIncomeMonthly → MK-CF-F-092 incomeMonthlyGrid → MK-CF-F-002 plannedMonthlySpend → MK-CF-F-013 budgetFromOnboarding → MK-XS-F-031 buildSnapshot
9. … and 5 more paths</t>
        </is>
      </c>
      <c r="S563" s="3" t="inlineStr">
        <is>
          <t>—</t>
        </is>
      </c>
      <c r="T563" s="3" t="inlineStr">
        <is>
          <t>—</t>
        </is>
      </c>
      <c r="U563" s="3" t="inlineStr">
        <is>
          <t>ACTIVE</t>
        </is>
      </c>
      <c r="V563" s="3" t="inlineStr">
        <is>
          <t>2026-08-27</t>
        </is>
      </c>
      <c r="W563" s="3" t="n"/>
      <c r="X563" s="3" t="n"/>
      <c r="Y563" s="3" t="inlineStr">
        <is>
          <t>NOTHING OPEN</t>
        </is>
      </c>
    </row>
    <row r="564" ht="60" customHeight="1">
      <c r="A564" s="3" t="inlineStr">
        <is>
          <t>MK-XS-F-032</t>
        </is>
      </c>
      <c r="B564" s="3" t="inlineStr">
        <is>
          <t>snapshotFromOnboarding</t>
        </is>
      </c>
      <c r="C564" s="3" t="inlineStr">
        <is>
          <t>src/domain/snapshot.ts</t>
        </is>
      </c>
      <c r="D564" s="3" t="n">
        <v>198</v>
      </c>
      <c r="E564" s="3" t="inlineStr">
        <is>
          <t>3 · DEPENDENT (feeds an action only)</t>
        </is>
      </c>
      <c r="F564" s="3" t="inlineStr">
        <is>
          <t>Snapshot from onboarding answers alone — for headless/test callers (and any surface that runs before Net Worth is set up).</t>
        </is>
      </c>
      <c r="G564" s="11" t="inlineStr">
        <is>
          <t>build snapshot(uid, op, econ, assets from onboarding(uid, op).accounts, debts from onboarding(uid, op).debts)</t>
        </is>
      </c>
      <c r="H564" s="3" t="inlineStr">
        <is>
          <t>build snapshot(uid, op, econ, assets from onboarding(uid, op).accounts, debts from onboarding(uid, op).debts).</t>
        </is>
      </c>
      <c r="I564" s="3" t="inlineStr">
        <is>
          <t>PARTLY READ — some of the code is still showing through; needs a hand pass</t>
        </is>
      </c>
      <c r="J564" s="3" t="inlineStr">
        <is>
          <t>1. uid: UserId
2. op: Record&lt;string, any&gt; | null
3. econ: EconomicData</t>
        </is>
      </c>
      <c r="K564" s="3" t="inlineStr">
        <is>
          <t>FinancialSnapshot</t>
        </is>
      </c>
      <c r="L564" s="3" t="inlineStr">
        <is>
          <t>—</t>
        </is>
      </c>
      <c r="M564" s="3" t="inlineStr">
        <is>
          <t>None found in this function — anything it assumes comes from the functions it depends on.</t>
        </is>
      </c>
      <c r="N564" s="3" t="inlineStr">
        <is>
          <t>No</t>
        </is>
      </c>
      <c r="O564" s="3" t="inlineStr">
        <is>
          <t>1. MK-NW-F-040 assetsFromOnboarding
2. MK-XS-F-031 buildSnapshot
3. MK-CF-F-038 debtsFromOnboarding
4. MK-XS-F-175 uid</t>
        </is>
      </c>
      <c r="P564" s="3" t="n">
        <v>229</v>
      </c>
      <c r="Q564" s="3" t="inlineStr">
        <is>
          <t>1. MK-NW-F-040 assetsFromOnboarding
2. MK-XS-F-031 buildSnapshot
3. MK-CF-F-038 debtsFromOnboarding
4. MK-XS-F-175 uid
5. MK-ST-F-043 newEntityId
6. MK-ST-F-052 toNum
7. MK-NW-F-037 blendedReturn
8. MK-CF-F-013 budgetFromOnboarding
9. MK-NW-F-039 buildAssetsState
10. MK-CF-F-001 buildBudgetState
11. MK-CF-F-036 buildDebtState
12. MK-PL-F-011 buildGoalsState
13. MK-CF-F-049 buildIncomeState
14. MK-NW-F-065 buildNetWorth
15. MK-PL-F-053 buildRetirementState
16. MK-CF-F-155 cash
17. MK-XS-F-030 effectiveAnnualContribution
18. MK-PL-F-013 goalsFromOnboarding
19. MK-CF-F-076 guaranteedOutsideStreams
20. MK-CF-F-079 incomeFromOnboarding
21. MK-PL-F-083 inflationRateInForce
22. MK-CF-F-132 map
23. MK-XS-F-026 profileFromOnboarding
24. MK-NW-F-033 retirementEarmarkedValue
25. MK-PL-F-049 retirementSpendMonthly
26. MK-XS-F-020 toReadModel
27. MK-CF-F-037 inferDebtType
28. MK-ST-F-027 accountId
29. MK-CF-F-111 applyTransaction
30. MK-PF-F-013 benchmarkTicker
31. MK-ST-F-028 buildDayFromAccounts
32. MK-PF-F-034 closeOnOrBefore
33. MK-CF-F-186 convertTakeHomeMode
34. MK-ST-F-079 dailyWindowStart
35. MK-XS-F-083 fetchPriceSeries
36. MK-ST-F-056 has
37. MK-CF-F-116 inverseOf
38. MK-ST-F-065 isoLocalDate
39. MK-CF-F-112 makeTransaction
40. MK-XS-F-122 n
41. MK-XS-F-006 pruneDaily
42. MK-ST-F-073 rebuildDays
43. MK-NW-F-054 reclassifyAccounts
44. MK-XS-F-174 recomputeBalances
45. MK-CF-F-115 restoreUndo
46. MK-CF-F-109 reviewTransactions
47. MK-ST-F-044 setMoneyFormat
48. MK-CF-F-114 undoSnapshot
49. MK-CF-F-191 ym
50. MK-NW-F-034 benchmarkReturn
51. MK-NW-F-032 earmarkedAmount
52. MK-NW-F-031 primaryCarIdOf
53. MK-CF-F-002 plannedMonthlySpend
54. MK-CF-F-004 spendBuckets
55. MK-CF-F-026 actualDebtPayment
56. MK-CF-F-204 line
57. MK-CF-F-025 minimumDebtService
58. MK-PL-F-012 waterfall
59. MK-CF-F-048 effectiveTaxRate
60. MK-CF-F-046 employerMatchAnnual
61. MK-CF-F-045 grossAnnualBaseline
62. MK-CF-F-161 monthlyGrossOfSource
63. MK-CF-F-098 progressiveMonthlyTax
64. MK-CF-F-129 round4
65. MK-PL-F-050 simulate
66. MK-NW-F-041 monthlyContributionsFromOnboarding
67. MK-CF-F-011 savingsByMonth
68. MK-CF-F-070 benefitAnnual
69. MK-CF-F-072 currentRetirementIncomeMonthly
70. MK-CF-F-078 employerMatchMonthly
71. MK-CF-F-065 equityVestWeights
72. MK-CF-O-002 expenses
73. MK-CF-F-067 rentalList
74. MK-CF-F-066 rsuAnnual
75. MK-CF-F-082 salaryAnnual
76. MK-CF-F-074 tipsAnnual
77. MK-XS-F-131 toInt
78. MK-PL-F-047 colFactor
79. MK-PL-F-001 taxBucketSplit
80. MK-XS-F-017 currentAge
81. MK-XS-F-019 retirementHorizonYears
82. MK-XS-F-018 yearsToRetirement
83. MK-CF-F-138 addLot
84. MK-CF-F-136 bumpCash
85. MK-CF-F-137 findPos
86. MK-CF-F-139 removeShares
87. MK-PF-F-001 totalShares
88. MK-ST-F-053 money
89. MK-CF-F-085 filingStatusOf
90. MK-CF-F-097 grossFromNet
91. MK-CF-F-185 needsTakeHomeConversion
92. MK-CF-F-089 over65CountOf
93. MK-ST-F-069 amountOf
94. MK-CF-F-133 cashOf
95. MK-ST-F-066 isDayKey
96. MK-ST-F-070 isOpening
97. MK-ST-F-071 rebuildableFrom
98. MK-ST-F-068 stepDay
99. MK-ST-F-072 undo
100. MK-NW-F-053 correctClassOf
101. MK-NW-F-008 incomeBearingClassOf
102. MK-PF-F-002 costBasis
103. MK-PF-F-009 latestClose
104. MK-PF-F-004 marketValue
105. MK-ST-F-030 record
106. MK-XS-F-024 resolveLens
107. MK-ST-F-055 round2
108. MK-CF-F-162 daysApart
109. MK-CF-F-108 isMoneyOut
110. MK-PL-F-074 median
111. MK-CF-F-131 normPayee
112. MK-CF-F-113 affectedAccountIds
113. MK-NW-F-007 assetKind
114. MK-NW-F-030 earmarkDefault
115. MK-NW-F-011 assetClassOf
116. MK-CF-F-092 incomeMonthlyGrid
117. MK-XS-F-027 takeHomeMonthly
118. MK-CF-F-003 categoryMonthly
119. MK-CF-F-024 totalDebtMonthly
120. MK-CF-F-203 MONTH
121. MK-XS-F-180 declareFigures
122. MK-CF-F-022 paymentShape
123. MK-CF-F-102 effectiveRateOnGrossFor
124. MK-CF-F-044 annualNet
125. MK-CF-F-127 isRental
126. MK-CF-F-101 taxOwedFor
127. MK-CF-F-100 taxableIncomeFor
128. MK-PL-F-072 mulberry32
129. MK-PL-F-073 normal
130. MK-PL-F-075 pctOfSorted
131. MK-ST-F-025 rmdStartAgeFromAge
132. MK-CF-F-008 spendByMonth
133. MK-CF-F-069 benefitActiveMonths
134. MK-CF-F-075 retirementIncomeMonthly
135. MK-CF-F-175 sumOverEarners
136. MK-CF-F-178 wageMatchMonthly
137. MK-CF-F-062 equityRowValue
138. MK-CF-F-151 actualSpending
139. MK-CF-F-150 debtPaymentsCountedAsExpenses
140. MK-CF-F-153 radar
141. MK-CF-F-149 recurringDebtPayments
142. MK-CF-F-063 rowVestYear
143. MK-CF-F-060 salaryGrossByMonth
144. MK-CF-F-081 salaryActiveMonths
145. MK-CF-F-134 usesSleeve
146. MK-ST-F-049 formatMoney
147. MK-ST-F-067 utcOfDay
148. MK-ST-F-035 covers
149. MK-NW-F-009 maturityClass
150. MK-ST-F-010 nameEvidence
151. MK-PF-F-031 contractMultiplier
152. MK-NW-F-013 realEstateUseOf
153. MK-CF-F-173 earnerWages
154. MK-CF-F-071 extraIncome
155. MK-CF-F-206 householdK401ByMonth
156. MK-CF-F-087 monthlyTaxRates
157. MK-CF-F-073 otherIncomeMonth
158. MK-CF-F-181 rateInForce
159. MK-CF-F-068 rentalNetAnnual
160. MK-CF-F-077 scholarshipByCalendarMonth
161. MK-CF-F-088 taxableByCalendarMonth
162. MK-CF-F-177 wageGrossByMonth
163. MK-CF-F-120 pctBaseMonthly
164. MK-CF-F-201 INCOME
165. MK-CF-F-023 requiredPayment
166. MK-CF-O-010 theMonth
167. MK-CF-F-021 defaultPaymentType
168. MK-CF-F-099 deductionFor
169. MK-ST-F-024 rmdStartAge
170. MK-CF-F-148 inMonth
171. MK-CF-F-152 isRadarItem
172. MK-CF-F-176 sumMonthsOverEarners
173. MK-ST-F-048 currencySymbol
174. MK-ST-F-039 on
175. MK-ST-F-034 firstDate
176. MK-XS-F-147 call
177. MK-CF-F-172 hasWage
178. MK-CF-F-090 effectiveRate
179. MK-CF-F-180 enteredLandsAnnual
180. MK-CF-F-086 stateRateOf
181. MK-CF-F-084 taxableAnnual
182. MK-CF-F-130 enteredMonthlyRaw
183. MK-CF-F-166 hasMonthlySalaryTable
184. MK-ST-F-036 reconcile
185. MK-CF-F-167 salaryCalendarYear
186. MK-CF-F-207 SOURCE
187. MK-CF-O-004 incomeSummary
188. MK-CF-O-003 thisMonth
189. MK-CF-F-187 seniorDeductionFor
190. MK-ST-F-047 activeCurrency
191. MK-XS-F-064 currentIdToken
192. MK-XS-F-112 relayUrl
193. MK-CF-F-165 salaryMonths
194. MK-CF-O-016 incomeSources
195. MK-CF-O-001 basePay
196. MK-CF-F-179 entryFromWage
197. MK-CF-F-192 inflowLabel
198. MK-CF-F-103 marginalBracketFor
199. MK-CF-F-005 actualMonthFlow
200. MK-CF-F-156 plannedMonthFlow
201. MK-CF-F-171 earnerPay
202. MK-HM-F-006 money0
203. MK-CF-F-198 payrollTaxWithheld
204. MK-CF-F-193 inflowSourceWord
205. MK-NW-F-078 ONE
206. MK-CF-F-157 debtPaymentsByDebt
207. MK-CF-F-143 annualisedGross
208. MK-CF-F-145 deductionsFromPay
209. MK-CF-F-128 grossByMonth
210. MK-CF-F-146 payFiguresAgree
211. MK-CF-F-144 takeHomeAsEntered
212. MK-HM-F-005 pctTxt
213. MK-NW-F-077 ALL
214. MK-NW-F-059 currentYield
215. MK-NW-O-001 theBonds
216. MK-CF-F-142 monthsOf
217. MK-CF-F-141 perMonth
218. MK-NW-F-057 annualCoupon
219. MK-NW-F-056 bondInfo
220. MK-NW-F-064 bondRateSensitivity
221. MK-NW-F-061 bondSummary
222. MK-NW-F-055 isBond
223. MK-NW-F-072 rowOf
224. MK-CF-F-140 periodsAYear
225. MK-NW-F-060 approxYTM
226. MK-NW-F-069 priceAtYield
227. MK-NW-F-070 accruedInterestCaveat
228. MK-NW-F-071 isCertificateOfDeposit
229. MK-NW-F-058 yearsToMaturity</t>
        </is>
      </c>
      <c r="R564" s="3" t="inlineStr">
        <is>
          <t>1. MK-ST-F-043 newEntityId → MK-NW-F-040 assetsFromOnboarding → MK-XS-F-032 snapshotFromOnboarding
2. MK-XS-F-122 n → MK-ST-F-052 toNum → MK-NW-F-040 assetsFromOnboarding → MK-XS-F-032 snapshotFromOnboarding
3. MK-ST-F-027 accountId → MK-XS-F-175 uid → MK-NW-F-040 assetsFromOnboarding → MK-XS-F-032 snapshotFromOnboarding
4. MK-CF-F-137 findPos → MK-CF-F-138 addLot → MK-CF-F-111 applyTransaction → MK-XS-F-175 uid → MK-NW-F-040 assetsFromOnboarding → MK-XS-F-032 snapshotFromOnboarding
5. MK-CF-F-132 map → MK-CF-F-138 addLot → MK-CF-F-111 applyTransaction → MK-XS-F-175 uid → MK-NW-F-040 assetsFromOnboarding → MK-XS-F-032 snapshotFromOnboarding
6. MK-ST-F-043 newEntityId → MK-CF-F-138 addLot → MK-CF-F-111 applyTransaction → MK-XS-F-175 uid → MK-NW-F-040 assetsFromOnboarding → MK-XS-F-032 snapshotFromOnboarding
7. MK-CF-F-134 usesSleeve → MK-CF-F-136 bumpCash → MK-CF-F-111 applyTransaction → MK-XS-F-175 uid → MK-NW-F-040 assetsFromOnboarding → MK-XS-F-032 snapshotFromOnboarding
8. MK-CF-F-137 findPos → MK-CF-F-111 applyTransaction → MK-XS-F-175 uid → MK-NW-F-040 assetsFromOnboarding → MK-XS-F-032 snapshotFromOnboarding
9. … and 5 more paths</t>
        </is>
      </c>
      <c r="S564" s="3" t="inlineStr">
        <is>
          <t>—</t>
        </is>
      </c>
      <c r="T564" s="3" t="inlineStr">
        <is>
          <t>—</t>
        </is>
      </c>
      <c r="U564" s="3" t="inlineStr">
        <is>
          <t>ACTIVE</t>
        </is>
      </c>
      <c r="V564" s="3" t="inlineStr">
        <is>
          <t>2026-08-27</t>
        </is>
      </c>
      <c r="W564" s="3" t="n"/>
      <c r="X564" s="3" t="n"/>
      <c r="Y564" s="3" t="inlineStr">
        <is>
          <t>NOTHING OPEN</t>
        </is>
      </c>
    </row>
    <row r="565" ht="60" customHeight="1">
      <c r="A565" s="3" t="inlineStr">
        <is>
          <t>MK-XS-F-033</t>
        </is>
      </c>
      <c r="B565" s="3" t="inlineStr">
        <is>
          <t>resolveNetWorthRows</t>
        </is>
      </c>
      <c r="C565" s="3" t="inlineStr">
        <is>
          <t>src/domain/snapshot.ts</t>
        </is>
      </c>
      <c r="D565" s="3" t="n">
        <v>226</v>
      </c>
      <c r="E565" s="3" t="inlineStr">
        <is>
          <t>2 · DISPLAYED</t>
        </is>
      </c>
      <c r="F565" s="3" t="inlineStr">
        <is>
          <t>The single rule for which net-worth rows a live UI surface should use, so Home + TopBar + the Net Worth screen never disagree (B-49).</t>
        </is>
      </c>
      <c r="G565" s="11" t="inlineStr">
        <is>
          <t>use live = nw seeded (or live accounts.length &gt; 0 (or live liabilities.length &gt; 0 when missing or zero) when missing or zero)</t>
        </is>
      </c>
      <c r="H565" s="3" t="inlineStr">
        <is>
          <t>Use live is nw seeded (or live accounts.length &gt; 0 (or live liabilities.length &gt; 0 — when missing or zero) — when missing or zero).</t>
        </is>
      </c>
      <c r="I565" s="3" t="inlineStr">
        <is>
          <t>READ FROM THE CODE — rendered from the expressions the function runs</t>
        </is>
      </c>
      <c r="J565" s="3" t="inlineStr">
        <is>
          <t>Nothing is handed to it</t>
        </is>
      </c>
      <c r="K565" s="3" t="inlineStr">
        <is>
          <t>NOT DECLARED — the code does not say what it gives back</t>
        </is>
      </c>
      <c r="L565" s="3" t="inlineStr">
        <is>
          <t>NOT FOUND — a screen calls it, but the words printed beside its answer could not be traced automatically. Needs reading.</t>
        </is>
      </c>
      <c r="M565" s="3" t="inlineStr">
        <is>
          <t>None found in this function — anything it assumes comes from the functions it depends on.</t>
        </is>
      </c>
      <c r="N565" s="3" t="inlineStr">
        <is>
          <t>Yes</t>
        </is>
      </c>
      <c r="O565" s="3" t="inlineStr">
        <is>
          <t>1. MK-NW-F-040 assetsFromOnboarding
2. MK-CF-F-038 debtsFromOnboarding
3. MK-XS-F-175 uid</t>
        </is>
      </c>
      <c r="P565" s="3" t="n">
        <v>81</v>
      </c>
      <c r="Q565" s="3" t="inlineStr">
        <is>
          <t>1. MK-NW-F-040 assetsFromOnboarding
2. MK-CF-F-038 debtsFromOnboarding
3. MK-XS-F-175 uid
4. MK-ST-F-043 newEntityId
5. MK-ST-F-052 toNum
6. MK-CF-F-037 inferDebtType
7. MK-ST-F-027 accountId
8. MK-CF-F-111 applyTransaction
9. MK-PF-F-013 benchmarkTicker
10. MK-ST-F-028 buildDayFromAccounts
11. MK-PF-F-034 closeOnOrBefore
12. MK-CF-F-186 convertTakeHomeMode
13. MK-ST-F-079 dailyWindowStart
14. MK-XS-F-083 fetchPriceSeries
15. MK-PL-F-013 goalsFromOnboarding
16. MK-ST-F-056 has
17. MK-CF-F-116 inverseOf
18. MK-ST-F-065 isoLocalDate
19. MK-CF-F-112 makeTransaction
20. MK-CF-F-132 map
21. MK-XS-F-122 n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MK-ST-F-053 money
37. MK-CF-F-085 filingStatusOf
38. MK-CF-F-097 grossFromNet
39. MK-CF-F-185 needsTakeHomeConversion
40. MK-CF-F-089 over65CountOf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565" s="3" t="inlineStr">
        <is>
          <t>1. MK-ST-F-043 newEntityId → MK-NW-F-040 assetsFromOnboarding → MK-XS-F-033 resolveNetWorthRows
2. MK-XS-F-122 n → MK-ST-F-052 toNum → MK-NW-F-040 assetsFromOnboarding → MK-XS-F-033 resolveNetWorthRows
3. MK-ST-F-027 accountId → MK-XS-F-175 uid → MK-NW-F-040 assetsFromOnboarding → MK-XS-F-033 resolveNetWorthRows
4. MK-CF-F-137 findPos → MK-CF-F-138 addLot → MK-CF-F-111 applyTransaction → MK-XS-F-175 uid → MK-NW-F-040 assetsFromOnboarding → MK-XS-F-033 resolveNetWorthRows
5. MK-CF-F-132 map → MK-CF-F-138 addLot → MK-CF-F-111 applyTransaction → MK-XS-F-175 uid → MK-NW-F-040 assetsFromOnboarding → MK-XS-F-033 resolveNetWorthRows
6. MK-ST-F-043 newEntityId → MK-CF-F-138 addLot → MK-CF-F-111 applyTransaction → MK-XS-F-175 uid → MK-NW-F-040 assetsFromOnboarding → MK-XS-F-033 resolveNetWorthRows
7. MK-CF-F-134 usesSleeve → MK-CF-F-136 bumpCash → MK-CF-F-111 applyTransaction → MK-XS-F-175 uid → MK-NW-F-040 assetsFromOnboarding → MK-XS-F-033 resolveNetWorthRows
8. MK-CF-F-137 findPos → MK-CF-F-111 applyTransaction → MK-XS-F-175 uid → MK-NW-F-040 assetsFromOnboarding → MK-XS-F-033 resolveNetWorthRows
9. … and 5 more paths</t>
        </is>
      </c>
      <c r="S565" s="3" t="inlineStr">
        <is>
          <t>—</t>
        </is>
      </c>
      <c r="T565" s="3" t="inlineStr">
        <is>
          <t>NET_WORTH_ROWS</t>
        </is>
      </c>
      <c r="U565" s="3" t="inlineStr">
        <is>
          <t>ACTIVE</t>
        </is>
      </c>
      <c r="V565" s="3" t="inlineStr">
        <is>
          <t>2026-08-27</t>
        </is>
      </c>
      <c r="W565" s="3" t="n"/>
      <c r="X565" s="3" t="n"/>
      <c r="Y565" s="3" t="inlineStr">
        <is>
          <t>NOTHING OPEN</t>
        </is>
      </c>
    </row>
    <row r="566" ht="45" customHeight="1">
      <c r="A566" s="3" t="inlineStr">
        <is>
          <t>MK-XS-F-034</t>
        </is>
      </c>
      <c r="B566" s="3" t="inlineStr">
        <is>
          <t>isLockAvailable</t>
        </is>
      </c>
      <c r="C566" s="3" t="inlineStr">
        <is>
          <t>src/services/appLock.ts</t>
        </is>
      </c>
      <c r="D566" s="3" t="n">
        <v>54</v>
      </c>
      <c r="E566" s="3" t="inlineStr">
        <is>
          <t>2 · DISPLAYED</t>
        </is>
      </c>
      <c r="F566" s="3" t="inlineStr">
        <is>
          <t>True only when the device has biometric hardware AND the user has enrolled a biometric/passcode.</t>
        </is>
      </c>
      <c r="G566" s="11" t="inlineStr">
        <is>
          <t>m = load()
false   when has hardware async is missing
the answer = !!has hw and !!enrolled</t>
        </is>
      </c>
      <c r="H566" s="3" t="inlineStr">
        <is>
          <t>M is load(). When has hardware async is missing, it answers false. The answer is !!has hw and !!enrolled.</t>
        </is>
      </c>
      <c r="I566" s="3" t="inlineStr">
        <is>
          <t>READ FROM THE CODE — rendered from the expressions the function runs</t>
        </is>
      </c>
      <c r="J566" s="3" t="inlineStr">
        <is>
          <t>Nothing is handed to it</t>
        </is>
      </c>
      <c r="K566" s="3" t="inlineStr">
        <is>
          <t>Promise&lt;boolean&gt;</t>
        </is>
      </c>
      <c r="L566" s="3" t="inlineStr">
        <is>
          <t>NOT FOUND — a screen calls it, but the words printed beside its answer could not be traced automatically. Needs reading.</t>
        </is>
      </c>
      <c r="M566" s="3" t="inlineStr">
        <is>
          <t>None found in this function — anything it assumes comes from the functions it depends on.</t>
        </is>
      </c>
      <c r="N566" s="3" t="inlineStr">
        <is>
          <t>Yes</t>
        </is>
      </c>
      <c r="O566" s="3" t="inlineStr">
        <is>
          <t>MK-XS-F-132 load</t>
        </is>
      </c>
      <c r="P566" s="3" t="n">
        <v>1</v>
      </c>
      <c r="Q566" s="3" t="inlineStr">
        <is>
          <t>MK-XS-F-132 load</t>
        </is>
      </c>
      <c r="R566" s="3" t="inlineStr">
        <is>
          <t>MK-XS-F-132 load → MK-XS-F-034 isLockAvailable</t>
        </is>
      </c>
      <c r="S566" s="3" t="inlineStr">
        <is>
          <t>—</t>
        </is>
      </c>
      <c r="T566" s="3" t="inlineStr">
        <is>
          <t>—</t>
        </is>
      </c>
      <c r="U566" s="3" t="inlineStr">
        <is>
          <t>ACTIVE</t>
        </is>
      </c>
      <c r="V566" s="3" t="inlineStr">
        <is>
          <t>2026-08-27</t>
        </is>
      </c>
      <c r="W566" s="3" t="n"/>
      <c r="X566" s="3" t="n"/>
      <c r="Y566" s="3" t="inlineStr">
        <is>
          <t>NOTHING OPEN</t>
        </is>
      </c>
    </row>
    <row r="567" ht="60" customHeight="1">
      <c r="A567" s="3" t="inlineStr">
        <is>
          <t>MK-XS-F-035</t>
        </is>
      </c>
      <c r="B567" s="3" t="inlineStr">
        <is>
          <t>authenticate</t>
        </is>
      </c>
      <c r="C567" s="3" t="inlineStr">
        <is>
          <t>src/services/appLock.ts</t>
        </is>
      </c>
      <c r="D567" s="3" t="n">
        <v>87</v>
      </c>
      <c r="E567" s="3" t="inlineStr">
        <is>
          <t>2 · DISPLAYED</t>
        </is>
      </c>
      <c r="F567" s="3" t="inlineStr">
        <is>
          <t>Prompt for Face ID / Touch ID / device passcode.</t>
        </is>
      </c>
      <c r="G567" s="11" t="inlineStr">
        <is>
          <t>m = load()
false   when authenticate async is missing
res = await authenticate async({ prompt message: reason, disable device fallback: false })
the answer = !!res.success</t>
        </is>
      </c>
      <c r="H567" s="3" t="inlineStr">
        <is>
          <t>M is load(). When authenticate async is missing, it answers false. Res is await authenticate async({ prompt message: reason, disable device fallback: false }). The answer is !!res.success.</t>
        </is>
      </c>
      <c r="I567" s="3" t="inlineStr">
        <is>
          <t>READ FROM THE CODE — rendered from the expressions the function runs</t>
        </is>
      </c>
      <c r="J567" s="3" t="inlineStr">
        <is>
          <t>reason = 'Unlock MoneyKeel'</t>
        </is>
      </c>
      <c r="K567" s="3" t="inlineStr">
        <is>
          <t>Promise&lt;boolean&gt;</t>
        </is>
      </c>
      <c r="L567" s="3" t="inlineStr">
        <is>
          <t>NOT FOUND — a screen calls it, but the words printed beside its answer could not be traced automatically. Needs reading.</t>
        </is>
      </c>
      <c r="M567" s="3" t="inlineStr">
        <is>
          <t>None found in this function — anything it assumes comes from the functions it depends on.</t>
        </is>
      </c>
      <c r="N567" s="3" t="inlineStr">
        <is>
          <t>Yes</t>
        </is>
      </c>
      <c r="O567" s="3" t="inlineStr">
        <is>
          <t>MK-XS-F-132 load</t>
        </is>
      </c>
      <c r="P567" s="3" t="n">
        <v>1</v>
      </c>
      <c r="Q567" s="3" t="inlineStr">
        <is>
          <t>MK-XS-F-132 load</t>
        </is>
      </c>
      <c r="R567" s="3" t="inlineStr">
        <is>
          <t>MK-XS-F-132 load → MK-XS-F-035 authenticate</t>
        </is>
      </c>
      <c r="S567" s="3" t="inlineStr">
        <is>
          <t>—</t>
        </is>
      </c>
      <c r="T567" s="3" t="inlineStr">
        <is>
          <t>—</t>
        </is>
      </c>
      <c r="U567" s="3" t="inlineStr">
        <is>
          <t>ACTIVE</t>
        </is>
      </c>
      <c r="V567" s="3" t="inlineStr">
        <is>
          <t>2026-08-27</t>
        </is>
      </c>
      <c r="W567" s="3" t="n"/>
      <c r="X567" s="3" t="n"/>
      <c r="Y567" s="3" t="inlineStr">
        <is>
          <t>NOTHING OPEN</t>
        </is>
      </c>
    </row>
    <row r="568" ht="60" customHeight="1">
      <c r="A568" s="3" t="inlineStr">
        <is>
          <t>MK-XS-F-036</t>
        </is>
      </c>
      <c r="B568" s="3" t="inlineStr">
        <is>
          <t>initCrashReporting</t>
        </is>
      </c>
      <c r="C568" s="3" t="inlineStr">
        <is>
          <t>src/services/crashReporter.ts</t>
        </is>
      </c>
      <c r="D568" s="3" t="n">
        <v>57</v>
      </c>
      <c r="E568" s="3" t="inlineStr">
        <is>
          <t>1 · ACTION</t>
        </is>
      </c>
      <c r="F568" s="3" t="inlineStr">
        <is>
          <t>Initialise crash reporting once, at app start.</t>
        </is>
      </c>
      <c r="G568" s="11" t="inlineStr">
        <is>
          <t>dsn = (constants.expo config.extra as any).SENTRY_DSN (or process.env.SENTRY_DSN (or '' when missing or zero) when missing or zero)
s = load sentry()</t>
        </is>
      </c>
      <c r="H568" s="3" t="inlineStr">
        <is>
          <t>Dsn is (constants.expo config.extra as any).SENTRY_DSN (or process.env.SENTRY_DSN (or '' — when missing or zero) — when missing or zero). S is load sentry().</t>
        </is>
      </c>
      <c r="I568" s="3" t="inlineStr">
        <is>
          <t>PARTLY READ — some of the code is still showing through; needs a hand pass</t>
        </is>
      </c>
      <c r="J568" s="3" t="inlineStr">
        <is>
          <t>Nothing is handed to it</t>
        </is>
      </c>
      <c r="K568" s="3" t="inlineStr">
        <is>
          <t>void</t>
        </is>
      </c>
      <c r="L568" s="3" t="inlineStr">
        <is>
          <t>—</t>
        </is>
      </c>
      <c r="M568" s="3" t="inlineStr">
        <is>
          <t>None found in this function — anything it assumes comes from the functions it depends on.</t>
        </is>
      </c>
      <c r="N568" s="3" t="inlineStr">
        <is>
          <t>Yes</t>
        </is>
      </c>
      <c r="O568" s="3" t="inlineStr">
        <is>
          <t>1. MK-XS-F-037 captureException
2. MK-XS-F-134 installGlobalHandler
3. MK-XS-F-133 loadSentry</t>
        </is>
      </c>
      <c r="P568" s="3" t="n">
        <v>3</v>
      </c>
      <c r="Q568" s="3" t="inlineStr">
        <is>
          <t>1. MK-XS-F-037 captureException
2. MK-XS-F-134 installGlobalHandler
3. MK-XS-F-133 loadSentry</t>
        </is>
      </c>
      <c r="R568" s="3" t="inlineStr">
        <is>
          <t>1. MK-XS-F-037 captureException → MK-XS-F-036 initCrashReporting
2. MK-XS-F-037 captureException → MK-XS-F-134 installGlobalHandler → MK-XS-F-036 initCrashReporting
3. MK-XS-F-133 loadSentry → MK-XS-F-036 initCrashReporting</t>
        </is>
      </c>
      <c r="S568" s="3" t="inlineStr">
        <is>
          <t>—</t>
        </is>
      </c>
      <c r="T568" s="3" t="inlineStr">
        <is>
          <t>—</t>
        </is>
      </c>
      <c r="U568" s="3" t="inlineStr">
        <is>
          <t>ACTIVE</t>
        </is>
      </c>
      <c r="V568" s="3" t="inlineStr">
        <is>
          <t>2026-08-27</t>
        </is>
      </c>
      <c r="W568" s="3" t="n"/>
      <c r="X568" s="3" t="n"/>
      <c r="Y568" s="3" t="inlineStr">
        <is>
          <t>NOTHING OPEN</t>
        </is>
      </c>
    </row>
    <row r="569" ht="30" customHeight="1">
      <c r="A569" s="3" t="inlineStr">
        <is>
          <t>MK-XS-F-037</t>
        </is>
      </c>
      <c r="B569" s="3" t="inlineStr">
        <is>
          <t>captureException</t>
        </is>
      </c>
      <c r="C569" s="3" t="inlineStr">
        <is>
          <t>src/services/crashReporter.ts</t>
        </is>
      </c>
      <c r="D569" s="3" t="n">
        <v>126</v>
      </c>
      <c r="E569" s="3" t="inlineStr">
        <is>
          <t>1 · ACTION</t>
        </is>
      </c>
      <c r="F569" s="3" t="inlineStr">
        <is>
          <t>Report a caught error.</t>
        </is>
      </c>
      <c r="G569" s="11" t="inlineStr">
        <is>
          <t>It records or announces something and returns no figure — no arithmetic of its own.</t>
        </is>
      </c>
      <c r="H569" s="3" t="inlineStr">
        <is>
          <t>It records or announces something and returns no figure — no arithmetic of its own.</t>
        </is>
      </c>
      <c r="I569" s="3" t="inlineStr">
        <is>
          <t>NO ARITHMETIC — there is no formula to state</t>
        </is>
      </c>
      <c r="J569" s="3" t="inlineStr">
        <is>
          <t>1. error: unknown
2. extra?: Extra</t>
        </is>
      </c>
      <c r="K569" s="3" t="inlineStr">
        <is>
          <t>void</t>
        </is>
      </c>
      <c r="L569" s="3" t="inlineStr">
        <is>
          <t>—</t>
        </is>
      </c>
      <c r="M569" s="3" t="inlineStr">
        <is>
          <t>None found in this function — anything it assumes comes from the functions it depends on.</t>
        </is>
      </c>
      <c r="N569" s="3" t="inlineStr">
        <is>
          <t>Yes</t>
        </is>
      </c>
      <c r="O569" s="3" t="inlineStr">
        <is>
          <t>—</t>
        </is>
      </c>
      <c r="P569" s="3" t="n">
        <v>0</v>
      </c>
      <c r="Q569" s="3" t="inlineStr">
        <is>
          <t>None — no dependent function stands behind it</t>
        </is>
      </c>
      <c r="R569" s="3" t="inlineStr">
        <is>
          <t>No dependent function — it reads its inputs and answers</t>
        </is>
      </c>
      <c r="S569" s="3" t="inlineStr">
        <is>
          <t>—</t>
        </is>
      </c>
      <c r="T569" s="3" t="inlineStr">
        <is>
          <t>—</t>
        </is>
      </c>
      <c r="U569" s="3" t="inlineStr">
        <is>
          <t>ACTIVE</t>
        </is>
      </c>
      <c r="V569" s="3" t="inlineStr">
        <is>
          <t>2026-08-27</t>
        </is>
      </c>
      <c r="W569" s="3" t="n"/>
      <c r="X569" s="3" t="n"/>
      <c r="Y569" s="3" t="inlineStr">
        <is>
          <t>NOTHING OPEN</t>
        </is>
      </c>
    </row>
    <row r="570" ht="30" customHeight="1">
      <c r="A570" s="3" t="inlineStr">
        <is>
          <t>MK-XS-F-038</t>
        </is>
      </c>
      <c r="B570" s="3" t="inlineStr">
        <is>
          <t>setUserScope</t>
        </is>
      </c>
      <c r="C570" s="3" t="inlineStr">
        <is>
          <t>src/services/crashReporter.ts</t>
        </is>
      </c>
      <c r="D570" s="3" t="n">
        <v>154</v>
      </c>
      <c r="E570" s="3" t="inlineStr">
        <is>
          <t>1 · ACTION</t>
        </is>
      </c>
      <c r="F570" s="3" t="inlineStr">
        <is>
          <t>Tag the current user on reports (call after login; pass null on logout).</t>
        </is>
      </c>
      <c r="G570" s="11" t="inlineStr">
        <is>
          <t>It records or announces something and returns no figure — no arithmetic of its own.</t>
        </is>
      </c>
      <c r="H570" s="3" t="inlineStr">
        <is>
          <t>It records or announces something and returns no figure — no arithmetic of its own.</t>
        </is>
      </c>
      <c r="I570" s="3" t="inlineStr">
        <is>
          <t>NO ARITHMETIC — there is no formula to state</t>
        </is>
      </c>
      <c r="J570" s="3" t="inlineStr">
        <is>
          <t>uid: string | null</t>
        </is>
      </c>
      <c r="K570" s="3" t="inlineStr">
        <is>
          <t>void</t>
        </is>
      </c>
      <c r="L570" s="3" t="inlineStr">
        <is>
          <t>—</t>
        </is>
      </c>
      <c r="M570" s="3" t="inlineStr">
        <is>
          <t>None found in this function — anything it assumes comes from the functions it depends on.</t>
        </is>
      </c>
      <c r="N570" s="3" t="inlineStr">
        <is>
          <t>Yes</t>
        </is>
      </c>
      <c r="O570" s="3" t="inlineStr">
        <is>
          <t>—</t>
        </is>
      </c>
      <c r="P570" s="3" t="n">
        <v>0</v>
      </c>
      <c r="Q570" s="3" t="inlineStr">
        <is>
          <t>None — no dependent function stands behind it</t>
        </is>
      </c>
      <c r="R570" s="3" t="inlineStr">
        <is>
          <t>No dependent function — it reads its inputs and answers</t>
        </is>
      </c>
      <c r="S570" s="3" t="inlineStr">
        <is>
          <t>—</t>
        </is>
      </c>
      <c r="T570" s="3" t="inlineStr">
        <is>
          <t>—</t>
        </is>
      </c>
      <c r="U570" s="3" t="inlineStr">
        <is>
          <t>ACTIVE</t>
        </is>
      </c>
      <c r="V570" s="3" t="inlineStr">
        <is>
          <t>2026-08-27</t>
        </is>
      </c>
      <c r="W570" s="3" t="n"/>
      <c r="X570" s="3" t="n"/>
      <c r="Y570" s="3" t="inlineStr">
        <is>
          <t>NOTHING OPEN</t>
        </is>
      </c>
    </row>
    <row r="571" ht="45" customHeight="1">
      <c r="A571" s="3" t="inlineStr">
        <is>
          <t>MK-XS-F-039</t>
        </is>
      </c>
      <c r="B571" s="3" t="inlineStr">
        <is>
          <t>crashReportingEnabled</t>
        </is>
      </c>
      <c r="C571" s="3" t="inlineStr">
        <is>
          <t>src/services/crashReporter.ts</t>
        </is>
      </c>
      <c r="D571" s="3" t="n">
        <v>180</v>
      </c>
      <c r="E571" s="3" t="inlineStr">
        <is>
          <t>3 · DEPENDENT (feeds an action only)</t>
        </is>
      </c>
      <c r="F571" s="3" t="inlineStr">
        <is>
          <t>Whether reports are actually shipping to Sentry (DSN + SDK present).</t>
        </is>
      </c>
      <c r="G571" s="11" t="inlineStr">
        <is>
          <t>enabled</t>
        </is>
      </c>
      <c r="H571" s="3" t="inlineStr">
        <is>
          <t>enabled.</t>
        </is>
      </c>
      <c r="I571" s="3" t="inlineStr">
        <is>
          <t>READ FROM THE CODE — rendered from the expressions the function runs</t>
        </is>
      </c>
      <c r="J571" s="3" t="inlineStr">
        <is>
          <t>Nothing is handed to it</t>
        </is>
      </c>
      <c r="K571" s="3" t="inlineStr">
        <is>
          <t>boolean</t>
        </is>
      </c>
      <c r="L571" s="3" t="inlineStr">
        <is>
          <t>—</t>
        </is>
      </c>
      <c r="M571" s="3" t="inlineStr">
        <is>
          <t>None found in this function — anything it assumes comes from the functions it depends on.</t>
        </is>
      </c>
      <c r="N571" s="3" t="inlineStr">
        <is>
          <t>No</t>
        </is>
      </c>
      <c r="O571" s="3" t="inlineStr">
        <is>
          <t>—</t>
        </is>
      </c>
      <c r="P571" s="3" t="n">
        <v>0</v>
      </c>
      <c r="Q571" s="3" t="inlineStr">
        <is>
          <t>None — no dependent function stands behind it</t>
        </is>
      </c>
      <c r="R571" s="3" t="inlineStr">
        <is>
          <t>No dependent function — it reads its inputs and answers</t>
        </is>
      </c>
      <c r="S571" s="3" t="inlineStr">
        <is>
          <t>—</t>
        </is>
      </c>
      <c r="T571" s="3" t="inlineStr">
        <is>
          <t>—</t>
        </is>
      </c>
      <c r="U571" s="3" t="inlineStr">
        <is>
          <t>ACTIVE</t>
        </is>
      </c>
      <c r="V571" s="3" t="inlineStr">
        <is>
          <t>2026-08-27</t>
        </is>
      </c>
      <c r="W571" s="3" t="n"/>
      <c r="X571" s="3" t="n"/>
      <c r="Y571" s="3" t="inlineStr">
        <is>
          <t>NOTHING OPEN</t>
        </is>
      </c>
    </row>
    <row r="572" ht="60" customHeight="1">
      <c r="A572" s="3" t="inlineStr">
        <is>
          <t>MK-XS-F-040</t>
        </is>
      </c>
      <c r="B572" s="3" t="inlineStr">
        <is>
          <t>sendTestReport</t>
        </is>
      </c>
      <c r="C572" s="3" t="inlineStr">
        <is>
          <t>src/services/crashReporter.ts</t>
        </is>
      </c>
      <c r="D572" s="3" t="n">
        <v>202</v>
      </c>
      <c r="E572" s="3" t="inlineStr">
        <is>
          <t>2 · DISPLAYED</t>
        </is>
      </c>
      <c r="F572" s="3" t="inlineStr">
        <is>
          <t>B-L2 verification: send a harmless test event so you can confirm wiring in the Sentry dashboard (works on the production/TestFlight build).</t>
        </is>
      </c>
      <c r="G572" s="11" t="inlineStr">
        <is>
          <t>enabled</t>
        </is>
      </c>
      <c r="H572" s="3" t="inlineStr">
        <is>
          <t>enabled.</t>
        </is>
      </c>
      <c r="I572" s="3" t="inlineStr">
        <is>
          <t>READ FROM THE CODE — rendered from the expressions the function runs</t>
        </is>
      </c>
      <c r="J572" s="3" t="inlineStr">
        <is>
          <t>Nothing is handed to it</t>
        </is>
      </c>
      <c r="K572" s="3" t="inlineStr">
        <is>
          <t>boolean</t>
        </is>
      </c>
      <c r="L572" s="3" t="inlineStr">
        <is>
          <t>"Hide balances" — on the Settings screen, under "Security"</t>
        </is>
      </c>
      <c r="M572" s="3" t="inlineStr">
        <is>
          <t>None found in this function — anything it assumes comes from the functions it depends on.</t>
        </is>
      </c>
      <c r="N572" s="3" t="inlineStr">
        <is>
          <t>Yes</t>
        </is>
      </c>
      <c r="O572" s="3" t="inlineStr">
        <is>
          <t>MK-XS-F-037 captureException</t>
        </is>
      </c>
      <c r="P572" s="3" t="n">
        <v>1</v>
      </c>
      <c r="Q572" s="3" t="inlineStr">
        <is>
          <t>MK-XS-F-037 captureException</t>
        </is>
      </c>
      <c r="R572" s="3" t="inlineStr">
        <is>
          <t>MK-XS-F-037 captureException → MK-XS-F-040 sendTestReport</t>
        </is>
      </c>
      <c r="S572" s="3" t="inlineStr">
        <is>
          <t>—</t>
        </is>
      </c>
      <c r="T572" s="3" t="inlineStr">
        <is>
          <t>—</t>
        </is>
      </c>
      <c r="U572" s="3" t="inlineStr">
        <is>
          <t>ACTIVE</t>
        </is>
      </c>
      <c r="V572" s="3" t="inlineStr">
        <is>
          <t>2026-08-27</t>
        </is>
      </c>
      <c r="W572" s="3" t="n"/>
      <c r="X572" s="3" t="n"/>
      <c r="Y572" s="3" t="inlineStr">
        <is>
          <t>NOTHING OPEN</t>
        </is>
      </c>
    </row>
    <row r="573" ht="45" customHeight="1">
      <c r="A573" s="3" t="inlineStr">
        <is>
          <t>MK-XS-F-041</t>
        </is>
      </c>
      <c r="B573" s="3" t="inlineStr">
        <is>
          <t>cacheDataKey</t>
        </is>
      </c>
      <c r="C573" s="3" t="inlineStr">
        <is>
          <t>src/services/dataCrypto.ts</t>
        </is>
      </c>
      <c r="D573" s="3" t="n">
        <v>122</v>
      </c>
      <c r="E573" s="3" t="inlineStr">
        <is>
          <t>1 · ACTION</t>
        </is>
      </c>
      <c r="F573" s="3" t="inlineStr">
        <is>
          <t>── DEK lifecycle (the cached, unwrapped key the sync layer uses) ───── Cache the unwrapped DEK (memory + keychain).</t>
        </is>
      </c>
      <c r="G573" s="11" t="inlineStr">
        <is>
          <t>keeps the data-encryption key in memory and in the device's secure store</t>
        </is>
      </c>
      <c r="H573" s="3" t="inlineStr">
        <is>
          <t>Stores the data-encryption key in memory and in the secure keychain. Not a calculation.</t>
        </is>
      </c>
      <c r="I573" s="3" t="inlineStr">
        <is>
          <t>READ BY HAND 2026-08-26 — checked line by line against the code</t>
        </is>
      </c>
      <c r="J573" s="3" t="inlineStr">
        <is>
          <t>dek: string</t>
        </is>
      </c>
      <c r="K573" s="3" t="inlineStr">
        <is>
          <t>Promise&lt;void&gt;</t>
        </is>
      </c>
      <c r="L573" s="3" t="inlineStr">
        <is>
          <t>—</t>
        </is>
      </c>
      <c r="M573" s="3" t="inlineStr">
        <is>
          <t>None found in this function — anything it assumes comes from the functions it depends on.</t>
        </is>
      </c>
      <c r="N573" s="3" t="inlineStr">
        <is>
          <t>Yes</t>
        </is>
      </c>
      <c r="O573" s="3" t="inlineStr">
        <is>
          <t>MK-XS-F-136 secureSet</t>
        </is>
      </c>
      <c r="P573" s="3" t="n">
        <v>1</v>
      </c>
      <c r="Q573" s="3" t="inlineStr">
        <is>
          <t>MK-XS-F-136 secureSet</t>
        </is>
      </c>
      <c r="R573" s="3" t="inlineStr">
        <is>
          <t>MK-XS-F-136 secureSet → MK-XS-F-041 cacheDataKey</t>
        </is>
      </c>
      <c r="S573" s="3" t="inlineStr">
        <is>
          <t>—</t>
        </is>
      </c>
      <c r="T573" s="3" t="inlineStr">
        <is>
          <t>—</t>
        </is>
      </c>
      <c r="U573" s="3" t="inlineStr">
        <is>
          <t>ACTIVE</t>
        </is>
      </c>
      <c r="V573" s="3" t="inlineStr">
        <is>
          <t>2026-09-12</t>
        </is>
      </c>
      <c r="W573" s="3" t="n"/>
      <c r="X573" s="3" t="n"/>
      <c r="Y573" s="3" t="inlineStr">
        <is>
          <t>NOTHING OPEN</t>
        </is>
      </c>
    </row>
    <row r="574" ht="45" customHeight="1">
      <c r="A574" s="3" t="inlineStr">
        <is>
          <t>MK-XS-F-042</t>
        </is>
      </c>
      <c r="B574" s="3" t="inlineStr">
        <is>
          <t>getDataKey</t>
        </is>
      </c>
      <c r="C574" s="3" t="inlineStr">
        <is>
          <t>src/services/dataCrypto.ts</t>
        </is>
      </c>
      <c r="D574" s="3" t="n">
        <v>150</v>
      </c>
      <c r="E574" s="3" t="inlineStr">
        <is>
          <t>3 · DEPENDENT</t>
        </is>
      </c>
      <c r="F574" s="3" t="inlineStr">
        <is>
          <t>The cached DEK (memory → keychain), or null if it hasn't been unwrapped on this install yet.</t>
        </is>
      </c>
      <c r="G574" s="11" t="inlineStr">
        <is>
          <t>cached key   when cached key
cached key</t>
        </is>
      </c>
      <c r="H574" s="3" t="inlineStr">
        <is>
          <t>When cached key, it answers cached key. cached key.</t>
        </is>
      </c>
      <c r="I574" s="3" t="inlineStr">
        <is>
          <t>READ FROM THE CODE — rendered from the expressions the function runs</t>
        </is>
      </c>
      <c r="J574" s="3" t="inlineStr">
        <is>
          <t>Nothing is handed to it</t>
        </is>
      </c>
      <c r="K574" s="3" t="inlineStr">
        <is>
          <t>Promise&lt;string | null&gt;</t>
        </is>
      </c>
      <c r="L574" s="3" t="inlineStr">
        <is>
          <t>—</t>
        </is>
      </c>
      <c r="M574" s="3" t="inlineStr">
        <is>
          <t>None found in this function — anything it assumes comes from the functions it depends on.</t>
        </is>
      </c>
      <c r="N574" s="3" t="inlineStr">
        <is>
          <t>Yes</t>
        </is>
      </c>
      <c r="O574" s="3" t="inlineStr">
        <is>
          <t>MK-XS-F-135 secureGet</t>
        </is>
      </c>
      <c r="P574" s="3" t="n">
        <v>1</v>
      </c>
      <c r="Q574" s="3" t="inlineStr">
        <is>
          <t>MK-XS-F-135 secureGet</t>
        </is>
      </c>
      <c r="R574" s="3" t="inlineStr">
        <is>
          <t>MK-XS-F-135 secureGet → MK-XS-F-042 getDataKey</t>
        </is>
      </c>
      <c r="S574" s="3" t="inlineStr">
        <is>
          <t>—</t>
        </is>
      </c>
      <c r="T574" s="3" t="inlineStr">
        <is>
          <t>—</t>
        </is>
      </c>
      <c r="U574" s="3" t="inlineStr">
        <is>
          <t>ACTIVE</t>
        </is>
      </c>
      <c r="V574" s="3" t="inlineStr">
        <is>
          <t>2026-08-27</t>
        </is>
      </c>
      <c r="W574" s="3" t="n"/>
      <c r="X574" s="3" t="n"/>
      <c r="Y574" s="3" t="inlineStr">
        <is>
          <t>NOTHING OPEN</t>
        </is>
      </c>
    </row>
    <row r="575" ht="45" customHeight="1">
      <c r="A575" s="3" t="inlineStr">
        <is>
          <t>MK-XS-F-043</t>
        </is>
      </c>
      <c r="B575" s="3" t="inlineStr">
        <is>
          <t>clearDataKey</t>
        </is>
      </c>
      <c r="C575" s="3" t="inlineStr">
        <is>
          <t>src/services/dataCrypto.ts</t>
        </is>
      </c>
      <c r="D575" s="3" t="n">
        <v>174</v>
      </c>
      <c r="E575" s="3" t="inlineStr">
        <is>
          <t>1 · ACTION</t>
        </is>
      </c>
      <c r="F575" s="3" t="inlineStr">
        <is>
          <t>Forget the DEK (on logout / account deletion).</t>
        </is>
      </c>
      <c r="G575" s="11" t="inlineStr">
        <is>
          <t>forgets the data-encryption key in memory and in the secure store</t>
        </is>
      </c>
      <c r="H575" s="3" t="inlineStr">
        <is>
          <t>Removes the data-encryption key from memory and the secure keychain — done at sign-out. Not a calculation.</t>
        </is>
      </c>
      <c r="I575" s="3" t="inlineStr">
        <is>
          <t>READ BY HAND 2026-08-26 — checked line by line against the code</t>
        </is>
      </c>
      <c r="J575" s="3" t="inlineStr">
        <is>
          <t>Nothing is handed to it</t>
        </is>
      </c>
      <c r="K575" s="3" t="inlineStr">
        <is>
          <t>Promise&lt;void&gt;</t>
        </is>
      </c>
      <c r="L575" s="3" t="inlineStr">
        <is>
          <t>—</t>
        </is>
      </c>
      <c r="M575" s="3" t="inlineStr">
        <is>
          <t>None found in this function — anything it assumes comes from the functions it depends on.</t>
        </is>
      </c>
      <c r="N575" s="3" t="inlineStr">
        <is>
          <t>Yes</t>
        </is>
      </c>
      <c r="O575" s="3" t="inlineStr">
        <is>
          <t>MK-XS-F-137 secureDelete</t>
        </is>
      </c>
      <c r="P575" s="3" t="n">
        <v>1</v>
      </c>
      <c r="Q575" s="3" t="inlineStr">
        <is>
          <t>MK-XS-F-137 secureDelete</t>
        </is>
      </c>
      <c r="R575" s="3" t="inlineStr">
        <is>
          <t>MK-XS-F-137 secureDelete → MK-XS-F-043 clearDataKey</t>
        </is>
      </c>
      <c r="S575" s="3" t="inlineStr">
        <is>
          <t>—</t>
        </is>
      </c>
      <c r="T575" s="3" t="inlineStr">
        <is>
          <t>—</t>
        </is>
      </c>
      <c r="U575" s="3" t="inlineStr">
        <is>
          <t>ACTIVE</t>
        </is>
      </c>
      <c r="V575" s="3" t="inlineStr">
        <is>
          <t>2026-09-12</t>
        </is>
      </c>
      <c r="W575" s="3" t="n"/>
      <c r="X575" s="3" t="n"/>
      <c r="Y575" s="3" t="inlineStr">
        <is>
          <t>NOTHING OPEN</t>
        </is>
      </c>
    </row>
    <row r="576" ht="45" customHeight="1">
      <c r="A576" s="3" t="inlineStr">
        <is>
          <t>MK-XS-F-044</t>
        </is>
      </c>
      <c r="B576" s="3" t="inlineStr">
        <is>
          <t>generateDataKey</t>
        </is>
      </c>
      <c r="C576" s="3" t="inlineStr">
        <is>
          <t>src/services/dataCrypto.ts</t>
        </is>
      </c>
      <c r="D576" s="3" t="n">
        <v>199</v>
      </c>
      <c r="E576" s="3" t="inlineStr">
        <is>
          <t>3 · DEPENDENT</t>
        </is>
      </c>
      <c r="F576" s="3" t="inlineStr">
        <is>
          <t>── Key generation ─────────────────────────────────────────────────── A fresh random 256-bit data key (hex).</t>
        </is>
      </c>
      <c r="G576" s="11" t="inlineStr">
        <is>
          <t>crypto js.lib.word array.random(32).to string(crypto js.enc.hex)</t>
        </is>
      </c>
      <c r="H576" s="3" t="inlineStr">
        <is>
          <t>crypto js.lib.word array.random(32).to string(crypto js.enc.hex).</t>
        </is>
      </c>
      <c r="I576" s="3" t="inlineStr">
        <is>
          <t>PARTLY READ — some of the code is still showing through; needs a hand pass</t>
        </is>
      </c>
      <c r="J576" s="3" t="inlineStr">
        <is>
          <t>Nothing is handed to it</t>
        </is>
      </c>
      <c r="K576" s="3" t="inlineStr">
        <is>
          <t>string</t>
        </is>
      </c>
      <c r="L576" s="3" t="inlineStr">
        <is>
          <t>—</t>
        </is>
      </c>
      <c r="M576" s="3" t="inlineStr">
        <is>
          <t>None found in this function — anything it assumes comes from the functions it depends on.</t>
        </is>
      </c>
      <c r="N576" s="3" t="inlineStr">
        <is>
          <t>Yes</t>
        </is>
      </c>
      <c r="O576" s="3" t="inlineStr">
        <is>
          <t>—</t>
        </is>
      </c>
      <c r="P576" s="3" t="n">
        <v>0</v>
      </c>
      <c r="Q576" s="3" t="inlineStr">
        <is>
          <t>None — no dependent function stands behind it</t>
        </is>
      </c>
      <c r="R576" s="3" t="inlineStr">
        <is>
          <t>No dependent function — it reads its inputs and answers</t>
        </is>
      </c>
      <c r="S576" s="3" t="inlineStr">
        <is>
          <t>—</t>
        </is>
      </c>
      <c r="T576" s="3" t="inlineStr">
        <is>
          <t>—</t>
        </is>
      </c>
      <c r="U576" s="3" t="inlineStr">
        <is>
          <t>ACTIVE</t>
        </is>
      </c>
      <c r="V576" s="3" t="inlineStr">
        <is>
          <t>2026-08-27</t>
        </is>
      </c>
      <c r="W576" s="3" t="n"/>
      <c r="X576" s="3" t="n"/>
      <c r="Y576" s="3" t="inlineStr">
        <is>
          <t>NOTHING OPEN</t>
        </is>
      </c>
    </row>
    <row r="577" ht="60" customHeight="1">
      <c r="A577" s="3" t="inlineStr">
        <is>
          <t>MK-XS-F-045</t>
        </is>
      </c>
      <c r="B577" s="3" t="inlineStr">
        <is>
          <t>generateRecoveryCode</t>
        </is>
      </c>
      <c r="C577" s="3" t="inlineStr">
        <is>
          <t>src/services/dataCrypto.ts</t>
        </is>
      </c>
      <c r="D577" s="3" t="n">
        <v>227</v>
      </c>
      <c r="E577" s="3" t="inlineStr">
        <is>
          <t>3 · DEPENDENT</t>
        </is>
      </c>
      <c r="F577" s="3" t="inlineStr">
        <is>
          <t>A human-friendly recovery code, e.g.</t>
        </is>
      </c>
      <c r="G577" s="11" t="inlineStr">
        <is>
          <t>bytes = crypto js.lib.word array.random(20)
words = bytes.words
out = ''
byte = (words[i &gt;&gt;&gt; 2] &gt;&gt;&gt; (24 − (i % 4) × 8)) &amp; 0xff
the answer = (out.match( ÷ .{1,4} ÷ g) as string[]).join('-')</t>
        </is>
      </c>
      <c r="H577" s="3" t="inlineStr">
        <is>
          <t>Bytes is crypto js.lib.word array.random(20). Words is bytes.words. Out is ''. Byte is (words[i &gt;&gt;&gt; 2] &gt;&gt;&gt; (24 minus (i % 4) times 8)) &amp; 0xff. The answer is (out.match( divided by .{1,4} divided by g) as string[]).join('-').</t>
        </is>
      </c>
      <c r="I577" s="3" t="inlineStr">
        <is>
          <t>PARTLY READ — some of the code is still showing through; needs a hand pass</t>
        </is>
      </c>
      <c r="J577" s="3" t="inlineStr">
        <is>
          <t>Nothing is handed to it</t>
        </is>
      </c>
      <c r="K577" s="3" t="inlineStr">
        <is>
          <t>string</t>
        </is>
      </c>
      <c r="L577" s="3" t="inlineStr">
        <is>
          <t>—</t>
        </is>
      </c>
      <c r="M577" s="3" t="inlineStr">
        <is>
          <t>None found in this function — anything it assumes comes from the functions it depends on.</t>
        </is>
      </c>
      <c r="N577" s="3" t="inlineStr">
        <is>
          <t>Yes</t>
        </is>
      </c>
      <c r="O577" s="3" t="inlineStr">
        <is>
          <t>—</t>
        </is>
      </c>
      <c r="P577" s="3" t="n">
        <v>0</v>
      </c>
      <c r="Q577" s="3" t="inlineStr">
        <is>
          <t>None — no dependent function stands behind it</t>
        </is>
      </c>
      <c r="R577" s="3" t="inlineStr">
        <is>
          <t>No dependent function — it reads its inputs and answers</t>
        </is>
      </c>
      <c r="S577" s="3" t="inlineStr">
        <is>
          <t>—</t>
        </is>
      </c>
      <c r="T577" s="3" t="inlineStr">
        <is>
          <t>—</t>
        </is>
      </c>
      <c r="U577" s="3" t="inlineStr">
        <is>
          <t>ACTIVE</t>
        </is>
      </c>
      <c r="V577" s="3" t="inlineStr">
        <is>
          <t>2026-08-27</t>
        </is>
      </c>
      <c r="W577" s="3" t="n"/>
      <c r="X577" s="3" t="n"/>
      <c r="Y577" s="3" t="inlineStr">
        <is>
          <t>NOTHING OPEN</t>
        </is>
      </c>
    </row>
    <row r="578" ht="60" customHeight="1">
      <c r="A578" s="3" t="inlineStr">
        <is>
          <t>MK-XS-F-046</t>
        </is>
      </c>
      <c r="B578" s="3" t="inlineStr">
        <is>
          <t>makeEnvelope</t>
        </is>
      </c>
      <c r="C578" s="3" t="inlineStr">
        <is>
          <t>src/services/dataCrypto.ts</t>
        </is>
      </c>
      <c r="D578" s="3" t="n">
        <v>310</v>
      </c>
      <c r="E578" s="3" t="inlineStr">
        <is>
          <t>3 · DEPENDENT</t>
        </is>
      </c>
      <c r="F578" s="3" t="inlineStr">
        <is>
          <t>Build the stored envelope: the DEK locked by both the password and the recovery code.</t>
        </is>
      </c>
      <c r="G578" s="11" t="inlineStr">
        <is>
          <t>p = wrap with secret(dek, uid, password)
r = wrap with secret(dek, uid, recovery code)</t>
        </is>
      </c>
      <c r="H578" s="3" t="inlineStr">
        <is>
          <t>p = wrap with secret(dek, uid, password); r = wrap with secret(dek, uid, recovery code).</t>
        </is>
      </c>
      <c r="I578" s="3" t="inlineStr">
        <is>
          <t>READ FROM THE CODE — rendered from the expressions the function runs</t>
        </is>
      </c>
      <c r="J578" s="3" t="inlineStr">
        <is>
          <t>1. dek: string
2. uid: string
3. password: string
4. recoveryCode: string</t>
        </is>
      </c>
      <c r="K578" s="3" t="inlineStr">
        <is>
          <t>KeyEnvelope</t>
        </is>
      </c>
      <c r="L578" s="3" t="inlineStr">
        <is>
          <t>—</t>
        </is>
      </c>
      <c r="M578" s="3" t="inlineStr">
        <is>
          <t>None found in this function — anything it assumes comes from the functions it depends on.</t>
        </is>
      </c>
      <c r="N578" s="3" t="inlineStr">
        <is>
          <t>Yes</t>
        </is>
      </c>
      <c r="O578" s="3" t="inlineStr">
        <is>
          <t>1. MK-XS-F-175 uid
2. MK-XS-F-139 wrapWithSecret</t>
        </is>
      </c>
      <c r="P578" s="3" t="n">
        <v>84</v>
      </c>
      <c r="Q578" s="3" t="inlineStr">
        <is>
          <t>1. MK-XS-F-175 uid
2. MK-XS-F-139 wrapWithSecret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MK-XS-F-138 deriveKeyFromSecret
31. MK-XS-F-052 encryptWithKey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is>
      </c>
      <c r="R578" s="3" t="inlineStr">
        <is>
          <t>1. MK-ST-F-027 accountId → MK-XS-F-175 uid → MK-XS-F-046 makeEnvelope
2. MK-CF-F-137 findPos → MK-CF-F-138 addLot → MK-CF-F-111 applyTransaction → MK-XS-F-175 uid → MK-XS-F-046 makeEnvelope
3. MK-CF-F-132 map → MK-CF-F-138 addLot → MK-CF-F-111 applyTransaction → MK-XS-F-175 uid → MK-XS-F-046 makeEnvelope
4. MK-ST-F-043 newEntityId → MK-CF-F-138 addLot → MK-CF-F-111 applyTransaction → MK-XS-F-175 uid → MK-XS-F-046 makeEnvelope
5. MK-CF-F-134 usesSleeve → MK-CF-F-136 bumpCash → MK-CF-F-111 applyTransaction → MK-XS-F-175 uid → MK-XS-F-046 makeEnvelope
6. MK-CF-F-137 findPos → MK-CF-F-111 applyTransaction → MK-XS-F-175 uid → MK-XS-F-046 makeEnvelope
7. MK-CF-F-132 map → MK-CF-F-111 applyTransaction → MK-XS-F-175 uid → MK-XS-F-046 makeEnvelope
8. MK-CF-F-137 findPos → MK-CF-F-139 removeShares → MK-CF-F-111 applyTransaction → MK-XS-F-175 uid → MK-XS-F-046 makeEnvelope
9. … and 5 more paths</t>
        </is>
      </c>
      <c r="S578" s="3" t="inlineStr">
        <is>
          <t>—</t>
        </is>
      </c>
      <c r="T578" s="3" t="inlineStr">
        <is>
          <t>—</t>
        </is>
      </c>
      <c r="U578" s="3" t="inlineStr">
        <is>
          <t>ACTIVE</t>
        </is>
      </c>
      <c r="V578" s="3" t="inlineStr">
        <is>
          <t>2026-08-27</t>
        </is>
      </c>
      <c r="W578" s="3" t="n"/>
      <c r="X578" s="3" t="n"/>
      <c r="Y578" s="3" t="inlineStr">
        <is>
          <t>NOTHING OPEN</t>
        </is>
      </c>
    </row>
    <row r="579" ht="60" customHeight="1">
      <c r="A579" s="3" t="inlineStr">
        <is>
          <t>MK-XS-F-047</t>
        </is>
      </c>
      <c r="B579" s="3" t="inlineStr">
        <is>
          <t>unwrapWithPassword</t>
        </is>
      </c>
      <c r="C579" s="3" t="inlineStr">
        <is>
          <t>src/services/dataCrypto.ts</t>
        </is>
      </c>
      <c r="D579" s="3" t="n">
        <v>333</v>
      </c>
      <c r="E579" s="3" t="inlineStr">
        <is>
          <t>3 · DEPENDENT</t>
        </is>
      </c>
      <c r="F579" s="3" t="inlineStr">
        <is>
          <t>Unlock the DEK with the password (null if the password is wrong / was reset).</t>
        </is>
      </c>
      <c r="G579" s="11" t="inlineStr">
        <is>
          <t>decrypt with key(env.p, derive key from secret(password, uid))   if env.p
nothing   otherwise</t>
        </is>
      </c>
      <c r="H579" s="3" t="inlineStr">
        <is>
          <t>decrypt with key(env.p, derive key from secret(password, uid)) — when env.p; no answer — otherwise.</t>
        </is>
      </c>
      <c r="I579" s="3" t="inlineStr">
        <is>
          <t>READ FROM THE CODE — rendered from the expressions the function runs</t>
        </is>
      </c>
      <c r="J579" s="3" t="inlineStr">
        <is>
          <t>1. env: KeyEnvelope
2. uid: string
3. password: string</t>
        </is>
      </c>
      <c r="K579" s="3" t="inlineStr">
        <is>
          <t>string | null</t>
        </is>
      </c>
      <c r="L579" s="3" t="inlineStr">
        <is>
          <t>—</t>
        </is>
      </c>
      <c r="M579" s="3" t="inlineStr">
        <is>
          <t>None found in this function — anything it assumes comes from the functions it depends on.</t>
        </is>
      </c>
      <c r="N579" s="3" t="inlineStr">
        <is>
          <t>Yes</t>
        </is>
      </c>
      <c r="O579" s="3" t="inlineStr">
        <is>
          <t>1. MK-XS-F-053 decryptWithKey
2. MK-XS-F-138 deriveKeyFromSecret
3. MK-XS-F-175 uid</t>
        </is>
      </c>
      <c r="P579" s="3" t="n">
        <v>84</v>
      </c>
      <c r="Q579" s="3" t="inlineStr">
        <is>
          <t>1. MK-XS-F-053 decryptWithKey
2. MK-XS-F-138 deriveKeyFromSecret
3. MK-XS-F-175 uid
4. MK-XS-F-051 isEncrypted
5. MK-ST-F-027 accountId
6. MK-CF-F-111 applyTransaction
7. MK-NW-F-040 assetsFromOnboarding
8. MK-PF-F-013 benchmarkTicker
9. MK-ST-F-028 buildDayFromAccounts
10. MK-PF-F-034 closeOnOrBefore
11. MK-CF-F-186 convertTakeHomeMode
12. MK-ST-F-079 dailyWindowStart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is>
      </c>
      <c r="R579" s="3" t="inlineStr">
        <is>
          <t>1. MK-XS-F-051 isEncrypted → MK-XS-F-053 decryptWithKey → MK-XS-F-047 unwrapWithPassword
2. MK-ST-F-027 accountId → MK-XS-F-175 uid → MK-XS-F-138 deriveKeyFromSecret → MK-XS-F-047 unwrapWithPassword
3. MK-CF-F-137 findPos → MK-CF-F-138 addLot → MK-CF-F-111 applyTransaction → MK-XS-F-175 uid → MK-XS-F-138 deriveKeyFromSecret → MK-XS-F-047 unwrapWithPassword
4. MK-CF-F-132 map → MK-CF-F-138 addLot → MK-CF-F-111 applyTransaction → MK-XS-F-175 uid → MK-XS-F-138 deriveKeyFromSecret → MK-XS-F-047 unwrapWithPassword
5. MK-ST-F-043 newEntityId → MK-CF-F-138 addLot → MK-CF-F-111 applyTransaction → MK-XS-F-175 uid → MK-XS-F-138 deriveKeyFromSecret → MK-XS-F-047 unwrapWithPassword
6. MK-CF-F-134 usesSleeve → MK-CF-F-136 bumpCash → MK-CF-F-111 applyTransaction → MK-XS-F-175 uid → MK-XS-F-138 deriveKeyFromSecret → MK-XS-F-047 unwrapWithPassword
7. MK-CF-F-137 findPos → MK-CF-F-111 applyTransaction → MK-XS-F-175 uid → MK-XS-F-138 deriveKeyFromSecret → MK-XS-F-047 unwrapWithPassword
8. MK-CF-F-132 map → MK-CF-F-111 applyTransaction → MK-XS-F-175 uid → MK-XS-F-138 deriveKeyFromSecret → MK-XS-F-047 unwrapWithPassword
9. … and 5 more paths</t>
        </is>
      </c>
      <c r="S579" s="3" t="inlineStr">
        <is>
          <t>—</t>
        </is>
      </c>
      <c r="T579" s="3" t="inlineStr">
        <is>
          <t>—</t>
        </is>
      </c>
      <c r="U579" s="3" t="inlineStr">
        <is>
          <t>ACTIVE</t>
        </is>
      </c>
      <c r="V579" s="3" t="inlineStr">
        <is>
          <t>2026-08-27</t>
        </is>
      </c>
      <c r="W579" s="3" t="n"/>
      <c r="X579" s="3" t="n"/>
      <c r="Y579" s="3" t="inlineStr">
        <is>
          <t>NOTHING OPEN</t>
        </is>
      </c>
    </row>
    <row r="580" ht="60" customHeight="1">
      <c r="A580" s="3" t="inlineStr">
        <is>
          <t>MK-XS-F-048</t>
        </is>
      </c>
      <c r="B580" s="3" t="inlineStr">
        <is>
          <t>unwrapWithRecovery</t>
        </is>
      </c>
      <c r="C580" s="3" t="inlineStr">
        <is>
          <t>src/services/dataCrypto.ts</t>
        </is>
      </c>
      <c r="D580" s="3" t="n">
        <v>356</v>
      </c>
      <c r="E580" s="3" t="inlineStr">
        <is>
          <t>3 · DEPENDENT</t>
        </is>
      </c>
      <c r="F580" s="3" t="inlineStr">
        <is>
          <t>Unlock the DEK with the recovery code (null if the code is wrong).</t>
        </is>
      </c>
      <c r="G580" s="11" t="inlineStr">
        <is>
          <t>decrypt with key(env.r, derive key from secret(recovery code, uid))   if env.r
nothing   otherwise</t>
        </is>
      </c>
      <c r="H580" s="3" t="inlineStr">
        <is>
          <t>decrypt with key(env.r, derive key from secret(recovery code, uid)) — when env.r; no answer — otherwise.</t>
        </is>
      </c>
      <c r="I580" s="3" t="inlineStr">
        <is>
          <t>READ FROM THE CODE — rendered from the expressions the function runs</t>
        </is>
      </c>
      <c r="J580" s="3" t="inlineStr">
        <is>
          <t>1. env: KeyEnvelope
2. uid: string
3. recoveryCode: string</t>
        </is>
      </c>
      <c r="K580" s="3" t="inlineStr">
        <is>
          <t>string | null</t>
        </is>
      </c>
      <c r="L580" s="3" t="inlineStr">
        <is>
          <t>—</t>
        </is>
      </c>
      <c r="M580" s="3" t="inlineStr">
        <is>
          <t>None found in this function — anything it assumes comes from the functions it depends on.</t>
        </is>
      </c>
      <c r="N580" s="3" t="inlineStr">
        <is>
          <t>Yes</t>
        </is>
      </c>
      <c r="O580" s="3" t="inlineStr">
        <is>
          <t>1. MK-XS-F-053 decryptWithKey
2. MK-XS-F-138 deriveKeyFromSecret
3. MK-XS-F-175 uid</t>
        </is>
      </c>
      <c r="P580" s="3" t="n">
        <v>84</v>
      </c>
      <c r="Q580" s="3" t="inlineStr">
        <is>
          <t>1. MK-XS-F-053 decryptWithKey
2. MK-XS-F-138 deriveKeyFromSecret
3. MK-XS-F-175 uid
4. MK-XS-F-051 isEncrypted
5. MK-ST-F-027 accountId
6. MK-CF-F-111 applyTransaction
7. MK-NW-F-040 assetsFromOnboarding
8. MK-PF-F-013 benchmarkTicker
9. MK-ST-F-028 buildDayFromAccounts
10. MK-PF-F-034 closeOnOrBefore
11. MK-CF-F-186 convertTakeHomeMode
12. MK-ST-F-079 dailyWindowStart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is>
      </c>
      <c r="R580" s="3" t="inlineStr">
        <is>
          <t>1. MK-XS-F-051 isEncrypted → MK-XS-F-053 decryptWithKey → MK-XS-F-048 unwrapWithRecovery
2. MK-ST-F-027 accountId → MK-XS-F-175 uid → MK-XS-F-138 deriveKeyFromSecret → MK-XS-F-048 unwrapWithRecovery
3. MK-CF-F-137 findPos → MK-CF-F-138 addLot → MK-CF-F-111 applyTransaction → MK-XS-F-175 uid → MK-XS-F-138 deriveKeyFromSecret → MK-XS-F-048 unwrapWithRecovery
4. MK-CF-F-132 map → MK-CF-F-138 addLot → MK-CF-F-111 applyTransaction → MK-XS-F-175 uid → MK-XS-F-138 deriveKeyFromSecret → MK-XS-F-048 unwrapWithRecovery
5. MK-ST-F-043 newEntityId → MK-CF-F-138 addLot → MK-CF-F-111 applyTransaction → MK-XS-F-175 uid → MK-XS-F-138 deriveKeyFromSecret → MK-XS-F-048 unwrapWithRecovery
6. MK-CF-F-134 usesSleeve → MK-CF-F-136 bumpCash → MK-CF-F-111 applyTransaction → MK-XS-F-175 uid → MK-XS-F-138 deriveKeyFromSecret → MK-XS-F-048 unwrapWithRecovery
7. MK-CF-F-137 findPos → MK-CF-F-111 applyTransaction → MK-XS-F-175 uid → MK-XS-F-138 deriveKeyFromSecret → MK-XS-F-048 unwrapWithRecovery
8. MK-CF-F-132 map → MK-CF-F-111 applyTransaction → MK-XS-F-175 uid → MK-XS-F-138 deriveKeyFromSecret → MK-XS-F-048 unwrapWithRecovery
9. … and 5 more paths</t>
        </is>
      </c>
      <c r="S580" s="3" t="inlineStr">
        <is>
          <t>—</t>
        </is>
      </c>
      <c r="T580" s="3" t="inlineStr">
        <is>
          <t>—</t>
        </is>
      </c>
      <c r="U580" s="3" t="inlineStr">
        <is>
          <t>ACTIVE</t>
        </is>
      </c>
      <c r="V580" s="3" t="inlineStr">
        <is>
          <t>2026-08-27</t>
        </is>
      </c>
      <c r="W580" s="3" t="n"/>
      <c r="X580" s="3" t="n"/>
      <c r="Y580" s="3" t="inlineStr">
        <is>
          <t>NOTHING OPEN</t>
        </is>
      </c>
    </row>
    <row r="581" ht="60" customHeight="1">
      <c r="A581" s="3" t="inlineStr">
        <is>
          <t>MK-XS-F-049</t>
        </is>
      </c>
      <c r="B581" s="3" t="inlineStr">
        <is>
          <t>rewrapPassword</t>
        </is>
      </c>
      <c r="C581" s="3" t="inlineStr">
        <is>
          <t>src/services/dataCrypto.ts</t>
        </is>
      </c>
      <c r="D581" s="3" t="n">
        <v>379</v>
      </c>
      <c r="E581" s="3" t="inlineStr">
        <is>
          <t>3 · DEPENDENT</t>
        </is>
      </c>
      <c r="F581" s="3" t="inlineStr">
        <is>
          <t>Re-lock an existing envelope's password copy under a new password (after a recovery-code restore).</t>
        </is>
      </c>
      <c r="G581" s="11" t="inlineStr">
        <is>
          <t>...env = ...env
p = wrap with secret(dek, uid, new password)</t>
        </is>
      </c>
      <c r="H581" s="3" t="inlineStr">
        <is>
          <t>...env = ...env; p = wrap with secret(dek, uid, new password).</t>
        </is>
      </c>
      <c r="I581" s="3" t="inlineStr">
        <is>
          <t>PARTLY READ — some of the code is still showing through; needs a hand pass</t>
        </is>
      </c>
      <c r="J581" s="3" t="inlineStr">
        <is>
          <t>1. env: KeyEnvelope
2. dek: string
3. uid: string
4. newPassword: string</t>
        </is>
      </c>
      <c r="K581" s="3" t="inlineStr">
        <is>
          <t>KeyEnvelope</t>
        </is>
      </c>
      <c r="L581" s="3" t="inlineStr">
        <is>
          <t>—</t>
        </is>
      </c>
      <c r="M581" s="3" t="inlineStr">
        <is>
          <t>None found in this function — anything it assumes comes from the functions it depends on.</t>
        </is>
      </c>
      <c r="N581" s="3" t="inlineStr">
        <is>
          <t>Yes</t>
        </is>
      </c>
      <c r="O581" s="3" t="inlineStr">
        <is>
          <t>1. MK-XS-F-175 uid
2. MK-XS-F-139 wrapWithSecret</t>
        </is>
      </c>
      <c r="P581" s="3" t="n">
        <v>84</v>
      </c>
      <c r="Q581" s="3" t="inlineStr">
        <is>
          <t>1. MK-XS-F-175 uid
2. MK-XS-F-139 wrapWithSecret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MK-XS-F-138 deriveKeyFromSecret
31. MK-XS-F-052 encryptWithKey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is>
      </c>
      <c r="R581" s="3" t="inlineStr">
        <is>
          <t>1. MK-ST-F-027 accountId → MK-XS-F-175 uid → MK-XS-F-049 rewrapPassword
2. MK-CF-F-137 findPos → MK-CF-F-138 addLot → MK-CF-F-111 applyTransaction → MK-XS-F-175 uid → MK-XS-F-049 rewrapPassword
3. MK-CF-F-132 map → MK-CF-F-138 addLot → MK-CF-F-111 applyTransaction → MK-XS-F-175 uid → MK-XS-F-049 rewrapPassword
4. MK-ST-F-043 newEntityId → MK-CF-F-138 addLot → MK-CF-F-111 applyTransaction → MK-XS-F-175 uid → MK-XS-F-049 rewrapPassword
5. MK-CF-F-134 usesSleeve → MK-CF-F-136 bumpCash → MK-CF-F-111 applyTransaction → MK-XS-F-175 uid → MK-XS-F-049 rewrapPassword
6. MK-CF-F-137 findPos → MK-CF-F-111 applyTransaction → MK-XS-F-175 uid → MK-XS-F-049 rewrapPassword
7. MK-CF-F-132 map → MK-CF-F-111 applyTransaction → MK-XS-F-175 uid → MK-XS-F-049 rewrapPassword
8. MK-CF-F-137 findPos → MK-CF-F-139 removeShares → MK-CF-F-111 applyTransaction → MK-XS-F-175 uid → MK-XS-F-049 rewrapPassword
9. … and 5 more paths</t>
        </is>
      </c>
      <c r="S581" s="3" t="inlineStr">
        <is>
          <t>—</t>
        </is>
      </c>
      <c r="T581" s="3" t="inlineStr">
        <is>
          <t>—</t>
        </is>
      </c>
      <c r="U581" s="3" t="inlineStr">
        <is>
          <t>ACTIVE</t>
        </is>
      </c>
      <c r="V581" s="3" t="inlineStr">
        <is>
          <t>2026-08-27</t>
        </is>
      </c>
      <c r="W581" s="3" t="n"/>
      <c r="X581" s="3" t="n"/>
      <c r="Y581" s="3" t="inlineStr">
        <is>
          <t>NOTHING OPEN</t>
        </is>
      </c>
    </row>
    <row r="582" ht="60" customHeight="1">
      <c r="A582" s="3" t="inlineStr">
        <is>
          <t>MK-XS-F-050</t>
        </is>
      </c>
      <c r="B582" s="3" t="inlineStr">
        <is>
          <t>rewrapRecovery</t>
        </is>
      </c>
      <c r="C582" s="3" t="inlineStr">
        <is>
          <t>src/services/dataCrypto.ts</t>
        </is>
      </c>
      <c r="D582" s="3" t="n">
        <v>402</v>
      </c>
      <c r="E582" s="3" t="inlineStr">
        <is>
          <t>3 · DEPENDENT</t>
        </is>
      </c>
      <c r="F582" s="3" t="inlineStr">
        <is>
          <t>Replace an envelope's recovery copy with a new recovery code (rotate the code).</t>
        </is>
      </c>
      <c r="G582" s="11" t="inlineStr">
        <is>
          <t>...env = ...env
r = wrap with secret(dek, uid, recovery code)</t>
        </is>
      </c>
      <c r="H582" s="3" t="inlineStr">
        <is>
          <t>...env = ...env; r = wrap with secret(dek, uid, recovery code).</t>
        </is>
      </c>
      <c r="I582" s="3" t="inlineStr">
        <is>
          <t>READ FROM THE CODE — rendered from the expressions the function runs</t>
        </is>
      </c>
      <c r="J582" s="3" t="inlineStr">
        <is>
          <t>1. env: KeyEnvelope
2. dek: string
3. uid: string
4. recoveryCode: string</t>
        </is>
      </c>
      <c r="K582" s="3" t="inlineStr">
        <is>
          <t>KeyEnvelope</t>
        </is>
      </c>
      <c r="L582" s="3" t="inlineStr">
        <is>
          <t>—</t>
        </is>
      </c>
      <c r="M582" s="3" t="inlineStr">
        <is>
          <t>None found in this function — anything it assumes comes from the functions it depends on.</t>
        </is>
      </c>
      <c r="N582" s="3" t="inlineStr">
        <is>
          <t>Yes</t>
        </is>
      </c>
      <c r="O582" s="3" t="inlineStr">
        <is>
          <t>1. MK-XS-F-175 uid
2. MK-XS-F-139 wrapWithSecret</t>
        </is>
      </c>
      <c r="P582" s="3" t="n">
        <v>84</v>
      </c>
      <c r="Q582" s="3" t="inlineStr">
        <is>
          <t>1. MK-XS-F-175 uid
2. MK-XS-F-139 wrapWithSecret
3. MK-ST-F-027 accountId
4. MK-CF-F-111 applyTransaction
5. MK-NW-F-040 assetsFromOnboarding
6. MK-PF-F-013 benchmarkTicker
7. MK-ST-F-028 buildDayFromAccounts
8. MK-PF-F-034 closeOnOrBefore
9. MK-CF-F-186 convertTakeHomeMode
10. MK-ST-F-079 dailyWindowStart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MK-XS-F-138 deriveKeyFromSecret
31. MK-XS-F-052 encryptWithKey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is>
      </c>
      <c r="R582" s="3" t="inlineStr">
        <is>
          <t>1. MK-ST-F-027 accountId → MK-XS-F-175 uid → MK-XS-F-050 rewrapRecovery
2. MK-CF-F-137 findPos → MK-CF-F-138 addLot → MK-CF-F-111 applyTransaction → MK-XS-F-175 uid → MK-XS-F-050 rewrapRecovery
3. MK-CF-F-132 map → MK-CF-F-138 addLot → MK-CF-F-111 applyTransaction → MK-XS-F-175 uid → MK-XS-F-050 rewrapRecovery
4. MK-ST-F-043 newEntityId → MK-CF-F-138 addLot → MK-CF-F-111 applyTransaction → MK-XS-F-175 uid → MK-XS-F-050 rewrapRecovery
5. MK-CF-F-134 usesSleeve → MK-CF-F-136 bumpCash → MK-CF-F-111 applyTransaction → MK-XS-F-175 uid → MK-XS-F-050 rewrapRecovery
6. MK-CF-F-137 findPos → MK-CF-F-111 applyTransaction → MK-XS-F-175 uid → MK-XS-F-050 rewrapRecovery
7. MK-CF-F-132 map → MK-CF-F-111 applyTransaction → MK-XS-F-175 uid → MK-XS-F-050 rewrapRecovery
8. MK-CF-F-137 findPos → MK-CF-F-139 removeShares → MK-CF-F-111 applyTransaction → MK-XS-F-175 uid → MK-XS-F-050 rewrapRecovery
9. … and 5 more paths</t>
        </is>
      </c>
      <c r="S582" s="3" t="inlineStr">
        <is>
          <t>—</t>
        </is>
      </c>
      <c r="T582" s="3" t="inlineStr">
        <is>
          <t>—</t>
        </is>
      </c>
      <c r="U582" s="3" t="inlineStr">
        <is>
          <t>ACTIVE</t>
        </is>
      </c>
      <c r="V582" s="3" t="inlineStr">
        <is>
          <t>2026-08-27</t>
        </is>
      </c>
      <c r="W582" s="3" t="n"/>
      <c r="X582" s="3" t="n"/>
      <c r="Y582" s="3" t="inlineStr">
        <is>
          <t>NOTHING OPEN</t>
        </is>
      </c>
    </row>
    <row r="583" ht="45" customHeight="1">
      <c r="A583" s="3" t="inlineStr">
        <is>
          <t>MK-XS-F-051</t>
        </is>
      </c>
      <c r="B583" s="3" t="inlineStr">
        <is>
          <t>isEncrypted</t>
        </is>
      </c>
      <c r="C583" s="3" t="inlineStr">
        <is>
          <t>src/services/dataCrypto.ts</t>
        </is>
      </c>
      <c r="D583" s="3" t="n">
        <v>429</v>
      </c>
      <c r="E583" s="3" t="inlineStr">
        <is>
          <t>3 · DEPENDENT</t>
        </is>
      </c>
      <c r="F583" s="3" t="inlineStr">
        <is>
          <t>── Low-level AES helpers (also used to wrap the DEK) ─────────────────</t>
        </is>
      </c>
      <c r="G583" s="11" t="inlineStr">
        <is>
          <t>typeof v = 'string' and (v as string).starts with(PREFIX)</t>
        </is>
      </c>
      <c r="H583" s="3" t="inlineStr">
        <is>
          <t>typeof v = 'string' and (v as string).starts with(PREFIX).</t>
        </is>
      </c>
      <c r="I583" s="3" t="inlineStr">
        <is>
          <t>PARTLY READ — some of the code is still showing through; needs a hand pass</t>
        </is>
      </c>
      <c r="J583" s="3" t="inlineStr">
        <is>
          <t>v: unknown</t>
        </is>
      </c>
      <c r="K583" s="3" t="inlineStr">
        <is>
          <t>boolean</t>
        </is>
      </c>
      <c r="L583" s="3" t="inlineStr">
        <is>
          <t>—</t>
        </is>
      </c>
      <c r="M583" s="3" t="inlineStr">
        <is>
          <t>None found in this function — anything it assumes comes from the functions it depends on.</t>
        </is>
      </c>
      <c r="N583" s="3" t="inlineStr">
        <is>
          <t>Yes</t>
        </is>
      </c>
      <c r="O583" s="3" t="inlineStr">
        <is>
          <t>—</t>
        </is>
      </c>
      <c r="P583" s="3" t="n">
        <v>0</v>
      </c>
      <c r="Q583" s="3" t="inlineStr">
        <is>
          <t>None — no dependent function stands behind it</t>
        </is>
      </c>
      <c r="R583" s="3" t="inlineStr">
        <is>
          <t>No dependent function — it reads its inputs and answers</t>
        </is>
      </c>
      <c r="S583" s="3" t="inlineStr">
        <is>
          <t>—</t>
        </is>
      </c>
      <c r="T583" s="3" t="inlineStr">
        <is>
          <t>—</t>
        </is>
      </c>
      <c r="U583" s="3" t="inlineStr">
        <is>
          <t>ACTIVE</t>
        </is>
      </c>
      <c r="V583" s="3" t="inlineStr">
        <is>
          <t>2026-08-27</t>
        </is>
      </c>
      <c r="W583" s="3" t="n"/>
      <c r="X583" s="3" t="n"/>
      <c r="Y583" s="3" t="inlineStr">
        <is>
          <t>NOTHING OPEN</t>
        </is>
      </c>
    </row>
    <row r="584" ht="60" customHeight="1">
      <c r="A584" s="3" t="inlineStr">
        <is>
          <t>MK-XS-F-052</t>
        </is>
      </c>
      <c r="B584" s="3" t="inlineStr">
        <is>
          <t>encryptWithKey</t>
        </is>
      </c>
      <c r="C584" s="3" t="inlineStr">
        <is>
          <t>src/services/dataCrypto.ts</t>
        </is>
      </c>
      <c r="D584" s="3" t="n">
        <v>454</v>
      </c>
      <c r="E584" s="3" t="inlineStr">
        <is>
          <t>3 · DEPENDENT</t>
        </is>
      </c>
      <c r="F584" s="3" t="inlineStr">
        <is>
          <t>NOT DETERMINED — the code carries no note saying what this is for, and it has no row in the old inventory. Needs reading.</t>
        </is>
      </c>
      <c r="G584" s="11" t="inlineStr">
        <is>
          <t>PREFIX + crypto js.AES.encrypt(JSON.stringify(obj), key hex).to string()</t>
        </is>
      </c>
      <c r="H584" s="3" t="inlineStr">
        <is>
          <t>PREFIX plus crypto js.AES.encrypt(JSON.stringify(obj), key hex).to string().</t>
        </is>
      </c>
      <c r="I584" s="3" t="inlineStr">
        <is>
          <t>PARTLY READ — some of the code is still showing through; needs a hand pass</t>
        </is>
      </c>
      <c r="J584" s="3" t="inlineStr">
        <is>
          <t>1. obj: unknown
2. keyHex: string</t>
        </is>
      </c>
      <c r="K584" s="3" t="inlineStr">
        <is>
          <t>string</t>
        </is>
      </c>
      <c r="L584" s="3" t="inlineStr">
        <is>
          <t>—</t>
        </is>
      </c>
      <c r="M584" s="3" t="inlineStr">
        <is>
          <t>None found in this function — anything it assumes comes from the functions it depends on.</t>
        </is>
      </c>
      <c r="N584" s="3" t="inlineStr">
        <is>
          <t>Yes</t>
        </is>
      </c>
      <c r="O584" s="3" t="inlineStr">
        <is>
          <t>—</t>
        </is>
      </c>
      <c r="P584" s="3" t="n">
        <v>0</v>
      </c>
      <c r="Q584" s="3" t="inlineStr">
        <is>
          <t>None — no dependent function stands behind it</t>
        </is>
      </c>
      <c r="R584" s="3" t="inlineStr">
        <is>
          <t>No dependent function — it reads its inputs and answers</t>
        </is>
      </c>
      <c r="S584" s="3" t="inlineStr">
        <is>
          <t>—</t>
        </is>
      </c>
      <c r="T584" s="3" t="inlineStr">
        <is>
          <t>—</t>
        </is>
      </c>
      <c r="U584" s="3" t="inlineStr">
        <is>
          <t>ACTIVE</t>
        </is>
      </c>
      <c r="V584" s="3" t="inlineStr">
        <is>
          <t>2026-08-27</t>
        </is>
      </c>
      <c r="W584" s="3" t="n"/>
      <c r="X584" s="3" t="n"/>
      <c r="Y584" s="3" t="inlineStr">
        <is>
          <t>NOTHING OPEN</t>
        </is>
      </c>
    </row>
    <row r="585" ht="60" customHeight="1">
      <c r="A585" s="3" t="inlineStr">
        <is>
          <t>MK-XS-F-053</t>
        </is>
      </c>
      <c r="B585" s="3" t="inlineStr">
        <is>
          <t>decryptWithKey</t>
        </is>
      </c>
      <c r="C585" s="3" t="inlineStr">
        <is>
          <t>src/services/dataCrypto.ts</t>
        </is>
      </c>
      <c r="D585" s="3" t="n">
        <v>485</v>
      </c>
      <c r="E585" s="3" t="inlineStr">
        <is>
          <t>3 · DEPENDENT</t>
        </is>
      </c>
      <c r="F585" s="3" t="inlineStr">
        <is>
          <t>Decrypt an 'enc:'-tagged blob.</t>
        </is>
      </c>
      <c r="G585" s="11" t="inlineStr">
        <is>
          <t>nothing   when !is encrypted(blob)
plain = crypto js.AES.decrypt(blob.slice(PREFIX.length), key hex).to string(crypto js.enc.utf8)
the answer:
JSON.parse(plain)   if plain
nothing   otherwise</t>
        </is>
      </c>
      <c r="H585" s="3" t="inlineStr">
        <is>
          <t>When !is encrypted(blob), it answers no answer. Plain is crypto js.AES.decrypt(blob.slice(PREFIX.length), key hex).to string(crypto js.enc.utf8). The answer is JSON.parse(plain) — when plain; no answer — otherwise.</t>
        </is>
      </c>
      <c r="I585" s="3" t="inlineStr">
        <is>
          <t>PARTLY READ — some of the code is still showing through; needs a hand pass</t>
        </is>
      </c>
      <c r="J585" s="3" t="inlineStr">
        <is>
          <t>1. blob: string
2. keyHex: string</t>
        </is>
      </c>
      <c r="K585" s="3" t="inlineStr">
        <is>
          <t>any | null</t>
        </is>
      </c>
      <c r="L585" s="3" t="inlineStr">
        <is>
          <t>—</t>
        </is>
      </c>
      <c r="M585" s="3" t="inlineStr">
        <is>
          <t>None found in this function — anything it assumes comes from the functions it depends on.</t>
        </is>
      </c>
      <c r="N585" s="3" t="inlineStr">
        <is>
          <t>Yes</t>
        </is>
      </c>
      <c r="O585" s="3" t="inlineStr">
        <is>
          <t>MK-XS-F-051 isEncrypted</t>
        </is>
      </c>
      <c r="P585" s="3" t="n">
        <v>1</v>
      </c>
      <c r="Q585" s="3" t="inlineStr">
        <is>
          <t>MK-XS-F-051 isEncrypted</t>
        </is>
      </c>
      <c r="R585" s="3" t="inlineStr">
        <is>
          <t>MK-XS-F-051 isEncrypted → MK-XS-F-053 decryptWithKey</t>
        </is>
      </c>
      <c r="S585" s="3" t="inlineStr">
        <is>
          <t>—</t>
        </is>
      </c>
      <c r="T585" s="3" t="inlineStr">
        <is>
          <t>—</t>
        </is>
      </c>
      <c r="U585" s="3" t="inlineStr">
        <is>
          <t>ACTIVE</t>
        </is>
      </c>
      <c r="V585" s="3" t="inlineStr">
        <is>
          <t>2026-08-27</t>
        </is>
      </c>
      <c r="W585" s="3" t="n"/>
      <c r="X585" s="3" t="n"/>
      <c r="Y585" s="3" t="inlineStr">
        <is>
          <t>NOTHING OPEN</t>
        </is>
      </c>
    </row>
    <row r="586" ht="60" customHeight="1">
      <c r="A586" s="3" t="inlineStr">
        <is>
          <t>MK-XS-F-054</t>
        </is>
      </c>
      <c r="B586" s="3" t="inlineStr">
        <is>
          <t>encryptForSync</t>
        </is>
      </c>
      <c r="C586" s="3" t="inlineStr">
        <is>
          <t>src/services/dataCrypto.ts</t>
        </is>
      </c>
      <c r="D586" s="3" t="n">
        <v>519</v>
      </c>
      <c r="E586" s="3" t="inlineStr">
        <is>
          <t>3 · DEPENDENT</t>
        </is>
      </c>
      <c r="F586" s="3" t="inlineStr">
        <is>
          <t>── The sync layer's interface (operates on the cached DEK) ─────────── Encrypt a payload with the cached DEK.</t>
        </is>
      </c>
      <c r="G586" s="11" t="inlineStr">
        <is>
          <t>key = await get data key()
the answer:
encrypt with key(obj, key)   if key
nothing   otherwise</t>
        </is>
      </c>
      <c r="H586" s="3" t="inlineStr">
        <is>
          <t>Key is await get data key(). The answer is encrypt with key(obj, key) — when key; no answer — otherwise.</t>
        </is>
      </c>
      <c r="I586" s="3" t="inlineStr">
        <is>
          <t>READ FROM THE CODE — rendered from the expressions the function runs</t>
        </is>
      </c>
      <c r="J586" s="3" t="inlineStr">
        <is>
          <t>obj: unknown</t>
        </is>
      </c>
      <c r="K586" s="3" t="inlineStr">
        <is>
          <t>Promise&lt;string | null&gt;</t>
        </is>
      </c>
      <c r="L586" s="3" t="inlineStr">
        <is>
          <t>—</t>
        </is>
      </c>
      <c r="M586" s="3" t="inlineStr">
        <is>
          <t>None found in this function — anything it assumes comes from the functions it depends on.</t>
        </is>
      </c>
      <c r="N586" s="3" t="inlineStr">
        <is>
          <t>Yes</t>
        </is>
      </c>
      <c r="O586" s="3" t="inlineStr">
        <is>
          <t>1. MK-XS-F-052 encryptWithKey
2. MK-XS-F-042 getDataKey</t>
        </is>
      </c>
      <c r="P586" s="3" t="n">
        <v>3</v>
      </c>
      <c r="Q586" s="3" t="inlineStr">
        <is>
          <t>1. MK-XS-F-052 encryptWithKey
2. MK-XS-F-042 getDataKey
3. MK-XS-F-135 secureGet</t>
        </is>
      </c>
      <c r="R586" s="3" t="inlineStr">
        <is>
          <t>1. MK-XS-F-052 encryptWithKey → MK-XS-F-054 encryptForSync
2. MK-XS-F-135 secureGet → MK-XS-F-042 getDataKey → MK-XS-F-054 encryptForSync</t>
        </is>
      </c>
      <c r="S586" s="3" t="inlineStr">
        <is>
          <t>—</t>
        </is>
      </c>
      <c r="T586" s="3" t="inlineStr">
        <is>
          <t>—</t>
        </is>
      </c>
      <c r="U586" s="3" t="inlineStr">
        <is>
          <t>ACTIVE</t>
        </is>
      </c>
      <c r="V586" s="3" t="inlineStr">
        <is>
          <t>2026-08-27</t>
        </is>
      </c>
      <c r="W586" s="3" t="n"/>
      <c r="X586" s="3" t="n"/>
      <c r="Y586" s="3" t="inlineStr">
        <is>
          <t>NOTHING OPEN</t>
        </is>
      </c>
    </row>
    <row r="587" ht="60" customHeight="1">
      <c r="A587" s="3" t="inlineStr">
        <is>
          <t>MK-XS-F-055</t>
        </is>
      </c>
      <c r="B587" s="3" t="inlineStr">
        <is>
          <t>decryptFromSync</t>
        </is>
      </c>
      <c r="C587" s="3" t="inlineStr">
        <is>
          <t>src/services/dataCrypto.ts</t>
        </is>
      </c>
      <c r="D587" s="3" t="n">
        <v>549</v>
      </c>
      <c r="E587" s="3" t="inlineStr">
        <is>
          <t>3 · DEPENDENT</t>
        </is>
      </c>
      <c r="F587" s="3" t="inlineStr">
        <is>
          <t>Decrypt a synced value: ciphertext → object; legacy plaintext object → returned as-is; null if it's ciphertext we can't decrypt (no key).</t>
        </is>
      </c>
      <c r="G587" s="11" t="inlineStr">
        <is>
          <t>nothing   when value = nothing
value   when !is encrypted(value)
key = await get data key()
the answer:
decrypt with key(value as string, key)   if key
nothing   otherwise</t>
        </is>
      </c>
      <c r="H587" s="3" t="inlineStr">
        <is>
          <t>When value is missing, it answers no answer. When !is encrypted(value), it answers value. Key is await get data key(). The answer is decrypt with key(value as string, key) — when key; no answer — otherwise.</t>
        </is>
      </c>
      <c r="I587" s="3" t="inlineStr">
        <is>
          <t>READ FROM THE CODE — rendered from the expressions the function runs</t>
        </is>
      </c>
      <c r="J587" s="3" t="inlineStr">
        <is>
          <t>value: unknown</t>
        </is>
      </c>
      <c r="K587" s="3" t="inlineStr">
        <is>
          <t>Promise&lt;any | null&gt;</t>
        </is>
      </c>
      <c r="L587" s="3" t="inlineStr">
        <is>
          <t>—</t>
        </is>
      </c>
      <c r="M587" s="3" t="inlineStr">
        <is>
          <t>None found in this function — anything it assumes comes from the functions it depends on.</t>
        </is>
      </c>
      <c r="N587" s="3" t="inlineStr">
        <is>
          <t>Yes</t>
        </is>
      </c>
      <c r="O587" s="3" t="inlineStr">
        <is>
          <t>1. MK-XS-F-053 decryptWithKey
2. MK-XS-F-042 getDataKey
3. MK-XS-F-051 isEncrypted</t>
        </is>
      </c>
      <c r="P587" s="3" t="n">
        <v>4</v>
      </c>
      <c r="Q587" s="3" t="inlineStr">
        <is>
          <t>1. MK-XS-F-053 decryptWithKey
2. MK-XS-F-042 getDataKey
3. MK-XS-F-051 isEncrypted
4. MK-XS-F-135 secureGet</t>
        </is>
      </c>
      <c r="R587" s="3" t="inlineStr">
        <is>
          <t>1. MK-XS-F-051 isEncrypted → MK-XS-F-053 decryptWithKey → MK-XS-F-055 decryptFromSync
2. MK-XS-F-135 secureGet → MK-XS-F-042 getDataKey → MK-XS-F-055 decryptFromSync
3. MK-XS-F-051 isEncrypted → MK-XS-F-055 decryptFromSync</t>
        </is>
      </c>
      <c r="S587" s="3" t="inlineStr">
        <is>
          <t>—</t>
        </is>
      </c>
      <c r="T587" s="3" t="inlineStr">
        <is>
          <t>—</t>
        </is>
      </c>
      <c r="U587" s="3" t="inlineStr">
        <is>
          <t>ACTIVE</t>
        </is>
      </c>
      <c r="V587" s="3" t="inlineStr">
        <is>
          <t>2026-08-27</t>
        </is>
      </c>
      <c r="W587" s="3" t="n"/>
      <c r="X587" s="3" t="n"/>
      <c r="Y587" s="3" t="inlineStr">
        <is>
          <t>NOTHING OPEN</t>
        </is>
      </c>
    </row>
    <row r="588" ht="60" customHeight="1">
      <c r="A588" s="3" t="inlineStr">
        <is>
          <t>MK-XS-F-056</t>
        </is>
      </c>
      <c r="B588" s="3" t="inlineStr">
        <is>
          <t>fetchEconomicData</t>
        </is>
      </c>
      <c r="C588" s="3" t="inlineStr">
        <is>
          <t>src/services/economicData.ts</t>
        </is>
      </c>
      <c r="D588" s="3" t="n">
        <v>69</v>
      </c>
      <c r="E588" s="3" t="inlineStr">
        <is>
          <t>3 · DEPENDENT (feeds an action only)</t>
        </is>
      </c>
      <c r="F588" s="3" t="inlineStr">
        <is>
          <t>What are inflation and the 10-year Treasury yield?</t>
        </is>
      </c>
      <c r="G588" s="11" t="inlineStr">
        <is>
          <t>inflation rate = the fetched figure, or the fallback when the fetch failed
treasury yield = the fetched figure, or the fallback when the fetch failed
fetched at = now; each fallback flagged</t>
        </is>
      </c>
      <c r="H588" s="3" t="inlineStr">
        <is>
          <t>Fetches the inflation rate and the ten-year Treasury yield; when either fetch fails its fallback is used and FLAGGED as a fallback, never passed off as live.</t>
        </is>
      </c>
      <c r="I588" s="3" t="inlineStr">
        <is>
          <t>READ BY HAND 2026-08-26 — checked line by line against the code</t>
        </is>
      </c>
      <c r="J588" s="3" t="inlineStr">
        <is>
          <t>Nothing is handed to it</t>
        </is>
      </c>
      <c r="K588" s="3" t="inlineStr">
        <is>
          <t>Promise&lt;EconomicData&gt;</t>
        </is>
      </c>
      <c r="L588" s="3" t="inlineStr">
        <is>
          <t>—</t>
        </is>
      </c>
      <c r="M588" s="3" t="inlineStr">
        <is>
          <t>· Uses today's date from the device clock, so the answer changes by itself overnight.</t>
        </is>
      </c>
      <c r="N588" s="3" t="inlineStr">
        <is>
          <t>No</t>
        </is>
      </c>
      <c r="O588" s="3" t="inlineStr">
        <is>
          <t>1. MK-XS-F-140 fetchInflation
2. MK-XS-F-141 fetchTreasuryYield</t>
        </is>
      </c>
      <c r="P588" s="3" t="n">
        <v>2</v>
      </c>
      <c r="Q588" s="3" t="inlineStr">
        <is>
          <t>1. MK-XS-F-140 fetchInflation
2. MK-XS-F-141 fetchTreasuryYield</t>
        </is>
      </c>
      <c r="R588" s="3" t="inlineStr">
        <is>
          <t>1. MK-XS-F-140 fetchInflation → MK-XS-F-056 fetchEconomicData
2. MK-XS-F-141 fetchTreasuryYield → MK-XS-F-056 fetchEconomicData</t>
        </is>
      </c>
      <c r="S588" s="3" t="inlineStr">
        <is>
          <t>—</t>
        </is>
      </c>
      <c r="T588" s="3" t="inlineStr">
        <is>
          <t>ECONOMIC_FIGURES</t>
        </is>
      </c>
      <c r="U588" s="3" t="inlineStr">
        <is>
          <t>ACTIVE</t>
        </is>
      </c>
      <c r="V588" s="3" t="inlineStr">
        <is>
          <t>2026-09-12</t>
        </is>
      </c>
      <c r="W588" s="3" t="n"/>
      <c r="X588" s="3" t="n"/>
      <c r="Y588" s="3" t="inlineStr">
        <is>
          <t>NOTHING OPEN</t>
        </is>
      </c>
    </row>
    <row r="589" ht="60" customHeight="1">
      <c r="A589" s="3" t="inlineStr">
        <is>
          <t>MK-XS-F-057</t>
        </is>
      </c>
      <c r="B589" s="3" t="inlineStr">
        <is>
          <t>analyzeExpenses</t>
        </is>
      </c>
      <c r="C589" s="3" t="inlineStr">
        <is>
          <t>src/services/economicData.ts</t>
        </is>
      </c>
      <c r="D589" s="3" t="n">
        <v>202</v>
      </c>
      <c r="E589" s="3" t="inlineStr">
        <is>
          <t>4 · BRINGS DATA IN</t>
        </is>
      </c>
      <c r="F589" s="3" t="inlineStr">
        <is>
          <t>What is worth saying about this expenses?</t>
        </is>
      </c>
      <c r="G589" s="11" t="inlineStr">
        <is>
          <t>data = await res.json()
the answer = data as expense analysis</t>
        </is>
      </c>
      <c r="H589" s="3" t="inlineStr">
        <is>
          <t>Data is await res.json(). The answer is data as expense analysis.</t>
        </is>
      </c>
      <c r="I589" s="3" t="inlineStr">
        <is>
          <t>PARTLY READ — some of the code is still showing through; needs a hand pass</t>
        </is>
      </c>
      <c r="J589" s="3" t="inlineStr">
        <is>
          <t>Nothing is handed to it</t>
        </is>
      </c>
      <c r="K589" s="3" t="inlineStr">
        <is>
          <t>NOT DECLARED — the code does not say what it gives back</t>
        </is>
      </c>
      <c r="L589" s="3" t="inlineStr">
        <is>
          <t>—</t>
        </is>
      </c>
      <c r="M589" s="3" t="inlineStr">
        <is>
          <t>None found in this function — anything it assumes comes from the functions it depends on.</t>
        </is>
      </c>
      <c r="N589" s="3" t="inlineStr">
        <is>
          <t>No</t>
        </is>
      </c>
      <c r="O589" s="3" t="inlineStr">
        <is>
          <t>MK-CF-O-002 expenses</t>
        </is>
      </c>
      <c r="P589" s="3" t="n">
        <v>15</v>
      </c>
      <c r="Q589" s="3" t="inlineStr">
        <is>
          <t>1. MK-CF-O-002 expenses
2. MK-CF-F-151 actualSpending
3. MK-CF-F-150 debtPaymentsCountedAsExpenses
4. MK-CF-F-153 radar
5. MK-CF-F-149 recurringDebtPayments
6. MK-CF-F-148 inMonth
7. MK-ST-F-052 toNum
8. MK-CF-F-191 ym
9. MK-ST-F-056 has
10. MK-CF-F-022 paymentShape
11. MK-CF-F-152 isRadarItem
12. MK-CF-F-023 requiredPayment
13. MK-CF-F-132 map
14. MK-XS-F-122 n
15. MK-CF-F-021 defaultPaymentType</t>
        </is>
      </c>
      <c r="R589" s="3" t="inlineStr">
        <is>
          <t>1. MK-CF-F-191 ym → MK-CF-F-148 inMonth → MK-CF-F-151 actualSpending → MK-CF-O-002 expenses → MK-XS-F-057 analyzeExpenses
2. MK-XS-F-122 n → MK-ST-F-052 toNum → MK-CF-F-151 actualSpending → MK-CF-O-002 expenses → MK-XS-F-057 analyzeExpenses
3. MK-CF-F-191 ym → MK-CF-F-151 actualSpending → MK-CF-O-002 expenses → MK-XS-F-057 analyzeExpenses
4. MK-ST-F-056 has → MK-CF-F-150 debtPaymentsCountedAsExpenses → MK-CF-O-002 expenses → MK-XS-F-057 analyzeExpenses
5. MK-CF-F-191 ym → MK-CF-F-148 inMonth → MK-CF-F-150 debtPaymentsCountedAsExpenses → MK-CF-O-002 expenses → MK-XS-F-057 analyzeExpenses
6. MK-CF-F-021 defaultPaymentType → MK-CF-F-022 paymentShape → MK-CF-F-150 debtPaymentsCountedAsExpenses → MK-CF-O-002 expenses → MK-XS-F-057 analyzeExpenses
7. MK-XS-F-122 n → MK-ST-F-052 toNum → MK-CF-F-150 debtPaymentsCountedAsExpenses → MK-CF-O-002 expenses → MK-XS-F-057 analyzeExpenses
8. MK-CF-F-191 ym → MK-CF-F-150 debtPaymentsCountedAsExpenses → MK-CF-O-002 expenses → MK-XS-F-057 analyzeExpenses
9. … and 4 more paths</t>
        </is>
      </c>
      <c r="S589" s="3" t="inlineStr">
        <is>
          <t>—</t>
        </is>
      </c>
      <c r="T589" s="3" t="inlineStr">
        <is>
          <t>EXPENSE_COMMENTARY</t>
        </is>
      </c>
      <c r="U589" s="3" t="inlineStr">
        <is>
          <t>ACTIVE</t>
        </is>
      </c>
      <c r="V589" s="3" t="inlineStr">
        <is>
          <t>2026-08-27</t>
        </is>
      </c>
      <c r="W589" s="3" t="n"/>
      <c r="X589" s="3" t="n"/>
      <c r="Y589" s="3" t="inlineStr">
        <is>
          <t>NOTHING OPEN</t>
        </is>
      </c>
    </row>
    <row r="590" ht="60" customHeight="1">
      <c r="A590" s="3" t="inlineStr">
        <is>
          <t>MK-XS-F-058</t>
        </is>
      </c>
      <c r="B590" s="3" t="inlineStr">
        <is>
          <t>parseReceipt</t>
        </is>
      </c>
      <c r="C590" s="3" t="inlineStr">
        <is>
          <t>src/services/receiptScan.ts</t>
        </is>
      </c>
      <c r="D590" s="3" t="n">
        <v>106</v>
      </c>
      <c r="E590" s="3" t="inlineStr">
        <is>
          <t>3 · DEPENDENT</t>
        </is>
      </c>
      <c r="F590" s="3" t="inlineStr">
        <is>
          <t>Heuristic parse of receipt text → total amount + merchant.</t>
        </is>
      </c>
      <c r="G590" s="11" t="inlineStr">
        <is>
          <t>lines = for each of text.split( ÷ \r?\n ÷ ): trim() where boolean
merchant = lines.find((l) =&gt; ÷ [A − za − z]{3,} ÷ .test(l))
amt re = ÷ (\d{1,3}(?:,\d{3}) × \.\d{2}) ÷
to num = (s: string) =&gt; parse float(replace( ÷ , ÷ g, ''))
payment = ÷ \b(cash|tender|tendered|change|paid|payment|visa|mastercard|amex|discover|debit|credit|card|auth|approval|account)\b ÷ i
strong = ÷ \b(grand\s × total|amount\s × due|balance\s × due|total\s × due|balance|net)\b ÷ i
weak = ÷ \btotal\b ÷ i
sub = ÷ \bsub\s × -?\s × total\b ÷ i
savings hdr = ÷ \b(your\s+savings|total\s+savings|savings\s+value|your\s+points|rewards?|cash\s × off|coupons?)\b ÷ i
negative = ÷ -\s × \$?\s × \d ÷
safe amounts = []
… the first steps only — the rest of the body needs reading by hand.</t>
        </is>
      </c>
      <c r="H590" s="3" t="inlineStr">
        <is>
          <t>Lines is for each of text.split( divided by \r?\n divided by ): trim() where boolean. Merchant is lines.find((l) =&gt; divided by [A minus za minus z]{3,} divided by .test(l)). Amt re is ÷ (\d{1,3}(?:,\d{3}) times \.\d{2}) ÷. To num is (s: string) =&gt; parse float(replace( divided by , divided by g, '')). Payment is ÷ \b(cash|tender|tendered|change|paid|payment|visa|mastercard|amex|discover|debit|credit|card|auth|approval|account)\b divided by i. Strong is ÷ \b(grand\s times total|amount\s times due|balance\s times due|total\s times due|balance|net)\b divided by i. Weak is ÷ \btotal\b divided by i. Sub is ÷ \bsub\s times -?\s times total\b divided by i. Savings hdr is ÷ \b(your\s+savings|total\s+savings|savings\s+value|your\s+points|rewards?|cash\s times off|coupons?)\b divided by i. Negative is ÷ -\s times \$?\s times \d ÷. Safe amounts is []. Only the first steps are shown; the rest of the body needs reading by hand.</t>
        </is>
      </c>
      <c r="I590" s="3" t="inlineStr">
        <is>
          <t>PARTLY READ — some of the code is still showing through; needs a hand pass</t>
        </is>
      </c>
      <c r="J590" s="3" t="inlineStr">
        <is>
          <t>text: string</t>
        </is>
      </c>
      <c r="K590" s="3" t="inlineStr">
        <is>
          <t>NOT DECLARED — the code does not say what it gives back</t>
        </is>
      </c>
      <c r="L590" s="3" t="inlineStr">
        <is>
          <t>—</t>
        </is>
      </c>
      <c r="M590" s="3" t="inlineStr">
        <is>
          <t>None found in this function — anything it assumes comes from the functions it depends on.</t>
        </is>
      </c>
      <c r="N590" s="3" t="inlineStr">
        <is>
          <t>Yes</t>
        </is>
      </c>
      <c r="O590" s="3" t="inlineStr">
        <is>
          <t>1. MK-CF-F-204 line
2. MK-CF-F-132 map
3. MK-XS-F-093 stripNonMoney
4. MK-ST-F-052 toNum</t>
        </is>
      </c>
      <c r="P590" s="3" t="n">
        <v>102</v>
      </c>
      <c r="Q590" s="3" t="inlineStr">
        <is>
          <t>1. MK-CF-F-204 line
2. MK-CF-F-132 map
3. MK-XS-F-093 stripNonMoney
4. MK-ST-F-052 toNum
5. MK-CF-F-203 MONTH
6. MK-XS-F-180 declareFigures
7. MK-XS-F-122 n
8. MK-CF-O-010 theMonth
9. MK-CF-F-155 cash
10. MK-CF-O-002 expenses
11. MK-CF-O-003 thisMonth
12. MK-CF-F-151 actualSpending
13. MK-CF-F-150 debtPaymentsCountedAsExpenses
14. MK-CF-F-153 radar
15. MK-CF-F-149 recurringDebtPayments
16. MK-CF-F-005 actualMonthFlow
17. MK-CF-F-156 plannedMonthFlow
18. MK-CF-F-148 inMonth
19. MK-CF-F-191 ym
20. MK-ST-F-056 has
21. MK-CF-F-022 paymentShape
22. MK-CF-F-152 isRadarItem
23. MK-CF-F-023 requiredPayment
24. MK-NW-F-078 ONE
25. MK-CF-F-157 debtPaymentsByDebt
26. MK-CF-F-192 inflowLabel
27. MK-XS-F-027 takeHomeMonthly
28. MK-CF-F-021 defaultPaymentType
29. MK-NW-F-077 ALL
30. MK-NW-F-059 currentYield
31. MK-ST-F-049 formatMoney
32. MK-ST-F-053 money
33. MK-NW-O-001 theBonds
34. MK-CF-F-193 inflowSourceWord
35. MK-CF-F-092 incomeMonthlyGrid
36. MK-CF-F-011 savingsByMonth
37. MK-NW-F-057 annualCoupon
38. MK-ST-F-048 currencySymbol
39. MK-ST-F-039 on
40. MK-ST-F-027 accountId
41. MK-NW-F-056 bondInfo
42. MK-NW-F-064 bondRateSensitivity
43. MK-NW-F-061 bondSummary
44. MK-NW-F-055 isBond
45. MK-NW-F-072 rowOf
46. MK-CF-F-069 benefitActiveMonths
47. MK-CF-F-072 currentRetirementIncomeMonthly
48. MK-CF-F-173 earnerWages
49. MK-CF-F-065 equityVestWeights
50. MK-CF-F-071 extraIncome
51. MK-CF-F-206 householdK401ByMonth
52. MK-CF-F-087 monthlyTaxRates
53. MK-CF-F-073 otherIncomeMonth
54. MK-CF-F-181 rateInForce
55. MK-CF-F-068 rentalNetAnnual
56. MK-CF-F-066 rsuAnnual
57. MK-CF-F-060 salaryGrossByMonth
58. MK-CF-F-077 scholarshipByCalendarMonth
59. MK-CF-F-088 taxableByCalendarMonth
60. MK-CF-F-177 wageGrossByMonth
61. MK-PL-F-012 waterfall
62. MK-CF-F-008 spendByMonth
63. MK-ST-F-047 activeCurrency
64. MK-NW-F-060 approxYTM
65. MK-NW-F-069 priceAtYield
66. MK-NW-F-011 assetClassOf
67. MK-NW-F-070 accruedInterestCaveat
68. MK-NW-F-071 isCertificateOfDeposit
69. MK-NW-F-058 yearsToMaturity
70. MK-CF-F-075 retirementIncomeMonthly
71. MK-CF-F-172 hasWage
72. MK-CF-F-062 equityRowValue
73. MK-CF-F-070 benefitAnnual
74. MK-CF-F-176 sumMonthsOverEarners
75. MK-CF-F-090 effectiveRate
76. MK-CF-F-180 enteredLandsAnnual
77. MK-CF-F-085 filingStatusOf
78. MK-CF-F-089 over65CountOf
79. MK-CF-F-082 salaryAnnual
80. MK-CF-F-086 stateRateOf
81. MK-CF-F-101 taxOwedFor
82. MK-CF-F-084 taxableAnnual
83. MK-CF-F-067 rentalList
84. MK-CF-F-063 rowVestYear
85. MK-CF-F-130 enteredMonthlyRaw
86. MK-CF-F-166 hasMonthlySalaryTable
87. MK-ST-F-036 reconcile
88. MK-CF-F-167 salaryCalendarYear
89. MK-CF-F-120 pctBaseMonthly
90. MK-CF-F-004 spendBuckets
91. MK-NW-F-008 incomeBearingClassOf
92. MK-CF-F-100 taxableIncomeFor
93. MK-CF-F-074 tipsAnnual
94. MK-CF-F-165 salaryMonths
95. MK-CF-F-003 categoryMonthly
96. MK-ST-F-010 nameEvidence
97. MK-CF-F-099 deductionFor
98. MK-CF-F-081 salaryActiveMonths
99. MK-XS-F-147 call
100. MK-CF-F-187 seniorDeductionFor
101. MK-XS-F-064 currentIdToken
102. MK-XS-F-112 relayUrl</t>
        </is>
      </c>
      <c r="R590" s="3" t="inlineStr">
        <is>
          <t>1. MONTH (already above — a loop) → MK-CF-O-010 theMonth → MK-CF-F-203 MONTH → MK-CF-F-204 line → MK-XS-F-058 parseReceipt
2. MK-XS-F-122 n → MK-CF-F-155 cash → MK-CF-O-010 theMonth → MK-CF-F-203 MONTH → MK-CF-F-204 line → MK-XS-F-058 parseReceipt
3. MK-CF-F-151 actualSpending → MK-CF-O-002 expenses → MK-CF-O-010 theMonth → MK-CF-F-203 MONTH → MK-CF-F-204 line → MK-XS-F-058 parseReceipt
4. MK-CF-F-150 debtPaymentsCountedAsExpenses → MK-CF-O-002 expenses → MK-CF-O-010 theMonth → MK-CF-F-203 MONTH → MK-CF-F-204 line → MK-XS-F-058 parseReceipt
5. MK-CF-F-153 radar → MK-CF-O-002 expenses → MK-CF-O-010 theMonth → MK-CF-F-203 MONTH → MK-CF-F-204 line → MK-XS-F-058 parseReceipt
6. MK-CF-F-149 recurringDebtPayments → MK-CF-O-002 expenses → MK-CF-O-010 theMonth → MK-CF-F-203 MONTH → MK-CF-F-204 line → MK-XS-F-058 parseReceipt
7. MK-CF-F-005 actualMonthFlow → MK-CF-O-003 thisMonth → MK-CF-O-010 theMonth → MK-CF-F-203 MONTH → MK-CF-F-204 line → MK-XS-F-058 parseReceipt
8. MK-CF-F-156 plannedMonthFlow → MK-CF-O-003 thisMonth → MK-CF-O-010 theMonth → MK-CF-F-203 MONTH → MK-CF-F-204 line → MK-XS-F-058 parseReceipt
9. … and 4 more paths</t>
        </is>
      </c>
      <c r="S590" s="3" t="inlineStr">
        <is>
          <t>—</t>
        </is>
      </c>
      <c r="T590" s="3" t="inlineStr">
        <is>
          <t>READ_A_RECEIPT</t>
        </is>
      </c>
      <c r="U590" s="3" t="inlineStr">
        <is>
          <t>ACTIVE</t>
        </is>
      </c>
      <c r="V590" s="3" t="inlineStr">
        <is>
          <t>2026-08-27</t>
        </is>
      </c>
      <c r="W590" s="3" t="n"/>
      <c r="X590" s="3" t="n"/>
      <c r="Y590" s="3" t="inlineStr">
        <is>
          <t>NOTHING OPEN</t>
        </is>
      </c>
    </row>
    <row r="591" ht="60" customHeight="1">
      <c r="A591" s="3" t="inlineStr">
        <is>
          <t>MK-XS-F-059</t>
        </is>
      </c>
      <c r="B591" s="3" t="inlineStr">
        <is>
          <t>readFileString</t>
        </is>
      </c>
      <c r="C591" s="3" t="inlineStr">
        <is>
          <t>src/services/fileRead.ts</t>
        </is>
      </c>
      <c r="D591" s="3" t="n">
        <v>22</v>
      </c>
      <c r="E591" s="3" t="inlineStr">
        <is>
          <t>4 · BRINGS DATA IN</t>
        </is>
      </c>
      <c r="F591" s="3" t="inlineStr">
        <is>
          <t>NOT DETERMINED — the code carries no note saying what this is for, and it has no row in the old inventory. Needs reading.</t>
        </is>
      </c>
      <c r="G591" s="11" t="inlineStr">
        <is>
          <t>read as string async(uri, { encoding: encoding = 'base64' ? encoding type.base64 : encoding type.UTF8 })</t>
        </is>
      </c>
      <c r="H591" s="3" t="inlineStr">
        <is>
          <t>read as string async(uri, { encoding: encoding = 'base64' ? encoding type.base64 : encoding type.UTF8 }).</t>
        </is>
      </c>
      <c r="I591" s="3" t="inlineStr">
        <is>
          <t>READ FROM THE CODE — rendered from the expressions the function runs</t>
        </is>
      </c>
      <c r="J591" s="3" t="inlineStr">
        <is>
          <t>1. uri: string
2. encoding: 'utf8' | 'base64' = 'utf8'</t>
        </is>
      </c>
      <c r="K591" s="3" t="inlineStr">
        <is>
          <t>Promise&lt;string&gt;</t>
        </is>
      </c>
      <c r="L591" s="3" t="inlineStr">
        <is>
          <t>—</t>
        </is>
      </c>
      <c r="M591" s="3" t="inlineStr">
        <is>
          <t>None found in this function — anything it assumes comes from the functions it depends on.</t>
        </is>
      </c>
      <c r="N591" s="3" t="inlineStr">
        <is>
          <t>Yes</t>
        </is>
      </c>
      <c r="O591" s="3" t="inlineStr">
        <is>
          <t>—</t>
        </is>
      </c>
      <c r="P591" s="3" t="n">
        <v>0</v>
      </c>
      <c r="Q591" s="3" t="inlineStr">
        <is>
          <t>None — no dependent function stands behind it</t>
        </is>
      </c>
      <c r="R591" s="3" t="inlineStr">
        <is>
          <t>No dependent function — it reads its inputs and answers</t>
        </is>
      </c>
      <c r="S591" s="3" t="inlineStr">
        <is>
          <t>—</t>
        </is>
      </c>
      <c r="T591" s="3" t="inlineStr">
        <is>
          <t>—</t>
        </is>
      </c>
      <c r="U591" s="3" t="inlineStr">
        <is>
          <t>ACTIVE</t>
        </is>
      </c>
      <c r="V591" s="3" t="inlineStr">
        <is>
          <t>2026-08-27</t>
        </is>
      </c>
      <c r="W591" s="3" t="n"/>
      <c r="X591" s="3" t="n"/>
      <c r="Y591" s="3" t="inlineStr">
        <is>
          <t>NOTHING OPEN</t>
        </is>
      </c>
    </row>
    <row r="592" ht="60" customHeight="1">
      <c r="A592" s="3" t="inlineStr">
        <is>
          <t>MK-XS-F-060</t>
        </is>
      </c>
      <c r="B592" s="3" t="inlineStr">
        <is>
          <t>registerUser</t>
        </is>
      </c>
      <c r="C592" s="3" t="inlineStr">
        <is>
          <t>src/services/firebase.ts</t>
        </is>
      </c>
      <c r="D592" s="3" t="n">
        <v>88</v>
      </c>
      <c r="E592" s="3" t="inlineStr">
        <is>
          <t>2 · DISPLAYED</t>
        </is>
      </c>
      <c r="F592" s="3" t="inlineStr">
        <is>
          <t>Returns the new user AND a one-time recovery code the caller MUST show the user to save.</t>
        </is>
      </c>
      <c r="G592" s="11" t="inlineStr">
        <is>
          <t>cred = await create user with email and password(auth, email, password)
dek = generate data key()
recovery code = generate recovery code()
key envelope = make envelope(dek, cred.user.uid, password, recovery code)
the answer:
user = cred.user
recovery code = recovery code</t>
        </is>
      </c>
      <c r="H592" s="3" t="inlineStr">
        <is>
          <t>Cred is await create user with email and password(auth, email, password). Dek is generate data key(). Recovery code is generate recovery code(). Key envelope is make envelope(dek, cred.user.uid, password, recovery code). The answer is user = cred.user; recovery code = recovery code.</t>
        </is>
      </c>
      <c r="I592" s="3" t="inlineStr">
        <is>
          <t>READ FROM THE CODE — rendered from the expressions the function runs</t>
        </is>
      </c>
      <c r="J592" s="3" t="inlineStr">
        <is>
          <t>1. email: string
2. password: string
3. name: string
4. onCodeReady?: (code: string) =&gt; void</t>
        </is>
      </c>
      <c r="K592" s="3" t="inlineStr">
        <is>
          <t>NOT DECLARED — the code does not say what it gives back</t>
        </is>
      </c>
      <c r="L592" s="3" t="inlineStr">
        <is>
          <t>NOT FOUND — a screen calls it, but the words printed beside its answer could not be traced automatically. Needs reading.</t>
        </is>
      </c>
      <c r="M592" s="3" t="inlineStr">
        <is>
          <t>None found in this function — anything it assumes comes from the functions it depends on.</t>
        </is>
      </c>
      <c r="N592" s="3" t="inlineStr">
        <is>
          <t>Yes</t>
        </is>
      </c>
      <c r="O592" s="3" t="inlineStr">
        <is>
          <t>1. MK-XS-F-041 cacheDataKey
2. MK-XS-F-044 generateDataKey
3. MK-XS-F-045 generateRecoveryCode
4. MK-XS-F-046 makeEnvelope
5. MK-XS-F-175 uid</t>
        </is>
      </c>
      <c r="P592" s="3" t="n">
        <v>89</v>
      </c>
      <c r="Q592" s="3" t="inlineStr">
        <is>
          <t>1. MK-XS-F-041 cacheDataKey
2. MK-XS-F-044 generateDataKey
3. MK-XS-F-045 generateRecoveryCode
4. MK-XS-F-046 makeEnvelope
5. MK-XS-F-175 uid
6. MK-XS-F-136 secureSet
7. MK-XS-F-139 wrapWithSecret
8. MK-ST-F-027 accountId
9. MK-CF-F-111 applyTransaction
10. MK-NW-F-040 assetsFromOnboarding
11. MK-PF-F-013 benchmarkTicker
12. MK-ST-F-028 buildDayFromAccounts
13. MK-PF-F-034 closeOnOrBefore
14. MK-CF-F-186 convertTakeHomeMode
15. MK-ST-F-079 dailyWindowStart
16. MK-CF-F-038 debtsFromOnboarding
17. MK-XS-F-083 fetchPriceSeries
18. MK-PL-F-013 goalsFromOnboarding
19. MK-ST-F-056 has
20. MK-CF-F-116 inverseOf
21. MK-ST-F-065 isoLocalDate
22. MK-CF-F-112 makeTransaction
23. MK-CF-F-132 map
24. MK-XS-F-122 n
25. MK-ST-F-043 newEntityId
26. MK-XS-F-006 pruneDaily
27. MK-ST-F-073 rebuildDays
28. MK-NW-F-054 reclassifyAccounts
29. MK-XS-F-174 recomputeBalances
30. MK-CF-F-115 restoreUndo
31. MK-CF-F-109 reviewTransactions
32. MK-ST-F-044 setMoneyFormat
33. MK-CF-F-114 undoSnapshot
34. MK-CF-F-191 ym
35. MK-XS-F-138 deriveKeyFromSecret
36. MK-XS-F-052 encryptWithKey
37. MK-CF-F-138 addLot
38. MK-CF-F-136 bumpCash
39. MK-CF-F-137 findPos
40. MK-CF-F-139 removeShares
41. MK-PF-F-001 totalShares
42. MK-ST-F-052 toNum
43. MK-ST-F-053 money
44. MK-CF-F-085 filingStatusOf
45. MK-CF-F-097 grossFromNet
46. MK-CF-F-185 needsTakeHomeConversion
47. MK-CF-F-089 over65CountOf
48. MK-CF-F-037 inferDebtType
49. MK-ST-F-069 amountOf
50. MK-CF-F-133 cashOf
51. MK-ST-F-066 isDayKey
52. MK-ST-F-070 isOpening
53. MK-ST-F-071 rebuildableFrom
54. MK-ST-F-068 stepDay
55. MK-ST-F-072 undo
56. MK-NW-F-053 correctClassOf
57. MK-NW-F-008 incomeBearingClassOf
58. MK-PF-F-002 costBasis
59. MK-PF-F-009 latestClose
60. MK-PF-F-004 marketValue
61. MK-ST-F-030 record
62. MK-XS-F-024 resolveLens
63. MK-ST-F-055 round2
64. MK-CF-F-162 daysApart
65. MK-CF-F-108 isMoneyOut
66. MK-PL-F-074 median
67. MK-CF-F-131 normPayee
68. MK-CF-F-113 affectedAccountIds
69. MK-CF-F-134 usesSleeve
70. MK-ST-F-049 formatMoney
71. MK-CF-F-101 taxOwedFor
72. MK-ST-F-067 utcOfDay
73. MK-CF-F-155 cash
74. MK-ST-F-035 covers
75. MK-NW-F-009 maturityClass
76. MK-ST-F-010 nameEvidence
77. MK-PF-F-031 contractMultiplier
78. MK-CF-F-072 currentRetirementIncomeMonthly
79. MK-ST-F-048 currencySymbol
80. MK-ST-F-039 on
81. MK-CF-F-100 taxableIncomeFor
82. MK-ST-F-034 firstDate
83. MK-XS-F-147 call
84. MK-CF-F-075 retirementIncomeMonthly
85. MK-ST-F-047 activeCurrency
86. MK-CF-F-099 deductionFor
87. MK-XS-F-064 currentIdToken
88. MK-XS-F-112 relayUrl
89. MK-CF-F-187 seniorDeductionFor</t>
        </is>
      </c>
      <c r="R592" s="3" t="inlineStr">
        <is>
          <t>1. MK-XS-F-136 secureSet → MK-XS-F-041 cacheDataKey → MK-XS-F-060 registerUser
2. MK-XS-F-044 generateDataKey → MK-XS-F-060 registerUser
3. MK-XS-F-045 generateRecoveryCode → MK-XS-F-060 registerUser
4. MK-ST-F-027 accountId → MK-XS-F-175 uid → MK-XS-F-046 makeEnvelope → MK-XS-F-060 registerUser
5. MK-CF-F-137 findPos → MK-CF-F-138 addLot → MK-CF-F-111 applyTransaction → MK-XS-F-175 uid → MK-XS-F-046 makeEnvelope → MK-XS-F-060 registerUser
6. MK-CF-F-132 map → MK-CF-F-138 addLot → MK-CF-F-111 applyTransaction → MK-XS-F-175 uid → MK-XS-F-046 makeEnvelope → MK-XS-F-060 registerUser
7. MK-ST-F-043 newEntityId → MK-CF-F-138 addLot → MK-CF-F-111 applyTransaction → MK-XS-F-175 uid → MK-XS-F-046 makeEnvelope → MK-XS-F-060 registerUser
8. MK-CF-F-134 usesSleeve → MK-CF-F-136 bumpCash → MK-CF-F-111 applyTransaction → MK-XS-F-175 uid → MK-XS-F-046 makeEnvelope → MK-XS-F-060 registerUser
9. … and 5 more paths</t>
        </is>
      </c>
      <c r="S592" s="3" t="inlineStr">
        <is>
          <t>—</t>
        </is>
      </c>
      <c r="T592" s="3" t="inlineStr">
        <is>
          <t>—</t>
        </is>
      </c>
      <c r="U592" s="3" t="inlineStr">
        <is>
          <t>ACTIVE</t>
        </is>
      </c>
      <c r="V592" s="3" t="inlineStr">
        <is>
          <t>2026-08-27</t>
        </is>
      </c>
      <c r="W592" s="3" t="n"/>
      <c r="X592" s="3" t="n"/>
      <c r="Y592" s="3" t="inlineStr">
        <is>
          <t>NOTHING OPEN</t>
        </is>
      </c>
    </row>
    <row r="593" ht="30" customHeight="1">
      <c r="A593" s="3" t="inlineStr">
        <is>
          <t>MK-XS-F-061</t>
        </is>
      </c>
      <c r="B593" s="3" t="inlineStr">
        <is>
          <t>resendVerification</t>
        </is>
      </c>
      <c r="C593" s="3" t="inlineStr">
        <is>
          <t>src/services/firebase.ts</t>
        </is>
      </c>
      <c r="D593" s="3" t="n">
        <v>130</v>
      </c>
      <c r="E593" s="3" t="inlineStr">
        <is>
          <t>1 · ACTION</t>
        </is>
      </c>
      <c r="F593" s="3" t="inlineStr">
        <is>
          <t>Resend the verification email to the signed-in user.</t>
        </is>
      </c>
      <c r="G593" s="11" t="inlineStr">
        <is>
          <t>sends the verification e-mail again to the signed-in person</t>
        </is>
      </c>
      <c r="H593" s="3" t="inlineStr">
        <is>
          <t>Resends the e-mail-verification message. Not a calculation.</t>
        </is>
      </c>
      <c r="I593" s="3" t="inlineStr">
        <is>
          <t>READ BY HAND 2026-08-26 — checked line by line against the code</t>
        </is>
      </c>
      <c r="J593" s="3" t="inlineStr">
        <is>
          <t>Nothing is handed to it</t>
        </is>
      </c>
      <c r="K593" s="3" t="inlineStr">
        <is>
          <t>NOT DECLARED — the code does not say what it gives back</t>
        </is>
      </c>
      <c r="L593" s="3" t="inlineStr">
        <is>
          <t>—</t>
        </is>
      </c>
      <c r="M593" s="3" t="inlineStr">
        <is>
          <t>None found in this function — anything it assumes comes from the functions it depends on.</t>
        </is>
      </c>
      <c r="N593" s="3" t="inlineStr">
        <is>
          <t>Yes</t>
        </is>
      </c>
      <c r="O593" s="3" t="inlineStr">
        <is>
          <t>—</t>
        </is>
      </c>
      <c r="P593" s="3" t="n">
        <v>0</v>
      </c>
      <c r="Q593" s="3" t="inlineStr">
        <is>
          <t>None — no dependent function stands behind it</t>
        </is>
      </c>
      <c r="R593" s="3" t="inlineStr">
        <is>
          <t>No dependent function — it reads its inputs and answers</t>
        </is>
      </c>
      <c r="S593" s="3" t="inlineStr">
        <is>
          <t>—</t>
        </is>
      </c>
      <c r="T593" s="3" t="inlineStr">
        <is>
          <t>—</t>
        </is>
      </c>
      <c r="U593" s="3" t="inlineStr">
        <is>
          <t>ACTIVE</t>
        </is>
      </c>
      <c r="V593" s="3" t="inlineStr">
        <is>
          <t>2026-09-12</t>
        </is>
      </c>
      <c r="W593" s="3" t="n"/>
      <c r="X593" s="3" t="n"/>
      <c r="Y593" s="3" t="inlineStr">
        <is>
          <t>NOTHING OPEN</t>
        </is>
      </c>
    </row>
    <row r="594" ht="60" customHeight="1">
      <c r="A594" s="3" t="inlineStr">
        <is>
          <t>MK-XS-F-062</t>
        </is>
      </c>
      <c r="B594" s="3" t="inlineStr">
        <is>
          <t>refreshEmailVerified</t>
        </is>
      </c>
      <c r="C594" s="3" t="inlineStr">
        <is>
          <t>src/services/firebase.ts</t>
        </is>
      </c>
      <c r="D594" s="3" t="n">
        <v>150</v>
      </c>
      <c r="E594" s="3" t="inlineStr">
        <is>
          <t>2 · DISPLAYED</t>
        </is>
      </c>
      <c r="F594" s="3" t="inlineStr">
        <is>
          <t>Re-check verification status from the server (call after the user clicks the email link).</t>
        </is>
      </c>
      <c r="G594" s="11" t="inlineStr">
        <is>
          <t>false   when auth.current user is missing
!!auth.current user.email verified</t>
        </is>
      </c>
      <c r="H594" s="3" t="inlineStr">
        <is>
          <t>When auth.current user is missing, it answers false. !!auth.current user.email verified.</t>
        </is>
      </c>
      <c r="I594" s="3" t="inlineStr">
        <is>
          <t>READ FROM THE CODE — rendered from the expressions the function runs</t>
        </is>
      </c>
      <c r="J594" s="3" t="inlineStr">
        <is>
          <t>Nothing is handed to it</t>
        </is>
      </c>
      <c r="K594" s="3" t="inlineStr">
        <is>
          <t>Promise&lt;boolean&gt;</t>
        </is>
      </c>
      <c r="L594" s="3" t="inlineStr">
        <is>
          <t>1. "Certain months" — on the setup questions, which appear on more than one screen
2. "HOW MUCH WILL YOU INVEST PER YEAR?" — on the setup questions, which appear on more than one screen
3. "When does it land? (pick the months)" — on the setup questions, which appear on more than one screen
4. "When is it due? (pick the months)" — on the setup questions, which appear on more than one screen</t>
        </is>
      </c>
      <c r="M594" s="3" t="inlineStr">
        <is>
          <t>None found in this function — anything it assumes comes from the functions it depends on.</t>
        </is>
      </c>
      <c r="N594" s="3" t="inlineStr">
        <is>
          <t>Yes</t>
        </is>
      </c>
      <c r="O594" s="3" t="inlineStr">
        <is>
          <t>—</t>
        </is>
      </c>
      <c r="P594" s="3" t="n">
        <v>0</v>
      </c>
      <c r="Q594" s="3" t="inlineStr">
        <is>
          <t>None — no dependent function stands behind it</t>
        </is>
      </c>
      <c r="R594" s="3" t="inlineStr">
        <is>
          <t>No dependent function — it reads its inputs and answers</t>
        </is>
      </c>
      <c r="S594" s="3" t="inlineStr">
        <is>
          <t>—</t>
        </is>
      </c>
      <c r="T594" s="3" t="inlineStr">
        <is>
          <t>—</t>
        </is>
      </c>
      <c r="U594" s="3" t="inlineStr">
        <is>
          <t>ACTIVE</t>
        </is>
      </c>
      <c r="V594" s="3" t="inlineStr">
        <is>
          <t>2026-08-27</t>
        </is>
      </c>
      <c r="W594" s="3" t="n"/>
      <c r="X594" s="3" t="n"/>
      <c r="Y594" s="3" t="inlineStr">
        <is>
          <t>NOTHING OPEN</t>
        </is>
      </c>
    </row>
    <row r="595" ht="60" customHeight="1">
      <c r="A595" s="3" t="inlineStr">
        <is>
          <t>MK-XS-F-063</t>
        </is>
      </c>
      <c r="B595" s="3" t="inlineStr">
        <is>
          <t>isEmailVerified</t>
        </is>
      </c>
      <c r="C595" s="3" t="inlineStr">
        <is>
          <t>src/services/firebase.ts</t>
        </is>
      </c>
      <c r="D595" s="3" t="n">
        <v>170</v>
      </c>
      <c r="E595" s="3" t="inlineStr">
        <is>
          <t>2 · DISPLAYED</t>
        </is>
      </c>
      <c r="F595" s="3" t="inlineStr">
        <is>
          <t>NOT DETERMINED — the code carries no note saying what this is for, and it has no row in the old inventory. Needs reading.</t>
        </is>
      </c>
      <c r="G595" s="11" t="inlineStr">
        <is>
          <t>!!auth.current user.email verified</t>
        </is>
      </c>
      <c r="H595" s="3" t="inlineStr">
        <is>
          <t>!!auth.current user.email verified.</t>
        </is>
      </c>
      <c r="I595" s="3" t="inlineStr">
        <is>
          <t>READ FROM THE CODE — rendered from the expressions the function runs</t>
        </is>
      </c>
      <c r="J595" s="3" t="inlineStr">
        <is>
          <t>Nothing is handed to it</t>
        </is>
      </c>
      <c r="K595" s="3" t="inlineStr">
        <is>
          <t>boolean</t>
        </is>
      </c>
      <c r="L595" s="3" t="inlineStr">
        <is>
          <t>NOT FOUND — a screen calls it, but the words printed beside its answer could not be traced automatically. Needs reading.</t>
        </is>
      </c>
      <c r="M595" s="3" t="inlineStr">
        <is>
          <t>None found in this function — anything it assumes comes from the functions it depends on.</t>
        </is>
      </c>
      <c r="N595" s="3" t="inlineStr">
        <is>
          <t>Yes</t>
        </is>
      </c>
      <c r="O595" s="3" t="inlineStr">
        <is>
          <t>—</t>
        </is>
      </c>
      <c r="P595" s="3" t="n">
        <v>0</v>
      </c>
      <c r="Q595" s="3" t="inlineStr">
        <is>
          <t>None — no dependent function stands behind it</t>
        </is>
      </c>
      <c r="R595" s="3" t="inlineStr">
        <is>
          <t>No dependent function — it reads its inputs and answers</t>
        </is>
      </c>
      <c r="S595" s="3" t="inlineStr">
        <is>
          <t>—</t>
        </is>
      </c>
      <c r="T595" s="3" t="inlineStr">
        <is>
          <t>—</t>
        </is>
      </c>
      <c r="U595" s="3" t="inlineStr">
        <is>
          <t>ACTIVE</t>
        </is>
      </c>
      <c r="V595" s="3" t="inlineStr">
        <is>
          <t>2026-08-27</t>
        </is>
      </c>
      <c r="W595" s="3" t="n"/>
      <c r="X595" s="3" t="n"/>
      <c r="Y595" s="3" t="inlineStr">
        <is>
          <t>NOTHING OPEN</t>
        </is>
      </c>
    </row>
    <row r="596" ht="60" customHeight="1">
      <c r="A596" s="3" t="inlineStr">
        <is>
          <t>MK-XS-F-064</t>
        </is>
      </c>
      <c r="B596" s="3" t="inlineStr">
        <is>
          <t>currentIdToken</t>
        </is>
      </c>
      <c r="C596" s="3" t="inlineStr">
        <is>
          <t>src/services/firebase.ts</t>
        </is>
      </c>
      <c r="D596" s="3" t="n">
        <v>204</v>
      </c>
      <c r="E596" s="3" t="inlineStr">
        <is>
          <t>3 · DEPENDENT (feeds an action only)</t>
        </is>
      </c>
      <c r="F596" s="3" t="inlineStr">
        <is>
          <t>The email of the account currently signed in to Firebase — the authoritative identity that account-level actions (delete, reauth) operate on.</t>
        </is>
      </c>
      <c r="G596" s="11" t="inlineStr">
        <is>
          <t>the answer = the signed-in person's identity token, or nothing</t>
        </is>
      </c>
      <c r="H596" s="3" t="inlineStr">
        <is>
          <t>The signed-in person's identity token for the relay, or nothing when nobody is signed in. Not a calculation.</t>
        </is>
      </c>
      <c r="I596" s="3" t="inlineStr">
        <is>
          <t>READ BY HAND 2026-08-26 — checked line by line against the code</t>
        </is>
      </c>
      <c r="J596" s="3" t="inlineStr">
        <is>
          <t>Nothing is handed to it</t>
        </is>
      </c>
      <c r="K596" s="3" t="inlineStr">
        <is>
          <t>Promise&lt;string | null&gt;</t>
        </is>
      </c>
      <c r="L596" s="3" t="inlineStr">
        <is>
          <t>—</t>
        </is>
      </c>
      <c r="M596" s="3" t="inlineStr">
        <is>
          <t>None found in this function — anything it assumes comes from the functions it depends on.</t>
        </is>
      </c>
      <c r="N596" s="3" t="inlineStr">
        <is>
          <t>No</t>
        </is>
      </c>
      <c r="O596" s="3" t="inlineStr">
        <is>
          <t>—</t>
        </is>
      </c>
      <c r="P596" s="3" t="n">
        <v>0</v>
      </c>
      <c r="Q596" s="3" t="inlineStr">
        <is>
          <t>None — no dependent function stands behind it</t>
        </is>
      </c>
      <c r="R596" s="3" t="inlineStr">
        <is>
          <t>No dependent function — it reads its inputs and answers</t>
        </is>
      </c>
      <c r="S596" s="3" t="inlineStr">
        <is>
          <t>—</t>
        </is>
      </c>
      <c r="T596" s="3" t="inlineStr">
        <is>
          <t>—</t>
        </is>
      </c>
      <c r="U596" s="3" t="inlineStr">
        <is>
          <t>ACTIVE</t>
        </is>
      </c>
      <c r="V596" s="3" t="inlineStr">
        <is>
          <t>2026-09-12</t>
        </is>
      </c>
      <c r="W596" s="3" t="n"/>
      <c r="X596" s="3" t="n"/>
      <c r="Y596" s="3" t="inlineStr">
        <is>
          <t>NOTHING OPEN</t>
        </is>
      </c>
    </row>
    <row r="597" ht="60" customHeight="1">
      <c r="A597" s="3" t="inlineStr">
        <is>
          <t>MK-XS-F-065</t>
        </is>
      </c>
      <c r="B597" s="3" t="inlineStr">
        <is>
          <t>currentUserEmail</t>
        </is>
      </c>
      <c r="C597" s="3" t="inlineStr">
        <is>
          <t>src/services/firebase.ts</t>
        </is>
      </c>
      <c r="D597" s="3" t="n">
        <v>223</v>
      </c>
      <c r="E597" s="3" t="inlineStr">
        <is>
          <t>2 · DISPLAYED</t>
        </is>
      </c>
      <c r="F597" s="3" t="inlineStr">
        <is>
          <t>NOT DETERMINED — the code carries no note saying what this is for, and it has no row in the old inventory. Needs reading.</t>
        </is>
      </c>
      <c r="G597" s="11" t="inlineStr">
        <is>
          <t>auth.current user.email (or nothing when missing)</t>
        </is>
      </c>
      <c r="H597" s="3" t="inlineStr">
        <is>
          <t>auth.current user.email (or no answer — when missing).</t>
        </is>
      </c>
      <c r="I597" s="3" t="inlineStr">
        <is>
          <t>PARTLY READ — some of the code is still showing through; needs a hand pass</t>
        </is>
      </c>
      <c r="J597" s="3" t="inlineStr">
        <is>
          <t>Nothing is handed to it</t>
        </is>
      </c>
      <c r="K597" s="3" t="inlineStr">
        <is>
          <t>string | null</t>
        </is>
      </c>
      <c r="L597" s="3" t="inlineStr">
        <is>
          <t>"Confirm account deletion" — on the Settings screen, under "Account"</t>
        </is>
      </c>
      <c r="M597" s="3" t="inlineStr">
        <is>
          <t>None found in this function — anything it assumes comes from the functions it depends on.</t>
        </is>
      </c>
      <c r="N597" s="3" t="inlineStr">
        <is>
          <t>Yes</t>
        </is>
      </c>
      <c r="O597" s="3" t="inlineStr">
        <is>
          <t>—</t>
        </is>
      </c>
      <c r="P597" s="3" t="n">
        <v>0</v>
      </c>
      <c r="Q597" s="3" t="inlineStr">
        <is>
          <t>None — no dependent function stands behind it</t>
        </is>
      </c>
      <c r="R597" s="3" t="inlineStr">
        <is>
          <t>No dependent function — it reads its inputs and answers</t>
        </is>
      </c>
      <c r="S597" s="3" t="inlineStr">
        <is>
          <t>—</t>
        </is>
      </c>
      <c r="T597" s="3" t="inlineStr">
        <is>
          <t>—</t>
        </is>
      </c>
      <c r="U597" s="3" t="inlineStr">
        <is>
          <t>ACTIVE</t>
        </is>
      </c>
      <c r="V597" s="3" t="inlineStr">
        <is>
          <t>2026-08-27</t>
        </is>
      </c>
      <c r="W597" s="3" t="n"/>
      <c r="X597" s="3" t="n"/>
      <c r="Y597" s="3" t="inlineStr">
        <is>
          <t>NOTHING OPEN</t>
        </is>
      </c>
    </row>
    <row r="598" ht="60" customHeight="1">
      <c r="A598" s="3" t="inlineStr">
        <is>
          <t>MK-XS-F-066</t>
        </is>
      </c>
      <c r="B598" s="3" t="inlineStr">
        <is>
          <t>loginUser</t>
        </is>
      </c>
      <c r="C598" s="3" t="inlineStr">
        <is>
          <t>src/services/firebase.ts</t>
        </is>
      </c>
      <c r="D598" s="3" t="n">
        <v>255</v>
      </c>
      <c r="E598" s="3" t="inlineStr">
        <is>
          <t>4 · BRINGS DATA IN</t>
        </is>
      </c>
      <c r="F598" s="3" t="inlineStr">
        <is>
          <t>Returns the user plus the unlock status: • needsRecovery=true → the password can't open the data (it was reset); prompt for the recovery code.</t>
        </is>
      </c>
      <c r="G598" s="11" t="inlineStr">
        <is>
          <t>cred = await sign in with email and password(auth, email, password)
uid = cred.user.uid
snap = await get doc(doc(db, 'users', uid))
env = (snap.data() as any).key envelope   if snap.exists()
undefined   otherwise
dek = unwrap with password(env, uid, password)
the answer:
user = cred.user
needs recovery = true
dek = generate data key()
recovery code = generate recovery code()</t>
        </is>
      </c>
      <c r="H598" s="3" t="inlineStr">
        <is>
          <t>Cred is await sign in with email and password(auth, email, password). Uid is cred.user.uid. Snap is await get doc(doc(db, 'users', uid)). Env is (snap.data() as any).key envelope — when snap.exists(); undefined — otherwise. Dek is unwrap with password(env, uid, password). The answer is user = cred.user; needs recovery = true. Dek is generate data key(). Recovery code is generate recovery code().</t>
        </is>
      </c>
      <c r="I598" s="3" t="inlineStr">
        <is>
          <t>PARTLY READ — some of the code is still showing through; needs a hand pass</t>
        </is>
      </c>
      <c r="J598" s="3" t="inlineStr">
        <is>
          <t>1. email: string
2. password: string
3. onCodeReady?: (code: string) =&gt; void</t>
        </is>
      </c>
      <c r="K598" s="3" t="inlineStr">
        <is>
          <t>Promise&lt;</t>
        </is>
      </c>
      <c r="L598" s="3" t="inlineStr">
        <is>
          <t>—</t>
        </is>
      </c>
      <c r="M598" s="3" t="inlineStr">
        <is>
          <t>None found in this function — anything it assumes comes from the functions it depends on.</t>
        </is>
      </c>
      <c r="N598" s="3" t="inlineStr">
        <is>
          <t>Yes</t>
        </is>
      </c>
      <c r="O598" s="3" t="inlineStr">
        <is>
          <t>1. MK-XS-F-041 cacheDataKey
2. MK-XS-F-044 generateDataKey
3. MK-XS-F-045 generateRecoveryCode
4. MK-XS-F-046 makeEnvelope
5. MK-XS-F-060 registerUser
6. MK-XS-F-175 uid
7. MK-XS-F-047 unwrapWithPassword</t>
        </is>
      </c>
      <c r="P598" s="3" t="n">
        <v>93</v>
      </c>
      <c r="Q598" s="3" t="inlineStr">
        <is>
          <t>1. MK-XS-F-041 cacheDataKey
2. MK-XS-F-044 generateDataKey
3. MK-XS-F-045 generateRecoveryCode
4. MK-XS-F-046 makeEnvelope
5. MK-XS-F-060 registerUser
6. MK-XS-F-175 uid
7. MK-XS-F-047 unwrapWithPassword
8. MK-XS-F-136 secureSet
9. MK-XS-F-139 wrapWithSecret
10. MK-ST-F-027 accountId
11. MK-CF-F-111 applyTransaction
12. MK-NW-F-040 assetsFromOnboarding
13. MK-PF-F-013 benchmarkTicker
14. MK-ST-F-028 buildDayFromAccounts
15. MK-PF-F-034 closeOnOrBefore
16. MK-CF-F-186 convertTakeHomeMode
17. MK-ST-F-079 dailyWindowStart
18. MK-CF-F-038 debtsFromOnboarding
19. MK-XS-F-083 fetchPriceSeries
20. MK-PL-F-013 goalsFromOnboarding
21. MK-ST-F-056 has
22. MK-CF-F-116 inverseOf
23. MK-ST-F-065 isoLocalDate
24. MK-CF-F-112 makeTransaction
25. MK-CF-F-132 map
26. MK-XS-F-122 n
27. MK-ST-F-043 newEntityId
28. MK-XS-F-006 pruneDaily
29. MK-ST-F-073 rebuildDays
30. MK-NW-F-054 reclassifyAccounts
31. MK-XS-F-174 recomputeBalances
32. MK-CF-F-115 restoreUndo
33. MK-CF-F-109 reviewTransactions
34. MK-ST-F-044 setMoneyFormat
35. MK-CF-F-114 undoSnapshot
36. MK-CF-F-191 ym
37. MK-XS-F-053 decryptWithKey
38. MK-XS-F-138 deriveKeyFromSecret
39. MK-XS-F-052 encryptWithKey
40. MK-CF-F-138 addLot
41. MK-CF-F-136 bumpCash
42. MK-CF-F-137 findPos
43. MK-CF-F-139 removeShares
44. MK-PF-F-001 totalShares
45. MK-ST-F-052 toNum
46. MK-ST-F-053 money
47. MK-CF-F-085 filingStatusOf
48. MK-CF-F-097 grossFromNet
49. MK-CF-F-185 needsTakeHomeConversion
50. MK-CF-F-089 over65CountOf
51. MK-CF-F-037 inferDebtType
52. MK-ST-F-069 amountOf
53. MK-CF-F-133 cashOf
54. MK-ST-F-066 isDayKey
55. MK-ST-F-070 isOpening
56. MK-ST-F-071 rebuildableFrom
57. MK-ST-F-068 stepDay
58. MK-ST-F-072 undo
59. MK-NW-F-053 correctClassOf
60. MK-NW-F-008 incomeBearingClassOf
61. MK-PF-F-002 costBasis
62. MK-PF-F-009 latestClose
63. MK-PF-F-004 marketValue
64. MK-ST-F-030 record
65. MK-XS-F-024 resolveLens
66. MK-ST-F-055 round2
67. MK-CF-F-162 daysApart
68. MK-CF-F-108 isMoneyOut
69. MK-PL-F-074 median
70. MK-CF-F-131 normPayee
71. MK-CF-F-113 affectedAccountIds
72. MK-XS-F-051 isEncrypted
73. MK-CF-F-134 usesSleeve
74. MK-ST-F-049 formatMoney
75. MK-CF-F-101 taxOwedFor
76. MK-ST-F-067 utcOfDay
77. MK-CF-F-155 cash
78. MK-ST-F-035 covers
79. MK-NW-F-009 maturityClass
80. MK-ST-F-010 nameEvidence
81. MK-PF-F-031 contractMultiplier
82. MK-CF-F-072 currentRetirementIncomeMonthly
83. MK-ST-F-048 currencySymbol
84. MK-ST-F-039 on
85. MK-CF-F-100 taxableIncomeFor
86. MK-ST-F-034 firstDate
87. MK-XS-F-147 call
88. MK-CF-F-075 retirementIncomeMonthly
89. MK-ST-F-047 activeCurrency
90. MK-CF-F-099 deductionFor
91. MK-XS-F-064 currentIdToken
92. MK-XS-F-112 relayUrl
93. MK-CF-F-187 seniorDeductionFor</t>
        </is>
      </c>
      <c r="R598" s="3" t="inlineStr">
        <is>
          <t>1. MK-XS-F-136 secureSet → MK-XS-F-041 cacheDataKey → MK-XS-F-066 loginUser
2. MK-XS-F-044 generateDataKey → MK-XS-F-066 loginUser
3. MK-XS-F-045 generateRecoveryCode → MK-XS-F-066 loginUser
4. MK-ST-F-027 accountId → MK-XS-F-175 uid → MK-XS-F-046 makeEnvelope → MK-XS-F-066 loginUser
5. MK-CF-F-137 findPos → MK-CF-F-138 addLot → MK-CF-F-111 applyTransaction → MK-XS-F-175 uid → MK-XS-F-046 makeEnvelope → MK-XS-F-066 loginUser
6. MK-CF-F-132 map → MK-CF-F-138 addLot → MK-CF-F-111 applyTransaction → MK-XS-F-175 uid → MK-XS-F-046 makeEnvelope → MK-XS-F-066 loginUser
7. MK-ST-F-043 newEntityId → MK-CF-F-138 addLot → MK-CF-F-111 applyTransaction → MK-XS-F-175 uid → MK-XS-F-046 makeEnvelope → MK-XS-F-066 loginUser
8. MK-CF-F-134 usesSleeve → MK-CF-F-136 bumpCash → MK-CF-F-111 applyTransaction → MK-XS-F-175 uid → MK-XS-F-046 makeEnvelope → MK-XS-F-066 loginUser
9. … and 5 more paths</t>
        </is>
      </c>
      <c r="S598" s="3" t="inlineStr">
        <is>
          <t>—</t>
        </is>
      </c>
      <c r="T598" s="3" t="inlineStr">
        <is>
          <t>—</t>
        </is>
      </c>
      <c r="U598" s="3" t="inlineStr">
        <is>
          <t>ACTIVE</t>
        </is>
      </c>
      <c r="V598" s="3" t="inlineStr">
        <is>
          <t>2026-08-27</t>
        </is>
      </c>
      <c r="W598" s="3" t="n"/>
      <c r="X598" s="3" t="n"/>
      <c r="Y598" s="3" t="inlineStr">
        <is>
          <t>NOTHING OPEN</t>
        </is>
      </c>
    </row>
    <row r="599" ht="60" customHeight="1">
      <c r="A599" s="3" t="inlineStr">
        <is>
          <t>MK-XS-F-067</t>
        </is>
      </c>
      <c r="B599" s="3" t="inlineStr">
        <is>
          <t>restoreWithRecoveryCode</t>
        </is>
      </c>
      <c r="C599" s="3" t="inlineStr">
        <is>
          <t>src/services/firebase.ts</t>
        </is>
      </c>
      <c r="D599" s="3" t="n">
        <v>303</v>
      </c>
      <c r="E599" s="3" t="inlineStr">
        <is>
          <t>4 · BRINGS DATA IN</t>
        </is>
      </c>
      <c r="F599" s="3" t="inlineStr">
        <is>
          <t>After a password reset, restore data access with the recovery code, then re-lock the data under the NEW password.</t>
        </is>
      </c>
      <c r="G599" s="11" t="inlineStr">
        <is>
          <t>u = auth.current user
snap = await get doc(doc(db, 'users', uid))
env = (snap.data() as any).key envelope   if snap.exists()
undefined   otherwise
dek = unwrap with recovery(env, uid, recovery code)</t>
        </is>
      </c>
      <c r="H599" s="3" t="inlineStr">
        <is>
          <t>U is auth.current user. Snap is await get doc(doc(db, 'users', uid)). Env is (snap.data() as any).key envelope — when snap.exists(); undefined — otherwise. Dek is unwrap with recovery(env, uid, recovery code).</t>
        </is>
      </c>
      <c r="I599" s="3" t="inlineStr">
        <is>
          <t>PARTLY READ — some of the code is still showing through; needs a hand pass</t>
        </is>
      </c>
      <c r="J599" s="3" t="inlineStr">
        <is>
          <t>1. recoveryCode: string
2. newPassword: string</t>
        </is>
      </c>
      <c r="K599" s="3" t="inlineStr">
        <is>
          <t>Promise&lt;void&gt;</t>
        </is>
      </c>
      <c r="L599" s="3" t="inlineStr">
        <is>
          <t>—</t>
        </is>
      </c>
      <c r="M599" s="3" t="inlineStr">
        <is>
          <t>None found in this function — anything it assumes comes from the functions it depends on.</t>
        </is>
      </c>
      <c r="N599" s="3" t="inlineStr">
        <is>
          <t>Yes</t>
        </is>
      </c>
      <c r="O599" s="3" t="inlineStr">
        <is>
          <t>1. MK-XS-F-041 cacheDataKey
2. MK-XS-F-049 rewrapPassword
3. MK-XS-F-175 uid
4. MK-XS-F-048 unwrapWithRecovery</t>
        </is>
      </c>
      <c r="P599" s="3" t="n">
        <v>90</v>
      </c>
      <c r="Q599" s="3" t="inlineStr">
        <is>
          <t>1. MK-XS-F-041 cacheDataKey
2. MK-XS-F-049 rewrapPassword
3. MK-XS-F-175 uid
4. MK-XS-F-048 unwrapWithRecovery
5. MK-XS-F-136 secureSet
6. MK-XS-F-139 wrapWithSecret
7. MK-ST-F-027 accountId
8. MK-CF-F-111 applyTransaction
9. MK-NW-F-040 assetsFromOnboarding
10. MK-PF-F-013 benchmarkTicker
11. MK-ST-F-028 buildDayFromAccounts
12. MK-PF-F-034 closeOnOrBefore
13. MK-CF-F-186 convertTakeHomeMode
14. MK-ST-F-079 dailyWindowStart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MK-XS-F-053 decryptWithKey
35. MK-XS-F-138 deriveKeyFromSecret
36. MK-XS-F-052 encryptWithKey
37. MK-CF-F-138 addLot
38. MK-CF-F-136 bumpCash
39. MK-CF-F-137 findPos
40. MK-CF-F-139 removeShares
41. MK-PF-F-001 totalShares
42. MK-ST-F-052 toNum
43. MK-ST-F-053 money
44. MK-CF-F-085 filingStatusOf
45. MK-CF-F-097 grossFromNet
46. MK-CF-F-185 needsTakeHomeConversion
47. MK-CF-F-089 over65CountOf
48. MK-CF-F-037 inferDebtType
49. MK-ST-F-069 amountOf
50. MK-CF-F-133 cashOf
51. MK-ST-F-066 isDayKey
52. MK-ST-F-070 isOpening
53. MK-ST-F-071 rebuildableFrom
54. MK-ST-F-068 stepDay
55. MK-ST-F-072 undo
56. MK-NW-F-053 correctClassOf
57. MK-NW-F-008 incomeBearingClassOf
58. MK-PF-F-002 costBasis
59. MK-PF-F-009 latestClose
60. MK-PF-F-004 marketValue
61. MK-ST-F-030 record
62. MK-XS-F-024 resolveLens
63. MK-ST-F-055 round2
64. MK-CF-F-162 daysApart
65. MK-CF-F-108 isMoneyOut
66. MK-PL-F-074 median
67. MK-CF-F-131 normPayee
68. MK-CF-F-113 affectedAccountIds
69. MK-XS-F-051 isEncrypted
70. MK-CF-F-134 usesSleeve
71. MK-ST-F-049 formatMoney
72. MK-CF-F-101 taxOwedFor
73. MK-ST-F-067 utcOfDay
74. MK-CF-F-155 cash
75. MK-ST-F-035 covers
76. MK-NW-F-009 maturityClass
77. MK-ST-F-010 nameEvidence
78. MK-PF-F-031 contractMultiplier
79. MK-CF-F-072 currentRetirementIncomeMonthly
80. MK-ST-F-048 currencySymbol
81. MK-ST-F-039 on
82. MK-CF-F-100 taxableIncomeFor
83. MK-ST-F-034 firstDate
84. MK-XS-F-147 call
85. MK-CF-F-075 retirementIncomeMonthly
86. MK-ST-F-047 activeCurrency
87. MK-CF-F-099 deductionFor
88. MK-XS-F-064 currentIdToken
89. MK-XS-F-112 relayUrl
90. MK-CF-F-187 seniorDeductionFor</t>
        </is>
      </c>
      <c r="R599" s="3" t="inlineStr">
        <is>
          <t>1. MK-XS-F-136 secureSet → MK-XS-F-041 cacheDataKey → MK-XS-F-067 restoreWithRecoveryCode
2. MK-ST-F-027 accountId → MK-XS-F-175 uid → MK-XS-F-049 rewrapPassword → MK-XS-F-067 restoreWithRecoveryCode
3. MK-CF-F-137 findPos → MK-CF-F-138 addLot → MK-CF-F-111 applyTransaction → MK-XS-F-175 uid → MK-XS-F-049 rewrapPassword → MK-XS-F-067 restoreWithRecoveryCode
4. MK-CF-F-132 map → MK-CF-F-138 addLot → MK-CF-F-111 applyTransaction → MK-XS-F-175 uid → MK-XS-F-049 rewrapPassword → MK-XS-F-067 restoreWithRecoveryCode
5. MK-ST-F-043 newEntityId → MK-CF-F-138 addLot → MK-CF-F-111 applyTransaction → MK-XS-F-175 uid → MK-XS-F-049 rewrapPassword → MK-XS-F-067 restoreWithRecoveryCode
6. MK-CF-F-134 usesSleeve → MK-CF-F-136 bumpCash → MK-CF-F-111 applyTransaction → MK-XS-F-175 uid → MK-XS-F-049 rewrapPassword → MK-XS-F-067 restoreWithRecoveryCode
7. MK-CF-F-137 findPos → MK-CF-F-111 applyTransaction → MK-XS-F-175 uid → MK-XS-F-049 rewrapPassword → MK-XS-F-067 restoreWithRecoveryCode
8. MK-CF-F-132 map → MK-CF-F-111 applyTransaction → MK-XS-F-175 uid → MK-XS-F-049 rewrapPassword → MK-XS-F-067 restoreWithRecoveryCode
9. … and 5 more paths</t>
        </is>
      </c>
      <c r="S599" s="3" t="inlineStr">
        <is>
          <t>—</t>
        </is>
      </c>
      <c r="T599" s="3" t="inlineStr">
        <is>
          <t>—</t>
        </is>
      </c>
      <c r="U599" s="3" t="inlineStr">
        <is>
          <t>ACTIVE</t>
        </is>
      </c>
      <c r="V599" s="3" t="inlineStr">
        <is>
          <t>2026-08-27</t>
        </is>
      </c>
      <c r="W599" s="3" t="n"/>
      <c r="X599" s="3" t="n"/>
      <c r="Y599" s="3" t="inlineStr">
        <is>
          <t>NOTHING OPEN</t>
        </is>
      </c>
    </row>
    <row r="600" ht="60" customHeight="1">
      <c r="A600" s="3" t="inlineStr">
        <is>
          <t>MK-XS-F-068</t>
        </is>
      </c>
      <c r="B600" s="3" t="inlineStr">
        <is>
          <t>regenerateRecoveryCode</t>
        </is>
      </c>
      <c r="C600" s="3" t="inlineStr">
        <is>
          <t>src/services/firebase.ts</t>
        </is>
      </c>
      <c r="D600" s="3" t="n">
        <v>338</v>
      </c>
      <c r="E600" s="3" t="inlineStr">
        <is>
          <t>4 · BRINGS DATA IN</t>
        </is>
      </c>
      <c r="F600" s="3" t="inlineStr">
        <is>
          <t>Issue a NEW recovery code for the signed-in user (the old one stops working).</t>
        </is>
      </c>
      <c r="G600" s="11" t="inlineStr">
        <is>
          <t>u = auth.current user
dek = await get data key()
snap = await get doc(doc(db, 'users', uid))
env = snap.exists() and (snap.data() as any).key envelope (or p = ''
r = '' when missing or zero)
recovery code = generate recovery code()
the answer = recovery code</t>
        </is>
      </c>
      <c r="H600" s="3" t="inlineStr">
        <is>
          <t>U is auth.current user. Dek is await get data key(). Snap is await get doc(doc(db, 'users', uid)). Env is snap.exists() and (snap.data() as any).key envelope (or p = ''; r = '' — when missing or zero). Recovery code is generate recovery code(). The answer is recovery code.</t>
        </is>
      </c>
      <c r="I600" s="3" t="inlineStr">
        <is>
          <t>PARTLY READ — some of the code is still showing through; needs a hand pass</t>
        </is>
      </c>
      <c r="J600" s="3" t="inlineStr">
        <is>
          <t>Nothing is handed to it</t>
        </is>
      </c>
      <c r="K600" s="3" t="inlineStr">
        <is>
          <t>Promise&lt;string&gt;</t>
        </is>
      </c>
      <c r="L600" s="3" t="inlineStr">
        <is>
          <t>—</t>
        </is>
      </c>
      <c r="M600" s="3" t="inlineStr">
        <is>
          <t>None found in this function — anything it assumes comes from the functions it depends on.</t>
        </is>
      </c>
      <c r="N600" s="3" t="inlineStr">
        <is>
          <t>Yes</t>
        </is>
      </c>
      <c r="O600" s="3" t="inlineStr">
        <is>
          <t>1. MK-XS-F-045 generateRecoveryCode
2. MK-XS-F-042 getDataKey
3. MK-XS-F-050 rewrapRecovery
4. MK-XS-F-175 uid</t>
        </is>
      </c>
      <c r="P600" s="3" t="n">
        <v>88</v>
      </c>
      <c r="Q600" s="3" t="inlineStr">
        <is>
          <t>1. MK-XS-F-045 generateRecoveryCode
2. MK-XS-F-042 getDataKey
3. MK-XS-F-050 rewrapRecovery
4. MK-XS-F-175 uid
5. MK-XS-F-135 secureGet
6. MK-XS-F-139 wrapWithSecret
7. MK-ST-F-027 accountId
8. MK-CF-F-111 applyTransaction
9. MK-NW-F-040 assetsFromOnboarding
10. MK-PF-F-013 benchmarkTicker
11. MK-ST-F-028 buildDayFromAccounts
12. MK-PF-F-034 closeOnOrBefore
13. MK-CF-F-186 convertTakeHomeMode
14. MK-ST-F-079 dailyWindowStart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MK-XS-F-138 deriveKeyFromSecret
35. MK-XS-F-052 encryptWithKey
36. MK-CF-F-138 addLot
37. MK-CF-F-136 bumpCash
38. MK-CF-F-137 findPos
39. MK-CF-F-139 removeShares
40. MK-PF-F-001 totalShares
41. MK-ST-F-052 toNum
42. MK-ST-F-053 money
43. MK-CF-F-085 filingStatusOf
44. MK-CF-F-097 grossFromNet
45. MK-CF-F-185 needsTakeHomeConversion
46. MK-CF-F-089 over65CountOf
47. MK-CF-F-037 inferDebtType
48. MK-ST-F-069 amountOf
49. MK-CF-F-133 cashOf
50. MK-ST-F-066 isDayKey
51. MK-ST-F-070 isOpening
52. MK-ST-F-071 rebuildableFrom
53. MK-ST-F-068 stepDay
54. MK-ST-F-072 undo
55. MK-NW-F-053 correctClassOf
56. MK-NW-F-008 incomeBearingClassOf
57. MK-PF-F-002 costBasis
58. MK-PF-F-009 latestClose
59. MK-PF-F-004 marketValue
60. MK-ST-F-030 record
61. MK-XS-F-024 resolveLens
62. MK-ST-F-055 round2
63. MK-CF-F-162 daysApart
64. MK-CF-F-108 isMoneyOut
65. MK-PL-F-074 median
66. MK-CF-F-131 normPayee
67. MK-CF-F-113 affectedAccountIds
68. MK-CF-F-134 usesSleeve
69. MK-ST-F-049 formatMoney
70. MK-CF-F-101 taxOwedFor
71. MK-ST-F-067 utcOfDay
72. MK-CF-F-155 cash
73. MK-ST-F-035 covers
74. MK-NW-F-009 maturityClass
75. MK-ST-F-010 nameEvidence
76. MK-PF-F-031 contractMultiplier
77. MK-CF-F-072 currentRetirementIncomeMonthly
78. MK-ST-F-048 currencySymbol
79. MK-ST-F-039 on
80. MK-CF-F-100 taxableIncomeFor
81. MK-ST-F-034 firstDate
82. MK-XS-F-147 call
83. MK-CF-F-075 retirementIncomeMonthly
84. MK-ST-F-047 activeCurrency
85. MK-CF-F-099 deductionFor
86. MK-XS-F-064 currentIdToken
87. MK-XS-F-112 relayUrl
88. MK-CF-F-187 seniorDeductionFor</t>
        </is>
      </c>
      <c r="R600" s="3" t="inlineStr">
        <is>
          <t>1. MK-XS-F-045 generateRecoveryCode → MK-XS-F-068 regenerateRecoveryCode
2. MK-XS-F-135 secureGet → MK-XS-F-042 getDataKey → MK-XS-F-068 regenerateRecoveryCode
3. MK-ST-F-027 accountId → MK-XS-F-175 uid → MK-XS-F-050 rewrapRecovery → MK-XS-F-068 regenerateRecoveryCode
4. MK-CF-F-137 findPos → MK-CF-F-138 addLot → MK-CF-F-111 applyTransaction → MK-XS-F-175 uid → MK-XS-F-050 rewrapRecovery → MK-XS-F-068 regenerateRecoveryCode
5. MK-CF-F-132 map → MK-CF-F-138 addLot → MK-CF-F-111 applyTransaction → MK-XS-F-175 uid → MK-XS-F-050 rewrapRecovery → MK-XS-F-068 regenerateRecoveryCode
6. MK-ST-F-043 newEntityId → MK-CF-F-138 addLot → MK-CF-F-111 applyTransaction → MK-XS-F-175 uid → MK-XS-F-050 rewrapRecovery → MK-XS-F-068 regenerateRecoveryCode
7. MK-CF-F-134 usesSleeve → MK-CF-F-136 bumpCash → MK-CF-F-111 applyTransaction → MK-XS-F-175 uid → MK-XS-F-050 rewrapRecovery → MK-XS-F-068 regenerateRecoveryCode
8. MK-CF-F-137 findPos → MK-CF-F-111 applyTransaction → MK-XS-F-175 uid → MK-XS-F-050 rewrapRecovery → MK-XS-F-068 regenerateRecoveryCode
9. … and 5 more paths</t>
        </is>
      </c>
      <c r="S600" s="3" t="inlineStr">
        <is>
          <t>—</t>
        </is>
      </c>
      <c r="T600" s="3" t="inlineStr">
        <is>
          <t>—</t>
        </is>
      </c>
      <c r="U600" s="3" t="inlineStr">
        <is>
          <t>ACTIVE</t>
        </is>
      </c>
      <c r="V600" s="3" t="inlineStr">
        <is>
          <t>2026-08-27</t>
        </is>
      </c>
      <c r="W600" s="3" t="n"/>
      <c r="X600" s="3" t="n"/>
      <c r="Y600" s="3" t="inlineStr">
        <is>
          <t>NOTHING OPEN</t>
        </is>
      </c>
    </row>
    <row r="601" ht="60" customHeight="1">
      <c r="A601" s="3" t="inlineStr">
        <is>
          <t>MK-XS-F-069</t>
        </is>
      </c>
      <c r="B601" s="3" t="inlineStr">
        <is>
          <t>logoutUser</t>
        </is>
      </c>
      <c r="C601" s="3" t="inlineStr">
        <is>
          <t>src/services/firebase.ts</t>
        </is>
      </c>
      <c r="D601" s="3" t="n">
        <v>365</v>
      </c>
      <c r="E601" s="3" t="inlineStr">
        <is>
          <t>1 · ACTION</t>
        </is>
      </c>
      <c r="F601" s="3" t="inlineStr">
        <is>
          <t>NOT DETERMINED — the code carries no note saying what this is for, and it has no row in the old inventory. Needs reading.</t>
        </is>
      </c>
      <c r="G601" s="11" t="inlineStr">
        <is>
          <t>clears the data key, then signs out</t>
        </is>
      </c>
      <c r="H601" s="3" t="inlineStr">
        <is>
          <t>Forgets the decryption key and signs the person out. Not a calculation.</t>
        </is>
      </c>
      <c r="I601" s="3" t="inlineStr">
        <is>
          <t>READ BY HAND 2026-08-26 — checked line by line against the code</t>
        </is>
      </c>
      <c r="J601" s="3" t="inlineStr">
        <is>
          <t>Nothing is handed to it</t>
        </is>
      </c>
      <c r="K601" s="3" t="inlineStr">
        <is>
          <t>NOT DECLARED — the code does not say what it gives back</t>
        </is>
      </c>
      <c r="L601" s="3" t="inlineStr">
        <is>
          <t>—</t>
        </is>
      </c>
      <c r="M601" s="3" t="inlineStr">
        <is>
          <t>None found in this function — anything it assumes comes from the functions it depends on.</t>
        </is>
      </c>
      <c r="N601" s="3" t="inlineStr">
        <is>
          <t>Yes</t>
        </is>
      </c>
      <c r="O601" s="3" t="inlineStr">
        <is>
          <t>MK-XS-F-043 clearDataKey</t>
        </is>
      </c>
      <c r="P601" s="3" t="n">
        <v>2</v>
      </c>
      <c r="Q601" s="3" t="inlineStr">
        <is>
          <t>1. MK-XS-F-043 clearDataKey
2. MK-XS-F-137 secureDelete</t>
        </is>
      </c>
      <c r="R601" s="3" t="inlineStr">
        <is>
          <t>MK-XS-F-137 secureDelete → MK-XS-F-043 clearDataKey → MK-XS-F-069 logoutUser</t>
        </is>
      </c>
      <c r="S601" s="3" t="inlineStr">
        <is>
          <t>—</t>
        </is>
      </c>
      <c r="T601" s="3" t="inlineStr">
        <is>
          <t>—</t>
        </is>
      </c>
      <c r="U601" s="3" t="inlineStr">
        <is>
          <t>ACTIVE</t>
        </is>
      </c>
      <c r="V601" s="3" t="inlineStr">
        <is>
          <t>2026-09-12</t>
        </is>
      </c>
      <c r="W601" s="3" t="n"/>
      <c r="X601" s="3" t="n"/>
      <c r="Y601" s="3" t="inlineStr">
        <is>
          <t>NOTHING OPEN</t>
        </is>
      </c>
    </row>
    <row r="602" ht="60" customHeight="1">
      <c r="A602" s="3" t="inlineStr">
        <is>
          <t>MK-XS-F-070</t>
        </is>
      </c>
      <c r="B602" s="3" t="inlineStr">
        <is>
          <t>resetPassword</t>
        </is>
      </c>
      <c r="C602" s="3" t="inlineStr">
        <is>
          <t>src/services/firebase.ts</t>
        </is>
      </c>
      <c r="D602" s="3" t="n">
        <v>385</v>
      </c>
      <c r="E602" s="3" t="inlineStr">
        <is>
          <t>1 · ACTION</t>
        </is>
      </c>
      <c r="F602" s="3" t="inlineStr">
        <is>
          <t>NOT DETERMINED — the code carries no note saying what this is for, and it has no row in the old inventory. Needs reading.</t>
        </is>
      </c>
      <c r="G602" s="11" t="inlineStr">
        <is>
          <t>sends a password-reset e-mail to the address</t>
        </is>
      </c>
      <c r="H602" s="3" t="inlineStr">
        <is>
          <t>Sends the password-reset e-mail. Not a calculation.</t>
        </is>
      </c>
      <c r="I602" s="3" t="inlineStr">
        <is>
          <t>READ BY HAND 2026-08-26 — checked line by line against the code</t>
        </is>
      </c>
      <c r="J602" s="3" t="inlineStr">
        <is>
          <t>email: string</t>
        </is>
      </c>
      <c r="K602" s="3" t="inlineStr">
        <is>
          <t>NOT DECLARED — the code does not say what it gives back</t>
        </is>
      </c>
      <c r="L602" s="3" t="inlineStr">
        <is>
          <t>—</t>
        </is>
      </c>
      <c r="M602" s="3" t="inlineStr">
        <is>
          <t>None found in this function — anything it assumes comes from the functions it depends on.</t>
        </is>
      </c>
      <c r="N602" s="3" t="inlineStr">
        <is>
          <t>Yes</t>
        </is>
      </c>
      <c r="O602" s="3" t="inlineStr">
        <is>
          <t>—</t>
        </is>
      </c>
      <c r="P602" s="3" t="n">
        <v>0</v>
      </c>
      <c r="Q602" s="3" t="inlineStr">
        <is>
          <t>None — no dependent function stands behind it</t>
        </is>
      </c>
      <c r="R602" s="3" t="inlineStr">
        <is>
          <t>No dependent function — it reads its inputs and answers</t>
        </is>
      </c>
      <c r="S602" s="3" t="inlineStr">
        <is>
          <t>—</t>
        </is>
      </c>
      <c r="T602" s="3" t="inlineStr">
        <is>
          <t>—</t>
        </is>
      </c>
      <c r="U602" s="3" t="inlineStr">
        <is>
          <t>ACTIVE</t>
        </is>
      </c>
      <c r="V602" s="3" t="inlineStr">
        <is>
          <t>2026-09-12</t>
        </is>
      </c>
      <c r="W602" s="3" t="n"/>
      <c r="X602" s="3" t="n"/>
      <c r="Y602" s="3" t="inlineStr">
        <is>
          <t>NOTHING OPEN</t>
        </is>
      </c>
    </row>
    <row r="603" ht="60" customHeight="1">
      <c r="A603" s="3" t="inlineStr">
        <is>
          <t>MK-XS-F-071</t>
        </is>
      </c>
      <c r="B603" s="3" t="inlineStr">
        <is>
          <t>onAuthChange</t>
        </is>
      </c>
      <c r="C603" s="3" t="inlineStr">
        <is>
          <t>src/services/firebase.ts</t>
        </is>
      </c>
      <c r="D603" s="3" t="n">
        <v>404</v>
      </c>
      <c r="E603" s="3" t="inlineStr">
        <is>
          <t>2 · DISPLAYED</t>
        </is>
      </c>
      <c r="F603" s="3" t="inlineStr">
        <is>
          <t>NOT DETERMINED — the code carries no note saying what this is for, and it has no row in the old inventory. Needs reading.</t>
        </is>
      </c>
      <c r="G603" s="11" t="inlineStr">
        <is>
          <t>on auth state changed(auth, callback)</t>
        </is>
      </c>
      <c r="H603" s="3" t="inlineStr">
        <is>
          <t>on auth state changed(auth, callback).</t>
        </is>
      </c>
      <c r="I603" s="3" t="inlineStr">
        <is>
          <t>READ FROM THE CODE — rendered from the expressions the function runs</t>
        </is>
      </c>
      <c r="J603" s="3" t="inlineStr">
        <is>
          <t>callback: (user: any) =&gt; void</t>
        </is>
      </c>
      <c r="K603" s="3" t="inlineStr">
        <is>
          <t>NOT DECLARED — the code does not say what it gives back</t>
        </is>
      </c>
      <c r="L603" s="3" t="inlineStr">
        <is>
          <t>NOT FOUND — a screen calls it, but the words printed beside its answer could not be traced automatically. Needs reading.</t>
        </is>
      </c>
      <c r="M603" s="3" t="inlineStr">
        <is>
          <t>None found in this function — anything it assumes comes from the functions it depends on.</t>
        </is>
      </c>
      <c r="N603" s="3" t="inlineStr">
        <is>
          <t>Yes</t>
        </is>
      </c>
      <c r="O603" s="3" t="inlineStr">
        <is>
          <t>—</t>
        </is>
      </c>
      <c r="P603" s="3" t="n">
        <v>0</v>
      </c>
      <c r="Q603" s="3" t="inlineStr">
        <is>
          <t>None — no dependent function stands behind it</t>
        </is>
      </c>
      <c r="R603" s="3" t="inlineStr">
        <is>
          <t>No dependent function — it reads its inputs and answers</t>
        </is>
      </c>
      <c r="S603" s="3" t="inlineStr">
        <is>
          <t>—</t>
        </is>
      </c>
      <c r="T603" s="3" t="inlineStr">
        <is>
          <t>—</t>
        </is>
      </c>
      <c r="U603" s="3" t="inlineStr">
        <is>
          <t>ACTIVE</t>
        </is>
      </c>
      <c r="V603" s="3" t="inlineStr">
        <is>
          <t>2026-08-27</t>
        </is>
      </c>
      <c r="W603" s="3" t="n"/>
      <c r="X603" s="3" t="n"/>
      <c r="Y603" s="3" t="inlineStr">
        <is>
          <t>NOTHING OPEN</t>
        </is>
      </c>
    </row>
    <row r="604" ht="60" customHeight="1">
      <c r="A604" s="3" t="inlineStr">
        <is>
          <t>MK-XS-F-072</t>
        </is>
      </c>
      <c r="B604" s="3" t="inlineStr">
        <is>
          <t>deleteAccount</t>
        </is>
      </c>
      <c r="C604" s="3" t="inlineStr">
        <is>
          <t>src/services/firebase.ts</t>
        </is>
      </c>
      <c r="D604" s="3" t="n">
        <v>429</v>
      </c>
      <c r="E604" s="3" t="inlineStr">
        <is>
          <t>1 · ACTION</t>
        </is>
      </c>
      <c r="F604" s="3" t="inlineStr">
        <is>
          <t>Permanently delete the signed-in user's account (App Store Guideline 5.1.1(v)).</t>
        </is>
      </c>
      <c r="G604" s="11" t="inlineStr">
        <is>
          <t>u = auth.current user
cred = email auth provider.credential(email, password)
root = await load user root(uid)</t>
        </is>
      </c>
      <c r="H604" s="3" t="inlineStr">
        <is>
          <t>U is auth.current user. Cred is email auth provider.credential(email, password). Root is await load user root(uid).</t>
        </is>
      </c>
      <c r="I604" s="3" t="inlineStr">
        <is>
          <t>PARTLY READ — some of the code is still showing through; needs a hand pass</t>
        </is>
      </c>
      <c r="J604" s="3" t="inlineStr">
        <is>
          <t>password: string</t>
        </is>
      </c>
      <c r="K604" s="3" t="inlineStr">
        <is>
          <t>Promise&lt;void&gt;</t>
        </is>
      </c>
      <c r="L604" s="3" t="inlineStr">
        <is>
          <t>—</t>
        </is>
      </c>
      <c r="M604" s="3" t="inlineStr">
        <is>
          <t>None found in this function — anything it assumes comes from the functions it depends on.</t>
        </is>
      </c>
      <c r="N604" s="3" t="inlineStr">
        <is>
          <t>Yes</t>
        </is>
      </c>
      <c r="O604" s="3" t="inlineStr">
        <is>
          <t>1. MK-XS-F-035 authenticate
2. MK-XS-F-043 clearDataKey
3. MK-XS-F-079 loadUserRoot
4. MK-XS-F-175 uid</t>
        </is>
      </c>
      <c r="P604" s="3" t="n">
        <v>91</v>
      </c>
      <c r="Q604" s="3" t="inlineStr">
        <is>
          <t>1. MK-XS-F-035 authenticate
2. MK-XS-F-043 clearDataKey
3. MK-XS-F-079 loadUserRoot
4. MK-XS-F-175 uid
5. MK-XS-F-132 load
6. MK-XS-F-137 secureDelete
7. MK-XS-F-055 decryptFromSync
8. MK-ST-F-027 accountId
9. MK-CF-F-111 applyTransaction
10. MK-NW-F-040 assetsFromOnboarding
11. MK-PF-F-013 benchmarkTicker
12. MK-ST-F-028 buildDayFromAccounts
13. MK-PF-F-034 closeOnOrBefore
14. MK-CF-F-186 convertTakeHomeMode
15. MK-ST-F-079 dailyWindowStart
16. MK-CF-F-038 debtsFromOnboarding
17. MK-XS-F-083 fetchPriceSeries
18. MK-PL-F-013 goalsFromOnboarding
19. MK-ST-F-056 has
20. MK-CF-F-116 inverseOf
21. MK-ST-F-065 isoLocalDate
22. MK-CF-F-112 makeTransaction
23. MK-CF-F-132 map
24. MK-XS-F-122 n
25. MK-ST-F-043 newEntityId
26. MK-XS-F-006 pruneDaily
27. MK-ST-F-073 rebuildDays
28. MK-NW-F-054 reclassifyAccounts
29. MK-XS-F-174 recomputeBalances
30. MK-CF-F-115 restoreUndo
31. MK-CF-F-109 reviewTransactions
32. MK-ST-F-044 setMoneyFormat
33. MK-CF-F-114 undoSnapshot
34. MK-CF-F-191 ym
35. MK-XS-F-053 decryptWithKey
36. MK-XS-F-042 getDataKey
37. MK-XS-F-051 isEncrypted
38. MK-CF-F-138 addLot
39. MK-CF-F-136 bumpCash
40. MK-CF-F-137 findPos
41. MK-CF-F-139 removeShares
42. MK-PF-F-001 totalShares
43. MK-ST-F-052 toNum
44. MK-ST-F-053 money
45. MK-CF-F-085 filingStatusOf
46. MK-CF-F-097 grossFromNet
47. MK-CF-F-185 needsTakeHomeConversion
48. MK-CF-F-089 over65CountOf
49. MK-CF-F-037 inferDebtType
50. MK-ST-F-069 amountOf
51. MK-CF-F-133 cashOf
52. MK-ST-F-066 isDayKey
53. MK-ST-F-070 isOpening
54. MK-ST-F-071 rebuildableFrom
55. MK-ST-F-068 stepDay
56. MK-ST-F-072 undo
57. MK-NW-F-053 correctClassOf
58. MK-NW-F-008 incomeBearingClassOf
59. MK-PF-F-002 costBasis
60. MK-PF-F-009 latestClose
61. MK-PF-F-004 marketValue
62. MK-ST-F-030 record
63. MK-XS-F-024 resolveLens
64. MK-ST-F-055 round2
65. MK-CF-F-162 daysApart
66. MK-CF-F-108 isMoneyOut
67. MK-PL-F-074 median
68. MK-CF-F-131 normPayee
69. MK-CF-F-113 affectedAccountIds
70. MK-XS-F-135 secureGet
71. MK-CF-F-134 usesSleeve
72. MK-ST-F-049 formatMoney
73. MK-CF-F-101 taxOwedFor
74. MK-ST-F-067 utcOfDay
75. MK-CF-F-155 cash
76. MK-ST-F-035 covers
77. MK-NW-F-009 maturityClass
78. MK-ST-F-010 nameEvidence
79. MK-PF-F-031 contractMultiplier
80. MK-CF-F-072 currentRetirementIncomeMonthly
81. MK-ST-F-048 currencySymbol
82. MK-ST-F-039 on
83. MK-CF-F-100 taxableIncomeFor
84. MK-ST-F-034 firstDate
85. MK-XS-F-147 call
86. MK-CF-F-075 retirementIncomeMonthly
87. MK-ST-F-047 activeCurrency
88. MK-CF-F-099 deductionFor
89. MK-XS-F-064 currentIdToken
90. MK-XS-F-112 relayUrl
91. MK-CF-F-187 seniorDeductionFor</t>
        </is>
      </c>
      <c r="R604" s="3" t="inlineStr">
        <is>
          <t>1. MK-XS-F-132 load → MK-XS-F-035 authenticate → MK-XS-F-072 deleteAccount
2. MK-XS-F-137 secureDelete → MK-XS-F-043 clearDataKey → MK-XS-F-072 deleteAccount
3. MK-XS-F-051 isEncrypted → MK-XS-F-053 decryptWithKey → MK-XS-F-055 decryptFromSync → MK-XS-F-079 loadUserRoot → MK-XS-F-072 deleteAccount
4. MK-XS-F-135 secureGet → MK-XS-F-042 getDataKey → MK-XS-F-055 decryptFromSync → MK-XS-F-079 loadUserRoot → MK-XS-F-072 deleteAccount
5. MK-XS-F-051 isEncrypted → MK-XS-F-055 decryptFromSync → MK-XS-F-079 loadUserRoot → MK-XS-F-072 deleteAccount
6. MK-ST-F-027 accountId → MK-XS-F-175 uid → MK-XS-F-079 loadUserRoot → MK-XS-F-072 deleteAccount
7. MK-CF-F-137 findPos → MK-CF-F-138 addLot → MK-CF-F-111 applyTransaction → MK-XS-F-175 uid → MK-XS-F-079 loadUserRoot → MK-XS-F-072 deleteAccount
8. MK-CF-F-132 map → MK-CF-F-138 addLot → MK-CF-F-111 applyTransaction → MK-XS-F-175 uid → MK-XS-F-079 loadUserRoot → MK-XS-F-072 deleteAccount
9. … and 5 more paths</t>
        </is>
      </c>
      <c r="S604" s="3" t="inlineStr">
        <is>
          <t>—</t>
        </is>
      </c>
      <c r="T604" s="3" t="inlineStr">
        <is>
          <t>—</t>
        </is>
      </c>
      <c r="U604" s="3" t="inlineStr">
        <is>
          <t>ACTIVE</t>
        </is>
      </c>
      <c r="V604" s="3" t="inlineStr">
        <is>
          <t>2026-08-27</t>
        </is>
      </c>
      <c r="W604" s="3" t="n"/>
      <c r="X604" s="3" t="n"/>
      <c r="Y604" s="3" t="inlineStr">
        <is>
          <t>NOTHING OPEN</t>
        </is>
      </c>
    </row>
    <row r="605" ht="60" customHeight="1">
      <c r="A605" s="3" t="inlineStr">
        <is>
          <t>MK-XS-F-073</t>
        </is>
      </c>
      <c r="B605" s="3" t="inlineStr">
        <is>
          <t>saveUserData</t>
        </is>
      </c>
      <c r="C605" s="3" t="inlineStr">
        <is>
          <t>src/services/firebase.ts</t>
        </is>
      </c>
      <c r="D605" s="3" t="n">
        <v>471</v>
      </c>
      <c r="E605" s="3" t="inlineStr">
        <is>
          <t>1 · ACTION</t>
        </is>
      </c>
      <c r="F605" s="3" t="inlineStr">
        <is>
          <t>Sync fields stored ENCRYPTED under users/{uid}.appStateEnc (zero-knowledge — see dataCrypto.ts).</t>
        </is>
      </c>
      <c r="G605" s="11" t="inlineStr">
        <is>
          <t>clean = JSON.parse(JSON.stringify(data ?? {}))
enc = await encrypt for sync(clean)</t>
        </is>
      </c>
      <c r="H605" s="3" t="inlineStr">
        <is>
          <t>Clean is JSON.parse(JSON.stringify(data ?? {})). Enc is await encrypt for sync(clean).</t>
        </is>
      </c>
      <c r="I605" s="3" t="inlineStr">
        <is>
          <t>PARTLY READ — some of the code is still showing through; needs a hand pass</t>
        </is>
      </c>
      <c r="J605" s="3" t="inlineStr">
        <is>
          <t>1. uid: string
2. data: object</t>
        </is>
      </c>
      <c r="K605" s="3" t="inlineStr">
        <is>
          <t>NOT DECLARED — the code does not say what it gives back</t>
        </is>
      </c>
      <c r="L605" s="3" t="inlineStr">
        <is>
          <t>—</t>
        </is>
      </c>
      <c r="M605" s="3" t="inlineStr">
        <is>
          <t>None found in this function — anything it assumes comes from the functions it depends on.</t>
        </is>
      </c>
      <c r="N605" s="3" t="inlineStr">
        <is>
          <t>Yes</t>
        </is>
      </c>
      <c r="O605" s="3" t="inlineStr">
        <is>
          <t>1. MK-XS-F-054 encryptForSync
2. MK-XS-F-175 uid</t>
        </is>
      </c>
      <c r="P605" s="3" t="n">
        <v>85</v>
      </c>
      <c r="Q605" s="3" t="inlineStr">
        <is>
          <t>1. MK-XS-F-054 encryptForSync
2. MK-XS-F-175 uid
3. MK-XS-F-052 encryptWithKey
4. MK-XS-F-042 getDataKey
5. MK-ST-F-027 accountId
6. MK-CF-F-111 applyTransaction
7. MK-NW-F-040 assetsFromOnboarding
8. MK-PF-F-013 benchmarkTicker
9. MK-ST-F-028 buildDayFromAccounts
10. MK-PF-F-034 closeOnOrBefore
11. MK-CF-F-186 convertTakeHomeMode
12. MK-ST-F-079 dailyWindowStart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MK-XS-F-135 secureGet
33. MK-CF-F-138 addLot
34. MK-CF-F-136 bumpCash
35. MK-CF-F-137 findPos
36. MK-CF-F-139 removeShares
37. MK-PF-F-001 totalShares
38. MK-ST-F-052 toNum
39. MK-ST-F-053 money
40. MK-CF-F-085 filingStatusOf
41. MK-CF-F-097 grossFromNet
42. MK-CF-F-185 needsTakeHomeConversion
43. MK-CF-F-089 over65CountOf
44. MK-CF-F-037 inferDebtType
45. MK-ST-F-069 amountOf
46. MK-CF-F-133 cashOf
47. MK-ST-F-066 isDayKey
48. MK-ST-F-070 isOpening
49. MK-ST-F-071 rebuildableFrom
50. MK-ST-F-068 stepDay
51. MK-ST-F-072 undo
52. MK-NW-F-053 correctClassOf
53. MK-NW-F-008 incomeBearingClassOf
54. MK-PF-F-002 costBasis
55. MK-PF-F-009 latestClose
56. MK-PF-F-004 marketValue
57. MK-ST-F-030 record
58. MK-XS-F-024 resolveLens
59. MK-ST-F-055 round2
60. MK-CF-F-162 daysApart
61. MK-CF-F-108 isMoneyOut
62. MK-PL-F-074 median
63. MK-CF-F-131 normPayee
64. MK-CF-F-113 affectedAccountIds
65. MK-CF-F-134 usesSleeve
66. MK-ST-F-049 formatMoney
67. MK-CF-F-101 taxOwedFor
68. MK-ST-F-067 utcOfDay
69. MK-CF-F-155 cash
70. MK-ST-F-035 covers
71. MK-NW-F-009 maturityClass
72. MK-ST-F-010 nameEvidence
73. MK-PF-F-031 contractMultiplier
74. MK-CF-F-072 currentRetirementIncomeMonthly
75. MK-ST-F-048 currencySymbol
76. MK-ST-F-039 on
77. MK-CF-F-100 taxableIncomeFor
78. MK-ST-F-034 firstDate
79. MK-XS-F-147 call
80. MK-CF-F-075 retirementIncomeMonthly
81. MK-ST-F-047 activeCurrency
82. MK-CF-F-099 deductionFor
83. MK-XS-F-064 currentIdToken
84. MK-XS-F-112 relayUrl
85. MK-CF-F-187 seniorDeductionFor</t>
        </is>
      </c>
      <c r="R605" s="3" t="inlineStr">
        <is>
          <t>1. MK-XS-F-052 encryptWithKey → MK-XS-F-054 encryptForSync → MK-XS-F-073 saveUserData
2. MK-XS-F-135 secureGet → MK-XS-F-042 getDataKey → MK-XS-F-054 encryptForSync → MK-XS-F-073 saveUserData
3. MK-ST-F-027 accountId → MK-XS-F-175 uid → MK-XS-F-073 saveUserData
4. MK-CF-F-137 findPos → MK-CF-F-138 addLot → MK-CF-F-111 applyTransaction → MK-XS-F-175 uid → MK-XS-F-073 saveUserData
5. MK-CF-F-132 map → MK-CF-F-138 addLot → MK-CF-F-111 applyTransaction → MK-XS-F-175 uid → MK-XS-F-073 saveUserData
6. MK-ST-F-043 newEntityId → MK-CF-F-138 addLot → MK-CF-F-111 applyTransaction → MK-XS-F-175 uid → MK-XS-F-073 saveUserData
7. MK-CF-F-134 usesSleeve → MK-CF-F-136 bumpCash → MK-CF-F-111 applyTransaction → MK-XS-F-175 uid → MK-XS-F-073 saveUserData
8. MK-CF-F-137 findPos → MK-CF-F-111 applyTransaction → MK-XS-F-175 uid → MK-XS-F-073 saveUserData
9. … and 4 more paths</t>
        </is>
      </c>
      <c r="S605" s="3" t="inlineStr">
        <is>
          <t>—</t>
        </is>
      </c>
      <c r="T605" s="3" t="inlineStr">
        <is>
          <t>—</t>
        </is>
      </c>
      <c r="U605" s="3" t="inlineStr">
        <is>
          <t>ACTIVE</t>
        </is>
      </c>
      <c r="V605" s="3" t="inlineStr">
        <is>
          <t>2026-08-27</t>
        </is>
      </c>
      <c r="W605" s="3" t="n"/>
      <c r="X605" s="3" t="n"/>
      <c r="Y605" s="3" t="inlineStr">
        <is>
          <t>NOTHING OPEN</t>
        </is>
      </c>
    </row>
    <row r="606" ht="60" customHeight="1">
      <c r="A606" s="3" t="inlineStr">
        <is>
          <t>MK-XS-F-074</t>
        </is>
      </c>
      <c r="B606" s="3" t="inlineStr">
        <is>
          <t>loadUserData</t>
        </is>
      </c>
      <c r="C606" s="3" t="inlineStr">
        <is>
          <t>src/services/firebase.ts</t>
        </is>
      </c>
      <c r="D606" s="3" t="n">
        <v>501</v>
      </c>
      <c r="E606" s="3" t="inlineStr">
        <is>
          <t>4 · BRINGS DATA IN</t>
        </is>
      </c>
      <c r="F606" s="3" t="inlineStr">
        <is>
          <t>NOT DETERMINED — the code carries no note saying what this is for, and it has no row in the old inventory. Needs reading.</t>
        </is>
      </c>
      <c r="G606" s="11" t="inlineStr">
        <is>
          <t>snap = await get doc(doc(db, 'users', uid))
nothing   when !snap.exists()
d = snap.data()
await decrypt from sync(app state enc)   when app state enc ≠ nothing
the answer = app state (or nothing when missing)</t>
        </is>
      </c>
      <c r="H606" s="3" t="inlineStr">
        <is>
          <t>Snap is await get doc(doc(db, 'users', uid)). When !snap.exists(), it answers no answer. D is snap.data(). When app state enc is not no answer, it answers await decrypt from sync(app state enc). The answer is app state (or no answer — when missing).</t>
        </is>
      </c>
      <c r="I606" s="3" t="inlineStr">
        <is>
          <t>PARTLY READ — some of the code is still showing through; needs a hand pass</t>
        </is>
      </c>
      <c r="J606" s="3" t="inlineStr">
        <is>
          <t>uid: string</t>
        </is>
      </c>
      <c r="K606" s="3" t="inlineStr">
        <is>
          <t>Promise&lt;Record&lt;string, any&gt; | null&gt;</t>
        </is>
      </c>
      <c r="L606" s="3" t="inlineStr">
        <is>
          <t>"Restore your data" — on the auth screen</t>
        </is>
      </c>
      <c r="M606" s="3" t="inlineStr">
        <is>
          <t>None found in this function — anything it assumes comes from the functions it depends on.</t>
        </is>
      </c>
      <c r="N606" s="3" t="inlineStr">
        <is>
          <t>Yes</t>
        </is>
      </c>
      <c r="O606" s="3" t="inlineStr">
        <is>
          <t>1. MK-XS-F-055 decryptFromSync
2. MK-XS-F-175 uid</t>
        </is>
      </c>
      <c r="P606" s="3" t="n">
        <v>86</v>
      </c>
      <c r="Q606" s="3" t="inlineStr">
        <is>
          <t>1. MK-XS-F-055 decryptFromSync
2. MK-XS-F-175 uid
3. MK-XS-F-053 decryptWithKey
4. MK-XS-F-042 getDataKey
5. MK-XS-F-051 isEncrypted
6. MK-ST-F-027 accountId
7. MK-CF-F-111 applyTransaction
8. MK-NW-F-040 assetsFromOnboarding
9. MK-PF-F-013 benchmarkTicker
10. MK-ST-F-028 buildDayFromAccounts
11. MK-PF-F-034 closeOnOrBefore
12. MK-CF-F-186 convertTakeHomeMode
13. MK-ST-F-079 dailyWindowStart
14. MK-CF-F-038 debtsFromOnboarding
15. MK-XS-F-083 fetchPriceSeries
16. MK-PL-F-013 goalsFromOnboarding
17. MK-ST-F-056 has
18. MK-CF-F-116 inverseOf
19. MK-ST-F-065 isoLocalDate
20. MK-CF-F-112 makeTransaction
21. MK-CF-F-132 map
22. MK-XS-F-122 n
23. MK-ST-F-043 newEntityId
24. MK-XS-F-006 pruneDaily
25. MK-ST-F-073 rebuildDays
26. MK-NW-F-054 reclassifyAccounts
27. MK-XS-F-174 recomputeBalances
28. MK-CF-F-115 restoreUndo
29. MK-CF-F-109 reviewTransactions
30. MK-ST-F-044 setMoneyFormat
31. MK-CF-F-114 undoSnapshot
32. MK-CF-F-191 ym
33. MK-XS-F-135 secureGet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is>
      </c>
      <c r="R606" s="3" t="inlineStr">
        <is>
          <t>1. MK-XS-F-051 isEncrypted → MK-XS-F-053 decryptWithKey → MK-XS-F-055 decryptFromSync → MK-XS-F-074 loadUserData
2. MK-XS-F-135 secureGet → MK-XS-F-042 getDataKey → MK-XS-F-055 decryptFromSync → MK-XS-F-074 loadUserData
3. MK-XS-F-051 isEncrypted → MK-XS-F-055 decryptFromSync → MK-XS-F-074 loadUserData
4. MK-ST-F-027 accountId → MK-XS-F-175 uid → MK-XS-F-074 loadUserData
5. MK-CF-F-137 findPos → MK-CF-F-138 addLot → MK-CF-F-111 applyTransaction → MK-XS-F-175 uid → MK-XS-F-074 loadUserData
6. MK-CF-F-132 map → MK-CF-F-138 addLot → MK-CF-F-111 applyTransaction → MK-XS-F-175 uid → MK-XS-F-074 loadUserData
7. MK-ST-F-043 newEntityId → MK-CF-F-138 addLot → MK-CF-F-111 applyTransaction → MK-XS-F-175 uid → MK-XS-F-074 loadUserData
8. MK-CF-F-134 usesSleeve → MK-CF-F-136 bumpCash → MK-CF-F-111 applyTransaction → MK-XS-F-175 uid → MK-XS-F-074 loadUserData
9. … and 4 more paths</t>
        </is>
      </c>
      <c r="S606" s="3" t="inlineStr">
        <is>
          <t>—</t>
        </is>
      </c>
      <c r="T606" s="3" t="inlineStr">
        <is>
          <t>—</t>
        </is>
      </c>
      <c r="U606" s="3" t="inlineStr">
        <is>
          <t>ACTIVE</t>
        </is>
      </c>
      <c r="V606" s="3" t="inlineStr">
        <is>
          <t>2026-08-27</t>
        </is>
      </c>
      <c r="W606" s="3" t="n"/>
      <c r="X606" s="3" t="n"/>
      <c r="Y606" s="3" t="inlineStr">
        <is>
          <t>NOTHING OPEN</t>
        </is>
      </c>
    </row>
    <row r="607" ht="45" customHeight="1">
      <c r="A607" s="3" t="inlineStr">
        <is>
          <t>MK-XS-F-075</t>
        </is>
      </c>
      <c r="B607" s="3" t="inlineStr">
        <is>
          <t>createInvite</t>
        </is>
      </c>
      <c r="C607" s="3" t="inlineStr">
        <is>
          <t>src/services/firebase.ts</t>
        </is>
      </c>
      <c r="D607" s="3" t="n">
        <v>557</v>
      </c>
      <c r="E607" s="3" t="inlineStr">
        <is>
          <t>2 · DISPLAYED (presentation only)</t>
        </is>
      </c>
      <c r="F607" s="3" t="inlineStr">
        <is>
          <t>Create an invite code pointing at this household's shared data doc.</t>
        </is>
      </c>
      <c r="G607" s="11" t="inlineStr">
        <is>
          <t>code = make invite code()
the answer = code</t>
        </is>
      </c>
      <c r="H607" s="3" t="inlineStr">
        <is>
          <t>Code is make invite code(). The answer is code.</t>
        </is>
      </c>
      <c r="I607" s="3" t="inlineStr">
        <is>
          <t>READ FROM THE CODE — rendered from the expressions the function runs</t>
        </is>
      </c>
      <c r="J607" s="3" t="inlineStr">
        <is>
          <t>1. householdId: string
2. inviterName: string | null</t>
        </is>
      </c>
      <c r="K607" s="3" t="inlineStr">
        <is>
          <t>Promise&lt;string&gt;</t>
        </is>
      </c>
      <c r="L607" s="3" t="inlineStr">
        <is>
          <t>"Vesting schedule" — on the setup questions, which appear on more than one screen</t>
        </is>
      </c>
      <c r="M607" s="3" t="inlineStr">
        <is>
          <t>None found in this function — anything it assumes comes from the functions it depends on.</t>
        </is>
      </c>
      <c r="N607" s="3" t="inlineStr">
        <is>
          <t>Yes</t>
        </is>
      </c>
      <c r="O607" s="3" t="inlineStr">
        <is>
          <t>MK-XS-F-142 makeInviteCode</t>
        </is>
      </c>
      <c r="P607" s="3" t="n">
        <v>1</v>
      </c>
      <c r="Q607" s="3" t="inlineStr">
        <is>
          <t>MK-XS-F-142 makeInviteCode</t>
        </is>
      </c>
      <c r="R607" s="3" t="inlineStr">
        <is>
          <t>MK-XS-F-142 makeInviteCode → MK-XS-F-075 createInvite</t>
        </is>
      </c>
      <c r="S607" s="3" t="inlineStr">
        <is>
          <t>—</t>
        </is>
      </c>
      <c r="T607" s="3" t="inlineStr">
        <is>
          <t>—</t>
        </is>
      </c>
      <c r="U607" s="3" t="inlineStr">
        <is>
          <t>ACTIVE</t>
        </is>
      </c>
      <c r="V607" s="3" t="inlineStr">
        <is>
          <t>2026-08-27</t>
        </is>
      </c>
      <c r="W607" s="3" t="n"/>
      <c r="X607" s="3" t="n"/>
      <c r="Y607" s="3" t="inlineStr">
        <is>
          <t>NOTHING OPEN</t>
        </is>
      </c>
    </row>
    <row r="608" ht="60" customHeight="1">
      <c r="A608" s="3" t="inlineStr">
        <is>
          <t>MK-XS-F-076</t>
        </is>
      </c>
      <c r="B608" s="3" t="inlineStr">
        <is>
          <t>lookupInvite</t>
        </is>
      </c>
      <c r="C608" s="3" t="inlineStr">
        <is>
          <t>src/services/firebase.ts</t>
        </is>
      </c>
      <c r="D608" s="3" t="n">
        <v>588</v>
      </c>
      <c r="E608" s="3" t="inlineStr">
        <is>
          <t>4 · BRINGS DATA IN</t>
        </is>
      </c>
      <c r="F608" s="3" t="inlineStr">
        <is>
          <t>NOT DETERMINED — the code carries no note saying what this is for, and it has no row in the old inventory. Needs reading.</t>
        </is>
      </c>
      <c r="G608" s="11" t="inlineStr">
        <is>
          <t>snap = await get doc(doc(db, 'invites', code.trim().to upper case()))
nothing   when !snap.exists()
d = snap.data() as any
the answer:
household id = household id
inviter name = inviter name (or nothing when missing)   if household id
nothing   otherwise</t>
        </is>
      </c>
      <c r="H608" s="3" t="inlineStr">
        <is>
          <t>Snap is await get doc(doc(db, 'invites', code.trim().to upper case())). When !snap.exists(), it answers no answer. D is snap.data() as any. The answer is household id = household id; inviter name = inviter name (or no answer when missing) — when household id; no answer — otherwise.</t>
        </is>
      </c>
      <c r="I608" s="3" t="inlineStr">
        <is>
          <t>PARTLY READ — some of the code is still showing through; needs a hand pass</t>
        </is>
      </c>
      <c r="J608" s="3" t="inlineStr">
        <is>
          <t>code: string</t>
        </is>
      </c>
      <c r="K608" s="3" t="inlineStr">
        <is>
          <t>Promise&lt;</t>
        </is>
      </c>
      <c r="L608" s="3" t="inlineStr">
        <is>
          <t>—</t>
        </is>
      </c>
      <c r="M608" s="3" t="inlineStr">
        <is>
          <t>None found in this function — anything it assumes comes from the functions it depends on.</t>
        </is>
      </c>
      <c r="N608" s="3" t="inlineStr">
        <is>
          <t>Yes</t>
        </is>
      </c>
      <c r="O608" s="3" t="inlineStr">
        <is>
          <t>—</t>
        </is>
      </c>
      <c r="P608" s="3" t="n">
        <v>0</v>
      </c>
      <c r="Q608" s="3" t="inlineStr">
        <is>
          <t>None — no dependent function stands behind it</t>
        </is>
      </c>
      <c r="R608" s="3" t="inlineStr">
        <is>
          <t>No dependent function — it reads its inputs and answers</t>
        </is>
      </c>
      <c r="S608" s="3" t="inlineStr">
        <is>
          <t>—</t>
        </is>
      </c>
      <c r="T608" s="3" t="inlineStr">
        <is>
          <t>—</t>
        </is>
      </c>
      <c r="U608" s="3" t="inlineStr">
        <is>
          <t>ACTIVE</t>
        </is>
      </c>
      <c r="V608" s="3" t="inlineStr">
        <is>
          <t>2026-08-27</t>
        </is>
      </c>
      <c r="W608" s="3" t="n"/>
      <c r="X608" s="3" t="n"/>
      <c r="Y608" s="3" t="inlineStr">
        <is>
          <t>NOTHING OPEN</t>
        </is>
      </c>
    </row>
    <row r="609" ht="60" customHeight="1">
      <c r="A609" s="3" t="inlineStr">
        <is>
          <t>MK-XS-F-077</t>
        </is>
      </c>
      <c r="B609" s="3" t="inlineStr">
        <is>
          <t>setUserHousehold</t>
        </is>
      </c>
      <c r="C609" s="3" t="inlineStr">
        <is>
          <t>src/services/firebase.ts</t>
        </is>
      </c>
      <c r="D609" s="3" t="n">
        <v>611</v>
      </c>
      <c r="E609" s="3" t="inlineStr">
        <is>
          <t>1 · ACTION</t>
        </is>
      </c>
      <c r="F609" s="3" t="inlineStr">
        <is>
          <t>Record household membership on the member's own user doc (survives reinstall/new device).</t>
        </is>
      </c>
      <c r="G609" s="11" t="inlineStr">
        <is>
          <t>It reaches outside the app for data and hands back what came back — no arithmetic of its own.</t>
        </is>
      </c>
      <c r="H609" s="3" t="inlineStr">
        <is>
          <t>It reaches outside the app for data and hands back what came back — no arithmetic of its own.</t>
        </is>
      </c>
      <c r="I609" s="3" t="inlineStr">
        <is>
          <t>NO ARITHMETIC — there is no formula to state</t>
        </is>
      </c>
      <c r="J609" s="3" t="inlineStr">
        <is>
          <t>1. uid: string
2. householdId: string</t>
        </is>
      </c>
      <c r="K609" s="3" t="inlineStr">
        <is>
          <t>Promise&lt;void&gt;</t>
        </is>
      </c>
      <c r="L609" s="3" t="inlineStr">
        <is>
          <t>—</t>
        </is>
      </c>
      <c r="M609" s="3" t="inlineStr">
        <is>
          <t>None found in this function — anything it assumes comes from the functions it depends on.</t>
        </is>
      </c>
      <c r="N609" s="3" t="inlineStr">
        <is>
          <t>Yes</t>
        </is>
      </c>
      <c r="O609" s="3" t="inlineStr">
        <is>
          <t>1. MK-XS-F-074 loadUserData
2. MK-XS-F-175 uid</t>
        </is>
      </c>
      <c r="P609" s="3" t="n">
        <v>87</v>
      </c>
      <c r="Q609" s="3" t="inlineStr">
        <is>
          <t>1. MK-XS-F-074 loadUserData
2. MK-XS-F-175 uid
3. MK-XS-F-055 decryptFromSync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MK-XS-F-053 decryptWithKey
32. MK-XS-F-042 getDataKey
33. MK-XS-F-051 isEncrypted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MK-XS-F-135 secureGet
67. MK-CF-F-134 usesSleeve
68. MK-ST-F-049 formatMoney
69. MK-CF-F-101 taxOwedFor
70. MK-ST-F-067 utcOfDay
71. MK-CF-F-155 cash
72. MK-ST-F-035 covers
73. MK-NW-F-009 maturityClass
74. MK-ST-F-010 nameEvidence
75. MK-PF-F-031 contractMultiplier
76. MK-CF-F-072 currentRetirementIncomeMonthly
77. MK-ST-F-048 currencySymbol
78. MK-ST-F-039 on
79. MK-CF-F-100 taxableIncomeFor
80. MK-ST-F-034 firstDate
81. MK-XS-F-147 call
82. MK-CF-F-075 retirementIncomeMonthly
83. MK-ST-F-047 activeCurrency
84. MK-CF-F-099 deductionFor
85. MK-XS-F-064 currentIdToken
86. MK-XS-F-112 relayUrl
87. MK-CF-F-187 seniorDeductionFor</t>
        </is>
      </c>
      <c r="R609" s="3" t="inlineStr">
        <is>
          <t>1. MK-XS-F-051 isEncrypted → MK-XS-F-053 decryptWithKey → MK-XS-F-055 decryptFromSync → MK-XS-F-074 loadUserData → MK-XS-F-077 setUserHousehold
2. MK-XS-F-135 secureGet → MK-XS-F-042 getDataKey → MK-XS-F-055 decryptFromSync → MK-XS-F-074 loadUserData → MK-XS-F-077 setUserHousehold
3. MK-XS-F-051 isEncrypted → MK-XS-F-055 decryptFromSync → MK-XS-F-074 loadUserData → MK-XS-F-077 setUserHousehold
4. MK-ST-F-027 accountId → MK-XS-F-175 uid → MK-XS-F-074 loadUserData → MK-XS-F-077 setUserHousehold
5. MK-CF-F-137 findPos → MK-CF-F-138 addLot → MK-CF-F-111 applyTransaction → MK-XS-F-175 uid → MK-XS-F-074 loadUserData → MK-XS-F-077 setUserHousehold
6. MK-CF-F-132 map → MK-CF-F-138 addLot → MK-CF-F-111 applyTransaction → MK-XS-F-175 uid → MK-XS-F-074 loadUserData → MK-XS-F-077 setUserHousehold
7. MK-ST-F-043 newEntityId → MK-CF-F-138 addLot → MK-CF-F-111 applyTransaction → MK-XS-F-175 uid → MK-XS-F-074 loadUserData → MK-XS-F-077 setUserHousehold
8. MK-CF-F-134 usesSleeve → MK-CF-F-136 bumpCash → MK-CF-F-111 applyTransaction → MK-XS-F-175 uid → MK-XS-F-074 loadUserData → MK-XS-F-077 setUserHousehold
9. … and 5 more paths</t>
        </is>
      </c>
      <c r="S609" s="3" t="inlineStr">
        <is>
          <t>—</t>
        </is>
      </c>
      <c r="T609" s="3" t="inlineStr">
        <is>
          <t>—</t>
        </is>
      </c>
      <c r="U609" s="3" t="inlineStr">
        <is>
          <t>ACTIVE</t>
        </is>
      </c>
      <c r="V609" s="3" t="inlineStr">
        <is>
          <t>2026-08-27</t>
        </is>
      </c>
      <c r="W609" s="3" t="n"/>
      <c r="X609" s="3" t="n"/>
      <c r="Y609" s="3" t="inlineStr">
        <is>
          <t>NOTHING OPEN</t>
        </is>
      </c>
    </row>
    <row r="610" ht="60" customHeight="1">
      <c r="A610" s="3" t="inlineStr">
        <is>
          <t>MK-XS-F-078</t>
        </is>
      </c>
      <c r="B610" s="3" t="inlineStr">
        <is>
          <t>joinHouseholdMembership</t>
        </is>
      </c>
      <c r="C610" s="3" t="inlineStr">
        <is>
          <t>src/services/firebase.ts</t>
        </is>
      </c>
      <c r="D610" s="3" t="n">
        <v>636</v>
      </c>
      <c r="E610" s="3" t="inlineStr">
        <is>
          <t>1 · ACTION</t>
        </is>
      </c>
      <c r="F610" s="3" t="inlineStr">
        <is>
          <t>Claim membership in {householdId} by writing the member doc the security rules gate access on.</t>
        </is>
      </c>
      <c r="G610" s="11" t="inlineStr">
        <is>
          <t>It reaches outside the app for data and hands back what came back — no arithmetic of its own.</t>
        </is>
      </c>
      <c r="H610" s="3" t="inlineStr">
        <is>
          <t>It reaches outside the app for data and hands back what came back — no arithmetic of its own.</t>
        </is>
      </c>
      <c r="I610" s="3" t="inlineStr">
        <is>
          <t>NO ARITHMETIC — there is no formula to state</t>
        </is>
      </c>
      <c r="J610" s="3" t="inlineStr">
        <is>
          <t>1. uid: string
2. householdId: string
3. code: string</t>
        </is>
      </c>
      <c r="K610" s="3" t="inlineStr">
        <is>
          <t>Promise&lt;void&gt;</t>
        </is>
      </c>
      <c r="L610" s="3" t="inlineStr">
        <is>
          <t>—</t>
        </is>
      </c>
      <c r="M610" s="3" t="inlineStr">
        <is>
          <t>None found in this function — anything it assumes comes from the functions it depends on.</t>
        </is>
      </c>
      <c r="N610" s="3" t="inlineStr">
        <is>
          <t>Yes</t>
        </is>
      </c>
      <c r="O610" s="3" t="inlineStr">
        <is>
          <t>MK-XS-F-175 uid</t>
        </is>
      </c>
      <c r="P610" s="3" t="n">
        <v>81</v>
      </c>
      <c r="Q610"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610" s="3" t="inlineStr">
        <is>
          <t>1. MK-ST-F-027 accountId → MK-XS-F-175 uid → MK-XS-F-078 joinHouseholdMembership
2. MK-CF-F-137 findPos → MK-CF-F-138 addLot → MK-CF-F-111 applyTransaction → MK-XS-F-175 uid → MK-XS-F-078 joinHouseholdMembership
3. MK-CF-F-132 map → MK-CF-F-138 addLot → MK-CF-F-111 applyTransaction → MK-XS-F-175 uid → MK-XS-F-078 joinHouseholdMembership
4. MK-ST-F-043 newEntityId → MK-CF-F-138 addLot → MK-CF-F-111 applyTransaction → MK-XS-F-175 uid → MK-XS-F-078 joinHouseholdMembership
5. MK-CF-F-134 usesSleeve → MK-CF-F-136 bumpCash → MK-CF-F-111 applyTransaction → MK-XS-F-175 uid → MK-XS-F-078 joinHouseholdMembership
6. MK-CF-F-137 findPos → MK-CF-F-111 applyTransaction → MK-XS-F-175 uid → MK-XS-F-078 joinHouseholdMembership
7. MK-CF-F-132 map → MK-CF-F-111 applyTransaction → MK-XS-F-175 uid → MK-XS-F-078 joinHouseholdMembership
8. MK-CF-F-137 findPos → MK-CF-F-139 removeShares → MK-CF-F-111 applyTransaction → MK-XS-F-175 uid → MK-XS-F-078 joinHouseholdMembership
9. … and 4 more paths</t>
        </is>
      </c>
      <c r="S610" s="3" t="inlineStr">
        <is>
          <t>—</t>
        </is>
      </c>
      <c r="T610" s="3" t="inlineStr">
        <is>
          <t>—</t>
        </is>
      </c>
      <c r="U610" s="3" t="inlineStr">
        <is>
          <t>ACTIVE</t>
        </is>
      </c>
      <c r="V610" s="3" t="inlineStr">
        <is>
          <t>2026-08-27</t>
        </is>
      </c>
      <c r="W610" s="3" t="n"/>
      <c r="X610" s="3" t="n"/>
      <c r="Y610" s="3" t="inlineStr">
        <is>
          <t>NOTHING OPEN</t>
        </is>
      </c>
    </row>
    <row r="611" ht="60" customHeight="1">
      <c r="A611" s="3" t="inlineStr">
        <is>
          <t>MK-XS-F-079</t>
        </is>
      </c>
      <c r="B611" s="3" t="inlineStr">
        <is>
          <t>loadUserRoot</t>
        </is>
      </c>
      <c r="C611" s="3" t="inlineStr">
        <is>
          <t>src/services/firebase.ts</t>
        </is>
      </c>
      <c r="D611" s="3" t="n">
        <v>670</v>
      </c>
      <c r="E611" s="3" t="inlineStr">
        <is>
          <t>4 · BRINGS DATA IN</t>
        </is>
      </c>
      <c r="F611" s="3" t="inlineStr">
        <is>
          <t>The member's own top-level doc fields (householdId + decrypted appState) in one read.</t>
        </is>
      </c>
      <c r="G611" s="11" t="inlineStr">
        <is>
          <t>snap = await get doc(doc(db, 'users', uid))
household id = nothing
app state = nothing   when !snap.exists()
d = snap.data() as any
app state = await decrypt from sync(app state enc)   if app state enc ≠ nothing
app state (or nothing when missing)   otherwise
the answer:
household id = household id (or nothing when missing)
app state = app state</t>
        </is>
      </c>
      <c r="H611" s="3" t="inlineStr">
        <is>
          <t>Snap is await get doc(doc(db, 'users', uid)). When !snap.exists(), it answers household id is missing; app state is missing. D is snap.data() as any. App state is await decrypt from sync(app state enc) — when app state enc is not no answer; app state (or no answer — when missing) — otherwise. The answer is household id = household id (or no answer — when missing); app state = app state.</t>
        </is>
      </c>
      <c r="I611" s="3" t="inlineStr">
        <is>
          <t>PARTLY READ — some of the code is still showing through; needs a hand pass</t>
        </is>
      </c>
      <c r="J611" s="3" t="inlineStr">
        <is>
          <t>uid: string</t>
        </is>
      </c>
      <c r="K611" s="3" t="inlineStr">
        <is>
          <t>Promise&lt;</t>
        </is>
      </c>
      <c r="L611" s="3" t="inlineStr">
        <is>
          <t>—</t>
        </is>
      </c>
      <c r="M611" s="3" t="inlineStr">
        <is>
          <t>None found in this function — anything it assumes comes from the functions it depends on.</t>
        </is>
      </c>
      <c r="N611" s="3" t="inlineStr">
        <is>
          <t>Yes</t>
        </is>
      </c>
      <c r="O611" s="3" t="inlineStr">
        <is>
          <t>1. MK-XS-F-055 decryptFromSync
2. MK-XS-F-175 uid</t>
        </is>
      </c>
      <c r="P611" s="3" t="n">
        <v>86</v>
      </c>
      <c r="Q611" s="3" t="inlineStr">
        <is>
          <t>1. MK-XS-F-055 decryptFromSync
2. MK-XS-F-175 uid
3. MK-XS-F-053 decryptWithKey
4. MK-XS-F-042 getDataKey
5. MK-XS-F-051 isEncrypted
6. MK-ST-F-027 accountId
7. MK-CF-F-111 applyTransaction
8. MK-NW-F-040 assetsFromOnboarding
9. MK-PF-F-013 benchmarkTicker
10. MK-ST-F-028 buildDayFromAccounts
11. MK-PF-F-034 closeOnOrBefore
12. MK-CF-F-186 convertTakeHomeMode
13. MK-ST-F-079 dailyWindowStart
14. MK-CF-F-038 debtsFromOnboarding
15. MK-XS-F-083 fetchPriceSeries
16. MK-PL-F-013 goalsFromOnboarding
17. MK-ST-F-056 has
18. MK-CF-F-116 inverseOf
19. MK-ST-F-065 isoLocalDate
20. MK-CF-F-112 makeTransaction
21. MK-CF-F-132 map
22. MK-XS-F-122 n
23. MK-ST-F-043 newEntityId
24. MK-XS-F-006 pruneDaily
25. MK-ST-F-073 rebuildDays
26. MK-NW-F-054 reclassifyAccounts
27. MK-XS-F-174 recomputeBalances
28. MK-CF-F-115 restoreUndo
29. MK-CF-F-109 reviewTransactions
30. MK-ST-F-044 setMoneyFormat
31. MK-CF-F-114 undoSnapshot
32. MK-CF-F-191 ym
33. MK-XS-F-135 secureGet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is>
      </c>
      <c r="R611" s="3" t="inlineStr">
        <is>
          <t>1. MK-XS-F-051 isEncrypted → MK-XS-F-053 decryptWithKey → MK-XS-F-055 decryptFromSync → MK-XS-F-079 loadUserRoot
2. MK-XS-F-135 secureGet → MK-XS-F-042 getDataKey → MK-XS-F-055 decryptFromSync → MK-XS-F-079 loadUserRoot
3. MK-XS-F-051 isEncrypted → MK-XS-F-055 decryptFromSync → MK-XS-F-079 loadUserRoot
4. MK-ST-F-027 accountId → MK-XS-F-175 uid → MK-XS-F-079 loadUserRoot
5. MK-CF-F-137 findPos → MK-CF-F-138 addLot → MK-CF-F-111 applyTransaction → MK-XS-F-175 uid → MK-XS-F-079 loadUserRoot
6. MK-CF-F-132 map → MK-CF-F-138 addLot → MK-CF-F-111 applyTransaction → MK-XS-F-175 uid → MK-XS-F-079 loadUserRoot
7. MK-ST-F-043 newEntityId → MK-CF-F-138 addLot → MK-CF-F-111 applyTransaction → MK-XS-F-175 uid → MK-XS-F-079 loadUserRoot
8. MK-CF-F-134 usesSleeve → MK-CF-F-136 bumpCash → MK-CF-F-111 applyTransaction → MK-XS-F-175 uid → MK-XS-F-079 loadUserRoot
9. … and 4 more paths</t>
        </is>
      </c>
      <c r="S611" s="3" t="inlineStr">
        <is>
          <t>—</t>
        </is>
      </c>
      <c r="T611" s="3" t="inlineStr">
        <is>
          <t>—</t>
        </is>
      </c>
      <c r="U611" s="3" t="inlineStr">
        <is>
          <t>ACTIVE</t>
        </is>
      </c>
      <c r="V611" s="3" t="inlineStr">
        <is>
          <t>2026-08-27</t>
        </is>
      </c>
      <c r="W611" s="3" t="n"/>
      <c r="X611" s="3" t="n"/>
      <c r="Y611" s="3" t="inlineStr">
        <is>
          <t>NOTHING OPEN</t>
        </is>
      </c>
    </row>
    <row r="612" ht="60" customHeight="1">
      <c r="A612" s="3" t="inlineStr">
        <is>
          <t>MK-XS-F-080</t>
        </is>
      </c>
      <c r="B612" s="3" t="inlineStr">
        <is>
          <t>submitFeedback</t>
        </is>
      </c>
      <c r="C612" s="3" t="inlineStr">
        <is>
          <t>src/services/firebase.ts</t>
        </is>
      </c>
      <c r="D612" s="3" t="n">
        <v>693</v>
      </c>
      <c r="E612" s="3" t="inlineStr">
        <is>
          <t>1 · ACTION</t>
        </is>
      </c>
      <c r="F612" s="3" t="inlineStr">
        <is>
          <t>NOT DETERMINED — the code carries no note saying what this is for, and it has no row in the old inventory. Needs reading.</t>
        </is>
      </c>
      <c r="G612" s="11" t="inlineStr">
        <is>
          <t>It reaches outside the app for data and hands back what came back — no arithmetic of its own.</t>
        </is>
      </c>
      <c r="H612" s="3" t="inlineStr">
        <is>
          <t>It reaches outside the app for data and hands back what came back — no arithmetic of its own.</t>
        </is>
      </c>
      <c r="I612" s="3" t="inlineStr">
        <is>
          <t>NO ARITHMETIC — there is no formula to state</t>
        </is>
      </c>
      <c r="J612" s="3" t="inlineStr">
        <is>
          <t>Nothing is handed to it</t>
        </is>
      </c>
      <c r="K612" s="3" t="inlineStr">
        <is>
          <t>NOT DECLARED — the code does not say what it gives back</t>
        </is>
      </c>
      <c r="L612" s="3" t="inlineStr">
        <is>
          <t>—</t>
        </is>
      </c>
      <c r="M612" s="3" t="inlineStr">
        <is>
          <t>None found in this function — anything it assumes comes from the functions it depends on.</t>
        </is>
      </c>
      <c r="N612" s="3" t="inlineStr">
        <is>
          <t>Yes</t>
        </is>
      </c>
      <c r="O612" s="3" t="inlineStr">
        <is>
          <t>—</t>
        </is>
      </c>
      <c r="P612" s="3" t="n">
        <v>0</v>
      </c>
      <c r="Q612" s="3" t="inlineStr">
        <is>
          <t>None — no dependent function stands behind it</t>
        </is>
      </c>
      <c r="R612" s="3" t="inlineStr">
        <is>
          <t>No dependent function — it reads its inputs and answers</t>
        </is>
      </c>
      <c r="S612" s="3" t="inlineStr">
        <is>
          <t>—</t>
        </is>
      </c>
      <c r="T612" s="3" t="inlineStr">
        <is>
          <t>—</t>
        </is>
      </c>
      <c r="U612" s="3" t="inlineStr">
        <is>
          <t>ACTIVE</t>
        </is>
      </c>
      <c r="V612" s="3" t="inlineStr">
        <is>
          <t>2026-08-27</t>
        </is>
      </c>
      <c r="W612" s="3" t="n"/>
      <c r="X612" s="3" t="n"/>
      <c r="Y612" s="3" t="inlineStr">
        <is>
          <t>NOTHING OPEN</t>
        </is>
      </c>
    </row>
    <row r="613" ht="45" customHeight="1">
      <c r="A613" s="3" t="inlineStr">
        <is>
          <t>MK-XS-F-081</t>
        </is>
      </c>
      <c r="B613" s="3" t="inlineStr">
        <is>
          <t>isPlausibleTicker</t>
        </is>
      </c>
      <c r="C613" s="3" t="inlineStr">
        <is>
          <t>src/services/marketData.ts</t>
        </is>
      </c>
      <c r="D613" s="3" t="n">
        <v>96</v>
      </c>
      <c r="E613" s="3" t="inlineStr">
        <is>
          <t>2 · DISPLAYED</t>
        </is>
      </c>
      <c r="F613" s="3" t="inlineStr">
        <is>
          <t>Is a ticker plausibly valid before we spend a network call?</t>
        </is>
      </c>
      <c r="G613" s="11" t="inlineStr">
        <is>
          <t>÷ ^[A − za − z]{1,6}([.\-][A − za − z]{1,4})?$ ÷ .test((ticker ?? '').trim())</t>
        </is>
      </c>
      <c r="H613" s="3" t="inlineStr">
        <is>
          <t>÷ ^[A minus za minus z]{1,6}([.\-][A minus za minus z]{1,4})?$ divided by .test((ticker ?? '').trim()).</t>
        </is>
      </c>
      <c r="I613" s="3" t="inlineStr">
        <is>
          <t>PARTLY READ — some of the code is still showing through; needs a hand pass</t>
        </is>
      </c>
      <c r="J613" s="3" t="inlineStr">
        <is>
          <t>ticker: string</t>
        </is>
      </c>
      <c r="K613" s="3" t="inlineStr">
        <is>
          <t>boolean</t>
        </is>
      </c>
      <c r="L613" s="3" t="inlineStr">
        <is>
          <t>NOT FOUND — a screen calls it, but the words printed beside its answer could not be traced automatically. Needs reading.</t>
        </is>
      </c>
      <c r="M613" s="3" t="inlineStr">
        <is>
          <t>None found in this function — anything it assumes comes from the functions it depends on.</t>
        </is>
      </c>
      <c r="N613" s="3" t="inlineStr">
        <is>
          <t>Yes</t>
        </is>
      </c>
      <c r="O613" s="3" t="inlineStr">
        <is>
          <t>—</t>
        </is>
      </c>
      <c r="P613" s="3" t="n">
        <v>0</v>
      </c>
      <c r="Q613" s="3" t="inlineStr">
        <is>
          <t>None — no dependent function stands behind it</t>
        </is>
      </c>
      <c r="R613" s="3" t="inlineStr">
        <is>
          <t>No dependent function — it reads its inputs and answers</t>
        </is>
      </c>
      <c r="S613" s="3" t="inlineStr">
        <is>
          <t>—</t>
        </is>
      </c>
      <c r="T613" s="3" t="inlineStr">
        <is>
          <t>TICKER_PLAUSIBLE</t>
        </is>
      </c>
      <c r="U613" s="3" t="inlineStr">
        <is>
          <t>ACTIVE</t>
        </is>
      </c>
      <c r="V613" s="3" t="inlineStr">
        <is>
          <t>2026-08-27</t>
        </is>
      </c>
      <c r="W613" s="3" t="n"/>
      <c r="X613" s="3" t="n"/>
      <c r="Y613" s="3" t="inlineStr">
        <is>
          <t>NOTHING OPEN</t>
        </is>
      </c>
    </row>
    <row r="614" ht="60" customHeight="1">
      <c r="A614" s="3" t="inlineStr">
        <is>
          <t>MK-XS-F-082</t>
        </is>
      </c>
      <c r="B614" s="3" t="inlineStr">
        <is>
          <t>priceFreshness</t>
        </is>
      </c>
      <c r="C614" s="3" t="inlineStr">
        <is>
          <t>src/services/marketData.ts</t>
        </is>
      </c>
      <c r="D614" s="3" t="n">
        <v>120</v>
      </c>
      <c r="E614" s="3" t="inlineStr">
        <is>
          <t>2 · DISPLAYED</t>
        </is>
      </c>
      <c r="F614" s="3" t="inlineStr">
        <is>
          <t>Human freshness of the price cache + whether it's stale enough to warn (markets move daily, so anything older than ~4 days — a long weekend/holiday — is worth a "may be out of date" note).</t>
        </is>
      </c>
      <c r="G614" s="11" t="inlineStr">
        <is>
          <t>age   = now − the moment prices were last fetched
stale = age ≥ 4 days,  or nothing was ever fetched,  or the moment cannot be read</t>
        </is>
      </c>
      <c r="H614" s="3" t="inlineStr">
        <is>
          <t>How long since prices last came back, said in days or hours. Four days, because a long weekend or a holiday can put three days between two perfectly normal updates and a false alarm teaches people to ignore the real one. Never fetched, unreadable, or dated in the future all read STALE — silence is not good news.</t>
        </is>
      </c>
      <c r="I614" s="3" t="inlineStr">
        <is>
          <t>READ BY HAND 2026-08-26 — checked line by line against the code</t>
        </is>
      </c>
      <c r="J614" s="3" t="inlineStr">
        <is>
          <t>1. fetchedAt: string | null | undefined
2. now: number</t>
        </is>
      </c>
      <c r="K614" s="3" t="inlineStr">
        <is>
          <t>PriceFreshness</t>
        </is>
      </c>
      <c r="L614" s="3" t="inlineStr">
        <is>
          <t>"Performance" — on the Performance screen</t>
        </is>
      </c>
      <c r="M614" s="3" t="inlineStr">
        <is>
          <t>None found in this function — anything it assumes comes from the functions it depends on.</t>
        </is>
      </c>
      <c r="N614" s="3" t="inlineStr">
        <is>
          <t>Yes</t>
        </is>
      </c>
      <c r="O614" s="3" t="inlineStr">
        <is>
          <t>1. MK-ST-F-075 agoLabel
2. MK-ST-F-077 isStale</t>
        </is>
      </c>
      <c r="P614" s="3" t="n">
        <v>3</v>
      </c>
      <c r="Q614" s="3" t="inlineStr">
        <is>
          <t>1. MK-ST-F-075 agoLabel
2. MK-ST-F-077 isStale
3. MK-XS-F-170 daysSince</t>
        </is>
      </c>
      <c r="R614" s="3" t="inlineStr">
        <is>
          <t>1. MK-XS-F-170 daysSince → MK-ST-F-075 agoLabel → MK-XS-F-082 priceFreshness
2. MK-XS-F-170 daysSince → MK-ST-F-077 isStale → MK-XS-F-082 priceFreshness</t>
        </is>
      </c>
      <c r="S614" s="3" t="inlineStr">
        <is>
          <t>MK-HM-M-001</t>
        </is>
      </c>
      <c r="T614" s="3" t="inlineStr">
        <is>
          <t>PRICE_FRESHNESS</t>
        </is>
      </c>
      <c r="U614" s="3" t="inlineStr">
        <is>
          <t>ACTIVE</t>
        </is>
      </c>
      <c r="V614" s="3" t="inlineStr">
        <is>
          <t>2026-08-27</t>
        </is>
      </c>
      <c r="W614" s="3" t="n"/>
      <c r="X614" s="3" t="n"/>
      <c r="Y614" s="3" t="inlineStr">
        <is>
          <t>NOTHING OPEN</t>
        </is>
      </c>
    </row>
    <row r="615" ht="60" customHeight="1">
      <c r="A615" s="3" t="inlineStr">
        <is>
          <t>MK-XS-F-083</t>
        </is>
      </c>
      <c r="B615" s="3" t="inlineStr">
        <is>
          <t>fetchPriceSeries</t>
        </is>
      </c>
      <c r="C615" s="3" t="inlineStr">
        <is>
          <t>src/services/marketData.ts</t>
        </is>
      </c>
      <c r="D615" s="3" t="n">
        <v>160</v>
      </c>
      <c r="E615" s="3" t="inlineStr">
        <is>
          <t>3 · DEPENDENT</t>
        </is>
      </c>
      <c r="F615" s="3" t="inlineStr">
        <is>
          <t>Fetch many tickers in parallel; returns only the ones that resolved.</t>
        </is>
      </c>
      <c r="G615" s="11" t="inlineStr">
        <is>
          <t>unique = array.from(new set(tickers.map((t) =&gt; trim().to upper case()).filter(boolean)))
results = await promise.all settled(unique.map((t) =&gt; provider.fetch series(t, range)))
out = {}
r = results[i]
the answer = out</t>
        </is>
      </c>
      <c r="H615" s="3" t="inlineStr">
        <is>
          <t>Unique is array.from(new set(tickers.map((t) =&gt; trim().to upper case()).filter(boolean))). Results is await promise.all settled(unique.map((t) =&gt; provider.fetch series(t, range))). Out is {}. R is results[i]. The answer is out.</t>
        </is>
      </c>
      <c r="I615" s="3" t="inlineStr">
        <is>
          <t>PARTLY READ — some of the code is still showing through; needs a hand pass</t>
        </is>
      </c>
      <c r="J615" s="3" t="inlineStr">
        <is>
          <t>Nothing is handed to it</t>
        </is>
      </c>
      <c r="K615" s="3" t="inlineStr">
        <is>
          <t>NOT DECLARED — the code does not say what it gives back</t>
        </is>
      </c>
      <c r="L615" s="3" t="inlineStr">
        <is>
          <t>—</t>
        </is>
      </c>
      <c r="M615" s="3" t="inlineStr">
        <is>
          <t>None found in this function — anything it assumes comes from the functions it depends on.</t>
        </is>
      </c>
      <c r="N615" s="3" t="inlineStr">
        <is>
          <t>Yes</t>
        </is>
      </c>
      <c r="O615" s="3" t="inlineStr">
        <is>
          <t>MK-CF-F-132 map</t>
        </is>
      </c>
      <c r="P615" s="3" t="n">
        <v>1</v>
      </c>
      <c r="Q615" s="3" t="inlineStr">
        <is>
          <t>MK-CF-F-132 map</t>
        </is>
      </c>
      <c r="R615" s="3" t="inlineStr">
        <is>
          <t>MK-CF-F-132 map → MK-XS-F-083 fetchPriceSeries</t>
        </is>
      </c>
      <c r="S615" s="3" t="inlineStr">
        <is>
          <t>—</t>
        </is>
      </c>
      <c r="T615" s="3" t="inlineStr">
        <is>
          <t>FETCH_PRICES</t>
        </is>
      </c>
      <c r="U615" s="3" t="inlineStr">
        <is>
          <t>ACTIVE</t>
        </is>
      </c>
      <c r="V615" s="3" t="inlineStr">
        <is>
          <t>2026-09-12</t>
        </is>
      </c>
      <c r="W615" s="3" t="n"/>
      <c r="X615" s="3" t="n"/>
      <c r="Y615" s="3" t="inlineStr">
        <is>
          <t>NOTHING OPEN</t>
        </is>
      </c>
    </row>
    <row r="616" ht="60" customHeight="1">
      <c r="A616" s="3" t="inlineStr">
        <is>
          <t>MK-XS-F-084</t>
        </is>
      </c>
      <c r="B616" s="3" t="inlineStr">
        <is>
          <t>requestNotificationPermission</t>
        </is>
      </c>
      <c r="C616" s="3" t="inlineStr">
        <is>
          <t>src/services/notifications.ts</t>
        </is>
      </c>
      <c r="D616" s="3" t="n">
        <v>34</v>
      </c>
      <c r="E616" s="3" t="inlineStr">
        <is>
          <t>2 · DISPLAYED</t>
        </is>
      </c>
      <c r="F616" s="3" t="inlineStr">
        <is>
          <t>NOT DETERMINED — the code carries no note saying what this is for, and it has no row in the old inventory. Needs reading.</t>
        </is>
      </c>
      <c r="G616" s="11" t="inlineStr">
        <is>
          <t>false   when device.is device is missing
true   when existing = 'granted'
status = 'granted'</t>
        </is>
      </c>
      <c r="H616" s="3" t="inlineStr">
        <is>
          <t>When device.is device is missing, it answers false. When existing = 'granted', it answers true. status = 'granted'.</t>
        </is>
      </c>
      <c r="I616" s="3" t="inlineStr">
        <is>
          <t>READ FROM THE CODE — rendered from the expressions the function runs</t>
        </is>
      </c>
      <c r="J616" s="3" t="inlineStr">
        <is>
          <t>Nothing is handed to it</t>
        </is>
      </c>
      <c r="K616" s="3" t="inlineStr">
        <is>
          <t>Promise&lt;boolean&gt;</t>
        </is>
      </c>
      <c r="L616" s="3" t="inlineStr">
        <is>
          <t>NOT FOUND — a screen calls it, but the words printed beside its answer could not be traced automatically. Needs reading.</t>
        </is>
      </c>
      <c r="M616" s="3" t="inlineStr">
        <is>
          <t>None found in this function — anything it assumes comes from the functions it depends on.</t>
        </is>
      </c>
      <c r="N616" s="3" t="inlineStr">
        <is>
          <t>Yes</t>
        </is>
      </c>
      <c r="O616" s="3" t="inlineStr">
        <is>
          <t>—</t>
        </is>
      </c>
      <c r="P616" s="3" t="n">
        <v>0</v>
      </c>
      <c r="Q616" s="3" t="inlineStr">
        <is>
          <t>None — no dependent function stands behind it</t>
        </is>
      </c>
      <c r="R616" s="3" t="inlineStr">
        <is>
          <t>No dependent function — it reads its inputs and answers</t>
        </is>
      </c>
      <c r="S616" s="3" t="inlineStr">
        <is>
          <t>—</t>
        </is>
      </c>
      <c r="T616" s="3" t="inlineStr">
        <is>
          <t>—</t>
        </is>
      </c>
      <c r="U616" s="3" t="inlineStr">
        <is>
          <t>ACTIVE</t>
        </is>
      </c>
      <c r="V616" s="3" t="inlineStr">
        <is>
          <t>2026-08-27</t>
        </is>
      </c>
      <c r="W616" s="3" t="n"/>
      <c r="X616" s="3" t="n"/>
      <c r="Y616" s="3" t="inlineStr">
        <is>
          <t>NOTHING OPEN</t>
        </is>
      </c>
    </row>
    <row r="617" ht="30" customHeight="1">
      <c r="A617" s="3" t="inlineStr">
        <is>
          <t>MK-XS-F-085</t>
        </is>
      </c>
      <c r="B617" s="3" t="inlineStr">
        <is>
          <t>scheduleStreakReminder</t>
        </is>
      </c>
      <c r="C617" s="3" t="inlineStr">
        <is>
          <t>src/services/notifications.ts</t>
        </is>
      </c>
      <c r="D617" s="3" t="n">
        <v>60</v>
      </c>
      <c r="E617" s="3" t="inlineStr">
        <is>
          <t>1 · ACTION</t>
        </is>
      </c>
      <c r="F617" s="3" t="inlineStr">
        <is>
          <t>── Schedule daily streak reminder ─────────────────────────────────</t>
        </is>
      </c>
      <c r="G617" s="11" t="inlineStr">
        <is>
          <t>cancels the existing reminder, then schedules a daily one at 20:00</t>
        </is>
      </c>
      <c r="H617" s="3" t="inlineStr">
        <is>
          <t>Schedules the daily 8 pm streak reminder, replacing any existing one. Not a calculation.</t>
        </is>
      </c>
      <c r="I617" s="3" t="inlineStr">
        <is>
          <t>READ BY HAND 2026-08-26 — checked line by line against the code</t>
        </is>
      </c>
      <c r="J617" s="3" t="inlineStr">
        <is>
          <t>Nothing is handed to it</t>
        </is>
      </c>
      <c r="K617" s="3" t="inlineStr">
        <is>
          <t>NOT DECLARED — the code does not say what it gives back</t>
        </is>
      </c>
      <c r="L617" s="3" t="inlineStr">
        <is>
          <t>—</t>
        </is>
      </c>
      <c r="M617" s="3" t="inlineStr">
        <is>
          <t>None found in this function — anything it assumes comes from the functions it depends on.</t>
        </is>
      </c>
      <c r="N617" s="3" t="inlineStr">
        <is>
          <t>No</t>
        </is>
      </c>
      <c r="O617" s="3" t="inlineStr">
        <is>
          <t>—</t>
        </is>
      </c>
      <c r="P617" s="3" t="n">
        <v>0</v>
      </c>
      <c r="Q617" s="3" t="inlineStr">
        <is>
          <t>None — no dependent function stands behind it</t>
        </is>
      </c>
      <c r="R617" s="3" t="inlineStr">
        <is>
          <t>No dependent function — it reads its inputs and answers</t>
        </is>
      </c>
      <c r="S617" s="3" t="inlineStr">
        <is>
          <t>—</t>
        </is>
      </c>
      <c r="T617" s="3" t="inlineStr">
        <is>
          <t>—</t>
        </is>
      </c>
      <c r="U617" s="3" t="inlineStr">
        <is>
          <t>ACTIVE</t>
        </is>
      </c>
      <c r="V617" s="3" t="inlineStr">
        <is>
          <t>2026-09-12</t>
        </is>
      </c>
      <c r="W617" s="3" t="n"/>
      <c r="X617" s="3" t="n"/>
      <c r="Y617" s="3" t="inlineStr">
        <is>
          <t>NOTHING OPEN</t>
        </is>
      </c>
    </row>
    <row r="618" ht="30" customHeight="1">
      <c r="A618" s="3" t="inlineStr">
        <is>
          <t>MK-XS-F-086</t>
        </is>
      </c>
      <c r="B618" s="3" t="inlineStr">
        <is>
          <t>cancelStreakReminder</t>
        </is>
      </c>
      <c r="C618" s="3" t="inlineStr">
        <is>
          <t>src/services/notifications.ts</t>
        </is>
      </c>
      <c r="D618" s="3" t="n">
        <v>94</v>
      </c>
      <c r="E618" s="3" t="inlineStr">
        <is>
          <t>1 · ACTION</t>
        </is>
      </c>
      <c r="F618" s="3" t="inlineStr">
        <is>
          <t>── Cancel streak reminder (e.g.</t>
        </is>
      </c>
      <c r="G618" s="11" t="inlineStr">
        <is>
          <t>cancels the daily reminder</t>
        </is>
      </c>
      <c r="H618" s="3" t="inlineStr">
        <is>
          <t>Cancels the daily streak reminder. Not a calculation.</t>
        </is>
      </c>
      <c r="I618" s="3" t="inlineStr">
        <is>
          <t>READ BY HAND 2026-08-26 — checked line by line against the code</t>
        </is>
      </c>
      <c r="J618" s="3" t="inlineStr">
        <is>
          <t>Nothing is handed to it</t>
        </is>
      </c>
      <c r="K618" s="3" t="inlineStr">
        <is>
          <t>NOT DECLARED — the code does not say what it gives back</t>
        </is>
      </c>
      <c r="L618" s="3" t="inlineStr">
        <is>
          <t>—</t>
        </is>
      </c>
      <c r="M618" s="3" t="inlineStr">
        <is>
          <t>None found in this function — anything it assumes comes from the functions it depends on.</t>
        </is>
      </c>
      <c r="N618" s="3" t="inlineStr">
        <is>
          <t>No</t>
        </is>
      </c>
      <c r="O618" s="3" t="inlineStr">
        <is>
          <t>—</t>
        </is>
      </c>
      <c r="P618" s="3" t="n">
        <v>0</v>
      </c>
      <c r="Q618" s="3" t="inlineStr">
        <is>
          <t>None — no dependent function stands behind it</t>
        </is>
      </c>
      <c r="R618" s="3" t="inlineStr">
        <is>
          <t>No dependent function — it reads its inputs and answers</t>
        </is>
      </c>
      <c r="S618" s="3" t="inlineStr">
        <is>
          <t>—</t>
        </is>
      </c>
      <c r="T618" s="3" t="inlineStr">
        <is>
          <t>—</t>
        </is>
      </c>
      <c r="U618" s="3" t="inlineStr">
        <is>
          <t>ACTIVE</t>
        </is>
      </c>
      <c r="V618" s="3" t="inlineStr">
        <is>
          <t>2026-09-12</t>
        </is>
      </c>
      <c r="W618" s="3" t="n"/>
      <c r="X618" s="3" t="n"/>
      <c r="Y618" s="3" t="inlineStr">
        <is>
          <t>NOTHING OPEN</t>
        </is>
      </c>
    </row>
    <row r="619" ht="60" customHeight="1">
      <c r="A619" s="3" t="inlineStr">
        <is>
          <t>MK-XS-F-087</t>
        </is>
      </c>
      <c r="B619" s="3" t="inlineStr">
        <is>
          <t>scheduleRmdReminder</t>
        </is>
      </c>
      <c r="C619" s="3" t="inlineStr">
        <is>
          <t>src/services/notifications.ts</t>
        </is>
      </c>
      <c r="D619" s="3" t="n">
        <v>121</v>
      </c>
      <c r="E619" s="3" t="inlineStr">
        <is>
          <t>2 · DISPLAYED</t>
        </is>
      </c>
      <c r="F619" s="3" t="inlineStr">
        <is>
          <t>── Required-withdrawal reminders (FCC Plan r48/r51 — logistics only, no timing advice) ── November 1 nudge ahead of the Dec 31 deadline (this year or a future start year).</t>
        </is>
      </c>
      <c r="G619" s="11" t="inlineStr">
        <is>
          <t>id = `rmd − reminder-${year}`
fire at = the date year, 10, 1, 10, 0, 0
false   when fire at.get time() ≤ date.now()
the answer = true</t>
        </is>
      </c>
      <c r="H619" s="3" t="inlineStr">
        <is>
          <t>Id is `rmd minus reminder-${year}`. Fire at: the date year, 10, 1, 10, 0, 0. When fire at.get time() is at most date.now(), it answers false. The answer is true.</t>
        </is>
      </c>
      <c r="I619" s="3" t="inlineStr">
        <is>
          <t>PARTLY READ — some of the code is still showing through; needs a hand pass</t>
        </is>
      </c>
      <c r="J619" s="3" t="inlineStr">
        <is>
          <t>year: number</t>
        </is>
      </c>
      <c r="K619" s="3" t="inlineStr">
        <is>
          <t>NOT DECLARED — the code does not say what it gives back</t>
        </is>
      </c>
      <c r="L619" s="3" t="inlineStr">
        <is>
          <t>NOT FOUND — a screen calls it, but the words printed beside its answer could not be traced automatically. Needs reading.</t>
        </is>
      </c>
      <c r="M619" s="3" t="inlineStr">
        <is>
          <t>· Uses today's date from the device clock, so the answer changes by itself overnight.</t>
        </is>
      </c>
      <c r="N619" s="3" t="inlineStr">
        <is>
          <t>Yes</t>
        </is>
      </c>
      <c r="O619" s="3" t="inlineStr">
        <is>
          <t>—</t>
        </is>
      </c>
      <c r="P619" s="3" t="n">
        <v>0</v>
      </c>
      <c r="Q619" s="3" t="inlineStr">
        <is>
          <t>None — no dependent function stands behind it</t>
        </is>
      </c>
      <c r="R619" s="3" t="inlineStr">
        <is>
          <t>No dependent function — it reads its inputs and answers</t>
        </is>
      </c>
      <c r="S619" s="3" t="inlineStr">
        <is>
          <t>—</t>
        </is>
      </c>
      <c r="T619" s="3" t="inlineStr">
        <is>
          <t>—</t>
        </is>
      </c>
      <c r="U619" s="3" t="inlineStr">
        <is>
          <t>ACTIVE</t>
        </is>
      </c>
      <c r="V619" s="3" t="inlineStr">
        <is>
          <t>2026-08-27</t>
        </is>
      </c>
      <c r="W619" s="3" t="n"/>
      <c r="X619" s="3" t="n"/>
      <c r="Y619" s="3" t="inlineStr">
        <is>
          <t>NOTHING OPEN</t>
        </is>
      </c>
    </row>
    <row r="620" ht="45" customHeight="1">
      <c r="A620" s="3" t="inlineStr">
        <is>
          <t>MK-XS-F-088</t>
        </is>
      </c>
      <c r="B620" s="3" t="inlineStr">
        <is>
          <t>sendBudgetAlert</t>
        </is>
      </c>
      <c r="C620" s="3" t="inlineStr">
        <is>
          <t>src/services/notifications.ts</t>
        </is>
      </c>
      <c r="D620" s="3" t="n">
        <v>158</v>
      </c>
      <c r="E620" s="3" t="inlineStr">
        <is>
          <t>1 · ACTION</t>
        </is>
      </c>
      <c r="F620" s="3" t="inlineStr">
        <is>
          <t>── Budget alert (fire immediately) ────────────────────────────────</t>
        </is>
      </c>
      <c r="G620" s="11" t="inlineStr">
        <is>
          <t>sends one alert now: '&lt;category&gt; budget at &lt;round(pct)&gt;%'</t>
        </is>
      </c>
      <c r="H620" s="3" t="inlineStr">
        <is>
          <t>Sends an immediate alert naming the category and how much of its budget is used, to the whole percent. Display only.</t>
        </is>
      </c>
      <c r="I620" s="3" t="inlineStr">
        <is>
          <t>READ BY HAND 2026-08-26 — checked line by line against the code</t>
        </is>
      </c>
      <c r="J620" s="3" t="inlineStr">
        <is>
          <t>1. category: string
2. pct: number</t>
        </is>
      </c>
      <c r="K620" s="3" t="inlineStr">
        <is>
          <t>NOT DECLARED — the code does not say what it gives back</t>
        </is>
      </c>
      <c r="L620" s="3" t="inlineStr">
        <is>
          <t>—</t>
        </is>
      </c>
      <c r="M620" s="3" t="inlineStr">
        <is>
          <t>· Rounds the answer to a whole number.</t>
        </is>
      </c>
      <c r="N620" s="3" t="inlineStr">
        <is>
          <t>No</t>
        </is>
      </c>
      <c r="O620" s="3" t="inlineStr">
        <is>
          <t>—</t>
        </is>
      </c>
      <c r="P620" s="3" t="n">
        <v>0</v>
      </c>
      <c r="Q620" s="3" t="inlineStr">
        <is>
          <t>None — no dependent function stands behind it</t>
        </is>
      </c>
      <c r="R620" s="3" t="inlineStr">
        <is>
          <t>No dependent function — it reads its inputs and answers</t>
        </is>
      </c>
      <c r="S620" s="3" t="inlineStr">
        <is>
          <t>—</t>
        </is>
      </c>
      <c r="T620" s="3" t="inlineStr">
        <is>
          <t>—</t>
        </is>
      </c>
      <c r="U620" s="3" t="inlineStr">
        <is>
          <t>ACTIVE</t>
        </is>
      </c>
      <c r="V620" s="3" t="inlineStr">
        <is>
          <t>2026-09-12</t>
        </is>
      </c>
      <c r="W620" s="3" t="n"/>
      <c r="X620" s="3" t="n"/>
      <c r="Y620" s="3" t="inlineStr">
        <is>
          <t>NOTHING OPEN</t>
        </is>
      </c>
    </row>
    <row r="621" ht="30" customHeight="1">
      <c r="A621" s="3" t="inlineStr">
        <is>
          <t>MK-XS-F-089</t>
        </is>
      </c>
      <c r="B621" s="3" t="inlineStr">
        <is>
          <t>scheduleWeeklySummary</t>
        </is>
      </c>
      <c r="C621" s="3" t="inlineStr">
        <is>
          <t>src/services/notifications.ts</t>
        </is>
      </c>
      <c r="D621" s="3" t="n">
        <v>186</v>
      </c>
      <c r="E621" s="3" t="inlineStr">
        <is>
          <t>1 · ACTION</t>
        </is>
      </c>
      <c r="F621" s="3" t="inlineStr">
        <is>
          <t>── Weekly summary notification ────────────────────────────────────</t>
        </is>
      </c>
      <c r="G621" s="11" t="inlineStr">
        <is>
          <t>cancels the existing summary, then schedules a weekly one on Monday at 09:00</t>
        </is>
      </c>
      <c r="H621" s="3" t="inlineStr">
        <is>
          <t>Schedules the Monday 9 am weekly summary, replacing any existing one. Not a calculation.</t>
        </is>
      </c>
      <c r="I621" s="3" t="inlineStr">
        <is>
          <t>READ BY HAND 2026-08-26 — checked line by line against the code</t>
        </is>
      </c>
      <c r="J621" s="3" t="inlineStr">
        <is>
          <t>Nothing is handed to it</t>
        </is>
      </c>
      <c r="K621" s="3" t="inlineStr">
        <is>
          <t>NOT DECLARED — the code does not say what it gives back</t>
        </is>
      </c>
      <c r="L621" s="3" t="inlineStr">
        <is>
          <t>—</t>
        </is>
      </c>
      <c r="M621" s="3" t="inlineStr">
        <is>
          <t>None found in this function — anything it assumes comes from the functions it depends on.</t>
        </is>
      </c>
      <c r="N621" s="3" t="inlineStr">
        <is>
          <t>No</t>
        </is>
      </c>
      <c r="O621" s="3" t="inlineStr">
        <is>
          <t>—</t>
        </is>
      </c>
      <c r="P621" s="3" t="n">
        <v>0</v>
      </c>
      <c r="Q621" s="3" t="inlineStr">
        <is>
          <t>None — no dependent function stands behind it</t>
        </is>
      </c>
      <c r="R621" s="3" t="inlineStr">
        <is>
          <t>No dependent function — it reads its inputs and answers</t>
        </is>
      </c>
      <c r="S621" s="3" t="inlineStr">
        <is>
          <t>—</t>
        </is>
      </c>
      <c r="T621" s="3" t="inlineStr">
        <is>
          <t>—</t>
        </is>
      </c>
      <c r="U621" s="3" t="inlineStr">
        <is>
          <t>ACTIVE</t>
        </is>
      </c>
      <c r="V621" s="3" t="inlineStr">
        <is>
          <t>2026-09-12</t>
        </is>
      </c>
      <c r="W621" s="3" t="n"/>
      <c r="X621" s="3" t="n"/>
      <c r="Y621" s="3" t="inlineStr">
        <is>
          <t>NOTHING OPEN</t>
        </is>
      </c>
    </row>
    <row r="622" ht="45" customHeight="1">
      <c r="A622" s="3" t="inlineStr">
        <is>
          <t>MK-XS-F-090</t>
        </is>
      </c>
      <c r="B622" s="3" t="inlineStr">
        <is>
          <t>addNotificationResponseListener</t>
        </is>
      </c>
      <c r="C622" s="3" t="inlineStr">
        <is>
          <t>src/services/notifications.ts</t>
        </is>
      </c>
      <c r="D622" s="3" t="n">
        <v>221</v>
      </c>
      <c r="E622" s="3" t="inlineStr">
        <is>
          <t>3 · DEPENDENT (feeds an action only)</t>
        </is>
      </c>
      <c r="F622" s="3" t="inlineStr">
        <is>
          <t>── Listen for notification taps ───────────────────────────────────</t>
        </is>
      </c>
      <c r="G622" s="11" t="inlineStr">
        <is>
          <t>screen = response.notification.request.content.data.screen as string</t>
        </is>
      </c>
      <c r="H622" s="3" t="inlineStr">
        <is>
          <t>Screen is response.notification.request.content.data.screen as string.</t>
        </is>
      </c>
      <c r="I622" s="3" t="inlineStr">
        <is>
          <t>READ FROM THE CODE — rendered from the expressions the function runs</t>
        </is>
      </c>
      <c r="J622" s="3" t="inlineStr">
        <is>
          <t>Nothing is handed to it</t>
        </is>
      </c>
      <c r="K622" s="3" t="inlineStr">
        <is>
          <t>NOT DECLARED — the code does not say what it gives back</t>
        </is>
      </c>
      <c r="L622" s="3" t="inlineStr">
        <is>
          <t>—</t>
        </is>
      </c>
      <c r="M622" s="3" t="inlineStr">
        <is>
          <t>None found in this function — anything it assumes comes from the functions it depends on.</t>
        </is>
      </c>
      <c r="N622" s="3" t="inlineStr">
        <is>
          <t>No</t>
        </is>
      </c>
      <c r="O622" s="3" t="inlineStr">
        <is>
          <t>—</t>
        </is>
      </c>
      <c r="P622" s="3" t="n">
        <v>0</v>
      </c>
      <c r="Q622" s="3" t="inlineStr">
        <is>
          <t>None — no dependent function stands behind it</t>
        </is>
      </c>
      <c r="R622" s="3" t="inlineStr">
        <is>
          <t>No dependent function — it reads its inputs and answers</t>
        </is>
      </c>
      <c r="S622" s="3" t="inlineStr">
        <is>
          <t>—</t>
        </is>
      </c>
      <c r="T622" s="3" t="inlineStr">
        <is>
          <t>—</t>
        </is>
      </c>
      <c r="U622" s="3" t="inlineStr">
        <is>
          <t>ACTIVE</t>
        </is>
      </c>
      <c r="V622" s="3" t="inlineStr">
        <is>
          <t>2026-08-27</t>
        </is>
      </c>
      <c r="W622" s="3" t="n"/>
      <c r="X622" s="3" t="n"/>
      <c r="Y622" s="3" t="inlineStr">
        <is>
          <t>NOTHING OPEN</t>
        </is>
      </c>
    </row>
    <row r="623" ht="60" customHeight="1">
      <c r="A623" s="3" t="inlineStr">
        <is>
          <t>MK-XS-F-091</t>
        </is>
      </c>
      <c r="B623" s="3" t="inlineStr">
        <is>
          <t>scheduleSsWindowReminder</t>
        </is>
      </c>
      <c r="C623" s="3" t="inlineStr">
        <is>
          <t>src/services/notifications.ts</t>
        </is>
      </c>
      <c r="D623" s="3" t="n">
        <v>253</v>
      </c>
      <c r="E623" s="3" t="inlineStr">
        <is>
          <t>2 · DISPLAYED</t>
        </is>
      </c>
      <c r="F623" s="3" t="inlineStr">
        <is>
          <t>── Social Security claim-window reminder (design r18, built pre-48 per founder decision) ── Fires the month the claim window opens (their 62nd-birthday month), 10:00 on the 1st.</t>
        </is>
      </c>
      <c r="G623" s="11" t="inlineStr">
        <is>
          <t>id = 'ss − window − reminder'
fire at = the date opens year, opens month1 − 1, 1, 10, 0, 0
false   when fire at.get time() ≤ date.now()
the answer = true</t>
        </is>
      </c>
      <c r="H623" s="3" t="inlineStr">
        <is>
          <t>Id is 'ss minus window minus reminder'. Fire at: the date opens year, opens month1 minus 1, 1, 10, 0, 0. When fire at.get time() is at most date.now(), it answers false. The answer is true.</t>
        </is>
      </c>
      <c r="I623" s="3" t="inlineStr">
        <is>
          <t>PARTLY READ — some of the code is still showing through; needs a hand pass</t>
        </is>
      </c>
      <c r="J623" s="3" t="inlineStr">
        <is>
          <t>1. opensYear: number
2. opensMonth1: number</t>
        </is>
      </c>
      <c r="K623" s="3" t="inlineStr">
        <is>
          <t>NOT DECLARED — the code does not say what it gives back</t>
        </is>
      </c>
      <c r="L623" s="3" t="inlineStr">
        <is>
          <t>NOT FOUND — a screen calls it, but the words printed beside its answer could not be traced automatically. Needs reading.</t>
        </is>
      </c>
      <c r="M623" s="3" t="inlineStr">
        <is>
          <t>· Uses today's date from the device clock, so the answer changes by itself overnight.</t>
        </is>
      </c>
      <c r="N623" s="3" t="inlineStr">
        <is>
          <t>Yes</t>
        </is>
      </c>
      <c r="O623" s="3" t="inlineStr">
        <is>
          <t>—</t>
        </is>
      </c>
      <c r="P623" s="3" t="n">
        <v>0</v>
      </c>
      <c r="Q623" s="3" t="inlineStr">
        <is>
          <t>None — no dependent function stands behind it</t>
        </is>
      </c>
      <c r="R623" s="3" t="inlineStr">
        <is>
          <t>No dependent function — it reads its inputs and answers</t>
        </is>
      </c>
      <c r="S623" s="3" t="inlineStr">
        <is>
          <t>—</t>
        </is>
      </c>
      <c r="T623" s="3" t="inlineStr">
        <is>
          <t>—</t>
        </is>
      </c>
      <c r="U623" s="3" t="inlineStr">
        <is>
          <t>ACTIVE</t>
        </is>
      </c>
      <c r="V623" s="3" t="inlineStr">
        <is>
          <t>2026-08-27</t>
        </is>
      </c>
      <c r="W623" s="3" t="n"/>
      <c r="X623" s="3" t="n"/>
      <c r="Y623" s="3" t="inlineStr">
        <is>
          <t>NOTHING OPEN</t>
        </is>
      </c>
    </row>
    <row r="624" ht="60" customHeight="1">
      <c r="A624" s="3" t="inlineStr">
        <is>
          <t>MK-XS-F-092</t>
        </is>
      </c>
      <c r="B624" s="3" t="inlineStr">
        <is>
          <t>parseReceiptWithOCR</t>
        </is>
      </c>
      <c r="C624" s="3" t="inlineStr">
        <is>
          <t>src/services/receiptOCR.ts</t>
        </is>
      </c>
      <c r="D624" s="3" t="n">
        <v>40</v>
      </c>
      <c r="E624" s="3" t="inlineStr">
        <is>
          <t>4 · BRINGS DATA IN</t>
        </is>
      </c>
      <c r="F624" s="3" t="inlineStr">
        <is>
          <t>Sends a receipt image to Google Cloud Vision API for OCR, then parses the raw text to extract store, total, date, category.</t>
        </is>
      </c>
      <c r="G624" s="11" t="inlineStr">
        <is>
          <t>the answer = nothing
json = await response.json()
raw text = json.responses.[0].full text annotation.text (or '' when missing or zero)
nothing   when raw text is missing</t>
        </is>
      </c>
      <c r="H624" s="3" t="inlineStr">
        <is>
          <t>The answer is no answer. Json is await response.json(). Raw text is json.responses.[0].full text annotation.text (or '' — when missing or zero). When raw text is missing, it answers no answer.</t>
        </is>
      </c>
      <c r="I624" s="3" t="inlineStr">
        <is>
          <t>PARTLY READ — some of the code is still showing through; needs a hand pass</t>
        </is>
      </c>
      <c r="J624" s="3" t="inlineStr">
        <is>
          <t>imageUri: string</t>
        </is>
      </c>
      <c r="K624" s="3" t="inlineStr">
        <is>
          <t>Promise&lt;ParsedReceipt | null&gt;</t>
        </is>
      </c>
      <c r="L624" s="3" t="inlineStr">
        <is>
          <t>—</t>
        </is>
      </c>
      <c r="M624" s="3" t="inlineStr">
        <is>
          <t>None found in this function — anything it assumes comes from the functions it depends on.</t>
        </is>
      </c>
      <c r="N624" s="3" t="inlineStr">
        <is>
          <t>No</t>
        </is>
      </c>
      <c r="O624" s="3" t="inlineStr">
        <is>
          <t>MK-XS-F-094 parseReceiptText</t>
        </is>
      </c>
      <c r="P624" s="3" t="n">
        <v>105</v>
      </c>
      <c r="Q624" s="3" t="inlineStr">
        <is>
          <t>1. MK-XS-F-094 parseReceiptText
2. MK-XS-F-144 guessCategory
3. MK-CF-F-204 line
4. MK-CF-F-132 map
5. MK-XS-F-058 parseReceipt
6. MK-XS-F-093 stripNonMoney
7. MK-CF-F-203 MONTH
8. MK-XS-F-180 declareFigures
9. MK-ST-F-052 toNum
10. MK-CF-O-010 theMonth
11. MK-XS-F-122 n
12. MK-CF-F-155 cash
13. MK-CF-O-002 expenses
14. MK-CF-O-003 thisMonth
15. MK-CF-F-151 actualSpending
16. MK-CF-F-150 debtPaymentsCountedAsExpenses
17. MK-CF-F-153 radar
18. MK-CF-F-149 recurringDebtPayments
19. MK-CF-F-005 actualMonthFlow
20. MK-CF-F-156 plannedMonthFlow
21. MK-CF-F-148 inMonth
22. MK-CF-F-191 ym
23. MK-ST-F-056 has
24. MK-CF-F-022 paymentShape
25. MK-CF-F-152 isRadarItem
26. MK-CF-F-023 requiredPayment
27. MK-NW-F-078 ONE
28. MK-CF-F-157 debtPaymentsByDebt
29. MK-CF-F-192 inflowLabel
30. MK-XS-F-027 takeHomeMonthly
31. MK-CF-F-021 defaultPaymentType
32. MK-NW-F-077 ALL
33. MK-NW-F-059 currentYield
34. MK-ST-F-049 formatMoney
35. MK-ST-F-053 money
36. MK-NW-O-001 theBonds
37. MK-CF-F-193 inflowSourceWord
38. MK-CF-F-092 incomeMonthlyGrid
39. MK-CF-F-011 savingsByMonth
40. MK-NW-F-057 annualCoupon
41. MK-ST-F-048 currencySymbol
42. MK-ST-F-039 on
43. MK-ST-F-027 accountId
44. MK-NW-F-056 bondInfo
45. MK-NW-F-064 bondRateSensitivity
46. MK-NW-F-061 bondSummary
47. MK-NW-F-055 isBond
48. MK-NW-F-072 rowOf
49. MK-CF-F-069 benefitActiveMonths
50. MK-CF-F-072 currentRetirementIncomeMonthly
51. MK-CF-F-173 earnerWages
52. MK-CF-F-065 equityVestWeights
53. MK-CF-F-071 extraIncome
54. MK-CF-F-206 householdK401ByMonth
55. MK-CF-F-087 monthlyTaxRates
56. MK-CF-F-073 otherIncomeMonth
57. MK-CF-F-181 rateInForce
58. MK-CF-F-068 rentalNetAnnual
59. MK-CF-F-066 rsuAnnual
60. MK-CF-F-060 salaryGrossByMonth
61. MK-CF-F-077 scholarshipByCalendarMonth
62. MK-CF-F-088 taxableByCalendarMonth
63. MK-CF-F-177 wageGrossByMonth
64. MK-PL-F-012 waterfall
65. MK-CF-F-008 spendByMonth
66. MK-ST-F-047 activeCurrency
67. MK-NW-F-060 approxYTM
68. MK-NW-F-069 priceAtYield
69. MK-NW-F-011 assetClassOf
70. MK-NW-F-070 accruedInterestCaveat
71. MK-NW-F-071 isCertificateOfDeposit
72. MK-NW-F-058 yearsToMaturity
73. MK-CF-F-075 retirementIncomeMonthly
74. MK-CF-F-172 hasWage
75. MK-CF-F-062 equityRowValue
76. MK-CF-F-070 benefitAnnual
77. MK-CF-F-176 sumMonthsOverEarners
78. MK-CF-F-090 effectiveRate
79. MK-CF-F-180 enteredLandsAnnual
80. MK-CF-F-085 filingStatusOf
81. MK-CF-F-089 over65CountOf
82. MK-CF-F-082 salaryAnnual
83. MK-CF-F-086 stateRateOf
84. MK-CF-F-101 taxOwedFor
85. MK-CF-F-084 taxableAnnual
86. MK-CF-F-067 rentalList
87. MK-CF-F-063 rowVestYear
88. MK-CF-F-130 enteredMonthlyRaw
89. MK-CF-F-166 hasMonthlySalaryTable
90. MK-ST-F-036 reconcile
91. MK-CF-F-167 salaryCalendarYear
92. MK-CF-F-120 pctBaseMonthly
93. MK-CF-F-004 spendBuckets
94. MK-NW-F-008 incomeBearingClassOf
95. MK-CF-F-100 taxableIncomeFor
96. MK-CF-F-074 tipsAnnual
97. MK-CF-F-165 salaryMonths
98. MK-CF-F-003 categoryMonthly
99. MK-ST-F-010 nameEvidence
100. MK-CF-F-099 deductionFor
101. MK-CF-F-081 salaryActiveMonths
102. MK-XS-F-147 call
103. MK-CF-F-187 seniorDeductionFor
104. MK-XS-F-064 currentIdToken
105. MK-XS-F-112 relayUrl</t>
        </is>
      </c>
      <c r="R624" s="3" t="inlineStr">
        <is>
          <t>1. MK-XS-F-144 guessCategory → MK-XS-F-094 parseReceiptText → MK-XS-F-092 parseReceiptWithOCR
2. MONTH (already above — a loop) → MK-CF-O-010 theMonth → MK-CF-F-203 MONTH → MK-CF-F-204 line → MK-XS-F-094 parseReceiptText → MK-XS-F-092 parseReceiptWithOCR
3. MK-CF-F-155 cash → MK-CF-O-010 theMonth → MK-CF-F-203 MONTH → MK-CF-F-204 line → MK-XS-F-094 parseReceiptText → MK-XS-F-092 parseReceiptWithOCR
4. MK-CF-O-002 expenses → MK-CF-O-010 theMonth → MK-CF-F-203 MONTH → MK-CF-F-204 line → MK-XS-F-094 parseReceiptText → MK-XS-F-092 parseReceiptWithOCR
5. MK-CF-O-003 thisMonth → MK-CF-O-010 theMonth → MK-CF-F-203 MONTH → MK-CF-F-204 line → MK-XS-F-094 parseReceiptText → MK-XS-F-092 parseReceiptWithOCR
6. MK-XS-F-180 declareFigures → MK-CF-F-204 line → MK-XS-F-094 parseReceiptText → MK-XS-F-092 parseReceiptWithOCR
7. MK-CF-F-132 map → MK-XS-F-094 parseReceiptText → MK-XS-F-092 parseReceiptWithOCR
8. MK-CF-O-010 theMonth → MK-CF-F-203 MONTH → MK-CF-F-204 line → MK-XS-F-058 parseReceipt → MK-XS-F-094 parseReceiptText → MK-XS-F-092 parseReceiptWithOCR
9. … and 4 more paths</t>
        </is>
      </c>
      <c r="S624" s="3" t="inlineStr">
        <is>
          <t>—</t>
        </is>
      </c>
      <c r="T624" s="3" t="inlineStr">
        <is>
          <t>—</t>
        </is>
      </c>
      <c r="U624" s="3" t="inlineStr">
        <is>
          <t>ACTIVE</t>
        </is>
      </c>
      <c r="V624" s="3" t="inlineStr">
        <is>
          <t>2026-08-27</t>
        </is>
      </c>
      <c r="W624" s="3" t="n"/>
      <c r="X624" s="3" t="n"/>
      <c r="Y624" s="3" t="inlineStr">
        <is>
          <t>NOTHING OPEN</t>
        </is>
      </c>
    </row>
    <row r="625" ht="45" customHeight="1">
      <c r="A625" s="3" t="inlineStr">
        <is>
          <t>MK-XS-F-093</t>
        </is>
      </c>
      <c r="B625" s="3" t="inlineStr">
        <is>
          <t>stripNonMoney</t>
        </is>
      </c>
      <c r="C625" s="3" t="inlineStr">
        <is>
          <t>src/services/receiptOCR.ts</t>
        </is>
      </c>
      <c r="D625" s="3" t="n">
        <v>109</v>
      </c>
      <c r="E625" s="3" t="inlineStr">
        <is>
          <t>3 · DEPENDENT</t>
        </is>
      </c>
      <c r="F625" s="3" t="inlineStr">
        <is>
          <t>A DATE IS NOT MONEY.</t>
        </is>
      </c>
      <c r="G625" s="11" t="inlineStr">
        <is>
          <t>the answer = the line with dates (30.04.24, 04/30/24, 2024-04-30) and times (08:30, 7:54:10) blanked out</t>
        </is>
      </c>
      <c r="H625" s="3" t="inlineStr">
        <is>
          <t>Blanks the dates and times on a receipt line so only the money figures remain for reading. No arithmetic.</t>
        </is>
      </c>
      <c r="I625" s="3" t="inlineStr">
        <is>
          <t>READ BY HAND 2026-08-26 — checked line by line against the code</t>
        </is>
      </c>
      <c r="J625" s="3" t="inlineStr">
        <is>
          <t>line: string</t>
        </is>
      </c>
      <c r="K625" s="3" t="inlineStr">
        <is>
          <t>string</t>
        </is>
      </c>
      <c r="L625" s="3" t="inlineStr">
        <is>
          <t>—</t>
        </is>
      </c>
      <c r="M625" s="3" t="inlineStr">
        <is>
          <t>None found in this function — anything it assumes comes from the functions it depends on.</t>
        </is>
      </c>
      <c r="N625" s="3" t="inlineStr">
        <is>
          <t>Yes</t>
        </is>
      </c>
      <c r="O625" s="3" t="inlineStr">
        <is>
          <t>—</t>
        </is>
      </c>
      <c r="P625" s="3" t="n">
        <v>0</v>
      </c>
      <c r="Q625" s="3" t="inlineStr">
        <is>
          <t>None — no dependent function stands behind it</t>
        </is>
      </c>
      <c r="R625" s="3" t="inlineStr">
        <is>
          <t>No dependent function — it reads its inputs and answers</t>
        </is>
      </c>
      <c r="S625" s="3" t="inlineStr">
        <is>
          <t>—</t>
        </is>
      </c>
      <c r="T625" s="3" t="inlineStr">
        <is>
          <t>—</t>
        </is>
      </c>
      <c r="U625" s="3" t="inlineStr">
        <is>
          <t>ACTIVE</t>
        </is>
      </c>
      <c r="V625" s="3" t="inlineStr">
        <is>
          <t>2026-09-12</t>
        </is>
      </c>
      <c r="W625" s="3" t="n"/>
      <c r="X625" s="3" t="n"/>
      <c r="Y625" s="3" t="inlineStr">
        <is>
          <t>NOTHING OPEN</t>
        </is>
      </c>
    </row>
    <row r="626" ht="60" customHeight="1">
      <c r="A626" s="3" t="inlineStr">
        <is>
          <t>MK-XS-F-094</t>
        </is>
      </c>
      <c r="B626" s="3" t="inlineStr">
        <is>
          <t>parseReceiptText</t>
        </is>
      </c>
      <c r="C626" s="3" t="inlineStr">
        <is>
          <t>src/services/receiptOCR.ts</t>
        </is>
      </c>
      <c r="D626" s="3" t="n">
        <v>155</v>
      </c>
      <c r="E626" s="3" t="inlineStr">
        <is>
          <t>3 · DEPENDENT (feeds an action only)</t>
        </is>
      </c>
      <c r="F626" s="3" t="inlineStr">
        <is>
          <t>NOT DETERMINED — the code carries no note saying what this is for, and it has no row in the old inventory. Needs reading.</t>
        </is>
      </c>
      <c r="G626" s="11" t="inlineStr">
        <is>
          <t>lines = for each of text.split('\n'): trim() where boolean
payment line = ÷ \b(cash|tender|tendered|change|paid|payment|visa|mastercard|amex|discover|debit|credit|card|auth|approval|account)\b ÷ i
strong total = ÷ \b(grand\s × total|amount\s × due|balance\s × due|total\s × due|balance|net)\b ÷ i
weak total = ÷ \b(total|fee)\b ÷ i
subtotal line = ÷ \bsub\s × -?\s × total\b ÷ i
savings hdr = ÷ \b(your\s+savings|total\s+savings|savings\s+value|your\s+points|rewards?|cash\s × off|coupons?)\b ÷ i
negative line = ÷ -\s × \$?\s × \d ÷
amount = ÷ \$?\s × ([\d,]+\.[\d]{2})\b ÷
m = strip non money(l).match(AMOUNT)
v = parse float(m[1].replace( ÷ , ÷ g, ''))   if m
na n   otherwise
the answer:
v   if number.is finite(v) and v &gt; 0 and v &lt; 10000
nothing   otherwise
… the first steps only — the rest of the body needs reading by hand.</t>
        </is>
      </c>
      <c r="H626" s="3" t="inlineStr">
        <is>
          <t>Lines is for each of text.split('\n'): trim() where boolean. Payment line is ÷ \b(cash|tender|tendered|change|paid|payment|visa|mastercard|amex|discover|debit|credit|card|auth|approval|account)\b divided by i. Strong total is ÷ \b(grand\s times total|amount\s times due|balance\s times due|total\s times due|balance|net)\b divided by i. Weak total is ÷ \b(total|fee)\b divided by i. Subtotal line is ÷ \bsub\s times -?\s times total\b divided by i. Savings hdr is ÷ \b(your\s+savings|total\s+savings|savings\s+value|your\s+points|rewards?|cash\s times off|coupons?)\b divided by i. Negative line is ÷ -\s times \$?\s times \d ÷. Amount is ÷ \$?\s times ([\d,]+\.[\d]{2})\b ÷. M is strip non money(l).match(AMOUNT). V is parse float(m[1].replace( divided by , divided by g, '')) — when m; na n — otherwise. The answer is v — when number.is finite(v) and v &gt; 0 and v &lt; 10000; no answer — otherwise. Only the first steps are shown; the rest of the body needs reading by hand.</t>
        </is>
      </c>
      <c r="I626" s="3" t="inlineStr">
        <is>
          <t>PARTLY READ — some of the code is still showing through; needs a hand pass</t>
        </is>
      </c>
      <c r="J626" s="3" t="inlineStr">
        <is>
          <t>text: string</t>
        </is>
      </c>
      <c r="K626" s="3" t="inlineStr">
        <is>
          <t>ParsedReceipt</t>
        </is>
      </c>
      <c r="L626" s="3" t="inlineStr">
        <is>
          <t>—</t>
        </is>
      </c>
      <c r="M626" s="3" t="inlineStr">
        <is>
          <t>1. Uses a built-in strong t of 0.
2. Uses a built-in weak t of 0.
3. Uses a built-in subtotal of 0.
4. Uses a built-in largest safe of 0.
5. Uses today's date from the device clock, so the answer changes by itself overnight.</t>
        </is>
      </c>
      <c r="N626" s="3" t="inlineStr">
        <is>
          <t>No</t>
        </is>
      </c>
      <c r="O626" s="3" t="inlineStr">
        <is>
          <t>1. MK-XS-F-144 guessCategory
2. MK-CF-F-204 line
3. MK-CF-F-132 map
4. MK-XS-F-058 parseReceipt
5. MK-XS-F-093 stripNonMoney</t>
        </is>
      </c>
      <c r="P626" s="3" t="n">
        <v>104</v>
      </c>
      <c r="Q626" s="3" t="inlineStr">
        <is>
          <t>1. MK-XS-F-144 guessCategory
2. MK-CF-F-204 line
3. MK-CF-F-132 map
4. MK-XS-F-058 parseReceipt
5. MK-XS-F-093 stripNonMoney
6. MK-CF-F-203 MONTH
7. MK-XS-F-180 declareFigures
8. MK-ST-F-052 toNum
9. MK-CF-O-010 theMonth
10. MK-XS-F-122 n
11. MK-CF-F-155 cash
12. MK-CF-O-002 expenses
13. MK-CF-O-003 thisMonth
14. MK-CF-F-151 actualSpending
15. MK-CF-F-150 debtPaymentsCountedAsExpenses
16. MK-CF-F-153 radar
17. MK-CF-F-149 recurringDebtPayments
18. MK-CF-F-005 actualMonthFlow
19. MK-CF-F-156 plannedMonthFlow
20. MK-CF-F-148 inMonth
21. MK-CF-F-191 ym
22. MK-ST-F-056 has
23. MK-CF-F-022 paymentShape
24. MK-CF-F-152 isRadarItem
25. MK-CF-F-023 requiredPayment
26. MK-NW-F-078 ONE
27. MK-CF-F-157 debtPaymentsByDebt
28. MK-CF-F-192 inflowLabel
29. MK-XS-F-027 takeHomeMonthly
30. MK-CF-F-021 defaultPaymentType
31. MK-NW-F-077 ALL
32. MK-NW-F-059 currentYield
33. MK-ST-F-049 formatMoney
34. MK-ST-F-053 money
35. MK-NW-O-001 theBonds
36. MK-CF-F-193 inflowSourceWord
37. MK-CF-F-092 incomeMonthlyGrid
38. MK-CF-F-011 savingsByMonth
39. MK-NW-F-057 annualCoupon
40. MK-ST-F-048 currencySymbol
41. MK-ST-F-039 on
42. MK-ST-F-027 accountId
43. MK-NW-F-056 bondInfo
44. MK-NW-F-064 bondRateSensitivity
45. MK-NW-F-061 bondSummary
46. MK-NW-F-055 isBond
47. MK-NW-F-072 rowOf
48. MK-CF-F-069 benefitActiveMonths
49. MK-CF-F-072 currentRetirementIncomeMonthly
50. MK-CF-F-173 earnerWages
51. MK-CF-F-065 equityVestWeights
52. MK-CF-F-071 extraIncome
53. MK-CF-F-206 householdK401ByMonth
54. MK-CF-F-087 monthlyTaxRates
55. MK-CF-F-073 otherIncomeMonth
56. MK-CF-F-181 rateInForce
57. MK-CF-F-068 rentalNetAnnual
58. MK-CF-F-066 rsuAnnual
59. MK-CF-F-060 salaryGrossByMonth
60. MK-CF-F-077 scholarshipByCalendarMonth
61. MK-CF-F-088 taxableByCalendarMonth
62. MK-CF-F-177 wageGrossByMonth
63. MK-PL-F-012 waterfall
64. MK-CF-F-008 spendByMonth
65. MK-ST-F-047 activeCurrency
66. MK-NW-F-060 approxYTM
67. MK-NW-F-069 priceAtYield
68. MK-NW-F-011 assetClassOf
69. MK-NW-F-070 accruedInterestCaveat
70. MK-NW-F-071 isCertificateOfDeposit
71. MK-NW-F-058 yearsToMaturity
72. MK-CF-F-075 retirementIncomeMonthly
73. MK-CF-F-172 hasWage
74. MK-CF-F-062 equityRowValue
75. MK-CF-F-070 benefitAnnual
76. MK-CF-F-176 sumMonthsOverEarners
77. MK-CF-F-090 effectiveRate
78. MK-CF-F-180 enteredLandsAnnual
79. MK-CF-F-085 filingStatusOf
80. MK-CF-F-089 over65CountOf
81. MK-CF-F-082 salaryAnnual
82. MK-CF-F-086 stateRateOf
83. MK-CF-F-101 taxOwedFor
84. MK-CF-F-084 taxableAnnual
85. MK-CF-F-067 rentalList
86. MK-CF-F-063 rowVestYear
87. MK-CF-F-130 enteredMonthlyRaw
88. MK-CF-F-166 hasMonthlySalaryTable
89. MK-ST-F-036 reconcile
90. MK-CF-F-167 salaryCalendarYear
91. MK-CF-F-120 pctBaseMonthly
92. MK-CF-F-004 spendBuckets
93. MK-NW-F-008 incomeBearingClassOf
94. MK-CF-F-100 taxableIncomeFor
95. MK-CF-F-074 tipsAnnual
96. MK-CF-F-165 salaryMonths
97. MK-CF-F-003 categoryMonthly
98. MK-ST-F-010 nameEvidence
99. MK-CF-F-099 deductionFor
100. MK-CF-F-081 salaryActiveMonths
101. MK-XS-F-147 call
102. MK-CF-F-187 seniorDeductionFor
103. MK-XS-F-064 currentIdToken
104. MK-XS-F-112 relayUrl</t>
        </is>
      </c>
      <c r="R626" s="3" t="inlineStr">
        <is>
          <t>1. MK-XS-F-144 guessCategory → MK-XS-F-094 parseReceiptText
2. MONTH (already above — a loop) → MK-CF-O-010 theMonth → MK-CF-F-203 MONTH → MK-CF-F-204 line → MK-XS-F-094 parseReceiptText
3. MK-XS-F-122 n → MK-CF-F-155 cash → MK-CF-O-010 theMonth → MK-CF-F-203 MONTH → MK-CF-F-204 line → MK-XS-F-094 parseReceiptText
4. MK-CF-F-151 actualSpending → MK-CF-O-002 expenses → MK-CF-O-010 theMonth → MK-CF-F-203 MONTH → MK-CF-F-204 line → MK-XS-F-094 parseReceiptText
5. MK-CF-F-150 debtPaymentsCountedAsExpenses → MK-CF-O-002 expenses → MK-CF-O-010 theMonth → MK-CF-F-203 MONTH → MK-CF-F-204 line → MK-XS-F-094 parseReceiptText
6. MK-CF-F-153 radar → MK-CF-O-002 expenses → MK-CF-O-010 theMonth → MK-CF-F-203 MONTH → MK-CF-F-204 line → MK-XS-F-094 parseReceiptText
7. MK-CF-F-149 recurringDebtPayments → MK-CF-O-002 expenses → MK-CF-O-010 theMonth → MK-CF-F-203 MONTH → MK-CF-F-204 line → MK-XS-F-094 parseReceiptText
8. MK-CF-F-005 actualMonthFlow → MK-CF-O-003 thisMonth → MK-CF-O-010 theMonth → MK-CF-F-203 MONTH → MK-CF-F-204 line → MK-XS-F-094 parseReceiptText
9. … and 5 more paths</t>
        </is>
      </c>
      <c r="S626" s="3" t="inlineStr">
        <is>
          <t>—</t>
        </is>
      </c>
      <c r="T626" s="3" t="inlineStr">
        <is>
          <t>—</t>
        </is>
      </c>
      <c r="U626" s="3" t="inlineStr">
        <is>
          <t>ACTIVE</t>
        </is>
      </c>
      <c r="V626" s="3" t="inlineStr">
        <is>
          <t>2026-08-27</t>
        </is>
      </c>
      <c r="W626" s="3" t="n"/>
      <c r="X626" s="3" t="n"/>
      <c r="Y626" s="3" t="inlineStr">
        <is>
          <t>NOTHING OPEN</t>
        </is>
      </c>
    </row>
    <row r="627" ht="60" customHeight="1">
      <c r="A627" s="3" t="inlineStr">
        <is>
          <t>MK-XS-F-095</t>
        </is>
      </c>
      <c r="B627" s="3" t="inlineStr">
        <is>
          <t>ocrAvailable</t>
        </is>
      </c>
      <c r="C627" s="3" t="inlineStr">
        <is>
          <t>src/services/receiptScan.ts</t>
        </is>
      </c>
      <c r="D627" s="3" t="n">
        <v>27</v>
      </c>
      <c r="E627" s="3" t="inlineStr">
        <is>
          <t>2 · DISPLAYED</t>
        </is>
      </c>
      <c r="F627" s="3" t="inlineStr">
        <is>
          <t>NOT DETERMINED — the code carries no note saying what this is for, and it has no row in the old inventory. Needs reading.</t>
        </is>
      </c>
      <c r="G627" s="11" t="inlineStr">
        <is>
          <t>the answer = true when the text-recognition module is present and usable</t>
        </is>
      </c>
      <c r="H627" s="3" t="inlineStr">
        <is>
          <t>Whether receipt scanning is available on this device. Not a calculation.</t>
        </is>
      </c>
      <c r="I627" s="3" t="inlineStr">
        <is>
          <t>READ BY HAND 2026-08-26 — checked line by line against the code</t>
        </is>
      </c>
      <c r="J627" s="3" t="inlineStr">
        <is>
          <t>Nothing is handed to it</t>
        </is>
      </c>
      <c r="K627" s="3" t="inlineStr">
        <is>
          <t>boolean</t>
        </is>
      </c>
      <c r="L627" s="3" t="inlineStr">
        <is>
          <t>NOT FOUND — a screen calls it, but the words printed beside its answer could not be traced automatically. Needs reading.</t>
        </is>
      </c>
      <c r="M627" s="3" t="inlineStr">
        <is>
          <t>None found in this function — anything it assumes comes from the functions it depends on.</t>
        </is>
      </c>
      <c r="N627" s="3" t="inlineStr">
        <is>
          <t>Yes</t>
        </is>
      </c>
      <c r="O627" s="3" t="inlineStr">
        <is>
          <t>—</t>
        </is>
      </c>
      <c r="P627" s="3" t="n">
        <v>0</v>
      </c>
      <c r="Q627" s="3" t="inlineStr">
        <is>
          <t>None — no dependent function stands behind it</t>
        </is>
      </c>
      <c r="R627" s="3" t="inlineStr">
        <is>
          <t>No dependent function — it reads its inputs and answers</t>
        </is>
      </c>
      <c r="S627" s="3" t="inlineStr">
        <is>
          <t>—</t>
        </is>
      </c>
      <c r="T627" s="3" t="inlineStr">
        <is>
          <t>—</t>
        </is>
      </c>
      <c r="U627" s="3" t="inlineStr">
        <is>
          <t>ACTIVE</t>
        </is>
      </c>
      <c r="V627" s="3" t="inlineStr">
        <is>
          <t>2026-09-12</t>
        </is>
      </c>
      <c r="W627" s="3" t="n"/>
      <c r="X627" s="3" t="n"/>
      <c r="Y627" s="3" t="inlineStr">
        <is>
          <t>NOTHING OPEN</t>
        </is>
      </c>
    </row>
    <row r="628" ht="60" customHeight="1">
      <c r="A628" s="3" t="inlineStr">
        <is>
          <t>MK-XS-F-096</t>
        </is>
      </c>
      <c r="B628" s="3" t="inlineStr">
        <is>
          <t>pickReceipt</t>
        </is>
      </c>
      <c r="C628" s="3" t="inlineStr">
        <is>
          <t>src/services/receiptScan.ts</t>
        </is>
      </c>
      <c r="D628" s="3" t="n">
        <v>55</v>
      </c>
      <c r="E628" s="3" t="inlineStr">
        <is>
          <t>2 · DISPLAYED</t>
        </is>
      </c>
      <c r="F628" s="3" t="inlineStr">
        <is>
          <t>Capture (camera) or pick (library) a receipt image; returns its uri or null if cancelled/denied.</t>
        </is>
      </c>
      <c r="G628" s="11" t="inlineStr">
        <is>
          <t>p = await image picker.request camera permissions async()
nothing   when granted is missing
r = await image picker.launch camera async({ quality: 0.6 })
the answer:
nothing   if canceled
assets.[0].uri (or nothing when missing)   otherwise
p = await image picker.request media library permissions async()
nothing   when granted is missing
r = await image picker.launch image library async({ quality: 0.6 })</t>
        </is>
      </c>
      <c r="H628" s="3" t="inlineStr">
        <is>
          <t>P is await image picker.request camera permissions async(). When granted is missing, it answers no answer. R is await image picker.launch camera async({ quality: 0.6 }). The answer is no answer — when canceled; assets.[0].uri (or no answer — when missing) — otherwise. P is await image picker.request media library permissions async(). When granted is missing, it answers no answer. R is await image picker.launch image library async({ quality: 0.6 }).</t>
        </is>
      </c>
      <c r="I628" s="3" t="inlineStr">
        <is>
          <t>PARTLY READ — some of the code is still showing through; needs a hand pass</t>
        </is>
      </c>
      <c r="J628" s="3" t="inlineStr">
        <is>
          <t>source: 'camera' | 'library'</t>
        </is>
      </c>
      <c r="K628" s="3" t="inlineStr">
        <is>
          <t>Promise&lt;string | null&gt;</t>
        </is>
      </c>
      <c r="L628" s="3" t="inlineStr">
        <is>
          <t>NOT FOUND — a screen calls it, but the words printed beside its answer could not be traced automatically. Needs reading.</t>
        </is>
      </c>
      <c r="M628" s="3" t="inlineStr">
        <is>
          <t>None found in this function — anything it assumes comes from the functions it depends on.</t>
        </is>
      </c>
      <c r="N628" s="3" t="inlineStr">
        <is>
          <t>Yes</t>
        </is>
      </c>
      <c r="O628" s="3" t="inlineStr">
        <is>
          <t>MK-CF-F-204 line</t>
        </is>
      </c>
      <c r="P628" s="3" t="n">
        <v>101</v>
      </c>
      <c r="Q628" s="3" t="inlineStr">
        <is>
          <t>1. MK-CF-F-204 line
2. MK-CF-F-203 MONTH
3. MK-XS-F-180 declareFigures
4. MK-CF-O-010 theMonth
5. MK-CF-F-155 cash
6. MK-CF-O-002 expenses
7. MK-CF-O-003 thisMonth
8. MK-XS-F-122 n
9. MK-CF-F-151 actualSpending
10. MK-CF-F-150 debtPaymentsCountedAsExpenses
11. MK-CF-F-153 radar
12. MK-CF-F-149 recurringDebtPayments
13. MK-CF-F-005 actualMonthFlow
14. MK-CF-F-156 plannedMonthFlow
15. MK-CF-F-148 inMonth
16. MK-ST-F-052 toNum
17. MK-CF-F-191 ym
18. MK-ST-F-056 has
19. MK-CF-F-022 paymentShape
20. MK-CF-F-152 isRadarItem
21. MK-CF-F-023 requiredPayment
22. MK-CF-F-132 map
23. MK-NW-F-078 ONE
24. MK-CF-F-157 debtPaymentsByDebt
25. MK-CF-F-192 inflowLabel
26. MK-XS-F-027 takeHomeMonthly
27. MK-CF-F-021 defaultPaymentType
28. MK-NW-F-077 ALL
29. MK-NW-F-059 currentYield
30. MK-ST-F-049 formatMoney
31. MK-ST-F-053 money
32. MK-NW-O-001 theBonds
33. MK-CF-F-193 inflowSourceWord
34. MK-CF-F-092 incomeMonthlyGrid
35. MK-CF-F-011 savingsByMonth
36. MK-NW-F-057 annualCoupon
37. MK-ST-F-048 currencySymbol
38. MK-ST-F-039 on
39. MK-ST-F-027 accountId
40. MK-NW-F-056 bondInfo
41. MK-NW-F-064 bondRateSensitivity
42. MK-NW-F-061 bondSummary
43. MK-NW-F-055 isBond
44. MK-NW-F-072 rowOf
45. MK-CF-F-069 benefitActiveMonths
46. MK-CF-F-072 currentRetirementIncomeMonthly
47. MK-CF-F-173 earnerWages
48. MK-CF-F-065 equityVestWeights
49. MK-CF-F-071 extraIncome
50. MK-CF-F-206 householdK401ByMonth
51. MK-CF-F-087 monthlyTaxRates
52. MK-CF-F-073 otherIncomeMonth
53. MK-CF-F-181 rateInForce
54. MK-CF-F-068 rentalNetAnnual
55. MK-CF-F-066 rsuAnnual
56. MK-CF-F-060 salaryGrossByMonth
57. MK-CF-F-077 scholarshipByCalendarMonth
58. MK-CF-F-088 taxableByCalendarMonth
59. MK-CF-F-177 wageGrossByMonth
60. MK-PL-F-012 waterfall
61. MK-CF-F-008 spendByMonth
62. MK-ST-F-047 activeCurrency
63. MK-NW-F-060 approxYTM
64. MK-NW-F-069 priceAtYield
65. MK-NW-F-011 assetClassOf
66. MK-NW-F-070 accruedInterestCaveat
67. MK-NW-F-071 isCertificateOfDeposit
68. MK-NW-F-058 yearsToMaturity
69. MK-CF-F-075 retirementIncomeMonthly
70. MK-CF-F-172 hasWage
71. MK-CF-F-062 equityRowValue
72. MK-CF-F-070 benefitAnnual
73. MK-CF-F-176 sumMonthsOverEarners
74. MK-CF-F-090 effectiveRate
75. MK-CF-F-180 enteredLandsAnnual
76. MK-CF-F-085 filingStatusOf
77. MK-CF-F-089 over65CountOf
78. MK-CF-F-082 salaryAnnual
79. MK-CF-F-086 stateRateOf
80. MK-CF-F-101 taxOwedFor
81. MK-CF-F-084 taxableAnnual
82. MK-CF-F-067 rentalList
83. MK-CF-F-063 rowVestYear
84. MK-CF-F-130 enteredMonthlyRaw
85. MK-CF-F-166 hasMonthlySalaryTable
86. MK-ST-F-036 reconcile
87. MK-CF-F-167 salaryCalendarYear
88. MK-CF-F-120 pctBaseMonthly
89. MK-CF-F-004 spendBuckets
90. MK-NW-F-008 incomeBearingClassOf
91. MK-CF-F-100 taxableIncomeFor
92. MK-CF-F-074 tipsAnnual
93. MK-CF-F-165 salaryMonths
94. MK-CF-F-003 categoryMonthly
95. MK-ST-F-010 nameEvidence
96. MK-CF-F-099 deductionFor
97. MK-CF-F-081 salaryActiveMonths
98. MK-XS-F-147 call
99. MK-CF-F-187 seniorDeductionFor
100. MK-XS-F-064 currentIdToken
101. MK-XS-F-112 relayUrl</t>
        </is>
      </c>
      <c r="R628" s="3" t="inlineStr">
        <is>
          <t>1. MONTH (already above — a loop) → MK-CF-O-010 theMonth → MK-CF-F-203 MONTH → MK-CF-F-204 line → MK-XS-F-096 pickReceipt
2. MK-XS-F-122 n → MK-CF-F-155 cash → MK-CF-O-010 theMonth → MK-CF-F-203 MONTH → MK-CF-F-204 line → MK-XS-F-096 pickReceipt
3. MK-CF-F-151 actualSpending → MK-CF-O-002 expenses → MK-CF-O-010 theMonth → MK-CF-F-203 MONTH → MK-CF-F-204 line → MK-XS-F-096 pickReceipt
4. MK-CF-F-150 debtPaymentsCountedAsExpenses → MK-CF-O-002 expenses → MK-CF-O-010 theMonth → MK-CF-F-203 MONTH → MK-CF-F-204 line → MK-XS-F-096 pickReceipt
5. MK-CF-F-153 radar → MK-CF-O-002 expenses → MK-CF-O-010 theMonth → MK-CF-F-203 MONTH → MK-CF-F-204 line → MK-XS-F-096 pickReceipt
6. MK-CF-F-149 recurringDebtPayments → MK-CF-O-002 expenses → MK-CF-O-010 theMonth → MK-CF-F-203 MONTH → MK-CF-F-204 line → MK-XS-F-096 pickReceipt
7. MK-CF-F-005 actualMonthFlow → MK-CF-O-003 thisMonth → MK-CF-O-010 theMonth → MK-CF-F-203 MONTH → MK-CF-F-204 line → MK-XS-F-096 pickReceipt
8. MK-CF-F-156 plannedMonthFlow → MK-CF-O-003 thisMonth → MK-CF-O-010 theMonth → MK-CF-F-203 MONTH → MK-CF-F-204 line → MK-XS-F-096 pickReceipt
9. … and 1 more paths</t>
        </is>
      </c>
      <c r="S628" s="3" t="inlineStr">
        <is>
          <t>—</t>
        </is>
      </c>
      <c r="T628" s="3" t="inlineStr">
        <is>
          <t>—</t>
        </is>
      </c>
      <c r="U628" s="3" t="inlineStr">
        <is>
          <t>ACTIVE</t>
        </is>
      </c>
      <c r="V628" s="3" t="inlineStr">
        <is>
          <t>2026-08-27</t>
        </is>
      </c>
      <c r="W628" s="3" t="n"/>
      <c r="X628" s="3" t="n"/>
      <c r="Y628" s="3" t="inlineStr">
        <is>
          <t>NOTHING OPEN</t>
        </is>
      </c>
    </row>
    <row r="629" ht="60" customHeight="1">
      <c r="A629" s="3" t="inlineStr">
        <is>
          <t>MK-XS-F-097</t>
        </is>
      </c>
      <c r="B629" s="3" t="inlineStr">
        <is>
          <t>ocrReceipt</t>
        </is>
      </c>
      <c r="C629" s="3" t="inlineStr">
        <is>
          <t>src/services/receiptScan.ts</t>
        </is>
      </c>
      <c r="D629" s="3" t="n">
        <v>172</v>
      </c>
      <c r="E629" s="3" t="inlineStr">
        <is>
          <t>2 · DISPLAYED (presentation only)</t>
        </is>
      </c>
      <c r="F629" s="3" t="inlineStr">
        <is>
          <t>NOT DETERMINED — the code carries no note saying what this is for, and it has no row in the old inventory. Needs reading.</t>
        </is>
      </c>
      <c r="G629" s="11" t="inlineStr">
        <is>
          <t>raw = ''   when !ocr available()
res = await mlkit.recognize(uri)
text = res.text (or '' when missing)
the answer:
...parse receipt(text) = ...parse receipt(text)
raw = text</t>
        </is>
      </c>
      <c r="H629" s="3" t="inlineStr">
        <is>
          <t>When !ocr available(), it answers raw = ''. Res is await mlkit.recognize(uri). Text is res.text (or '' — when missing). The answer is ...parse receipt(text) = ...parse receipt(text); raw = text.</t>
        </is>
      </c>
      <c r="I629" s="3" t="inlineStr">
        <is>
          <t>PARTLY READ — some of the code is still showing through; needs a hand pass</t>
        </is>
      </c>
      <c r="J629" s="3" t="inlineStr">
        <is>
          <t>uri: string</t>
        </is>
      </c>
      <c r="K629" s="3" t="inlineStr">
        <is>
          <t>Promise&lt;</t>
        </is>
      </c>
      <c r="L629" s="3" t="inlineStr">
        <is>
          <t>NOT FOUND — a screen calls it, but the words printed beside its answer could not be traced automatically. Needs reading.</t>
        </is>
      </c>
      <c r="M629" s="3" t="inlineStr">
        <is>
          <t>None found in this function — anything it assumes comes from the functions it depends on.</t>
        </is>
      </c>
      <c r="N629" s="3" t="inlineStr">
        <is>
          <t>Yes</t>
        </is>
      </c>
      <c r="O629" s="3" t="inlineStr">
        <is>
          <t>1. MK-XS-F-095 ocrAvailable
2. MK-XS-F-058 parseReceipt</t>
        </is>
      </c>
      <c r="P629" s="3" t="n">
        <v>104</v>
      </c>
      <c r="Q629" s="3" t="inlineStr">
        <is>
          <t>1. MK-XS-F-095 ocrAvailable
2. MK-XS-F-058 parseReceipt
3. MK-CF-F-204 line
4. MK-CF-F-132 map
5. MK-XS-F-093 stripNonMoney
6. MK-ST-F-052 toNum
7. MK-CF-F-203 MONTH
8. MK-XS-F-180 declareFigures
9. MK-XS-F-122 n
10. MK-CF-O-010 theMonth
11. MK-CF-F-155 cash
12. MK-CF-O-002 expenses
13. MK-CF-O-003 thisMonth
14. MK-CF-F-151 actualSpending
15. MK-CF-F-150 debtPaymentsCountedAsExpenses
16. MK-CF-F-153 radar
17. MK-CF-F-149 recurringDebtPayments
18. MK-CF-F-005 actualMonthFlow
19. MK-CF-F-156 plannedMonthFlow
20. MK-CF-F-148 inMonth
21. MK-CF-F-191 ym
22. MK-ST-F-056 has
23. MK-CF-F-022 paymentShape
24. MK-CF-F-152 isRadarItem
25. MK-CF-F-023 requiredPayment
26. MK-NW-F-078 ONE
27. MK-CF-F-157 debtPaymentsByDebt
28. MK-CF-F-192 inflowLabel
29. MK-XS-F-027 takeHomeMonthly
30. MK-CF-F-021 defaultPaymentType
31. MK-NW-F-077 ALL
32. MK-NW-F-059 currentYield
33. MK-ST-F-049 formatMoney
34. MK-ST-F-053 money
35. MK-NW-O-001 theBonds
36. MK-CF-F-193 inflowSourceWord
37. MK-CF-F-092 incomeMonthlyGrid
38. MK-CF-F-011 savingsByMonth
39. MK-NW-F-057 annualCoupon
40. MK-ST-F-048 currencySymbol
41. MK-ST-F-039 on
42. MK-ST-F-027 accountId
43. MK-NW-F-056 bondInfo
44. MK-NW-F-064 bondRateSensitivity
45. MK-NW-F-061 bondSummary
46. MK-NW-F-055 isBond
47. MK-NW-F-072 rowOf
48. MK-CF-F-069 benefitActiveMonths
49. MK-CF-F-072 currentRetirementIncomeMonthly
50. MK-CF-F-173 earnerWages
51. MK-CF-F-065 equityVestWeights
52. MK-CF-F-071 extraIncome
53. MK-CF-F-206 householdK401ByMonth
54. MK-CF-F-087 monthlyTaxRates
55. MK-CF-F-073 otherIncomeMonth
56. MK-CF-F-181 rateInForce
57. MK-CF-F-068 rentalNetAnnual
58. MK-CF-F-066 rsuAnnual
59. MK-CF-F-060 salaryGrossByMonth
60. MK-CF-F-077 scholarshipByCalendarMonth
61. MK-CF-F-088 taxableByCalendarMonth
62. MK-CF-F-177 wageGrossByMonth
63. MK-PL-F-012 waterfall
64. MK-CF-F-008 spendByMonth
65. MK-ST-F-047 activeCurrency
66. MK-NW-F-060 approxYTM
67. MK-NW-F-069 priceAtYield
68. MK-NW-F-011 assetClassOf
69. MK-NW-F-070 accruedInterestCaveat
70. MK-NW-F-071 isCertificateOfDeposit
71. MK-NW-F-058 yearsToMaturity
72. MK-CF-F-075 retirementIncomeMonthly
73. MK-CF-F-172 hasWage
74. MK-CF-F-062 equityRowValue
75. MK-CF-F-070 benefitAnnual
76. MK-CF-F-176 sumMonthsOverEarners
77. MK-CF-F-090 effectiveRate
78. MK-CF-F-180 enteredLandsAnnual
79. MK-CF-F-085 filingStatusOf
80. MK-CF-F-089 over65CountOf
81. MK-CF-F-082 salaryAnnual
82. MK-CF-F-086 stateRateOf
83. MK-CF-F-101 taxOwedFor
84. MK-CF-F-084 taxableAnnual
85. MK-CF-F-067 rentalList
86. MK-CF-F-063 rowVestYear
87. MK-CF-F-130 enteredMonthlyRaw
88. MK-CF-F-166 hasMonthlySalaryTable
89. MK-ST-F-036 reconcile
90. MK-CF-F-167 salaryCalendarYear
91. MK-CF-F-120 pctBaseMonthly
92. MK-CF-F-004 spendBuckets
93. MK-NW-F-008 incomeBearingClassOf
94. MK-CF-F-100 taxableIncomeFor
95. MK-CF-F-074 tipsAnnual
96. MK-CF-F-165 salaryMonths
97. MK-CF-F-003 categoryMonthly
98. MK-ST-F-010 nameEvidence
99. MK-CF-F-099 deductionFor
100. MK-CF-F-081 salaryActiveMonths
101. MK-XS-F-147 call
102. MK-CF-F-187 seniorDeductionFor
103. MK-XS-F-064 currentIdToken
104. MK-XS-F-112 relayUrl</t>
        </is>
      </c>
      <c r="R629" s="3" t="inlineStr">
        <is>
          <t>1. MK-XS-F-095 ocrAvailable → MK-XS-F-097 ocrReceipt
2. MONTH (already above — a loop) → MK-CF-O-010 theMonth → MK-CF-F-203 MONTH → MK-CF-F-204 line → MK-XS-F-058 parseReceipt → MK-XS-F-097 ocrReceipt
3. MK-CF-F-155 cash → MK-CF-O-010 theMonth → MK-CF-F-203 MONTH → MK-CF-F-204 line → MK-XS-F-058 parseReceipt → MK-XS-F-097 ocrReceipt
4. MK-CF-O-002 expenses → MK-CF-O-010 theMonth → MK-CF-F-203 MONTH → MK-CF-F-204 line → MK-XS-F-058 parseReceipt → MK-XS-F-097 ocrReceipt
5. MK-CF-O-003 thisMonth → MK-CF-O-010 theMonth → MK-CF-F-203 MONTH → MK-CF-F-204 line → MK-XS-F-058 parseReceipt → MK-XS-F-097 ocrReceipt
6. MK-XS-F-180 declareFigures → MK-CF-F-204 line → MK-XS-F-058 parseReceipt → MK-XS-F-097 ocrReceipt
7. MK-CF-F-132 map → MK-XS-F-058 parseReceipt → MK-XS-F-097 ocrReceipt
8. MK-XS-F-093 stripNonMoney → MK-XS-F-058 parseReceipt → MK-XS-F-097 ocrReceipt
9. … and 1 more paths</t>
        </is>
      </c>
      <c r="S629" s="3" t="inlineStr">
        <is>
          <t>—</t>
        </is>
      </c>
      <c r="T629" s="3" t="inlineStr">
        <is>
          <t>—</t>
        </is>
      </c>
      <c r="U629" s="3" t="inlineStr">
        <is>
          <t>ACTIVE</t>
        </is>
      </c>
      <c r="V629" s="3" t="inlineStr">
        <is>
          <t>2026-08-27</t>
        </is>
      </c>
      <c r="W629" s="3" t="n"/>
      <c r="X629" s="3" t="n"/>
      <c r="Y629" s="3" t="inlineStr">
        <is>
          <t>NOTHING OPEN</t>
        </is>
      </c>
    </row>
    <row r="630" ht="60" customHeight="1">
      <c r="A630" s="3" t="inlineStr">
        <is>
          <t>MK-XS-F-098</t>
        </is>
      </c>
      <c r="B630" s="3" t="inlineStr">
        <is>
          <t>setSyncProviderForTesting</t>
        </is>
      </c>
      <c r="C630" s="3" t="inlineStr">
        <is>
          <t>src/services/sync/index.ts</t>
        </is>
      </c>
      <c r="D630" s="3" t="n">
        <v>68</v>
      </c>
      <c r="E630" s="3" t="inlineStr">
        <is>
          <t>1 · ACTION</t>
        </is>
      </c>
      <c r="F630" s="3" t="inlineStr">
        <is>
          <t>NOT DETERMINED — the code carries no note saying what this is for, and it has no row in the old inventory. Needs reading.</t>
        </is>
      </c>
      <c r="G630" s="11" t="inlineStr">
        <is>
          <t>It records or announces something and returns no figure — no arithmetic of its own.</t>
        </is>
      </c>
      <c r="H630" s="3" t="inlineStr">
        <is>
          <t>It records or announces something and returns no figure — no arithmetic of its own.</t>
        </is>
      </c>
      <c r="I630" s="3" t="inlineStr">
        <is>
          <t>NO ARITHMETIC — there is no formula to state</t>
        </is>
      </c>
      <c r="J630" s="3" t="inlineStr">
        <is>
          <t>p: SyncProvider | null</t>
        </is>
      </c>
      <c r="K630" s="3" t="inlineStr">
        <is>
          <t>NOT DECLARED — the code does not say what it gives back</t>
        </is>
      </c>
      <c r="L630" s="3" t="inlineStr">
        <is>
          <t>—</t>
        </is>
      </c>
      <c r="M630" s="3" t="inlineStr">
        <is>
          <t>None found in this function — anything it assumes comes from the functions it depends on.</t>
        </is>
      </c>
      <c r="N630" s="3" t="inlineStr">
        <is>
          <t>No</t>
        </is>
      </c>
      <c r="O630" s="3" t="inlineStr">
        <is>
          <t>—</t>
        </is>
      </c>
      <c r="P630" s="3" t="n">
        <v>0</v>
      </c>
      <c r="Q630" s="3" t="inlineStr">
        <is>
          <t>None — no dependent function stands behind it</t>
        </is>
      </c>
      <c r="R630" s="3" t="inlineStr">
        <is>
          <t>No dependent function — it reads its inputs and answers</t>
        </is>
      </c>
      <c r="S630" s="3" t="inlineStr">
        <is>
          <t>—</t>
        </is>
      </c>
      <c r="T630" s="3" t="inlineStr">
        <is>
          <t>—</t>
        </is>
      </c>
      <c r="U630" s="3" t="inlineStr">
        <is>
          <t>ACTIVE</t>
        </is>
      </c>
      <c r="V630" s="3" t="inlineStr">
        <is>
          <t>2026-08-27</t>
        </is>
      </c>
      <c r="W630" s="3" t="n"/>
      <c r="X630" s="3" t="n"/>
      <c r="Y630" s="3" t="inlineStr">
        <is>
          <t>NOTHING OPEN</t>
        </is>
      </c>
    </row>
    <row r="631" ht="60" customHeight="1">
      <c r="A631" s="3" t="inlineStr">
        <is>
          <t>MK-XS-F-099</t>
        </is>
      </c>
      <c r="B631" s="3" t="inlineStr">
        <is>
          <t>activeSyncProvider</t>
        </is>
      </c>
      <c r="C631" s="3" t="inlineStr">
        <is>
          <t>src/services/sync/index.ts</t>
        </is>
      </c>
      <c r="D631" s="3" t="n">
        <v>89</v>
      </c>
      <c r="E631" s="3" t="inlineStr">
        <is>
          <t>2 · DISPLAYED</t>
        </is>
      </c>
      <c r="F631" s="3" t="inlineStr">
        <is>
          <t>The one lookup the UI uses.</t>
        </is>
      </c>
      <c r="G631" s="11" t="inlineStr">
        <is>
          <t>override provider   when override provider ! = undefined
new sandbox sync provider()   if typeof __DEV__ ! = 'undefined' and __DEV__
nothing   otherwise</t>
        </is>
      </c>
      <c r="H631" s="3" t="inlineStr">
        <is>
          <t>When override provider ! = undefined, it answers override provider. new sandbox sync provider() — when typeof __DEV__ ! = 'undefined' and __DEV__; no answer — otherwise.</t>
        </is>
      </c>
      <c r="I631" s="3" t="inlineStr">
        <is>
          <t>PARTLY READ — some of the code is still showing through; needs a hand pass</t>
        </is>
      </c>
      <c r="J631" s="3" t="inlineStr">
        <is>
          <t>Nothing is handed to it</t>
        </is>
      </c>
      <c r="K631" s="3" t="inlineStr">
        <is>
          <t>SyncProvider | null</t>
        </is>
      </c>
      <c r="L631" s="3" t="inlineStr">
        <is>
          <t>NOT FOUND — a screen calls it, but the words printed beside its answer could not be traced automatically. Needs reading.</t>
        </is>
      </c>
      <c r="M631" s="3" t="inlineStr">
        <is>
          <t>None found in this function — anything it assumes comes from the functions it depends on.</t>
        </is>
      </c>
      <c r="N631" s="3" t="inlineStr">
        <is>
          <t>Yes</t>
        </is>
      </c>
      <c r="O631" s="3" t="inlineStr">
        <is>
          <t>—</t>
        </is>
      </c>
      <c r="P631" s="3" t="n">
        <v>0</v>
      </c>
      <c r="Q631" s="3" t="inlineStr">
        <is>
          <t>None — no dependent function stands behind it</t>
        </is>
      </c>
      <c r="R631" s="3" t="inlineStr">
        <is>
          <t>No dependent function — it reads its inputs and answers</t>
        </is>
      </c>
      <c r="S631" s="3" t="inlineStr">
        <is>
          <t>—</t>
        </is>
      </c>
      <c r="T631" s="3" t="inlineStr">
        <is>
          <t>—</t>
        </is>
      </c>
      <c r="U631" s="3" t="inlineStr">
        <is>
          <t>ACTIVE</t>
        </is>
      </c>
      <c r="V631" s="3" t="inlineStr">
        <is>
          <t>2026-08-27</t>
        </is>
      </c>
      <c r="W631" s="3" t="n"/>
      <c r="X631" s="3" t="n"/>
      <c r="Y631" s="3" t="inlineStr">
        <is>
          <t>NOTHING OPEN</t>
        </is>
      </c>
    </row>
    <row r="632" ht="60" customHeight="1">
      <c r="A632" s="3" t="inlineStr">
        <is>
          <t>MK-XS-F-100</t>
        </is>
      </c>
      <c r="B632" s="3" t="inlineStr">
        <is>
          <t>connectionFreshness</t>
        </is>
      </c>
      <c r="C632" s="3" t="inlineStr">
        <is>
          <t>src/services/sync/index.ts</t>
        </is>
      </c>
      <c r="D632" s="3" t="n">
        <v>124</v>
      </c>
      <c r="E632" s="3" t="inlineStr">
        <is>
          <t>2 · DISPLAYED</t>
        </is>
      </c>
      <c r="F632" s="3" t="inlineStr">
        <is>
          <t>How old a connected account's last successful sync is.</t>
        </is>
      </c>
      <c r="G632" s="11" t="inlineStr">
        <is>
          <t>days = days since(last synced, now)
label = age label(last synced, now)
nothing   when days = nothing (or label = nothing when missing or zero)
the answer:
label = label
stale = is stale(last synced, now)
days old = days</t>
        </is>
      </c>
      <c r="H632" s="3" t="inlineStr">
        <is>
          <t>Days is days since(last synced, now). Label is age label(last synced, now). When days is missing (or label is missing — when missing or zero), it answers no answer. The answer is label = label; stale = is stale(last synced, now); days old = days.</t>
        </is>
      </c>
      <c r="I632" s="3" t="inlineStr">
        <is>
          <t>READ FROM THE CODE — rendered from the expressions the function runs</t>
        </is>
      </c>
      <c r="J632" s="3" t="inlineStr">
        <is>
          <t>1. lastSynced: string | null | undefined
2. now: number = Date.now()</t>
        </is>
      </c>
      <c r="K632" s="3" t="inlineStr">
        <is>
          <t>ConnectionFreshness | null</t>
        </is>
      </c>
      <c r="L632" s="3" t="inlineStr">
        <is>
          <t>NOT FOUND — a screen calls it, but the words printed beside its answer could not be traced automatically. Needs reading.</t>
        </is>
      </c>
      <c r="M632" s="3" t="inlineStr">
        <is>
          <t>· Uses today's date from the device clock, so the answer changes by itself overnight.</t>
        </is>
      </c>
      <c r="N632" s="3" t="inlineStr">
        <is>
          <t>Yes</t>
        </is>
      </c>
      <c r="O632" s="3" t="inlineStr">
        <is>
          <t>1. MK-ST-F-076 ageLabel
2. MK-XS-F-170 daysSince
3. MK-ST-F-077 isStale</t>
        </is>
      </c>
      <c r="P632" s="3" t="n">
        <v>3</v>
      </c>
      <c r="Q632" s="3" t="inlineStr">
        <is>
          <t>1. MK-ST-F-076 ageLabel
2. MK-XS-F-170 daysSince
3. MK-ST-F-077 isStale</t>
        </is>
      </c>
      <c r="R632" s="3" t="inlineStr">
        <is>
          <t>1. MK-XS-F-170 daysSince → MK-ST-F-076 ageLabel → MK-XS-F-100 connectionFreshness
2. MK-XS-F-170 daysSince → MK-XS-F-100 connectionFreshness
3. MK-XS-F-170 daysSince → MK-ST-F-077 isStale → MK-XS-F-100 connectionFreshness</t>
        </is>
      </c>
      <c r="S632" s="3" t="inlineStr">
        <is>
          <t>—</t>
        </is>
      </c>
      <c r="T632" s="3" t="inlineStr">
        <is>
          <t>—</t>
        </is>
      </c>
      <c r="U632" s="3" t="inlineStr">
        <is>
          <t>ACTIVE</t>
        </is>
      </c>
      <c r="V632" s="3" t="inlineStr">
        <is>
          <t>2026-10-01</t>
        </is>
      </c>
      <c r="W632" s="3" t="n"/>
      <c r="X632" s="3" t="n"/>
      <c r="Y632" s="3" t="inlineStr">
        <is>
          <t>NOTHING OPEN</t>
        </is>
      </c>
    </row>
    <row r="633" ht="45" customHeight="1">
      <c r="A633" s="3" t="inlineStr">
        <is>
          <t>MK-XS-F-101</t>
        </is>
      </c>
      <c r="B633" s="3" t="inlineStr">
        <is>
          <t>stAssetId</t>
        </is>
      </c>
      <c r="C633" s="3" t="inlineStr">
        <is>
          <t>src/services/sync/ingest.ts</t>
        </is>
      </c>
      <c r="D633" s="3" t="n">
        <v>54</v>
      </c>
      <c r="E633" s="3" t="inlineStr">
        <is>
          <t>1 · ACTION</t>
        </is>
      </c>
      <c r="F633" s="3" t="inlineStr">
        <is>
          <t>What do we call this connected account internally?</t>
        </is>
      </c>
      <c r="G633" s="11" t="inlineStr">
        <is>
          <t>the answer = 'st-' + the SnapTrade account identifier</t>
        </is>
      </c>
      <c r="H633" s="3" t="inlineStr">
        <is>
          <t>The app's identifier for a connected account: the institution's identifier with an 'st-' prefix. No arithmetic.</t>
        </is>
      </c>
      <c r="I633" s="3" t="inlineStr">
        <is>
          <t>READ BY HAND 2026-08-26 — checked line by line against the code</t>
        </is>
      </c>
      <c r="J633" s="3" t="inlineStr">
        <is>
          <t>snapTradeAccountId: string</t>
        </is>
      </c>
      <c r="K633" s="3" t="inlineStr">
        <is>
          <t>NOT DECLARED — the code does not say what it gives back</t>
        </is>
      </c>
      <c r="L633" s="3" t="inlineStr">
        <is>
          <t>—</t>
        </is>
      </c>
      <c r="M633" s="3" t="inlineStr">
        <is>
          <t>None found in this function — anything it assumes comes from the functions it depends on.</t>
        </is>
      </c>
      <c r="N633" s="3" t="inlineStr">
        <is>
          <t>Yes</t>
        </is>
      </c>
      <c r="O633" s="3" t="inlineStr">
        <is>
          <t>—</t>
        </is>
      </c>
      <c r="P633" s="3" t="n">
        <v>0</v>
      </c>
      <c r="Q633" s="3" t="inlineStr">
        <is>
          <t>None — no dependent function stands behind it</t>
        </is>
      </c>
      <c r="R633" s="3" t="inlineStr">
        <is>
          <t>No dependent function — it reads its inputs and answers</t>
        </is>
      </c>
      <c r="S633" s="3" t="inlineStr">
        <is>
          <t>—</t>
        </is>
      </c>
      <c r="T633" s="3" t="inlineStr">
        <is>
          <t>ACCOUNT_IDENTITY</t>
        </is>
      </c>
      <c r="U633" s="3" t="inlineStr">
        <is>
          <t>ACTIVE</t>
        </is>
      </c>
      <c r="V633" s="3" t="inlineStr">
        <is>
          <t>2026-09-12</t>
        </is>
      </c>
      <c r="W633" s="3" t="n"/>
      <c r="X633" s="3" t="n"/>
      <c r="Y633" s="3" t="inlineStr">
        <is>
          <t>NOTHING OPEN</t>
        </is>
      </c>
    </row>
    <row r="634" ht="60" customHeight="1">
      <c r="A634" s="3" t="inlineStr">
        <is>
          <t>MK-XS-F-102</t>
        </is>
      </c>
      <c r="B634" s="3" t="inlineStr">
        <is>
          <t>ingestSync</t>
        </is>
      </c>
      <c r="C634" s="3" t="inlineStr">
        <is>
          <t>src/services/sync/ingest.ts</t>
        </is>
      </c>
      <c r="D634" s="3" t="n">
        <v>102</v>
      </c>
      <c r="E634" s="3" t="inlineStr">
        <is>
          <t>3 · DEPENDENT (feeds an action only)</t>
        </is>
      </c>
      <c r="F634" s="3" t="inlineStr">
        <is>
          <t>A broker just sent us data — what changes?</t>
        </is>
      </c>
      <c r="G634" s="11" t="inlineStr">
        <is>
          <t>accounts = [...existing accounts]
seen keys = { ...existing seen keys }
new transactions = []
needs wrapper confirm = []
st = account
guess = map account type(st.raw type, st.account category)
tail = string(st.number).slice(-4)   if st.number
''   otherwise
mask = `••${tail}`   if ÷ ^\d{4}$ ÷ .test(tail)
undefined   otherwise
inst = st.institution name.trim().to lower case()
asset id = prior.asset id (or st asset id(st.id) when missing)
mapped = for each of positions (or none when missing): map position where (m): m is non nullable&lt;typeof m&gt; =&gt; !!m
… the first steps only — the rest of the body needs reading by hand.</t>
        </is>
      </c>
      <c r="H634" s="3" t="inlineStr">
        <is>
          <t>Accounts is [...existing accounts]. Seen keys is { ...existing seen keys }. New transactions is []. Needs wrapper confirm is []. St is account. Guess is map account type(st.raw type, st.account category). Tail is string(st.number).slice(-4) — when st.number; '' — otherwise. Mask is `••${tail}` — when divided by ^\d{4}$ divided by .test(tail); undefined — otherwise. Inst is st.institution name.trim().to lower case(). Asset id is prior.asset id (or st asset id(st.id) — when missing). Mapped is for each of positions (or none — when missing): map position where (m): m is non nullable&lt;typeof m&gt; =&gt; !!m. Only the first steps are shown; the rest of the body needs reading by hand.</t>
        </is>
      </c>
      <c r="I634" s="3" t="inlineStr">
        <is>
          <t>PARTLY READ — some of the code is still showing through; needs a hand pass</t>
        </is>
      </c>
      <c r="J634" s="3" t="inlineStr">
        <is>
          <t>Nothing is handed to it</t>
        </is>
      </c>
      <c r="K634" s="3" t="inlineStr">
        <is>
          <t>NOT DECLARED — the code does not say what it gives back</t>
        </is>
      </c>
      <c r="L634" s="3" t="inlineStr">
        <is>
          <t>—</t>
        </is>
      </c>
      <c r="M634" s="3" t="inlineStr">
        <is>
          <t>1. If cost per share is missing it uses 0.
2. If target return is missing it uses 8%.
3. If balance is missing it uses 0.
4. If shares is missing it counts as zero, so nothing recorded and a real zero look the same.
5. If cost per share is missing it counts as zero, so nothing recorded and a real zero look the same.
6. If value is missing it counts as zero, so nothing recorded and a real zero look the same.
7. Uses today's date from the device clock, so the answer changes by itself overnight.
8. Rounds the answer to two decimals (cents).</t>
        </is>
      </c>
      <c r="N634" s="3" t="inlineStr">
        <is>
          <t>No</t>
        </is>
      </c>
      <c r="O634" s="3" t="inlineStr">
        <is>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t>
        </is>
      </c>
      <c r="P634" s="3" t="n">
        <v>39</v>
      </c>
      <c r="Q634" s="3" t="inlineStr">
        <is>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
15. MK-NW-F-025 accountDisplayName
16. MK-CF-F-155 cash
17. MK-XS-F-122 n
18. MK-ST-F-027 accountId
19. MK-ST-F-014 importKey
20. MK-ST-F-010 nameEvidence
21. MK-ST-F-056 has
22. MK-ST-F-007 classifyEvent
23. MK-XS-F-146 prettyExpiry
24. MK-XS-F-145 flatSymbol
25. MK-ST-F-060 verdict
26. MK-ST-F-053 money
27. MK-ST-F-058 numberOrUndefined
28. MK-ST-F-018 readMoney
29. MK-ST-F-019 signed
30. MK-NW-F-024 accountLastFour
31. MK-NW-F-012 taxTreatmentOf
32. MK-NW-F-023 wrapperWord
33. MK-XS-F-147 call
34. MK-ST-F-049 formatMoney
35. MK-XS-F-064 currentIdToken
36. MK-XS-F-112 relayUrl
37. MK-ST-F-048 currencySymbol
38. MK-ST-F-039 on
39. MK-ST-F-047 activeCurrency</t>
        </is>
      </c>
      <c r="R634" s="3" t="inlineStr">
        <is>
          <t>1. accountDisplayNames (already above — a loop) → MK-NW-F-025 accountDisplayName → MK-NW-F-026 accountDisplayNames → MK-XS-F-102 ingestSync
2. MK-NW-F-024 accountLastFour → MK-NW-F-025 accountDisplayName → MK-NW-F-026 accountDisplayNames → MK-XS-F-102 ingestSync
3. MK-NW-F-012 taxTreatmentOf → MK-NW-F-025 accountDisplayName → MK-NW-F-026 accountDisplayNames → MK-XS-F-102 ingestSync
4. MK-NW-F-023 wrapperWord → MK-NW-F-025 accountDisplayName → MK-NW-F-026 accountDisplayNames → MK-XS-F-102 ingestSync
5. MK-XS-F-122 n → MK-CF-F-155 cash → MK-NW-F-026 accountDisplayNames → MK-XS-F-102 ingestSync
6. MK-CF-F-132 map → MK-NW-F-026 accountDisplayNames → MK-XS-F-102 ingestSync
7. MK-XS-F-122 n → MK-NW-F-026 accountDisplayNames → MK-XS-F-102 ingestSync
8. MK-ST-F-027 accountId → MK-XS-F-108 activityKey → MK-XS-F-102 ingestSync
9. … and 5 more paths</t>
        </is>
      </c>
      <c r="S634" s="3" t="inlineStr">
        <is>
          <t>—</t>
        </is>
      </c>
      <c r="T634" s="3" t="inlineStr">
        <is>
          <t>SYNC_ONE_ACCOUNT</t>
        </is>
      </c>
      <c r="U634" s="3" t="inlineStr">
        <is>
          <t>ACTIVE</t>
        </is>
      </c>
      <c r="V634" s="3" t="inlineStr">
        <is>
          <t>2026-08-27</t>
        </is>
      </c>
      <c r="W634" s="3" t="n"/>
      <c r="X634" s="3" t="n"/>
      <c r="Y634" s="3" t="inlineStr">
        <is>
          <t>NOTHING OPEN</t>
        </is>
      </c>
    </row>
    <row r="635" ht="60" customHeight="1">
      <c r="A635" s="3" t="inlineStr">
        <is>
          <t>MK-XS-F-103</t>
        </is>
      </c>
      <c r="B635" s="3" t="inlineStr">
        <is>
          <t>confirmWrapper</t>
        </is>
      </c>
      <c r="C635" s="3" t="inlineStr">
        <is>
          <t>src/services/sync/ingest.ts</t>
        </is>
      </c>
      <c r="D635" s="3" t="n">
        <v>312</v>
      </c>
      <c r="E635" s="3" t="inlineStr">
        <is>
          <t>3 · DEPENDENT (feeds an action only)</t>
        </is>
      </c>
      <c r="F635" s="3" t="inlineStr">
        <is>
          <t>Mark an account's wrapper as USER-CONFIRMED — future syncs never override it.</t>
        </is>
      </c>
      <c r="G635" s="11" t="inlineStr">
        <is>
          <t>for each of accounts: ...each = ...each
kind = kind
tax bucket = tax bucket
wrapper confirmed = true   if asset id = asset id
each   otherwise</t>
        </is>
      </c>
      <c r="H635" s="3" t="inlineStr">
        <is>
          <t>for each of accounts: ...each = ...each; kind = kind; tax bucket = tax bucket; wrapper confirmed = true — when asset id = asset id; each — otherwise.</t>
        </is>
      </c>
      <c r="I635" s="3" t="inlineStr">
        <is>
          <t>READ FROM THE CODE — rendered from the expressions the function runs</t>
        </is>
      </c>
      <c r="J635" s="3" t="inlineStr">
        <is>
          <t>1. accounts: AssetAccount[]
2. assetId: string
3. kind: string
4. taxBucket: AssetAccount['tax_bucket']</t>
        </is>
      </c>
      <c r="K635" s="3" t="inlineStr">
        <is>
          <t>AssetAccount[]</t>
        </is>
      </c>
      <c r="L635" s="3" t="inlineStr">
        <is>
          <t>—</t>
        </is>
      </c>
      <c r="M635" s="3" t="inlineStr">
        <is>
          <t>None found in this function — anything it assumes comes from the functions it depends on.</t>
        </is>
      </c>
      <c r="N635" s="3" t="inlineStr">
        <is>
          <t>No</t>
        </is>
      </c>
      <c r="O635" s="3" t="inlineStr">
        <is>
          <t>MK-CF-F-132 map</t>
        </is>
      </c>
      <c r="P635" s="3" t="n">
        <v>1</v>
      </c>
      <c r="Q635" s="3" t="inlineStr">
        <is>
          <t>MK-CF-F-132 map</t>
        </is>
      </c>
      <c r="R635" s="3" t="inlineStr">
        <is>
          <t>MK-CF-F-132 map → MK-XS-F-103 confirmWrapper</t>
        </is>
      </c>
      <c r="S635" s="3" t="inlineStr">
        <is>
          <t>—</t>
        </is>
      </c>
      <c r="T635" s="3" t="inlineStr">
        <is>
          <t>CONFIRM_TAX_TYPE</t>
        </is>
      </c>
      <c r="U635" s="3" t="inlineStr">
        <is>
          <t>ACTIVE</t>
        </is>
      </c>
      <c r="V635" s="3" t="inlineStr">
        <is>
          <t>2026-08-27</t>
        </is>
      </c>
      <c r="W635" s="3" t="n"/>
      <c r="X635" s="3" t="n"/>
      <c r="Y635" s="3" t="inlineStr">
        <is>
          <t>NOTHING OPEN</t>
        </is>
      </c>
    </row>
    <row r="636" ht="60" customHeight="1">
      <c r="A636" s="3" t="inlineStr">
        <is>
          <t>MK-XS-F-104</t>
        </is>
      </c>
      <c r="B636" s="3" t="inlineStr">
        <is>
          <t>mapAccountType</t>
        </is>
      </c>
      <c r="C636" s="3" t="inlineStr">
        <is>
          <t>src/services/sync/snaptrade.ts</t>
        </is>
      </c>
      <c r="D636" s="3" t="n">
        <v>124</v>
      </c>
      <c r="E636" s="3" t="inlineStr">
        <is>
          <t>3 · DEPENDENT (feeds an action only)</t>
        </is>
      </c>
      <c r="F636" s="3" t="inlineStr">
        <is>
          <t>What kind of account is this, and how is it taxed?</t>
        </is>
      </c>
      <c r="G636" s="11" t="inlineStr">
        <is>
          <t>t = (raw type ?? '').to lower case()
has = (...words: string[]) =&gt; words.some((w) =&gt; includes(w))
kind = '401k'   if has('401')
'roth_ira'   otherwise
tax bucket = 'ROTH'
confident = true   when has('roth')
kind = '401k'
tax bucket = 'PRE_TAX'
confident = true   when has('401k', '401(k)', '403b', '403(b)', '457')
kind = 'trad_ira'
tax bucket = 'PRE_TAX'
confident = true   when has('rollover', 'traditional', 'sep', 'simple ira')
kind = 'trad_ira'
tax bucket = 'PRE_TAX'
confident = true   when has('ira')
kind = 'hsa'
tax bucket = 'PRE_TAX'
confident = true   when has('hsa')
kind = 'checking'
tax bucket = 'CASH'
confident = true   when has('checking')
kind = 'brokerage'
tax bucket = 'TAXABLE'
confident = false   when has('savings')
kind = 'college_529'
tax bucket = 'TAXABLE'
confident = true   when has('529', 'education')
the answer:
kind = 'brokerage'
tax bucket = 'TAXABLE'
confident = true
… the first steps only — the rest of the body needs reading by hand.</t>
        </is>
      </c>
      <c r="H636" s="3" t="inlineStr">
        <is>
          <t>T is (raw type ?? '').to lower case(). Has is (...words: string[]) =&gt; words.some((w) =&gt; includes(w)). When has('roth'), it answers kind = '401k' — when has('401'); 'roth_ira' — otherwise; tax bucket = 'ROTH'; confident = true. When has('401k', '401(k)', '403b', '403(b)', '457'), it answers kind = '401k'; tax bucket = 'PRE_TAX'; confident = true. When has('rollover', 'traditional', 'sep', 'simple ira'), it answers kind = 'trad_ira'; tax bucket = 'PRE_TAX'; confident = true. When has('ira'), it answers kind = 'trad_ira'; tax bucket = 'PRE_TAX'; confident = true. When has('hsa'), it answers kind = 'hsa'; tax bucket = 'PRE_TAX'; confident = true. When has('checking'), it answers kind = 'checking'; tax bucket = 'CASH'; confident = true. When has('savings'), it answers kind = 'brokerage'; tax bucket = 'TAXABLE'; confident = false. When has('529', 'education'), it answers kind = 'college_529'; tax bucket = 'TAXABLE'; confident = true. The answer is kind = 'brokerage'; tax bucket = 'TAXABLE'; confident = true. Only the first steps are shown; the rest of the body needs reading by hand.</t>
        </is>
      </c>
      <c r="I636" s="3" t="inlineStr">
        <is>
          <t>PARTLY READ — some of the code is still showing through; needs a hand pass</t>
        </is>
      </c>
      <c r="J636" s="3" t="inlineStr">
        <is>
          <t>1. rawType: string | null | undefined
2. category?: string | null</t>
        </is>
      </c>
      <c r="K636" s="3" t="inlineStr">
        <is>
          <t>WrapperGuess</t>
        </is>
      </c>
      <c r="L636" s="3" t="inlineStr">
        <is>
          <t>—</t>
        </is>
      </c>
      <c r="M636" s="3" t="inlineStr">
        <is>
          <t>None found in this function — anything it assumes comes from the functions it depends on.</t>
        </is>
      </c>
      <c r="N636" s="3" t="inlineStr">
        <is>
          <t>No</t>
        </is>
      </c>
      <c r="O636" s="3" t="inlineStr">
        <is>
          <t>MK-ST-F-056 has</t>
        </is>
      </c>
      <c r="P636" s="3" t="n">
        <v>1</v>
      </c>
      <c r="Q636" s="3" t="inlineStr">
        <is>
          <t>MK-ST-F-056 has</t>
        </is>
      </c>
      <c r="R636" s="3" t="inlineStr">
        <is>
          <t>MK-ST-F-056 has → MK-XS-F-104 mapAccountType</t>
        </is>
      </c>
      <c r="S636" s="3" t="inlineStr">
        <is>
          <t>—</t>
        </is>
      </c>
      <c r="T636" s="3" t="inlineStr">
        <is>
          <t>ACCOUNT_TAX_TYPE_GUESS</t>
        </is>
      </c>
      <c r="U636" s="3" t="inlineStr">
        <is>
          <t>ACTIVE</t>
        </is>
      </c>
      <c r="V636" s="3" t="inlineStr">
        <is>
          <t>2026-08-27</t>
        </is>
      </c>
      <c r="W636" s="3" t="n"/>
      <c r="X636" s="3" t="n"/>
      <c r="Y636" s="3" t="inlineStr">
        <is>
          <t>NOTHING OPEN</t>
        </is>
      </c>
    </row>
    <row r="637" ht="60" customHeight="1">
      <c r="A637" s="3" t="inlineStr">
        <is>
          <t>MK-XS-F-105</t>
        </is>
      </c>
      <c r="B637" s="3" t="inlineStr">
        <is>
          <t>mapPosition</t>
        </is>
      </c>
      <c r="C637" s="3" t="inlineStr">
        <is>
          <t>src/services/sync/snaptrade.ts</t>
        </is>
      </c>
      <c r="D637" s="3" t="n">
        <v>220</v>
      </c>
      <c r="E637" s="3" t="inlineStr">
        <is>
          <t>3 · DEPENDENT (feeds an action only)</t>
        </is>
      </c>
      <c r="F637" s="3" t="inlineStr">
        <is>
          <t>B7 (founder brief 2026-08-20): classification lives in the ONE function — name first, broker tag as fallback only.</t>
        </is>
      </c>
      <c r="G637" s="11" t="inlineStr">
        <is>
          <t>sym = flat symbol(p)
shares = units (or 0 when missing)
nothing   when sym is missing (or shares = 0 when missing or zero)
code = (sym.type.code ?? '').to lower case()
tick = (sym.raw symbol or sym.symbol or '').to upper case()</t>
        </is>
      </c>
      <c r="H637" s="3" t="inlineStr">
        <is>
          <t>Sym is flat symbol(p). Shares is units (or 0 — when missing). When sym is missing (or shares = 0 — when missing or zero), it answers no answer. Code is (sym.type.code ?? '').to lower case(). Tick is (sym.raw symbol or sym.symbol or '').to upper case().</t>
        </is>
      </c>
      <c r="I637" s="3" t="inlineStr">
        <is>
          <t>PARTLY READ — some of the code is still showing through; needs a hand pass</t>
        </is>
      </c>
      <c r="J637" s="3" t="inlineStr">
        <is>
          <t>p: StPosition</t>
        </is>
      </c>
      <c r="K637" s="3" t="inlineStr">
        <is>
          <t>MappedPosition | null</t>
        </is>
      </c>
      <c r="L637" s="3" t="inlineStr">
        <is>
          <t>—</t>
        </is>
      </c>
      <c r="M637" s="3" t="inlineStr">
        <is>
          <t>1. If units is missing it uses 0.
2. If quantity is missing it uses 0.</t>
        </is>
      </c>
      <c r="N637" s="3" t="inlineStr">
        <is>
          <t>No</t>
        </is>
      </c>
      <c r="O637" s="3" t="inlineStr">
        <is>
          <t>1. MK-ST-F-011 classifyHoldingClass
2. MK-XS-F-145 flatSymbol
3. MK-CF-F-132 map</t>
        </is>
      </c>
      <c r="P637" s="3" t="n">
        <v>9</v>
      </c>
      <c r="Q637" s="3" t="inlineStr">
        <is>
          <t>1. MK-ST-F-011 classifyHoldingClass
2. MK-XS-F-145 flatSymbol
3. MK-CF-F-132 map
4. MK-ST-F-010 nameEvidence
5. MK-XS-F-147 call
6. MK-ST-F-056 has
7. MK-ST-F-027 accountId
8. MK-XS-F-064 currentIdToken
9. MK-XS-F-112 relayUrl</t>
        </is>
      </c>
      <c r="R637" s="3" t="inlineStr">
        <is>
          <t>1. MK-ST-F-027 accountId → MK-XS-F-147 call → MK-ST-F-010 nameEvidence → MK-ST-F-011 classifyHoldingClass → MK-XS-F-105 mapPosition
2. MK-XS-F-064 currentIdToken → MK-XS-F-147 call → MK-ST-F-010 nameEvidence → MK-ST-F-011 classifyHoldingClass → MK-XS-F-105 mapPosition
3. MK-XS-F-112 relayUrl → MK-XS-F-147 call → MK-ST-F-010 nameEvidence → MK-ST-F-011 classifyHoldingClass → MK-XS-F-105 mapPosition
4. MK-ST-F-056 has → MK-ST-F-010 nameEvidence → MK-ST-F-011 classifyHoldingClass → MK-XS-F-105 mapPosition
5. MK-CF-F-132 map → MK-ST-F-010 nameEvidence → MK-ST-F-011 classifyHoldingClass → MK-XS-F-105 mapPosition
6. MK-XS-F-145 flatSymbol → MK-XS-F-105 mapPosition
7. MK-CF-F-132 map → MK-XS-F-105 mapPosition</t>
        </is>
      </c>
      <c r="S637" s="3" t="inlineStr">
        <is>
          <t>—</t>
        </is>
      </c>
      <c r="T637" s="3" t="inlineStr">
        <is>
          <t>CLASS_FROM_BROKER</t>
        </is>
      </c>
      <c r="U637" s="3" t="inlineStr">
        <is>
          <t>ACTIVE</t>
        </is>
      </c>
      <c r="V637" s="3" t="inlineStr">
        <is>
          <t>2026-08-27</t>
        </is>
      </c>
      <c r="W637" s="3" t="n"/>
      <c r="X637" s="3" t="n"/>
      <c r="Y637" s="3" t="inlineStr">
        <is>
          <t>NOTHING OPEN</t>
        </is>
      </c>
    </row>
    <row r="638" ht="60" customHeight="1">
      <c r="A638" s="3" t="inlineStr">
        <is>
          <t>MK-XS-F-106</t>
        </is>
      </c>
      <c r="B638" s="3" t="inlineStr">
        <is>
          <t>mapOptionHolding</t>
        </is>
      </c>
      <c r="C638" s="3" t="inlineStr">
        <is>
          <t>src/services/sync/snaptrade.ts</t>
        </is>
      </c>
      <c r="D638" s="3" t="n">
        <v>310</v>
      </c>
      <c r="E638" s="3" t="inlineStr">
        <is>
          <t>3 · DEPENDENT (feeds an action only)</t>
        </is>
      </c>
      <c r="F638" s="3" t="inlineStr">
        <is>
          <t>What is this option position worth, and what do we call it?</t>
        </is>
      </c>
      <c r="G638" s="11" t="inlineStr">
        <is>
          <t>os = symbol.option symbol
contracts = units (or 0 when missing)
nothing   when os is missing (or contracts = 0 when missing or zero)
under = (os.underlying symbol.raw symbol or os.underlying symbol.symbol or os.ticker or '?').to upper case()
kind word = 'put'   if os.option type = 'PUT'
'call'   otherwise
strike = `$${os.strike price}`   if os.strike price ≠ nothing
''   otherwise</t>
        </is>
      </c>
      <c r="H638" s="3" t="inlineStr">
        <is>
          <t>Os is symbol.option symbol. Contracts is units (or 0 — when missing). When os is missing (or contracts = 0 — when missing or zero), it answers no answer. Under is (os.underlying symbol.raw symbol or os.underlying symbol.symbol or os.ticker or '?').to upper case(). Kind word is 'put' — when os.option type = 'PUT'; 'call' — otherwise. Strike is `$${os.strike price}` — when os.strike price is not no answer; '' — otherwise.</t>
        </is>
      </c>
      <c r="I638" s="3" t="inlineStr">
        <is>
          <t>PARTLY READ — some of the code is still showing through; needs a hand pass</t>
        </is>
      </c>
      <c r="J638" s="3" t="inlineStr">
        <is>
          <t>1. o: StOptionHolding
2. multiplier = 100</t>
        </is>
      </c>
      <c r="K638" s="3" t="inlineStr">
        <is>
          <t>MappedOption | null</t>
        </is>
      </c>
      <c r="L638" s="3" t="inlineStr">
        <is>
          <t>—</t>
        </is>
      </c>
      <c r="M638" s="3" t="inlineStr">
        <is>
          <t>1. If units is missing it uses 0.
2. If price is missing it uses 0.
3. Rounds the answer to two decimals (cents).</t>
        </is>
      </c>
      <c r="N638" s="3" t="inlineStr">
        <is>
          <t>No</t>
        </is>
      </c>
      <c r="O638" s="3" t="inlineStr">
        <is>
          <t>1. MK-ST-F-007 classifyEvent
2. MK-XS-F-146 prettyExpiry</t>
        </is>
      </c>
      <c r="P638" s="3" t="n">
        <v>3</v>
      </c>
      <c r="Q638" s="3" t="inlineStr">
        <is>
          <t>1. MK-ST-F-007 classifyEvent
2. MK-XS-F-146 prettyExpiry
3. MK-CF-F-132 map</t>
        </is>
      </c>
      <c r="R638" s="3" t="inlineStr">
        <is>
          <t>1. MK-ST-F-007 classifyEvent → MK-XS-F-106 mapOptionHolding
2. MK-CF-F-132 map → MK-XS-F-146 prettyExpiry → MK-XS-F-106 mapOptionHolding</t>
        </is>
      </c>
      <c r="S638" s="3" t="inlineStr">
        <is>
          <t>—</t>
        </is>
      </c>
      <c r="T638" s="3" t="inlineStr">
        <is>
          <t>OPTION_HOLDING</t>
        </is>
      </c>
      <c r="U638" s="3" t="inlineStr">
        <is>
          <t>ACTIVE</t>
        </is>
      </c>
      <c r="V638" s="3" t="inlineStr">
        <is>
          <t>2026-08-27</t>
        </is>
      </c>
      <c r="W638" s="3" t="n"/>
      <c r="X638" s="3" t="n"/>
      <c r="Y638" s="3" t="inlineStr">
        <is>
          <t>NOTHING OPEN</t>
        </is>
      </c>
    </row>
    <row r="639" ht="60" customHeight="1">
      <c r="A639" s="3" t="inlineStr">
        <is>
          <t>MK-XS-F-107</t>
        </is>
      </c>
      <c r="B639" s="3" t="inlineStr">
        <is>
          <t>mapActivityType</t>
        </is>
      </c>
      <c r="C639" s="3" t="inlineStr">
        <is>
          <t>src/services/sync/snaptrade.ts</t>
        </is>
      </c>
      <c r="D639" s="3" t="n">
        <v>372</v>
      </c>
      <c r="E639" s="3" t="inlineStr">
        <is>
          <t>3 · DEPENDENT (feeds an action only)</t>
        </is>
      </c>
      <c r="F639" s="3" t="inlineStr">
        <is>
          <t>A line arrived from the broker. Is this money you paid IN, money you took OUT, or something that happened inside the account?</t>
        </is>
      </c>
      <c r="G639" s="11" t="inlineStr">
        <is>
          <t>t = (type ?? '').to upper case()
is option = !!option symbol (or !!option type when missing or zero)
the answer:
txn type = t as 'BUY' | 'SELL'
note = 'option purchase'   if t = 'BUY'
'option sale'   otherwise
txn type = 'FEE'
note = `broker: ${type}`   when includes('FEE')
txn type = 'DEPOSIT'
note = `broker: ${type ?? 'unknown'}`   when (amount ?? 0) &gt; 0
txn type = 'WITHDRAWAL'
note = `broker: ${type ?? 'unknown'}`   when (amount ?? 0) &lt; 0</t>
        </is>
      </c>
      <c r="H639" s="3" t="inlineStr">
        <is>
          <t>T is (type ?? '').to upper case(). Is option is !!option symbol (or !!option type — when missing or zero). The answer is txn type = t as 'BUY' | 'SELL'; note = 'option purchase' — when t = 'BUY'; 'option sale' — otherwise. When includes('FEE'), it answers txn type = 'FEE'; note = `broker: ${type}`. When (amount ?? 0) &gt; 0, it answers txn type = 'DEPOSIT'; note = `broker: ${type ?? 'unknown'}`. When (amount ?? 0) &lt; 0, it answers txn type = 'WITHDRAWAL'; note = `broker: ${type ?? 'unknown'}`.</t>
        </is>
      </c>
      <c r="I639" s="3" t="inlineStr">
        <is>
          <t>PARTLY READ — some of the code is still showing through; needs a hand pass</t>
        </is>
      </c>
      <c r="J639" s="3" t="inlineStr">
        <is>
          <t>a: StActivity</t>
        </is>
      </c>
      <c r="K639" s="3" t="inlineStr">
        <is>
          <t>MappedActivity</t>
        </is>
      </c>
      <c r="L639" s="3" t="inlineStr">
        <is>
          <t>—</t>
        </is>
      </c>
      <c r="M639" s="3" t="inlineStr">
        <is>
          <t>· If amount is missing it uses 0.</t>
        </is>
      </c>
      <c r="N639" s="3" t="inlineStr">
        <is>
          <t>No</t>
        </is>
      </c>
      <c r="O639" s="3" t="inlineStr">
        <is>
          <t>MK-CF-F-155 cash</t>
        </is>
      </c>
      <c r="P639" s="3" t="n">
        <v>2</v>
      </c>
      <c r="Q639" s="3" t="inlineStr">
        <is>
          <t>1. MK-CF-F-155 cash
2. MK-XS-F-122 n</t>
        </is>
      </c>
      <c r="R639" s="3" t="inlineStr">
        <is>
          <t>MK-XS-F-122 n → MK-CF-F-155 cash → MK-XS-F-107 mapActivityType</t>
        </is>
      </c>
      <c r="S639" s="3" t="inlineStr">
        <is>
          <t>—</t>
        </is>
      </c>
      <c r="T639" s="3" t="inlineStr">
        <is>
          <t>TRANSLATE_BROKER_WORD</t>
        </is>
      </c>
      <c r="U639" s="3" t="inlineStr">
        <is>
          <t>ACTIVE</t>
        </is>
      </c>
      <c r="V639" s="3" t="inlineStr">
        <is>
          <t>2026-08-27</t>
        </is>
      </c>
      <c r="W639" s="3" t="n"/>
      <c r="X639" s="3" t="n"/>
      <c r="Y639" s="3" t="inlineStr">
        <is>
          <t>NOTHING OPEN</t>
        </is>
      </c>
    </row>
    <row r="640" ht="60" customHeight="1">
      <c r="A640" s="3" t="inlineStr">
        <is>
          <t>MK-XS-F-108</t>
        </is>
      </c>
      <c r="B640" s="3" t="inlineStr">
        <is>
          <t>activityKey</t>
        </is>
      </c>
      <c r="C640" s="3" t="inlineStr">
        <is>
          <t>src/services/sync/snaptrade.ts</t>
        </is>
      </c>
      <c r="D640" s="3" t="n">
        <v>453</v>
      </c>
      <c r="E640" s="3" t="inlineStr">
        <is>
          <t>3 · DEPENDENT (feeds an action only)</t>
        </is>
      </c>
      <c r="F640" s="3" t="inlineStr">
        <is>
          <t>── duplicate-proofing ───────────────────────────────────────────────────────────────────────── SnapTrade activity ids can change when they reprocess history, so identity = the composite of everything that makes the row THAT row.</t>
        </is>
      </c>
      <c r="G640" s="11" t="inlineStr">
        <is>
          <t>the answer = import key(account, trade date or settlement date, type, amount, units, security, reference, description)</t>
        </is>
      </c>
      <c r="H640" s="3" t="inlineStr">
        <is>
          <t>The stable identity of one imported activity row, built by MK-ST-F-014 importKey from the account, the date, the type, the amount, the units, the security, the reference and the description.</t>
        </is>
      </c>
      <c r="I640" s="3" t="inlineStr">
        <is>
          <t>READ BY HAND 2026-08-26 — checked line by line against the code</t>
        </is>
      </c>
      <c r="J640" s="3" t="inlineStr">
        <is>
          <t>1. accountId: string
2. a: StActivity</t>
        </is>
      </c>
      <c r="K640" s="3" t="inlineStr">
        <is>
          <t>string</t>
        </is>
      </c>
      <c r="L640" s="3" t="inlineStr">
        <is>
          <t>—</t>
        </is>
      </c>
      <c r="M640" s="3" t="inlineStr">
        <is>
          <t>None found in this function — anything it assumes comes from the functions it depends on.</t>
        </is>
      </c>
      <c r="N640" s="3" t="inlineStr">
        <is>
          <t>No</t>
        </is>
      </c>
      <c r="O640" s="3" t="inlineStr">
        <is>
          <t>1. MK-ST-F-027 accountId
2. MK-ST-F-014 importKey</t>
        </is>
      </c>
      <c r="P640" s="3" t="n">
        <v>2</v>
      </c>
      <c r="Q640" s="3" t="inlineStr">
        <is>
          <t>1. MK-ST-F-027 accountId
2. MK-ST-F-014 importKey</t>
        </is>
      </c>
      <c r="R640" s="3" t="inlineStr">
        <is>
          <t>1. MK-ST-F-027 accountId → MK-XS-F-108 activityKey
2. MK-ST-F-014 importKey → MK-XS-F-108 activityKey</t>
        </is>
      </c>
      <c r="S640" s="3" t="inlineStr">
        <is>
          <t>—</t>
        </is>
      </c>
      <c r="T640" s="3" t="inlineStr">
        <is>
          <t>ACTIVITY_IDENTITY</t>
        </is>
      </c>
      <c r="U640" s="3" t="inlineStr">
        <is>
          <t>ACTIVE</t>
        </is>
      </c>
      <c r="V640" s="3" t="inlineStr">
        <is>
          <t>2026-09-12</t>
        </is>
      </c>
      <c r="W640" s="3" t="n"/>
      <c r="X640" s="3" t="n"/>
      <c r="Y640" s="3" t="inlineStr">
        <is>
          <t>NOTHING OPEN</t>
        </is>
      </c>
    </row>
    <row r="641" ht="60" customHeight="1">
      <c r="A641" s="3" t="inlineStr">
        <is>
          <t>MK-XS-F-109</t>
        </is>
      </c>
      <c r="B641" s="3" t="inlineStr">
        <is>
          <t>dedupeActivities</t>
        </is>
      </c>
      <c r="C641" s="3" t="inlineStr">
        <is>
          <t>src/services/sync/snaptrade.ts</t>
        </is>
      </c>
      <c r="D641" s="3" t="n">
        <v>482</v>
      </c>
      <c r="E641" s="3" t="inlineStr">
        <is>
          <t>3 · DEPENDENT (feeds an action only)</t>
        </is>
      </c>
      <c r="F641" s="3" t="inlineStr">
        <is>
          <t>Which of these activities are new since the last sync?</t>
        </is>
      </c>
      <c r="G641" s="11" t="inlineStr">
        <is>
          <t>fresh = []
k = activity key(account id, a)
the answer = fresh</t>
        </is>
      </c>
      <c r="H641" s="3" t="inlineStr">
        <is>
          <t>Fresh is []. K is activity key(account id, a). The answer is fresh.</t>
        </is>
      </c>
      <c r="I641" s="3" t="inlineStr">
        <is>
          <t>READ FROM THE CODE — rendered from the expressions the function runs</t>
        </is>
      </c>
      <c r="J641" s="3" t="inlineStr">
        <is>
          <t>1. accountId: string
2. incoming: StActivity[]
3. seenKeys: Set&lt;string&gt;</t>
        </is>
      </c>
      <c r="K641" s="3" t="inlineStr">
        <is>
          <t>StActivity[]</t>
        </is>
      </c>
      <c r="L641" s="3" t="inlineStr">
        <is>
          <t>—</t>
        </is>
      </c>
      <c r="M641" s="3" t="inlineStr">
        <is>
          <t>None found in this function — anything it assumes comes from the functions it depends on.</t>
        </is>
      </c>
      <c r="N641" s="3" t="inlineStr">
        <is>
          <t>No</t>
        </is>
      </c>
      <c r="O641" s="3" t="inlineStr">
        <is>
          <t>1. MK-ST-F-027 accountId
2. MK-XS-F-108 activityKey
3. MK-ST-F-056 has</t>
        </is>
      </c>
      <c r="P641" s="3" t="n">
        <v>4</v>
      </c>
      <c r="Q641" s="3" t="inlineStr">
        <is>
          <t>1. MK-ST-F-027 accountId
2. MK-XS-F-108 activityKey
3. MK-ST-F-056 has
4. MK-ST-F-014 importKey</t>
        </is>
      </c>
      <c r="R641" s="3" t="inlineStr">
        <is>
          <t>1. MK-ST-F-027 accountId → MK-XS-F-109 dedupeActivities
2. MK-ST-F-027 accountId → MK-XS-F-108 activityKey → MK-XS-F-109 dedupeActivities
3. MK-ST-F-014 importKey → MK-XS-F-108 activityKey → MK-XS-F-109 dedupeActivities
4. MK-ST-F-056 has → MK-XS-F-109 dedupeActivities</t>
        </is>
      </c>
      <c r="S641" s="3" t="inlineStr">
        <is>
          <t>—</t>
        </is>
      </c>
      <c r="T641" s="3" t="inlineStr">
        <is>
          <t>ALREADY_SEEN_CHECK</t>
        </is>
      </c>
      <c r="U641" s="3" t="inlineStr">
        <is>
          <t>ACTIVE</t>
        </is>
      </c>
      <c r="V641" s="3" t="inlineStr">
        <is>
          <t>2026-08-27</t>
        </is>
      </c>
      <c r="W641" s="3" t="n"/>
      <c r="X641" s="3" t="n"/>
      <c r="Y641" s="3" t="inlineStr">
        <is>
          <t>NOTHING OPEN</t>
        </is>
      </c>
    </row>
    <row r="642" ht="60" customHeight="1">
      <c r="A642" s="3" t="inlineStr">
        <is>
          <t>MK-XS-F-110</t>
        </is>
      </c>
      <c r="B642" s="3" t="inlineStr">
        <is>
          <t>netCashSleeve</t>
        </is>
      </c>
      <c r="C642" s="3" t="inlineStr">
        <is>
          <t>src/services/sync/snaptrade.ts</t>
        </is>
      </c>
      <c r="D642" s="3" t="n">
        <v>523</v>
      </c>
      <c r="E642" s="3" t="inlineStr">
        <is>
          <t>3 · DEPENDENT (feeds an action only)</t>
        </is>
      </c>
      <c r="F642" s="3" t="inlineStr">
        <is>
          <t>── the cash sleeve, deduped ─────────────────────────────────────────────────────────────────── SnapTrade counts money-market (cash_equivalent) positions INSIDE balances.cash too.</t>
        </is>
      </c>
      <c r="G642" s="11" t="inlineStr">
        <is>
          <t>net = round((balances cash ?? 0) − mmf, 2 dp)
the answer:
0   if net &lt; 0 and net &gt; -1
net   otherwise</t>
        </is>
      </c>
      <c r="H642" s="3" t="inlineStr">
        <is>
          <t>Net is (balances cash ?? 0) minus mmf, to the cent. The answer is 0 — when net &lt; 0 and net &gt; -1; net — otherwise.</t>
        </is>
      </c>
      <c r="I642" s="3" t="inlineStr">
        <is>
          <t>PARTLY READ — some of the code is still showing through; needs a hand pass</t>
        </is>
      </c>
      <c r="J642" s="3" t="inlineStr">
        <is>
          <t>1. balancesCash: number | null | undefined
2. positions: MappedPosition[]</t>
        </is>
      </c>
      <c r="K642" s="3" t="inlineStr">
        <is>
          <t>number</t>
        </is>
      </c>
      <c r="L642" s="3" t="inlineStr">
        <is>
          <t>—</t>
        </is>
      </c>
      <c r="M642" s="3" t="inlineStr">
        <is>
          <t>1. If price is missing it uses 0.
2. If balances cash is missing it uses 0.
3. Rounds the answer to two decimals (cents).</t>
        </is>
      </c>
      <c r="N642" s="3" t="inlineStr">
        <is>
          <t>No</t>
        </is>
      </c>
      <c r="O642" s="3" t="inlineStr">
        <is>
          <t>—</t>
        </is>
      </c>
      <c r="P642" s="3" t="n">
        <v>0</v>
      </c>
      <c r="Q642" s="3" t="inlineStr">
        <is>
          <t>None — no dependent function stands behind it</t>
        </is>
      </c>
      <c r="R642" s="3" t="inlineStr">
        <is>
          <t>No dependent function — it reads its inputs and answers</t>
        </is>
      </c>
      <c r="S642" s="3" t="inlineStr">
        <is>
          <t>—</t>
        </is>
      </c>
      <c r="T642" s="3" t="inlineStr">
        <is>
          <t>UNINVESTED_CASH</t>
        </is>
      </c>
      <c r="U642" s="3" t="inlineStr">
        <is>
          <t>ACTIVE</t>
        </is>
      </c>
      <c r="V642" s="3" t="inlineStr">
        <is>
          <t>2026-08-27</t>
        </is>
      </c>
      <c r="W642" s="3" t="n"/>
      <c r="X642" s="3" t="n"/>
      <c r="Y642" s="3" t="inlineStr">
        <is>
          <t>NOTHING OPEN</t>
        </is>
      </c>
    </row>
    <row r="643" ht="60" customHeight="1">
      <c r="A643" s="3" t="inlineStr">
        <is>
          <t>MK-XS-F-111</t>
        </is>
      </c>
      <c r="B643" s="3" t="inlineStr">
        <is>
          <t>mergeHistoryFrom</t>
        </is>
      </c>
      <c r="C643" s="3" t="inlineStr">
        <is>
          <t>src/services/sync/snaptrade.ts</t>
        </is>
      </c>
      <c r="D643" s="3" t="n">
        <v>559</v>
      </c>
      <c r="E643" s="3" t="inlineStr">
        <is>
          <t>3 · DEPENDENT (feeds an action only)</t>
        </is>
      </c>
      <c r="F643" s="3" t="inlineStr">
        <is>
          <t>FOUNDER RULE 2026-08-04: record how far back the broker's OWN activity feed reaches, so a "past year" income figure can label itself honestly.</t>
        </is>
      </c>
      <c r="G643" s="11" t="inlineStr">
        <is>
          <t>earliest now = the first of dates
existing   when earliest now is missing
earliest now   when existing is missing
the answer:
earliest now   if earliest now &lt; existing
existing   otherwise</t>
        </is>
      </c>
      <c r="H643" s="3" t="inlineStr">
        <is>
          <t>Earliest now: the first of dates. When earliest now is missing, it answers existing. When existing is missing, it answers earliest now. The answer is earliest now — when earliest now &lt; existing; existing — otherwise.</t>
        </is>
      </c>
      <c r="I643" s="3" t="inlineStr">
        <is>
          <t>READ FROM THE CODE — rendered from the expressions the function runs</t>
        </is>
      </c>
      <c r="J643" s="3" t="inlineStr">
        <is>
          <t>1. existing: string | undefined
2. activityDates: (string | null | undefined)[]</t>
        </is>
      </c>
      <c r="K643" s="3" t="inlineStr">
        <is>
          <t>string | undefined</t>
        </is>
      </c>
      <c r="L643" s="3" t="inlineStr">
        <is>
          <t>—</t>
        </is>
      </c>
      <c r="M643" s="3" t="inlineStr">
        <is>
          <t>None found in this function — anything it assumes comes from the functions it depends on.</t>
        </is>
      </c>
      <c r="N643" s="3" t="inlineStr">
        <is>
          <t>No</t>
        </is>
      </c>
      <c r="O643" s="3" t="inlineStr">
        <is>
          <t>MK-CF-F-132 map</t>
        </is>
      </c>
      <c r="P643" s="3" t="n">
        <v>1</v>
      </c>
      <c r="Q643" s="3" t="inlineStr">
        <is>
          <t>MK-CF-F-132 map</t>
        </is>
      </c>
      <c r="R643" s="3" t="inlineStr">
        <is>
          <t>MK-CF-F-132 map → MK-XS-F-111 mergeHistoryFrom</t>
        </is>
      </c>
      <c r="S643" s="3" t="inlineStr">
        <is>
          <t>—</t>
        </is>
      </c>
      <c r="T643" s="3" t="inlineStr">
        <is>
          <t>HISTORY_DEPTH</t>
        </is>
      </c>
      <c r="U643" s="3" t="inlineStr">
        <is>
          <t>ACTIVE</t>
        </is>
      </c>
      <c r="V643" s="3" t="inlineStr">
        <is>
          <t>2026-08-27</t>
        </is>
      </c>
      <c r="W643" s="3" t="n"/>
      <c r="X643" s="3" t="n"/>
      <c r="Y643" s="3" t="inlineStr">
        <is>
          <t>NOTHING OPEN</t>
        </is>
      </c>
    </row>
    <row r="644" ht="60" customHeight="1">
      <c r="A644" s="3" t="inlineStr">
        <is>
          <t>MK-XS-F-112</t>
        </is>
      </c>
      <c r="B644" s="3" t="inlineStr">
        <is>
          <t>relayUrl</t>
        </is>
      </c>
      <c r="C644" s="3" t="inlineStr">
        <is>
          <t>src/services/sync/snaptradeClient.ts</t>
        </is>
      </c>
      <c r="D644" s="3" t="n">
        <v>35</v>
      </c>
      <c r="E644" s="3" t="inlineStr">
        <is>
          <t>3 · DEPENDENT</t>
        </is>
      </c>
      <c r="F644" s="3" t="inlineStr">
        <is>
          <t>NOT DETERMINED — the code carries no note saying what this is for, and it has no row in the old inventory. Needs reading.</t>
        </is>
      </c>
      <c r="G644" s="11" t="inlineStr">
        <is>
          <t>the answer = the relay address from the app config, else from the environment, else nothing</t>
        </is>
      </c>
      <c r="H644" s="3" t="inlineStr">
        <is>
          <t>Where the connection relay lives, read from the app configuration. Not a calculation.</t>
        </is>
      </c>
      <c r="I644" s="3" t="inlineStr">
        <is>
          <t>READ BY HAND 2026-08-26 — checked line by line against the code</t>
        </is>
      </c>
      <c r="J644" s="3" t="inlineStr">
        <is>
          <t>Nothing is handed to it</t>
        </is>
      </c>
      <c r="K644" s="3" t="inlineStr">
        <is>
          <t>string | null</t>
        </is>
      </c>
      <c r="L644" s="3" t="inlineStr">
        <is>
          <t>—</t>
        </is>
      </c>
      <c r="M644" s="3" t="inlineStr">
        <is>
          <t>None found in this function — anything it assumes comes from the functions it depends on.</t>
        </is>
      </c>
      <c r="N644" s="3" t="inlineStr">
        <is>
          <t>Yes</t>
        </is>
      </c>
      <c r="O644" s="3" t="inlineStr">
        <is>
          <t>—</t>
        </is>
      </c>
      <c r="P644" s="3" t="n">
        <v>0</v>
      </c>
      <c r="Q644" s="3" t="inlineStr">
        <is>
          <t>None — no dependent function stands behind it</t>
        </is>
      </c>
      <c r="R644" s="3" t="inlineStr">
        <is>
          <t>No dependent function — it reads its inputs and answers</t>
        </is>
      </c>
      <c r="S644" s="3" t="inlineStr">
        <is>
          <t>—</t>
        </is>
      </c>
      <c r="T644" s="3" t="inlineStr">
        <is>
          <t>—</t>
        </is>
      </c>
      <c r="U644" s="3" t="inlineStr">
        <is>
          <t>ACTIVE</t>
        </is>
      </c>
      <c r="V644" s="3" t="inlineStr">
        <is>
          <t>2026-09-12</t>
        </is>
      </c>
      <c r="W644" s="3" t="n"/>
      <c r="X644" s="3" t="n"/>
      <c r="Y644" s="3" t="inlineStr">
        <is>
          <t>NOTHING OPEN</t>
        </is>
      </c>
    </row>
    <row r="645" ht="60" customHeight="1">
      <c r="A645" s="3" t="inlineStr">
        <is>
          <t>MK-XS-F-113</t>
        </is>
      </c>
      <c r="B645" s="3" t="inlineStr">
        <is>
          <t>snaptradeConfigured</t>
        </is>
      </c>
      <c r="C645" s="3" t="inlineStr">
        <is>
          <t>src/services/sync/snaptradeClient.ts</t>
        </is>
      </c>
      <c r="D645" s="3" t="n">
        <v>60</v>
      </c>
      <c r="E645" s="3" t="inlineStr">
        <is>
          <t>1 · ACTION</t>
        </is>
      </c>
      <c r="F645" s="3" t="inlineStr">
        <is>
          <t>NOT DETERMINED — the code carries no note saying what this is for, and it has no row in the old inventory. Needs reading.</t>
        </is>
      </c>
      <c r="G645" s="11" t="inlineStr">
        <is>
          <t>!!relay url()</t>
        </is>
      </c>
      <c r="H645" s="3" t="inlineStr">
        <is>
          <t>!!relay url()</t>
        </is>
      </c>
      <c r="I645" s="3" t="inlineStr">
        <is>
          <t>READ FROM THE CODE — rendered from the expressions the function runs</t>
        </is>
      </c>
      <c r="J645" s="3" t="inlineStr">
        <is>
          <t>Nothing is handed to it</t>
        </is>
      </c>
      <c r="K645" s="3" t="inlineStr">
        <is>
          <t>NOT DECLARED — the code does not say what it gives back</t>
        </is>
      </c>
      <c r="L645" s="3" t="inlineStr">
        <is>
          <t>—</t>
        </is>
      </c>
      <c r="M645" s="3" t="inlineStr">
        <is>
          <t>None found in this function — anything it assumes comes from the functions it depends on.</t>
        </is>
      </c>
      <c r="N645" s="3" t="inlineStr">
        <is>
          <t>Yes</t>
        </is>
      </c>
      <c r="O645" s="3" t="inlineStr">
        <is>
          <t>MK-XS-F-112 relayUrl</t>
        </is>
      </c>
      <c r="P645" s="3" t="n">
        <v>1</v>
      </c>
      <c r="Q645" s="3" t="inlineStr">
        <is>
          <t>MK-XS-F-112 relayUrl</t>
        </is>
      </c>
      <c r="R645" s="3" t="inlineStr">
        <is>
          <t>MK-XS-F-112 relayUrl → MK-XS-F-113 snaptradeConfigured</t>
        </is>
      </c>
      <c r="S645" s="3" t="inlineStr">
        <is>
          <t>—</t>
        </is>
      </c>
      <c r="T645" s="3" t="inlineStr">
        <is>
          <t>—</t>
        </is>
      </c>
      <c r="U645" s="3" t="inlineStr">
        <is>
          <t>ACTIVE</t>
        </is>
      </c>
      <c r="V645" s="3" t="inlineStr">
        <is>
          <t>2026-08-27</t>
        </is>
      </c>
      <c r="W645" s="3" t="n"/>
      <c r="X645" s="3" t="n"/>
      <c r="Y645" s="3" t="inlineStr">
        <is>
          <t>NOTHING OPEN</t>
        </is>
      </c>
    </row>
    <row r="646" ht="60" customHeight="1">
      <c r="A646" s="3" t="inlineStr">
        <is>
          <t>MK-XS-F-114</t>
        </is>
      </c>
      <c r="B646" s="3" t="inlineStr">
        <is>
          <t>usdCash</t>
        </is>
      </c>
      <c r="C646" s="3" t="inlineStr">
        <is>
          <t>src/services/sync/snaptradeClient.ts</t>
        </is>
      </c>
      <c r="D646" s="3" t="n">
        <v>148</v>
      </c>
      <c r="E646" s="3" t="inlineStr">
        <is>
          <t>3 · DEPENDENT</t>
        </is>
      </c>
      <c r="F646" s="3" t="inlineStr">
        <is>
          <t>USD cash across the balances list (v1 is USD-only; other currencies are ignored, not guessed).</t>
        </is>
      </c>
      <c r="G646" s="11" t="inlineStr">
        <is>
          <t>the answer = Σ over balances in USD (or with no currency) of (cash, or 0)</t>
        </is>
      </c>
      <c r="H646" s="3" t="inlineStr">
        <is>
          <t>Adds up the cash balances a connected account reports in US dollars (a balance with no currency code counts as dollars). Other currencies are left out.</t>
        </is>
      </c>
      <c r="I646" s="3" t="inlineStr">
        <is>
          <t>READ BY HAND 2026-08-26 — checked line by line against the code</t>
        </is>
      </c>
      <c r="J646" s="3" t="inlineStr">
        <is>
          <t>balances: HoldingsPayload['balances'] | null | undefined</t>
        </is>
      </c>
      <c r="K646" s="3" t="inlineStr">
        <is>
          <t>number</t>
        </is>
      </c>
      <c r="L646" s="3" t="inlineStr">
        <is>
          <t>—</t>
        </is>
      </c>
      <c r="M646" s="3" t="inlineStr">
        <is>
          <t>· If cash is missing it uses 0.</t>
        </is>
      </c>
      <c r="N646" s="3" t="inlineStr">
        <is>
          <t>Yes</t>
        </is>
      </c>
      <c r="O646" s="3" t="inlineStr">
        <is>
          <t>—</t>
        </is>
      </c>
      <c r="P646" s="3" t="n">
        <v>0</v>
      </c>
      <c r="Q646" s="3" t="inlineStr">
        <is>
          <t>None — no dependent function stands behind it</t>
        </is>
      </c>
      <c r="R646" s="3" t="inlineStr">
        <is>
          <t>No dependent function — it reads its inputs and answers</t>
        </is>
      </c>
      <c r="S646" s="3" t="inlineStr">
        <is>
          <t>—</t>
        </is>
      </c>
      <c r="T646" s="3" t="inlineStr">
        <is>
          <t>—</t>
        </is>
      </c>
      <c r="U646" s="3" t="inlineStr">
        <is>
          <t>ACTIVE</t>
        </is>
      </c>
      <c r="V646" s="3" t="inlineStr">
        <is>
          <t>2026-09-12</t>
        </is>
      </c>
      <c r="W646" s="3" t="n"/>
      <c r="X646" s="3" t="n"/>
      <c r="Y646" s="3" t="inlineStr">
        <is>
          <t>NOTHING OPEN</t>
        </is>
      </c>
    </row>
    <row r="647" ht="60" customHeight="1">
      <c r="A647" s="3" t="inlineStr">
        <is>
          <t>MK-XS-F-115</t>
        </is>
      </c>
      <c r="B647" s="3" t="inlineStr">
        <is>
          <t>shouldDailySync</t>
        </is>
      </c>
      <c r="C647" s="3" t="inlineStr">
        <is>
          <t>src/services/sync/snaptradeSync.ts</t>
        </is>
      </c>
      <c r="D647" s="3" t="n">
        <v>38</v>
      </c>
      <c r="E647" s="3" t="inlineStr">
        <is>
          <t>3 · DEPENDENT</t>
        </is>
      </c>
      <c r="F647" s="3" t="inlineStr">
        <is>
          <t>NOT DETERMINED — the code carries no note saying what this is for, and it has no row in the old inventory. Needs reading.</t>
        </is>
      </c>
      <c r="G647" s="11" t="inlineStr">
        <is>
          <t>true   when last sync at is missing
t = date.parse(last sync at)
the answer = number.is na n(t) (or now − t &gt; 20 × 3600000 when missing or zero)</t>
        </is>
      </c>
      <c r="H647" s="3" t="inlineStr">
        <is>
          <t>When last sync at is missing, it answers true. T is date.parse(last sync at). The answer is number.is na n(t) (or now minus t &gt; 20 times 3600000 — when missing or zero).</t>
        </is>
      </c>
      <c r="I647" s="3" t="inlineStr">
        <is>
          <t>PARTLY READ — some of the code is still showing through; needs a hand pass</t>
        </is>
      </c>
      <c r="J647" s="3" t="inlineStr">
        <is>
          <t>1. lastSyncAt: string | null | undefined
2. now: number = Date.now()</t>
        </is>
      </c>
      <c r="K647" s="3" t="inlineStr">
        <is>
          <t>boolean</t>
        </is>
      </c>
      <c r="L647" s="3" t="inlineStr">
        <is>
          <t>—</t>
        </is>
      </c>
      <c r="M647" s="3" t="inlineStr">
        <is>
          <t>· Uses today's date from the device clock, so the answer changes by itself overnight.</t>
        </is>
      </c>
      <c r="N647" s="3" t="inlineStr">
        <is>
          <t>Yes</t>
        </is>
      </c>
      <c r="O647" s="3" t="inlineStr">
        <is>
          <t>—</t>
        </is>
      </c>
      <c r="P647" s="3" t="n">
        <v>0</v>
      </c>
      <c r="Q647" s="3" t="inlineStr">
        <is>
          <t>None — no dependent function stands behind it</t>
        </is>
      </c>
      <c r="R647" s="3" t="inlineStr">
        <is>
          <t>No dependent function — it reads its inputs and answers</t>
        </is>
      </c>
      <c r="S647" s="3" t="inlineStr">
        <is>
          <t>—</t>
        </is>
      </c>
      <c r="T647" s="3" t="inlineStr">
        <is>
          <t>—</t>
        </is>
      </c>
      <c r="U647" s="3" t="inlineStr">
        <is>
          <t>ACTIVE</t>
        </is>
      </c>
      <c r="V647" s="3" t="inlineStr">
        <is>
          <t>2026-08-27</t>
        </is>
      </c>
      <c r="W647" s="3" t="n"/>
      <c r="X647" s="3" t="n"/>
      <c r="Y647" s="3" t="inlineStr">
        <is>
          <t>NOTHING OPEN</t>
        </is>
      </c>
    </row>
    <row r="648" ht="60" customHeight="1">
      <c r="A648" s="3" t="inlineStr">
        <is>
          <t>MK-XS-F-116</t>
        </is>
      </c>
      <c r="B648" s="3" t="inlineStr">
        <is>
          <t>runSnapTradeSync</t>
        </is>
      </c>
      <c r="C648" s="3" t="inlineStr">
        <is>
          <t>src/services/sync/snaptradeSync.ts</t>
        </is>
      </c>
      <c r="D648" s="3" t="n">
        <v>144</v>
      </c>
      <c r="E648" s="3" t="inlineStr">
        <is>
          <t>2 · DISPLAYED</t>
        </is>
      </c>
      <c r="F648" s="3" t="inlineStr">
        <is>
          <t>Full sync. Returns the number of accounts synced (0 = nothing connected).</t>
        </is>
      </c>
      <c r="G648" s="11" t="inlineStr">
        <is>
          <t>0   when !snaptrade configured()
s = use store.get state() as any
0   when !opts.force and !should daily sync(snaptrade last sync at)
connections = await snaptrade api.connections()
the answer = 0
accounts = await snaptrade api.accounts()
cursors = { ...(snaptrade activity cursor ?? {}) }
payloads = []
failed = []
now iso = the date ).to isostring(
h = await snaptrade api.holdings(account.id)
… the first steps only — the rest of the body needs reading by hand.</t>
        </is>
      </c>
      <c r="H648" s="3" t="inlineStr">
        <is>
          <t>When !snaptrade configured(), it answers 0. S is use store.get state() as any. When !opts.force and !should daily sync(snaptrade last sync at), it answers 0. Connections is await snaptrade api.connections(). The answer is 0. Accounts is await snaptrade api.accounts(). Cursors is { ...(snaptrade activity cursor ?? {}) }. Payloads is []. Failed is []. Now iso: the date ).to isostring(. H is await snaptrade api.holdings(account.id). Only the first steps are shown; the rest of the body needs reading by hand.</t>
        </is>
      </c>
      <c r="I648" s="3" t="inlineStr">
        <is>
          <t>PARTLY READ — some of the code is still showing through; needs a hand pass</t>
        </is>
      </c>
      <c r="J648" s="3" t="inlineStr">
        <is>
          <t>1. opts: { force?: boolean } = {}
2. reads the app's stored data</t>
        </is>
      </c>
      <c r="K648" s="3" t="inlineStr">
        <is>
          <t>Promise&lt;number&gt;</t>
        </is>
      </c>
      <c r="L648" s="3" t="inlineStr">
        <is>
          <t>NOT FOUND — a screen calls it, but the words printed beside its answer could not be traced automatically. Needs reading.</t>
        </is>
      </c>
      <c r="M648" s="3" t="inlineStr">
        <is>
          <t>· Uses today's date from the device clock, so the answer changes by itself overnight.</t>
        </is>
      </c>
      <c r="N648" s="3" t="inlineStr">
        <is>
          <t>Yes</t>
        </is>
      </c>
      <c r="O648" s="3" t="inlineStr">
        <is>
          <t>1. MK-XS-F-149 allActivities
2. MK-CF-F-132 map
3. MK-XS-F-115 shouldDailySync
4. MK-XS-F-113 snaptradeConfigured
5. MK-XS-F-101 stAssetId
6. MK-XS-F-114 usdCash</t>
        </is>
      </c>
      <c r="P648" s="3" t="n">
        <v>9</v>
      </c>
      <c r="Q648" s="3" t="inlineStr">
        <is>
          <t>1. MK-XS-F-149 allActivities
2. MK-CF-F-132 map
3. MK-XS-F-115 shouldDailySync
4. MK-XS-F-113 snaptradeConfigured
5. MK-XS-F-101 stAssetId
6. MK-XS-F-114 usdCash
7. MK-ST-F-027 accountId
8. MK-XS-F-148 unwrapActivities
9. MK-XS-F-112 relayUrl</t>
        </is>
      </c>
      <c r="R648" s="3" t="inlineStr">
        <is>
          <t>1. MK-ST-F-027 accountId → MK-XS-F-149 allActivities → MK-XS-F-116 runSnapTradeSync
2. MK-XS-F-148 unwrapActivities → MK-XS-F-149 allActivities → MK-XS-F-116 runSnapTradeSync
3. MK-CF-F-132 map → MK-XS-F-116 runSnapTradeSync
4. MK-XS-F-115 shouldDailySync → MK-XS-F-116 runSnapTradeSync
5. MK-XS-F-112 relayUrl → MK-XS-F-113 snaptradeConfigured → MK-XS-F-116 runSnapTradeSync
6. MK-XS-F-101 stAssetId → MK-XS-F-116 runSnapTradeSync
7. MK-XS-F-114 usdCash → MK-XS-F-116 runSnapTradeSync</t>
        </is>
      </c>
      <c r="S648" s="3" t="inlineStr">
        <is>
          <t>—</t>
        </is>
      </c>
      <c r="T648" s="3" t="inlineStr">
        <is>
          <t>—</t>
        </is>
      </c>
      <c r="U648" s="3" t="inlineStr">
        <is>
          <t>ACTIVE</t>
        </is>
      </c>
      <c r="V648" s="3" t="inlineStr">
        <is>
          <t>2026-08-27</t>
        </is>
      </c>
      <c r="W648" s="3" t="n"/>
      <c r="X648" s="3" t="n"/>
      <c r="Y648" s="3" t="inlineStr">
        <is>
          <t>NOTHING OPEN</t>
        </is>
      </c>
    </row>
    <row r="649" ht="60" customHeight="1">
      <c r="A649" s="3" t="inlineStr">
        <is>
          <t>MK-XS-F-118</t>
        </is>
      </c>
      <c r="B649" s="3" t="inlineStr">
        <is>
          <t>prettyDate</t>
        </is>
      </c>
      <c r="C649" s="3" t="inlineStr">
        <is>
          <t>src/domain/gaps/index.ts</t>
        </is>
      </c>
      <c r="D649" s="3" t="n">
        <v>58</v>
      </c>
      <c r="E649" s="3" t="inlineStr">
        <is>
          <t>3 · DEPENDENT</t>
        </is>
      </c>
      <c r="F649" s="3" t="inlineStr">
        <is>
          <t>daysSince now comes from the ONE freshness rule in src/domain/_shared/freshness.ts (DEC-0301).</t>
        </is>
      </c>
      <c r="G649" s="11" t="inlineStr">
        <is>
          <t>d = the date `${iso}-15T12:00:00`   if iso.length = 7
`${iso}T12:00:00`   otherwise
the answer:
iso   if is na n(get time())
to locale date string('en − US', { month: 'short', day: 'numeric' })   otherwise</t>
        </is>
      </c>
      <c r="H649" s="3" t="inlineStr">
        <is>
          <t>D: the date `${iso}-15T12:00:00` — when iso.length = 7; `${iso}T12:00:00` — otherwise. The answer is iso — when is na n(get time()); to locale date string('en minus US', { month: 'short', day: 'numeric' }) — otherwise.</t>
        </is>
      </c>
      <c r="I649" s="3" t="inlineStr">
        <is>
          <t>PARTLY READ — some of the code is still showing through; needs a hand pass</t>
        </is>
      </c>
      <c r="J649" s="3" t="inlineStr">
        <is>
          <t>iso: string</t>
        </is>
      </c>
      <c r="K649" s="3" t="inlineStr">
        <is>
          <t>NOT DECLARED — the code does not say what it gives back</t>
        </is>
      </c>
      <c r="L649" s="3" t="inlineStr">
        <is>
          <t>—</t>
        </is>
      </c>
      <c r="M649" s="3" t="inlineStr">
        <is>
          <t>None found in this function — anything it assumes comes from the functions it depends on.</t>
        </is>
      </c>
      <c r="N649" s="3" t="inlineStr">
        <is>
          <t>Yes</t>
        </is>
      </c>
      <c r="O649" s="3" t="inlineStr">
        <is>
          <t>—</t>
        </is>
      </c>
      <c r="P649" s="3" t="n">
        <v>0</v>
      </c>
      <c r="Q649" s="3" t="inlineStr">
        <is>
          <t>None — no dependent function stands behind it</t>
        </is>
      </c>
      <c r="R649" s="3" t="inlineStr">
        <is>
          <t>No dependent function — it reads its inputs and answers</t>
        </is>
      </c>
      <c r="S649" s="3" t="inlineStr">
        <is>
          <t>—</t>
        </is>
      </c>
      <c r="T649" s="3" t="inlineStr">
        <is>
          <t>—</t>
        </is>
      </c>
      <c r="U649" s="3" t="inlineStr">
        <is>
          <t>ACTIVE</t>
        </is>
      </c>
      <c r="V649" s="3" t="inlineStr">
        <is>
          <t>2026-08-27</t>
        </is>
      </c>
      <c r="W649" s="3" t="n"/>
      <c r="X649" s="3" t="n"/>
      <c r="Y649" s="3" t="inlineStr">
        <is>
          <t>NOTHING OPEN</t>
        </is>
      </c>
    </row>
    <row r="650" ht="60" customHeight="1">
      <c r="A650" s="3" t="inlineStr">
        <is>
          <t>MK-XS-F-119</t>
        </is>
      </c>
      <c r="B650" s="3" t="inlineStr">
        <is>
          <t>namesFor</t>
        </is>
      </c>
      <c r="C650" s="3" t="inlineStr">
        <is>
          <t>src/domain/gaps/index.ts</t>
        </is>
      </c>
      <c r="D650" s="3" t="n">
        <v>84</v>
      </c>
      <c r="E650" s="3" t="inlineStr">
        <is>
          <t>1 · ACTION</t>
        </is>
      </c>
      <c r="F650" s="3" t="inlineStr">
        <is>
          <t>Founder finding 2026-08-11: this named an account by its INSTITUTION alone, so two Vanguard accounts produced two identical banner lines ("Vanguard last updated Aug 3" twice) with no way to tell which was which.</t>
        </is>
      </c>
      <c r="G650" s="11" t="inlineStr">
        <is>
          <t>account display names(accounts)</t>
        </is>
      </c>
      <c r="H650" s="3" t="inlineStr">
        <is>
          <t>account display names(accounts)</t>
        </is>
      </c>
      <c r="I650" s="3" t="inlineStr">
        <is>
          <t>READ FROM THE CODE — rendered from the expressions the function runs</t>
        </is>
      </c>
      <c r="J650" s="3" t="inlineStr">
        <is>
          <t>accounts: AssetAccount[]</t>
        </is>
      </c>
      <c r="K650" s="3" t="inlineStr">
        <is>
          <t>NOT DECLARED — the code does not say what it gives back</t>
        </is>
      </c>
      <c r="L650" s="3" t="inlineStr">
        <is>
          <t>—</t>
        </is>
      </c>
      <c r="M650" s="3" t="inlineStr">
        <is>
          <t>None found in this function — anything it assumes comes from the functions it depends on.</t>
        </is>
      </c>
      <c r="N650" s="3" t="inlineStr">
        <is>
          <t>Yes</t>
        </is>
      </c>
      <c r="O650" s="3" t="inlineStr">
        <is>
          <t>MK-NW-F-026 accountDisplayNames</t>
        </is>
      </c>
      <c r="P650" s="3" t="n">
        <v>8</v>
      </c>
      <c r="Q650" s="3" t="inlineStr">
        <is>
          <t>1. MK-NW-F-026 accountDisplayNames
2. MK-NW-F-025 accountDisplayName
3. MK-CF-F-155 cash
4. MK-CF-F-132 map
5. MK-XS-F-122 n
6. MK-NW-F-024 accountLastFour
7. MK-NW-F-012 taxTreatmentOf
8. MK-NW-F-023 wrapperWord</t>
        </is>
      </c>
      <c r="R650" s="3" t="inlineStr">
        <is>
          <t>1. accountDisplayNames (already above — a loop) → MK-NW-F-025 accountDisplayName → MK-NW-F-026 accountDisplayNames → MK-XS-F-119 namesFor
2. MK-NW-F-024 accountLastFour → MK-NW-F-025 accountDisplayName → MK-NW-F-026 accountDisplayNames → MK-XS-F-119 namesFor
3. MK-NW-F-012 taxTreatmentOf → MK-NW-F-025 accountDisplayName → MK-NW-F-026 accountDisplayNames → MK-XS-F-119 namesFor
4. MK-NW-F-023 wrapperWord → MK-NW-F-025 accountDisplayName → MK-NW-F-026 accountDisplayNames → MK-XS-F-119 namesFor
5. MK-XS-F-122 n → MK-CF-F-155 cash → MK-NW-F-026 accountDisplayNames → MK-XS-F-119 namesFor
6. MK-CF-F-132 map → MK-NW-F-026 accountDisplayNames → MK-XS-F-119 namesFor
7. MK-XS-F-122 n → MK-NW-F-026 accountDisplayNames → MK-XS-F-119 namesFor</t>
        </is>
      </c>
      <c r="S650" s="3" t="inlineStr">
        <is>
          <t>—</t>
        </is>
      </c>
      <c r="T650" s="3" t="inlineStr">
        <is>
          <t>—</t>
        </is>
      </c>
      <c r="U650" s="3" t="inlineStr">
        <is>
          <t>ACTIVE</t>
        </is>
      </c>
      <c r="V650" s="3" t="inlineStr">
        <is>
          <t>2026-08-27</t>
        </is>
      </c>
      <c r="W650" s="3" t="n"/>
      <c r="X650" s="3" t="n"/>
      <c r="Y650" s="3" t="inlineStr">
        <is>
          <t>NOTHING OPEN</t>
        </is>
      </c>
    </row>
    <row r="651" ht="60" customHeight="1">
      <c r="A651" s="3" t="inlineStr">
        <is>
          <t>MK-XS-F-120</t>
        </is>
      </c>
      <c r="B651" s="3" t="inlineStr">
        <is>
          <t>nameOf</t>
        </is>
      </c>
      <c r="C651" s="3" t="inlineStr">
        <is>
          <t>src/domain/gaps/index.ts</t>
        </is>
      </c>
      <c r="D651" s="3" t="n">
        <v>104</v>
      </c>
      <c r="E651" s="3" t="inlineStr">
        <is>
          <t>1 · ACTION</t>
        </is>
      </c>
      <c r="F651" s="3" t="inlineStr">
        <is>
          <t>NOT DETERMINED — the code carries no note saying what this is for, and it has no row in the old inventory. Needs reading.</t>
        </is>
      </c>
      <c r="G651" s="11" t="inlineStr">
        <is>
          <t>the answer = the person's name for the account, else the institution, else the label, else 'this account'</t>
        </is>
      </c>
      <c r="H651" s="3" t="inlineStr">
        <is>
          <t>What to call an account in a sentence — the person's own name for it, then the institution, then the label. No arithmetic.</t>
        </is>
      </c>
      <c r="I651" s="3" t="inlineStr">
        <is>
          <t>READ BY HAND 2026-08-26 — checked line by line against the code</t>
        </is>
      </c>
      <c r="J651" s="3" t="inlineStr">
        <is>
          <t>1. a: AssetAccount
2. names: Map&lt;string, string&gt;</t>
        </is>
      </c>
      <c r="K651" s="3" t="inlineStr">
        <is>
          <t>NOT DECLARED — the code does not say what it gives back</t>
        </is>
      </c>
      <c r="L651" s="3" t="inlineStr">
        <is>
          <t>—</t>
        </is>
      </c>
      <c r="M651" s="3" t="inlineStr">
        <is>
          <t>None found in this function — anything it assumes comes from the functions it depends on.</t>
        </is>
      </c>
      <c r="N651" s="3" t="inlineStr">
        <is>
          <t>Yes</t>
        </is>
      </c>
      <c r="O651" s="3" t="inlineStr">
        <is>
          <t>—</t>
        </is>
      </c>
      <c r="P651" s="3" t="n">
        <v>0</v>
      </c>
      <c r="Q651" s="3" t="inlineStr">
        <is>
          <t>None — no dependent function stands behind it</t>
        </is>
      </c>
      <c r="R651" s="3" t="inlineStr">
        <is>
          <t>No dependent function — it reads its inputs and answers</t>
        </is>
      </c>
      <c r="S651" s="3" t="inlineStr">
        <is>
          <t>—</t>
        </is>
      </c>
      <c r="T651" s="3" t="inlineStr">
        <is>
          <t>—</t>
        </is>
      </c>
      <c r="U651" s="3" t="inlineStr">
        <is>
          <t>ACTIVE</t>
        </is>
      </c>
      <c r="V651" s="3" t="inlineStr">
        <is>
          <t>2026-09-12</t>
        </is>
      </c>
      <c r="W651" s="3" t="n"/>
      <c r="X651" s="3" t="n"/>
      <c r="Y651" s="3" t="inlineStr">
        <is>
          <t>NOTHING OPEN</t>
        </is>
      </c>
    </row>
    <row r="652" ht="60" customHeight="1">
      <c r="A652" s="3" t="inlineStr">
        <is>
          <t>MK-XS-F-121</t>
        </is>
      </c>
      <c r="B652" s="3" t="inlineStr">
        <is>
          <t>isYm</t>
        </is>
      </c>
      <c r="C652" s="3" t="inlineStr">
        <is>
          <t>src/domain/history.ts</t>
        </is>
      </c>
      <c r="D652" s="3" t="n">
        <v>134</v>
      </c>
      <c r="E652" s="3" t="inlineStr">
        <is>
          <t>1 · ACTION</t>
        </is>
      </c>
      <c r="F652" s="3" t="inlineStr">
        <is>
          <t>NOT DETERMINED — the code carries no note saying what this is for, and it has no row in the old inventory. Needs reading.</t>
        </is>
      </c>
      <c r="G652" s="11" t="inlineStr">
        <is>
          <t>the answer = true when the text is exactly 'YYYY-MM'</t>
        </is>
      </c>
      <c r="H652" s="3" t="inlineStr">
        <is>
          <t>Whether a text is a month key of the form 'YYYY-MM'. No arithmetic.</t>
        </is>
      </c>
      <c r="I652" s="3" t="inlineStr">
        <is>
          <t>READ BY HAND 2026-08-26 — checked line by line against the code</t>
        </is>
      </c>
      <c r="J652" s="3" t="inlineStr">
        <is>
          <t>s: unknown</t>
        </is>
      </c>
      <c r="K652" s="3" t="inlineStr">
        <is>
          <t>s is string</t>
        </is>
      </c>
      <c r="L652" s="3" t="inlineStr">
        <is>
          <t>—</t>
        </is>
      </c>
      <c r="M652" s="3" t="inlineStr">
        <is>
          <t>None found in this function — anything it assumes comes from the functions it depends on.</t>
        </is>
      </c>
      <c r="N652" s="3" t="inlineStr">
        <is>
          <t>Yes</t>
        </is>
      </c>
      <c r="O652" s="3" t="inlineStr">
        <is>
          <t>—</t>
        </is>
      </c>
      <c r="P652" s="3" t="n">
        <v>0</v>
      </c>
      <c r="Q652" s="3" t="inlineStr">
        <is>
          <t>None — no dependent function stands behind it</t>
        </is>
      </c>
      <c r="R652" s="3" t="inlineStr">
        <is>
          <t>No dependent function — it reads its inputs and answers</t>
        </is>
      </c>
      <c r="S652" s="3" t="inlineStr">
        <is>
          <t>—</t>
        </is>
      </c>
      <c r="T652" s="3" t="inlineStr">
        <is>
          <t>—</t>
        </is>
      </c>
      <c r="U652" s="3" t="inlineStr">
        <is>
          <t>ACTIVE</t>
        </is>
      </c>
      <c r="V652" s="3" t="inlineStr">
        <is>
          <t>2026-09-12</t>
        </is>
      </c>
      <c r="W652" s="3" t="n"/>
      <c r="X652" s="3" t="n"/>
      <c r="Y652" s="3" t="inlineStr">
        <is>
          <t>NOTHING OPEN</t>
        </is>
      </c>
    </row>
    <row r="653" ht="60" customHeight="1">
      <c r="A653" s="3" t="inlineStr">
        <is>
          <t>MK-XS-F-122</t>
        </is>
      </c>
      <c r="B653" s="3" t="inlineStr">
        <is>
          <t>n</t>
        </is>
      </c>
      <c r="C653" s="3" t="inlineStr">
        <is>
          <t>src/domain/history.ts</t>
        </is>
      </c>
      <c r="D653" s="3" t="n">
        <v>175</v>
      </c>
      <c r="E653" s="3" t="inlineStr">
        <is>
          <t>1 · ACTION</t>
        </is>
      </c>
      <c r="F653" s="3" t="inlineStr">
        <is>
          <t>NOT DETERMINED — the code carries no note saying what this is for, and it has no row in the old inventory. Needs reading.</t>
        </is>
      </c>
      <c r="G653" s="11" t="inlineStr">
        <is>
          <t>v   if typeof v = 'number' and number.is finite(v)
fallback   otherwise</t>
        </is>
      </c>
      <c r="H653" s="3" t="inlineStr">
        <is>
          <t>v — when typeof v = 'number' and number.is finite(v); fallback — otherwise</t>
        </is>
      </c>
      <c r="I653" s="3" t="inlineStr">
        <is>
          <t>PARTLY READ — some of the code is still showing through; needs a hand pass</t>
        </is>
      </c>
      <c r="J653" s="3" t="inlineStr">
        <is>
          <t>1. v: unknown
2. fallback = 0</t>
        </is>
      </c>
      <c r="K653" s="3" t="inlineStr">
        <is>
          <t>number</t>
        </is>
      </c>
      <c r="L653" s="3" t="inlineStr">
        <is>
          <t>—</t>
        </is>
      </c>
      <c r="M653" s="3" t="inlineStr">
        <is>
          <t>None found in this function — anything it assumes comes from the functions it depends on.</t>
        </is>
      </c>
      <c r="N653" s="3" t="inlineStr">
        <is>
          <t>Yes</t>
        </is>
      </c>
      <c r="O653" s="3" t="inlineStr">
        <is>
          <t>—</t>
        </is>
      </c>
      <c r="P653" s="3" t="n">
        <v>0</v>
      </c>
      <c r="Q653" s="3" t="inlineStr">
        <is>
          <t>None — no dependent function stands behind it</t>
        </is>
      </c>
      <c r="R653" s="3" t="inlineStr">
        <is>
          <t>No dependent function — it reads its inputs and answers</t>
        </is>
      </c>
      <c r="S653" s="3" t="inlineStr">
        <is>
          <t>—</t>
        </is>
      </c>
      <c r="T653" s="3" t="inlineStr">
        <is>
          <t>—</t>
        </is>
      </c>
      <c r="U653" s="3" t="inlineStr">
        <is>
          <t>ACTIVE</t>
        </is>
      </c>
      <c r="V653" s="3" t="inlineStr">
        <is>
          <t>2026-08-27</t>
        </is>
      </c>
      <c r="W653" s="3" t="n"/>
      <c r="X653" s="3" t="n"/>
      <c r="Y653" s="3" t="inlineStr">
        <is>
          <t>NOTHING OPEN</t>
        </is>
      </c>
    </row>
    <row r="654" ht="60" customHeight="1">
      <c r="A654" s="3" t="inlineStr">
        <is>
          <t>MK-XS-F-123</t>
        </is>
      </c>
      <c r="B654" s="3" t="inlineStr">
        <is>
          <t>base64ToBytes</t>
        </is>
      </c>
      <c r="C654" s="3" t="inlineStr">
        <is>
          <t>src/domain/import/holdingsImport.ts</t>
        </is>
      </c>
      <c r="D654" s="3" t="n">
        <v>56</v>
      </c>
      <c r="E654" s="3" t="inlineStr">
        <is>
          <t>3 · DEPENDENT</t>
        </is>
      </c>
      <c r="F654" s="3" t="inlineStr">
        <is>
          <t>NOT DETERMINED — the code carries no note saying what this is for, and it has no row in the old inventory. Needs reading.</t>
        </is>
      </c>
      <c r="G654" s="11" t="inlineStr">
        <is>
          <t>c = b64.replace( ÷ [^A − za − z0 − 9+ ÷ ] ÷ g, '')
out = []
e1 = B64.index of(c[i]), e2 = B64.index of(c[i + 1]), e3 = B64.index of(c[i + 2]), e4 = B64.index of(c[i + 3])
n = (e1 &lt;&lt; 18) | (e2 &lt;&lt; 12) | ((e3 &amp; 63) &lt;&lt; 6) | (e4 &amp; 63)
the answer = out</t>
        </is>
      </c>
      <c r="H654" s="3" t="inlineStr">
        <is>
          <t>C is b64.replace( divided by [^A minus za minus z0 minus 9+ divided by ] divided by g, ''). Out is []. E1 is B64.index of(c[i]), e2 = B64.index of(c[i plus 1]), e3 = B64.index of(c[i plus 2]), e4 = B64.index of(c[i plus 3]). N is (e1 &lt;&lt; 18) | (e2 &lt;&lt; 12) | ((e3 &amp; 63) &lt;&lt; 6) | (e4 &amp; 63). The answer is out.</t>
        </is>
      </c>
      <c r="I654" s="3" t="inlineStr">
        <is>
          <t>PARTLY READ — some of the code is still showing through; needs a hand pass</t>
        </is>
      </c>
      <c r="J654" s="3" t="inlineStr">
        <is>
          <t>b64: string</t>
        </is>
      </c>
      <c r="K654" s="3" t="inlineStr">
        <is>
          <t>number[]</t>
        </is>
      </c>
      <c r="L654" s="3" t="inlineStr">
        <is>
          <t>—</t>
        </is>
      </c>
      <c r="M654" s="3" t="inlineStr">
        <is>
          <t>None found in this function — anything it assumes comes from the functions it depends on.</t>
        </is>
      </c>
      <c r="N654" s="3" t="inlineStr">
        <is>
          <t>Yes</t>
        </is>
      </c>
      <c r="O654" s="3" t="inlineStr">
        <is>
          <t>—</t>
        </is>
      </c>
      <c r="P654" s="3" t="n">
        <v>0</v>
      </c>
      <c r="Q654" s="3" t="inlineStr">
        <is>
          <t>None — no dependent function stands behind it</t>
        </is>
      </c>
      <c r="R654" s="3" t="inlineStr">
        <is>
          <t>No dependent function — it reads its inputs and answers</t>
        </is>
      </c>
      <c r="S654" s="3" t="inlineStr">
        <is>
          <t>—</t>
        </is>
      </c>
      <c r="T654" s="3" t="inlineStr">
        <is>
          <t>—</t>
        </is>
      </c>
      <c r="U654" s="3" t="inlineStr">
        <is>
          <t>ACTIVE</t>
        </is>
      </c>
      <c r="V654" s="3" t="inlineStr">
        <is>
          <t>2026-08-27</t>
        </is>
      </c>
      <c r="W654" s="3" t="n"/>
      <c r="X654" s="3" t="n"/>
      <c r="Y654" s="3" t="inlineStr">
        <is>
          <t>NOTHING OPEN</t>
        </is>
      </c>
    </row>
    <row r="655" ht="60" customHeight="1">
      <c r="A655" s="3" t="inlineStr">
        <is>
          <t>MK-XS-F-124</t>
        </is>
      </c>
      <c r="B655" s="3" t="inlineStr">
        <is>
          <t>decodeUtf8</t>
        </is>
      </c>
      <c r="C655" s="3" t="inlineStr">
        <is>
          <t>src/domain/import/holdingsImport.ts</t>
        </is>
      </c>
      <c r="D655" s="3" t="n">
        <v>88</v>
      </c>
      <c r="E655" s="3" t="inlineStr">
        <is>
          <t>3 · DEPENDENT</t>
        </is>
      </c>
      <c r="F655" s="3" t="inlineStr">
        <is>
          <t>NOT DETERMINED — the code carries no note saying what this is for, and it has no row in the old inventory. Needs reading.</t>
        </is>
      </c>
      <c r="G655" s="11" t="inlineStr">
        <is>
          <t>s = ''
c = b[i++]
the answer = s</t>
        </is>
      </c>
      <c r="H655" s="3" t="inlineStr">
        <is>
          <t>S is ''. C is b[i++]. The answer is s.</t>
        </is>
      </c>
      <c r="I655" s="3" t="inlineStr">
        <is>
          <t>READ FROM THE CODE — rendered from the expressions the function runs</t>
        </is>
      </c>
      <c r="J655" s="3" t="inlineStr">
        <is>
          <t>1. b: number[]
2. start = 0</t>
        </is>
      </c>
      <c r="K655" s="3" t="inlineStr">
        <is>
          <t>string</t>
        </is>
      </c>
      <c r="L655" s="3" t="inlineStr">
        <is>
          <t>—</t>
        </is>
      </c>
      <c r="M655" s="3" t="inlineStr">
        <is>
          <t>None found in this function — anything it assumes comes from the functions it depends on.</t>
        </is>
      </c>
      <c r="N655" s="3" t="inlineStr">
        <is>
          <t>Yes</t>
        </is>
      </c>
      <c r="O655" s="3" t="inlineStr">
        <is>
          <t>—</t>
        </is>
      </c>
      <c r="P655" s="3" t="n">
        <v>0</v>
      </c>
      <c r="Q655" s="3" t="inlineStr">
        <is>
          <t>None — no dependent function stands behind it</t>
        </is>
      </c>
      <c r="R655" s="3" t="inlineStr">
        <is>
          <t>No dependent function — it reads its inputs and answers</t>
        </is>
      </c>
      <c r="S655" s="3" t="inlineStr">
        <is>
          <t>—</t>
        </is>
      </c>
      <c r="T655" s="3" t="inlineStr">
        <is>
          <t>—</t>
        </is>
      </c>
      <c r="U655" s="3" t="inlineStr">
        <is>
          <t>ACTIVE</t>
        </is>
      </c>
      <c r="V655" s="3" t="inlineStr">
        <is>
          <t>2026-08-27</t>
        </is>
      </c>
      <c r="W655" s="3" t="n"/>
      <c r="X655" s="3" t="n"/>
      <c r="Y655" s="3" t="inlineStr">
        <is>
          <t>NOTHING OPEN</t>
        </is>
      </c>
    </row>
    <row r="656" ht="60" customHeight="1">
      <c r="A656" s="3" t="inlineStr">
        <is>
          <t>MK-XS-F-125</t>
        </is>
      </c>
      <c r="B656" s="3" t="inlineStr">
        <is>
          <t>decodeUtf16</t>
        </is>
      </c>
      <c r="C656" s="3" t="inlineStr">
        <is>
          <t>src/domain/import/holdingsImport.ts</t>
        </is>
      </c>
      <c r="D656" s="3" t="n">
        <v>118</v>
      </c>
      <c r="E656" s="3" t="inlineStr">
        <is>
          <t>3 · DEPENDENT</t>
        </is>
      </c>
      <c r="F656" s="3" t="inlineStr">
        <is>
          <t>NOT DETERMINED — the code carries no note saying what this is for, and it has no row in the old inventory. Needs reading.</t>
        </is>
      </c>
      <c r="G656" s="11" t="inlineStr">
        <is>
          <t>s = ''
[LOOP — the answer is found inside a loop the extractor cannot render; the steps above are the ones before it. Read by hand.]</t>
        </is>
      </c>
      <c r="H656" s="3" t="inlineStr">
        <is>
          <t>S is ''. The answer is s. The answer is found inside a loop that cannot be rendered here; read the code by hand.</t>
        </is>
      </c>
      <c r="I656" s="3" t="inlineStr">
        <is>
          <t>PARTLY READ — the body has a loop the extractor cannot render; the steps shown are the ones before it. Needs a hand pass (G23).</t>
        </is>
      </c>
      <c r="J656" s="3" t="inlineStr">
        <is>
          <t>1. b: number[]
2. start: number
3. le: boolean</t>
        </is>
      </c>
      <c r="K656" s="3" t="inlineStr">
        <is>
          <t>string</t>
        </is>
      </c>
      <c r="L656" s="3" t="inlineStr">
        <is>
          <t>—</t>
        </is>
      </c>
      <c r="M656" s="3" t="inlineStr">
        <is>
          <t>None found in this function — anything it assumes comes from the functions it depends on.</t>
        </is>
      </c>
      <c r="N656" s="3" t="inlineStr">
        <is>
          <t>Yes</t>
        </is>
      </c>
      <c r="O656" s="3" t="inlineStr">
        <is>
          <t>—</t>
        </is>
      </c>
      <c r="P656" s="3" t="n">
        <v>0</v>
      </c>
      <c r="Q656" s="3" t="inlineStr">
        <is>
          <t>None — no dependent function stands behind it</t>
        </is>
      </c>
      <c r="R656" s="3" t="inlineStr">
        <is>
          <t>No dependent function — it reads its inputs and answers</t>
        </is>
      </c>
      <c r="S656" s="3" t="inlineStr">
        <is>
          <t>—</t>
        </is>
      </c>
      <c r="T656" s="3" t="inlineStr">
        <is>
          <t>—</t>
        </is>
      </c>
      <c r="U656" s="3" t="inlineStr">
        <is>
          <t>ACTIVE</t>
        </is>
      </c>
      <c r="V656" s="3" t="inlineStr">
        <is>
          <t>2026-09-08</t>
        </is>
      </c>
      <c r="W656" s="3" t="n"/>
      <c r="X656" s="3" t="n"/>
      <c r="Y656" s="3" t="inlineStr">
        <is>
          <t>NOTHING OPEN</t>
        </is>
      </c>
    </row>
    <row r="657" ht="60" customHeight="1">
      <c r="A657" s="3" t="inlineStr">
        <is>
          <t>MK-XS-F-126</t>
        </is>
      </c>
      <c r="B657" s="3" t="inlineStr">
        <is>
          <t>findCol</t>
        </is>
      </c>
      <c r="C657" s="3" t="inlineStr">
        <is>
          <t>src/domain/import/holdingsImport.ts</t>
        </is>
      </c>
      <c r="D657" s="3" t="n">
        <v>258</v>
      </c>
      <c r="E657" s="3" t="inlineStr">
        <is>
          <t>3 · DEPENDENT</t>
        </is>
      </c>
      <c r="F657" s="3" t="inlineStr">
        <is>
          <t>NOT DETERMINED — the code carries no note saying what this is for, and it has no row in the old inventory. Needs reading.</t>
        </is>
      </c>
      <c r="G657" s="11" t="inlineStr">
        <is>
          <t>i = headers.find index((h) =&gt; re.test(h))
i   when i ≥ 0
[LOOP — the answer is found inside a loop the extractor cannot render; the steps above are the ones before it. Read by hand.]</t>
        </is>
      </c>
      <c r="H657" s="3" t="inlineStr">
        <is>
          <t>I is headers.find index((h) =&gt; re.test(h)). When i is at least 0, it answers i. The answer is -1. The answer is found inside a loop that cannot be rendered here; read the code by hand.</t>
        </is>
      </c>
      <c r="I657" s="3" t="inlineStr">
        <is>
          <t>PARTLY READ — the body has a loop the extractor cannot render; the steps shown are the ones before it. Needs a hand pass (G23).</t>
        </is>
      </c>
      <c r="J657" s="3" t="inlineStr">
        <is>
          <t>1. headers: string[]
2. patterns: RegExp[]</t>
        </is>
      </c>
      <c r="K657" s="3" t="inlineStr">
        <is>
          <t>number</t>
        </is>
      </c>
      <c r="L657" s="3" t="inlineStr">
        <is>
          <t>—</t>
        </is>
      </c>
      <c r="M657" s="3" t="inlineStr">
        <is>
          <t>None found in this function — anything it assumes comes from the functions it depends on.</t>
        </is>
      </c>
      <c r="N657" s="3" t="inlineStr">
        <is>
          <t>Yes</t>
        </is>
      </c>
      <c r="O657" s="3" t="inlineStr">
        <is>
          <t>—</t>
        </is>
      </c>
      <c r="P657" s="3" t="n">
        <v>0</v>
      </c>
      <c r="Q657" s="3" t="inlineStr">
        <is>
          <t>None — no dependent function stands behind it</t>
        </is>
      </c>
      <c r="R657" s="3" t="inlineStr">
        <is>
          <t>No dependent function — it reads its inputs and answers</t>
        </is>
      </c>
      <c r="S657" s="3" t="inlineStr">
        <is>
          <t>—</t>
        </is>
      </c>
      <c r="T657" s="3" t="inlineStr">
        <is>
          <t>—</t>
        </is>
      </c>
      <c r="U657" s="3" t="inlineStr">
        <is>
          <t>ACTIVE</t>
        </is>
      </c>
      <c r="V657" s="3" t="inlineStr">
        <is>
          <t>2026-09-08</t>
        </is>
      </c>
      <c r="W657" s="3" t="n"/>
      <c r="X657" s="3" t="n"/>
      <c r="Y657" s="3" t="inlineStr">
        <is>
          <t>NOTHING OPEN</t>
        </is>
      </c>
    </row>
    <row r="658" ht="60" customHeight="1">
      <c r="A658" s="3" t="inlineStr">
        <is>
          <t>MK-XS-F-127</t>
        </is>
      </c>
      <c r="B658" s="3" t="inlineStr">
        <is>
          <t>toIsoDate</t>
        </is>
      </c>
      <c r="C658" s="3" t="inlineStr">
        <is>
          <t>src/domain/import/holdingsImport.ts</t>
        </is>
      </c>
      <c r="D658" s="3" t="n">
        <v>290</v>
      </c>
      <c r="E658" s="3" t="inlineStr">
        <is>
          <t>3 · DEPENDENT</t>
        </is>
      </c>
      <c r="F658" s="3" t="inlineStr">
        <is>
          <t>Normalise a date cell to 'YYYY-MM-DD', or undefined if it isn't a usable date.</t>
        </is>
      </c>
      <c r="G658" s="11" t="inlineStr">
        <is>
          <t>t = (v ?? '').trim()
undefined   when t is missing
m = match( ÷ ^(\d{4})[- ÷ ](\d{1,2})[- ÷ ](\d{1,2})$ ÷ )
`${m[1]}-${m[2].pad start(2, '0')}-${m[3].pad start(2, '0')}`   when m
`${m[3]}-${m[1].pad start(2, '0')}-${m[2].pad start(2, '0')}`   when m
the answer = undefined</t>
        </is>
      </c>
      <c r="H658" s="3" t="inlineStr">
        <is>
          <t>T is (v ?? '').trim(). When t is missing, it answers undefined. M is match( divided by ^(\d{4})[- divided by ](\d{1,2})[- divided by ](\d{1,2})$ divided by ). When m, it answers `${m[1]}-${m[2].pad start(2, '0')}-${m[3].pad start(2, '0')}`. When m, it answers `${m[3]}-${m[1].pad start(2, '0')}-${m[2].pad start(2, '0')}`. The answer is undefined.</t>
        </is>
      </c>
      <c r="I658" s="3" t="inlineStr">
        <is>
          <t>PARTLY READ — some of the code is still showing through; needs a hand pass</t>
        </is>
      </c>
      <c r="J658" s="3" t="inlineStr">
        <is>
          <t>v: string</t>
        </is>
      </c>
      <c r="K658" s="3" t="inlineStr">
        <is>
          <t>string | undefined</t>
        </is>
      </c>
      <c r="L658" s="3" t="inlineStr">
        <is>
          <t>—</t>
        </is>
      </c>
      <c r="M658" s="3" t="inlineStr">
        <is>
          <t>None found in this function — anything it assumes comes from the functions it depends on.</t>
        </is>
      </c>
      <c r="N658" s="3" t="inlineStr">
        <is>
          <t>Yes</t>
        </is>
      </c>
      <c r="O658" s="3" t="inlineStr">
        <is>
          <t>—</t>
        </is>
      </c>
      <c r="P658" s="3" t="n">
        <v>0</v>
      </c>
      <c r="Q658" s="3" t="inlineStr">
        <is>
          <t>None — no dependent function stands behind it</t>
        </is>
      </c>
      <c r="R658" s="3" t="inlineStr">
        <is>
          <t>No dependent function — it reads its inputs and answers</t>
        </is>
      </c>
      <c r="S658" s="3" t="inlineStr">
        <is>
          <t>—</t>
        </is>
      </c>
      <c r="T658" s="3" t="inlineStr">
        <is>
          <t>—</t>
        </is>
      </c>
      <c r="U658" s="3" t="inlineStr">
        <is>
          <t>ACTIVE</t>
        </is>
      </c>
      <c r="V658" s="3" t="inlineStr">
        <is>
          <t>2026-08-27</t>
        </is>
      </c>
      <c r="W658" s="3" t="n"/>
      <c r="X658" s="3" t="n"/>
      <c r="Y658" s="3" t="inlineStr">
        <is>
          <t>NOTHING OPEN</t>
        </is>
      </c>
    </row>
    <row r="659" ht="60" customHeight="1">
      <c r="A659" s="3" t="inlineStr">
        <is>
          <t>MK-XS-F-128</t>
        </is>
      </c>
      <c r="B659" s="3" t="inlineStr">
        <is>
          <t>cleanTicker</t>
        </is>
      </c>
      <c r="C659" s="3" t="inlineStr">
        <is>
          <t>src/domain/import/holdingsImport.ts</t>
        </is>
      </c>
      <c r="D659" s="3" t="n">
        <v>323</v>
      </c>
      <c r="E659" s="3" t="inlineStr">
        <is>
          <t>3 · DEPENDENT</t>
        </is>
      </c>
      <c r="F659" s="3" t="inlineStr">
        <is>
          <t>A plausible tradeable ticker: 1–10 chars, letters/digits/.-, at least one letter, no spaces.</t>
        </is>
      </c>
      <c r="G659" s="11" t="inlineStr">
        <is>
          <t>t = (v ?? '').trim().to upper case()
nothing   when t is missing (or ÷ \s ÷ .test(t) (or length &gt; 10 when missing or zero) when missing or zero)
nothing   when ! ÷ [A − Z] ÷ .test(t) (or ! ÷ ^[A − Z0 − 9.\-]+$ ÷ .test(t) when missing or zero)
nothing   when ['TOTAL', 'CASH', 'SUBTOTAL', 'N ÷ A', 'SYMBOL', 'TICKER'].includes(t)
the answer = t</t>
        </is>
      </c>
      <c r="H659" s="3" t="inlineStr">
        <is>
          <t>T is (v ?? '').trim().to upper case(). When t is missing (or divided by \s divided by .test(t) (or length &gt; 10 — when missing or zero) — when missing or zero), it answers no answer. When ! divided by [A minus Z] divided by .test(t) (or ! divided by ^[A minus Z0 minus 9.\-]+$ divided by .test(t) — when missing or zero), it answers no answer. When ['TOTAL', 'CASH', 'SUBTOTAL', 'N divided by A', 'SYMBOL', 'TICKER'].includes(t), it answers no answer. The answer is t.</t>
        </is>
      </c>
      <c r="I659" s="3" t="inlineStr">
        <is>
          <t>PARTLY READ — some of the code is still showing through; needs a hand pass</t>
        </is>
      </c>
      <c r="J659" s="3" t="inlineStr">
        <is>
          <t>v: string</t>
        </is>
      </c>
      <c r="K659" s="3" t="inlineStr">
        <is>
          <t>string | null</t>
        </is>
      </c>
      <c r="L659" s="3" t="inlineStr">
        <is>
          <t>—</t>
        </is>
      </c>
      <c r="M659" s="3" t="inlineStr">
        <is>
          <t>None found in this function — anything it assumes comes from the functions it depends on.</t>
        </is>
      </c>
      <c r="N659" s="3" t="inlineStr">
        <is>
          <t>Yes</t>
        </is>
      </c>
      <c r="O659" s="3" t="inlineStr">
        <is>
          <t>—</t>
        </is>
      </c>
      <c r="P659" s="3" t="n">
        <v>0</v>
      </c>
      <c r="Q659" s="3" t="inlineStr">
        <is>
          <t>None — no dependent function stands behind it</t>
        </is>
      </c>
      <c r="R659" s="3" t="inlineStr">
        <is>
          <t>No dependent function — it reads its inputs and answers</t>
        </is>
      </c>
      <c r="S659" s="3" t="inlineStr">
        <is>
          <t>—</t>
        </is>
      </c>
      <c r="T659" s="3" t="inlineStr">
        <is>
          <t>—</t>
        </is>
      </c>
      <c r="U659" s="3" t="inlineStr">
        <is>
          <t>ACTIVE</t>
        </is>
      </c>
      <c r="V659" s="3" t="inlineStr">
        <is>
          <t>2026-08-27</t>
        </is>
      </c>
      <c r="W659" s="3" t="n"/>
      <c r="X659" s="3" t="n"/>
      <c r="Y659" s="3" t="inlineStr">
        <is>
          <t>NOTHING OPEN</t>
        </is>
      </c>
    </row>
    <row r="660" ht="60" customHeight="1">
      <c r="A660" s="3" t="inlineStr">
        <is>
          <t>MK-XS-F-129</t>
        </is>
      </c>
      <c r="B660" s="3" t="inlineStr">
        <is>
          <t>findHeaderRow</t>
        </is>
      </c>
      <c r="C660" s="3" t="inlineStr">
        <is>
          <t>src/domain/import/holdingsImport.ts</t>
        </is>
      </c>
      <c r="D660" s="3" t="n">
        <v>381</v>
      </c>
      <c r="E660" s="3" t="inlineStr">
        <is>
          <t>3 · DEPENDENT</t>
        </is>
      </c>
      <c r="F660" s="3" t="inlineStr">
        <is>
          <t>Find the real positions header — the first row that has BOTH a symbol/ticker AND a quantity/shares column (skips brokerage preambles like "Account Summary" and filter headers).</t>
        </is>
      </c>
      <c r="G660" s="11" t="inlineStr">
        <is>
          <t>h = for each of rows[i]: trim()
has sym = some((c) =&gt; ÷ ^(symbol|ticker)$ ÷ test(c))
has qty = some((c) =&gt; ÷ ^(quantity|shares|qty|units)$ ÷ test(c))
i   when has sym and has qty
[LOOP — the answer is found inside a loop the extractor cannot render; the steps above are the ones before it. Read by hand.]</t>
        </is>
      </c>
      <c r="H660" s="3" t="inlineStr">
        <is>
          <t>H is for each of rows[i]: trim(). Has sym is some((c) =&gt; divided by ^(symbol|ticker)$ divided by test(c)). Has qty is some((c) =&gt; divided by ^(quantity|shares|qty|units)$ divided by test(c)). When has sym and has qty, it answers i. The answer is 0. The answer is found inside a loop that cannot be rendered here; read the code by hand.</t>
        </is>
      </c>
      <c r="I660" s="3" t="inlineStr">
        <is>
          <t>PARTLY READ — the body has a loop the extractor cannot render; the steps shown are the ones before it. Needs a hand pass (G23).</t>
        </is>
      </c>
      <c r="J660" s="3" t="inlineStr">
        <is>
          <t>rows: string[][]</t>
        </is>
      </c>
      <c r="K660" s="3" t="inlineStr">
        <is>
          <t>number</t>
        </is>
      </c>
      <c r="L660" s="3" t="inlineStr">
        <is>
          <t>—</t>
        </is>
      </c>
      <c r="M660" s="3" t="inlineStr">
        <is>
          <t>None found in this function — anything it assumes comes from the functions it depends on.</t>
        </is>
      </c>
      <c r="N660" s="3" t="inlineStr">
        <is>
          <t>Yes</t>
        </is>
      </c>
      <c r="O660" s="3" t="inlineStr">
        <is>
          <t>MK-CF-F-132 map</t>
        </is>
      </c>
      <c r="P660" s="3" t="n">
        <v>1</v>
      </c>
      <c r="Q660" s="3" t="inlineStr">
        <is>
          <t>MK-CF-F-132 map</t>
        </is>
      </c>
      <c r="R660" s="3" t="inlineStr">
        <is>
          <t>MK-CF-F-132 map → MK-XS-F-129 findHeaderRow</t>
        </is>
      </c>
      <c r="S660" s="3" t="inlineStr">
        <is>
          <t>—</t>
        </is>
      </c>
      <c r="T660" s="3" t="inlineStr">
        <is>
          <t>—</t>
        </is>
      </c>
      <c r="U660" s="3" t="inlineStr">
        <is>
          <t>ACTIVE</t>
        </is>
      </c>
      <c r="V660" s="3" t="inlineStr">
        <is>
          <t>2026-09-08</t>
        </is>
      </c>
      <c r="W660" s="3" t="n"/>
      <c r="X660" s="3" t="n"/>
      <c r="Y660" s="3" t="inlineStr">
        <is>
          <t>NOTHING OPEN</t>
        </is>
      </c>
    </row>
    <row r="661" ht="60" customHeight="1">
      <c r="A661" s="3" t="inlineStr">
        <is>
          <t>MK-XS-F-130</t>
        </is>
      </c>
      <c r="B661" s="3" t="inlineStr">
        <is>
          <t>normInst</t>
        </is>
      </c>
      <c r="C661" s="3" t="inlineStr">
        <is>
          <t>src/domain/import/holdingsImport.ts</t>
        </is>
      </c>
      <c r="D661" s="3" t="n">
        <v>512</v>
      </c>
      <c r="E661" s="3" t="inlineStr">
        <is>
          <t>1 · ACTION</t>
        </is>
      </c>
      <c r="F661" s="3" t="inlineStr">
        <is>
          <t>NOT DETERMINED — the code carries no note saying what this is for, and it has no row in the old inventory. Needs reading.</t>
        </is>
      </c>
      <c r="G661" s="11" t="inlineStr">
        <is>
          <t>(s ?? '').trim().to lower case().replace( ÷ [^a − z0 − 9] ÷ g, '')</t>
        </is>
      </c>
      <c r="H661" s="3" t="inlineStr">
        <is>
          <t>(s ?? '').trim().to lower case().replace( divided by [^a minus z0 minus 9] divided by g, '')</t>
        </is>
      </c>
      <c r="I661" s="3" t="inlineStr">
        <is>
          <t>PARTLY READ — some of the code is still showing through; needs a hand pass</t>
        </is>
      </c>
      <c r="J661" s="3" t="inlineStr">
        <is>
          <t>s?: string</t>
        </is>
      </c>
      <c r="K661" s="3" t="inlineStr">
        <is>
          <t>NOT DECLARED — the code does not say what it gives back</t>
        </is>
      </c>
      <c r="L661" s="3" t="inlineStr">
        <is>
          <t>—</t>
        </is>
      </c>
      <c r="M661" s="3" t="inlineStr">
        <is>
          <t>None found in this function — anything it assumes comes from the functions it depends on.</t>
        </is>
      </c>
      <c r="N661" s="3" t="inlineStr">
        <is>
          <t>Yes</t>
        </is>
      </c>
      <c r="O661" s="3" t="inlineStr">
        <is>
          <t>—</t>
        </is>
      </c>
      <c r="P661" s="3" t="n">
        <v>0</v>
      </c>
      <c r="Q661" s="3" t="inlineStr">
        <is>
          <t>None — no dependent function stands behind it</t>
        </is>
      </c>
      <c r="R661" s="3" t="inlineStr">
        <is>
          <t>No dependent function — it reads its inputs and answers</t>
        </is>
      </c>
      <c r="S661" s="3" t="inlineStr">
        <is>
          <t>—</t>
        </is>
      </c>
      <c r="T661" s="3" t="inlineStr">
        <is>
          <t>—</t>
        </is>
      </c>
      <c r="U661" s="3" t="inlineStr">
        <is>
          <t>ACTIVE</t>
        </is>
      </c>
      <c r="V661" s="3" t="inlineStr">
        <is>
          <t>2026-08-27</t>
        </is>
      </c>
      <c r="W661" s="3" t="n"/>
      <c r="X661" s="3" t="n"/>
      <c r="Y661" s="3" t="inlineStr">
        <is>
          <t>NOTHING OPEN</t>
        </is>
      </c>
    </row>
    <row r="662" ht="60" customHeight="1">
      <c r="A662" s="3" t="inlineStr">
        <is>
          <t>MK-XS-F-131</t>
        </is>
      </c>
      <c r="B662" s="3" t="inlineStr">
        <is>
          <t>toInt</t>
        </is>
      </c>
      <c r="C662" s="3" t="inlineStr">
        <is>
          <t>src/domain/profile/onboarding.ts</t>
        </is>
      </c>
      <c r="D662" s="3" t="n">
        <v>28</v>
      </c>
      <c r="E662" s="3" t="inlineStr">
        <is>
          <t>3 · DEPENDENT</t>
        </is>
      </c>
      <c r="F662" s="3" t="inlineStr">
        <is>
          <t>NOT DETERMINED — the code carries no note saying what this is for, and it has no row in the old inventory. Needs reading.</t>
        </is>
      </c>
      <c r="G662" s="11" t="inlineStr">
        <is>
          <t>n = parse int(string(v ?? '').replace( ÷ [^0 − 9] ÷ g, ''), 10)
the answer:
n   if number.is finite(n)
nothing   otherwise</t>
        </is>
      </c>
      <c r="H662" s="3" t="inlineStr">
        <is>
          <t>N is parse int(string(v ?? '').replace( divided by [^0 minus 9] divided by g, ''), 10). The answer is n — when number.is finite(n); no answer — otherwise.</t>
        </is>
      </c>
      <c r="I662" s="3" t="inlineStr">
        <is>
          <t>PARTLY READ — some of the code is still showing through; needs a hand pass</t>
        </is>
      </c>
      <c r="J662" s="3" t="inlineStr">
        <is>
          <t>v: any</t>
        </is>
      </c>
      <c r="K662" s="3" t="inlineStr">
        <is>
          <t>number | null</t>
        </is>
      </c>
      <c r="L662" s="3" t="inlineStr">
        <is>
          <t>—</t>
        </is>
      </c>
      <c r="M662" s="3" t="inlineStr">
        <is>
          <t>None found in this function — anything it assumes comes from the functions it depends on.</t>
        </is>
      </c>
      <c r="N662" s="3" t="inlineStr">
        <is>
          <t>Yes</t>
        </is>
      </c>
      <c r="O662" s="3" t="inlineStr">
        <is>
          <t>MK-XS-F-122 n</t>
        </is>
      </c>
      <c r="P662" s="3" t="n">
        <v>1</v>
      </c>
      <c r="Q662" s="3" t="inlineStr">
        <is>
          <t>MK-XS-F-122 n</t>
        </is>
      </c>
      <c r="R662" s="3" t="inlineStr">
        <is>
          <t>MK-XS-F-122 n → MK-XS-F-131 toInt</t>
        </is>
      </c>
      <c r="S662" s="3" t="inlineStr">
        <is>
          <t>—</t>
        </is>
      </c>
      <c r="T662" s="3" t="inlineStr">
        <is>
          <t>—</t>
        </is>
      </c>
      <c r="U662" s="3" t="inlineStr">
        <is>
          <t>ACTIVE</t>
        </is>
      </c>
      <c r="V662" s="3" t="inlineStr">
        <is>
          <t>2026-08-27</t>
        </is>
      </c>
      <c r="W662" s="3" t="n"/>
      <c r="X662" s="3" t="n"/>
      <c r="Y662" s="3" t="inlineStr">
        <is>
          <t>NOTHING OPEN</t>
        </is>
      </c>
    </row>
    <row r="663" ht="60" customHeight="1">
      <c r="A663" s="3" t="inlineStr">
        <is>
          <t>MK-XS-F-132</t>
        </is>
      </c>
      <c r="B663" s="3" t="inlineStr">
        <is>
          <t>load</t>
        </is>
      </c>
      <c r="C663" s="3" t="inlineStr">
        <is>
          <t>src/services/appLock.ts</t>
        </is>
      </c>
      <c r="D663" s="3" t="n">
        <v>25</v>
      </c>
      <c r="E663" s="3" t="inlineStr">
        <is>
          <t>3 · DEPENDENT</t>
        </is>
      </c>
      <c r="F663" s="3" t="inlineStr">
        <is>
          <t>NOT DETERMINED — the code carries no note saying what this is for, and it has no row in the old inventory. Needs reading.</t>
        </is>
      </c>
      <c r="G663" s="11" t="inlineStr">
        <is>
          <t>LA   when LA
LA</t>
        </is>
      </c>
      <c r="H663" s="3" t="inlineStr">
        <is>
          <t>When LA, it answers LA. LA.</t>
        </is>
      </c>
      <c r="I663" s="3" t="inlineStr">
        <is>
          <t>READ FROM THE CODE — rendered from the expressions the function runs</t>
        </is>
      </c>
      <c r="J663" s="3" t="inlineStr">
        <is>
          <t>Nothing is handed to it</t>
        </is>
      </c>
      <c r="K663" s="3" t="inlineStr">
        <is>
          <t>any</t>
        </is>
      </c>
      <c r="L663" s="3" t="inlineStr">
        <is>
          <t>—</t>
        </is>
      </c>
      <c r="M663" s="3" t="inlineStr">
        <is>
          <t>None found in this function — anything it assumes comes from the functions it depends on.</t>
        </is>
      </c>
      <c r="N663" s="3" t="inlineStr">
        <is>
          <t>Yes</t>
        </is>
      </c>
      <c r="O663" s="3" t="inlineStr">
        <is>
          <t>—</t>
        </is>
      </c>
      <c r="P663" s="3" t="n">
        <v>0</v>
      </c>
      <c r="Q663" s="3" t="inlineStr">
        <is>
          <t>None — no dependent function stands behind it</t>
        </is>
      </c>
      <c r="R663" s="3" t="inlineStr">
        <is>
          <t>No dependent function — it reads its inputs and answers</t>
        </is>
      </c>
      <c r="S663" s="3" t="inlineStr">
        <is>
          <t>—</t>
        </is>
      </c>
      <c r="T663" s="3" t="inlineStr">
        <is>
          <t>—</t>
        </is>
      </c>
      <c r="U663" s="3" t="inlineStr">
        <is>
          <t>ACTIVE</t>
        </is>
      </c>
      <c r="V663" s="3" t="inlineStr">
        <is>
          <t>2026-08-27</t>
        </is>
      </c>
      <c r="W663" s="3" t="n"/>
      <c r="X663" s="3" t="n"/>
      <c r="Y663" s="3" t="inlineStr">
        <is>
          <t>NOTHING OPEN</t>
        </is>
      </c>
    </row>
    <row r="664" ht="60" customHeight="1">
      <c r="A664" s="3" t="inlineStr">
        <is>
          <t>MK-XS-F-133</t>
        </is>
      </c>
      <c r="B664" s="3" t="inlineStr">
        <is>
          <t>loadSentry</t>
        </is>
      </c>
      <c r="C664" s="3" t="inlineStr">
        <is>
          <t>src/services/crashReporter.ts</t>
        </is>
      </c>
      <c r="D664" s="3" t="n">
        <v>33</v>
      </c>
      <c r="E664" s="3" t="inlineStr">
        <is>
          <t>3 · DEPENDENT</t>
        </is>
      </c>
      <c r="F664" s="3" t="inlineStr">
        <is>
          <t>NOT DETERMINED — the code carries no note saying what this is for, and it has no row in the old inventory. Needs reading.</t>
        </is>
      </c>
      <c r="G664" s="11" t="inlineStr">
        <is>
          <t>the answer = the crash-reporting module, or nothing when it is absent</t>
        </is>
      </c>
      <c r="H664" s="3" t="inlineStr">
        <is>
          <t>Loads the crash reporter if it is installed. Not a calculation.</t>
        </is>
      </c>
      <c r="I664" s="3" t="inlineStr">
        <is>
          <t>READ BY HAND 2026-08-26 — checked line by line against the code</t>
        </is>
      </c>
      <c r="J664" s="3" t="inlineStr">
        <is>
          <t>Nothing is handed to it</t>
        </is>
      </c>
      <c r="K664" s="3" t="inlineStr">
        <is>
          <t>any</t>
        </is>
      </c>
      <c r="L664" s="3" t="inlineStr">
        <is>
          <t>—</t>
        </is>
      </c>
      <c r="M664" s="3" t="inlineStr">
        <is>
          <t>None found in this function — anything it assumes comes from the functions it depends on.</t>
        </is>
      </c>
      <c r="N664" s="3" t="inlineStr">
        <is>
          <t>Yes</t>
        </is>
      </c>
      <c r="O664" s="3" t="inlineStr">
        <is>
          <t>—</t>
        </is>
      </c>
      <c r="P664" s="3" t="n">
        <v>0</v>
      </c>
      <c r="Q664" s="3" t="inlineStr">
        <is>
          <t>None — no dependent function stands behind it</t>
        </is>
      </c>
      <c r="R664" s="3" t="inlineStr">
        <is>
          <t>No dependent function — it reads its inputs and answers</t>
        </is>
      </c>
      <c r="S664" s="3" t="inlineStr">
        <is>
          <t>—</t>
        </is>
      </c>
      <c r="T664" s="3" t="inlineStr">
        <is>
          <t>—</t>
        </is>
      </c>
      <c r="U664" s="3" t="inlineStr">
        <is>
          <t>ACTIVE</t>
        </is>
      </c>
      <c r="V664" s="3" t="inlineStr">
        <is>
          <t>2026-09-12</t>
        </is>
      </c>
      <c r="W664" s="3" t="n"/>
      <c r="X664" s="3" t="n"/>
      <c r="Y664" s="3" t="inlineStr">
        <is>
          <t>NOTHING OPEN</t>
        </is>
      </c>
    </row>
    <row r="665" ht="60" customHeight="1">
      <c r="A665" s="3" t="inlineStr">
        <is>
          <t>MK-XS-F-134</t>
        </is>
      </c>
      <c r="B665" s="3" t="inlineStr">
        <is>
          <t>installGlobalHandler</t>
        </is>
      </c>
      <c r="C665" s="3" t="inlineStr">
        <is>
          <t>src/services/crashReporter.ts</t>
        </is>
      </c>
      <c r="D665" s="3" t="n">
        <v>94</v>
      </c>
      <c r="E665" s="3" t="inlineStr">
        <is>
          <t>1 · ACTION</t>
        </is>
      </c>
      <c r="F665" s="3" t="inlineStr">
        <is>
          <t>NOT DETERMINED — the code carries no note saying what this is for, and it has no row in the old inventory. Needs reading.</t>
        </is>
      </c>
      <c r="G665" s="11" t="inlineStr">
        <is>
          <t>g = global this as any
prev = error utils.get global handler.()</t>
        </is>
      </c>
      <c r="H665" s="3" t="inlineStr">
        <is>
          <t>G is global this as any. Prev is error utils.get global handler.().</t>
        </is>
      </c>
      <c r="I665" s="3" t="inlineStr">
        <is>
          <t>READ FROM THE CODE — rendered from the expressions the function runs</t>
        </is>
      </c>
      <c r="J665" s="3" t="inlineStr">
        <is>
          <t>Nothing is handed to it</t>
        </is>
      </c>
      <c r="K665" s="3" t="inlineStr">
        <is>
          <t>void</t>
        </is>
      </c>
      <c r="L665" s="3" t="inlineStr">
        <is>
          <t>—</t>
        </is>
      </c>
      <c r="M665" s="3" t="inlineStr">
        <is>
          <t>None found in this function — anything it assumes comes from the functions it depends on.</t>
        </is>
      </c>
      <c r="N665" s="3" t="inlineStr">
        <is>
          <t>Yes</t>
        </is>
      </c>
      <c r="O665" s="3" t="inlineStr">
        <is>
          <t>MK-XS-F-037 captureException</t>
        </is>
      </c>
      <c r="P665" s="3" t="n">
        <v>1</v>
      </c>
      <c r="Q665" s="3" t="inlineStr">
        <is>
          <t>MK-XS-F-037 captureException</t>
        </is>
      </c>
      <c r="R665" s="3" t="inlineStr">
        <is>
          <t>MK-XS-F-037 captureException → MK-XS-F-134 installGlobalHandler</t>
        </is>
      </c>
      <c r="S665" s="3" t="inlineStr">
        <is>
          <t>—</t>
        </is>
      </c>
      <c r="T665" s="3" t="inlineStr">
        <is>
          <t>—</t>
        </is>
      </c>
      <c r="U665" s="3" t="inlineStr">
        <is>
          <t>ACTIVE</t>
        </is>
      </c>
      <c r="V665" s="3" t="inlineStr">
        <is>
          <t>2026-08-27</t>
        </is>
      </c>
      <c r="W665" s="3" t="n"/>
      <c r="X665" s="3" t="n"/>
      <c r="Y665" s="3" t="inlineStr">
        <is>
          <t>NOTHING OPEN</t>
        </is>
      </c>
    </row>
    <row r="666" ht="60" customHeight="1">
      <c r="A666" s="3" t="inlineStr">
        <is>
          <t>MK-XS-F-135</t>
        </is>
      </c>
      <c r="B666" s="3" t="inlineStr">
        <is>
          <t>secureGet</t>
        </is>
      </c>
      <c r="C666" s="3" t="inlineStr">
        <is>
          <t>src/services/dataCrypto.ts</t>
        </is>
      </c>
      <c r="D666" s="3" t="n">
        <v>48</v>
      </c>
      <c r="E666" s="3" t="inlineStr">
        <is>
          <t>4 · BRINGS DATA IN</t>
        </is>
      </c>
      <c r="F666" s="3" t="inlineStr">
        <is>
          <t>NOT DETERMINED — the code carries no note saying what this is for, and it has no row in the old inventory. Needs reading.</t>
        </is>
      </c>
      <c r="G666" s="11" t="inlineStr">
        <is>
          <t>It reaches outside the app for data and hands back what came back — no arithmetic of its own.</t>
        </is>
      </c>
      <c r="H666" s="3" t="inlineStr">
        <is>
          <t>It reaches outside the app for data and hands back what came back — no arithmetic of its own.</t>
        </is>
      </c>
      <c r="I666" s="3" t="inlineStr">
        <is>
          <t>NO ARITHMETIC — there is no formula to state</t>
        </is>
      </c>
      <c r="J666" s="3" t="inlineStr">
        <is>
          <t>name: string</t>
        </is>
      </c>
      <c r="K666" s="3" t="inlineStr">
        <is>
          <t>Promise&lt;string | null&gt;</t>
        </is>
      </c>
      <c r="L666" s="3" t="inlineStr">
        <is>
          <t>—</t>
        </is>
      </c>
      <c r="M666" s="3" t="inlineStr">
        <is>
          <t>None found in this function — anything it assumes comes from the functions it depends on.</t>
        </is>
      </c>
      <c r="N666" s="3" t="inlineStr">
        <is>
          <t>Yes</t>
        </is>
      </c>
      <c r="O666" s="3" t="inlineStr">
        <is>
          <t>—</t>
        </is>
      </c>
      <c r="P666" s="3" t="n">
        <v>0</v>
      </c>
      <c r="Q666" s="3" t="inlineStr">
        <is>
          <t>None — no dependent function stands behind it</t>
        </is>
      </c>
      <c r="R666" s="3" t="inlineStr">
        <is>
          <t>No dependent function — it reads its inputs and answers</t>
        </is>
      </c>
      <c r="S666" s="3" t="inlineStr">
        <is>
          <t>—</t>
        </is>
      </c>
      <c r="T666" s="3" t="inlineStr">
        <is>
          <t>—</t>
        </is>
      </c>
      <c r="U666" s="3" t="inlineStr">
        <is>
          <t>ACTIVE</t>
        </is>
      </c>
      <c r="V666" s="3" t="inlineStr">
        <is>
          <t>2026-08-27</t>
        </is>
      </c>
      <c r="W666" s="3" t="n"/>
      <c r="X666" s="3" t="n"/>
      <c r="Y666" s="3" t="inlineStr">
        <is>
          <t>NOTHING OPEN</t>
        </is>
      </c>
    </row>
    <row r="667" ht="60" customHeight="1">
      <c r="A667" s="3" t="inlineStr">
        <is>
          <t>MK-XS-F-136</t>
        </is>
      </c>
      <c r="B667" s="3" t="inlineStr">
        <is>
          <t>secureSet</t>
        </is>
      </c>
      <c r="C667" s="3" t="inlineStr">
        <is>
          <t>src/services/dataCrypto.ts</t>
        </is>
      </c>
      <c r="D667" s="3" t="n">
        <v>72</v>
      </c>
      <c r="E667" s="3" t="inlineStr">
        <is>
          <t>1 · ACTION</t>
        </is>
      </c>
      <c r="F667" s="3" t="inlineStr">
        <is>
          <t>NOT DETERMINED — the code carries no note saying what this is for, and it has no row in the old inventory. Needs reading.</t>
        </is>
      </c>
      <c r="G667" s="11" t="inlineStr">
        <is>
          <t>It reaches outside the app for data and hands back what came back — no arithmetic of its own.</t>
        </is>
      </c>
      <c r="H667" s="3" t="inlineStr">
        <is>
          <t>It reaches outside the app for data and hands back what came back — no arithmetic of its own.</t>
        </is>
      </c>
      <c r="I667" s="3" t="inlineStr">
        <is>
          <t>NO ARITHMETIC — there is no formula to state</t>
        </is>
      </c>
      <c r="J667" s="3" t="inlineStr">
        <is>
          <t>1. name: string
2. value: string</t>
        </is>
      </c>
      <c r="K667" s="3" t="inlineStr">
        <is>
          <t>Promise&lt;void&gt;</t>
        </is>
      </c>
      <c r="L667" s="3" t="inlineStr">
        <is>
          <t>—</t>
        </is>
      </c>
      <c r="M667" s="3" t="inlineStr">
        <is>
          <t>None found in this function — anything it assumes comes from the functions it depends on.</t>
        </is>
      </c>
      <c r="N667" s="3" t="inlineStr">
        <is>
          <t>Yes</t>
        </is>
      </c>
      <c r="O667" s="3" t="inlineStr">
        <is>
          <t>—</t>
        </is>
      </c>
      <c r="P667" s="3" t="n">
        <v>0</v>
      </c>
      <c r="Q667" s="3" t="inlineStr">
        <is>
          <t>None — no dependent function stands behind it</t>
        </is>
      </c>
      <c r="R667" s="3" t="inlineStr">
        <is>
          <t>No dependent function — it reads its inputs and answers</t>
        </is>
      </c>
      <c r="S667" s="3" t="inlineStr">
        <is>
          <t>—</t>
        </is>
      </c>
      <c r="T667" s="3" t="inlineStr">
        <is>
          <t>—</t>
        </is>
      </c>
      <c r="U667" s="3" t="inlineStr">
        <is>
          <t>ACTIVE</t>
        </is>
      </c>
      <c r="V667" s="3" t="inlineStr">
        <is>
          <t>2026-08-27</t>
        </is>
      </c>
      <c r="W667" s="3" t="n"/>
      <c r="X667" s="3" t="n"/>
      <c r="Y667" s="3" t="inlineStr">
        <is>
          <t>NOTHING OPEN</t>
        </is>
      </c>
    </row>
    <row r="668" ht="60" customHeight="1">
      <c r="A668" s="3" t="inlineStr">
        <is>
          <t>MK-XS-F-137</t>
        </is>
      </c>
      <c r="B668" s="3" t="inlineStr">
        <is>
          <t>secureDelete</t>
        </is>
      </c>
      <c r="C668" s="3" t="inlineStr">
        <is>
          <t>src/services/dataCrypto.ts</t>
        </is>
      </c>
      <c r="D668" s="3" t="n">
        <v>95</v>
      </c>
      <c r="E668" s="3" t="inlineStr">
        <is>
          <t>1 · ACTION</t>
        </is>
      </c>
      <c r="F668" s="3" t="inlineStr">
        <is>
          <t>NOT DETERMINED — the code carries no note saying what this is for, and it has no row in the old inventory. Needs reading.</t>
        </is>
      </c>
      <c r="G668" s="11" t="inlineStr">
        <is>
          <t>It reaches outside the app for data and hands back what came back — no arithmetic of its own.</t>
        </is>
      </c>
      <c r="H668" s="3" t="inlineStr">
        <is>
          <t>It reaches outside the app for data and hands back what came back — no arithmetic of its own.</t>
        </is>
      </c>
      <c r="I668" s="3" t="inlineStr">
        <is>
          <t>NO ARITHMETIC — there is no formula to state</t>
        </is>
      </c>
      <c r="J668" s="3" t="inlineStr">
        <is>
          <t>name: string</t>
        </is>
      </c>
      <c r="K668" s="3" t="inlineStr">
        <is>
          <t>Promise&lt;void&gt;</t>
        </is>
      </c>
      <c r="L668" s="3" t="inlineStr">
        <is>
          <t>—</t>
        </is>
      </c>
      <c r="M668" s="3" t="inlineStr">
        <is>
          <t>None found in this function — anything it assumes comes from the functions it depends on.</t>
        </is>
      </c>
      <c r="N668" s="3" t="inlineStr">
        <is>
          <t>Yes</t>
        </is>
      </c>
      <c r="O668" s="3" t="inlineStr">
        <is>
          <t>—</t>
        </is>
      </c>
      <c r="P668" s="3" t="n">
        <v>0</v>
      </c>
      <c r="Q668" s="3" t="inlineStr">
        <is>
          <t>None — no dependent function stands behind it</t>
        </is>
      </c>
      <c r="R668" s="3" t="inlineStr">
        <is>
          <t>No dependent function — it reads its inputs and answers</t>
        </is>
      </c>
      <c r="S668" s="3" t="inlineStr">
        <is>
          <t>—</t>
        </is>
      </c>
      <c r="T668" s="3" t="inlineStr">
        <is>
          <t>—</t>
        </is>
      </c>
      <c r="U668" s="3" t="inlineStr">
        <is>
          <t>ACTIVE</t>
        </is>
      </c>
      <c r="V668" s="3" t="inlineStr">
        <is>
          <t>2026-08-27</t>
        </is>
      </c>
      <c r="W668" s="3" t="n"/>
      <c r="X668" s="3" t="n"/>
      <c r="Y668" s="3" t="inlineStr">
        <is>
          <t>NOTHING OPEN</t>
        </is>
      </c>
    </row>
    <row r="669" ht="60" customHeight="1">
      <c r="A669" s="3" t="inlineStr">
        <is>
          <t>MK-XS-F-138</t>
        </is>
      </c>
      <c r="B669" s="3" t="inlineStr">
        <is>
          <t>deriveKeyFromSecret</t>
        </is>
      </c>
      <c r="C669" s="3" t="inlineStr">
        <is>
          <t>src/services/dataCrypto.ts</t>
        </is>
      </c>
      <c r="D669" s="3" t="n">
        <v>262</v>
      </c>
      <c r="E669" s="3" t="inlineStr">
        <is>
          <t>3 · DEPENDENT</t>
        </is>
      </c>
      <c r="F669" s="3" t="inlineStr">
        <is>
          <t>── Wrapping (lock/unlock the DEK with a password or recovery code) ───</t>
        </is>
      </c>
      <c r="G669" s="11" t="inlineStr">
        <is>
          <t>crypto js.PBKDF2(secret.trim(), uid, { key size: 256 ÷ 32, iterations: PBKDF2_ITERS }).to string(crypto js.enc.hex)</t>
        </is>
      </c>
      <c r="H669" s="3" t="inlineStr">
        <is>
          <t>crypto js.PBKDF2(secret.trim(), uid, { key size: 256 divided by 32, iterations: PBKDF2_ITERS }).to string(crypto js.enc.hex).</t>
        </is>
      </c>
      <c r="I669" s="3" t="inlineStr">
        <is>
          <t>PARTLY READ — some of the code is still showing through; needs a hand pass</t>
        </is>
      </c>
      <c r="J669" s="3" t="inlineStr">
        <is>
          <t>1. secret: string
2. uid: string</t>
        </is>
      </c>
      <c r="K669" s="3" t="inlineStr">
        <is>
          <t>string</t>
        </is>
      </c>
      <c r="L669" s="3" t="inlineStr">
        <is>
          <t>—</t>
        </is>
      </c>
      <c r="M669" s="3" t="inlineStr">
        <is>
          <t>None found in this function — anything it assumes comes from the functions it depends on.</t>
        </is>
      </c>
      <c r="N669" s="3" t="inlineStr">
        <is>
          <t>Yes</t>
        </is>
      </c>
      <c r="O669" s="3" t="inlineStr">
        <is>
          <t>MK-XS-F-175 uid</t>
        </is>
      </c>
      <c r="P669" s="3" t="n">
        <v>81</v>
      </c>
      <c r="Q669" s="3" t="inlineStr">
        <is>
          <t>1. MK-XS-F-175 uid
2. MK-ST-F-027 accountId
3. MK-CF-F-111 applyTransaction
4. MK-NW-F-040 assetsFromOnboarding
5. MK-PF-F-013 benchmarkTicker
6. MK-ST-F-028 buildDayFromAccounts
7. MK-PF-F-034 closeOnOrBefore
8. MK-CF-F-186 convertTakeHomeMode
9. MK-ST-F-079 dailyWindowStart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is>
      </c>
      <c r="R669" s="3" t="inlineStr">
        <is>
          <t>1. MK-ST-F-027 accountId → MK-XS-F-175 uid → MK-XS-F-138 deriveKeyFromSecret
2. MK-CF-F-137 findPos → MK-CF-F-138 addLot → MK-CF-F-111 applyTransaction → MK-XS-F-175 uid → MK-XS-F-138 deriveKeyFromSecret
3. MK-CF-F-132 map → MK-CF-F-138 addLot → MK-CF-F-111 applyTransaction → MK-XS-F-175 uid → MK-XS-F-138 deriveKeyFromSecret
4. MK-ST-F-043 newEntityId → MK-CF-F-138 addLot → MK-CF-F-111 applyTransaction → MK-XS-F-175 uid → MK-XS-F-138 deriveKeyFromSecret
5. MK-CF-F-134 usesSleeve → MK-CF-F-136 bumpCash → MK-CF-F-111 applyTransaction → MK-XS-F-175 uid → MK-XS-F-138 deriveKeyFromSecret
6. MK-CF-F-137 findPos → MK-CF-F-111 applyTransaction → MK-XS-F-175 uid → MK-XS-F-138 deriveKeyFromSecret
7. MK-CF-F-132 map → MK-CF-F-111 applyTransaction → MK-XS-F-175 uid → MK-XS-F-138 deriveKeyFromSecret
8. MK-CF-F-137 findPos → MK-CF-F-139 removeShares → MK-CF-F-111 applyTransaction → MK-XS-F-175 uid → MK-XS-F-138 deriveKeyFromSecret
9. … and 4 more paths</t>
        </is>
      </c>
      <c r="S669" s="3" t="inlineStr">
        <is>
          <t>—</t>
        </is>
      </c>
      <c r="T669" s="3" t="inlineStr">
        <is>
          <t>—</t>
        </is>
      </c>
      <c r="U669" s="3" t="inlineStr">
        <is>
          <t>ACTIVE</t>
        </is>
      </c>
      <c r="V669" s="3" t="inlineStr">
        <is>
          <t>2026-08-27</t>
        </is>
      </c>
      <c r="W669" s="3" t="n"/>
      <c r="X669" s="3" t="n"/>
      <c r="Y669" s="3" t="inlineStr">
        <is>
          <t>NOTHING OPEN</t>
        </is>
      </c>
    </row>
    <row r="670" ht="60" customHeight="1">
      <c r="A670" s="3" t="inlineStr">
        <is>
          <t>MK-XS-F-139</t>
        </is>
      </c>
      <c r="B670" s="3" t="inlineStr">
        <is>
          <t>wrapWithSecret</t>
        </is>
      </c>
      <c r="C670" s="3" t="inlineStr">
        <is>
          <t>src/services/dataCrypto.ts</t>
        </is>
      </c>
      <c r="D670" s="3" t="n">
        <v>287</v>
      </c>
      <c r="E670" s="3" t="inlineStr">
        <is>
          <t>3 · DEPENDENT</t>
        </is>
      </c>
      <c r="F670" s="3" t="inlineStr">
        <is>
          <t>NOT DETERMINED — the code carries no note saying what this is for, and it has no row in the old inventory. Needs reading.</t>
        </is>
      </c>
      <c r="G670" s="11" t="inlineStr">
        <is>
          <t>encrypt with key(dek, derive key from secret(secret, uid))</t>
        </is>
      </c>
      <c r="H670" s="3" t="inlineStr">
        <is>
          <t>encrypt with key(dek, derive key from secret(secret, uid)).</t>
        </is>
      </c>
      <c r="I670" s="3" t="inlineStr">
        <is>
          <t>READ FROM THE CODE — rendered from the expressions the function runs</t>
        </is>
      </c>
      <c r="J670" s="3" t="inlineStr">
        <is>
          <t>1. dek: string
2. uid: string
3. secret: string</t>
        </is>
      </c>
      <c r="K670" s="3" t="inlineStr">
        <is>
          <t>string</t>
        </is>
      </c>
      <c r="L670" s="3" t="inlineStr">
        <is>
          <t>—</t>
        </is>
      </c>
      <c r="M670" s="3" t="inlineStr">
        <is>
          <t>None found in this function — anything it assumes comes from the functions it depends on.</t>
        </is>
      </c>
      <c r="N670" s="3" t="inlineStr">
        <is>
          <t>Yes</t>
        </is>
      </c>
      <c r="O670" s="3" t="inlineStr">
        <is>
          <t>1. MK-XS-F-138 deriveKeyFromSecret
2. MK-XS-F-052 encryptWithKey
3. MK-XS-F-175 uid</t>
        </is>
      </c>
      <c r="P670" s="3" t="n">
        <v>83</v>
      </c>
      <c r="Q670" s="3" t="inlineStr">
        <is>
          <t>1. MK-XS-F-138 deriveKeyFromSecret
2. MK-XS-F-052 encryptWithKey
3. MK-XS-F-175 uid
4. MK-ST-F-027 accountId
5. MK-CF-F-111 applyTransaction
6. MK-NW-F-040 assetsFromOnboarding
7. MK-PF-F-013 benchmarkTicker
8. MK-ST-F-028 buildDayFromAccounts
9. MK-PF-F-034 closeOnOrBefore
10. MK-CF-F-186 convertTakeHomeMode
11. MK-ST-F-079 dailyWindowStart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is>
      </c>
      <c r="R670" s="3" t="inlineStr">
        <is>
          <t>1. MK-ST-F-027 accountId → MK-XS-F-175 uid → MK-XS-F-138 deriveKeyFromSecret → MK-XS-F-139 wrapWithSecret
2. MK-CF-F-137 findPos → MK-CF-F-138 addLot → MK-CF-F-111 applyTransaction → MK-XS-F-175 uid → MK-XS-F-138 deriveKeyFromSecret → MK-XS-F-139 wrapWithSecret
3. MK-CF-F-132 map → MK-CF-F-138 addLot → MK-CF-F-111 applyTransaction → MK-XS-F-175 uid → MK-XS-F-138 deriveKeyFromSecret → MK-XS-F-139 wrapWithSecret
4. MK-ST-F-043 newEntityId → MK-CF-F-138 addLot → MK-CF-F-111 applyTransaction → MK-XS-F-175 uid → MK-XS-F-138 deriveKeyFromSecret → MK-XS-F-139 wrapWithSecret
5. MK-CF-F-134 usesSleeve → MK-CF-F-136 bumpCash → MK-CF-F-111 applyTransaction → MK-XS-F-175 uid → MK-XS-F-138 deriveKeyFromSecret → MK-XS-F-139 wrapWithSecret
6. MK-CF-F-137 findPos → MK-CF-F-111 applyTransaction → MK-XS-F-175 uid → MK-XS-F-138 deriveKeyFromSecret → MK-XS-F-139 wrapWithSecret
7. MK-CF-F-132 map → MK-CF-F-111 applyTransaction → MK-XS-F-175 uid → MK-XS-F-138 deriveKeyFromSecret → MK-XS-F-139 wrapWithSecret
8. MK-CF-F-137 findPos → MK-CF-F-139 removeShares → MK-CF-F-111 applyTransaction → MK-XS-F-175 uid → MK-XS-F-138 deriveKeyFromSecret → MK-XS-F-139 wrapWithSecret
9. … and 5 more paths</t>
        </is>
      </c>
      <c r="S670" s="3" t="inlineStr">
        <is>
          <t>—</t>
        </is>
      </c>
      <c r="T670" s="3" t="inlineStr">
        <is>
          <t>—</t>
        </is>
      </c>
      <c r="U670" s="3" t="inlineStr">
        <is>
          <t>ACTIVE</t>
        </is>
      </c>
      <c r="V670" s="3" t="inlineStr">
        <is>
          <t>2026-08-27</t>
        </is>
      </c>
      <c r="W670" s="3" t="n"/>
      <c r="X670" s="3" t="n"/>
      <c r="Y670" s="3" t="inlineStr">
        <is>
          <t>NOTHING OPEN</t>
        </is>
      </c>
    </row>
    <row r="671" ht="60" customHeight="1">
      <c r="A671" s="3" t="inlineStr">
        <is>
          <t>MK-XS-F-140</t>
        </is>
      </c>
      <c r="B671" s="3" t="inlineStr">
        <is>
          <t>fetchInflation</t>
        </is>
      </c>
      <c r="C671" s="3" t="inlineStr">
        <is>
          <t>src/services/economicData.ts</t>
        </is>
      </c>
      <c r="D671" s="3" t="n">
        <v>111</v>
      </c>
      <c r="E671" s="3" t="inlineStr">
        <is>
          <t>4 · BRINGS DATA IN</t>
        </is>
      </c>
      <c r="F671" s="3" t="inlineStr">
        <is>
          <t>NOT DETERMINED — the code carries no note saying what this is for, and it has no row in the old inventory. Needs reading.</t>
        </is>
      </c>
      <c r="G671" s="11" t="inlineStr">
        <is>
          <t>res = await fetch(BLS_API + BLS_CPI_SERIES)
json = await res.json()
series = json.results.series.[0].data
latest = parse float(series[0].value)
year ago = parse float(series[12].value)
rate = ((latest − year ago) ÷ year ago) × 100
the answer = round(rate, 2 dp)</t>
        </is>
      </c>
      <c r="H671" s="3" t="inlineStr">
        <is>
          <t>Res is await fetch(BLS_API plus BLS_CPI_SERIES). Json is await res.json(). Series is json.results.series.[0].data. Latest is parse float(series[0].value). Year ago is parse float(series[12].value). Rate is ((latest minus year ago) divided by year ago) times 100. The answer is rate, to the cent.</t>
        </is>
      </c>
      <c r="I671" s="3" t="inlineStr">
        <is>
          <t>PARTLY READ — some of the code is still showing through; needs a hand pass</t>
        </is>
      </c>
      <c r="J671" s="3" t="inlineStr">
        <is>
          <t>Nothing is handed to it</t>
        </is>
      </c>
      <c r="K671" s="3" t="inlineStr">
        <is>
          <t>Promise&lt;number&gt;</t>
        </is>
      </c>
      <c r="L671" s="3" t="inlineStr">
        <is>
          <t>—</t>
        </is>
      </c>
      <c r="M671" s="3" t="inlineStr">
        <is>
          <t>· Rounds the answer to two decimals (cents).</t>
        </is>
      </c>
      <c r="N671" s="3" t="inlineStr">
        <is>
          <t>No</t>
        </is>
      </c>
      <c r="O671" s="3" t="inlineStr">
        <is>
          <t>—</t>
        </is>
      </c>
      <c r="P671" s="3" t="n">
        <v>0</v>
      </c>
      <c r="Q671" s="3" t="inlineStr">
        <is>
          <t>None — no dependent function stands behind it</t>
        </is>
      </c>
      <c r="R671" s="3" t="inlineStr">
        <is>
          <t>No dependent function — it reads its inputs and answers</t>
        </is>
      </c>
      <c r="S671" s="3" t="inlineStr">
        <is>
          <t>—</t>
        </is>
      </c>
      <c r="T671" s="3" t="inlineStr">
        <is>
          <t>—</t>
        </is>
      </c>
      <c r="U671" s="3" t="inlineStr">
        <is>
          <t>ACTIVE</t>
        </is>
      </c>
      <c r="V671" s="3" t="inlineStr">
        <is>
          <t>2026-08-27</t>
        </is>
      </c>
      <c r="W671" s="3" t="n"/>
      <c r="X671" s="3" t="n"/>
      <c r="Y671" s="3" t="inlineStr">
        <is>
          <t>NOTHING OPEN</t>
        </is>
      </c>
    </row>
    <row r="672" ht="60" customHeight="1">
      <c r="A672" s="3" t="inlineStr">
        <is>
          <t>MK-XS-F-141</t>
        </is>
      </c>
      <c r="B672" s="3" t="inlineStr">
        <is>
          <t>fetchTreasuryYield</t>
        </is>
      </c>
      <c r="C672" s="3" t="inlineStr">
        <is>
          <t>src/services/economicData.ts</t>
        </is>
      </c>
      <c r="D672" s="3" t="n">
        <v>153</v>
      </c>
      <c r="E672" s="3" t="inlineStr">
        <is>
          <t>4 · BRINGS DATA IN</t>
        </is>
      </c>
      <c r="F672" s="3" t="inlineStr">
        <is>
          <t>NOT DETERMINED — the code carries no note saying what this is for, and it has no row in the old inventory. Needs reading.</t>
        </is>
      </c>
      <c r="G672" s="11" t="inlineStr">
        <is>
          <t>res = await fetch(TREASURY_API)
csv = await res.text()
rows = csv.trim().split('\n').slice(1)
value = rows[i].split(',')[1].trim()
rate = parse float(value)
[LOOP — the answer is found inside a loop the extractor cannot render; the steps above are the ones before it. Read by hand.]</t>
        </is>
      </c>
      <c r="H672" s="3" t="inlineStr">
        <is>
          <t>Res is await fetch(TREASURY_API). Csv is await res.text(). Rows is csv.trim().split('\n').slice(1). Value is rows[i].split(',')[1].trim(). Rate is parse float(value). The answer is rate, to the cent. The answer is found inside a loop that cannot be rendered here; read the code by hand.</t>
        </is>
      </c>
      <c r="I672" s="3" t="inlineStr">
        <is>
          <t>PARTLY READ — the body has a loop the extractor cannot render; the steps shown are the ones before it. Needs a hand pass (G23).</t>
        </is>
      </c>
      <c r="J672" s="3" t="inlineStr">
        <is>
          <t>Nothing is handed to it</t>
        </is>
      </c>
      <c r="K672" s="3" t="inlineStr">
        <is>
          <t>Promise&lt;number&gt;</t>
        </is>
      </c>
      <c r="L672" s="3" t="inlineStr">
        <is>
          <t>—</t>
        </is>
      </c>
      <c r="M672" s="3" t="inlineStr">
        <is>
          <t>· Rounds the answer to two decimals (cents).</t>
        </is>
      </c>
      <c r="N672" s="3" t="inlineStr">
        <is>
          <t>No</t>
        </is>
      </c>
      <c r="O672" s="3" t="inlineStr">
        <is>
          <t>—</t>
        </is>
      </c>
      <c r="P672" s="3" t="n">
        <v>0</v>
      </c>
      <c r="Q672" s="3" t="inlineStr">
        <is>
          <t>None — no dependent function stands behind it</t>
        </is>
      </c>
      <c r="R672" s="3" t="inlineStr">
        <is>
          <t>No dependent function — it reads its inputs and answers</t>
        </is>
      </c>
      <c r="S672" s="3" t="inlineStr">
        <is>
          <t>—</t>
        </is>
      </c>
      <c r="T672" s="3" t="inlineStr">
        <is>
          <t>—</t>
        </is>
      </c>
      <c r="U672" s="3" t="inlineStr">
        <is>
          <t>ACTIVE</t>
        </is>
      </c>
      <c r="V672" s="3" t="inlineStr">
        <is>
          <t>2026-09-08</t>
        </is>
      </c>
      <c r="W672" s="3" t="n"/>
      <c r="X672" s="3" t="n"/>
      <c r="Y672" s="3" t="inlineStr">
        <is>
          <t>NOTHING OPEN</t>
        </is>
      </c>
    </row>
    <row r="673" ht="60" customHeight="1">
      <c r="A673" s="3" t="inlineStr">
        <is>
          <t>MK-XS-F-142</t>
        </is>
      </c>
      <c r="B673" s="3" t="inlineStr">
        <is>
          <t>makeInviteCode</t>
        </is>
      </c>
      <c r="C673" s="3" t="inlineStr">
        <is>
          <t>src/services/firebase.ts</t>
        </is>
      </c>
      <c r="D673" s="3" t="n">
        <v>535</v>
      </c>
      <c r="E673" s="3" t="inlineStr">
        <is>
          <t>3 · DEPENDENT</t>
        </is>
      </c>
      <c r="F673" s="3" t="inlineStr">
        <is>
          <t>── Household / spouse invites ───────────────────────────────────── Spouses share ONE data document: all reads/writes go to users/{householdId} where householdId = the inviter's uid.</t>
        </is>
      </c>
      <c r="G673" s="11" t="inlineStr">
        <is>
          <t>alphabet = 'ABCDEFGHJKMNPQRSTUVWXYZ23456789'
the answer = array.from({ length: 6 }, () =&gt; ALPHABET[math.floor(math.random() × ALPHABET.length)]).join('')</t>
        </is>
      </c>
      <c r="H673" s="3" t="inlineStr">
        <is>
          <t>Alphabet is 'ABCDEFGHJKMNPQRSTUVWXYZ23456789'. The answer is array.from({ length: 6 }, () =&gt; ALPHABET[math.floor(math.random() times ALPHABET.length)]).join('').</t>
        </is>
      </c>
      <c r="I673" s="3" t="inlineStr">
        <is>
          <t>PARTLY READ — some of the code is still showing through; needs a hand pass</t>
        </is>
      </c>
      <c r="J673" s="3" t="inlineStr">
        <is>
          <t>Nothing is handed to it</t>
        </is>
      </c>
      <c r="K673" s="3" t="inlineStr">
        <is>
          <t>string</t>
        </is>
      </c>
      <c r="L673" s="3" t="inlineStr">
        <is>
          <t>—</t>
        </is>
      </c>
      <c r="M673" s="3" t="inlineStr">
        <is>
          <t>None found in this function — anything it assumes comes from the functions it depends on.</t>
        </is>
      </c>
      <c r="N673" s="3" t="inlineStr">
        <is>
          <t>Yes</t>
        </is>
      </c>
      <c r="O673" s="3" t="inlineStr">
        <is>
          <t>—</t>
        </is>
      </c>
      <c r="P673" s="3" t="n">
        <v>0</v>
      </c>
      <c r="Q673" s="3" t="inlineStr">
        <is>
          <t>None — no dependent function stands behind it</t>
        </is>
      </c>
      <c r="R673" s="3" t="inlineStr">
        <is>
          <t>No dependent function — it reads its inputs and answers</t>
        </is>
      </c>
      <c r="S673" s="3" t="inlineStr">
        <is>
          <t>—</t>
        </is>
      </c>
      <c r="T673" s="3" t="inlineStr">
        <is>
          <t>—</t>
        </is>
      </c>
      <c r="U673" s="3" t="inlineStr">
        <is>
          <t>ACTIVE</t>
        </is>
      </c>
      <c r="V673" s="3" t="inlineStr">
        <is>
          <t>2026-08-27</t>
        </is>
      </c>
      <c r="W673" s="3" t="n"/>
      <c r="X673" s="3" t="n"/>
      <c r="Y673" s="3" t="inlineStr">
        <is>
          <t>NOTHING OPEN</t>
        </is>
      </c>
    </row>
    <row r="674" ht="60" customHeight="1">
      <c r="A674" s="3" t="inlineStr">
        <is>
          <t>MK-XS-F-143</t>
        </is>
      </c>
      <c r="B674" s="3" t="inlineStr">
        <is>
          <t>yahooSymbol</t>
        </is>
      </c>
      <c r="C674" s="3" t="inlineStr">
        <is>
          <t>src/services/marketData.ts</t>
        </is>
      </c>
      <c r="D674" s="3" t="n">
        <v>41</v>
      </c>
      <c r="E674" s="3" t="inlineStr">
        <is>
          <t>4 · BRINGS DATA IN</t>
        </is>
      </c>
      <c r="F674" s="3" t="inlineStr">
        <is>
          <t>Map a plain ticker to the provider's symbol convention (crypto needs the -USD pair on Yahoo).</t>
        </is>
      </c>
      <c r="G674" s="11" t="inlineStr">
        <is>
          <t>t = ticker.trim().to upper case()
''   when t is missing
'BTC − USD'   when t = 'BTC' (or t = 'BTCUSD' when missing or zero)
'ETH − USD'   when t = 'ETH' (or t = 'ETHUSD' when missing or zero)
the answer = t
sym = yahoo symbol(ticker)
nothing   when sym is missing
res = await fetch(url, { headers: { 'user − Agent': 'mozilla ÷ 5.0', accept: 'application ÷ json' } })
nothing   when res.ok is missing
json = await res.json()
result = the first of json.chart.result?.
… the first steps only — the rest of the body needs reading by hand.</t>
        </is>
      </c>
      <c r="H674" s="3" t="inlineStr">
        <is>
          <t>T is ticker.trim().to upper case(). When t is missing, it answers ''. When t = 'BTC' (or t = 'BTCUSD' — when missing or zero), it answers 'BTC minus USD'. When t = 'ETH' (or t = 'ETHUSD' — when missing or zero), it answers 'ETH minus USD'. The answer is t. Sym is yahoo symbol(ticker). When sym is missing, it answers no answer. Res is await fetch(url, { headers: { 'user minus Agent': 'mozilla divided by 5.0', accept: 'application divided by json' } }). When res.ok is missing, it answers no answer. Json is await res.json(). Result: the first of json.chart.result?.. Only the first steps are shown; the rest of the body needs reading by hand.</t>
        </is>
      </c>
      <c r="I674" s="3" t="inlineStr">
        <is>
          <t>PARTLY READ — some of the code is still showing through; needs a hand pass</t>
        </is>
      </c>
      <c r="J674" s="3" t="inlineStr">
        <is>
          <t>ticker: string</t>
        </is>
      </c>
      <c r="K674" s="3" t="inlineStr">
        <is>
          <t>string</t>
        </is>
      </c>
      <c r="L674" s="3" t="inlineStr">
        <is>
          <t>—</t>
        </is>
      </c>
      <c r="M674" s="3" t="inlineStr">
        <is>
          <t>None found in this function — anything it assumes comes from the functions it depends on.</t>
        </is>
      </c>
      <c r="N674" s="3" t="inlineStr">
        <is>
          <t>No</t>
        </is>
      </c>
      <c r="O674" s="3" t="inlineStr">
        <is>
          <t>—</t>
        </is>
      </c>
      <c r="P674" s="3" t="n">
        <v>0</v>
      </c>
      <c r="Q674" s="3" t="inlineStr">
        <is>
          <t>None — no dependent function stands behind it</t>
        </is>
      </c>
      <c r="R674" s="3" t="inlineStr">
        <is>
          <t>No dependent function — it reads its inputs and answers</t>
        </is>
      </c>
      <c r="S674" s="3" t="inlineStr">
        <is>
          <t>—</t>
        </is>
      </c>
      <c r="T674" s="3" t="inlineStr">
        <is>
          <t>—</t>
        </is>
      </c>
      <c r="U674" s="3" t="inlineStr">
        <is>
          <t>ACTIVE</t>
        </is>
      </c>
      <c r="V674" s="3" t="inlineStr">
        <is>
          <t>2026-08-27</t>
        </is>
      </c>
      <c r="W674" s="3" t="inlineStr">
        <is>
          <t>[from MK-NW-M-029, Formula (mathematical)] Is the formula embedded directly in the code and not as a separate function? Live price was to be sourced from Yahoo or similar engine.</t>
        </is>
      </c>
      <c r="X674" s="6" t="inlineStr">
        <is>
          <t>This is the feed: Yahoo Finance daily closes, free, no key. 'Current price' on the holding screen = the last close of this series, picked on the screen (no named function). Answer in full on MK-NW-M-029.</t>
        </is>
      </c>
      <c r="Y674" s="6" t="inlineStr">
        <is>
          <t>WAITING ON YOU — answer to read</t>
        </is>
      </c>
    </row>
    <row r="675" ht="60" customHeight="1">
      <c r="A675" s="3" t="inlineStr">
        <is>
          <t>MK-XS-F-144</t>
        </is>
      </c>
      <c r="B675" s="3" t="inlineStr">
        <is>
          <t>guessCategory</t>
        </is>
      </c>
      <c r="C675" s="3" t="inlineStr">
        <is>
          <t>src/services/receiptOCR.ts</t>
        </is>
      </c>
      <c r="D675" s="3" t="n">
        <v>287</v>
      </c>
      <c r="E675" s="3" t="inlineStr">
        <is>
          <t>3 · DEPENDENT (feeds an action only)</t>
        </is>
      </c>
      <c r="F675" s="3" t="inlineStr">
        <is>
          <t>NOT DETERMINED — the code carries no note saying what this is for, and it has no row in the old inventory. Needs reading.</t>
        </is>
      </c>
      <c r="G675" s="11" t="inlineStr">
        <is>
          <t>lower = (store + ' ' + text).to lower case()
'Gas'   when ÷ gas|fuel|shell|chevron|bp|exxon|mobil|circle k|speedway|wawa ÷ .test(lower)
'Dining'   when ÷ restaurant|cafe|pizza|burger|sushi|diner|grill|kitchen|bar |tavern|starbucks|mcdonald|subway|chipotle|taco|chick ÷ .test(lower)
'Health'   when ÷ pharmacy|cvs|walgreen|rite aid|health|clinic|doctor|hospital|medical|dental ÷ .test(lower)
'Subscriptions'   when ÷ netflix|hulu|disney|spotify|amazon prime|apple|subscription|recurring ÷ .test(lower)
'Transit'   when ÷ uber|lyft|taxi|transit|metro|bus |train|airline|flight|parking ÷ .test(lower)
'Groceries'   when ÷ walmart|target|costco|kroger|whole foods|trader|safeway|publix|aldi|grocery|market|food ÷ .test(lower)
'Shopping'   when ÷ home depot|lowe|ikea|furniture|hardware ÷ .test(lower)
'Utilities'   when ÷ electric|water|gas bill|utility|internet|phone bill|at&amp;t|verizon|comcast ÷ .test(lower)
the answer = 'Other'</t>
        </is>
      </c>
      <c r="H675" s="3" t="inlineStr">
        <is>
          <t>Lower is (store plus ' ' plus text).to lower case(). When ÷ gas|fuel|shell|chevron|bp|exxon|mobil|circle k|speedway|wawa divided by .test(lower), it answers 'Gas'. When ÷ restaurant|cafe|pizza|burger|sushi|diner|grill|kitchen|bar |tavern|starbucks|mcdonald|subway|chipotle|taco|chick divided by .test(lower), it answers 'Dining'. When ÷ pharmacy|cvs|walgreen|rite aid|health|clinic|doctor|hospital|medical|dental divided by .test(lower), it answers 'Health'. When ÷ netflix|hulu|disney|spotify|amazon prime|apple|subscription|recurring divided by .test(lower), it answers 'Subscriptions'. When ÷ uber|lyft|taxi|transit|metro|bus |train|airline|flight|parking divided by .test(lower), it answers 'Transit'. When ÷ walmart|target|costco|kroger|whole foods|trader|safeway|publix|aldi|grocery|market|food divided by .test(lower), it answers 'Groceries'. When ÷ home depot|lowe|ikea|furniture|hardware divided by .test(lower), it answers 'Shopping'. When ÷ electric|water|gas bill|utility|internet|phone bill|at&amp;t|verizon|comcast divided by .test(lower), it answers 'Utilities'. The answer is 'Other'.</t>
        </is>
      </c>
      <c r="I675" s="3" t="inlineStr">
        <is>
          <t>PARTLY READ — some of the code is still showing through; needs a hand pass</t>
        </is>
      </c>
      <c r="J675" s="3" t="inlineStr">
        <is>
          <t>1. store: string
2. text: string</t>
        </is>
      </c>
      <c r="K675" s="3" t="inlineStr">
        <is>
          <t>string</t>
        </is>
      </c>
      <c r="L675" s="3" t="inlineStr">
        <is>
          <t>—</t>
        </is>
      </c>
      <c r="M675" s="3" t="inlineStr">
        <is>
          <t>None found in this function — anything it assumes comes from the functions it depends on.</t>
        </is>
      </c>
      <c r="N675" s="3" t="inlineStr">
        <is>
          <t>No</t>
        </is>
      </c>
      <c r="O675" s="3" t="inlineStr">
        <is>
          <t>—</t>
        </is>
      </c>
      <c r="P675" s="3" t="n">
        <v>0</v>
      </c>
      <c r="Q675" s="3" t="inlineStr">
        <is>
          <t>None — no dependent function stands behind it</t>
        </is>
      </c>
      <c r="R675" s="3" t="inlineStr">
        <is>
          <t>No dependent function — it reads its inputs and answers</t>
        </is>
      </c>
      <c r="S675" s="3" t="inlineStr">
        <is>
          <t>—</t>
        </is>
      </c>
      <c r="T675" s="3" t="inlineStr">
        <is>
          <t>—</t>
        </is>
      </c>
      <c r="U675" s="3" t="inlineStr">
        <is>
          <t>ACTIVE</t>
        </is>
      </c>
      <c r="V675" s="3" t="inlineStr">
        <is>
          <t>2026-08-27</t>
        </is>
      </c>
      <c r="W675" s="3" t="n"/>
      <c r="X675" s="3" t="n"/>
      <c r="Y675" s="3" t="inlineStr">
        <is>
          <t>NOTHING OPEN</t>
        </is>
      </c>
    </row>
    <row r="676" ht="60" customHeight="1">
      <c r="A676" s="3" t="inlineStr">
        <is>
          <t>MK-XS-F-145</t>
        </is>
      </c>
      <c r="B676" s="3" t="inlineStr">
        <is>
          <t>flatSymbol</t>
        </is>
      </c>
      <c r="C676" s="3" t="inlineStr">
        <is>
          <t>src/services/sync/snaptrade.ts</t>
        </is>
      </c>
      <c r="D676" s="3" t="n">
        <v>170</v>
      </c>
      <c r="E676" s="3" t="inlineStr">
        <is>
          <t>3 · DEPENDENT (feeds an action only)</t>
        </is>
      </c>
      <c r="F676" s="3" t="inlineStr">
        <is>
          <t>── positions → our holdings ───────────────────────────────────────────────────────────────────</t>
        </is>
      </c>
      <c r="G676" s="11" t="inlineStr">
        <is>
          <t>s = symbol
nothing   when s is missing
the answer:
symbol   if symbol and typeof symbol = 'object'
s   otherwise</t>
        </is>
      </c>
      <c r="H676" s="3" t="inlineStr">
        <is>
          <t>S is symbol. When s is missing, it answers no answer. The answer is symbol — when symbol and typeof symbol = 'object'; s — otherwise.</t>
        </is>
      </c>
      <c r="I676" s="3" t="inlineStr">
        <is>
          <t>PARTLY READ — some of the code is still showing through; needs a hand pass</t>
        </is>
      </c>
      <c r="J676" s="3" t="inlineStr">
        <is>
          <t>p: StPosition</t>
        </is>
      </c>
      <c r="K676" s="3" t="inlineStr">
        <is>
          <t>StSymbol | null</t>
        </is>
      </c>
      <c r="L676" s="3" t="inlineStr">
        <is>
          <t>—</t>
        </is>
      </c>
      <c r="M676" s="3" t="inlineStr">
        <is>
          <t>None found in this function — anything it assumes comes from the functions it depends on.</t>
        </is>
      </c>
      <c r="N676" s="3" t="inlineStr">
        <is>
          <t>No</t>
        </is>
      </c>
      <c r="O676" s="3" t="inlineStr">
        <is>
          <t>—</t>
        </is>
      </c>
      <c r="P676" s="3" t="n">
        <v>0</v>
      </c>
      <c r="Q676" s="3" t="inlineStr">
        <is>
          <t>None — no dependent function stands behind it</t>
        </is>
      </c>
      <c r="R676" s="3" t="inlineStr">
        <is>
          <t>No dependent function — it reads its inputs and answers</t>
        </is>
      </c>
      <c r="S676" s="3" t="inlineStr">
        <is>
          <t>—</t>
        </is>
      </c>
      <c r="T676" s="3" t="inlineStr">
        <is>
          <t>—</t>
        </is>
      </c>
      <c r="U676" s="3" t="inlineStr">
        <is>
          <t>ACTIVE</t>
        </is>
      </c>
      <c r="V676" s="3" t="inlineStr">
        <is>
          <t>2026-08-27</t>
        </is>
      </c>
      <c r="W676" s="3" t="n"/>
      <c r="X676" s="3" t="n"/>
      <c r="Y676" s="3" t="inlineStr">
        <is>
          <t>NOTHING OPEN</t>
        </is>
      </c>
    </row>
    <row r="677" ht="60" customHeight="1">
      <c r="A677" s="3" t="inlineStr">
        <is>
          <t>MK-XS-F-146</t>
        </is>
      </c>
      <c r="B677" s="3" t="inlineStr">
        <is>
          <t>prettyExpiry</t>
        </is>
      </c>
      <c r="C677" s="3" t="inlineStr">
        <is>
          <t>src/services/sync/snaptrade.ts</t>
        </is>
      </c>
      <c r="D677" s="3" t="n">
        <v>272</v>
      </c>
      <c r="E677" s="3" t="inlineStr">
        <is>
          <t>3 · DEPENDENT (feeds an action only)</t>
        </is>
      </c>
      <c r="F677" s="3" t="inlineStr">
        <is>
          <t>NOT DETERMINED — the code carries no note saying what this is for, and it has no row in the old inventory. Needs reading.</t>
        </is>
      </c>
      <c r="G677" s="11" t="inlineStr">
        <is>
          <t>`${MONTHS[m − 1]} ${d} ${y}`   if y and m and d
'unknown expiry'   otherwise</t>
        </is>
      </c>
      <c r="H677" s="3" t="inlineStr">
        <is>
          <t>`${MONTHS[m minus 1]} ${d} ${y}` — when y and m and d; 'unknown expiry' — otherwise.</t>
        </is>
      </c>
      <c r="I677" s="3" t="inlineStr">
        <is>
          <t>PARTLY READ — some of the code is still showing through; needs a hand pass</t>
        </is>
      </c>
      <c r="J677" s="3" t="inlineStr">
        <is>
          <t>iso: string | null | undefined</t>
        </is>
      </c>
      <c r="K677" s="3" t="inlineStr">
        <is>
          <t>NOT DECLARED — the code does not say what it gives back</t>
        </is>
      </c>
      <c r="L677" s="3" t="inlineStr">
        <is>
          <t>—</t>
        </is>
      </c>
      <c r="M677" s="3" t="inlineStr">
        <is>
          <t>None found in this function — anything it assumes comes from the functions it depends on.</t>
        </is>
      </c>
      <c r="N677" s="3" t="inlineStr">
        <is>
          <t>No</t>
        </is>
      </c>
      <c r="O677" s="3" t="inlineStr">
        <is>
          <t>MK-CF-F-132 map</t>
        </is>
      </c>
      <c r="P677" s="3" t="n">
        <v>1</v>
      </c>
      <c r="Q677" s="3" t="inlineStr">
        <is>
          <t>MK-CF-F-132 map</t>
        </is>
      </c>
      <c r="R677" s="3" t="inlineStr">
        <is>
          <t>MK-CF-F-132 map → MK-XS-F-146 prettyExpiry</t>
        </is>
      </c>
      <c r="S677" s="3" t="inlineStr">
        <is>
          <t>—</t>
        </is>
      </c>
      <c r="T677" s="3" t="inlineStr">
        <is>
          <t>—</t>
        </is>
      </c>
      <c r="U677" s="3" t="inlineStr">
        <is>
          <t>ACTIVE</t>
        </is>
      </c>
      <c r="V677" s="3" t="inlineStr">
        <is>
          <t>2026-08-27</t>
        </is>
      </c>
      <c r="W677" s="3" t="n"/>
      <c r="X677" s="3" t="n"/>
      <c r="Y677" s="3" t="inlineStr">
        <is>
          <t>NOTHING OPEN</t>
        </is>
      </c>
    </row>
    <row r="678" ht="60" customHeight="1">
      <c r="A678" s="3" t="inlineStr">
        <is>
          <t>MK-XS-F-147</t>
        </is>
      </c>
      <c r="B678" s="3" t="inlineStr">
        <is>
          <t>call</t>
        </is>
      </c>
      <c r="C678" s="3" t="inlineStr">
        <is>
          <t>src/services/sync/snaptradeClient.ts</t>
        </is>
      </c>
      <c r="D678" s="3" t="n">
        <v>93</v>
      </c>
      <c r="E678" s="3" t="inlineStr">
        <is>
          <t>4 · BRINGS DATA IN</t>
        </is>
      </c>
      <c r="F678" s="3" t="inlineStr">
        <is>
          <t>NOT DETERMINED — the code carries no note saying what this is for, and it has no row in the old inventory. Needs reading.</t>
        </is>
      </c>
      <c r="G678" s="11" t="inlineStr">
        <is>
          <t>url = relay url()
token = await current id token()
data = await res.json().catch(() =&gt; nothing)
the answer = data as T</t>
        </is>
      </c>
      <c r="H678" s="3" t="inlineStr">
        <is>
          <t>Url is relay url(). Token is await current id token(). Data is await res.json().catch(() =&gt; no answer). The answer is data as T.</t>
        </is>
      </c>
      <c r="I678" s="3" t="inlineStr">
        <is>
          <t>PARTLY READ — some of the code is still showing through; needs a hand pass</t>
        </is>
      </c>
      <c r="J678" s="3" t="inlineStr">
        <is>
          <t>1. action: string
2. params: Record&lt;string, unknown&gt; = {}</t>
        </is>
      </c>
      <c r="K678" s="3" t="inlineStr">
        <is>
          <t>Promise&lt;T&gt;</t>
        </is>
      </c>
      <c r="L678" s="3" t="inlineStr">
        <is>
          <t>—</t>
        </is>
      </c>
      <c r="M678" s="3" t="inlineStr">
        <is>
          <t>None found in this function — anything it assumes comes from the functions it depends on.</t>
        </is>
      </c>
      <c r="N678" s="3" t="inlineStr">
        <is>
          <t>No</t>
        </is>
      </c>
      <c r="O678" s="3" t="inlineStr">
        <is>
          <t>1. MK-ST-F-027 accountId
2. MK-XS-F-064 currentIdToken
3. MK-XS-F-112 relayUrl</t>
        </is>
      </c>
      <c r="P678" s="3" t="n">
        <v>3</v>
      </c>
      <c r="Q678" s="3" t="inlineStr">
        <is>
          <t>1. MK-ST-F-027 accountId
2. MK-XS-F-064 currentIdToken
3. MK-XS-F-112 relayUrl</t>
        </is>
      </c>
      <c r="R678" s="3" t="inlineStr">
        <is>
          <t>1. MK-ST-F-027 accountId → MK-XS-F-147 call
2. MK-XS-F-064 currentIdToken → MK-XS-F-147 call
3. MK-XS-F-112 relayUrl → MK-XS-F-147 call</t>
        </is>
      </c>
      <c r="S678" s="3" t="inlineStr">
        <is>
          <t>—</t>
        </is>
      </c>
      <c r="T678" s="3" t="inlineStr">
        <is>
          <t>—</t>
        </is>
      </c>
      <c r="U678" s="3" t="inlineStr">
        <is>
          <t>ACTIVE</t>
        </is>
      </c>
      <c r="V678" s="3" t="inlineStr">
        <is>
          <t>2026-08-27</t>
        </is>
      </c>
      <c r="W678" s="3" t="n"/>
      <c r="X678" s="3" t="n"/>
      <c r="Y678" s="3" t="inlineStr">
        <is>
          <t>NOTHING OPEN</t>
        </is>
      </c>
    </row>
    <row r="679" ht="60" customHeight="1">
      <c r="A679" s="3" t="inlineStr">
        <is>
          <t>MK-XS-F-148</t>
        </is>
      </c>
      <c r="B679" s="3" t="inlineStr">
        <is>
          <t>unwrapActivities</t>
        </is>
      </c>
      <c r="C679" s="3" t="inlineStr">
        <is>
          <t>src/services/sync/snaptradeSync.ts</t>
        </is>
      </c>
      <c r="D679" s="3" t="n">
        <v>73</v>
      </c>
      <c r="E679" s="3" t="inlineStr">
        <is>
          <t>3 · DEPENDENT</t>
        </is>
      </c>
      <c r="F679" s="3" t="inlineStr">
        <is>
          <t>SnapTrade wraps this endpoint in a pagination envelope {data, pagination:{total}} — LIVE-VERIFIED 2026-07-19 against a real E*TRADE connection (their docs' examples show a bare array; production does not).</t>
        </is>
      </c>
      <c r="G679" s="11" t="inlineStr">
        <is>
          <t>batch = raw
total = nothing   when array.is array(raw)
data = (raw as { data?: unknown } | nothing | undefined).data
total = (raw as { pagination?: { total?: number } } | nothing | undefined).pagination.total
the answer:
batch = data as st activity[]   if array.is array(data)
[]   otherwise
total = total   if total is a number
nothing   otherwise</t>
        </is>
      </c>
      <c r="H679" s="3" t="inlineStr">
        <is>
          <t>When array.is array(raw), it answers batch = raw; total is missing. Data is (raw as { data?: unknown } | no answer | undefined).data. Total is (raw as { pagination?: { total?: number } } | no answer | undefined).pagination.total. The answer is batch = data as st activity[] — when array.is array(data); [] — otherwise; total = total — when total is a number; no answer — otherwise.</t>
        </is>
      </c>
      <c r="I679" s="3" t="inlineStr">
        <is>
          <t>PARTLY READ — some of the code is still showing through; needs a hand pass</t>
        </is>
      </c>
      <c r="J679" s="3" t="inlineStr">
        <is>
          <t>raw: unknown</t>
        </is>
      </c>
      <c r="K679" s="3" t="inlineStr">
        <is>
          <t>NOT DECLARED — the code does not say what it gives back</t>
        </is>
      </c>
      <c r="L679" s="3" t="inlineStr">
        <is>
          <t>—</t>
        </is>
      </c>
      <c r="M679" s="3" t="inlineStr">
        <is>
          <t>None found in this function — anything it assumes comes from the functions it depends on.</t>
        </is>
      </c>
      <c r="N679" s="3" t="inlineStr">
        <is>
          <t>Yes</t>
        </is>
      </c>
      <c r="O679" s="3" t="inlineStr">
        <is>
          <t>—</t>
        </is>
      </c>
      <c r="P679" s="3" t="n">
        <v>0</v>
      </c>
      <c r="Q679" s="3" t="inlineStr">
        <is>
          <t>None — no dependent function stands behind it</t>
        </is>
      </c>
      <c r="R679" s="3" t="inlineStr">
        <is>
          <t>No dependent function — it reads its inputs and answers</t>
        </is>
      </c>
      <c r="S679" s="3" t="inlineStr">
        <is>
          <t>—</t>
        </is>
      </c>
      <c r="T679" s="3" t="inlineStr">
        <is>
          <t>—</t>
        </is>
      </c>
      <c r="U679" s="3" t="inlineStr">
        <is>
          <t>ACTIVE</t>
        </is>
      </c>
      <c r="V679" s="3" t="inlineStr">
        <is>
          <t>2026-08-27</t>
        </is>
      </c>
      <c r="W679" s="3" t="n"/>
      <c r="X679" s="3" t="n"/>
      <c r="Y679" s="3" t="inlineStr">
        <is>
          <t>NOTHING OPEN</t>
        </is>
      </c>
    </row>
    <row r="680" ht="60" customHeight="1">
      <c r="A680" s="3" t="inlineStr">
        <is>
          <t>MK-XS-F-149</t>
        </is>
      </c>
      <c r="B680" s="3" t="inlineStr">
        <is>
          <t>allActivities</t>
        </is>
      </c>
      <c r="C680" s="3" t="inlineStr">
        <is>
          <t>src/services/sync/snaptradeSync.ts</t>
        </is>
      </c>
      <c r="D680" s="3" t="n">
        <v>102</v>
      </c>
      <c r="E680" s="3" t="inlineStr">
        <is>
          <t>3 · DEPENDENT</t>
        </is>
      </c>
      <c r="F680" s="3" t="inlineStr">
        <is>
          <t>NOT DETERMINED — the code carries no note saying what this is for, and it has no row in the old inventory. Needs reading.</t>
        </is>
      </c>
      <c r="G680" s="11" t="inlineStr">
        <is>
          <t>out = []
the answer = out</t>
        </is>
      </c>
      <c r="H680" s="3" t="inlineStr">
        <is>
          <t>Out is []. The answer is out.</t>
        </is>
      </c>
      <c r="I680" s="3" t="inlineStr">
        <is>
          <t>READ FROM THE CODE — rendered from the expressions the function runs</t>
        </is>
      </c>
      <c r="J680" s="3" t="inlineStr">
        <is>
          <t>1. accountId: string
2. startDate?: string</t>
        </is>
      </c>
      <c r="K680" s="3" t="inlineStr">
        <is>
          <t>Promise&lt;StActivity[]&gt;</t>
        </is>
      </c>
      <c r="L680" s="3" t="inlineStr">
        <is>
          <t>—</t>
        </is>
      </c>
      <c r="M680" s="3" t="inlineStr">
        <is>
          <t>· Uses a built-in page of 0.</t>
        </is>
      </c>
      <c r="N680" s="3" t="inlineStr">
        <is>
          <t>Yes</t>
        </is>
      </c>
      <c r="O680" s="3" t="inlineStr">
        <is>
          <t>1. MK-ST-F-027 accountId
2. MK-XS-F-148 unwrapActivities</t>
        </is>
      </c>
      <c r="P680" s="3" t="n">
        <v>2</v>
      </c>
      <c r="Q680" s="3" t="inlineStr">
        <is>
          <t>1. MK-ST-F-027 accountId
2. MK-XS-F-148 unwrapActivities</t>
        </is>
      </c>
      <c r="R680" s="3" t="inlineStr">
        <is>
          <t>1. MK-ST-F-027 accountId → MK-XS-F-149 allActivities
2. MK-XS-F-148 unwrapActivities → MK-XS-F-149 allActivities</t>
        </is>
      </c>
      <c r="S680" s="3" t="inlineStr">
        <is>
          <t>—</t>
        </is>
      </c>
      <c r="T680" s="3" t="inlineStr">
        <is>
          <t>—</t>
        </is>
      </c>
      <c r="U680" s="3" t="inlineStr">
        <is>
          <t>ACTIVE</t>
        </is>
      </c>
      <c r="V680" s="3" t="inlineStr">
        <is>
          <t>2026-08-27</t>
        </is>
      </c>
      <c r="W680" s="3" t="n"/>
      <c r="X680" s="3" t="n"/>
      <c r="Y680" s="3" t="inlineStr">
        <is>
          <t>NOTHING OPEN</t>
        </is>
      </c>
    </row>
    <row r="681" ht="60" customHeight="1">
      <c r="A681" s="3" t="inlineStr">
        <is>
          <t>MK-XS-F-170</t>
        </is>
      </c>
      <c r="B681" s="3" t="inlineStr">
        <is>
          <t>daysSince</t>
        </is>
      </c>
      <c r="C681" s="3" t="inlineStr">
        <is>
          <t>src/domain/_shared/freshness.ts</t>
        </is>
      </c>
      <c r="D681" s="3" t="n">
        <v>50</v>
      </c>
      <c r="E681" s="3" t="inlineStr">
        <is>
          <t>3 · DEPENDENT</t>
        </is>
      </c>
      <c r="F681" s="3" t="inlineStr">
        <is>
          <t>Whole days between a recorded moment and now, or null when the moment cannot be read.</t>
        </is>
      </c>
      <c r="G681" s="11" t="inlineStr">
        <is>
          <t>nothing   when when = nothing (or when = '' when missing or zero)
ms = now − (typeof when = 'number' ? when : date.parse(string(when)))
nothing   when !number.is finite(ms) (or ms &lt; 0 when missing or zero)
the answer = round down(ms ÷ 86400000)</t>
        </is>
      </c>
      <c r="H681" s="3" t="inlineStr">
        <is>
          <t>When when is missing (or — when = '' — when missing or zero), it answers no answer. Ms is now minus (typeof — when = 'number' ? — when : date.parse(string(when))). When !number.is finite(ms) (or ms &lt; 0 — when missing or zero), it answers no answer. The answer is ms divided by 86400000, rounded down.</t>
        </is>
      </c>
      <c r="I681" s="3" t="inlineStr">
        <is>
          <t>PARTLY READ — some of the code is still showing through; needs a hand pass</t>
        </is>
      </c>
      <c r="J681" s="3" t="inlineStr">
        <is>
          <t>1. when: string | number | null | undefined
2. now: number</t>
        </is>
      </c>
      <c r="K681" s="3" t="inlineStr">
        <is>
          <t>number | null</t>
        </is>
      </c>
      <c r="L681" s="3" t="inlineStr">
        <is>
          <t>—</t>
        </is>
      </c>
      <c r="M681" s="3" t="inlineStr">
        <is>
          <t>None found in this function — anything it assumes comes from the functions it depends on.</t>
        </is>
      </c>
      <c r="N681" s="3" t="inlineStr">
        <is>
          <t>Yes</t>
        </is>
      </c>
      <c r="O681" s="3" t="inlineStr">
        <is>
          <t>—</t>
        </is>
      </c>
      <c r="P681" s="3" t="n">
        <v>0</v>
      </c>
      <c r="Q681" s="3" t="inlineStr">
        <is>
          <t>None — no dependent function stands behind it</t>
        </is>
      </c>
      <c r="R681" s="3" t="inlineStr">
        <is>
          <t>No dependent function — it reads its inputs and answers</t>
        </is>
      </c>
      <c r="S681" s="3" t="inlineStr">
        <is>
          <t>—</t>
        </is>
      </c>
      <c r="T681" s="3" t="inlineStr">
        <is>
          <t>—</t>
        </is>
      </c>
      <c r="U681" s="3" t="inlineStr">
        <is>
          <t>ACTIVE</t>
        </is>
      </c>
      <c r="V681" s="3" t="inlineStr">
        <is>
          <t>2026-10-01</t>
        </is>
      </c>
      <c r="W681" s="3" t="n"/>
      <c r="X681" s="3" t="n"/>
      <c r="Y681" s="3" t="inlineStr">
        <is>
          <t>NOTHING OPEN</t>
        </is>
      </c>
    </row>
    <row r="682" ht="60" customHeight="1">
      <c r="A682" s="3" t="inlineStr">
        <is>
          <t>MK-XS-F-171</t>
        </is>
      </c>
      <c r="B682" s="3" t="inlineStr">
        <is>
          <t>numOrNaN</t>
        </is>
      </c>
      <c r="C682" s="3" t="inlineStr">
        <is>
          <t>src/domain/import/holdingsImport.ts</t>
        </is>
      </c>
      <c r="D682" s="3" t="n">
        <v>233</v>
      </c>
      <c r="E682" s="3" t="inlineStr">
        <is>
          <t>3 · DEPENDENT</t>
        </is>
      </c>
      <c r="F682" s="3" t="inlineStr">
        <is>
          <t>NOT DETERMINED — the code carries no note saying what this is for, and it has no row in the old inventory. Needs reading.</t>
        </is>
      </c>
      <c r="G682" s="11" t="inlineStr">
        <is>
          <t>n = parse float(string(v ?? '').replace( ÷ [$,%\s] ÷ g, '').replace( ÷ [()] ÷ g, ''))
the answer:
n   if number.is finite(n)
na n   otherwise</t>
        </is>
      </c>
      <c r="H682" s="3" t="inlineStr">
        <is>
          <t>N is parse float(string(v ?? '').replace( divided by [$,%\s] divided by g, '').replace( divided by [()] divided by g, '')). The answer is n — when number.is finite(n); na n — otherwise.</t>
        </is>
      </c>
      <c r="I682" s="3" t="inlineStr">
        <is>
          <t>PARTLY READ — some of the code is still showing through; needs a hand pass</t>
        </is>
      </c>
      <c r="J682" s="3" t="inlineStr">
        <is>
          <t>v: string</t>
        </is>
      </c>
      <c r="K682" s="3" t="inlineStr">
        <is>
          <t>number</t>
        </is>
      </c>
      <c r="L682" s="3" t="inlineStr">
        <is>
          <t>—</t>
        </is>
      </c>
      <c r="M682" s="3" t="inlineStr">
        <is>
          <t>None found in this function — anything it assumes comes from the functions it depends on.</t>
        </is>
      </c>
      <c r="N682" s="3" t="inlineStr">
        <is>
          <t>Yes</t>
        </is>
      </c>
      <c r="O682" s="3" t="inlineStr">
        <is>
          <t>MK-XS-F-122 n</t>
        </is>
      </c>
      <c r="P682" s="3" t="n">
        <v>1</v>
      </c>
      <c r="Q682" s="3" t="inlineStr">
        <is>
          <t>MK-XS-F-122 n</t>
        </is>
      </c>
      <c r="R682" s="3" t="inlineStr">
        <is>
          <t>MK-XS-F-122 n → MK-XS-F-171 numOrNaN</t>
        </is>
      </c>
      <c r="S682" s="3" t="inlineStr">
        <is>
          <t>—</t>
        </is>
      </c>
      <c r="T682" s="3" t="inlineStr">
        <is>
          <t>—</t>
        </is>
      </c>
      <c r="U682" s="3" t="inlineStr">
        <is>
          <t>ACTIVE</t>
        </is>
      </c>
      <c r="V682" s="3" t="inlineStr">
        <is>
          <t>2026-08-27</t>
        </is>
      </c>
      <c r="W682" s="3" t="n"/>
      <c r="X682" s="3" t="n"/>
      <c r="Y682" s="3" t="inlineStr">
        <is>
          <t>NOTHING OPEN</t>
        </is>
      </c>
    </row>
    <row r="683" ht="60" customHeight="1">
      <c r="A683" s="3" t="inlineStr">
        <is>
          <t>MK-XS-F-172</t>
        </is>
      </c>
      <c r="B683" s="3" t="inlineStr">
        <is>
          <t>assetClassForSymbol</t>
        </is>
      </c>
      <c r="C683" s="3" t="inlineStr">
        <is>
          <t>src/domain/import/holdingsImport.ts</t>
        </is>
      </c>
      <c r="D683" s="3" t="n">
        <v>352</v>
      </c>
      <c r="E683" s="3" t="inlineStr">
        <is>
          <t>3 · DEPENDENT</t>
        </is>
      </c>
      <c r="F683" s="3" t="inlineStr">
        <is>
          <t>B7 (founder brief 2026-08-20): classification lives in the ONE function — this road only adapts.</t>
        </is>
      </c>
      <c r="G683" s="11" t="inlineStr">
        <is>
          <t>classify holding class({ ticker: symbol, name, has security identity: true }).cls</t>
        </is>
      </c>
      <c r="H683" s="3" t="inlineStr">
        <is>
          <t>classify holding class({ ticker: symbol, name, has security identity: true }).cls.</t>
        </is>
      </c>
      <c r="I683" s="3" t="inlineStr">
        <is>
          <t>PARTLY READ — some of the code is still showing through; needs a hand pass</t>
        </is>
      </c>
      <c r="J683" s="3" t="inlineStr">
        <is>
          <t>1. symbol: string
2. name = ''</t>
        </is>
      </c>
      <c r="K683" s="3" t="inlineStr">
        <is>
          <t>AssetClass</t>
        </is>
      </c>
      <c r="L683" s="3" t="inlineStr">
        <is>
          <t>—</t>
        </is>
      </c>
      <c r="M683" s="3" t="inlineStr">
        <is>
          <t>None found in this function — anything it assumes comes from the functions it depends on.</t>
        </is>
      </c>
      <c r="N683" s="3" t="inlineStr">
        <is>
          <t>Yes</t>
        </is>
      </c>
      <c r="O683" s="3" t="inlineStr">
        <is>
          <t>MK-ST-F-011 classifyHoldingClass</t>
        </is>
      </c>
      <c r="P683" s="3" t="n">
        <v>8</v>
      </c>
      <c r="Q683" s="3" t="inlineStr">
        <is>
          <t>1. MK-ST-F-011 classifyHoldingClass
2. MK-ST-F-010 nameEvidence
3. MK-XS-F-147 call
4. MK-ST-F-056 has
5. MK-CF-F-132 map
6. MK-ST-F-027 accountId
7. MK-XS-F-064 currentIdToken
8. MK-XS-F-112 relayUrl</t>
        </is>
      </c>
      <c r="R683" s="3" t="inlineStr">
        <is>
          <t>1. MK-ST-F-027 accountId → MK-XS-F-147 call → MK-ST-F-010 nameEvidence → MK-ST-F-011 classifyHoldingClass → MK-XS-F-172 assetClassForSymbol
2. MK-XS-F-064 currentIdToken → MK-XS-F-147 call → MK-ST-F-010 nameEvidence → MK-ST-F-011 classifyHoldingClass → MK-XS-F-172 assetClassForSymbol
3. MK-XS-F-112 relayUrl → MK-XS-F-147 call → MK-ST-F-010 nameEvidence → MK-ST-F-011 classifyHoldingClass → MK-XS-F-172 assetClassForSymbol
4. MK-ST-F-056 has → MK-ST-F-010 nameEvidence → MK-ST-F-011 classifyHoldingClass → MK-XS-F-172 assetClassForSymbol
5. MK-CF-F-132 map → MK-ST-F-010 nameEvidence → MK-ST-F-011 classifyHoldingClass → MK-XS-F-172 assetClassForSymbol</t>
        </is>
      </c>
      <c r="S683" s="3" t="inlineStr">
        <is>
          <t>—</t>
        </is>
      </c>
      <c r="T683" s="3" t="inlineStr">
        <is>
          <t>—</t>
        </is>
      </c>
      <c r="U683" s="3" t="inlineStr">
        <is>
          <t>ACTIVE</t>
        </is>
      </c>
      <c r="V683" s="3" t="inlineStr">
        <is>
          <t>2026-08-27</t>
        </is>
      </c>
      <c r="W683" s="3" t="n"/>
      <c r="X683" s="3" t="n"/>
      <c r="Y683" s="3" t="inlineStr">
        <is>
          <t>NOTHING OPEN</t>
        </is>
      </c>
    </row>
    <row r="684" ht="60" customHeight="1">
      <c r="A684" s="3" t="inlineStr">
        <is>
          <t>MK-XS-F-173</t>
        </is>
      </c>
      <c r="B684" s="3" t="inlineStr">
        <is>
          <t>getOrCreateKey</t>
        </is>
      </c>
      <c r="C684" s="3" t="inlineStr">
        <is>
          <t>src/store/secureStorage.ts</t>
        </is>
      </c>
      <c r="D684" s="3" t="n">
        <v>47</v>
      </c>
      <c r="E684" s="3" t="inlineStr">
        <is>
          <t>4 · BRINGS DATA IN</t>
        </is>
      </c>
      <c r="F684" s="3" t="inlineStr">
        <is>
          <t>NOT DETERMINED — the code carries no note saying what this is for, and it has no row in the old inventory. Needs reading.</t>
        </is>
      </c>
      <c r="G684" s="11" t="inlineStr">
        <is>
          <t>cached key   when cached key
key = await secure get(KEY_NAME)
the answer = key
raw = await async storage.get item(name)
nothing   when raw = nothing
raw   when !raw.starts with(PREFIX)
key = await get or create key()
plain = crypto js.AES.decrypt(raw.slice(PREFIX.length), key).to string(crypto js.enc.utf8)
key = await get or create key()
cipher = crypto js.AES.encrypt(value, key).to string()</t>
        </is>
      </c>
      <c r="H684" s="3" t="inlineStr">
        <is>
          <t>When cached key, it answers cached key. Key is await secure get(KEY_NAME). The answer is key. Raw is await async storage.get item(name). When raw is missing, it answers no answer. When !raw.starts with(PREFIX), it answers raw. Key is await get or create key(). Plain is crypto js.AES.decrypt(raw.slice(PREFIX.length), key).to string(crypto js.enc.utf8). Key is await get or create key(). Cipher is crypto js.AES.encrypt(value, key).to string().</t>
        </is>
      </c>
      <c r="I684" s="3" t="inlineStr">
        <is>
          <t>PARTLY READ — some of the code is still showing through; needs a hand pass</t>
        </is>
      </c>
      <c r="J684" s="3" t="inlineStr">
        <is>
          <t>Nothing is handed to it</t>
        </is>
      </c>
      <c r="K684" s="3" t="inlineStr">
        <is>
          <t>Promise&lt;string&gt;</t>
        </is>
      </c>
      <c r="L684" s="3" t="inlineStr">
        <is>
          <t>—</t>
        </is>
      </c>
      <c r="M684" s="3" t="inlineStr">
        <is>
          <t>None found in this function — anything it assumes comes from the functions it depends on.</t>
        </is>
      </c>
      <c r="N684" s="3" t="inlineStr">
        <is>
          <t>No</t>
        </is>
      </c>
      <c r="O684" s="3" t="inlineStr">
        <is>
          <t>1. MK-XS-F-135 secureGet
2. MK-XS-F-136 secureSet</t>
        </is>
      </c>
      <c r="P684" s="3" t="n">
        <v>2</v>
      </c>
      <c r="Q684" s="3" t="inlineStr">
        <is>
          <t>1. MK-XS-F-135 secureGet
2. MK-XS-F-136 secureSet</t>
        </is>
      </c>
      <c r="R684" s="3" t="inlineStr">
        <is>
          <t>1. MK-XS-F-135 secureGet → MK-XS-F-173 getOrCreateKey
2. MK-XS-F-136 secureSet → MK-XS-F-173 getOrCreateKey</t>
        </is>
      </c>
      <c r="S684" s="3" t="inlineStr">
        <is>
          <t>—</t>
        </is>
      </c>
      <c r="T684" s="3" t="inlineStr">
        <is>
          <t>—</t>
        </is>
      </c>
      <c r="U684" s="3" t="inlineStr">
        <is>
          <t>ACTIVE</t>
        </is>
      </c>
      <c r="V684" s="3" t="inlineStr">
        <is>
          <t>2026-09-12</t>
        </is>
      </c>
      <c r="W684" s="3" t="n"/>
      <c r="X684" s="3" t="n"/>
      <c r="Y684" s="3" t="inlineStr">
        <is>
          <t>NOTHING OPEN</t>
        </is>
      </c>
    </row>
    <row r="685" ht="60" customHeight="1">
      <c r="A685" s="3" t="inlineStr">
        <is>
          <t>MK-XS-F-174</t>
        </is>
      </c>
      <c r="B685" s="3" t="inlineStr">
        <is>
          <t>recomputeBalances</t>
        </is>
      </c>
      <c r="C685" s="3" t="inlineStr">
        <is>
          <t>src/store/useStore.ts</t>
        </is>
      </c>
      <c r="D685" s="3" t="n">
        <v>60</v>
      </c>
      <c r="E685" s="3" t="inlineStr">
        <is>
          <t>3 · DEPENDENT</t>
        </is>
      </c>
      <c r="F685" s="3" t="inlineStr">
        <is>
          <t>Recompute the cached `balance` of every ledger-managed account = cash sleeve + Σ(position × live price).</t>
        </is>
      </c>
      <c r="G685" s="11" t="inlineStr">
        <is>
          <t>a   when source = 'connected'
ledger managed = derive balance = true (or cash balance ≠ nothing when missing or zero)
a   when ledger managed is missing
mv = (positions ?? []).reduce((t, p) =&gt; { const px = latest close(cache[ticker.trim().to upper case()]); return t + (px = nothing ? cost basis(p) : market value(p, px)); }, 0)
the answer:
...a = ...a
balance = round((cash balance or 0) + mv, 2 dp)</t>
        </is>
      </c>
      <c r="H685" s="3" t="inlineStr">
        <is>
          <t>When source = 'connected', it answers a. Ledger managed is derive balance = true (or cash balance is not no answer — when missing or zero). When ledger managed is missing, it answers a. Mv is (positions ?? []).reduce((t, p) =&gt; { const px = latest close(cache[ticker.trim().to upper case()]); return t plus (px is missing ? cost basis(p) : market value(p, px)); }, 0). The answer is ...a = ...a; balance = (cash balance or 0) plus mv, to the cent.</t>
        </is>
      </c>
      <c r="I685" s="3" t="inlineStr">
        <is>
          <t>PARTLY READ — some of the code is still showing through; needs a hand pass</t>
        </is>
      </c>
      <c r="J685" s="3" t="inlineStr">
        <is>
          <t>1. accs: AssetAccount[]
2. cache: Record&lt;string, PriceSeries&gt;</t>
        </is>
      </c>
      <c r="K685" s="3" t="inlineStr">
        <is>
          <t>AssetAccount[]</t>
        </is>
      </c>
      <c r="L685" s="3" t="inlineStr">
        <is>
          <t>—</t>
        </is>
      </c>
      <c r="M685" s="3" t="inlineStr">
        <is>
          <t>· If cash balance is missing it counts as zero, so nothing recorded and a real zero look the same.</t>
        </is>
      </c>
      <c r="N685" s="3" t="inlineStr">
        <is>
          <t>Yes</t>
        </is>
      </c>
      <c r="O685" s="3" t="inlineStr">
        <is>
          <t>1. MK-ST-F-028 buildDayFromAccounts
2. MK-PF-F-002 costBasis
3. MK-ST-F-079 dailyWindowStart
4. MK-CF-F-038 debtsFromOnboarding
5. MK-PF-F-009 latestClose
6. MK-CF-F-132 map
7. MK-PF-F-004 marketValue
8. MK-ST-F-030 record
9. MK-XS-F-024 resolveLens
10. MK-ST-F-055 round2
11. MK-ST-F-044 setMoneyFormat</t>
        </is>
      </c>
      <c r="P685" s="3" t="n">
        <v>80</v>
      </c>
      <c r="Q685" s="3" t="inlineStr">
        <is>
          <t>1. MK-ST-F-028 buildDayFromAccounts
2. MK-PF-F-002 costBasis
3. MK-ST-F-079 dailyWindowStart
4. MK-CF-F-038 debtsFromOnboarding
5. MK-PF-F-009 latestClose
6. MK-CF-F-132 map
7. MK-PF-F-004 marketValue
8. MK-ST-F-030 record
9. MK-XS-F-024 resolveLens
10. MK-ST-F-055 round2
11. MK-ST-F-044 setMoneyFormat
12. MK-PF-F-031 contractMultiplier
13. MK-CF-F-037 inferDebtType
14. MK-ST-F-043 newEntityId
15. MK-ST-F-052 toNum
16. MK-XS-F-175 uid
17. MK-PF-F-001 totalShares
18. MK-CF-F-072 currentRetirementIncomeMonthly
19. MK-ST-F-053 money
20. MK-XS-F-122 n
21. MK-ST-F-027 accountId
22. MK-CF-F-111 applyTransaction
23. MK-NW-F-040 assetsFromOnboarding
24. MK-PF-F-013 benchmarkTicker
25. MK-PF-F-034 closeOnOrBefore
26. MK-CF-F-186 convertTakeHomeMode
27. MK-XS-F-083 fetchPriceSeries
28. MK-PL-F-013 goalsFromOnboarding
29. MK-ST-F-056 has
30. MK-CF-F-116 inverseOf
31. MK-ST-F-065 isoLocalDate
32. MK-CF-F-112 makeTransaction
33. MK-XS-F-006 pruneDaily
34. MK-ST-F-073 rebuildDays
35. MK-NW-F-054 reclassifyAccounts
36. MK-CF-F-115 restoreUndo
37. MK-CF-F-109 reviewTransactions
38. MK-CF-F-114 undoSnapshot
39. MK-CF-F-191 ym
40. MK-CF-F-075 retirementIncomeMonthly
41. MK-ST-F-049 formatMoney
42. MK-CF-F-138 addLot
43. MK-CF-F-136 bumpCash
44. MK-CF-F-137 findPos
45. MK-CF-F-139 removeShares
46. MK-CF-F-085 filingStatusOf
47. MK-CF-F-097 grossFromNet
48. MK-CF-F-185 needsTakeHomeConversion
49. MK-CF-F-089 over65CountOf
50. MK-ST-F-069 amountOf
51. MK-CF-F-133 cashOf
52. MK-ST-F-066 isDayKey
53. MK-ST-F-070 isOpening
54. MK-ST-F-071 rebuildableFrom
55. MK-ST-F-068 stepDay
56. MK-ST-F-072 undo
57. MK-NW-F-053 correctClassOf
58. MK-NW-F-008 incomeBearingClassOf
59. MK-CF-F-162 daysApart
60. MK-CF-F-108 isMoneyOut
61. MK-PL-F-074 median
62. MK-CF-F-131 normPayee
63. MK-CF-F-113 affectedAccountIds
64. MK-ST-F-048 currencySymbol
65. MK-ST-F-039 on
66. MK-CF-F-134 usesSleeve
67. MK-CF-F-101 taxOwedFor
68. MK-ST-F-067 utcOfDay
69. MK-CF-F-155 cash
70. MK-ST-F-035 covers
71. MK-NW-F-009 maturityClass
72. MK-ST-F-010 nameEvidence
73. MK-ST-F-047 activeCurrency
74. MK-CF-F-100 taxableIncomeFor
75. MK-ST-F-034 firstDate
76. MK-XS-F-147 call
77. MK-CF-F-099 deductionFor
78. MK-XS-F-064 currentIdToken
79. MK-XS-F-112 relayUrl
80. MK-CF-F-187 seniorDeductionFor</t>
        </is>
      </c>
      <c r="R685" s="3" t="inlineStr">
        <is>
          <t>1. MK-ST-F-028 buildDayFromAccounts → MK-XS-F-174 recomputeBalances
2. MK-PF-F-031 contractMultiplier → MK-PF-F-002 costBasis → MK-XS-F-174 recomputeBalances
3. MK-ST-F-079 dailyWindowStart → MK-XS-F-174 recomputeBalances
4. MK-CF-F-037 inferDebtType → MK-CF-F-038 debtsFromOnboarding → MK-XS-F-174 recomputeBalances
5. MK-ST-F-043 newEntityId → MK-CF-F-038 debtsFromOnboarding → MK-XS-F-174 recomputeBalances
6. MK-XS-F-122 n → MK-ST-F-052 toNum → MK-CF-F-038 debtsFromOnboarding → MK-XS-F-174 recomputeBalances
7. MK-ST-F-027 accountId → MK-XS-F-175 uid → MK-CF-F-038 debtsFromOnboarding → MK-XS-F-174 recomputeBalances
8. MK-CF-F-137 findPos → MK-CF-F-138 addLot → MK-CF-F-111 applyTransaction → MK-XS-F-175 uid → MK-CF-F-038 debtsFromOnboarding → MK-XS-F-174 recomputeBalances
9. … and 5 more paths</t>
        </is>
      </c>
      <c r="S685" s="3" t="inlineStr">
        <is>
          <t>—</t>
        </is>
      </c>
      <c r="T685" s="3" t="inlineStr">
        <is>
          <t>—</t>
        </is>
      </c>
      <c r="U685" s="3" t="inlineStr">
        <is>
          <t>ACTIVE</t>
        </is>
      </c>
      <c r="V685" s="3" t="inlineStr">
        <is>
          <t>2026-09-12</t>
        </is>
      </c>
      <c r="W685" s="3" t="n"/>
      <c r="X685" s="3" t="n"/>
      <c r="Y685" s="3" t="inlineStr">
        <is>
          <t>NOTHING OPEN</t>
        </is>
      </c>
    </row>
    <row r="686" ht="60" customHeight="1">
      <c r="A686" s="3" t="inlineStr">
        <is>
          <t>MK-XS-F-175</t>
        </is>
      </c>
      <c r="B686" s="3" t="inlineStr">
        <is>
          <t>uid</t>
        </is>
      </c>
      <c r="C686" s="3" t="inlineStr">
        <is>
          <t>src/store/useStore.ts</t>
        </is>
      </c>
      <c r="D686" s="3" t="n">
        <v>586</v>
      </c>
      <c r="E686" s="3" t="inlineStr">
        <is>
          <t>2 · DISPLAYED</t>
        </is>
      </c>
      <c r="F686" s="3" t="inlineStr">
        <is>
          <t>NOT DETERMINED — the code carries no note saying what this is for, and it has no row in the old inventory. Needs reading.</t>
        </is>
      </c>
      <c r="G686" s="11" t="inlineStr">
        <is>
          <t>math.random().to string(36).slice(2, 10) + date.now().to string(36)
{}   when f is missing
{}   when goals seeded
goals seeded = true   when count of fresh is missing
a   when it is missing
g   when it is missing
{}   when reclassify version = RECLASSIFY_VERSION
{}   when count of linked is missing
rebuilt from = out.start by account
rebuilt at = the date ).to isostring(   when count of out.days is missing
{}   when prev is missing
r   when active is missing
[LOOP — the answer is found inside a loop the extractor cannot render; the steps above are the ones before it. Read by hand.]
… the first steps only — the rest of the body needs reading by hand.</t>
        </is>
      </c>
      <c r="H686" s="3" t="inlineStr">
        <is>
          <t>math.random().to string(36).slice(2, 10) plus date.now().to string(36). When f is missing, it answers {}. When goals seeded, it answers {}. When how many fresh is missing there are, it answers goals seeded = true. When it is missing, it answers a. When it is missing, it answers g. When reclassify version = RECLASSIFY_VERSION, it answers {}. When how many linked is missing there are, it answers {}. When how many out.days is missing there are, it answers rebuilt from = out.start by account; rebuilt at = the date ).to isostring(. When prev is missing, it answers {}. When active is missing, it answers r. The answer is found inside a loop that cannot be rendered here; read the code by hand. Only the first steps are shown; the rest of the body needs reading by hand.</t>
        </is>
      </c>
      <c r="I686" s="3" t="inlineStr">
        <is>
          <t>PARTLY READ — the body has a loop the extractor cannot render; the steps shown are the ones before it. Needs a hand pass (G23).</t>
        </is>
      </c>
      <c r="J686" s="3" t="inlineStr">
        <is>
          <t>1. Nothing is handed to it
2. reads the app's stored data</t>
        </is>
      </c>
      <c r="K686" s="3" t="inlineStr">
        <is>
          <t>NOT DECLARED — the code does not say what it gives back</t>
        </is>
      </c>
      <c r="L686" s="3" t="inlineStr">
        <is>
          <t>NOT FOUND — a screen calls it, but the words printed beside its answer could not be traced automatically. Needs reading.</t>
        </is>
      </c>
      <c r="M686" s="3" t="inlineStr">
        <is>
          <t>1. If length is missing it uses 0.
2. If change amount is missing it uses 0.
3. If allocated by month[ym] is missing it uses 0.
4. If ym] is missing it uses 0.
5. If saved is missing it counts as zero, so nothing recorded and a real zero look the same.
6. Uses a built-in total of 0.
7. Uses today's date from the device clock, so the answer changes by itself overnight.
8. Rounds the answer to two decimals (cents).</t>
        </is>
      </c>
      <c r="N686" s="3" t="inlineStr">
        <is>
          <t>Yes</t>
        </is>
      </c>
      <c r="O686" s="3" t="inlineStr">
        <is>
          <t>1. MK-ST-F-027 accountId
2. MK-CF-F-111 applyTransaction
3. MK-NW-F-040 assetsFromOnboarding
4. MK-PF-F-013 benchmarkTicker
5. MK-ST-F-028 buildDayFromAccounts
6. MK-PF-F-034 closeOnOrBefore
7. MK-CF-F-186 convertTakeHomeMode
8. MK-ST-F-079 dailyWindowStart
9. MK-CF-F-038 debtsFromOnboarding
10. MK-XS-F-083 fetchPriceSeries
11. MK-PL-F-013 goalsFromOnboarding
12. MK-ST-F-056 has
13. MK-CF-F-116 inverseOf
14. MK-ST-F-065 isoLocalDate
15. MK-CF-F-112 makeTransaction
16. MK-CF-F-132 map
17. MK-XS-F-122 n
18. MK-ST-F-043 newEntityId
19. MK-XS-F-006 pruneDaily
20. MK-ST-F-073 rebuildDays
21. MK-NW-F-054 reclassifyAccounts
22. MK-XS-F-174 recomputeBalances
23. MK-CF-F-115 restoreUndo
24. MK-CF-F-109 reviewTransactions
25. MK-ST-F-044 setMoneyFormat
26. MK-CF-F-114 undoSnapshot
27. MK-CF-F-191 ym</t>
        </is>
      </c>
      <c r="P686" s="3" t="n">
        <v>80</v>
      </c>
      <c r="Q686" s="3" t="inlineStr">
        <is>
          <t>1. MK-ST-F-027 accountId
2. MK-CF-F-111 applyTransaction
3. MK-NW-F-040 assetsFromOnboarding
4. MK-PF-F-013 benchmarkTicker
5. MK-ST-F-028 buildDayFromAccounts
6. MK-PF-F-034 closeOnOrBefore
7. MK-CF-F-186 convertTakeHomeMode
8. MK-ST-F-079 dailyWindowStart
9. MK-CF-F-038 debtsFromOnboarding
10. MK-XS-F-083 fetchPriceSeries
11. MK-PL-F-013 goalsFromOnboarding
12. MK-ST-F-056 has
13. MK-CF-F-116 inverseOf
14. MK-ST-F-065 isoLocalDate
15. MK-CF-F-112 makeTransaction
16. MK-CF-F-132 map
17. MK-XS-F-122 n
18. MK-ST-F-043 newEntityId
19. MK-XS-F-006 pruneDaily
20. MK-ST-F-073 rebuildDays
21. MK-NW-F-054 reclassifyAccounts
22. MK-XS-F-174 recomputeBalances
23. MK-CF-F-115 restoreUndo
24. MK-CF-F-109 reviewTransactions
25. MK-ST-F-044 setMoneyFormat
26. MK-CF-F-114 undoSnapshot
27. MK-CF-F-191 ym
28. MK-CF-F-138 addLot
29. MK-CF-F-136 bumpCash
30. MK-CF-F-137 findPos
31. MK-CF-F-139 removeShares
32. MK-PF-F-001 totalShares
33. MK-ST-F-052 toNum
34. MK-ST-F-053 money
35. MK-CF-F-085 filingStatusOf
36. MK-CF-F-097 grossFromNet
37. MK-CF-F-185 needsTakeHomeConversion
38. MK-CF-F-089 over65CountOf
39. MK-CF-F-037 inferDebtType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is>
      </c>
      <c r="R686" s="3" t="inlineStr">
        <is>
          <t>1. MK-ST-F-027 accountId → MK-XS-F-175 uid
2. MK-CF-F-137 findPos → MK-CF-F-138 addLot → MK-CF-F-111 applyTransaction → MK-XS-F-175 uid
3. MK-CF-F-132 map → MK-CF-F-138 addLot → MK-CF-F-111 applyTransaction → MK-XS-F-175 uid
4. MK-ST-F-043 newEntityId → MK-CF-F-138 addLot → MK-CF-F-111 applyTransaction → MK-XS-F-175 uid
5. MK-CF-F-134 usesSleeve → MK-CF-F-136 bumpCash → MK-CF-F-111 applyTransaction → MK-XS-F-175 uid
6. MK-CF-F-137 findPos → MK-CF-F-111 applyTransaction → MK-XS-F-175 uid
7. MK-CF-F-132 map → MK-CF-F-111 applyTransaction → MK-XS-F-175 uid
8. MK-CF-F-137 findPos → MK-CF-F-139 removeShares → MK-CF-F-111 applyTransaction → MK-XS-F-175 uid
9. … and 5 more paths</t>
        </is>
      </c>
      <c r="S686" s="3" t="inlineStr">
        <is>
          <t>—</t>
        </is>
      </c>
      <c r="T686" s="3" t="inlineStr">
        <is>
          <t>—</t>
        </is>
      </c>
      <c r="U686" s="3" t="inlineStr">
        <is>
          <t>ACTIVE</t>
        </is>
      </c>
      <c r="V686" s="3" t="inlineStr">
        <is>
          <t>2026-09-25</t>
        </is>
      </c>
      <c r="W686" s="3" t="n"/>
      <c r="X686" s="3" t="n"/>
      <c r="Y686" s="3" t="inlineStr">
        <is>
          <t>NOTHING OPEN</t>
        </is>
      </c>
    </row>
    <row r="687" ht="60" customHeight="1">
      <c r="A687" s="3" t="inlineStr">
        <is>
          <t>MK-XS-F-176</t>
        </is>
      </c>
      <c r="B687" s="3" t="inlineStr">
        <is>
          <t>useMonthlyStats</t>
        </is>
      </c>
      <c r="C687" s="3" t="inlineStr">
        <is>
          <t>src/store/useStore.ts</t>
        </is>
      </c>
      <c r="D687" s="3" t="n">
        <v>1297</v>
      </c>
      <c r="E687" s="3" t="inlineStr">
        <is>
          <t>2 · DISPLAYED</t>
        </is>
      </c>
      <c r="F687" s="3" t="inlineStr">
        <is>
          <t>── Selectors ──────────────────────────────────────────────────────────</t>
        </is>
      </c>
      <c r="G687" s="11" t="inlineStr">
        <is>
          <t>now = new date()
d = the date date
the answer = to date string() = now.to date string()
week ago = the date now.get time() − 7 × 86400000
period income = Σ over incomes where filter by period(date) of (amount)
period spend = Σ over expenses where filter by period(date) of (amount)
period savings = Σ over savings where filter by period(date) of (amount)
total savings = Σ over savings of (amount)
remaining = period income − period spend − period savings
pct spent = min((period spend ÷ period income) × 100, 100)   if period income &gt; 0
0   otherwise
is over budget = period spend + period savings &gt; period income and period income &gt; 0
… the first steps only — the rest of the body needs reading by hand.</t>
        </is>
      </c>
      <c r="H687" s="3" t="inlineStr">
        <is>
          <t>Now is new date(). D: the date date. The answer is to date string() = now.to date string(). Week ago: the date now.get time() minus 7 times 86400000. Period income: the amount added up across incomes where filter by period(date). Period spend: the amount added up across expenses where filter by period(date). Period savings: the amount added up across savings where filter by period(date). Total savings: the amount added up across savings. Remaining is period income minus period spend minus period savings. Pct spent: the smaller of (period spend divided by period income) times 100 and 100 — when period income &gt; 0; 0 — otherwise. Is over budget is period spend plus period savings &gt; period income and period income &gt; 0. Only the first steps are shown; the rest of the body needs reading by hand.</t>
        </is>
      </c>
      <c r="I687" s="3" t="inlineStr">
        <is>
          <t>PARTLY READ — some of the code is still showing through; needs a hand pass</t>
        </is>
      </c>
      <c r="J687" s="3" t="inlineStr">
        <is>
          <t>1. Nothing is handed to it
2. reads the app's stored data</t>
        </is>
      </c>
      <c r="K687" s="3" t="inlineStr">
        <is>
          <t>NOT DECLARED — the code does not say what it gives back</t>
        </is>
      </c>
      <c r="L687" s="3" t="inlineStr">
        <is>
          <t>NOT FOUND — a screen calls it, but the words printed beside its answer could not be traced automatically. Needs reading.</t>
        </is>
      </c>
      <c r="M687" s="3" t="inlineStr">
        <is>
          <t>· Uses today's date from the device clock, so the answer changes by itself overnight.</t>
        </is>
      </c>
      <c r="N687" s="3" t="inlineStr">
        <is>
          <t>Yes</t>
        </is>
      </c>
      <c r="O687" s="3" t="inlineStr">
        <is>
          <t>MK-CF-O-002 expenses</t>
        </is>
      </c>
      <c r="P687" s="3" t="n">
        <v>15</v>
      </c>
      <c r="Q687" s="3" t="inlineStr">
        <is>
          <t>1. MK-CF-O-002 expenses
2. MK-CF-F-151 actualSpending
3. MK-CF-F-150 debtPaymentsCountedAsExpenses
4. MK-CF-F-153 radar
5. MK-CF-F-149 recurringDebtPayments
6. MK-CF-F-148 inMonth
7. MK-ST-F-052 toNum
8. MK-CF-F-191 ym
9. MK-ST-F-056 has
10. MK-CF-F-022 paymentShape
11. MK-CF-F-152 isRadarItem
12. MK-CF-F-023 requiredPayment
13. MK-CF-F-132 map
14. MK-XS-F-122 n
15. MK-CF-F-021 defaultPaymentType</t>
        </is>
      </c>
      <c r="R687" s="3" t="inlineStr">
        <is>
          <t>1. MK-CF-F-191 ym → MK-CF-F-148 inMonth → MK-CF-F-151 actualSpending → MK-CF-O-002 expenses → MK-XS-F-176 useMonthlyStats
2. MK-XS-F-122 n → MK-ST-F-052 toNum → MK-CF-F-151 actualSpending → MK-CF-O-002 expenses → MK-XS-F-176 useMonthlyStats
3. MK-CF-F-191 ym → MK-CF-F-151 actualSpending → MK-CF-O-002 expenses → MK-XS-F-176 useMonthlyStats
4. MK-ST-F-056 has → MK-CF-F-150 debtPaymentsCountedAsExpenses → MK-CF-O-002 expenses → MK-XS-F-176 useMonthlyStats
5. MK-CF-F-191 ym → MK-CF-F-148 inMonth → MK-CF-F-150 debtPaymentsCountedAsExpenses → MK-CF-O-002 expenses → MK-XS-F-176 useMonthlyStats
6. MK-CF-F-021 defaultPaymentType → MK-CF-F-022 paymentShape → MK-CF-F-150 debtPaymentsCountedAsExpenses → MK-CF-O-002 expenses → MK-XS-F-176 useMonthlyStats
7. MK-XS-F-122 n → MK-ST-F-052 toNum → MK-CF-F-150 debtPaymentsCountedAsExpenses → MK-CF-O-002 expenses → MK-XS-F-176 useMonthlyStats
8. MK-CF-F-191 ym → MK-CF-F-150 debtPaymentsCountedAsExpenses → MK-CF-O-002 expenses → MK-XS-F-176 useMonthlyStats
9. … and 4 more paths</t>
        </is>
      </c>
      <c r="S687" s="3" t="inlineStr">
        <is>
          <t>—</t>
        </is>
      </c>
      <c r="T687" s="3" t="inlineStr">
        <is>
          <t>—</t>
        </is>
      </c>
      <c r="U687" s="3" t="inlineStr">
        <is>
          <t>ACTIVE</t>
        </is>
      </c>
      <c r="V687" s="3" t="inlineStr">
        <is>
          <t>2026-09-12</t>
        </is>
      </c>
      <c r="W687" s="3" t="n"/>
      <c r="X687" s="3" t="n"/>
      <c r="Y687" s="3" t="inlineStr">
        <is>
          <t>NOTHING OPEN</t>
        </is>
      </c>
    </row>
    <row r="688" ht="60" customHeight="1">
      <c r="A688" s="3" t="inlineStr">
        <is>
          <t>MK-XS-F-177</t>
        </is>
      </c>
      <c r="B688" s="3" t="inlineStr">
        <is>
          <t>useCategorySpend</t>
        </is>
      </c>
      <c r="C688" s="3" t="inlineStr">
        <is>
          <t>src/store/useStore.ts</t>
        </is>
      </c>
      <c r="D688" s="3" t="n">
        <v>1354</v>
      </c>
      <c r="E688" s="3" t="inlineStr">
        <is>
          <t>2 · DISPLAYED</t>
        </is>
      </c>
      <c r="F688" s="3" t="inlineStr">
        <is>
          <t>NOT DETERMINED — the code carries no note saying what this is for, and it has no row in the old inventory. Needs reading.</t>
        </is>
      </c>
      <c r="G688" s="11" t="inlineStr">
        <is>
          <t>now = new date()
d = the date date
to date string() = now.to date string()   when budget frequency = 'daily'
d ≥ new date(now.get time() − 7 × 86400000)   when budget frequency = 'weekly'
the answer = get full year() = now.get full year() and get month() = now.get month()
map = {}</t>
        </is>
      </c>
      <c r="H688" s="3" t="inlineStr">
        <is>
          <t>Now is new date(). D: the date date. When budget frequency = 'daily', it answers to date string() = now.to date string(). When budget frequency = 'weekly', it answers d is at least new date(now.get time() minus 7 times 86400000). The answer is get full year() = now.get full year() and get month() = now.get month(). Map is {}.</t>
        </is>
      </c>
      <c r="I688" s="3" t="inlineStr">
        <is>
          <t>PARTLY READ — some of the code is still showing through; needs a hand pass</t>
        </is>
      </c>
      <c r="J688" s="3" t="inlineStr">
        <is>
          <t>1. Nothing is handed to it
2. reads the app's stored data</t>
        </is>
      </c>
      <c r="K688" s="3" t="inlineStr">
        <is>
          <t>NOT DECLARED — the code does not say what it gives back</t>
        </is>
      </c>
      <c r="L688" s="3" t="inlineStr">
        <is>
          <t>NOT FOUND — a screen calls it, but the words printed beside its answer could not be traced automatically. Needs reading.</t>
        </is>
      </c>
      <c r="M688" s="3" t="inlineStr">
        <is>
          <t>1. If category] is missing it counts as zero, so nothing recorded and a real zero look the same.
2. Uses today's date from the device clock, so the answer changes by itself overnight.</t>
        </is>
      </c>
      <c r="N688" s="3" t="inlineStr">
        <is>
          <t>Yes</t>
        </is>
      </c>
      <c r="O688" s="3" t="inlineStr">
        <is>
          <t>1. MK-CF-O-002 expenses
2. MK-CF-F-132 map</t>
        </is>
      </c>
      <c r="P688" s="3" t="n">
        <v>15</v>
      </c>
      <c r="Q688" s="3" t="inlineStr">
        <is>
          <t>1. MK-CF-O-002 expenses
2. MK-CF-F-132 map
3. MK-CF-F-151 actualSpending
4. MK-CF-F-150 debtPaymentsCountedAsExpenses
5. MK-CF-F-153 radar
6. MK-CF-F-149 recurringDebtPayments
7. MK-CF-F-148 inMonth
8. MK-ST-F-052 toNum
9. MK-CF-F-191 ym
10. MK-ST-F-056 has
11. MK-CF-F-022 paymentShape
12. MK-CF-F-152 isRadarItem
13. MK-CF-F-023 requiredPayment
14. MK-XS-F-122 n
15. MK-CF-F-021 defaultPaymentType</t>
        </is>
      </c>
      <c r="R688" s="3" t="inlineStr">
        <is>
          <t>1. MK-CF-F-191 ym → MK-CF-F-148 inMonth → MK-CF-F-151 actualSpending → MK-CF-O-002 expenses → MK-XS-F-177 useCategorySpend
2. MK-XS-F-122 n → MK-ST-F-052 toNum → MK-CF-F-151 actualSpending → MK-CF-O-002 expenses → MK-XS-F-177 useCategorySpend
3. MK-CF-F-191 ym → MK-CF-F-151 actualSpending → MK-CF-O-002 expenses → MK-XS-F-177 useCategorySpend
4. MK-ST-F-056 has → MK-CF-F-150 debtPaymentsCountedAsExpenses → MK-CF-O-002 expenses → MK-XS-F-177 useCategorySpend
5. MK-CF-F-191 ym → MK-CF-F-148 inMonth → MK-CF-F-150 debtPaymentsCountedAsExpenses → MK-CF-O-002 expenses → MK-XS-F-177 useCategorySpend
6. MK-CF-F-021 defaultPaymentType → MK-CF-F-022 paymentShape → MK-CF-F-150 debtPaymentsCountedAsExpenses → MK-CF-O-002 expenses → MK-XS-F-177 useCategorySpend
7. MK-XS-F-122 n → MK-ST-F-052 toNum → MK-CF-F-150 debtPaymentsCountedAsExpenses → MK-CF-O-002 expenses → MK-XS-F-177 useCategorySpend
8. MK-CF-F-191 ym → MK-CF-F-150 debtPaymentsCountedAsExpenses → MK-CF-O-002 expenses → MK-XS-F-177 useCategorySpend
9. … and 5 more paths</t>
        </is>
      </c>
      <c r="S688" s="3" t="inlineStr">
        <is>
          <t>—</t>
        </is>
      </c>
      <c r="T688" s="3" t="inlineStr">
        <is>
          <t>—</t>
        </is>
      </c>
      <c r="U688" s="3" t="inlineStr">
        <is>
          <t>ACTIVE</t>
        </is>
      </c>
      <c r="V688" s="3" t="inlineStr">
        <is>
          <t>2026-09-12</t>
        </is>
      </c>
      <c r="W688" s="3" t="n"/>
      <c r="X688" s="3" t="n"/>
      <c r="Y688" s="3" t="inlineStr">
        <is>
          <t>NOTHING OPEN</t>
        </is>
      </c>
    </row>
    <row r="689" ht="60" customHeight="1">
      <c r="A689" s="3" t="inlineStr">
        <is>
          <t>MK-XS-F-178</t>
        </is>
      </c>
      <c r="B689" s="3" t="inlineStr">
        <is>
          <t>useLevel</t>
        </is>
      </c>
      <c r="C689" s="3" t="inlineStr">
        <is>
          <t>src/store/useStore.ts</t>
        </is>
      </c>
      <c r="D689" s="3" t="n">
        <v>1387</v>
      </c>
      <c r="E689" s="3" t="inlineStr">
        <is>
          <t>2 · DISPLAYED</t>
        </is>
      </c>
      <c r="F689" s="3" t="inlineStr">
        <is>
          <t>NOT DETERMINED — the code carries no note saying what this is for, and it has no row in the old inventory. Needs reading.</t>
        </is>
      </c>
      <c r="G689" s="11" t="inlineStr">
        <is>
          <t>xp = use store((s) =&gt; xp)
current = levels[0], next = levels[1]
pct = min(((xp − current.min) ÷ (next.min − current.min)) × 100, 100)   if next.min &gt; current.min
100   otherwise
the answer = { ...current, next, xp, pct }</t>
        </is>
      </c>
      <c r="H689" s="3" t="inlineStr">
        <is>
          <t>Xp is use store((s) =&gt; xp). Current is levels[0], next = levels[1]. Pct: the smaller of ((xp minus current.min) divided by (next.min minus current.min)) times 100 and 100 — when next.min &gt; current.min; 100 — otherwise. The answer is { ...current, next, xp, pct }.</t>
        </is>
      </c>
      <c r="I689" s="3" t="inlineStr">
        <is>
          <t>PARTLY READ — some of the code is still showing through; needs a hand pass</t>
        </is>
      </c>
      <c r="J689" s="3" t="inlineStr">
        <is>
          <t>1. Nothing is handed to it
2. reads the app's stored data</t>
        </is>
      </c>
      <c r="K689" s="3" t="inlineStr">
        <is>
          <t>NOT DECLARED — the code does not say what it gives back</t>
        </is>
      </c>
      <c r="L689" s="3" t="inlineStr">
        <is>
          <t>NOT FOUND — a screen calls it, but the words printed beside its answer could not be traced automatically. Needs reading.</t>
        </is>
      </c>
      <c r="M689" s="3" t="inlineStr">
        <is>
          <t>None found in this function — anything it assumes comes from the functions it depends on.</t>
        </is>
      </c>
      <c r="N689" s="3" t="inlineStr">
        <is>
          <t>Yes</t>
        </is>
      </c>
      <c r="O689" s="3" t="inlineStr">
        <is>
          <t>—</t>
        </is>
      </c>
      <c r="P689" s="3" t="n">
        <v>0</v>
      </c>
      <c r="Q689" s="3" t="inlineStr">
        <is>
          <t>None — no dependent function stands behind it</t>
        </is>
      </c>
      <c r="R689" s="3" t="inlineStr">
        <is>
          <t>No dependent function — it reads its inputs and answers</t>
        </is>
      </c>
      <c r="S689" s="3" t="inlineStr">
        <is>
          <t>—</t>
        </is>
      </c>
      <c r="T689" s="3" t="inlineStr">
        <is>
          <t>—</t>
        </is>
      </c>
      <c r="U689" s="3" t="inlineStr">
        <is>
          <t>ACTIVE</t>
        </is>
      </c>
      <c r="V689" s="3" t="inlineStr">
        <is>
          <t>2026-09-12</t>
        </is>
      </c>
      <c r="W689" s="3" t="n"/>
      <c r="X689" s="3" t="n"/>
      <c r="Y689" s="3" t="inlineStr">
        <is>
          <t>NOTHING OPEN</t>
        </is>
      </c>
    </row>
    <row r="690" ht="60" customHeight="1">
      <c r="A690" s="3" t="inlineStr">
        <is>
          <t>MK-XS-F-179</t>
        </is>
      </c>
      <c r="B690" s="3" t="inlineStr">
        <is>
          <t>ageToday</t>
        </is>
      </c>
      <c r="C690" s="3" t="inlineStr">
        <is>
          <t>src/domain/profile/calc.ts</t>
        </is>
      </c>
      <c r="D690" s="3" t="n">
        <v>79</v>
      </c>
      <c r="E690" s="3" t="inlineStr">
        <is>
          <t>2 · DISPLAYED</t>
        </is>
      </c>
      <c r="F690" s="3" t="inlineStr">
        <is>
          <t>THE AGE A SCREEN SHOWS AND THE PLAN RUNS ON — G9 (founder, 2026-09-12: "ask for it"): the birthday-aware age when the birth month is known (the onboarding asks for it), otherwise the age attained in the calendar year (this year − birth year), and NOTHING when the birth year is unknown — never a stand-in month, never a stand-in age.</t>
        </is>
      </c>
      <c r="G690" s="11" t="inlineStr">
        <is>
          <t>y = number(birth year); if (!y or !number.is finite(y)) return nothing
m = birth month read as a number
current age(y, m, as of)   when m ≥ 1 and m ≤ 12
the answer = as of.get full year() − y</t>
        </is>
      </c>
      <c r="H690" s="3" t="inlineStr">
        <is>
          <t>Y is number(birth year); — when (!y or !number.is finite(y)) return no answer. M is birth month read as a number. When m is at least 1 and m is at most 12, it answers current age(y, m, as of). The answer is as of.get full year() minus y.</t>
        </is>
      </c>
      <c r="I690" s="3" t="inlineStr">
        <is>
          <t>PARTLY READ — some of the code is still showing through; needs a hand pass</t>
        </is>
      </c>
      <c r="J690" s="3" t="inlineStr">
        <is>
          <t>1. birthYear: number | null | undefined
2. birthMonth: number | null | undefined
3. asOf: Date = new Date()</t>
        </is>
      </c>
      <c r="K690" s="3" t="inlineStr">
        <is>
          <t>number | null</t>
        </is>
      </c>
      <c r="L690" s="3" t="inlineStr">
        <is>
          <t>NOT FOUND — a screen calls it, but the words printed beside its answer could not be traced automatically. Needs reading.</t>
        </is>
      </c>
      <c r="M690" s="3" t="inlineStr">
        <is>
          <t>1. Uses today's date from the device clock, so the answer changes by itself overnight.
2. G9 (founder, 2026-09-12): birthday-aware when the birth month is known (the onboarding asks for it), the year-attained age when only the year is known, nothing when the birth year is unknown — never a stand-in month or age. Limits use the year-attained age instead (G1).</t>
        </is>
      </c>
      <c r="N690" s="3" t="inlineStr">
        <is>
          <t>Yes</t>
        </is>
      </c>
      <c r="O690" s="3" t="inlineStr">
        <is>
          <t>MK-XS-F-017 currentAge</t>
        </is>
      </c>
      <c r="P690" s="3" t="n">
        <v>1</v>
      </c>
      <c r="Q690" s="3" t="inlineStr">
        <is>
          <t>MK-XS-F-017 currentAge</t>
        </is>
      </c>
      <c r="R690" s="3" t="inlineStr">
        <is>
          <t>MK-XS-F-017 currentAge → MK-XS-F-179 ageToday</t>
        </is>
      </c>
      <c r="S690" s="3" t="inlineStr">
        <is>
          <t>—</t>
        </is>
      </c>
      <c r="T690" s="3" t="inlineStr">
        <is>
          <t>—</t>
        </is>
      </c>
      <c r="U690" s="3" t="inlineStr">
        <is>
          <t>ACTIVE</t>
        </is>
      </c>
      <c r="V690" s="3" t="inlineStr">
        <is>
          <t>2026-09-12</t>
        </is>
      </c>
      <c r="W690" s="3" t="n"/>
      <c r="X690" s="3" t="n"/>
      <c r="Y690" s="3" t="inlineStr">
        <is>
          <t>NOTHING OPEN</t>
        </is>
      </c>
    </row>
    <row r="691" ht="60" customHeight="1">
      <c r="A691" s="3" t="inlineStr">
        <is>
          <t>MK-XS-F-180</t>
        </is>
      </c>
      <c r="B691" s="3" t="inlineStr">
        <is>
          <t>declareFigures</t>
        </is>
      </c>
      <c r="C691" s="3" t="inlineStr">
        <is>
          <t>MoneyKeel/functions/_figure-spec.ts</t>
        </is>
      </c>
      <c r="D691" s="3" t="n">
        <v>175</v>
      </c>
      <c r="E691" s="3" t="inlineStr">
        <is>
          <t>3 · DEPENDENT</t>
        </is>
      </c>
      <c r="F691" s="3" t="inlineStr">
        <is>
          <t>Declare the figures a door hands out.</t>
        </is>
      </c>
      <c r="G691" s="11" t="inlineStr">
        <is>
          <t>NOT READ YET — the body is not a shape this can render faithfully, so nothing is claimed rather than something being guessed. It needs reading by hand.</t>
        </is>
      </c>
      <c r="H691" s="3" t="inlineStr">
        <is>
          <t>NOT READ YET — the body is not a shape this can render faithfully, so nothing is claimed rather than something being guessed. It needs reading by hand.</t>
        </is>
      </c>
      <c r="I691" s="3" t="inlineStr">
        <is>
          <t>NOT READ — nothing is claimed rather than something guessed</t>
        </is>
      </c>
      <c r="J691" s="3" t="inlineStr">
        <is>
          <t>f: T</t>
        </is>
      </c>
      <c r="K691" s="3" t="inlineStr">
        <is>
          <t>T</t>
        </is>
      </c>
      <c r="L691" s="3" t="inlineStr">
        <is>
          <t>—</t>
        </is>
      </c>
      <c r="M691" s="3" t="inlineStr">
        <is>
          <t>None found in this function — anything it assumes comes from the functions it depends on.</t>
        </is>
      </c>
      <c r="N691" s="3" t="inlineStr">
        <is>
          <t>Yes</t>
        </is>
      </c>
      <c r="O691" s="3" t="inlineStr">
        <is>
          <t>—</t>
        </is>
      </c>
      <c r="P691" s="3" t="n">
        <v>0</v>
      </c>
      <c r="Q691" s="3" t="inlineStr">
        <is>
          <t>None — no dependent function stands behind it</t>
        </is>
      </c>
      <c r="R691" s="3" t="inlineStr">
        <is>
          <t>No dependent function — it reads its inputs and answers</t>
        </is>
      </c>
      <c r="S691" s="3" t="inlineStr">
        <is>
          <t>—</t>
        </is>
      </c>
      <c r="T691" s="3" t="inlineStr">
        <is>
          <t>—</t>
        </is>
      </c>
      <c r="U691" s="3" t="inlineStr">
        <is>
          <t>ACTIVE</t>
        </is>
      </c>
      <c r="V691" s="3" t="inlineStr">
        <is>
          <t>2026-09-14</t>
        </is>
      </c>
      <c r="W691" s="3" t="n"/>
      <c r="X691" s="3" t="n"/>
      <c r="Y691" s="3" t="inlineStr">
        <is>
          <t>NOTHING OPEN</t>
        </is>
      </c>
    </row>
    <row r="692" ht="60" customHeight="1">
      <c r="A692" s="3" t="inlineStr">
        <is>
          <t>MK-XS-F-181</t>
        </is>
      </c>
      <c r="B692" s="3" t="inlineStr">
        <is>
          <t>merge</t>
        </is>
      </c>
      <c r="C692" s="3" t="inlineStr">
        <is>
          <t>MoneyKeel/functions/figures.ts</t>
        </is>
      </c>
      <c r="D692" s="3" t="n">
        <v>69</v>
      </c>
      <c r="E692" s="3" t="inlineStr">
        <is>
          <t>3 · DEPENDENT (feeds an action only)</t>
        </is>
      </c>
      <c r="F692" s="3" t="inlineStr">
        <is>
          <t>NOT DETERMINED — the code carries no note saying what this is for, and it has no row in the old inventory. Needs reading.</t>
        </is>
      </c>
      <c r="G692" s="11" t="inlineStr">
        <is>
          <t>out = {}
from = {}
the answer = out</t>
        </is>
      </c>
      <c r="H692" s="3" t="inlineStr">
        <is>
          <t>Out is {}. From is {}. The answer is out.</t>
        </is>
      </c>
      <c r="I692" s="3" t="inlineStr">
        <is>
          <t>READ FROM THE CODE — rendered from the expressions the function runs</t>
        </is>
      </c>
      <c r="J692" s="3" t="inlineStr">
        <is>
          <t>Nothing is handed to it</t>
        </is>
      </c>
      <c r="K692" s="3" t="inlineStr">
        <is>
          <t>Record&lt;string, FigureSpec&gt;</t>
        </is>
      </c>
      <c r="L692" s="3" t="inlineStr">
        <is>
          <t>—</t>
        </is>
      </c>
      <c r="M692" s="3" t="inlineStr">
        <is>
          <t>None found in this function — anything it assumes comes from the functions it depends on.</t>
        </is>
      </c>
      <c r="N692" s="3" t="inlineStr">
        <is>
          <t>No</t>
        </is>
      </c>
      <c r="O692" s="3" t="inlineStr">
        <is>
          <t>MK-CF-F-132 map</t>
        </is>
      </c>
      <c r="P692" s="3" t="n">
        <v>1</v>
      </c>
      <c r="Q692" s="3" t="inlineStr">
        <is>
          <t>MK-CF-F-132 map</t>
        </is>
      </c>
      <c r="R692" s="3" t="inlineStr">
        <is>
          <t>MK-CF-F-132 map → MK-XS-F-181 merge</t>
        </is>
      </c>
      <c r="S692" s="3" t="inlineStr">
        <is>
          <t>—</t>
        </is>
      </c>
      <c r="T692" s="3" t="inlineStr">
        <is>
          <t>—</t>
        </is>
      </c>
      <c r="U692" s="3" t="inlineStr">
        <is>
          <t>ACTIVE</t>
        </is>
      </c>
      <c r="V692" s="3" t="inlineStr">
        <is>
          <t>2026-09-14</t>
        </is>
      </c>
      <c r="W692" s="3" t="n"/>
      <c r="X692" s="3" t="n"/>
      <c r="Y692" s="3" t="inlineStr">
        <is>
          <t>NOTHING OPEN</t>
        </is>
      </c>
    </row>
    <row r="693" ht="45" customHeight="1">
      <c r="A693" s="3" t="inlineStr">
        <is>
          <t>MK-XS-F-182</t>
        </is>
      </c>
      <c r="B693" s="3" t="inlineStr">
        <is>
          <t>figureSpec</t>
        </is>
      </c>
      <c r="C693" s="3" t="inlineStr">
        <is>
          <t>MoneyKeel/functions/figures.ts</t>
        </is>
      </c>
      <c r="D693" s="3" t="n">
        <v>103</v>
      </c>
      <c r="E693" s="3" t="inlineStr">
        <is>
          <t>2 · DISPLAYED</t>
        </is>
      </c>
      <c r="F693" s="3" t="inlineStr">
        <is>
          <t>The declaration behind an identifier, or a refusal that names the identifier — never a silent blank.</t>
        </is>
      </c>
      <c r="G693" s="11" t="inlineStr">
        <is>
          <t>spec = FIGURE_REGISTER[id]
the answer = spec</t>
        </is>
      </c>
      <c r="H693" s="3" t="inlineStr">
        <is>
          <t>Spec is FIGURE_REGISTER[id]. The answer is spec.</t>
        </is>
      </c>
      <c r="I693" s="3" t="inlineStr">
        <is>
          <t>READ FROM THE CODE — rendered from the expressions the function runs</t>
        </is>
      </c>
      <c r="J693" s="3" t="inlineStr">
        <is>
          <t>id: string</t>
        </is>
      </c>
      <c r="K693" s="3" t="inlineStr">
        <is>
          <t>FigureSpec</t>
        </is>
      </c>
      <c r="L693" s="3" t="inlineStr">
        <is>
          <t>NOT FOUND — a screen calls it, but the words printed beside its answer could not be traced automatically. Needs reading.</t>
        </is>
      </c>
      <c r="M693" s="3" t="inlineStr">
        <is>
          <t>None found in this function — anything it assumes comes from the functions it depends on.</t>
        </is>
      </c>
      <c r="N693" s="3" t="inlineStr">
        <is>
          <t>Yes</t>
        </is>
      </c>
      <c r="O693" s="3" t="inlineStr">
        <is>
          <t>—</t>
        </is>
      </c>
      <c r="P693" s="3" t="n">
        <v>0</v>
      </c>
      <c r="Q693" s="3" t="inlineStr">
        <is>
          <t>None — no dependent function stands behind it</t>
        </is>
      </c>
      <c r="R693" s="3" t="inlineStr">
        <is>
          <t>No dependent function — it reads its inputs and answers</t>
        </is>
      </c>
      <c r="S693" s="3" t="inlineStr">
        <is>
          <t>—</t>
        </is>
      </c>
      <c r="T693" s="3" t="inlineStr">
        <is>
          <t>—</t>
        </is>
      </c>
      <c r="U693" s="3" t="inlineStr">
        <is>
          <t>ACTIVE</t>
        </is>
      </c>
      <c r="V693" s="3" t="inlineStr">
        <is>
          <t>2026-09-14</t>
        </is>
      </c>
      <c r="W693" s="3" t="n"/>
      <c r="X693" s="3" t="n"/>
      <c r="Y693" s="3" t="inlineStr">
        <is>
          <t>NOTHING OPEN</t>
        </is>
      </c>
    </row>
    <row r="694" ht="60" customHeight="1">
      <c r="A694" s="3" t="inlineStr">
        <is>
          <t>MK-XS-F-183</t>
        </is>
      </c>
      <c r="B694" s="3" t="inlineStr">
        <is>
          <t>writeFigure</t>
        </is>
      </c>
      <c r="C694" s="3" t="inlineStr">
        <is>
          <t>MoneyKeel/functions/_figure-spec.ts</t>
        </is>
      </c>
      <c r="D694" s="3" t="n">
        <v>68</v>
      </c>
      <c r="E694" s="3" t="inlineStr">
        <is>
          <t>2 · DISPLAYED</t>
        </is>
      </c>
      <c r="F694" s="3" t="inlineStr">
        <is>
          <t>WRITE A FIGURE THE WAY THE SCREEN WRITES IT — one writer, two callers (2026-09-28).</t>
        </is>
      </c>
      <c r="G694" s="11" t="inlineStr">
        <is>
          <t>spec.refusal   when value = nothing (or !number.is finite(value) when missing or zero)
body + (opts.spoken ? ` a ${spec.per}` : ` ÷ ${spec.per}`)   when opts.with period and spec.per
body</t>
        </is>
      </c>
      <c r="H694" s="3" t="inlineStr">
        <is>
          <t>When value is missing (or !number.is finite(value) — when missing or zero), it answers spec.refusal. When opts.with period and spec.per, it answers body plus (opts.spoken ? ` a ${spec.per}` : ` divided by ${spec.per}`). body.</t>
        </is>
      </c>
      <c r="I694" s="3" t="inlineStr">
        <is>
          <t>PARTLY READ — some of the code is still showing through; needs a hand pass</t>
        </is>
      </c>
      <c r="J694" s="3" t="inlineStr">
        <is>
          <t>1. spec: FigureSpec
2. value: number | null
3. opts?: { spoken?: boolean; withPeriod?: boolean }</t>
        </is>
      </c>
      <c r="K694" s="3" t="inlineStr">
        <is>
          <t>string</t>
        </is>
      </c>
      <c r="L694" s="3" t="inlineStr">
        <is>
          <t>NOT FOUND — a screen calls it, but the words printed beside its answer could not be traced automatically. Needs reading.</t>
        </is>
      </c>
      <c r="M694" s="3" t="inlineStr">
        <is>
          <t>1. Rounds the answer to 1 decimal place.
2. Shows 2 decimal places.
3. Shows 1 decimal place.</t>
        </is>
      </c>
      <c r="N694" s="3" t="inlineStr">
        <is>
          <t>Yes</t>
        </is>
      </c>
      <c r="O694" s="3" t="inlineStr">
        <is>
          <t>1. MK-ST-F-049 formatMoney
2. MK-ST-F-050 formatMoneyCents
3. MK-ST-F-051 moneyCompact
4. MK-ST-F-039 on
5. MK-ST-F-060 verdict</t>
        </is>
      </c>
      <c r="P694" s="3" t="n">
        <v>8</v>
      </c>
      <c r="Q694" s="3" t="inlineStr">
        <is>
          <t>1. MK-ST-F-049 formatMoney
2. MK-ST-F-050 formatMoneyCents
3. MK-ST-F-051 moneyCompact
4. MK-ST-F-039 on
5. MK-ST-F-060 verdict
6. MK-ST-F-048 currencySymbol
7. MK-XS-F-122 n
8. MK-ST-F-047 activeCurrency</t>
        </is>
      </c>
      <c r="R694" s="3" t="inlineStr">
        <is>
          <t>1. MK-ST-F-047 activeCurrency → MK-ST-F-048 currencySymbol → MK-ST-F-049 formatMoney → MK-XS-F-183 writeFigure
2. MK-XS-F-122 n → MK-ST-F-049 formatMoney → MK-XS-F-183 writeFigure
3. MK-ST-F-039 on → MK-ST-F-049 formatMoney → MK-XS-F-183 writeFigure
4. MK-ST-F-047 activeCurrency → MK-ST-F-048 currencySymbol → MK-ST-F-050 formatMoneyCents → MK-XS-F-183 writeFigure
5. MK-XS-F-122 n → MK-ST-F-050 formatMoneyCents → MK-XS-F-183 writeFigure
6. MK-ST-F-047 activeCurrency → MK-ST-F-048 currencySymbol → MK-ST-F-051 moneyCompact → MK-XS-F-183 writeFigure
7. MK-XS-F-122 n → MK-ST-F-051 moneyCompact → MK-XS-F-183 writeFigure
8. MK-ST-F-039 on → MK-XS-F-183 writeFigure
9. … and 1 more paths</t>
        </is>
      </c>
      <c r="S694" s="3" t="inlineStr">
        <is>
          <t>—</t>
        </is>
      </c>
      <c r="T694" s="3" t="inlineStr">
        <is>
          <t>—</t>
        </is>
      </c>
      <c r="U694" s="3" t="inlineStr">
        <is>
          <t>ACTIVE</t>
        </is>
      </c>
      <c r="V694" s="3" t="inlineStr">
        <is>
          <t>2026-09-28</t>
        </is>
      </c>
      <c r="W694" s="3" t="n"/>
      <c r="X694" s="3" t="n"/>
      <c r="Y694" s="3" t="inlineStr">
        <is>
          <t>NOTHING OPEN</t>
        </is>
      </c>
    </row>
  </sheetData>
  <autoFilter ref="A1:Y69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40" customWidth="1" min="3" max="3"/>
    <col width="38" customWidth="1" min="4" max="4"/>
    <col width="34" customWidth="1" min="5" max="5"/>
    <col width="34" customWidth="1" min="6" max="6"/>
  </cols>
  <sheetData>
    <row r="1" ht="30" customHeight="1">
      <c r="A1" s="1" t="inlineStr">
        <is>
          <t>Category</t>
        </is>
      </c>
      <c r="B1" s="1" t="inlineStr">
        <is>
          <t>Functions</t>
        </is>
      </c>
      <c r="C1" s="1" t="inlineStr">
        <is>
          <t>Handed nothing, and reads no stored data</t>
        </is>
      </c>
      <c r="D1" s="1" t="inlineStr">
        <is>
          <t>Handed nothing, but reads the stored data</t>
        </is>
      </c>
      <c r="E1" s="1" t="inlineStr">
        <is>
          <t>Does not declare what it gives back</t>
        </is>
      </c>
      <c r="F1" s="1" t="inlineStr">
        <is>
          <t>Neither: nothing in, nothing declared out</t>
        </is>
      </c>
    </row>
    <row r="2" ht="60" customHeight="1">
      <c r="A2" s="5" t="inlineStr">
        <is>
          <t>A function handed nothing that reads no stored data has its answer from a constant, the clock, or something the code does not show. A function that does not declare what it gives back cannot be checked for returning the right shape. Both are counted here rather than described.</t>
        </is>
      </c>
      <c r="B2" s="3" t="inlineStr"/>
      <c r="C2" s="3" t="inlineStr"/>
      <c r="D2" s="3" t="inlineStr"/>
      <c r="E2" s="3" t="inlineStr"/>
      <c r="F2" s="3" t="inlineStr"/>
    </row>
    <row r="3" ht="15" customHeight="1">
      <c r="A3" s="3" t="inlineStr">
        <is>
          <t>1 · ACTION</t>
        </is>
      </c>
      <c r="B3" s="3" t="n">
        <v>109</v>
      </c>
      <c r="C3" s="3" t="n">
        <v>31</v>
      </c>
      <c r="D3" s="3" t="n">
        <v>0</v>
      </c>
      <c r="E3" s="3" t="n">
        <v>62</v>
      </c>
      <c r="F3" s="3" t="n">
        <v>21</v>
      </c>
    </row>
    <row r="4" ht="15" customHeight="1">
      <c r="A4" s="3" t="inlineStr">
        <is>
          <t>2 · DISPLAYED</t>
        </is>
      </c>
      <c r="B4" s="3" t="n">
        <v>260</v>
      </c>
      <c r="C4" s="3" t="n">
        <v>42</v>
      </c>
      <c r="D4" s="3" t="n">
        <v>4</v>
      </c>
      <c r="E4" s="3" t="n">
        <v>64</v>
      </c>
      <c r="F4" s="3" t="n">
        <v>36</v>
      </c>
    </row>
    <row r="5" ht="15" customHeight="1">
      <c r="A5" s="3" t="inlineStr">
        <is>
          <t>2 · DISPLAYED (presentation only)</t>
        </is>
      </c>
      <c r="B5" s="3" t="n">
        <v>3</v>
      </c>
      <c r="C5" s="3" t="n">
        <v>0</v>
      </c>
      <c r="D5" s="3" t="n">
        <v>0</v>
      </c>
      <c r="E5" s="3" t="n">
        <v>0</v>
      </c>
      <c r="F5" s="3" t="n">
        <v>0</v>
      </c>
    </row>
    <row r="6" ht="15" customHeight="1">
      <c r="A6" s="3" t="inlineStr">
        <is>
          <t>3 · DEPENDENT</t>
        </is>
      </c>
      <c r="B6" s="3" t="n">
        <v>220</v>
      </c>
      <c r="C6" s="3" t="n">
        <v>21</v>
      </c>
      <c r="D6" s="3" t="n">
        <v>0</v>
      </c>
      <c r="E6" s="3" t="n">
        <v>25</v>
      </c>
      <c r="F6" s="3" t="n">
        <v>12</v>
      </c>
    </row>
    <row r="7" ht="15" customHeight="1">
      <c r="A7" s="3" t="inlineStr">
        <is>
          <t>3 · DEPENDENT (feeds an action only)</t>
        </is>
      </c>
      <c r="B7" s="3" t="n">
        <v>84</v>
      </c>
      <c r="C7" s="3" t="n">
        <v>16</v>
      </c>
      <c r="D7" s="3" t="n">
        <v>0</v>
      </c>
      <c r="E7" s="3" t="n">
        <v>20</v>
      </c>
      <c r="F7" s="3" t="n">
        <v>10</v>
      </c>
    </row>
    <row r="8" ht="15" customHeight="1">
      <c r="A8" s="3" t="inlineStr">
        <is>
          <t>4 · BRINGS DATA IN</t>
        </is>
      </c>
      <c r="B8" s="3" t="n">
        <v>16</v>
      </c>
      <c r="C8" s="3" t="n">
        <v>5</v>
      </c>
      <c r="D8" s="3" t="n">
        <v>0</v>
      </c>
      <c r="E8" s="3" t="n">
        <v>1</v>
      </c>
      <c r="F8" s="3" t="n">
        <v>1</v>
      </c>
    </row>
    <row r="9" ht="15" customHeight="1">
      <c r="A9" s="4" t="inlineStr">
        <is>
          <t>TOTAL</t>
        </is>
      </c>
      <c r="B9" s="3" t="n">
        <v>692</v>
      </c>
      <c r="C9" s="3" t="n">
        <v>115</v>
      </c>
      <c r="D9" s="3" t="n">
        <v>4</v>
      </c>
      <c r="E9" s="3" t="n">
        <v>172</v>
      </c>
      <c r="F9" s="3" t="n">
        <v>80</v>
      </c>
    </row>
  </sheetData>
  <autoFilter ref="A1:F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26" customWidth="1" min="3" max="3"/>
    <col width="26" customWidth="1" min="4" max="4"/>
    <col width="30" customWidth="1" min="5" max="5"/>
    <col width="24" customWidth="1" min="6" max="6"/>
  </cols>
  <sheetData>
    <row r="1" ht="15" customHeight="1">
      <c r="A1" s="1" t="inlineStr">
        <is>
          <t>Parent screen</t>
        </is>
      </c>
      <c r="B1" s="1" t="inlineStr">
        <is>
          <t>Figures</t>
        </is>
      </c>
      <c r="C1" s="1" t="inlineStr">
        <is>
          <t>Behind one function only</t>
        </is>
      </c>
      <c r="D1" s="1" t="inlineStr">
        <is>
          <t>Behind 2 to 5 functions</t>
        </is>
      </c>
      <c r="E1" s="1" t="inlineStr">
        <is>
          <t>Behind more than 5 functions</t>
        </is>
      </c>
      <c r="F1" s="1" t="inlineStr">
        <is>
          <t>No function on record</t>
        </is>
      </c>
    </row>
    <row r="2" ht="60" customHeight="1">
      <c r="A2" s="5" t="inlineStr">
        <is>
          <t>Counting the function that produces a figure PLUS every function below it. A figure standing on many functions is not wrong, but a wrong one has that many places to have started.</t>
        </is>
      </c>
      <c r="B2" s="3" t="inlineStr"/>
      <c r="C2" s="3" t="inlineStr"/>
      <c r="D2" s="3" t="inlineStr"/>
      <c r="E2" s="3" t="inlineStr"/>
      <c r="F2" s="3" t="inlineStr"/>
    </row>
    <row r="3" ht="15" customHeight="1">
      <c r="A3" s="3" t="inlineStr">
        <is>
          <t>Cashflow</t>
        </is>
      </c>
      <c r="B3" s="3" t="n">
        <v>65</v>
      </c>
      <c r="C3" s="3" t="n">
        <v>1</v>
      </c>
      <c r="D3" s="3" t="n">
        <v>1</v>
      </c>
      <c r="E3" s="3" t="n">
        <v>63</v>
      </c>
      <c r="F3" s="3" t="n">
        <v>0</v>
      </c>
    </row>
    <row r="4" ht="15" customHeight="1">
      <c r="A4" s="3" t="inlineStr">
        <is>
          <t>Home</t>
        </is>
      </c>
      <c r="B4" s="3" t="n">
        <v>4</v>
      </c>
      <c r="C4" s="3" t="n">
        <v>0</v>
      </c>
      <c r="D4" s="3" t="n">
        <v>2</v>
      </c>
      <c r="E4" s="3" t="n">
        <v>0</v>
      </c>
      <c r="F4" s="3" t="n">
        <v>2</v>
      </c>
    </row>
    <row r="5" ht="15" customHeight="1">
      <c r="A5" s="3" t="inlineStr">
        <is>
          <t>Menu</t>
        </is>
      </c>
      <c r="B5" s="3" t="n">
        <v>28</v>
      </c>
      <c r="C5" s="3" t="n">
        <v>0</v>
      </c>
      <c r="D5" s="3" t="n">
        <v>8</v>
      </c>
      <c r="E5" s="3" t="n">
        <v>13</v>
      </c>
      <c r="F5" s="3" t="n">
        <v>7</v>
      </c>
    </row>
    <row r="6" ht="15" customHeight="1">
      <c r="A6" s="3" t="inlineStr">
        <is>
          <t>Networth</t>
        </is>
      </c>
      <c r="B6" s="3" t="n">
        <v>63</v>
      </c>
      <c r="C6" s="3" t="n">
        <v>0</v>
      </c>
      <c r="D6" s="3" t="n">
        <v>1</v>
      </c>
      <c r="E6" s="3" t="n">
        <v>59</v>
      </c>
      <c r="F6" s="3" t="n">
        <v>3</v>
      </c>
    </row>
    <row r="7" ht="15" customHeight="1">
      <c r="A7" s="3" t="inlineStr">
        <is>
          <t>Performance</t>
        </is>
      </c>
      <c r="B7" s="3" t="n">
        <v>19</v>
      </c>
      <c r="C7" s="3" t="n">
        <v>0</v>
      </c>
      <c r="D7" s="3" t="n">
        <v>3</v>
      </c>
      <c r="E7" s="3" t="n">
        <v>16</v>
      </c>
      <c r="F7" s="3" t="n">
        <v>0</v>
      </c>
    </row>
    <row r="8" ht="15" customHeight="1">
      <c r="A8" s="3" t="inlineStr">
        <is>
          <t>Plan</t>
        </is>
      </c>
      <c r="B8" s="3" t="n">
        <v>37</v>
      </c>
      <c r="C8" s="3" t="n">
        <v>0</v>
      </c>
      <c r="D8" s="3" t="n">
        <v>8</v>
      </c>
      <c r="E8" s="3" t="n">
        <v>9</v>
      </c>
      <c r="F8" s="3" t="n">
        <v>20</v>
      </c>
    </row>
    <row r="9" ht="15" customHeight="1">
      <c r="A9" s="3" t="inlineStr">
        <is>
          <t>Shown on more than one screen</t>
        </is>
      </c>
      <c r="B9" s="3" t="n">
        <v>7</v>
      </c>
      <c r="C9" s="3" t="n">
        <v>0</v>
      </c>
      <c r="D9" s="3" t="n">
        <v>0</v>
      </c>
      <c r="E9" s="3" t="n">
        <v>6</v>
      </c>
      <c r="F9" s="3" t="n">
        <v>1</v>
      </c>
    </row>
    <row r="10" ht="15" customHeight="1">
      <c r="A10" s="4" t="inlineStr">
        <is>
          <t>TOTAL</t>
        </is>
      </c>
      <c r="B10" s="3" t="n">
        <v>223</v>
      </c>
      <c r="C10" s="3" t="n">
        <v>1</v>
      </c>
      <c r="D10" s="3" t="n">
        <v>23</v>
      </c>
      <c r="E10" s="3" t="n">
        <v>166</v>
      </c>
      <c r="F10" s="3" t="n">
        <v>33</v>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2026-10-04T20:51:16Z</dcterms:created>
  <dcterms:modified xsi:type="dcterms:W3CDTF">2026-10-04T20:52:02Z</dcterms:modified>
</cp:coreProperties>
</file>