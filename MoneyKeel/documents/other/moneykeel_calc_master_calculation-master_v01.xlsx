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1F386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8"/>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database</t>
        </is>
      </c>
      <c r="B16" s="3" t="inlineStr">
        <is>
          <t>What the app saves in the cloud: where each thing is stored, what it holds, which figures depend on it, how often it is written and at what grain. Also names what is deliberately NOT saved.</t>
        </is>
      </c>
    </row>
    <row r="17">
      <c r="A17" s="2" t="inlineStr">
        <is>
          <t>TAB — inputs</t>
        </is>
      </c>
      <c r="B17" s="3" t="inlineStr">
        <is>
          <t>The raw values the engines need before any calculation happens.</t>
        </is>
      </c>
    </row>
    <row r="18">
      <c r="A18" s="2" t="inlineStr"/>
      <c r="B18" s="3" t="inlineStr"/>
    </row>
    <row r="19">
      <c r="A19" s="2" t="inlineStr">
        <is>
          <t>COLUMN — Metric ID</t>
        </is>
      </c>
      <c r="B19" s="3" t="inlineStr">
        <is>
          <t>The identifier of the figure, per moneykeel_naming_spec_unique-identifier_v01.md. Given once, never changed, never reused.</t>
        </is>
      </c>
    </row>
    <row r="20">
      <c r="A20" s="2" t="inlineStr">
        <is>
          <t>COLUMN — Parent Screen Name</t>
        </is>
      </c>
      <c r="B20" s="3" t="inlineStr">
        <is>
          <t>One of: Home, Networth, Performance, Cashflow, Plan, Menu. Menu means reachable only from the menu.</t>
        </is>
      </c>
    </row>
    <row r="21">
      <c r="A21" s="2" t="inlineStr">
        <is>
          <t>COLUMN — Secondary Screen Name</t>
        </is>
      </c>
      <c r="B21" s="3" t="inlineStr">
        <is>
          <t>The screen reached from the parent, or NA when the figure is on the parent screen itself.</t>
        </is>
      </c>
    </row>
    <row r="22">
      <c r="A22" s="2" t="inlineStr">
        <is>
          <t>COLUMN — Name on Screen</t>
        </is>
      </c>
      <c r="B22" s="3" t="inlineStr">
        <is>
          <t>The label copied exactly as it is worded on screen, including capitals. Where a figure wears different labels on different screens, all are listed.</t>
        </is>
      </c>
    </row>
    <row r="23">
      <c r="A23" s="2" t="inlineStr">
        <is>
          <t>COLUMN — Name of Underlying Metric</t>
        </is>
      </c>
      <c r="B23" s="3" t="inlineStr">
        <is>
          <t>The metric's name in the code.</t>
        </is>
      </c>
    </row>
    <row r="24">
      <c r="A24" s="2" t="inlineStr">
        <is>
          <t>COLUMN — Name of Underlying Engine</t>
        </is>
      </c>
      <c r="B24" s="3" t="inlineStr">
        <is>
          <t>The engine that produces the figure. NOT IN OLD MASTER means the engine exists in the code but has no row in the old master file.</t>
        </is>
      </c>
    </row>
    <row r="25">
      <c r="A25" s="2" t="inlineStr">
        <is>
          <t>COLUMN — Secondary calculations and decisions the engine makes</t>
        </is>
      </c>
      <c r="B25" s="3" t="inlineStr">
        <is>
          <t>The judgements an engine must make BEFORE its headline figure exists: what class an asset is, what to call it on screen, which units apply, whether a value is fresh. Each of these is a formula of its own and needs its own row.</t>
        </is>
      </c>
    </row>
    <row r="26">
      <c r="A26" s="2" t="inlineStr">
        <is>
          <t>COLUMN — Questions for you (numbered)</t>
        </is>
      </c>
      <c r="B26" s="3" t="inlineStr">
        <is>
          <t>My open questions about that engine or figure, each with a number that never changes. A number is never reused or renumbered, so an answer can always be matched to its question.</t>
        </is>
      </c>
    </row>
    <row r="27">
      <c r="A27" s="2" t="inlineStr">
        <is>
          <t>COLUMN — YOUR ANSWER — use the same number</t>
        </is>
      </c>
      <c r="B27" s="3" t="inlineStr">
        <is>
          <t>Answer here, starting each answer with the question number. Nothing else in the file needs to line up.</t>
        </is>
      </c>
    </row>
    <row r="28">
      <c r="A28" s="2" t="inlineStr">
        <is>
          <t>COLUMN — Errors or findings to address</t>
        </is>
      </c>
      <c r="B28" s="3" t="inlineStr">
        <is>
          <t>What is known to be wrong or unproved about this figure, in plain English. Blank means nothing is on record yet — not that nothing is wrong.</t>
        </is>
      </c>
    </row>
    <row r="29">
      <c r="A29" s="2" t="inlineStr">
        <is>
          <t>COLUMN — Decisions made</t>
        </is>
      </c>
      <c r="B29" s="3" t="inlineStr">
        <is>
          <t>The rulings that govern this figure, and why. The standing display and rounding rule applies to every row and is stated once at the top of this tab.</t>
        </is>
      </c>
    </row>
    <row r="30">
      <c r="A30" s="2" t="inlineStr">
        <is>
          <t>COLUMN — Formula (mathematical)</t>
        </is>
      </c>
      <c r="B30" s="3" t="inlineStr">
        <is>
          <t>The rule written as arithmetic, so it can be followed symbol by symbol and checked against the code.</t>
        </is>
      </c>
    </row>
    <row r="31">
      <c r="A31" s="2" t="inlineStr">
        <is>
          <t>COLUMN — Formula (in words)</t>
        </is>
      </c>
      <c r="B31" s="3" t="inlineStr">
        <is>
          <t>The same rule in plain English, followable by hand. Where the engine has a row in the old master this is its wording, carried over; where it does not, it is written here from reading the code.</t>
        </is>
      </c>
    </row>
    <row r="32">
      <c r="A32" s="2" t="inlineStr">
        <is>
          <t>COLUMN — Engine ID</t>
        </is>
      </c>
      <c r="B32" s="3" t="inlineStr">
        <is>
          <t>The identifier of that engine. Blank where the figure is worked out on the screen itself rather than by an engine — which is itself a finding.</t>
        </is>
      </c>
    </row>
    <row r="33">
      <c r="A33" s="2" t="inlineStr">
        <is>
          <t>COLUMN — Your name for it (72-metric file)</t>
        </is>
      </c>
      <c r="B33" s="3" t="inlineStr">
        <is>
          <t>The founder's own name for the same figure, from METRICS-DELIVERABLE-ANSWERED-2026-08-20.xlsx. This column is the bridge between his vocabulary and the code's.</t>
        </is>
      </c>
    </row>
    <row r="34">
      <c r="A34" s="2" t="inlineStr">
        <is>
          <t>COLUMN — Core screen?</t>
        </is>
      </c>
      <c r="B34" s="3" t="inlineStr">
        <is>
          <t>Whether the screen is part of the 55-70 core, the agreed first scope. Currently NOT DETERMINED on every row: the core list has never been written down, so no row can honestly claim to be in or out of it.</t>
        </is>
      </c>
    </row>
    <row r="35">
      <c r="A35" s="2" t="inlineStr">
        <is>
          <t>COLUMN — Row status</t>
        </is>
      </c>
      <c r="B35" s="3" t="inlineStr">
        <is>
          <t>VERIFIED with its date means a person read the screen and confirmed the chain. NOT STARTED means the screen has not been read yet. Nothing in between is claimed.</t>
        </is>
      </c>
    </row>
    <row r="36">
      <c r="A36" s="2" t="inlineStr"/>
      <c r="B36" s="3" t="inlineStr"/>
    </row>
    <row r="37">
      <c r="A37" s="2" t="inlineStr">
        <is>
          <t>COLUMN — Input ID</t>
        </is>
      </c>
      <c r="B37" s="3" t="inlineStr">
        <is>
          <t>The identifier of a raw input, per the same standard.</t>
        </is>
      </c>
    </row>
    <row r="38">
      <c r="A38" s="2" t="inlineStr">
        <is>
          <t>COLUMN — Variable name</t>
        </is>
      </c>
      <c r="B38" s="3" t="inlineStr">
        <is>
          <t>What the raw value is called.</t>
        </is>
      </c>
    </row>
    <row r="39">
      <c r="A39" s="2" t="inlineStr">
        <is>
          <t>COLUMN — Source</t>
        </is>
      </c>
      <c r="B39" s="3" t="inlineStr">
        <is>
          <t>Where the value comes from: the person typed it, an institution download, a connected provider, or another engine computed it.</t>
        </is>
      </c>
    </row>
    <row r="40">
      <c r="A40" s="2" t="inlineStr">
        <is>
          <t>COLUMN — Which metric uses it</t>
        </is>
      </c>
      <c r="B40" s="3" t="inlineStr">
        <is>
          <t>Every metric identifier that depends on this input.</t>
        </is>
      </c>
    </row>
    <row r="41">
      <c r="A41" s="2" t="inlineStr">
        <is>
          <t>COLUMN — Which engine uses it</t>
        </is>
      </c>
      <c r="B41" s="3" t="inlineStr">
        <is>
          <t>Every engine identifier that reads this input.</t>
        </is>
      </c>
    </row>
    <row r="42">
      <c r="A42" s="2" t="inlineStr"/>
      <c r="B42" s="3" t="inlineStr"/>
    </row>
    <row r="43">
      <c r="A43" s="2" t="inlineStr">
        <is>
          <t>Complies with — naming</t>
        </is>
      </c>
      <c r="B43" s="3" t="inlineStr">
        <is>
          <t>MoneyKeel/documents/standards/moneykeel_naming_spec_file-and-folder-naming_v01.md</t>
        </is>
      </c>
    </row>
    <row r="44">
      <c r="A44" s="2" t="inlineStr">
        <is>
          <t>Complies with — identifiers</t>
        </is>
      </c>
      <c r="B44" s="3" t="inlineStr">
        <is>
          <t>MoneyKeel/documents/standards/moneykeel_naming_spec_unique-identifier_v01.md</t>
        </is>
      </c>
    </row>
    <row r="45">
      <c r="A45" s="2" t="inlineStr">
        <is>
          <t>Complies with — objectives</t>
        </is>
      </c>
      <c r="B45" s="3" t="inlineStr">
        <is>
          <t>MoneyKeel/documents/standards/moneykeel_calc_spec_objectives-and-verification_v01.md</t>
        </is>
      </c>
    </row>
    <row r="46">
      <c r="A46" s="2" t="inlineStr"/>
      <c r="B46" s="3" t="inlineStr"/>
    </row>
    <row r="47">
      <c r="A47" s="2" t="inlineStr">
        <is>
          <t>COVERAGE — screens read so far</t>
        </is>
      </c>
      <c r="B47" s="3" t="inlineStr">
        <is>
          <t>49 of 49. Every screen in the app has been read: the five parent screens, every secondary screen and every menu screen. Twelve screens carry no calculated figure and say so.</t>
        </is>
      </c>
    </row>
    <row r="48">
      <c r="A48" s="2" t="inlineStr">
        <is>
          <t>COVERAGE — what that means</t>
        </is>
      </c>
      <c r="B48"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DONE — 163 of 163 rows carry both forms.</t>
        </is>
      </c>
    </row>
    <row r="4">
      <c r="A4" t="inlineStr">
        <is>
          <t>S02</t>
        </is>
      </c>
      <c r="B4" s="3" t="inlineStr">
        <is>
          <t>The inputs, one by one</t>
        </is>
      </c>
      <c r="C4" s="3" t="inlineStr">
        <is>
          <t>Every input named separately, with its unit, and where it comes from: the person typed it, an institution download, a connected provider, or another engine.</t>
        </is>
      </c>
      <c r="D4" s="3" t="inlineStr">
        <is>
          <t>PART DONE — an inputs tab of 31 rows exists, but no row names ITS OWN inputs.</t>
        </is>
      </c>
    </row>
    <row r="5">
      <c r="A5" t="inlineStr">
        <is>
          <t>S03</t>
        </is>
      </c>
      <c r="B5" s="3" t="inlineStr">
        <is>
          <t>The decisions and assumptions applied</t>
        </is>
      </c>
      <c r="C5" s="3" t="inlineStr">
        <is>
          <t>Rounding, timing conventions, inflation, which balance is used, which date wins — each labelled with whose decision it was: the founder's, the person's, or built in. The fourth link of objective 4.</t>
        </is>
      </c>
      <c r="D5" s="3" t="inlineStr">
        <is>
          <t>PART DONE — 32 of 163 rows, and none says whose decision it was.</t>
        </is>
      </c>
    </row>
    <row r="6">
      <c r="A6" t="inlineStr">
        <is>
          <t>S04</t>
        </is>
      </c>
      <c r="B6" s="3" t="inlineStr">
        <is>
          <t>What comes out</t>
        </is>
      </c>
      <c r="C6" s="3" t="inlineStr">
        <is>
          <t>Dollars, a percentage, a date, a count or a range; its unit and its rounding.</t>
        </is>
      </c>
      <c r="D6" s="3" t="inlineStr">
        <is>
          <t>MISSING.</t>
        </is>
      </c>
    </row>
    <row r="7">
      <c r="A7" t="inlineStr">
        <is>
          <t>S05</t>
        </is>
      </c>
      <c r="B7" s="3" t="inlineStr">
        <is>
          <t>What it says when it cannot be computed</t>
        </is>
      </c>
      <c r="C7" s="3" t="inlineStr">
        <is>
          <t>The exact refusal. This is where wrong numbers get invented, so it is part of the specification, not an afterthought.</t>
        </is>
      </c>
      <c r="D7" s="3" t="inlineStr">
        <is>
          <t>MISSING.</t>
        </is>
      </c>
    </row>
    <row r="8">
      <c r="A8" t="inlineStr">
        <is>
          <t>S06</t>
        </is>
      </c>
      <c r="B8" s="3" t="inlineStr">
        <is>
          <t>The grain</t>
        </is>
      </c>
      <c r="C8" s="3" t="inlineStr">
        <is>
          <t>Whether the figure is per holding, per account, per person or per household. Without it a total and a single line look identical.</t>
        </is>
      </c>
      <c r="D8" s="3" t="inlineStr">
        <is>
          <t>MISSING.</t>
        </is>
      </c>
    </row>
    <row r="9">
      <c r="A9" t="inlineStr">
        <is>
          <t>S07</t>
        </is>
      </c>
      <c r="B9" s="3" t="inlineStr">
        <is>
          <t>The period</t>
        </is>
      </c>
      <c r="C9" s="3" t="inlineStr">
        <is>
          <t>As of when, and over what window — this month, twelve months, since the person owned it.</t>
        </is>
      </c>
      <c r="D9" s="3" t="inlineStr">
        <is>
          <t>MISSING.</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MISSING.</t>
        </is>
      </c>
    </row>
    <row r="12">
      <c r="A12" t="inlineStr">
        <is>
          <t>S09</t>
        </is>
      </c>
      <c r="B12" s="3" t="inlineStr">
        <is>
          <t>An example for every case</t>
        </is>
      </c>
      <c r="C12" s="3" t="inlineStr">
        <is>
          <t>One per case the grid names: input missing, input degraded, a different shape per institution, time-bounded, related events, account type. Rung 3, the floor for every calculation.</t>
        </is>
      </c>
      <c r="D12" s="3" t="inlineStr">
        <is>
          <t>MISSING.</t>
        </is>
      </c>
    </row>
    <row r="13">
      <c r="A13" t="inlineStr">
        <is>
          <t>S10</t>
        </is>
      </c>
      <c r="B13" s="3" t="inlineStr">
        <is>
          <t>Verification level</t>
        </is>
      </c>
      <c r="C13" s="3" t="inlineStr">
        <is>
          <t>Whether this engine is marked for rung 4 (the written formula made executable and checked against the code on generated inputs) and rung 5 (laws that must hold for every input). Marked by the founder, recommended by me.</t>
        </is>
      </c>
      <c r="D13" s="3" t="inlineStr">
        <is>
          <t>MISSING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The engines it depends on. Without this, build order and the one-door design cannot be worked out — a metric points at an engine today, but engines do not point at each other.</t>
        </is>
      </c>
      <c r="D15" s="3" t="inlineStr">
        <is>
          <t>MISSING.</t>
        </is>
      </c>
    </row>
    <row r="16">
      <c r="A16" t="inlineStr">
        <is>
          <t>S12</t>
        </is>
      </c>
      <c r="B16" s="3" t="inlineStr">
        <is>
          <t>Where it is implemented</t>
        </is>
      </c>
      <c r="C16" s="3" t="inlineStr">
        <is>
          <t>The file and function that carry it, so file and code can be checked against each other on every build.</t>
        </is>
      </c>
      <c r="D16" s="3" t="inlineStr">
        <is>
          <t>MISSING.</t>
        </is>
      </c>
    </row>
    <row r="17">
      <c r="A17" t="inlineStr"/>
      <c r="B17" s="4" t="inlineStr">
        <is>
          <t>SECTION — GOVERNANCE</t>
        </is>
      </c>
      <c r="C17" s="3" t="inlineStr"/>
      <c r="D17" s="3" t="inlineStr"/>
    </row>
    <row r="18">
      <c r="A18" t="inlineStr">
        <is>
          <t>S13</t>
        </is>
      </c>
      <c r="B18" s="3" t="inlineStr">
        <is>
          <t>The founder's verdict</t>
        </is>
      </c>
      <c r="C18" s="3" t="inlineStr">
        <is>
          <t>His approval of the row. A row counts as documented only when he has approved it, so without this column the coverage count is meaningless.</t>
        </is>
      </c>
      <c r="D18" s="3" t="inlineStr">
        <is>
          <t>MISSING — the column does not exist yet.</t>
        </is>
      </c>
    </row>
    <row r="19">
      <c r="A19" t="inlineStr">
        <is>
          <t>S14</t>
        </is>
      </c>
      <c r="B19" s="3" t="inlineStr">
        <is>
          <t>Lifecycle</t>
        </is>
      </c>
      <c r="C19" s="3" t="inlineStr">
        <is>
          <t>Live, cut, or superseded by another identifier. Identifiers are never reused, so a retired one must say what replaced it.</t>
        </is>
      </c>
      <c r="D19" s="3" t="inlineStr">
        <is>
          <t>MISSING.</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 Today only four of his seventy-two names appear anywhere in the old master.</t>
        </is>
      </c>
      <c r="D21" s="3" t="inlineStr">
        <is>
          <t>MISSING — 0 of 163 rows.</t>
        </is>
      </c>
    </row>
    <row r="22">
      <c r="A22" t="inlineStr">
        <is>
          <t>S16</t>
        </is>
      </c>
      <c r="B22" s="3" t="inlineStr">
        <is>
          <t>The duplication pass</t>
        </is>
      </c>
      <c r="C22" s="3" t="inlineStr">
        <is>
          <t>Figures that are the same thing under two identifiers — the Net worth figure that also sits on Plan. Objective 1 made real, and it must happen before the deeper columns are filled or the work gets done twice.</t>
        </is>
      </c>
      <c r="D22" s="3" t="inlineStr">
        <is>
          <t>NOT STARTED — the founder flagged it; rows now exist, so it is due.</t>
        </is>
      </c>
    </row>
    <row r="23">
      <c r="A23" t="inlineStr">
        <is>
          <t>S17</t>
        </is>
      </c>
      <c r="B23" s="3" t="inlineStr">
        <is>
          <t>Which screens are the 55-70 core</t>
        </is>
      </c>
      <c r="C23" s="3" t="inlineStr">
        <is>
          <t>The agreed first scope has never been written down, so no row can honestly say whether it is in or out.</t>
        </is>
      </c>
      <c r="D23" s="3" t="inlineStr">
        <is>
          <t>NOT DETERMINED on every row.</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c r="K2" t="inlineStr"/>
      <c r="L2" t="inlineStr">
        <is>
          <t>Assets minus debts, computed each time and never stored as a third number that could disagree with its own halves. A genuine negative is shown, never floored at zero.</t>
        </is>
      </c>
      <c r="M2" t="inlineStr"/>
      <c r="N2" t="inlineStr"/>
      <c r="O2" t="inlineStr"/>
      <c r="P2" t="inlineStr">
        <is>
          <t>NOT DETERMINED</t>
        </is>
      </c>
      <c r="Q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MK-XS-E-002</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c r="K3" t="inlineStr">
        <is>
          <t>The odds shown on Home, Plan and Cash flow are rounded to the nearest 5, while the compare tables still show them exact. One figure, two precisions — founder's open question.</t>
        </is>
      </c>
      <c r="L3" t="inlineStr">
        <is>
          <t>One thousand futures, and the odds are rounded to the nearest 5. A genuine 100 or 0 is shown literally; 98 shows as 95, never as 100 (fix B6). The best-to-worst band was removed.</t>
        </is>
      </c>
      <c r="M3" t="inlineStr">
        <is>
          <t>Q19 — The odds are rounded to the nearest 5 on screen but shown exact in the compare tables. Round everywhere, or show exact everywhere?</t>
        </is>
      </c>
      <c r="N3" t="inlineStr"/>
      <c r="O3" t="inlineStr"/>
      <c r="P3" t="inlineStr">
        <is>
          <t>NOT DETERMINED</t>
        </is>
      </c>
      <c r="Q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MK-XS-E-003</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c r="K4" t="inlineStr"/>
      <c r="L4" t="inlineStr"/>
      <c r="M4" t="inlineStr"/>
      <c r="N4" t="inlineStr"/>
      <c r="O4" t="inlineStr"/>
      <c r="P4" t="inlineStr">
        <is>
          <t>NOT DETERMINED</t>
        </is>
      </c>
      <c r="Q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MK-XS-E-004</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c r="K5" t="inlineStr"/>
      <c r="L5" t="inlineStr"/>
      <c r="M5" t="inlineStr"/>
      <c r="N5" t="inlineStr"/>
      <c r="O5" t="inlineStr"/>
      <c r="P5" t="inlineStr">
        <is>
          <t>NOT DETERMINED</t>
        </is>
      </c>
      <c r="Q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MK-XS-E-005</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c r="K6" t="inlineStr"/>
      <c r="L6" t="inlineStr"/>
      <c r="M6" t="inlineStr"/>
      <c r="N6" t="inlineStr"/>
      <c r="O6" t="inlineStr"/>
      <c r="P6" t="inlineStr">
        <is>
          <t>NOT DETERMINED</t>
        </is>
      </c>
      <c r="Q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MK-XS-E-006</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c r="K7" t="inlineStr"/>
      <c r="L7" t="inlineStr"/>
      <c r="M7" t="inlineStr"/>
      <c r="N7" t="inlineStr"/>
      <c r="O7" t="inlineStr"/>
      <c r="P7" t="inlineStr">
        <is>
          <t>NOT DETERMINED</t>
        </is>
      </c>
      <c r="Q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c r="K8" t="inlineStr"/>
      <c r="L8" t="inlineStr"/>
      <c r="M8" t="inlineStr"/>
      <c r="N8" t="inlineStr"/>
      <c r="O8" t="inlineStr"/>
      <c r="P8" t="inlineStr">
        <is>
          <t>NOT DETERMINED</t>
        </is>
      </c>
      <c r="Q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DECIDES the moment a price stops being current.</t>
        </is>
      </c>
      <c r="K2" t="inlineStr">
        <is>
          <t>Prices are never synced, so freshness is per device. Two devices can legitimately disagree about how current a value is.</t>
        </is>
      </c>
      <c r="L2" t="inlineStr"/>
      <c r="M2" t="inlineStr">
        <is>
          <t>Q22 — How old is too old for a price before the screen warns? Today it is a fixed limit in the code; you have never set it.</t>
        </is>
      </c>
      <c r="N2" t="inlineStr"/>
      <c r="O2" t="inlineStr"/>
      <c r="P2" t="inlineStr">
        <is>
          <t>NOT DETERMINED</t>
        </is>
      </c>
      <c r="Q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c r="K3" t="inlineStr"/>
      <c r="L3" t="inlineStr"/>
      <c r="M3" t="inlineStr"/>
      <c r="N3" t="inlineStr"/>
      <c r="O3" t="inlineStr"/>
      <c r="P3" t="inlineStr">
        <is>
          <t>NOT DETERMINED</t>
        </is>
      </c>
      <c r="Q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c r="K4" t="inlineStr"/>
      <c r="L4" t="inlineStr"/>
      <c r="M4" t="inlineStr"/>
      <c r="N4" t="inlineStr"/>
      <c r="O4" t="inlineStr"/>
      <c r="P4" t="inlineStr">
        <is>
          <t>NOT DETERMINED</t>
        </is>
      </c>
      <c r="Q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c r="K5" t="inlineStr"/>
      <c r="L5" t="inlineStr"/>
      <c r="M5" t="inlineStr"/>
      <c r="N5" t="inlineStr"/>
      <c r="O5" t="inlineStr"/>
      <c r="P5" t="inlineStr">
        <is>
          <t>NOT DETERMINED</t>
        </is>
      </c>
      <c r="Q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is>
          <t>NOT DETERMINED</t>
        </is>
      </c>
      <c r="Q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is>
          <t>NOT DETERMINED</t>
        </is>
      </c>
      <c r="Q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is>
          <t>NOT DETERMINED</t>
        </is>
      </c>
      <c r="Q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is>
          <t>NOT DETERMINED</t>
        </is>
      </c>
      <c r="Q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is>
          <t>NOT DETERMINED</t>
        </is>
      </c>
      <c r="Q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c r="K2" t="inlineStr">
        <is>
          <t>The daily and monthly points are synced, but the DAILY RECORD they are checked against is not. On a second device the trend survives and the walk behind it does not.</t>
        </is>
      </c>
      <c r="L2" t="inlineStr"/>
      <c r="M2" t="inlineStr">
        <is>
          <t>Q32 — The trend survives on a new device but the walk behind it does not. Should the trend say so, or show quietly?</t>
        </is>
      </c>
      <c r="N2" t="inlineStr"/>
      <c r="O2" t="inlineStr"/>
      <c r="P2" t="inlineStr">
        <is>
          <t>NOT DETERMINED</t>
        </is>
      </c>
      <c r="Q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c r="K3" t="inlineStr">
        <is>
          <t>The line is labelled "Return on cash + investments" but is computed as (now − then) ÷ then with NO adjustment for money paid in or taken out. Move $50,000 in and it reports a gain. Either the label is wrong or the formula is — founder's call.</t>
        </is>
      </c>
      <c r="L3" t="inlineStr"/>
      <c r="M3" t="inlineStr">
        <is>
          <t>Q17 — "Return on cash + investments" counts money you paid in as a gain. Is the LABEL wrong, or the FORMULA? Fixing the formula means removing deposits and withdrawals before measuring.</t>
        </is>
      </c>
      <c r="N3" t="inlineStr"/>
      <c r="O3" t="inlineStr"/>
      <c r="P3" t="inlineStr">
        <is>
          <t>NOT DETERMINED</t>
        </is>
      </c>
      <c r="Q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c r="K4" t="inlineStr">
        <is>
          <t>The daily and monthly points are synced, but the DAILY RECORD they are checked against is not. On a second device the trend survives and the walk behind it does not.</t>
        </is>
      </c>
      <c r="L4" t="inlineStr"/>
      <c r="M4" t="inlineStr"/>
      <c r="N4" t="inlineStr"/>
      <c r="O4" t="inlineStr"/>
      <c r="P4" t="inlineStr">
        <is>
          <t>NOT DETERMINED</t>
        </is>
      </c>
      <c r="Q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c r="K5" t="inlineStr"/>
      <c r="L5" t="inlineStr"/>
      <c r="M5" t="inlineStr"/>
      <c r="N5" t="inlineStr"/>
      <c r="O5" t="inlineStr"/>
      <c r="P5" t="inlineStr">
        <is>
          <t>NOT DETERMINED</t>
        </is>
      </c>
      <c r="Q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DECIDES what counts as cash — and deliberately excludes money-market funds.</t>
        </is>
      </c>
      <c r="K6" t="inlineStr">
        <is>
          <t>Money-market funds are deliberately NOT counted as cash. Any institution that reports a sweep as a fund will therefore land in investments — worth watching per provider.</t>
        </is>
      </c>
      <c r="L6" t="inlineStr">
        <is>
          <t>Cash means checking, savings, high-yield savings and the uninvested sweep at a broker. Money-market funds are investments, because they pay dividends and are measured with the investments (founder, 2026-08-04).</t>
        </is>
      </c>
      <c r="M6" t="inlineStr">
        <is>
          <t>Q16 — Does foreign-currency cash count towards Cash, or sit apart until it is converted?</t>
        </is>
      </c>
      <c r="N6" t="inlineStr"/>
      <c r="O6" t="inlineStr"/>
      <c r="P6" t="inlineStr">
        <is>
          <t>NOT DETERMINED</t>
        </is>
      </c>
      <c r="Q6" t="inlineStr">
        <is>
          <t>VERIFIED 2026-08-22</t>
        </is>
      </c>
    </row>
    <row r="7">
      <c r="A7" t="inlineStr">
        <is>
          <t>MK-NW-M-006</t>
        </is>
      </c>
      <c r="B7" t="inlineStr">
        <is>
          <t>Networth</t>
        </is>
      </c>
      <c r="C7" t="inlineStr">
        <is>
          <t>NA</t>
        </is>
      </c>
      <c r="D7" t="inlineStr">
        <is>
          <t>🏠 PERSONAL PROPERTY</t>
        </is>
      </c>
      <c r="E7" t="inlineStr">
        <is>
          <t>sectionTotals</t>
        </is>
      </c>
      <c r="F7" t="inlineStr">
        <is>
          <t>ACCOUNT_SHARE_OF_TOTAL</t>
        </is>
      </c>
      <c r="G7" t="inlineStr">
        <is>
          <t>MK-NW-E-003</t>
        </is>
      </c>
      <c r="H7" t="inlineStr">
        <is>
          <t>assets = Σ(balance of every account);  share of an account = balance ÷ assets</t>
        </is>
      </c>
      <c r="I7" t="inlineStr">
        <is>
          <t>Each account's share = its balance ÷ the total, so the shares add to 100. The blended return is weighted by money, not an average of the rates.
No money at all → every share is 0 and a stated default return is used, rather than dividing by nothing.</t>
        </is>
      </c>
      <c r="J7" t="inlineStr"/>
      <c r="K7" t="inlineStr"/>
      <c r="L7" t="inlineStr"/>
      <c r="M7" t="inlineStr"/>
      <c r="N7" t="inlineStr"/>
      <c r="O7" t="inlineStr"/>
      <c r="P7" t="inlineStr">
        <is>
          <t>NOT DETERMINED</t>
        </is>
      </c>
      <c r="Q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DECIDES the class of every asset before it can group them, and DECIDES the words shown for each class. The classifying rule itself is engine MK-ST-E-xxx — see the asset-classification standard.</t>
        </is>
      </c>
      <c r="K8" t="inlineStr"/>
      <c r="L8" t="inlineStr"/>
      <c r="M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N8" t="inlineStr"/>
      <c r="O8" t="inlineStr"/>
      <c r="P8" t="inlineStr">
        <is>
          <t>NOT DETERMINED</t>
        </is>
      </c>
      <c r="Q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MK-NW-E-006</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DECIDES which class each holding inside one account belongs to, then how much of the account total sits in each.</t>
        </is>
      </c>
      <c r="K9" t="inlineStr">
        <is>
          <t>Reported by the 54-item audit as one of the places a total and its parts can disagree; the reconciliation assertion now catches it, but the screen has no way to say so yet.</t>
        </is>
      </c>
      <c r="L9" t="inlineStr"/>
      <c r="M9" t="inlineStr">
        <is>
          <t>Q14 — What should a MIXED account be called on screen, when it holds several classes at once?</t>
        </is>
      </c>
      <c r="N9" t="inlineStr"/>
      <c r="O9" t="inlineStr"/>
      <c r="P9" t="inlineStr">
        <is>
          <t>NOT DETERMINED</t>
        </is>
      </c>
      <c r="Q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MK-NW-E-007</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c r="K10" t="inlineStr"/>
      <c r="L10" t="inlineStr"/>
      <c r="M10" t="inlineStr"/>
      <c r="N10" t="inlineStr"/>
      <c r="O10" t="inlineStr"/>
      <c r="P10" t="inlineStr">
        <is>
          <t>NOT DETERMINED</t>
        </is>
      </c>
      <c r="Q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MK-NW-E-007</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c r="K11" t="inlineStr"/>
      <c r="L11" t="inlineStr"/>
      <c r="M11" t="inlineStr"/>
      <c r="N11" t="inlineStr"/>
      <c r="O11" t="inlineStr"/>
      <c r="P11" t="inlineStr">
        <is>
          <t>NOT DETERMINED</t>
        </is>
      </c>
      <c r="Q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MK-NW-E-008</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c r="K12" t="inlineStr"/>
      <c r="L12" t="inlineStr"/>
      <c r="M12" t="inlineStr"/>
      <c r="N12" t="inlineStr"/>
      <c r="O12" t="inlineStr"/>
      <c r="P12" t="inlineStr">
        <is>
          <t>NOT DETERMINED</t>
        </is>
      </c>
      <c r="Q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MK-NW-E-007</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c r="K13" t="inlineStr"/>
      <c r="L13" t="inlineStr"/>
      <c r="M13" t="inlineStr"/>
      <c r="N13" t="inlineStr"/>
      <c r="O13" t="inlineStr"/>
      <c r="P13" t="inlineStr">
        <is>
          <t>NOT DETERMINED</t>
        </is>
      </c>
      <c r="Q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c r="K14" t="inlineStr"/>
      <c r="L14" t="inlineStr"/>
      <c r="M14" t="inlineStr"/>
      <c r="N14" t="inlineStr"/>
      <c r="O14" t="inlineStr"/>
      <c r="P14" t="inlineStr">
        <is>
          <t>NOT DETERMINED</t>
        </is>
      </c>
      <c r="Q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MK-NW-E-009</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DECIDES what counts as cash — and deliberately excludes money-market funds.</t>
        </is>
      </c>
      <c r="K15" t="inlineStr">
        <is>
          <t>Money-market funds are deliberately NOT counted as cash. Any institution that reports a sweep as a fund will therefore land in investments — worth watching per provider.</t>
        </is>
      </c>
      <c r="L15" t="inlineStr">
        <is>
          <t>Cash means checking, savings, high-yield savings and the uninvested sweep at a broker. Money-market funds are investments, because they pay dividends and are measured with the investments (founder, 2026-08-04).</t>
        </is>
      </c>
      <c r="M15" t="inlineStr"/>
      <c r="N15" t="inlineStr"/>
      <c r="O15" t="inlineStr"/>
      <c r="P15" t="inlineStr">
        <is>
          <t>NOT DETERMINED</t>
        </is>
      </c>
      <c r="Q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MK-NW-E-010</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c r="K16" t="inlineStr">
        <is>
          <t>The Net worth screen builds this projection WITHOUT the person's big costs, while Cash flow, Budget, Goals and Social Security timing all include them. Same person, same day, two different nest eggs. Seen in the code; not yet confirmed on screen.</t>
        </is>
      </c>
      <c r="L16" t="inlineStr">
        <is>
          <t>The recommended nest egg is 25× the yearly spending not covered by guaranteed income, counted from the start of the retirement year — which is why it differs from an outside calculator.</t>
        </is>
      </c>
      <c r="M16" t="inlineStr">
        <is>
          <t>Q18 — Net worth projects the pot WITHOUT your big costs; Cash flow, Budget, Goals and Social Security timing all include them. Which is right for the Net worth screen?</t>
        </is>
      </c>
      <c r="N16" t="inlineStr"/>
      <c r="O16" t="inlineStr"/>
      <c r="P16" t="inlineStr">
        <is>
          <t>NOT DETERMINED</t>
        </is>
      </c>
      <c r="Q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c r="K17" t="inlineStr"/>
      <c r="L17" t="inlineStr">
        <is>
          <t>Assets minus debts, computed each time and never stored as a third number that could disagree with its own halves. A genuine negative is shown, never floored at zero.</t>
        </is>
      </c>
      <c r="M17" t="inlineStr"/>
      <c r="N17" t="inlineStr"/>
      <c r="O17" t="inlineStr"/>
      <c r="P17" t="inlineStr">
        <is>
          <t>NOT DETERMINED</t>
        </is>
      </c>
      <c r="Q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MK-NW-E-011</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c r="K18" t="inlineStr"/>
      <c r="L18" t="inlineStr">
        <is>
          <t>Assets minus debts, computed each time and never stored as a third number that could disagree with its own halves. A genuine negative is shown, never floored at zero.</t>
        </is>
      </c>
      <c r="M18" t="inlineStr"/>
      <c r="N18" t="inlineStr"/>
      <c r="O18" t="inlineStr"/>
      <c r="P18" t="inlineStr">
        <is>
          <t>NOT DETERMINED</t>
        </is>
      </c>
      <c r="Q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MK-NW-E-012</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DECIDES whether a stated value is fresh enough to show without a warning.</t>
        </is>
      </c>
      <c r="K19" t="inlineStr"/>
      <c r="L19" t="inlineStr"/>
      <c r="M19" t="inlineStr">
        <is>
          <t>Q23 — Same question for a value you typed by hand: after how long should the app ask you to check it?</t>
        </is>
      </c>
      <c r="N19" t="inlineStr"/>
      <c r="O19" t="inlineStr"/>
      <c r="P19" t="inlineStr">
        <is>
          <t>NOT DETERMINED</t>
        </is>
      </c>
      <c r="Q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MK-NW-E-013</t>
        </is>
      </c>
      <c r="H20" t="inlineStr">
        <is>
          <t>income = Σ(interest + dividends recorded on this account in the period)</t>
        </is>
      </c>
      <c r="I20" t="inlineStr">
        <is>
          <t>Adds the income lines the ledger holds for this account over the period shown.</t>
        </is>
      </c>
      <c r="J20" t="inlineStr"/>
      <c r="K20" t="inlineStr"/>
      <c r="L20" t="inlineStr"/>
      <c r="M20" t="inlineStr">
        <is>
          <t>Q15 — An institution word we do not recognise: refuse the line and ask you, or book it as unclassified with no direction? The old sign-guess is what minted the $1.4 million.</t>
        </is>
      </c>
      <c r="N20" t="inlineStr"/>
      <c r="O20" t="inlineStr"/>
      <c r="P20" t="inlineStr">
        <is>
          <t>NOT DETERMINED</t>
        </is>
      </c>
      <c r="Q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MK-NW-E-006</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DECIDES which class each holding inside one account belongs to, then how much of the account total sits in each.</t>
        </is>
      </c>
      <c r="K21" t="inlineStr">
        <is>
          <t>Reported by the 54-item audit as one of the places a total and its parts can disagree; the reconciliation assertion now catches it, but the screen has no way to say so yet.</t>
        </is>
      </c>
      <c r="L21" t="inlineStr"/>
      <c r="M21" t="inlineStr"/>
      <c r="N21" t="inlineStr"/>
      <c r="O21" t="inlineStr"/>
      <c r="P21" t="inlineStr">
        <is>
          <t>NOT DETERMINED</t>
        </is>
      </c>
      <c r="Q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MK-NW-E-014</t>
        </is>
      </c>
      <c r="H22" t="inlineStr">
        <is>
          <t>income = Σ(income lines recorded against this holding)</t>
        </is>
      </c>
      <c r="I22" t="inlineStr">
        <is>
          <t>Adds the income the ledger holds for that one holding.</t>
        </is>
      </c>
      <c r="J22" t="inlineStr"/>
      <c r="K22" t="inlineStr"/>
      <c r="L22" t="inlineStr"/>
      <c r="M22" t="inlineStr"/>
      <c r="N22" t="inlineStr"/>
      <c r="O22" t="inlineStr"/>
      <c r="P22" t="inlineStr">
        <is>
          <t>NOT DETERMINED</t>
        </is>
      </c>
      <c r="Q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MK-NW-E-015</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c r="K23" t="inlineStr"/>
      <c r="L23" t="inlineStr"/>
      <c r="M23" t="inlineStr"/>
      <c r="N23" t="inlineStr"/>
      <c r="O23" t="inlineStr"/>
      <c r="P23" t="inlineStr">
        <is>
          <t>NOT DETERMINED</t>
        </is>
      </c>
      <c r="Q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MK-NW-E-016</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DECIDES how a bond is NAMED on screen — issuer, or the identifying number, or a plain description; and DECIDES whether a line is a bond at all.</t>
        </is>
      </c>
      <c r="K24" t="inlineStr"/>
      <c r="L24" t="inlineStr"/>
      <c r="M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N24" t="inlineStr"/>
      <c r="O24" t="inlineStr"/>
      <c r="P24" t="inlineStr">
        <is>
          <t>NOT DETERMINED</t>
        </is>
      </c>
      <c r="Q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MK-NW-E-017</t>
        </is>
      </c>
      <c r="H25" t="inlineStr">
        <is>
          <t>annual coupon = face × coupon rate</t>
        </is>
      </c>
      <c r="I25" t="inlineStr">
        <is>
          <t>face value × coupon rate. NOT what the bond is worth today × the rate — a $10,000 bond paying 4% pays $400 whether it is trading at $9,800 or $11,000.</t>
        </is>
      </c>
      <c r="J25" t="inlineStr"/>
      <c r="K25" t="inlineStr"/>
      <c r="L25" t="inlineStr"/>
      <c r="M25" t="inlineStr">
        <is>
          <t>Q04 — "Annual income" on a bond: the last twelve months actually received, or the forward estimate from today's coupon? Both are defensible and they differ.</t>
        </is>
      </c>
      <c r="N25" t="inlineStr"/>
      <c r="O25" t="inlineStr"/>
      <c r="P25" t="inlineStr">
        <is>
          <t>NOT DETERMINED</t>
        </is>
      </c>
      <c r="Q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MK-NW-E-018</t>
        </is>
      </c>
      <c r="H26" t="inlineStr">
        <is>
          <t>years to maturity = (maturity date − today) ÷ 365</t>
        </is>
      </c>
      <c r="I26" t="inlineStr">
        <is>
          <t>maturity date − today, in years. Anything already past → 0. No maturity date → 0, treated as due now rather than as never.</t>
        </is>
      </c>
      <c r="J26" t="inlineStr"/>
      <c r="K26" t="inlineStr"/>
      <c r="L26" t="inlineStr"/>
      <c r="M26" t="inlineStr"/>
      <c r="N26" t="inlineStr"/>
      <c r="O26" t="inlineStr"/>
      <c r="P26" t="inlineStr">
        <is>
          <t>NOT DETERMINED</t>
        </is>
      </c>
      <c r="Q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MK-NW-E-019</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c r="K27" t="inlineStr"/>
      <c r="L27" t="inlineStr"/>
      <c r="M27" t="inlineStr">
        <is>
          <t>Q05 — Accrued interest: do we work it out ourselves — which needs a day-count rule per bond type — or only show what the institution gives us?</t>
        </is>
      </c>
      <c r="N27" t="inlineStr"/>
      <c r="O27" t="inlineStr"/>
      <c r="P27" t="inlineStr">
        <is>
          <t>NOT DETERMINED</t>
        </is>
      </c>
      <c r="Q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MK-NW-E-020</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c r="K28" t="inlineStr"/>
      <c r="L28" t="inlineStr"/>
      <c r="M28" t="inlineStr"/>
      <c r="N28" t="inlineStr"/>
      <c r="O28" t="inlineStr"/>
      <c r="P28" t="inlineStr">
        <is>
          <t>NOT DETERMINED</t>
        </is>
      </c>
      <c r="Q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t>
        </is>
      </c>
      <c r="G29" t="inlineStr">
        <is>
          <t>MK-NW-E-021</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c r="K29" t="inlineStr"/>
      <c r="L29" t="inlineStr"/>
      <c r="M29" t="inlineStr"/>
      <c r="N29" t="inlineStr"/>
      <c r="O29" t="inlineStr"/>
      <c r="P29" t="inlineStr">
        <is>
          <t>NOT DETERMINED</t>
        </is>
      </c>
      <c r="Q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MK-NW-E-022</t>
        </is>
      </c>
      <c r="H30" t="inlineStr">
        <is>
          <t>price = the latest close from the feed, with the time it was fetched</t>
        </is>
      </c>
      <c r="I30" t="inlineStr">
        <is>
          <t>The most recent price the feed gave, carrying the moment it was fetched so staleness can be shown.</t>
        </is>
      </c>
      <c r="J30" t="inlineStr"/>
      <c r="K30" t="inlineStr"/>
      <c r="L30" t="inlineStr"/>
      <c r="M30" t="inlineStr"/>
      <c r="N30" t="inlineStr"/>
      <c r="O30" t="inlineStr"/>
      <c r="P30" t="inlineStr">
        <is>
          <t>NOT DETERMINED</t>
        </is>
      </c>
      <c r="Q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MK-NW-E-023</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DECIDES whether a line is a share, a bond, an option, a crypto amount or a currency, because the units differ; and DECIDES the price to use when the feed has none.</t>
        </is>
      </c>
      <c r="K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L31" t="inlineStr">
        <is>
          <t>A price is a ratio, not money: it keeps eight decimal places and is never rounded to cents. Rounding a Treasury bill price of $0.9888 to $0.99 invented $276 of gain on one row.</t>
        </is>
      </c>
      <c r="M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N31" t="inlineStr"/>
      <c r="O31" t="inlineStr"/>
      <c r="P31" t="inlineStr">
        <is>
          <t>NOT DETERMINED</t>
        </is>
      </c>
      <c r="Q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MK-NW-E-024</t>
        </is>
      </c>
      <c r="H32" t="inlineStr">
        <is>
          <t>quantity = Σ(shares bought) − Σ(shares sold)</t>
        </is>
      </c>
      <c r="I32" t="inlineStr">
        <is>
          <t>Add the shares across every purchase lot. A position is the SUM OF ITS LOTS, never one stored figure — that is what makes gain-since-purchase possible.</t>
        </is>
      </c>
      <c r="J32" t="inlineStr"/>
      <c r="K32" t="inlineStr">
        <is>
          <t>OPTIONS: quantity is held in contracts for options and in shares for stock, in the same field, with nothing marking which. Anything multiplying quantity by price inherits the ambiguity.</t>
        </is>
      </c>
      <c r="L32" t="inlineStr"/>
      <c r="M32" t="inlineStr">
        <is>
          <t>Q09 — Should the app store the UNIT beside every quantity — shares, contracts, coins, units of face, currency units — so nothing can be multiplied by the wrong price? Today one field holds all of them with nothing marking which.</t>
        </is>
      </c>
      <c r="N32" t="inlineStr"/>
      <c r="O32" t="inlineStr"/>
      <c r="P32" t="inlineStr">
        <is>
          <t>NOT DETERMINED</t>
        </is>
      </c>
      <c r="Q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MK-NW-E-025</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c r="K33" t="inlineStr">
        <is>
          <t>OPTIONS: same contract-multiplier question as market value — cost per share × shares, with no ×100 for a contract. TO VERIFY.</t>
        </is>
      </c>
      <c r="L33" t="inlineStr">
        <is>
          <t>Cost basis comes from recorded lots. A lot with no cost is skipped rather than treated as free shares, because free shares would report the whole value as gain and tax it.</t>
        </is>
      </c>
      <c r="M33" t="inlineStr"/>
      <c r="N33" t="inlineStr"/>
      <c r="O33" t="inlineStr"/>
      <c r="P33" t="inlineStr">
        <is>
          <t>NOT DETERMINED</t>
        </is>
      </c>
      <c r="Q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MK-NW-E-025</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c r="K34" t="inlineStr">
        <is>
          <t>OPTIONS: same contract-multiplier question as market value — cost per share × shares, with no ×100 for a contract. TO VERIFY.</t>
        </is>
      </c>
      <c r="L34" t="inlineStr">
        <is>
          <t>Cost basis comes from recorded lots. A lot with no cost is skipped rather than treated as free shares, because free shares would report the whole value as gain and tax it.</t>
        </is>
      </c>
      <c r="M34" t="inlineStr"/>
      <c r="N34" t="inlineStr"/>
      <c r="O34" t="inlineStr"/>
      <c r="P34" t="inlineStr">
        <is>
          <t>NOT DETERMINED</t>
        </is>
      </c>
      <c r="Q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MK-NW-E-026</t>
        </is>
      </c>
      <c r="H35" t="inlineStr">
        <is>
          <t>dividends = Σ(dividend lines in the last 12 months)</t>
        </is>
      </c>
      <c r="I35" t="inlineStr">
        <is>
          <t>Adds the dividends recorded for this holding over the last twelve months.</t>
        </is>
      </c>
      <c r="J35" t="inlineStr"/>
      <c r="K35" t="inlineStr"/>
      <c r="L35" t="inlineStr"/>
      <c r="M35" t="inlineStr"/>
      <c r="N35" t="inlineStr"/>
      <c r="O35" t="inlineStr"/>
      <c r="P35" t="inlineStr">
        <is>
          <t>NOT DETERMINED</t>
        </is>
      </c>
      <c r="Q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MK-NW-E-027</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c r="K36" t="inlineStr">
        <is>
          <t>Reads the transaction ledger, which is device-only. On a second device it reports nothing — not because nothing was sold, but because the record is elsewhere.</t>
        </is>
      </c>
      <c r="L36" t="inlineStr"/>
      <c r="M36" t="inlineStr">
        <is>
          <t>Q21 — On a second device the ledger is absent, so this reads nothing. Until history syncs, should it refuse in words rather than show a figure that looks like zero?</t>
        </is>
      </c>
      <c r="N36" t="inlineStr"/>
      <c r="O36" t="inlineStr"/>
      <c r="P36" t="inlineStr">
        <is>
          <t>NOT DETERMINED</t>
        </is>
      </c>
      <c r="Q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MK-NW-E-028</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c r="K37" t="inlineStr">
        <is>
          <t>OPTIONS: gain per lot = shares × (price − cost), again with no contract multiplier. TO VERIFY. Separately: a lot with no recorded cost is skipped, so a position of skipped lots reports no gain at all rather than saying it cannot tell.</t>
        </is>
      </c>
      <c r="L37" t="inlineStr">
        <is>
          <t>Long-term is decided by DAYS, not calendar months (correction E7): 335 days used to count as long-term and be taxed at the lower rate.</t>
        </is>
      </c>
      <c r="M37" t="inlineStr">
        <is>
          <t>Q20 — A lot with no recorded purchase price is skipped, so its gain is simply absent. Should the screen SAY so — "gain not counted for N shares, no purchase price on record" — rather than quietly reporting less?</t>
        </is>
      </c>
      <c r="N37" t="inlineStr"/>
      <c r="O37" t="inlineStr"/>
      <c r="P37" t="inlineStr">
        <is>
          <t>NOT DETERMINED</t>
        </is>
      </c>
      <c r="Q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MK-NW-E-028</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c r="K38" t="inlineStr">
        <is>
          <t>OPTIONS: gain per lot = shares × (price − cost), again with no contract multiplier. TO VERIFY. Separately: a lot with no recorded cost is skipped, so a position of skipped lots reports no gain at all rather than saying it cannot tell.</t>
        </is>
      </c>
      <c r="L38" t="inlineStr">
        <is>
          <t>Long-term is decided by DAYS, not calendar months (correction E7): 335 days used to count as long-term and be taxed at the lower rate.</t>
        </is>
      </c>
      <c r="M38" t="inlineStr"/>
      <c r="N38" t="inlineStr"/>
      <c r="O38" t="inlineStr"/>
      <c r="P38" t="inlineStr">
        <is>
          <t>NOT DETERMINED</t>
        </is>
      </c>
      <c r="Q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MK-NW-E-029</t>
        </is>
      </c>
      <c r="H39" t="inlineStr">
        <is>
          <t>the balance of the account being broken into holdings</t>
        </is>
      </c>
      <c r="I39" t="inlineStr">
        <is>
          <t>The single account total that the holdings entered must add up to.</t>
        </is>
      </c>
      <c r="J39" t="inlineStr"/>
      <c r="K39" t="inlineStr"/>
      <c r="L39" t="inlineStr"/>
      <c r="M39" t="inlineStr"/>
      <c r="N39" t="inlineStr"/>
      <c r="O39" t="inlineStr"/>
      <c r="P39" t="inlineStr">
        <is>
          <t>NOT DETERMINED</t>
        </is>
      </c>
      <c r="Q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c r="K40" t="inlineStr"/>
      <c r="L40" t="inlineStr"/>
      <c r="M40" t="inlineStr"/>
      <c r="N40" t="inlineStr"/>
      <c r="O40" t="inlineStr"/>
      <c r="P40" t="inlineStr">
        <is>
          <t>NOT DETERMINED</t>
        </is>
      </c>
      <c r="Q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MK-NW-E-023</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DECIDES whether a line is a share, a bond, an option, a crypto amount or a currency, because the units differ; and DECIDES the price to use when the feed has none.</t>
        </is>
      </c>
      <c r="K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L41" t="inlineStr">
        <is>
          <t>A price is a ratio, not money: it keeps eight decimal places and is never rounded to cents. Rounding a Treasury bill price of $0.9888 to $0.99 invented $276 of gain on one row.</t>
        </is>
      </c>
      <c r="M41" t="inlineStr"/>
      <c r="N41" t="inlineStr"/>
      <c r="O41" t="inlineStr"/>
      <c r="P41" t="inlineStr">
        <is>
          <t>NOT DETERMINED</t>
        </is>
      </c>
      <c r="Q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MK-NW-E-016</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DECIDES how a bond is NAMED on screen — issuer, or the identifying number, or a plain description; and DECIDES whether a line is a bond at all.</t>
        </is>
      </c>
      <c r="K42" t="inlineStr"/>
      <c r="L42" t="inlineStr"/>
      <c r="M42" t="inlineStr"/>
      <c r="N42" t="inlineStr"/>
      <c r="O42" t="inlineStr"/>
      <c r="P42" t="inlineStr">
        <is>
          <t>NOT DETERMINED</t>
        </is>
      </c>
      <c r="Q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MK-NW-E-016</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DECIDES how a bond is NAMED on screen — issuer, or the identifying number, or a plain description; and DECIDES whether a line is a bond at all.</t>
        </is>
      </c>
      <c r="K43" t="inlineStr"/>
      <c r="L43" t="inlineStr"/>
      <c r="M43" t="inlineStr"/>
      <c r="N43" t="inlineStr"/>
      <c r="O43" t="inlineStr"/>
      <c r="P43" t="inlineStr">
        <is>
          <t>NOT DETERMINED</t>
        </is>
      </c>
      <c r="Q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MK-NW-E-017</t>
        </is>
      </c>
      <c r="H44" t="inlineStr">
        <is>
          <t>annual coupon = face × coupon rate</t>
        </is>
      </c>
      <c r="I44" t="inlineStr">
        <is>
          <t>face value × coupon rate. NOT what the bond is worth today × the rate — a $10,000 bond paying 4% pays $400 whether it is trading at $9,800 or $11,000.</t>
        </is>
      </c>
      <c r="J44" t="inlineStr"/>
      <c r="K44" t="inlineStr"/>
      <c r="L44" t="inlineStr"/>
      <c r="M44" t="inlineStr"/>
      <c r="N44" t="inlineStr"/>
      <c r="O44" t="inlineStr"/>
      <c r="P44" t="inlineStr">
        <is>
          <t>NOT DETERMINED</t>
        </is>
      </c>
      <c r="Q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MK-NW-E-020</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c r="K45" t="inlineStr"/>
      <c r="L45" t="inlineStr"/>
      <c r="M45" t="inlineStr"/>
      <c r="N45" t="inlineStr"/>
      <c r="O45" t="inlineStr"/>
      <c r="P45" t="inlineStr">
        <is>
          <t>NOT DETERMINED</t>
        </is>
      </c>
      <c r="Q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MK-NW-E-030</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DECIDES how a bond is NAMED on screen — issuer, or the identifying number, or a plain description; and DECIDES whether a line is a bond at all.</t>
        </is>
      </c>
      <c r="K46" t="inlineStr"/>
      <c r="L46" t="inlineStr"/>
      <c r="M46" t="inlineStr"/>
      <c r="N46" t="inlineStr"/>
      <c r="O46" t="inlineStr"/>
      <c r="P46" t="inlineStr">
        <is>
          <t>NOT DETERMINED</t>
        </is>
      </c>
      <c r="Q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is>
          <t>NOT DETERMINED</t>
        </is>
      </c>
      <c r="Q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is>
          <t>NOT DETERMINED</t>
        </is>
      </c>
      <c r="Q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is>
          <t>NOT DETERMINED</t>
        </is>
      </c>
      <c r="Q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c r="K2" t="inlineStr">
        <is>
          <t>Beginning values are read from the daily record, which never leaves the phone. On a new device there is no beginning, so the walk back-solves one or refuses.</t>
        </is>
      </c>
      <c r="L2" t="inlineStr">
        <is>
          <t>The identity must close: ending = beginning + money in − money out + income − costs + market change. A direction stated by the institution never overrides a contradicting sign — a −$500 line marked IN is a reversal.</t>
        </is>
      </c>
      <c r="M2" t="inlineStr"/>
      <c r="N2" t="inlineStr"/>
      <c r="O2" t="inlineStr"/>
      <c r="P2" t="inlineStr">
        <is>
          <t>NOT DETERMINED</t>
        </is>
      </c>
      <c r="Q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c r="K3" t="inlineStr">
        <is>
          <t>Beginning values are read from the daily record, which never leaves the phone. On a new device there is no beginning, so the walk back-solves one or refuses.</t>
        </is>
      </c>
      <c r="L3" t="inlineStr">
        <is>
          <t>The identity must close: ending = beginning + money in − money out + income − costs + market change. A direction stated by the institution never overrides a contradicting sign — a −$500 line marked IN is a reversal.</t>
        </is>
      </c>
      <c r="M3" t="inlineStr"/>
      <c r="N3" t="inlineStr"/>
      <c r="O3" t="inlineStr"/>
      <c r="P3" t="inlineStr">
        <is>
          <t>NOT DETERMINED</t>
        </is>
      </c>
      <c r="Q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c r="K4" t="inlineStr">
        <is>
          <t>Beginning values are read from the daily record, which never leaves the phone. On a new device there is no beginning, so the walk back-solves one or refuses.</t>
        </is>
      </c>
      <c r="L4" t="inlineStr">
        <is>
          <t>The identity must close: ending = beginning + money in − money out + income − costs + market change. A direction stated by the institution never overrides a contradicting sign — a −$500 line marked IN is a reversal.</t>
        </is>
      </c>
      <c r="M4" t="inlineStr"/>
      <c r="N4" t="inlineStr"/>
      <c r="O4" t="inlineStr"/>
      <c r="P4" t="inlineStr">
        <is>
          <t>NOT DETERMINED</t>
        </is>
      </c>
      <c r="Q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c r="K5" t="inlineStr">
        <is>
          <t>Beginning values are read from the daily record, which never leaves the phone. On a new device there is no beginning, so the walk back-solves one or refuses.</t>
        </is>
      </c>
      <c r="L5" t="inlineStr">
        <is>
          <t>The identity must close: ending = beginning + money in − money out + income − costs + market change. A direction stated by the institution never overrides a contradicting sign — a −$500 line marked IN is a reversal.</t>
        </is>
      </c>
      <c r="M5" t="inlineStr"/>
      <c r="N5" t="inlineStr"/>
      <c r="O5" t="inlineStr"/>
      <c r="P5" t="inlineStr">
        <is>
          <t>NOT DETERMINED</t>
        </is>
      </c>
      <c r="Q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c r="K6" t="inlineStr"/>
      <c r="L6" t="inlineStr"/>
      <c r="M6" t="inlineStr"/>
      <c r="N6" t="inlineStr"/>
      <c r="O6" t="inlineStr"/>
      <c r="P6" t="inlineStr">
        <is>
          <t>NOT DETERMINED</t>
        </is>
      </c>
      <c r="Q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c r="K7" t="inlineStr"/>
      <c r="L7" t="inlineStr"/>
      <c r="M7" t="inlineStr"/>
      <c r="N7" t="inlineStr"/>
      <c r="O7" t="inlineStr"/>
      <c r="P7" t="inlineStr">
        <is>
          <t>NOT DETERMINED</t>
        </is>
      </c>
      <c r="Q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c r="K8" t="inlineStr"/>
      <c r="L8" t="inlineStr"/>
      <c r="M8" t="inlineStr"/>
      <c r="N8" t="inlineStr"/>
      <c r="O8" t="inlineStr"/>
      <c r="P8" t="inlineStr">
        <is>
          <t>NOT DETERMINED</t>
        </is>
      </c>
      <c r="Q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c r="K9" t="inlineStr"/>
      <c r="L9" t="inlineStr"/>
      <c r="M9" t="inlineStr">
        <is>
          <t>Q33 — Which index should each asset class be compared against, and should the person be able to change it?</t>
        </is>
      </c>
      <c r="N9" t="inlineStr"/>
      <c r="O9" t="inlineStr"/>
      <c r="P9" t="inlineStr">
        <is>
          <t>NOT DETERMINED</t>
        </is>
      </c>
      <c r="Q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c r="K10" t="inlineStr"/>
      <c r="L10" t="inlineStr">
        <is>
          <t>When the timing of money moving in or out drives the percentage more than the investments do, the figure is REFUSED and the dollar walk is shown instead.</t>
        </is>
      </c>
      <c r="M10" t="inlineStr"/>
      <c r="N10" t="inlineStr"/>
      <c r="O10" t="inlineStr"/>
      <c r="P10" t="inlineStr">
        <is>
          <t>NOT DETERMINED</t>
        </is>
      </c>
      <c r="Q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c r="K11" t="inlineStr"/>
      <c r="L11" t="inlineStr"/>
      <c r="M11" t="inlineStr"/>
      <c r="N11" t="inlineStr"/>
      <c r="O11" t="inlineStr"/>
      <c r="P11" t="inlineStr">
        <is>
          <t>NOT DETERMINED</t>
        </is>
      </c>
      <c r="Q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c r="K12" t="inlineStr"/>
      <c r="L12" t="inlineStr"/>
      <c r="M12" t="inlineStr"/>
      <c r="N12" t="inlineStr"/>
      <c r="O12" t="inlineStr"/>
      <c r="P12" t="inlineStr">
        <is>
          <t>NOT DETERMINED</t>
        </is>
      </c>
      <c r="Q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c r="K13" t="inlineStr"/>
      <c r="L13" t="inlineStr"/>
      <c r="M13" t="inlineStr"/>
      <c r="N13" t="inlineStr"/>
      <c r="O13" t="inlineStr"/>
      <c r="P13" t="inlineStr">
        <is>
          <t>NOT DETERMINED</t>
        </is>
      </c>
      <c r="Q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is>
          <t>NOT DETERMINED</t>
        </is>
      </c>
      <c r="Q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is>
          <t>NOT DETERMINED</t>
        </is>
      </c>
      <c r="Q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is>
          <t>NOT DETERMINED</t>
        </is>
      </c>
      <c r="Q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c r="K2" t="inlineStr"/>
      <c r="L2" t="inlineStr"/>
      <c r="M2" t="inlineStr"/>
      <c r="N2" t="inlineStr"/>
      <c r="O2" t="inlineStr"/>
      <c r="P2" t="inlineStr">
        <is>
          <t>NOT DETERMINED</t>
        </is>
      </c>
      <c r="Q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c r="K3" t="inlineStr"/>
      <c r="L3" t="inlineStr"/>
      <c r="M3" t="inlineStr"/>
      <c r="N3" t="inlineStr"/>
      <c r="O3" t="inlineStr"/>
      <c r="P3" t="inlineStr">
        <is>
          <t>NOT DETERMINED</t>
        </is>
      </c>
      <c r="Q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c r="K4" t="inlineStr"/>
      <c r="L4" t="inlineStr"/>
      <c r="M4" t="inlineStr"/>
      <c r="N4" t="inlineStr"/>
      <c r="O4" t="inlineStr"/>
      <c r="P4" t="inlineStr">
        <is>
          <t>NOT DETERMINED</t>
        </is>
      </c>
      <c r="Q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c r="K5" t="inlineStr"/>
      <c r="L5" t="inlineStr"/>
      <c r="M5" t="inlineStr"/>
      <c r="N5" t="inlineStr"/>
      <c r="O5" t="inlineStr"/>
      <c r="P5" t="inlineStr">
        <is>
          <t>NOT DETERMINED</t>
        </is>
      </c>
      <c r="Q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c r="K6" t="inlineStr"/>
      <c r="L6" t="inlineStr"/>
      <c r="M6" t="inlineStr"/>
      <c r="N6" t="inlineStr"/>
      <c r="O6" t="inlineStr"/>
      <c r="P6" t="inlineStr">
        <is>
          <t>NOT DETERMINED</t>
        </is>
      </c>
      <c r="Q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c r="K7" t="inlineStr"/>
      <c r="L7" t="inlineStr"/>
      <c r="M7" t="inlineStr"/>
      <c r="N7" t="inlineStr"/>
      <c r="O7" t="inlineStr"/>
      <c r="P7" t="inlineStr">
        <is>
          <t>NOT DETERMINED</t>
        </is>
      </c>
      <c r="Q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c r="K8" t="inlineStr"/>
      <c r="L8" t="inlineStr"/>
      <c r="M8" t="inlineStr"/>
      <c r="N8" t="inlineStr"/>
      <c r="O8" t="inlineStr"/>
      <c r="P8" t="inlineStr">
        <is>
          <t>NOT DETERMINED</t>
        </is>
      </c>
      <c r="Q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MK-PL-E-004</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c r="K9" t="inlineStr"/>
      <c r="L9" t="inlineStr"/>
      <c r="M9" t="inlineStr"/>
      <c r="N9" t="inlineStr"/>
      <c r="O9" t="inlineStr"/>
      <c r="P9" t="inlineStr">
        <is>
          <t>NOT DETERMINED</t>
        </is>
      </c>
      <c r="Q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MK-PL-E-005</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c r="K10" t="inlineStr"/>
      <c r="L10" t="inlineStr"/>
      <c r="M10" t="inlineStr"/>
      <c r="N10" t="inlineStr"/>
      <c r="O10" t="inlineStr"/>
      <c r="P10" t="inlineStr">
        <is>
          <t>NOT DETERMINED</t>
        </is>
      </c>
      <c r="Q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MK-PL-E-006</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c r="K11" t="inlineStr"/>
      <c r="L11" t="inlineStr">
        <is>
          <t>Each stream grows on its own rule: Social Security rises with inflation, a fixed pension stays flat. They are never inflated together (fix B1).</t>
        </is>
      </c>
      <c r="M11" t="inlineStr"/>
      <c r="N11" t="inlineStr"/>
      <c r="O11" t="inlineStr"/>
      <c r="P11" t="inlineStr">
        <is>
          <t>NOT DETERMINED</t>
        </is>
      </c>
      <c r="Q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MK-PL-E-004</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c r="K12" t="inlineStr"/>
      <c r="L12" t="inlineStr"/>
      <c r="M12" t="inlineStr"/>
      <c r="N12" t="inlineStr"/>
      <c r="O12" t="inlineStr"/>
      <c r="P12" t="inlineStr">
        <is>
          <t>NOT DETERMINED</t>
        </is>
      </c>
      <c r="Q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MK-PL-E-007</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c r="K13" t="inlineStr"/>
      <c r="L13" t="inlineStr">
        <is>
          <t>The same one dated table, after both earlier copies were deleted.</t>
        </is>
      </c>
      <c r="M13" t="inlineStr"/>
      <c r="N13" t="inlineStr"/>
      <c r="O13" t="inlineStr"/>
      <c r="P13" t="inlineStr">
        <is>
          <t>NOT DETERMINED</t>
        </is>
      </c>
      <c r="Q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t>
        </is>
      </c>
      <c r="G14" t="inlineStr">
        <is>
          <t>MK-PL-E-008</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c r="K14" t="inlineStr"/>
      <c r="L14" t="inlineStr">
        <is>
          <t>One dated table. Start age is 73 for those born 1951–1959 and 75 for those born 1960 or later; a Roth 401(k) is exempt (fix B4).</t>
        </is>
      </c>
      <c r="M14" t="inlineStr">
        <is>
          <t>Q31 — Required withdrawals are estimated from balances we hold. When an institution states its own required figure, does theirs win?</t>
        </is>
      </c>
      <c r="N14" t="inlineStr"/>
      <c r="O14" t="inlineStr"/>
      <c r="P14" t="inlineStr">
        <is>
          <t>NOT DETERMINED</t>
        </is>
      </c>
      <c r="Q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c r="K15" t="inlineStr"/>
      <c r="L15" t="inlineStr"/>
      <c r="M15" t="inlineStr"/>
      <c r="N15" t="inlineStr"/>
      <c r="O15" t="inlineStr"/>
      <c r="P15" t="inlineStr">
        <is>
          <t>NOT DETERMINED</t>
        </is>
      </c>
      <c r="Q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t>
        </is>
      </c>
      <c r="G16" t="inlineStr">
        <is>
          <t>MK-PL-E-008</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c r="K16" t="inlineStr"/>
      <c r="L16" t="inlineStr">
        <is>
          <t>One dated table. Start age is 73 for those born 1951–1959 and 75 for those born 1960 or later; a Roth 401(k) is exempt (fix B4).</t>
        </is>
      </c>
      <c r="M16" t="inlineStr"/>
      <c r="N16" t="inlineStr"/>
      <c r="O16" t="inlineStr"/>
      <c r="P16" t="inlineStr">
        <is>
          <t>NOT DETERMINED</t>
        </is>
      </c>
      <c r="Q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MK-NW-E-012</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DECIDES whether a stated value is fresh enough to show without a warning.</t>
        </is>
      </c>
      <c r="K17" t="inlineStr"/>
      <c r="L17" t="inlineStr"/>
      <c r="M17" t="inlineStr"/>
      <c r="N17" t="inlineStr"/>
      <c r="O17" t="inlineStr"/>
      <c r="P17" t="inlineStr">
        <is>
          <t>NOT DETERMINED</t>
        </is>
      </c>
      <c r="Q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MK-PL-E-009</t>
        </is>
      </c>
      <c r="H18" t="inlineStr">
        <is>
          <t>benefit at claim age = the statement amount at full retirement age × the claim factor for that age</t>
        </is>
      </c>
      <c r="I18" t="inlineStr">
        <is>
          <t>Statement monthly amount × the claim factor for (claim age, birth year), rounded to whole dollars.</t>
        </is>
      </c>
      <c r="J18" t="inlineStr"/>
      <c r="K18" t="inlineStr"/>
      <c r="L18" t="inlineStr">
        <is>
          <t>The amount a person types from their statement is the amount at THEIR full retirement age, not at 62 and not at 70 (fix B2). The full-retirement age itself comes from a birth-year table, to the month.</t>
        </is>
      </c>
      <c r="M18" t="inlineStr"/>
      <c r="N18" t="inlineStr"/>
      <c r="O18" t="inlineStr"/>
      <c r="P18" t="inlineStr">
        <is>
          <t>NOT DETERMINED</t>
        </is>
      </c>
      <c r="Q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MK-PL-E-010</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c r="K19" t="inlineStr"/>
      <c r="L19" t="inlineStr"/>
      <c r="M19" t="inlineStr"/>
      <c r="N19" t="inlineStr"/>
      <c r="O19" t="inlineStr"/>
      <c r="P19" t="inlineStr">
        <is>
          <t>NOT DETERMINED</t>
        </is>
      </c>
      <c r="Q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MK-PL-E-011</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c r="K20" t="inlineStr"/>
      <c r="L20" t="inlineStr">
        <is>
          <t>The amount a person types from their statement is the amount at THEIR full retirement age, not at 62 and not at 70 (fix B2). The full-retirement age itself comes from a birth-year table, to the month.</t>
        </is>
      </c>
      <c r="M20" t="inlineStr"/>
      <c r="N20" t="inlineStr"/>
      <c r="O20" t="inlineStr"/>
      <c r="P20" t="inlineStr">
        <is>
          <t>NOT DETERMINED</t>
        </is>
      </c>
      <c r="Q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t>
        </is>
      </c>
      <c r="G21" t="inlineStr">
        <is>
          <t>MK-PL-E-012</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c r="K21" t="inlineStr"/>
      <c r="L21" t="inlineStr"/>
      <c r="M21" t="inlineStr"/>
      <c r="N21" t="inlineStr"/>
      <c r="O21" t="inlineStr"/>
      <c r="P21" t="inlineStr">
        <is>
          <t>NOT DETERMINED</t>
        </is>
      </c>
      <c r="Q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MK-PL-E-013</t>
        </is>
      </c>
      <c r="H22" t="inlineStr">
        <is>
          <t>a stated example amount, shown labelled as an example</t>
        </is>
      </c>
      <c r="I22" t="inlineStr">
        <is>
          <t>A worked example shown in place of a real Social Security statement, always labelled as such.</t>
        </is>
      </c>
      <c r="J22" t="inlineStr"/>
      <c r="K22" t="inlineStr"/>
      <c r="L22" t="inlineStr"/>
      <c r="M22" t="inlineStr"/>
      <c r="N22" t="inlineStr"/>
      <c r="O22" t="inlineStr"/>
      <c r="P22" t="inlineStr">
        <is>
          <t>NOT DETERMINED</t>
        </is>
      </c>
      <c r="Q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MK-PL-E-014</t>
        </is>
      </c>
      <c r="H23" t="inlineStr">
        <is>
          <t>the value typed by the person</t>
        </is>
      </c>
      <c r="I23" t="inlineStr">
        <is>
          <t>A number the person entered; no calculation.</t>
        </is>
      </c>
      <c r="J23" t="inlineStr"/>
      <c r="K23" t="inlineStr"/>
      <c r="L23" t="inlineStr"/>
      <c r="M23" t="inlineStr"/>
      <c r="N23" t="inlineStr"/>
      <c r="O23" t="inlineStr"/>
      <c r="P23" t="inlineStr">
        <is>
          <t>NOT DETERMINED</t>
        </is>
      </c>
      <c r="Q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t>
        </is>
      </c>
      <c r="G24" t="inlineStr">
        <is>
          <t>MK-PL-E-015</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c r="K24" t="inlineStr"/>
      <c r="L24" t="inlineStr"/>
      <c r="M24" t="inlineStr"/>
      <c r="N24" t="inlineStr"/>
      <c r="O24" t="inlineStr"/>
      <c r="P24" t="inlineStr">
        <is>
          <t>NOT DETERMINED</t>
        </is>
      </c>
      <c r="Q24" t="inlineStr">
        <is>
          <t>VERIFIED 2026-08-22</t>
        </is>
      </c>
    </row>
    <row r="25">
      <c r="A25" t="inlineStr">
        <is>
          <t>MK-PL-M-024</t>
        </is>
      </c>
      <c r="B25" t="inlineStr">
        <is>
          <t>Plan</t>
        </is>
      </c>
      <c r="C25" t="inlineStr">
        <is>
          <t>/roth</t>
        </is>
      </c>
      <c r="D25" t="inlineStr">
        <is>
          <t>from your pre-tax $X</t>
        </is>
      </c>
      <c r="E25" t="inlineStr">
        <is>
          <t>preTax</t>
        </is>
      </c>
      <c r="F25" t="inlineStr">
        <is>
          <t>PRE_TAX_BALANCE</t>
        </is>
      </c>
      <c r="G25" t="inlineStr">
        <is>
          <t>MK-PL-E-016</t>
        </is>
      </c>
      <c r="H25" t="inlineStr">
        <is>
          <t>pre-tax balance = Σ(balance of accounts whose tax type = pre-tax)</t>
        </is>
      </c>
      <c r="I25" t="inlineStr">
        <is>
          <t>Adds the balances of accounts whose money has not been taxed yet — the pot a Roth move would come from.</t>
        </is>
      </c>
      <c r="J25" t="inlineStr"/>
      <c r="K25" t="inlineStr"/>
      <c r="L25" t="inlineStr"/>
      <c r="M25" t="inlineStr"/>
      <c r="N25" t="inlineStr"/>
      <c r="O25" t="inlineStr"/>
      <c r="P25" t="inlineStr">
        <is>
          <t>NOT DETERMINED</t>
        </is>
      </c>
      <c r="Q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MK-PL-E-014</t>
        </is>
      </c>
      <c r="H26" t="inlineStr">
        <is>
          <t>the value typed by the person</t>
        </is>
      </c>
      <c r="I26" t="inlineStr">
        <is>
          <t>A number the person entered; no calculation.</t>
        </is>
      </c>
      <c r="J26" t="inlineStr"/>
      <c r="K26" t="inlineStr"/>
      <c r="L26" t="inlineStr"/>
      <c r="M26" t="inlineStr"/>
      <c r="N26" t="inlineStr"/>
      <c r="O26" t="inlineStr"/>
      <c r="P26" t="inlineStr">
        <is>
          <t>NOT DETERMINED</t>
        </is>
      </c>
      <c r="Q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MK-NW-E-010</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c r="K27" t="inlineStr">
        <is>
          <t>The Net worth screen builds this projection WITHOUT the person's big costs, while Cash flow, Budget, Goals and Social Security timing all include them. Same person, same day, two different nest eggs. Seen in the code; not yet confirmed on screen.</t>
        </is>
      </c>
      <c r="L27" t="inlineStr">
        <is>
          <t>The recommended nest egg is 25× the yearly spending not covered by guaranteed income, counted from the start of the retirement year — which is why it differs from an outside calculator.</t>
        </is>
      </c>
      <c r="M27" t="inlineStr"/>
      <c r="N27" t="inlineStr"/>
      <c r="O27" t="inlineStr"/>
      <c r="P27" t="inlineStr">
        <is>
          <t>NOT DETERMINED</t>
        </is>
      </c>
      <c r="Q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c r="K28" t="inlineStr"/>
      <c r="L28" t="inlineStr"/>
      <c r="M28" t="inlineStr"/>
      <c r="N28" t="inlineStr"/>
      <c r="O28" t="inlineStr"/>
      <c r="P28" t="inlineStr">
        <is>
          <t>NOT DETERMINED</t>
        </is>
      </c>
      <c r="Q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MK-PL-E-017</t>
        </is>
      </c>
      <c r="H29" t="inlineStr">
        <is>
          <t>the values typed by the person</t>
        </is>
      </c>
      <c r="I29" t="inlineStr">
        <is>
          <t>Amounts the person entered; no calculation.</t>
        </is>
      </c>
      <c r="J29" t="inlineStr"/>
      <c r="K29" t="inlineStr"/>
      <c r="L29" t="inlineStr"/>
      <c r="M29" t="inlineStr"/>
      <c r="N29" t="inlineStr"/>
      <c r="O29" t="inlineStr"/>
      <c r="P29" t="inlineStr">
        <is>
          <t>NOT DETERMINED</t>
        </is>
      </c>
      <c r="Q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MK-PL-E-004</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c r="K30" t="inlineStr"/>
      <c r="L30" t="inlineStr"/>
      <c r="M30" t="inlineStr"/>
      <c r="N30" t="inlineStr"/>
      <c r="O30" t="inlineStr"/>
      <c r="P30" t="inlineStr">
        <is>
          <t>NOT DETERMINED</t>
        </is>
      </c>
      <c r="Q30" t="inlineStr">
        <is>
          <t>VERIFIED 2026-08-22</t>
        </is>
      </c>
    </row>
    <row r="31">
      <c r="A31" t="inlineStr">
        <is>
          <t>MK-PL-M-030</t>
        </is>
      </c>
      <c r="B31" t="inlineStr">
        <is>
          <t>Plan</t>
        </is>
      </c>
      <c r="C31" t="inlineStr">
        <is>
          <t>/multi-goal</t>
        </is>
      </c>
      <c r="D31" t="inlineStr">
        <is>
          <t>Extra on debt $X/mo</t>
        </is>
      </c>
      <c r="E31" t="inlineStr">
        <is>
          <t>extraDebt</t>
        </is>
      </c>
      <c r="F31" t="inlineStr">
        <is>
          <t>DEBT_PICTURE</t>
        </is>
      </c>
      <c r="G31" t="inlineStr">
        <is>
          <t>MK-NW-E-007</t>
        </is>
      </c>
      <c r="H31" t="inlineStr">
        <is>
          <t>owed = Σ(remaining balance);  monthly debt payments = Σ(required payment of each debt)</t>
        </is>
      </c>
      <c r="I3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31" t="inlineStr"/>
      <c r="K31" t="inlineStr"/>
      <c r="L31" t="inlineStr"/>
      <c r="M31" t="inlineStr"/>
      <c r="N31" t="inlineStr"/>
      <c r="O31" t="inlineStr"/>
      <c r="P31" t="inlineStr">
        <is>
          <t>NOT DETERMINED</t>
        </is>
      </c>
      <c r="Q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t>
        </is>
      </c>
      <c r="G32" t="inlineStr">
        <is>
          <t>MK-PL-E-018</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c r="K32" t="inlineStr"/>
      <c r="L32" t="inlineStr"/>
      <c r="M32" t="inlineStr"/>
      <c r="N32" t="inlineStr"/>
      <c r="O32" t="inlineStr"/>
      <c r="P32" t="inlineStr">
        <is>
          <t>NOT DETERMINED</t>
        </is>
      </c>
      <c r="Q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MK-PL-E-010</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c r="K33" t="inlineStr"/>
      <c r="L33" t="inlineStr"/>
      <c r="M33" t="inlineStr"/>
      <c r="N33" t="inlineStr"/>
      <c r="O33" t="inlineStr"/>
      <c r="P33" t="inlineStr">
        <is>
          <t>NOT DETERMINED</t>
        </is>
      </c>
      <c r="Q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MK-NW-E-010</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c r="K34" t="inlineStr">
        <is>
          <t>The Net worth screen builds this projection WITHOUT the person's big costs, while Cash flow, Budget, Goals and Social Security timing all include them. Same person, same day, two different nest eggs. Seen in the code; not yet confirmed on screen.</t>
        </is>
      </c>
      <c r="L34" t="inlineStr">
        <is>
          <t>The recommended nest egg is 25× the yearly spending not covered by guaranteed income, counted from the start of the retirement year — which is why it differs from an outside calculator.</t>
        </is>
      </c>
      <c r="M34" t="inlineStr"/>
      <c r="N34" t="inlineStr"/>
      <c r="O34" t="inlineStr"/>
      <c r="P34" t="inlineStr">
        <is>
          <t>NOT DETERMINED</t>
        </is>
      </c>
      <c r="Q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MK-XS-E-002</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c r="K35" t="inlineStr">
        <is>
          <t>The odds shown on Home, Plan and Cash flow are rounded to the nearest 5, while the compare tables still show them exact. One figure, two precisions — founder's open question.</t>
        </is>
      </c>
      <c r="L35" t="inlineStr">
        <is>
          <t>One thousand futures, and the odds are rounded to the nearest 5. A genuine 100 or 0 is shown literally; 98 shows as 95, never as 100 (fix B6). The best-to-worst band was removed.</t>
        </is>
      </c>
      <c r="M35" t="inlineStr"/>
      <c r="N35" t="inlineStr"/>
      <c r="O35" t="inlineStr"/>
      <c r="P35" t="inlineStr">
        <is>
          <t>NOT DETERMINED</t>
        </is>
      </c>
      <c r="Q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MK-PL-E-019</t>
        </is>
      </c>
      <c r="H36" t="inlineStr">
        <is>
          <t>the age set by the person</t>
        </is>
      </c>
      <c r="I36" t="inlineStr">
        <is>
          <t>An age the person set on a dial; no calculation.</t>
        </is>
      </c>
      <c r="J36" t="inlineStr"/>
      <c r="K36" t="inlineStr"/>
      <c r="L36" t="inlineStr"/>
      <c r="M36" t="inlineStr"/>
      <c r="N36" t="inlineStr"/>
      <c r="O36" t="inlineStr"/>
      <c r="P36" t="inlineStr">
        <is>
          <t>NOT DETERMINED</t>
        </is>
      </c>
      <c r="Q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t>
        </is>
      </c>
      <c r="G37" t="inlineStr">
        <is>
          <t>MK-PL-E-020</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c r="K37" t="inlineStr"/>
      <c r="L37" t="inlineStr"/>
      <c r="M37" t="inlineStr">
        <is>
          <t>Q26 — What education inflation rate should the college projection use, and should it be visible and editable on the screen?</t>
        </is>
      </c>
      <c r="N37" t="inlineStr"/>
      <c r="O37" t="inlineStr"/>
      <c r="P37" t="inlineStr">
        <is>
          <t>NOT DETERMINED</t>
        </is>
      </c>
      <c r="Q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t>
        </is>
      </c>
      <c r="G38" t="inlineStr">
        <is>
          <t>MK-PL-E-020</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c r="K38" t="inlineStr"/>
      <c r="L38" t="inlineStr"/>
      <c r="M38" t="inlineStr"/>
      <c r="N38" t="inlineStr"/>
      <c r="O38" t="inlineStr"/>
      <c r="P38" t="inlineStr">
        <is>
          <t>NOT DETERMINED</t>
        </is>
      </c>
      <c r="Q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is>
          <t>NOT DETERMINED</t>
        </is>
      </c>
      <c r="Q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is>
          <t>NOT DETERMINED</t>
        </is>
      </c>
      <c r="Q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is>
          <t>NOT DETERMINED</t>
        </is>
      </c>
      <c r="Q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is>
          <t>NOT DETERMINED</t>
        </is>
      </c>
      <c r="Q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is>
          <t>NOT DETERMINED</t>
        </is>
      </c>
      <c r="Q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c r="K2" t="inlineStr"/>
      <c r="L2" t="inlineStr"/>
      <c r="M2" t="inlineStr"/>
      <c r="N2" t="inlineStr"/>
      <c r="O2" t="inlineStr"/>
      <c r="P2" t="inlineStr">
        <is>
          <t>NOT DETERMINED</t>
        </is>
      </c>
      <c r="Q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c r="K3" t="inlineStr"/>
      <c r="L3" t="inlineStr"/>
      <c r="M3" t="inlineStr"/>
      <c r="N3" t="inlineStr"/>
      <c r="O3" t="inlineStr"/>
      <c r="P3" t="inlineStr">
        <is>
          <t>NOT DETERMINED</t>
        </is>
      </c>
      <c r="Q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c r="K4" t="inlineStr"/>
      <c r="L4" t="inlineStr"/>
      <c r="M4" t="inlineStr"/>
      <c r="N4" t="inlineStr"/>
      <c r="O4" t="inlineStr"/>
      <c r="P4" t="inlineStr">
        <is>
          <t>NOT DETERMINED</t>
        </is>
      </c>
      <c r="Q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MK-XS-E-005</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c r="K5" t="inlineStr"/>
      <c r="L5" t="inlineStr"/>
      <c r="M5" t="inlineStr"/>
      <c r="N5" t="inlineStr"/>
      <c r="O5" t="inlineStr"/>
      <c r="P5" t="inlineStr">
        <is>
          <t>NOT DETERMINED</t>
        </is>
      </c>
      <c r="Q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c r="K6" t="inlineStr"/>
      <c r="L6" t="inlineStr"/>
      <c r="M6" t="inlineStr"/>
      <c r="N6" t="inlineStr"/>
      <c r="O6" t="inlineStr"/>
      <c r="P6" t="inlineStr">
        <is>
          <t>NOT DETERMINED</t>
        </is>
      </c>
      <c r="Q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MK-CF-E-002</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c r="K7" t="inlineStr"/>
      <c r="L7" t="inlineStr"/>
      <c r="M7" t="inlineStr"/>
      <c r="N7" t="inlineStr"/>
      <c r="O7" t="inlineStr"/>
      <c r="P7" t="inlineStr">
        <is>
          <t>NOT DETERMINED</t>
        </is>
      </c>
      <c r="Q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MK-CF-E-002</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c r="K8" t="inlineStr"/>
      <c r="L8" t="inlineStr"/>
      <c r="M8" t="inlineStr"/>
      <c r="N8" t="inlineStr"/>
      <c r="O8" t="inlineStr"/>
      <c r="P8" t="inlineStr">
        <is>
          <t>NOT DETERMINED</t>
        </is>
      </c>
      <c r="Q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MK-CF-E-002</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c r="K9" t="inlineStr"/>
      <c r="L9" t="inlineStr"/>
      <c r="M9" t="inlineStr"/>
      <c r="N9" t="inlineStr"/>
      <c r="O9" t="inlineStr"/>
      <c r="P9" t="inlineStr">
        <is>
          <t>NOT DETERMINED</t>
        </is>
      </c>
      <c r="Q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MK-CF-E-003</t>
        </is>
      </c>
      <c r="H10" t="inlineStr">
        <is>
          <t>equity a year ÷ the vest months it lands in, by the stated weights</t>
        </is>
      </c>
      <c r="I10" t="inlineStr">
        <is>
          <t>Spreads stock that vests across the months it actually vests in, rather than smoothing it over the year.</t>
        </is>
      </c>
      <c r="J10" t="inlineStr"/>
      <c r="K10" t="inlineStr"/>
      <c r="L10" t="inlineStr"/>
      <c r="M10" t="inlineStr"/>
      <c r="N10" t="inlineStr"/>
      <c r="O10" t="inlineStr"/>
      <c r="P10" t="inlineStr">
        <is>
          <t>NOT DETERMINED</t>
        </is>
      </c>
      <c r="Q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MK-CF-E-004</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c r="K11" t="inlineStr"/>
      <c r="L11" t="inlineStr"/>
      <c r="M11" t="inlineStr"/>
      <c r="N11" t="inlineStr"/>
      <c r="O11" t="inlineStr"/>
      <c r="P11" t="inlineStr">
        <is>
          <t>NOT DETERMINED</t>
        </is>
      </c>
      <c r="Q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MK-PL-E-010</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c r="K12" t="inlineStr"/>
      <c r="L12" t="inlineStr"/>
      <c r="M12" t="inlineStr"/>
      <c r="N12" t="inlineStr"/>
      <c r="O12" t="inlineStr"/>
      <c r="P12" t="inlineStr">
        <is>
          <t>NOT DETERMINED</t>
        </is>
      </c>
      <c r="Q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MK-CF-E-005</t>
        </is>
      </c>
      <c r="H13" t="inlineStr">
        <is>
          <t>each payment recorded this month, with its date and source</t>
        </is>
      </c>
      <c r="I13" t="inlineStr">
        <is>
          <t>Lists what has actually been received this month, rather than what was expected.</t>
        </is>
      </c>
      <c r="J13" t="inlineStr"/>
      <c r="K13" t="inlineStr"/>
      <c r="L13" t="inlineStr"/>
      <c r="M13" t="inlineStr"/>
      <c r="N13" t="inlineStr"/>
      <c r="O13" t="inlineStr"/>
      <c r="P13" t="inlineStr">
        <is>
          <t>NOT DETERMINED</t>
        </is>
      </c>
      <c r="Q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MK-CF-E-006</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c r="K14" t="inlineStr"/>
      <c r="L14" t="inlineStr"/>
      <c r="M14" t="inlineStr"/>
      <c r="N14" t="inlineStr"/>
      <c r="O14" t="inlineStr"/>
      <c r="P14" t="inlineStr">
        <is>
          <t>NOT DETERMINED</t>
        </is>
      </c>
      <c r="Q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MK-CF-E-006</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c r="K15" t="inlineStr"/>
      <c r="L15" t="inlineStr"/>
      <c r="M15" t="inlineStr"/>
      <c r="N15" t="inlineStr"/>
      <c r="O15" t="inlineStr"/>
      <c r="P15" t="inlineStr">
        <is>
          <t>NOT DETERMINED</t>
        </is>
      </c>
      <c r="Q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MK-CF-E-007</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c r="K16" t="inlineStr"/>
      <c r="L16" t="inlineStr"/>
      <c r="M16" t="inlineStr"/>
      <c r="N16" t="inlineStr"/>
      <c r="O16" t="inlineStr"/>
      <c r="P16" t="inlineStr">
        <is>
          <t>NOT DETERMINED</t>
        </is>
      </c>
      <c r="Q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MK-CF-E-008</t>
        </is>
      </c>
      <c r="H17" t="inlineStr">
        <is>
          <t>a bill is flagged when its amount is large relative to a typical month and it falls within the horizon shown</t>
        </is>
      </c>
      <c r="I17" t="inlineStr">
        <is>
          <t>Points out the big one-off bills coming up, so they are not a surprise.</t>
        </is>
      </c>
      <c r="J17" t="inlineStr"/>
      <c r="K17" t="inlineStr"/>
      <c r="L17" t="inlineStr"/>
      <c r="M17" t="inlineStr"/>
      <c r="N17" t="inlineStr"/>
      <c r="O17" t="inlineStr"/>
      <c r="P17" t="inlineStr">
        <is>
          <t>NOT DETERMINED</t>
        </is>
      </c>
      <c r="Q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MK-CF-E-009</t>
        </is>
      </c>
      <c r="H18" t="inlineStr">
        <is>
          <t>flagged when an expense is well above the usual amount for its category</t>
        </is>
      </c>
      <c r="I18" t="inlineStr">
        <is>
          <t>Marks a single expense that sits well above what that category normally costs.</t>
        </is>
      </c>
      <c r="J18" t="inlineStr"/>
      <c r="K18" t="inlineStr"/>
      <c r="L18" t="inlineStr"/>
      <c r="M18" t="inlineStr"/>
      <c r="N18" t="inlineStr"/>
      <c r="O18" t="inlineStr"/>
      <c r="P18" t="inlineStr">
        <is>
          <t>NOT DETERMINED</t>
        </is>
      </c>
      <c r="Q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MK-XS-E-006</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c r="K19" t="inlineStr"/>
      <c r="L19" t="inlineStr"/>
      <c r="M19" t="inlineStr"/>
      <c r="N19" t="inlineStr"/>
      <c r="O19" t="inlineStr"/>
      <c r="P19" t="inlineStr">
        <is>
          <t>NOT DETERMINED</t>
        </is>
      </c>
      <c r="Q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MK-CF-E-010</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c r="K20" t="inlineStr"/>
      <c r="L20" t="inlineStr"/>
      <c r="M20" t="inlineStr"/>
      <c r="N20" t="inlineStr"/>
      <c r="O20" t="inlineStr"/>
      <c r="P20" t="inlineStr">
        <is>
          <t>NOT DETERMINED</t>
        </is>
      </c>
      <c r="Q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c r="K21" t="inlineStr"/>
      <c r="L21" t="inlineStr"/>
      <c r="M21" t="inlineStr"/>
      <c r="N21" t="inlineStr"/>
      <c r="O21" t="inlineStr"/>
      <c r="P21" t="inlineStr">
        <is>
          <t>NOT DETERMINED</t>
        </is>
      </c>
      <c r="Q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MK-CF-E-011</t>
        </is>
      </c>
      <c r="H22" t="inlineStr">
        <is>
          <t>Σ(monthly amount of each goal the Plan has committed to)</t>
        </is>
      </c>
      <c r="I22" t="inlineStr">
        <is>
          <t>The monthly amounts the Plan has already promised to goals, so cash flow can show what is genuinely free.</t>
        </is>
      </c>
      <c r="J22" t="inlineStr"/>
      <c r="K22" t="inlineStr"/>
      <c r="L22" t="inlineStr"/>
      <c r="M22" t="inlineStr"/>
      <c r="N22" t="inlineStr"/>
      <c r="O22" t="inlineStr"/>
      <c r="P22" t="inlineStr">
        <is>
          <t>NOT DETERMINED</t>
        </is>
      </c>
      <c r="Q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MK-NW-E-010</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c r="K23" t="inlineStr">
        <is>
          <t>The Net worth screen builds this projection WITHOUT the person's big costs, while Cash flow, Budget, Goals and Social Security timing all include them. Same person, same day, two different nest eggs. Seen in the code; not yet confirmed on screen.</t>
        </is>
      </c>
      <c r="L23" t="inlineStr">
        <is>
          <t>The recommended nest egg is 25× the yearly spending not covered by guaranteed income, counted from the start of the retirement year — which is why it differs from an outside calculator.</t>
        </is>
      </c>
      <c r="M23" t="inlineStr"/>
      <c r="N23" t="inlineStr"/>
      <c r="O23" t="inlineStr"/>
      <c r="P23" t="inlineStr">
        <is>
          <t>NOT DETERMINED</t>
        </is>
      </c>
      <c r="Q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MK-CF-E-012</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c r="K24" t="inlineStr"/>
      <c r="L24" t="inlineStr"/>
      <c r="M24" t="inlineStr"/>
      <c r="N24" t="inlineStr"/>
      <c r="O24" t="inlineStr"/>
      <c r="P24" t="inlineStr">
        <is>
          <t>NOT DETERMINED</t>
        </is>
      </c>
      <c r="Q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MK-PL-E-010</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c r="K25" t="inlineStr"/>
      <c r="L25" t="inlineStr"/>
      <c r="M25" t="inlineStr"/>
      <c r="N25" t="inlineStr"/>
      <c r="O25" t="inlineStr"/>
      <c r="P25" t="inlineStr">
        <is>
          <t>NOT DETERMINED</t>
        </is>
      </c>
      <c r="Q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MK-CF-E-013</t>
        </is>
      </c>
      <c r="H26" t="inlineStr">
        <is>
          <t>see the by-month grid</t>
        </is>
      </c>
      <c r="I26" t="inlineStr">
        <is>
          <t>The month-by-month view of money in and money out.</t>
        </is>
      </c>
      <c r="J26" t="inlineStr"/>
      <c r="K26" t="inlineStr"/>
      <c r="L26" t="inlineStr"/>
      <c r="M26" t="inlineStr"/>
      <c r="N26" t="inlineStr"/>
      <c r="O26" t="inlineStr"/>
      <c r="P26" t="inlineStr">
        <is>
          <t>NOT DETERMINED</t>
        </is>
      </c>
      <c r="Q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t>
        </is>
      </c>
      <c r="G27" t="inlineStr">
        <is>
          <t>MK-CF-E-014</t>
        </is>
      </c>
      <c r="H27" t="inlineStr">
        <is>
          <t>paycheck a month = guaranteed income + the draw from savings</t>
        </is>
      </c>
      <c r="I27" t="inlineStr">
        <is>
          <t>Builds the monthly paycheck in retirement: what is guaranteed that month, plus what can be drawn from savings without breaking the plan.</t>
        </is>
      </c>
      <c r="J27" t="inlineStr"/>
      <c r="K27" t="inlineStr"/>
      <c r="L27" t="inlineStr">
        <is>
          <t>Withdrawals, including required ones, are NOT counted as guaranteed income — counting money coming out of the pot as income would count the same dollars twice (fix B5).</t>
        </is>
      </c>
      <c r="M27" t="inlineStr">
        <is>
          <t>Q30 — The draw from savings is shown as one figure a month. Should it hold steady in today's dollars, or rise with inflation each year?</t>
        </is>
      </c>
      <c r="N27" t="inlineStr"/>
      <c r="O27" t="inlineStr"/>
      <c r="P27" t="inlineStr">
        <is>
          <t>NOT DETERMINED</t>
        </is>
      </c>
      <c r="Q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MK-CF-E-002</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c r="K28" t="inlineStr"/>
      <c r="L28" t="inlineStr"/>
      <c r="M28" t="inlineStr"/>
      <c r="N28" t="inlineStr"/>
      <c r="O28" t="inlineStr"/>
      <c r="P28" t="inlineStr">
        <is>
          <t>NOT DETERMINED</t>
        </is>
      </c>
      <c r="Q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t>
        </is>
      </c>
      <c r="G29" t="inlineStr">
        <is>
          <t>MK-CF-E-015</t>
        </is>
      </c>
      <c r="H29" t="inlineStr">
        <is>
          <t>each bill falls on its stated day;  the month’s bills = Σ(amounts due in that month)</t>
        </is>
      </c>
      <c r="I29" t="inlineStr">
        <is>
          <t>Places each recurring bill on the day of the month it falls, so the shape of the month can be seen.</t>
        </is>
      </c>
      <c r="J29" t="inlineStr"/>
      <c r="K29" t="inlineStr"/>
      <c r="L29" t="inlineStr"/>
      <c r="M29" t="inlineStr"/>
      <c r="N29" t="inlineStr"/>
      <c r="O29" t="inlineStr"/>
      <c r="P29" t="inlineStr">
        <is>
          <t>NOT DETERMINED</t>
        </is>
      </c>
      <c r="Q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is>
          <t>NOT DETERMINED</t>
        </is>
      </c>
      <c r="Q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is>
          <t>NOT DETERMINED</t>
        </is>
      </c>
      <c r="Q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is>
          <t>NOT DETERMINED</t>
        </is>
      </c>
      <c r="Q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is>
          <t>NOT DETERMINED</t>
        </is>
      </c>
      <c r="Q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is>
          <t>NOT DETERMINED</t>
        </is>
      </c>
      <c r="Q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42" customWidth="1" min="10" max="10"/>
    <col width="37" customWidth="1" min="11" max="11"/>
    <col width="22" customWidth="1" min="12" max="12"/>
    <col width="36" customWidth="1" min="13" max="13"/>
    <col width="41" customWidth="1" min="14" max="14"/>
    <col width="41" customWidth="1" min="15" max="15"/>
    <col width="20" customWidth="1" min="16" max="16"/>
    <col width="18" customWidth="1" min="17" max="17"/>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Secondary calculations and decisions the engine makes</t>
        </is>
      </c>
      <c r="K1" s="1" t="inlineStr">
        <is>
          <t>Errors or findings to address</t>
        </is>
      </c>
      <c r="L1" s="1" t="inlineStr">
        <is>
          <t>Decisions made</t>
        </is>
      </c>
      <c r="M1" s="1" t="inlineStr">
        <is>
          <t>Questions for you (numbered)</t>
        </is>
      </c>
      <c r="N1" s="1" t="inlineStr">
        <is>
          <t>YOUR ANSWER — use the same number</t>
        </is>
      </c>
      <c r="O1" s="1" t="inlineStr">
        <is>
          <t>Your name for it (72-metric file)</t>
        </is>
      </c>
      <c r="P1" s="1" t="inlineStr">
        <is>
          <t>Core screen?</t>
        </is>
      </c>
      <c r="Q1" s="1" t="inlineStr">
        <is>
          <t>Row status</t>
        </is>
      </c>
    </row>
    <row r="2">
      <c r="A2" t="inlineStr">
        <is>
          <t>MK-MN-M-001</t>
        </is>
      </c>
      <c r="B2" t="inlineStr">
        <is>
          <t>Menu</t>
        </is>
      </c>
      <c r="C2" t="inlineStr">
        <is>
          <t>/big-costs</t>
        </is>
      </c>
      <c r="D2" t="inlineStr">
        <is>
          <t>each big cost and its year</t>
        </is>
      </c>
      <c r="E2" t="inlineStr">
        <is>
          <t>c.amount</t>
        </is>
      </c>
      <c r="F2" t="inlineStr">
        <is>
          <t>BIG_COSTS</t>
        </is>
      </c>
      <c r="G2" t="inlineStr">
        <is>
          <t>MK-MN-E-001</t>
        </is>
      </c>
      <c r="H2" t="inlineStr">
        <is>
          <t>total = Σ(each big cost);  each one lands in the year it is dated</t>
        </is>
      </c>
      <c r="I2" t="inlineStr">
        <is>
          <t>Adds up the one-off costs the person has told us about, each sitting in the year it is expected.</t>
        </is>
      </c>
      <c r="J2" t="inlineStr"/>
      <c r="K2" t="inlineStr"/>
      <c r="L2" t="inlineStr"/>
      <c r="M2" t="inlineStr"/>
      <c r="N2" t="inlineStr"/>
      <c r="O2" t="inlineStr"/>
      <c r="P2" t="inlineStr">
        <is>
          <t>NOT DETERMINED</t>
        </is>
      </c>
      <c r="Q2" t="inlineStr">
        <is>
          <t>VERIFIED 2026-08-22</t>
        </is>
      </c>
    </row>
    <row r="3">
      <c r="A3" t="inlineStr">
        <is>
          <t>MK-MN-M-002</t>
        </is>
      </c>
      <c r="B3" t="inlineStr">
        <is>
          <t>Menu</t>
        </is>
      </c>
      <c r="C3" t="inlineStr">
        <is>
          <t>/big-costs</t>
        </is>
      </c>
      <c r="D3" t="inlineStr">
        <is>
          <t>the total of your big costs</t>
        </is>
      </c>
      <c r="E3" t="inlineStr">
        <is>
          <t>total</t>
        </is>
      </c>
      <c r="F3" t="inlineStr">
        <is>
          <t>BIG_COSTS</t>
        </is>
      </c>
      <c r="G3" t="inlineStr">
        <is>
          <t>MK-MN-E-001</t>
        </is>
      </c>
      <c r="H3" t="inlineStr">
        <is>
          <t>total = Σ(each big cost);  each one lands in the year it is dated</t>
        </is>
      </c>
      <c r="I3" t="inlineStr">
        <is>
          <t>Adds up the one-off costs the person has told us about, each sitting in the year it is expected.</t>
        </is>
      </c>
      <c r="J3" t="inlineStr"/>
      <c r="K3" t="inlineStr"/>
      <c r="L3" t="inlineStr"/>
      <c r="M3" t="inlineStr"/>
      <c r="N3" t="inlineStr"/>
      <c r="O3" t="inlineStr"/>
      <c r="P3" t="inlineStr">
        <is>
          <t>NOT DETERMINED</t>
        </is>
      </c>
      <c r="Q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c r="K4" t="inlineStr"/>
      <c r="L4" t="inlineStr"/>
      <c r="M4" t="inlineStr"/>
      <c r="N4" t="inlineStr"/>
      <c r="O4" t="inlineStr"/>
      <c r="P4" t="inlineStr">
        <is>
          <t>NOT DETERMINED</t>
        </is>
      </c>
      <c r="Q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c r="K5" t="inlineStr"/>
      <c r="L5" t="inlineStr"/>
      <c r="M5" t="inlineStr"/>
      <c r="N5" t="inlineStr"/>
      <c r="O5" t="inlineStr"/>
      <c r="P5" t="inlineStr">
        <is>
          <t>NOT DETERMINED</t>
        </is>
      </c>
      <c r="Q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c r="K6" t="inlineStr"/>
      <c r="L6" t="inlineStr"/>
      <c r="M6" t="inlineStr"/>
      <c r="N6" t="inlineStr"/>
      <c r="O6" t="inlineStr"/>
      <c r="P6" t="inlineStr">
        <is>
          <t>NOT DETERMINED</t>
        </is>
      </c>
      <c r="Q6" t="inlineStr">
        <is>
          <t>VERIFIED 2026-08-22</t>
        </is>
      </c>
    </row>
    <row r="7">
      <c r="A7" t="inlineStr">
        <is>
          <t>MK-MN-M-006</t>
        </is>
      </c>
      <c r="B7" t="inlineStr">
        <is>
          <t>Menu</t>
        </is>
      </c>
      <c r="C7" t="inlineStr">
        <is>
          <t>/credit</t>
        </is>
      </c>
      <c r="D7" t="inlineStr">
        <is>
          <t>$X of $Y used — the line marks 30%</t>
        </is>
      </c>
      <c r="E7" t="inlineStr">
        <is>
          <t>bal / lim</t>
        </is>
      </c>
      <c r="F7" t="inlineStr">
        <is>
          <t>CREDIT_USE</t>
        </is>
      </c>
      <c r="G7" t="inlineStr">
        <is>
          <t>MK-MN-E-003</t>
        </is>
      </c>
      <c r="H7" t="inlineStr">
        <is>
          <t>use = balance ÷ credit limit</t>
        </is>
      </c>
      <c r="I7" t="inlineStr">
        <is>
          <t>The balance on the card against its limit — the share of the line being used.</t>
        </is>
      </c>
      <c r="J7" t="inlineStr"/>
      <c r="K7" t="inlineStr"/>
      <c r="L7" t="inlineStr"/>
      <c r="M7" t="inlineStr"/>
      <c r="N7" t="inlineStr"/>
      <c r="O7" t="inlineStr"/>
      <c r="P7" t="inlineStr">
        <is>
          <t>NOT DETERMINED</t>
        </is>
      </c>
      <c r="Q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MK-CF-E-007</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c r="K8" t="inlineStr"/>
      <c r="L8" t="inlineStr"/>
      <c r="M8" t="inlineStr"/>
      <c r="N8" t="inlineStr"/>
      <c r="O8" t="inlineStr"/>
      <c r="P8" t="inlineStr">
        <is>
          <t>NOT DETERMINED</t>
        </is>
      </c>
      <c r="Q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c r="K9" t="inlineStr"/>
      <c r="L9" t="inlineStr"/>
      <c r="M9" t="inlineStr">
        <is>
          <t>Q27 — "Typical free cash to save" uses the middle of recent months. How many months should it look back, and should a one-off windfall be excluded?</t>
        </is>
      </c>
      <c r="N9" t="inlineStr"/>
      <c r="O9" t="inlineStr"/>
      <c r="P9" t="inlineStr">
        <is>
          <t>NOT DETERMINED</t>
        </is>
      </c>
      <c r="Q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t>
        </is>
      </c>
      <c r="G10" t="inlineStr">
        <is>
          <t>MK-MN-E-005</t>
        </is>
      </c>
      <c r="H10" t="inlineStr">
        <is>
          <t>to go = target − saved;  progress = saved ÷ target</t>
        </is>
      </c>
      <c r="I10" t="inlineStr">
        <is>
          <t>What has been put aside against the target, and what is still to go.</t>
        </is>
      </c>
      <c r="J10" t="inlineStr"/>
      <c r="K10" t="inlineStr"/>
      <c r="L10" t="inlineStr"/>
      <c r="M10" t="inlineStr"/>
      <c r="N10" t="inlineStr"/>
      <c r="O10" t="inlineStr"/>
      <c r="P10" t="inlineStr">
        <is>
          <t>NOT DETERMINED</t>
        </is>
      </c>
      <c r="Q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c r="K11" t="inlineStr"/>
      <c r="L11" t="inlineStr"/>
      <c r="M11" t="inlineStr"/>
      <c r="N11" t="inlineStr"/>
      <c r="O11" t="inlineStr"/>
      <c r="P11" t="inlineStr">
        <is>
          <t>NOT DETERMINED</t>
        </is>
      </c>
      <c r="Q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MK-CF-E-002</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c r="K12" t="inlineStr"/>
      <c r="L12" t="inlineStr"/>
      <c r="M12" t="inlineStr"/>
      <c r="N12" t="inlineStr"/>
      <c r="O12" t="inlineStr"/>
      <c r="P12" t="inlineStr">
        <is>
          <t>NOT DETERMINED</t>
        </is>
      </c>
      <c r="Q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MK-CF-E-002</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c r="K13" t="inlineStr"/>
      <c r="L13" t="inlineStr"/>
      <c r="M13" t="inlineStr"/>
      <c r="N13" t="inlineStr"/>
      <c r="O13" t="inlineStr"/>
      <c r="P13" t="inlineStr">
        <is>
          <t>NOT DETERMINED</t>
        </is>
      </c>
      <c r="Q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MK-CF-E-002</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c r="K14" t="inlineStr"/>
      <c r="L14" t="inlineStr"/>
      <c r="M14" t="inlineStr"/>
      <c r="N14" t="inlineStr"/>
      <c r="O14" t="inlineStr"/>
      <c r="P14" t="inlineStr">
        <is>
          <t>NOT DETERMINED</t>
        </is>
      </c>
      <c r="Q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c r="K15" t="inlineStr"/>
      <c r="L15" t="inlineStr"/>
      <c r="M15" t="inlineStr"/>
      <c r="N15" t="inlineStr"/>
      <c r="O15" t="inlineStr"/>
      <c r="P15" t="inlineStr">
        <is>
          <t>NOT DETERMINED</t>
        </is>
      </c>
      <c r="Q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c r="K16" t="inlineStr"/>
      <c r="L16" t="inlineStr"/>
      <c r="M16" t="inlineStr"/>
      <c r="N16" t="inlineStr"/>
      <c r="O16" t="inlineStr"/>
      <c r="P16" t="inlineStr">
        <is>
          <t>NOT DETERMINED</t>
        </is>
      </c>
      <c r="Q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DECIDES what counts as cash — and deliberately excludes money-market funds.</t>
        </is>
      </c>
      <c r="K17" t="inlineStr">
        <is>
          <t>Money-market funds are deliberately NOT counted as cash. Any institution that reports a sweep as a fund will therefore land in investments — worth watching per provider.</t>
        </is>
      </c>
      <c r="L17" t="inlineStr">
        <is>
          <t>Cash means checking, savings, high-yield savings and the uninvested sweep at a broker. Money-market funds are investments, because they pay dividends and are measured with the investments (founder, 2026-08-04).</t>
        </is>
      </c>
      <c r="M17" t="inlineStr"/>
      <c r="N17" t="inlineStr"/>
      <c r="O17" t="inlineStr"/>
      <c r="P17" t="inlineStr">
        <is>
          <t>NOT DETERMINED</t>
        </is>
      </c>
      <c r="Q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c r="K18" t="inlineStr"/>
      <c r="L18" t="inlineStr"/>
      <c r="M18" t="inlineStr">
        <is>
          <t>Q25 — How many years of income should the default life-cover estimate replace, and does it assume the mortgage is cleared?</t>
        </is>
      </c>
      <c r="N18" t="inlineStr"/>
      <c r="O18" t="inlineStr"/>
      <c r="P18" t="inlineStr">
        <is>
          <t>NOT DETERMINED</t>
        </is>
      </c>
      <c r="Q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c r="K19" t="inlineStr"/>
      <c r="L19" t="inlineStr"/>
      <c r="M19" t="inlineStr"/>
      <c r="N19" t="inlineStr"/>
      <c r="O19" t="inlineStr"/>
      <c r="P19" t="inlineStr">
        <is>
          <t>NOT DETERMINED</t>
        </is>
      </c>
      <c r="Q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c r="K20" t="inlineStr"/>
      <c r="L20" t="inlineStr"/>
      <c r="M20" t="inlineStr"/>
      <c r="N20" t="inlineStr"/>
      <c r="O20" t="inlineStr"/>
      <c r="P20" t="inlineStr">
        <is>
          <t>NOT DETERMINED</t>
        </is>
      </c>
      <c r="Q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c r="K21" t="inlineStr"/>
      <c r="L21" t="inlineStr"/>
      <c r="M21" t="inlineStr">
        <is>
          <t>Q28 — How many months of essentials should the app treat as safe by default — and is that number yours to set per person, or one figure for everyone?</t>
        </is>
      </c>
      <c r="N21" t="inlineStr"/>
      <c r="O21" t="inlineStr"/>
      <c r="P21" t="inlineStr">
        <is>
          <t>NOT DETERMINED</t>
        </is>
      </c>
      <c r="Q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MK-CF-E-006</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c r="K22" t="inlineStr"/>
      <c r="L22" t="inlineStr"/>
      <c r="M22" t="inlineStr"/>
      <c r="N22" t="inlineStr"/>
      <c r="O22" t="inlineStr"/>
      <c r="P22" t="inlineStr">
        <is>
          <t>NOT DETERMINED</t>
        </is>
      </c>
      <c r="Q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t>
        </is>
      </c>
      <c r="G23" t="inlineStr">
        <is>
          <t>MK-MN-E-011</t>
        </is>
      </c>
      <c r="H23" t="inlineStr">
        <is>
          <t>total = Σ(recorded value of each alternative holding)</t>
        </is>
      </c>
      <c r="I23" t="inlineStr">
        <is>
          <t>Adds up the recorded value of every alternative holding — the things with no market price of their own.</t>
        </is>
      </c>
      <c r="J23" t="inlineStr"/>
      <c r="K23" t="inlineStr"/>
      <c r="L23" t="inlineStr"/>
      <c r="M23" t="inlineStr"/>
      <c r="N23" t="inlineStr"/>
      <c r="O23" t="inlineStr"/>
      <c r="P23" t="inlineStr">
        <is>
          <t>NOT DETERMINED</t>
        </is>
      </c>
      <c r="Q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c r="K24" t="inlineStr"/>
      <c r="L24" t="inlineStr"/>
      <c r="M24" t="inlineStr"/>
      <c r="N24" t="inlineStr"/>
      <c r="O24" t="inlineStr"/>
      <c r="P24" t="inlineStr">
        <is>
          <t>NOT DETERMINED</t>
        </is>
      </c>
      <c r="Q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c r="K25" t="inlineStr"/>
      <c r="L25" t="inlineStr"/>
      <c r="M25" t="inlineStr">
        <is>
          <t>Q29 — What size of shock should the test use by default, and should it be a fixed dollar figure or a share of the person's spending?</t>
        </is>
      </c>
      <c r="N25" t="inlineStr"/>
      <c r="O25" t="inlineStr"/>
      <c r="P25" t="inlineStr">
        <is>
          <t>NOT DETERMINED</t>
        </is>
      </c>
      <c r="Q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c r="K26" t="inlineStr"/>
      <c r="L26" t="inlineStr"/>
      <c r="M26" t="inlineStr"/>
      <c r="N26" t="inlineStr"/>
      <c r="O26" t="inlineStr"/>
      <c r="P26" t="inlineStr">
        <is>
          <t>NOT DETERMINED</t>
        </is>
      </c>
      <c r="Q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MK-CF-E-007</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c r="K27" t="inlineStr"/>
      <c r="L27" t="inlineStr"/>
      <c r="M27" t="inlineStr"/>
      <c r="N27" t="inlineStr"/>
      <c r="O27" t="inlineStr"/>
      <c r="P27" t="inlineStr">
        <is>
          <t>NOT DETERMINED</t>
        </is>
      </c>
      <c r="Q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c r="K28" t="inlineStr"/>
      <c r="L28" t="inlineStr">
        <is>
          <t>Explicit tables per filing status. A married band is not twice the single band — the 37% band starts at $768,700, not at double the single figure.</t>
        </is>
      </c>
      <c r="M28" t="inlineStr">
        <is>
          <t>Q24 — State tax is applied to taxable accounts only. Do you want a state rate captured per person, or to keep the single blended figure we use now?</t>
        </is>
      </c>
      <c r="N28" t="inlineStr"/>
      <c r="O28" t="inlineStr"/>
      <c r="P28" t="inlineStr">
        <is>
          <t>NOT DETERMINED</t>
        </is>
      </c>
      <c r="Q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c r="K29" t="inlineStr"/>
      <c r="L29" t="inlineStr">
        <is>
          <t>Explicit tables per filing status. A married band is not twice the single band — the 37% band starts at $768,700, not at double the single figure.</t>
        </is>
      </c>
      <c r="M29" t="inlineStr"/>
      <c r="N29" t="inlineStr"/>
      <c r="O29" t="inlineStr"/>
      <c r="P29" t="inlineStr">
        <is>
          <t>NOT DETERMINED</t>
        </is>
      </c>
      <c r="Q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c r="K30" t="inlineStr"/>
      <c r="L30" t="inlineStr"/>
      <c r="M30" t="inlineStr"/>
      <c r="N30" t="inlineStr"/>
      <c r="O30" t="inlineStr"/>
      <c r="P30" t="inlineStr">
        <is>
          <t>NOT DETERMINED</t>
        </is>
      </c>
      <c r="Q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c r="K31" t="inlineStr"/>
      <c r="L31" t="inlineStr"/>
      <c r="M31" t="inlineStr"/>
      <c r="N31" t="inlineStr"/>
      <c r="O31" t="inlineStr"/>
      <c r="P31" t="inlineStr">
        <is>
          <t>NOT DETERMINED</t>
        </is>
      </c>
      <c r="Q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is>
          <t>NOT DETERMINED</t>
        </is>
      </c>
      <c r="Q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is>
          <t>NOT DETERMINED</t>
        </is>
      </c>
      <c r="Q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is>
          <t>NOT DETERMINED</t>
        </is>
      </c>
      <c r="Q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is>
          <t>NOT DETERMINED</t>
        </is>
      </c>
      <c r="Q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is>
          <t>NOT DETERMINED</t>
        </is>
      </c>
      <c r="Q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is>
          <t>NOT DETERMINED</t>
        </is>
      </c>
      <c r="Q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is>
          <t>NOT DETERMINED</t>
        </is>
      </c>
      <c r="Q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MK-XS-E-003 · MK-NW-E-004 · MK-PL-E-008</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MK-PL-E-008</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MK-NW-E-006</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MK-NW-E-023 · MK-NW-E-024</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MK-NW-E-023</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MK-NW-E-025 · MK-NW-E-028</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MK-NW-E-016</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MK-NW-E-017 · MK-NW-E-020</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MK-NW-E-018 · MK-NW-E-019</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MK-NW-E-007</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MK-PL-E-018</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MK-NW-E-008</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MK-PL-E-009</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MK-XS-E-002 · MK-NW-E-010</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MK-PL-E-004</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MK-PL-E-009 · MK-PL-E-010</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MK-PL-E-010</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MK-CF-E-002</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MK-CF-E-006 · MK-CF-E-007</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MK-CF-E-007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MK-XS-E-002 · MK-NW-E-010</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MK-PL-E-004</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MK-PL-E-015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2026-08-25T19:18:20Z</dcterms:created>
  <dcterms:modified xsi:type="dcterms:W3CDTF">2026-08-25T19:18:20Z</dcterms:modified>
</cp:coreProperties>
</file>